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ronikapotter/paaws-benchmarking/Corrections/"/>
    </mc:Choice>
  </mc:AlternateContent>
  <xr:revisionPtr revIDLastSave="0" documentId="13_ncr:1_{43F21E15-0242-4E45-ADCB-6EA1D0FEA335}" xr6:coauthVersionLast="47" xr6:coauthVersionMax="47" xr10:uidLastSave="{00000000-0000-0000-0000-000000000000}"/>
  <bookViews>
    <workbookView xWindow="29400" yWindow="600" windowWidth="38400" windowHeight="21000" activeTab="4" xr2:uid="{431A42A7-9B7C-544F-AEE9-22D0DAECE107}"/>
  </bookViews>
  <sheets>
    <sheet name="Total_Time_By_DS" sheetId="1" r:id="rId1"/>
    <sheet name="Uncommon_Common_CORRECT" sheetId="4" r:id="rId2"/>
    <sheet name="Table_4_CORRECT" sheetId="5" r:id="rId3"/>
    <sheet name="Uncommon_Common_MISTAKE" sheetId="2" r:id="rId4"/>
    <sheet name="Table_4_MISTAKE" sheetId="3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5" l="1"/>
  <c r="GSR24" i="1"/>
  <c r="GSR22" i="1"/>
  <c r="GSR23" i="1"/>
  <c r="M15" i="5"/>
  <c r="K3" i="5"/>
  <c r="L3" i="5"/>
  <c r="M3" i="5"/>
  <c r="K4" i="5"/>
  <c r="L4" i="5"/>
  <c r="M4" i="5"/>
  <c r="K5" i="5"/>
  <c r="L5" i="5"/>
  <c r="M5" i="5"/>
  <c r="K6" i="5"/>
  <c r="L6" i="5"/>
  <c r="M6" i="5"/>
  <c r="K7" i="5"/>
  <c r="L7" i="5"/>
  <c r="M7" i="5"/>
  <c r="K8" i="5"/>
  <c r="L8" i="5"/>
  <c r="M8" i="5"/>
  <c r="K9" i="5"/>
  <c r="L9" i="5"/>
  <c r="M9" i="5"/>
  <c r="K10" i="5"/>
  <c r="L10" i="5"/>
  <c r="M10" i="5"/>
  <c r="K11" i="5"/>
  <c r="L11" i="5"/>
  <c r="M11" i="5"/>
  <c r="K12" i="5"/>
  <c r="L12" i="5"/>
  <c r="M12" i="5"/>
  <c r="K13" i="5"/>
  <c r="L13" i="5"/>
  <c r="M13" i="5"/>
  <c r="K14" i="5"/>
  <c r="L14" i="5"/>
  <c r="M14" i="5"/>
  <c r="K15" i="5"/>
  <c r="L15" i="5"/>
  <c r="M2" i="5"/>
  <c r="L2" i="5"/>
  <c r="K2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I3" i="5"/>
  <c r="I4" i="5"/>
  <c r="I5" i="5"/>
  <c r="I6" i="5"/>
  <c r="I7" i="5"/>
  <c r="I8" i="5"/>
  <c r="I9" i="5"/>
  <c r="I10" i="5"/>
  <c r="I11" i="5"/>
  <c r="I12" i="5"/>
  <c r="I13" i="5"/>
  <c r="I14" i="5"/>
  <c r="I2" i="5"/>
  <c r="F25" i="4"/>
  <c r="H25" i="4"/>
  <c r="J25" i="4"/>
  <c r="L25" i="4"/>
  <c r="O25" i="4"/>
  <c r="Q25" i="4"/>
  <c r="S25" i="4"/>
  <c r="U25" i="4"/>
  <c r="W25" i="4"/>
  <c r="Y25" i="4"/>
  <c r="AA25" i="4"/>
  <c r="AC25" i="4"/>
  <c r="F26" i="4"/>
  <c r="H26" i="4"/>
  <c r="J26" i="4"/>
  <c r="L26" i="4"/>
  <c r="O26" i="4"/>
  <c r="Q26" i="4"/>
  <c r="S26" i="4"/>
  <c r="U26" i="4"/>
  <c r="W26" i="4"/>
  <c r="Y26" i="4"/>
  <c r="AA26" i="4"/>
  <c r="AC26" i="4"/>
  <c r="F27" i="4"/>
  <c r="H27" i="4"/>
  <c r="J27" i="4"/>
  <c r="L27" i="4"/>
  <c r="O27" i="4"/>
  <c r="Q27" i="4"/>
  <c r="S27" i="4"/>
  <c r="U27" i="4"/>
  <c r="W27" i="4"/>
  <c r="Y27" i="4"/>
  <c r="AA27" i="4"/>
  <c r="AC27" i="4"/>
  <c r="F28" i="4"/>
  <c r="H28" i="4"/>
  <c r="J28" i="4"/>
  <c r="L28" i="4"/>
  <c r="O28" i="4"/>
  <c r="Q28" i="4"/>
  <c r="S28" i="4"/>
  <c r="U28" i="4"/>
  <c r="W28" i="4"/>
  <c r="Y28" i="4"/>
  <c r="AA28" i="4"/>
  <c r="AC28" i="4"/>
  <c r="F29" i="4"/>
  <c r="H29" i="4"/>
  <c r="J29" i="4"/>
  <c r="L29" i="4"/>
  <c r="O29" i="4"/>
  <c r="Q29" i="4"/>
  <c r="S29" i="4"/>
  <c r="U29" i="4"/>
  <c r="W29" i="4"/>
  <c r="Y29" i="4"/>
  <c r="Y34" i="4" s="1"/>
  <c r="AA29" i="4"/>
  <c r="AC29" i="4"/>
  <c r="D25" i="4"/>
  <c r="D26" i="4"/>
  <c r="D27" i="4"/>
  <c r="D28" i="4"/>
  <c r="D29" i="4"/>
  <c r="B29" i="4"/>
  <c r="B28" i="4"/>
  <c r="B27" i="4"/>
  <c r="B26" i="4"/>
  <c r="B25" i="4"/>
  <c r="AD23" i="4"/>
  <c r="AB23" i="4"/>
  <c r="Z23" i="4"/>
  <c r="X23" i="4"/>
  <c r="V23" i="4"/>
  <c r="T23" i="4"/>
  <c r="R23" i="4"/>
  <c r="P23" i="4"/>
  <c r="M23" i="4"/>
  <c r="K23" i="4"/>
  <c r="I23" i="4"/>
  <c r="G23" i="4"/>
  <c r="E23" i="4"/>
  <c r="C23" i="4"/>
  <c r="AD22" i="4"/>
  <c r="AB22" i="4"/>
  <c r="Z22" i="4"/>
  <c r="X22" i="4"/>
  <c r="V22" i="4"/>
  <c r="T22" i="4"/>
  <c r="R22" i="4"/>
  <c r="P22" i="4"/>
  <c r="M22" i="4"/>
  <c r="K22" i="4"/>
  <c r="I22" i="4"/>
  <c r="G22" i="4"/>
  <c r="E22" i="4"/>
  <c r="C22" i="4"/>
  <c r="AD21" i="4"/>
  <c r="AB21" i="4"/>
  <c r="Z21" i="4"/>
  <c r="X21" i="4"/>
  <c r="V21" i="4"/>
  <c r="T21" i="4"/>
  <c r="R21" i="4"/>
  <c r="P21" i="4"/>
  <c r="M21" i="4"/>
  <c r="K21" i="4"/>
  <c r="I21" i="4"/>
  <c r="G21" i="4"/>
  <c r="E21" i="4"/>
  <c r="C21" i="4"/>
  <c r="AD20" i="4"/>
  <c r="AB20" i="4"/>
  <c r="Z20" i="4"/>
  <c r="X20" i="4"/>
  <c r="V20" i="4"/>
  <c r="T20" i="4"/>
  <c r="R20" i="4"/>
  <c r="P20" i="4"/>
  <c r="M20" i="4"/>
  <c r="K20" i="4"/>
  <c r="I20" i="4"/>
  <c r="G20" i="4"/>
  <c r="E20" i="4"/>
  <c r="C20" i="4"/>
  <c r="AD19" i="4"/>
  <c r="AB19" i="4"/>
  <c r="Z19" i="4"/>
  <c r="X19" i="4"/>
  <c r="V19" i="4"/>
  <c r="T19" i="4"/>
  <c r="R19" i="4"/>
  <c r="P19" i="4"/>
  <c r="M19" i="4"/>
  <c r="K19" i="4"/>
  <c r="I19" i="4"/>
  <c r="G19" i="4"/>
  <c r="E19" i="4"/>
  <c r="C19" i="4"/>
  <c r="AD18" i="4"/>
  <c r="AB18" i="4"/>
  <c r="Z18" i="4"/>
  <c r="X18" i="4"/>
  <c r="V18" i="4"/>
  <c r="T18" i="4"/>
  <c r="R18" i="4"/>
  <c r="P18" i="4"/>
  <c r="M18" i="4"/>
  <c r="K18" i="4"/>
  <c r="I18" i="4"/>
  <c r="G18" i="4"/>
  <c r="E18" i="4"/>
  <c r="C18" i="4"/>
  <c r="AD17" i="4"/>
  <c r="AB17" i="4"/>
  <c r="Z17" i="4"/>
  <c r="X17" i="4"/>
  <c r="V17" i="4"/>
  <c r="T17" i="4"/>
  <c r="R17" i="4"/>
  <c r="P17" i="4"/>
  <c r="M17" i="4"/>
  <c r="K17" i="4"/>
  <c r="I17" i="4"/>
  <c r="G17" i="4"/>
  <c r="E17" i="4"/>
  <c r="C17" i="4"/>
  <c r="AD16" i="4"/>
  <c r="AB16" i="4"/>
  <c r="Z16" i="4"/>
  <c r="X16" i="4"/>
  <c r="V16" i="4"/>
  <c r="T16" i="4"/>
  <c r="R16" i="4"/>
  <c r="P16" i="4"/>
  <c r="M16" i="4"/>
  <c r="K16" i="4"/>
  <c r="I16" i="4"/>
  <c r="G16" i="4"/>
  <c r="E16" i="4"/>
  <c r="C16" i="4"/>
  <c r="AD15" i="4"/>
  <c r="AB15" i="4"/>
  <c r="Z15" i="4"/>
  <c r="X15" i="4"/>
  <c r="V15" i="4"/>
  <c r="T15" i="4"/>
  <c r="R15" i="4"/>
  <c r="P15" i="4"/>
  <c r="M15" i="4"/>
  <c r="K15" i="4"/>
  <c r="I15" i="4"/>
  <c r="G15" i="4"/>
  <c r="E15" i="4"/>
  <c r="C15" i="4"/>
  <c r="AD14" i="4"/>
  <c r="AB14" i="4"/>
  <c r="Z14" i="4"/>
  <c r="X14" i="4"/>
  <c r="V14" i="4"/>
  <c r="T14" i="4"/>
  <c r="R14" i="4"/>
  <c r="P14" i="4"/>
  <c r="M14" i="4"/>
  <c r="K14" i="4"/>
  <c r="I14" i="4"/>
  <c r="G14" i="4"/>
  <c r="E14" i="4"/>
  <c r="C14" i="4"/>
  <c r="AD13" i="4"/>
  <c r="AB13" i="4"/>
  <c r="Z13" i="4"/>
  <c r="X13" i="4"/>
  <c r="V13" i="4"/>
  <c r="T13" i="4"/>
  <c r="R13" i="4"/>
  <c r="P13" i="4"/>
  <c r="M13" i="4"/>
  <c r="K13" i="4"/>
  <c r="I13" i="4"/>
  <c r="G13" i="4"/>
  <c r="E13" i="4"/>
  <c r="C13" i="4"/>
  <c r="AD12" i="4"/>
  <c r="AB12" i="4"/>
  <c r="Z12" i="4"/>
  <c r="X12" i="4"/>
  <c r="V12" i="4"/>
  <c r="T12" i="4"/>
  <c r="R12" i="4"/>
  <c r="P12" i="4"/>
  <c r="M12" i="4"/>
  <c r="K12" i="4"/>
  <c r="I12" i="4"/>
  <c r="G12" i="4"/>
  <c r="E12" i="4"/>
  <c r="C12" i="4"/>
  <c r="AD11" i="4"/>
  <c r="AB11" i="4"/>
  <c r="Z11" i="4"/>
  <c r="X11" i="4"/>
  <c r="V11" i="4"/>
  <c r="T11" i="4"/>
  <c r="R11" i="4"/>
  <c r="P11" i="4"/>
  <c r="M11" i="4"/>
  <c r="K11" i="4"/>
  <c r="I11" i="4"/>
  <c r="G11" i="4"/>
  <c r="E11" i="4"/>
  <c r="C11" i="4"/>
  <c r="AD10" i="4"/>
  <c r="AB10" i="4"/>
  <c r="Z10" i="4"/>
  <c r="X10" i="4"/>
  <c r="V10" i="4"/>
  <c r="T10" i="4"/>
  <c r="R10" i="4"/>
  <c r="P10" i="4"/>
  <c r="M10" i="4"/>
  <c r="K10" i="4"/>
  <c r="I10" i="4"/>
  <c r="G10" i="4"/>
  <c r="E10" i="4"/>
  <c r="C10" i="4"/>
  <c r="AD9" i="4"/>
  <c r="AB9" i="4"/>
  <c r="Z9" i="4"/>
  <c r="X9" i="4"/>
  <c r="V9" i="4"/>
  <c r="T9" i="4"/>
  <c r="R9" i="4"/>
  <c r="P9" i="4"/>
  <c r="M9" i="4"/>
  <c r="K9" i="4"/>
  <c r="I9" i="4"/>
  <c r="G9" i="4"/>
  <c r="E9" i="4"/>
  <c r="C9" i="4"/>
  <c r="AD8" i="4"/>
  <c r="AB8" i="4"/>
  <c r="Z8" i="4"/>
  <c r="X8" i="4"/>
  <c r="V8" i="4"/>
  <c r="T8" i="4"/>
  <c r="R8" i="4"/>
  <c r="P8" i="4"/>
  <c r="M8" i="4"/>
  <c r="K8" i="4"/>
  <c r="I8" i="4"/>
  <c r="G8" i="4"/>
  <c r="E8" i="4"/>
  <c r="C8" i="4"/>
  <c r="AD7" i="4"/>
  <c r="AB7" i="4"/>
  <c r="Z7" i="4"/>
  <c r="X7" i="4"/>
  <c r="V7" i="4"/>
  <c r="T7" i="4"/>
  <c r="R7" i="4"/>
  <c r="P7" i="4"/>
  <c r="M7" i="4"/>
  <c r="K7" i="4"/>
  <c r="I7" i="4"/>
  <c r="G7" i="4"/>
  <c r="E7" i="4"/>
  <c r="C7" i="4"/>
  <c r="AD6" i="4"/>
  <c r="AB6" i="4"/>
  <c r="Z6" i="4"/>
  <c r="X6" i="4"/>
  <c r="V6" i="4"/>
  <c r="T6" i="4"/>
  <c r="R6" i="4"/>
  <c r="P6" i="4"/>
  <c r="M6" i="4"/>
  <c r="K6" i="4"/>
  <c r="I6" i="4"/>
  <c r="G6" i="4"/>
  <c r="E6" i="4"/>
  <c r="C6" i="4"/>
  <c r="AD5" i="4"/>
  <c r="AB5" i="4"/>
  <c r="Z5" i="4"/>
  <c r="X5" i="4"/>
  <c r="V5" i="4"/>
  <c r="T5" i="4"/>
  <c r="R5" i="4"/>
  <c r="P5" i="4"/>
  <c r="M5" i="4"/>
  <c r="K5" i="4"/>
  <c r="I5" i="4"/>
  <c r="G5" i="4"/>
  <c r="E5" i="4"/>
  <c r="C5" i="4"/>
  <c r="AD4" i="4"/>
  <c r="AB4" i="4"/>
  <c r="Z4" i="4"/>
  <c r="X4" i="4"/>
  <c r="V4" i="4"/>
  <c r="T4" i="4"/>
  <c r="R4" i="4"/>
  <c r="P4" i="4"/>
  <c r="M4" i="4"/>
  <c r="K4" i="4"/>
  <c r="I4" i="4"/>
  <c r="G4" i="4"/>
  <c r="E4" i="4"/>
  <c r="C4" i="4"/>
  <c r="H24" i="2"/>
  <c r="R24" i="2"/>
  <c r="S24" i="2"/>
  <c r="U24" i="2"/>
  <c r="D24" i="2"/>
  <c r="D25" i="2" s="1"/>
  <c r="F24" i="2"/>
  <c r="F25" i="2" s="1"/>
  <c r="J24" i="2"/>
  <c r="J25" i="2" s="1"/>
  <c r="L24" i="2"/>
  <c r="L25" i="2" s="1"/>
  <c r="N24" i="2"/>
  <c r="O24" i="2"/>
  <c r="Q24" i="2"/>
  <c r="S25" i="2"/>
  <c r="W24" i="2"/>
  <c r="Y24" i="2"/>
  <c r="Y25" i="2" s="1"/>
  <c r="AA24" i="2"/>
  <c r="AA25" i="2" s="1"/>
  <c r="AC24" i="2"/>
  <c r="AC25" i="2" s="1"/>
  <c r="D26" i="2"/>
  <c r="F26" i="2"/>
  <c r="H26" i="2"/>
  <c r="J26" i="2"/>
  <c r="L26" i="2"/>
  <c r="O26" i="2"/>
  <c r="Q26" i="2"/>
  <c r="S26" i="2"/>
  <c r="U26" i="2"/>
  <c r="W26" i="2"/>
  <c r="Y26" i="2"/>
  <c r="AA26" i="2"/>
  <c r="AC26" i="2"/>
  <c r="D27" i="2"/>
  <c r="F27" i="2"/>
  <c r="H27" i="2"/>
  <c r="J27" i="2"/>
  <c r="L27" i="2"/>
  <c r="O27" i="2"/>
  <c r="Q27" i="2"/>
  <c r="S27" i="2"/>
  <c r="U27" i="2"/>
  <c r="W27" i="2"/>
  <c r="Y27" i="2"/>
  <c r="AA27" i="2"/>
  <c r="AC27" i="2"/>
  <c r="D28" i="2"/>
  <c r="F28" i="2"/>
  <c r="H28" i="2"/>
  <c r="J28" i="2"/>
  <c r="L28" i="2"/>
  <c r="O28" i="2"/>
  <c r="Q28" i="2"/>
  <c r="S28" i="2"/>
  <c r="U28" i="2"/>
  <c r="W28" i="2"/>
  <c r="Y28" i="2"/>
  <c r="AA28" i="2"/>
  <c r="AC28" i="2"/>
  <c r="D29" i="2"/>
  <c r="F29" i="2"/>
  <c r="H29" i="2"/>
  <c r="J29" i="2"/>
  <c r="L29" i="2"/>
  <c r="O29" i="2"/>
  <c r="Q29" i="2"/>
  <c r="S29" i="2"/>
  <c r="U29" i="2"/>
  <c r="W29" i="2"/>
  <c r="Y29" i="2"/>
  <c r="AA29" i="2"/>
  <c r="AC29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D4" i="2"/>
  <c r="AD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AB4" i="2"/>
  <c r="AB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Z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T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B27" i="2"/>
  <c r="B26" i="2"/>
  <c r="B25" i="2"/>
  <c r="FWA22" i="1"/>
  <c r="FWA21" i="1"/>
  <c r="H25" i="2" l="1"/>
  <c r="E25" i="4"/>
  <c r="P25" i="4"/>
  <c r="AB25" i="4"/>
  <c r="E26" i="4"/>
  <c r="I26" i="4"/>
  <c r="G28" i="4"/>
  <c r="I29" i="4"/>
  <c r="M29" i="4"/>
  <c r="AD27" i="4"/>
  <c r="E28" i="4"/>
  <c r="K28" i="4"/>
  <c r="M28" i="4"/>
  <c r="G29" i="4"/>
  <c r="P28" i="4"/>
  <c r="R28" i="4"/>
  <c r="T28" i="4"/>
  <c r="X28" i="4"/>
  <c r="Z28" i="4"/>
  <c r="AB28" i="4"/>
  <c r="E29" i="4"/>
  <c r="V29" i="4"/>
  <c r="C26" i="4"/>
  <c r="K29" i="4"/>
  <c r="M25" i="4"/>
  <c r="T25" i="4"/>
  <c r="X25" i="4"/>
  <c r="Z25" i="4"/>
  <c r="K26" i="4"/>
  <c r="M26" i="4"/>
  <c r="P26" i="4"/>
  <c r="R26" i="4"/>
  <c r="T26" i="4"/>
  <c r="V26" i="4"/>
  <c r="X26" i="4"/>
  <c r="Z26" i="4"/>
  <c r="AB26" i="4"/>
  <c r="E27" i="4"/>
  <c r="G27" i="4"/>
  <c r="M27" i="4"/>
  <c r="P27" i="4"/>
  <c r="R27" i="4"/>
  <c r="X27" i="4"/>
  <c r="Z27" i="4"/>
  <c r="R29" i="4"/>
  <c r="X29" i="4"/>
  <c r="AD29" i="4"/>
  <c r="C27" i="4"/>
  <c r="C29" i="4"/>
  <c r="K25" i="4"/>
  <c r="R25" i="4"/>
  <c r="G26" i="4"/>
  <c r="AD26" i="4"/>
  <c r="I27" i="4"/>
  <c r="K27" i="4"/>
  <c r="T27" i="4"/>
  <c r="V27" i="4"/>
  <c r="AB27" i="4"/>
  <c r="V28" i="4"/>
  <c r="AD28" i="4"/>
  <c r="G25" i="4"/>
  <c r="I25" i="4"/>
  <c r="V25" i="4"/>
  <c r="AD25" i="4"/>
  <c r="I28" i="4"/>
  <c r="P29" i="4"/>
  <c r="T29" i="4"/>
  <c r="Z29" i="4"/>
  <c r="AB29" i="4"/>
  <c r="C25" i="4"/>
  <c r="C28" i="4"/>
  <c r="E28" i="2"/>
  <c r="AD28" i="2"/>
  <c r="E24" i="2"/>
  <c r="E25" i="2" s="1"/>
  <c r="G27" i="2"/>
  <c r="I28" i="2"/>
  <c r="M24" i="2"/>
  <c r="M25" i="2" s="1"/>
  <c r="P29" i="2"/>
  <c r="R26" i="2"/>
  <c r="T28" i="2"/>
  <c r="V24" i="2"/>
  <c r="V25" i="2" s="1"/>
  <c r="X24" i="2"/>
  <c r="X25" i="2" s="1"/>
  <c r="Z28" i="2"/>
  <c r="AB28" i="2"/>
  <c r="AD27" i="2"/>
  <c r="V28" i="2"/>
  <c r="Z24" i="2"/>
  <c r="Z25" i="2" s="1"/>
  <c r="E27" i="2"/>
  <c r="C28" i="2"/>
  <c r="G26" i="2"/>
  <c r="K26" i="2"/>
  <c r="P28" i="2"/>
  <c r="T26" i="2"/>
  <c r="X26" i="2"/>
  <c r="AB26" i="2"/>
  <c r="M28" i="2"/>
  <c r="I27" i="2"/>
  <c r="R25" i="2"/>
  <c r="C29" i="2"/>
  <c r="G24" i="2"/>
  <c r="G25" i="2" s="1"/>
  <c r="K24" i="2"/>
  <c r="K25" i="2" s="1"/>
  <c r="P27" i="2"/>
  <c r="T27" i="2"/>
  <c r="X27" i="2"/>
  <c r="AB24" i="2"/>
  <c r="AB25" i="2" s="1"/>
  <c r="N25" i="2"/>
  <c r="Z26" i="2"/>
  <c r="R28" i="2"/>
  <c r="M27" i="2"/>
  <c r="P26" i="2"/>
  <c r="AD24" i="2"/>
  <c r="AD25" i="2" s="1"/>
  <c r="M29" i="2"/>
  <c r="E29" i="2"/>
  <c r="X28" i="2"/>
  <c r="K27" i="2"/>
  <c r="AD26" i="2"/>
  <c r="V26" i="2"/>
  <c r="W25" i="2"/>
  <c r="I29" i="2"/>
  <c r="Q25" i="2"/>
  <c r="I24" i="2"/>
  <c r="I25" i="2" s="1"/>
  <c r="X29" i="2"/>
  <c r="V27" i="2"/>
  <c r="I26" i="2"/>
  <c r="G29" i="2"/>
  <c r="AD29" i="2"/>
  <c r="V29" i="2"/>
  <c r="AB27" i="2"/>
  <c r="AB29" i="2"/>
  <c r="T29" i="2"/>
  <c r="G28" i="2"/>
  <c r="Z27" i="2"/>
  <c r="R27" i="2"/>
  <c r="M26" i="2"/>
  <c r="E26" i="2"/>
  <c r="T24" i="2"/>
  <c r="T25" i="2" s="1"/>
  <c r="P24" i="2"/>
  <c r="P25" i="2" s="1"/>
  <c r="C24" i="2"/>
  <c r="C25" i="2" s="1"/>
  <c r="O25" i="2"/>
  <c r="C27" i="2"/>
  <c r="C26" i="2"/>
  <c r="K29" i="2"/>
  <c r="U25" i="2"/>
  <c r="K28" i="2"/>
  <c r="Z29" i="2"/>
  <c r="R29" i="2"/>
</calcChain>
</file>

<file path=xl/sharedStrings.xml><?xml version="1.0" encoding="utf-8"?>
<sst xmlns="http://schemas.openxmlformats.org/spreadsheetml/2006/main" count="5474" uniqueCount="5297">
  <si>
    <t>Puttering_Around*In_Position_Upright*Meeting_Social_Gathering_In_Person|Using_Computer/Screen*Browsing_Computer|Holding_Other_Object_Light|In_Conversation|Located_Indoors</t>
  </si>
  <si>
    <t>Standing_With_Movement*In_Position_Upright*HLB_Other|Watching_TV/Movies*Holding_Other_Object_Light|Located_Indoors</t>
  </si>
  <si>
    <t>Walking_Down_Stairs*In_Position_Upright*Walking_Pet*Holding_Other_Object_Light|Located_Indoors</t>
  </si>
  <si>
    <t>Walking*In_Position_Upright*Doing_Common_Housework_Light|In_Transit_Active*Holding_Other_Object_Light|Located_Indoors|Texting/Browsing_Phone</t>
  </si>
  <si>
    <t>Sitting_With_Movement*In_Position_Sitting*Packing/Unpacking_Something*Holding_Other_Object_Light</t>
  </si>
  <si>
    <t>Walking_Up_Stairs*In_Position_Upright*In_Transit_Active*Holding_Drink|Holding_Solid_Food|Located_Indoors</t>
  </si>
  <si>
    <t>Walking_Fast*In_Position_Upright*Playing_Sports/Games*Holding_Other_Object_Light|Located_Outdoors</t>
  </si>
  <si>
    <t>Standing_With_Movement*In_Position_Upright*Packing/Unpacking_Something*Located_Outdoors</t>
  </si>
  <si>
    <t>Walking*In_Position_Upright*Administering_Care_Child/Elder/Other_Adult|In_Transit_Active*Holding_Other_Object_Light|Located_Outdoors</t>
  </si>
  <si>
    <t>Puttering_Around*In_Position_Upright*HIGH_LEVEL_BEHAVIOR_Unlabeled*Carrying_Bag_On_Shoulder/Back_Light|Located_Outdoors</t>
  </si>
  <si>
    <t>Puttering_Around*In_Position_Upright*Meeting_Formal_Gathering_In_Person*Carrying_Bag_On_Shoulder/Back_Light|Located_Indoors</t>
  </si>
  <si>
    <t>Walking*In_Position_Upright*Cooking/Prepping_Food*Located_Indoors|Texting/Browsing_Phone</t>
  </si>
  <si>
    <t>Standing_Still*In_Position_Upright*Meeting_Social_Gathering_In_Person*Holding_Other_Object_Light|Located_Indoors</t>
  </si>
  <si>
    <t>Walking*In_Position_Upright*Meeting_Social_Gathering_In_Person*In_Conversation|Located_Outdoors|Texting/Browsing_Phone</t>
  </si>
  <si>
    <t>Walking_Slow*In_Position_Upright*Doing_Resistance_Training*Holding_Other_Object_Light|Located_Indoors</t>
  </si>
  <si>
    <t>Walking_Up_Stairs*In_Position_Upright*In_Transit_Active*Carrying_Bag_On_Shoulder/Back_Light|Holding_Other_Object_Light|Holding_Solid_Food|Located_Indoors</t>
  </si>
  <si>
    <t>Walking*In_Position_Upright*Eating/Dining*Holding_Solid_Food|Located_Indoors|Texting/Browsing_Phone</t>
  </si>
  <si>
    <t>Walking*In_Position_Upright*In_Transit_Passive_Train/Bus/Plane|Meeting_Social_Gathering_In_Person*Carrying_Bag_On_Shoulder/Back_Light|In_Conversation|Located_Indoors</t>
  </si>
  <si>
    <t>Standing_With_Movement*In_Position_Upright*In_Transit_Active|Meeting_Social_Gathering_In_Person*Carrying_Bag_On_Shoulder/Back_Light|Located_Outdoors</t>
  </si>
  <si>
    <t>Walking_Up_Stairs*In_Position_Upright*Meeting_Social_Gathering_In_Person*Located_Indoors|Significantly_Higher_Effort_Than_Normal|Texting/Browsing_Phone</t>
  </si>
  <si>
    <t>Kneeling_With_Movement*In_Position_Kneeling*Cleaning|Doing_Common_Housework*In_Conversation|Located_Indoors</t>
  </si>
  <si>
    <t>Puttering_Around*In_Position_Upright*Shopping_Non-Grocery*Located_Outdoors</t>
  </si>
  <si>
    <t>Sitting_With_Movement*In_Position_Sitting*Using_Computer/Screen*Holding_Other_Object_Light|Located_Indoors|On_Phone_Call</t>
  </si>
  <si>
    <t>Puttering_Around*In_Position_Upright*Administering_Care_Child/Elder/Other_Adult*Located_Outdoors</t>
  </si>
  <si>
    <t>Walking_Down_Stairs*In_Position_Upright*HIGH_LEVEL_BEHAVIOR_Unlabeled*Holding_Bag/Briefcase_Hand_Light|Located_Outdoors</t>
  </si>
  <si>
    <t>Standing_With_Movement*In_Position_Upright*HLB_Other|Watching_TV/Movies*Located_Indoors</t>
  </si>
  <si>
    <t>Walking_Down_Stairs*In_Position_Upright*Walking_Pet*Holding_Other_Object_Light|Located_Outdoors</t>
  </si>
  <si>
    <t>Walking_Up_Stairs*In_Position_Upright*Walking_Pet*Holding_Other_Object_Light|Located_Indoors</t>
  </si>
  <si>
    <t>Sitting_With_Movement*In_Position_Sitting*Meeting_Social_Gathering_In_Person|Watching_Lecture*Holding_Other_Object_Light|In_Conversation|Located_Indoors</t>
  </si>
  <si>
    <t>Walking*In_Position_Upright*In_Transit_Active|Riding_Elevator_Up*Carrying_Bag_On_Shoulder/Back_Light|Holding_Other_Object_Light|Located_Indoors|Texting/Browsing_Phone</t>
  </si>
  <si>
    <t>Walking*In_Position_Upright*Doing_Alternative_Exercise/Therapy/Stretching*Located_Outdoors</t>
  </si>
  <si>
    <t>Walking*In_Position_Upright*HIGH_LEVEL_BEHAVIOR_Unlabeled*Carrying_Bag_On_Shoulder/Back_Light|Holding_Other_Object_Light|In_Conversation|Located_Outdoors</t>
  </si>
  <si>
    <t>Walking*In_Position_Upright*HIGH_LEVEL_BEHAVIOR_Unlabeled*Holding_Bag/Briefcase_Hand_Light|Holding_Drink|Located_Indoors</t>
  </si>
  <si>
    <t>Walking*In_Position_Upright*In_Transit_Active|Riding_Elevator_Down*Carrying_Bag_On_Shoulder/Back_Light|In_Conversation|Located_Indoors</t>
  </si>
  <si>
    <t>Sitting_With_Movement*In_Position_Reclining/Slouching*Doing_Alternative_Exercise/Therapy/Stretching|Using_Computer/Screen*In_Conversation|Located_Indoors</t>
  </si>
  <si>
    <t>Walking*In_Position_Upright*In_Transit_Active|Loading/Unloading_Vehicle*Located_Outdoors</t>
  </si>
  <si>
    <t>Walking*In_Position_Upright*Loading/Unloading_Vehicle*Holding_Bag/Briefcase_Hand_Light|Located_Outdoors</t>
  </si>
  <si>
    <t>Walking_Slow*In_Position_Upright*Loading/Unloading_Vehicle*Holding_Other_Object_Light|Located_Outdoors</t>
  </si>
  <si>
    <t>Walking*In_Position_Upright*Dressing/Undressing|In_Transit_Active*Holding_Other_Object_Light|Located_Outdoors</t>
  </si>
  <si>
    <t>Puttering_Around*In_Position_Upright*Meeting_Virtual*Located_Indoors|Texting/Browsing_Phone</t>
  </si>
  <si>
    <t>Walking_Up_Stairs*In_Position_Upright*In_Transit_Active*Carrying_Bag_On_Shoulder/Back_Heavy|Holding_Other_Object_Light|Located_Outdoors</t>
  </si>
  <si>
    <t>Puttering_Around*In_Position_Upright*In_Transit_Active|Meeting_Social_Gathering_In_Person|Riding_Elevator_Up*In_Conversation|Located_Indoors|Texting/Browsing_Phone</t>
  </si>
  <si>
    <t>Standing_With_Movement*In_Position_Upright*Meeting_Social_Gathering_In_Person*Texting/Browsing_Phone</t>
  </si>
  <si>
    <t>Sitting_With_Movement*In_Position_Sitting*Eating/Dining|Using_Computer/Screen|Watching_TV/Movies*Holding_Other_Object_Light|Located_Indoors|Texting/Browsing_Phone</t>
  </si>
  <si>
    <t>Sitting_With_Movement*In_Position_Sitting*Doing_Alternative_Exercise/Therapy/Stretching|Meeting_Social_Gathering_In_Person*Holding_Other_Object_Light|In_Conversation|Located_Indoors</t>
  </si>
  <si>
    <t>Walking*In_Position_Upright*Meeting_Social_Gathering_In_Person*Carrying_Bag_On_Shoulder/Back_Light|Holding_Drink|Located_Outdoors</t>
  </si>
  <si>
    <t>Standing_With_Movement*In_Position_Upright*Dancing*Holding_Other_Object_Light|Located_Indoors</t>
  </si>
  <si>
    <t>Standing_With_Movement*In_Position_Upright*Doing_Common_Housework|In_Transit_Active*Holding_Other_Object_Heavy|Located_Indoors</t>
  </si>
  <si>
    <t>Standing_With_Movement*In_Position_Upright*Using_Computer/Screen*Holding_Drink|Located_Indoors</t>
  </si>
  <si>
    <t>Standing_With_Movement*In_Position_Upright*In_Transit_Active*Holding_Book/Reader|In_Conversation|Located_Indoors</t>
  </si>
  <si>
    <t>Walking_Up_Stairs*In_Position_Upright*In_Transit_Active*Holding_Drink|Holding_Other_Object_Light</t>
  </si>
  <si>
    <t>Walking*In_Position_Upright*Meeting_Social_Gathering_In_Person|Shopping_Non-Grocery*Carrying_Grocery_Bags_Light|Holding_Other_Object_Light|Located_Indoors</t>
  </si>
  <si>
    <t>Walking*In_Position_Upright*In_Transit_Passive_Train/Bus/Plane*Holding_Bag/Briefcase_Hand_Light|Holding_Other_Object_Light|Located_Outdoors</t>
  </si>
  <si>
    <t>Walking_Slow*In_Position_Upright*Doing_Common_Housework_Light*Holding_Other_Object_Light|Located_Indoors</t>
  </si>
  <si>
    <t>Standing_With_Movement*In_Position_Upright*Cooking/Prepping_Food|In_Transit_Active*Located_Indoors</t>
  </si>
  <si>
    <t>Walking_Slow*In_Position_Upright*Watching_TV/Movies*CONTEXTUAL_PARAMETERS_Unlabeled</t>
  </si>
  <si>
    <t>Walking_Up_Stairs*In_Position_Upright*In_Transit_Active*Located_Outdoors|On_Video_Call/FaceTime</t>
  </si>
  <si>
    <t>Standing_With_Movement*In_Position_Upright*Cooking/Prepping_Food|Packing/Unpacking_Something*Located_Indoors</t>
  </si>
  <si>
    <t>Kneeling_With_Movement*In_Position_Kneeling*HLB_Other*Holding_Other_Object_Light|Located_Indoors</t>
  </si>
  <si>
    <t>Standing_With_Movement*Posture_Video_Unavailable/Indecipherable*Walking_Pet*Holding_Other_Object_Light|Located_Outdoors</t>
  </si>
  <si>
    <t>Walking_Down_Stairs*In_Position_Upright*Cleaning|Doing_Common_Housework*Located_Indoors</t>
  </si>
  <si>
    <t>Washing_Hands*In_Position_Upright*Cooking/Prepping_Food|Meeting_Social_Gathering_In_Person*Located_Indoors</t>
  </si>
  <si>
    <t>Sitting_With_Movement*In_Position_Sitting*Using_Computer/Screen*Holding_Drink|Holding_Other_Object_Light|Located_Indoors</t>
  </si>
  <si>
    <t>Standing_With_Movement*In_Position_Upright*In_Transit_Active*Carrying_Grocery_Bags_Light|Holding_Other_Object_Light|Located_Indoors</t>
  </si>
  <si>
    <t>Sitting_With_Movement*In_Position_Sitting*Eating/Dining|Meeting_Social_Gathering_In_Person|Using_Computer/Screen*Holding_Other_Object_Light|In_Conversation|Located_Indoors</t>
  </si>
  <si>
    <t>Walking*In_Position_Upright*Doing_Dishes*Holding_Other_Object_Light|Located_Indoors</t>
  </si>
  <si>
    <t>Sitting_With_Movement*In_Position_Reclining/Slouching*Using_Computer/Screen*Holding_Other_Object_Light|In_Conversation|Located_Indoors</t>
  </si>
  <si>
    <t>Walking_Slow*In_Position_Upright*In_Transit_Active*Holding_Drink|Located_Indoors</t>
  </si>
  <si>
    <t>Walking*In_Position_Upright*Loading/Unloading_Vehicle*Holding_Other_Object_Light|Located_Indoors</t>
  </si>
  <si>
    <t>Standing_With_Movement*In_Position_Upright*Eating/Dining*Holding_Drink|Located_Outdoors</t>
  </si>
  <si>
    <t>Standing_With_Movement*In_Position_Upright*Eating/Dining*Holding_Drink|In_Conversation|Located_Outdoors</t>
  </si>
  <si>
    <t>Sitting_With_Movement*In_Position_Sitting*In_Transit_Active|In_Transit_Passive_Car*Holding_Bag/Briefcase_Hand_Light|Holding_Solid_Food|Located_Outdoors</t>
  </si>
  <si>
    <t>Standing_With_Movement*In_Position_Upright*In_Transit_Active*Holding_Bag/Briefcase_Hand_Heavy|Located_Indoors</t>
  </si>
  <si>
    <t>Standing_With_Movement*In_Position_Upright*In_Transit_Active*Carrying_Bag_On_Shoulder/Back_Light|Holding_Solid_Food|Located_Outdoors|Texting/Browsing_Phone</t>
  </si>
  <si>
    <t>Kneeling_With_Movement*In_Position_Kneeling*Meeting_Social_Gathering_In_Person*CP_Other|Holding_Other_Object_Light|In_Conversation|Located_Indoors</t>
  </si>
  <si>
    <t>Walking*In_Position_Upright*Eating/Dining*Holding_Other_Object_Light|Holding_Solid_Food|In_Conversation|Located_Indoors</t>
  </si>
  <si>
    <t>Walking*In_Position_Upright*HLB_Other|In_Transit_Active|Packing/Unpacking_Something*Holding_Bag/Briefcase_Hand_Light|Located_Indoors</t>
  </si>
  <si>
    <t>Walking*In_Position_Upright*Cooking/Prepping_Food|In_Transit_Active*Located_Indoors|Texting/Browsing_Phone</t>
  </si>
  <si>
    <t>Standing_With_Movement*In_Position_Upright*In_Transit_Active*Located_Indoors|On_Video_Call/FaceTime</t>
  </si>
  <si>
    <t>Standing_With_Movement*In_Position_Upright*In_Transit_Passive_Train/Bus/Plane*Holding_Bag/Briefcase_Hand_Light|Holding_Other_Object_Light|Located_Outdoors</t>
  </si>
  <si>
    <t>Walking*In_Position_Upright*Grooming/Self_Care|Meeting_Social_Gathering_In_Person*Holding_Other_Object_Light|In_Conversation|Located_Indoors</t>
  </si>
  <si>
    <t>Walking*In_Position_Upright*In_Transit_Passive_Train/Bus/Plane*Located_Indoors</t>
  </si>
  <si>
    <t>Walking_Down_Stairs*In_Position_Upright*HIGH_LEVEL_BEHAVIOR_Unlabeled*Holding_Other_Object_Light|Located_Outdoors|On_Video_Call/FaceTime</t>
  </si>
  <si>
    <t>Walking*In_Position_Upright*HIGH_LEVEL_BEHAVIOR_Unlabeled*Holding_Other_Object_Light|Located_Outdoors|On_Video_Call/FaceTime</t>
  </si>
  <si>
    <t>Standing_With_Movement*In_Position_Upright*In_Transit_Active*Carrying_Bag_On_Shoulder/Back_Light|Located_Outdoors|On_Phone_Call|Texting/Browsing_Phone</t>
  </si>
  <si>
    <t>Walking*In_Position_Upright*In_Transit_Active|Meeting_Social_Gathering_In_Person*Carrying_Bag_On_Shoulder/Back_Light|Holding_Drink|Located_Indoors</t>
  </si>
  <si>
    <t>Walking_Down_Stairs*In_Position_Upright*Doing_Common_Housework|In_Transit_Active*Holding_Other_Object_Heavy|Located_Outdoors</t>
  </si>
  <si>
    <t>Walking_Up_Stairs*In_Position_Upright*In_Transit_Active*Holding_Drink|Located_Outdoors</t>
  </si>
  <si>
    <t>Standing_With_Movement*In_Position_Upright*Meeting_Social_Gathering_In_Person*Handwriting|Located_Indoors</t>
  </si>
  <si>
    <t>Walking_Up_Stairs*In_Position_Upright*In_Transit_Active|Meeting_Social_Gathering_In_Person*Carrying_Bag_On_Shoulder/Back_Light|Holding_Drink|In_Conversation|Located_Outdoors</t>
  </si>
  <si>
    <t>Standing_With_Movement*In_Position_Upright*Packing/Unpacking_Something*Holding_Solid_Food|Located_Indoors</t>
  </si>
  <si>
    <t>Puttering_Around*In_Position_Upright*Shopping_Non-Grocery*Carrying_Grocery_Bags_Light|Located_Indoors</t>
  </si>
  <si>
    <t>Kneeling_With_Movement*In_Position_Kneeling*Doing_Laundry*Located_Indoors</t>
  </si>
  <si>
    <t>Standing_With_Movement*In_Position_Upright*In_Transit_Active*Holding_Drink|Located_Outdoors</t>
  </si>
  <si>
    <t>Walking*In_Position_Upright*Packing/Unpacking_Something*Holding_Bag/Briefcase_Hand_Light|Located_Indoors</t>
  </si>
  <si>
    <t>Standing_Still*In_Position_Upright*HIGH_LEVEL_BEHAVIOR_Unlabeled*Located_Indoors|On_Phone_Call|Texting/Browsing_Phone</t>
  </si>
  <si>
    <t>Standing_With_Movement*In_Position_Upright*HLB_Other|Watching_TV/Movies*Holding_Other_Object_Light|Located_Indoors|Texting/Browsing_Phone</t>
  </si>
  <si>
    <t>Standing_With_Movement*Posture_Other*Doing_Common_Housework_Light*Holding_Other_Object_Light|Located_Indoors</t>
  </si>
  <si>
    <t>Walking_Up_Stairs*In_Position_Upright*Walking_Pet*Holding_Other_Object_Light|Located_Outdoors</t>
  </si>
  <si>
    <t>Puttering_Around*In_Position_Upright*Loading/Unloading_Vehicle*Carrying_Grocery_Bags_Light|Located_Indoors</t>
  </si>
  <si>
    <t>Walking_Slow*In_Position_Upright*In_Transit_Active*Carrying_Grocery_Bags_Light|Located_Outdoors</t>
  </si>
  <si>
    <t>Puttering_Around*In_Position_Upright*In_Transit_Active*Carrying_Bag_On_Shoulder/Back_Light|In_Conversation|Located_Indoors</t>
  </si>
  <si>
    <t>Doing_Resistance_Training_Other*In_Position_Sitting*Doing_Resistance_Training|Exercising_Gym_Other*Located_Indoors</t>
  </si>
  <si>
    <t>Sitting_With_Movement*In_Position_Sitting*Playing_Videogame*Holding_Drink|Legs_Crossed|Located_Indoors|Texting/Browsing_Phone</t>
  </si>
  <si>
    <t>Sitting_With_Movement*In_Position_Sitting*Playing_Sports/Games*Holding_Other_Object_Light|Located_Indoors</t>
  </si>
  <si>
    <t>Sitting_With_Movement*In_Position_Sitting*Eating/Dining|Watching_TV/Movies*Holding_Other_Object_Light|Holding_Solid_Food|Legs_Uncrossed|Located_Indoors</t>
  </si>
  <si>
    <t>Walking*In_Position_Upright*Doing_Common_Housework_Light|In_Transit_Active*Holding_Other_Object_Light|Located_Indoors</t>
  </si>
  <si>
    <t>Puttering_Around*In_Position_Upright*Cooking/Prepping_Food|Doing_Common_Housework_Light|Meeting_Social_Gathering_In_Person*Holding_Other_Object_Light|Holding_Solid_Food|Located_Indoors</t>
  </si>
  <si>
    <t>Walking*In_Position_Upright*HIGH_LEVEL_BEHAVIOR_Unlabeled*Carrying_Bag_On_Shoulder/Back_Light|Holding_Other_Object_Light|In_Conversation|Located_Indoors|Texting/Browsing_Phone</t>
  </si>
  <si>
    <t>Puttering_Around*In_Position_Upright*Meeting_Social_Gathering_In_Person*Located_Outdoors|Texting/Browsing_Phone</t>
  </si>
  <si>
    <t>Standing_With_Movement*In_Position_Upright*HIGH_LEVEL_BEHAVIOR_Unlabeled*Carrying_Bag_On_Shoulder/Back_Light|Holding_Bag/Briefcase_Hand_Light|In_Conversation|Located_Indoors</t>
  </si>
  <si>
    <t>Walking*In_Position_Upright*Cooking/Prepping_Food|In_Transit_Active*In_Conversation|Located_Indoors</t>
  </si>
  <si>
    <t>Walking*In_Position_Upright*Eating/Dining*Holding_Other_Object_Light|In_Conversation|Located_Indoors</t>
  </si>
  <si>
    <t>Standing_With_Movement*In_Position_Upright*Relaxing_Passive*Carrying_Bag_On_Shoulder/Back_Light|Located_Outdoors</t>
  </si>
  <si>
    <t>Standing_With_Movement*In_Position_Upright*Eating/Dining*Carrying_Bag_On_Shoulder/Back_Heavy|Holding_Solid_Food|Located_Outdoors</t>
  </si>
  <si>
    <t>Standing_With_Movement*In_Position_Upright*Loading/Unloading_Vehicle*Carrying_Bag_On_Shoulder/Back_Light|Holding_Bag/Briefcase_Hand_Light|Located_Outdoors</t>
  </si>
  <si>
    <t>Standing_With_Movement*In_Position_Upright*Loading/Unloading_Vehicle*Carrying_Bag_On_Shoulder/Back_Light|Holding_Bag/Briefcase_Hand_Light|Located_Indoors</t>
  </si>
  <si>
    <t>Standing_With_Movement*In_Position_Upright*Eating/Dining|In_Transit_Active*Carrying_Bag_On_Shoulder/Back_Heavy|Holding_Bag/Briefcase_Hand_Light|Located_Indoors</t>
  </si>
  <si>
    <t>Standing_With_Movement*In_Position_Upright*In_Transit_Active|Meeting_Virtual*Holding_Other_Object_Light|In_Conversation|Located_Indoors|On_Video_Call/FaceTime</t>
  </si>
  <si>
    <t>Walking_Slow*In_Position_Upright*Playing_Sports/Games*Holding_Other_Object_Light|Located_Outdoors</t>
  </si>
  <si>
    <t>Standing_With_Movement*In_Position_Upright*HIGH_LEVEL_BEHAVIOR_Unlabeled*Carrying_Grocery_Bags_Light|Located_Indoors</t>
  </si>
  <si>
    <t>Standing_With_Movement*In_Position_Upright*Cooking/Prepping_Food|Eating/Dining*Holding_Solid_Food|In_Conversation|Located_Indoors</t>
  </si>
  <si>
    <t>Standing_With_Movement*In_Position_Upright*HIGH_LEVEL_BEHAVIOR_Unlabeled*Holding_Drink|In_Conversation|Located_Outdoors|Texting/Browsing_Phone</t>
  </si>
  <si>
    <t>Standing_With_Movement*In_Position_Upright*Meeting_Social_Gathering_In_Person|Using_Computer/Screen|Watching_TV/Movies*Browsing_Computer|In_Conversation|Located_Indoors</t>
  </si>
  <si>
    <t>Standing_With_Movement*In_Position_Upright*Meeting_Social_Gathering_In_Person|Riding_Elevator_Down*In_Conversation|Located_Indoors|Texting/Browsing_Phone</t>
  </si>
  <si>
    <t>Walking*In_Position_Upright*In_Transit_Active*Holding_Bag/Briefcase_Hand_Heavy|Holding_Drink|Located_Indoors</t>
  </si>
  <si>
    <t>Walking*In_Position_Upright*In_Transit_Active|Meeting_Social_Gathering_In_Person*Hand_In_Pocket|In_Conversation|Located_Indoors</t>
  </si>
  <si>
    <t>Lying_With_Movement*Lying_On_Right_Side*Using_Computer/Screen|Watching_TV/Movies*Holding_Other_Object_Light|Located_Indoors</t>
  </si>
  <si>
    <t>Lying_With_Movement*Lying_On_Stomach*Using_Computer/Screen*Holding_Other_Object_Light|Located_Indoors</t>
  </si>
  <si>
    <t>Puttering_Around*In_Position_Upright*In_Transit_Active|Meeting_Social_Gathering_In_Person*Carrying_Grocery_Bags_Light|In_Conversation|Located_Indoors</t>
  </si>
  <si>
    <t>Walking*In_Position_Upright*HIGH_LEVEL_BEHAVIOR_Unlabeled*Holding_Bag/Briefcase_Hand_Light|Holding_Other_Object_Light|Located_Indoors|Texting/Browsing_Phone</t>
  </si>
  <si>
    <t>Sitting_With_Movement*In_Position_Sitting*Eating/Dining|Relaxing_Passive*Holding_Drink|Located_Indoors|Texting/Browsing_Phone</t>
  </si>
  <si>
    <t>Walking*In_Position_Upright*In_Transit_Active|Meeting_Social_Gathering_In_Person*Holding_Bag/Briefcase_Hand_Light|In_Conversation|Located_Indoors</t>
  </si>
  <si>
    <t>Walking*In_Position_Upright*In_Transit_Passive_Train/Bus/Plane|Meeting_Social_Gathering_In_Person*Carrying_Bag_On_Shoulder/Back_Light</t>
  </si>
  <si>
    <t>Walking*In_Position_Upright*In_Transit_Passive_Train/Bus/Plane|Meeting_Social_Gathering_In_Person*Carrying_Bag_On_Shoulder/Back_Light|Located_Outdoors</t>
  </si>
  <si>
    <t>Walking_Up_Stairs*In_Position_Upright*HLB_Other|In_Transit_Active*Carrying_Bag_On_Shoulder/Back_Light|Located_Outdoors|Texting/Browsing_Phone</t>
  </si>
  <si>
    <t>Standing_With_Movement*In_Position_Upright*HIGH_LEVEL_BEHAVIOR_Unlabeled*Carrying_Bag_On_Shoulder/Back_Heavy|In_Conversation</t>
  </si>
  <si>
    <t>Puttering_Around*In_Position_Upright*Cooking/Prepping_Food|Eating/Dining|Meeting_Social_Gathering_In_Person*Holding_Drink|In_Conversation|Located_Indoors</t>
  </si>
  <si>
    <t>Puttering_Around*In_Position_Upright*Cooking/Prepping_Food|Eating/Dining|Meeting_Social_Gathering_In_Person*Holding_Drink|Holding_Other_Object_Light|In_Conversation|Located_Indoors</t>
  </si>
  <si>
    <t>Walking_Slow*In_Position_Upright*In_Transit_Passive_Car*Carrying_Bag_On_Shoulder/Back_Light|Located_Outdoors</t>
  </si>
  <si>
    <t>Walking*In_Position_Upright*Doing_Common_Housework_Light|In_Bathroom*Located_Indoors</t>
  </si>
  <si>
    <t>Walking*In_Position_Upright*Meeting_Social_Gathering_In_Person*Carrying_Grocery_Bags_Light|Holding_Drink|Holding_Other_Object_Light|In_Conversation|Located_Indoors</t>
  </si>
  <si>
    <t>Walking*In_Position_Upright*In_Transit_Active|Meeting_Social_Gathering_In_Person|Riding_Escalator_Up*Carrying_Bag_On_Shoulder/Back_Light|In_Conversation|Located_Indoors</t>
  </si>
  <si>
    <t>Sitting_With_Movement*In_Position_Sitting*HIGH_LEVEL_BEHAVIOR_Unlabeled*Handwriting|Holding_Drink|Located_Indoors</t>
  </si>
  <si>
    <t>Puttering_Around*In_Position_Upright*Shopping_Grocery*Holding_Other_Object_Light|Located_Outdoors</t>
  </si>
  <si>
    <t>Puttering_Around*In_Position_Upright*HIGH_LEVEL_BEHAVIOR_Unlabeled*Holding_Drink|Holding_Solid_Food|Located_Indoors</t>
  </si>
  <si>
    <t>Walking*In_Position_Upright*HLB_Other*Carrying_Bag_On_Shoulder/Back_Light|Holding_Book/Reader|Located_Indoors</t>
  </si>
  <si>
    <t>Walking*In_Position_Upright*Doing_Common_Housework|In_Transit_Active*Located_Indoors|Texting/Browsing_Phone</t>
  </si>
  <si>
    <t>Walking_Down_Stairs*In_Position_Upright*HIGH_LEVEL_BEHAVIOR_Unlabeled*Located_Outdoors|Texting/Browsing_Phone</t>
  </si>
  <si>
    <t>Walking*In_Position_Upright*Administering_Care_Child/Elder/Other_Adult|In_Transit_Active*Holding_Other_Object_Heavy|Holding_Other_Object_Light|Located_Indoors</t>
  </si>
  <si>
    <t>Standing_With_Movement*In_Position_Upright*In_Transit_Active*Browsing_Computer|Located_Indoors</t>
  </si>
  <si>
    <t>Walking*In_Position_Upright*In_Transit_Active|Watching_TV/Movies*In_Conversation|Located_Indoors</t>
  </si>
  <si>
    <t>Puttering_Around*In_Position_Upright*Cleaning|In_Transit_Active*Holding_Other_Object_Light|Located_Indoors</t>
  </si>
  <si>
    <t>Walking*In_Position_Upright*Cleaning|Doing_Common_Housework_Light*Holding_Drink|Located_Indoors</t>
  </si>
  <si>
    <t>Walking_Slow*In_Position_Upright*In_Transit_Passive_Train/Bus/Plane*Holding_Other_Object_Light|Located_Outdoors</t>
  </si>
  <si>
    <t>Walking*In_Position_Upright*Doing_Common_Housework|Eating/Dining*Holding_Other_Object_Light|Located_Indoors</t>
  </si>
  <si>
    <t>Standing_Still*In_Position_Upright*HIGH_LEVEL_BEHAVIOR_Unlabeled*CONTEXTUAL_PARAMETERS_Unlabeled</t>
  </si>
  <si>
    <t>Walking*In_Position_Upright*Doing_Laundry*CONTEXTUAL_PARAMETERS_Unlabeled</t>
  </si>
  <si>
    <t>Standing_With_Movement*In_Position_Upright*Doing_Common_Housework|Eating/Dining*Holding_Other_Object_Light|Located_Indoors</t>
  </si>
  <si>
    <t>Puttering_Around*In_Position_Upright*HIGH_LEVEL_BEHAVIOR_Unlabeled*Holding_Other_Object_Light|Located_Outdoors|On_Phone_Call</t>
  </si>
  <si>
    <t>Standing_Still*In_Position_Upright*In_Transit_Active*Carrying_Grocery_Bags_Light|Located_Indoors</t>
  </si>
  <si>
    <t>Walking*In_Position_Upright*Eating/Dining|In_Transit_Active|Meeting_Social_Gathering_In_Person*Holding_Other_Object_Light|Located_Indoors</t>
  </si>
  <si>
    <t>Sitting_With_Movement*In_Position_Reclining/Slouching*Eating/Dining|Using_Computer/Screen*Legs_Crossed|Located_Indoors</t>
  </si>
  <si>
    <t>Walking_Down_Stairs*In_Position_Upright*In_Transit_Active*Holding_Other_Object_Light|Located_Indoors|Texting/Browsing_Phone</t>
  </si>
  <si>
    <t>Standing_With_Movement*In_Position_Upright*Doing_Common_Housework_Light|Using_Computer/Screen*Located_Indoors|Texting/Browsing_Phone</t>
  </si>
  <si>
    <t>Puttering_Around*In_Position_Upright*HLB_Other*Holding_Book/Reader|Located_Indoors</t>
  </si>
  <si>
    <t>Standing_With_Movement*In_Position_Upright*Cleaning|HLB_Other*Holding_Other_Object_Light|Located_Indoors</t>
  </si>
  <si>
    <t>Puttering_Around*In_Position_Upright*Loading/Unloading_Vehicle*Carrying_Grocery_Bags_Light|Holding_Other_Object_Light|Located_Indoors</t>
  </si>
  <si>
    <t>Walking_Down_Stairs*In_Position_Upright*Doing_Common_Housework|Doing_Laundry*Located_Indoors</t>
  </si>
  <si>
    <t>Walking_Up_Stairs*In_Position_Upright*HIGH_LEVEL_BEHAVIOR_Unlabeled*In_Conversation|Located_Outdoors|Texting/Browsing_Phone</t>
  </si>
  <si>
    <t>Walking*In_Position_Upright*In_Transit_Active*Carrying_Grocery_Bags_Light|Holding_Other_Object_Light|Located_Indoors</t>
  </si>
  <si>
    <t>Sitting_With_Movement*In_Position_Sitting*Eating/Dining|Using_Computer/Screen*Holding_Drink|Holding_Other_Object_Light|Located_Indoors|Texting/Browsing_Phone</t>
  </si>
  <si>
    <t>Standing_With_Movement*In_Position_Upright*Cleaning|Doing_Common_Housework_Light*Holding_Other_Object_Light|Located_Indoors|Texting/Browsing_Phone</t>
  </si>
  <si>
    <t>Sitting_With_Movement*In_Position_Reclining/Slouching*HLB_Other*Holding_Other_Object_Light|Located_Indoors</t>
  </si>
  <si>
    <t>Sitting_With_Movement*In_Position_Sitting*Eating/Dining|Using_Computer/Screen*Browsing_Computer|Holding_Other_Object_Light|Legs_Crossed|Located_Indoors</t>
  </si>
  <si>
    <t>Walking*In_Position_Upright*Shopping_Grocery*Holding_Drink|Located_Indoors</t>
  </si>
  <si>
    <t>Walking*In_Position_Upright*HIGH_LEVEL_BEHAVIOR_Unlabeled*Carrying_Bag_On_Shoulder/Back_Light|Holding_Other_Object_Light|Located_Indoors|On_Video_Call/FaceTime</t>
  </si>
  <si>
    <t>Sitting_With_Movement*In_Position_Sitting*HIGH_LEVEL_BEHAVIOR_Unlabeled*Holding_Other_Object_Light|In_Conversation|Located_Outdoors|Texting/Browsing_Phone</t>
  </si>
  <si>
    <t>Kneeling_With_Movement*In_Position_Kneeling*Meeting_Social_Gathering_In_Person|Playing_Sports/Games*Located_Outdoors</t>
  </si>
  <si>
    <t>Walking*In_Position_Upright*Watching_TV/Movies*Holding_Other_Object_Light|In_Conversation|Located_Indoors</t>
  </si>
  <si>
    <t>Sitting_With_Movement*In_Position_Sitting*Using_Computer/Screen|Watching_TV/Movies*Holding_Drink|Holding_Other_Object_Light|Located_Indoors</t>
  </si>
  <si>
    <t>Standing_Still*In_Position_Upright*Meeting_Formal_Gathering_In_Person*In_Conversation|Located_Indoors</t>
  </si>
  <si>
    <t>Walking_Slow*In_Position_Upright*Meeting_Social_Gathering_In_Person*Carrying_Bag_On_Shoulder/Back_Light|Holding_Bag/Briefcase_Hand_Light|In_Conversation|Located_Outdoors</t>
  </si>
  <si>
    <t>Walking*In_Position_Upright*Meeting_Social_Gathering_In_Person*Carrying_Bag_On_Shoulder/Back_Light|Holding_Bag/Briefcase_Hand_Light|Located_Outdoors</t>
  </si>
  <si>
    <t>Washing_Hands*In_Position_Upright*HIGH_LEVEL_BEHAVIOR_Unlabeled*Carrying_Bag_On_Shoulder/Back_Light|Holding_Bag/Briefcase_Hand_Light|Located_Indoors</t>
  </si>
  <si>
    <t>Lying_With_Movement*Lying_On_Back*Relaxing_Passive*Holding_Other_Object_Light|Located_Indoors</t>
  </si>
  <si>
    <t>Standing_With_Movement*In_Position_Upright*Eating/Dining|Meeting_Social_Gathering_In_Person*Holding_Drink|Located_Indoors</t>
  </si>
  <si>
    <t>Walking*In_Position_Upright*Relaxing_Passive*Carrying_Bag_On_Shoulder/Back_Light|Holding_Other_Object_Light|Located_Outdoors</t>
  </si>
  <si>
    <t>Walking_Up_Stairs*In_Position_Upright*In_Transit_Active*Carrying_Bag_On_Shoulder/Back_Heavy|Located_Outdoors</t>
  </si>
  <si>
    <t>Walking*In_Position_Upright*In_Transit_Passive_Car*Located_Outdoors</t>
  </si>
  <si>
    <t>Sitting_With_Movement*In_Position_Reclining/Slouching*Meeting_Social_Gathering_In_Person|Watching_TV/Movies*Holding_Other_Object_Light|In_Conversation|Located_Indoors|Texting/Browsing_Phone</t>
  </si>
  <si>
    <t>Walking_Down_Stairs*In_Position_Upright*In_Transit_Active*Carrying_Bag_On_Shoulder/Back_Heavy|Holding_Bag/Briefcase_Hand_Light|Located_Outdoors|Texting/Browsing_Phone</t>
  </si>
  <si>
    <t>Sitting_With_Movement*In_Position_Sitting*Exercising_Gym_Other*Located_Indoors|Texting/Browsing_Phone</t>
  </si>
  <si>
    <t>Lying_With_Movement*Lying_On_Back*Relaxing_Passive*Holding_Other_Object_Light|Located_Indoors|On_Phone_Call</t>
  </si>
  <si>
    <t>Standing_With_Movement*In_Position_Upright*Playing_Sports/Games*Located_Outdoors|Texting/Browsing_Phone</t>
  </si>
  <si>
    <t>Kneeling_With_Movement*In_Position_Kneeling*Shopping_Grocery*Holding_Other_Object_Light|Located_Indoors</t>
  </si>
  <si>
    <t>Standing_With_Movement*In_Position_Upright*Riding_Elevator_Up*Holding_Drink|In_Conversation|Located_Indoors|Texting/Browsing_Phone</t>
  </si>
  <si>
    <t>Standing_With_Movement*In_Position_Upright*Meeting_Virtual*Located_Indoors|Texting/Browsing_Phone</t>
  </si>
  <si>
    <t>Kneeling_With_Movement*In_Position_Kneeling*Meeting_Social_Gathering_In_Person*Holding_Other_Object_Light|In_Conversation|Located_Indoors</t>
  </si>
  <si>
    <t>Walking_Slow*In_Position_Upright*Eating/Dining|Meeting_Social_Gathering_In_Person*Holding_Solid_Food|In_Conversation|Located_Indoors</t>
  </si>
  <si>
    <t>Lying_With_Movement*Lying_On_Back*Eating/Dining|Using_Computer/Screen|Watching_TV/Movies*Holding_Other_Object_Light|Holding_Solid_Food|Located_Indoors</t>
  </si>
  <si>
    <t>Washing_Hands*In_Position_Upright*In_Transit_Active*Holding_Other_Object_Light|Located_Indoors</t>
  </si>
  <si>
    <t>Sitting_With_Movement*In_Position_Sitting*Doing_Alternative_Exercise/Therapy/Stretching|Using_Computer/Screen*Located_Indoors</t>
  </si>
  <si>
    <t>Lying_With_Movement*Lying_On_Stomach*Relaxing_Passive*Holding_Other_Object_Light|Located_Indoors</t>
  </si>
  <si>
    <t>Standing_With_Movement*In_Position_Upright*In_Transit_Active|Riding_Escalator_Up*Located_Indoors|Texting/Browsing_Phone</t>
  </si>
  <si>
    <t>Sitting_With_Movement*In_Position_Sitting*Meeting_Social_Gathering_In_Person*Carrying_Bag_On_Shoulder/Back_Light|Holding_Solid_Food|In_Conversation|Located_Outdoors|Texting/Browsing_Phone</t>
  </si>
  <si>
    <t>Walking*In_Position_Upright*Shopping_Non-Grocery*Carrying_Bag_On_Shoulder/Back_Light|Holding_Drink|Located_Outdoors</t>
  </si>
  <si>
    <t>Walking*In_Position_Upright*Doing_Common_Housework|In_Transit_Active*Holding_Other_Object_Heavy|Located_Outdoors</t>
  </si>
  <si>
    <t>Walking_Slow*In_Position_Upright*In_Transit_Active*CP_Video_Unavailable/Indecipherable|Located_Indoors</t>
  </si>
  <si>
    <t>Standing_With_Movement*In_Position_Upright*HIGH_LEVEL_BEHAVIOR_Unlabeled*Carrying_Bag_On_Shoulder/Back_Heavy|Located_Indoors|Texting/Browsing_Phone</t>
  </si>
  <si>
    <t>Puttering_Around*In_Position_Upright*In_Transit_Active|Meeting_Virtual*Located_Indoors|On_Video_Call/FaceTime</t>
  </si>
  <si>
    <t>Walking_Up_Stairs*In_Position_Upright*Meeting_Social_Gathering_In_Person*Located_Indoors|Texting/Browsing_Phone</t>
  </si>
  <si>
    <t>Standing_With_Movement*In_Position_Upright*Meeting_Social_Gathering_In_Person*Carrying_Bag_On_Shoulder/Back_Light|Holding_Other_Object_Light|Located_Indoors</t>
  </si>
  <si>
    <t>Sitting_With_Movement*In_Position_Sitting*HIGH_LEVEL_BEHAVIOR_Unlabeled*Holding_Bag/Briefcase_Hand_Light|In_Conversation|Located_Indoors</t>
  </si>
  <si>
    <t>Kneeling_With_Movement*In_Position_Kneeling*Eating/Dining|Relaxing_Passive*Located_Indoors</t>
  </si>
  <si>
    <t>Sitting_With_Movement*In_Position_Reclining/Slouching*HIGH_LEVEL_BEHAVIOR_Unlabeled*Holding_Book/Reader|Holding_Drink|Located_Indoors</t>
  </si>
  <si>
    <t>Sitting_With_Movement*In_Position_Sitting*Using_Computer/Screen*Browsing_Computer|Holding_Drink|Legs_Crossed|Located_Indoors</t>
  </si>
  <si>
    <t>Walking_Down_Stairs*In_Position_Upright*HIGH_LEVEL_BEHAVIOR_Unlabeled*Holding_Drink|Holding_Other_Object_Light|Located_Outdoors</t>
  </si>
  <si>
    <t>Walking*In_Position_Upright*In_Transit_Active|Meeting_Social_Gathering_In_Person*Holding_Other_Object_Heavy|Holding_Other_Object_Light|In_Conversation|Located_Indoors|Significantly_Higher_Effort_Than_Normal</t>
  </si>
  <si>
    <t>Walking*In_Position_Upright*Cooking/Prepping_Food|In_Transit_Active*Holding_Drink|Holding_Other_Object_Light|Located_Indoors</t>
  </si>
  <si>
    <t>Standing_With_Movement*In_Position_Upright*Eating/Dining|In_Transit_Active*Holding_Drink|Located_Indoors</t>
  </si>
  <si>
    <t>Walking*In_Position_Upright*Dressing/Undressing|Watching_TV/Movies*Holding_Other_Object_Light|Located_Indoors</t>
  </si>
  <si>
    <t>Walking_Slow*In_Position_Upright*In_Bathroom*Located_Indoors</t>
  </si>
  <si>
    <t>Kneeling_With_Movement*In_Position_Kneeling*HIGH_LEVEL_BEHAVIOR_Unlabeled*Holding_Drink|Located_Indoors</t>
  </si>
  <si>
    <t>Walking_Slow*In_Position_Upright*In_Transit_Active*Carrying_Bag_On_Shoulder/Back_Light|Holding_Drink|Located_Indoors</t>
  </si>
  <si>
    <t>Puttering_Around*In_Position_Upright*Doing_Common_Housework*Located_Outdoors</t>
  </si>
  <si>
    <t>Walking*In_Position_Upright*In_Bathroom*Located_Indoors|Texting/Browsing_Phone</t>
  </si>
  <si>
    <t>Walking*In_Position_Upright*Packing/Unpacking_Something*Located_Indoors</t>
  </si>
  <si>
    <t>Walking_Down_Stairs*In_Position_Upright*Doing_Laundry*Located_Indoors</t>
  </si>
  <si>
    <t>Walking_Up_Stairs*In_Position_Upright*Doing_Common_Housework_Light|Doing_Laundry*Located_Indoors</t>
  </si>
  <si>
    <t>Standing_With_Movement*Posture_Other*HIGH_LEVEL_BEHAVIOR_Unlabeled*CP_Other|Located_Indoors</t>
  </si>
  <si>
    <t>Walking*In_Position_Upright*Cooking/Prepping_Food*Holding_Other_Object_Light|Located_Indoors|Texting/Browsing_Phone</t>
  </si>
  <si>
    <t>Standing_Still*In_Position_Upright*Cooking/Prepping_Food|Meeting_Social_Gathering_In_Person*In_Conversation|Located_Indoors</t>
  </si>
  <si>
    <t>Sitting_With_Movement*In_Position_Sitting*Meeting_Social_Gathering_In_Person|Using_Computer/Screen|Working_Other*In_Conversation|Located_Indoors|Typing_Computer</t>
  </si>
  <si>
    <t>Puttering_Around*In_Position_Upright*Dressing/Undressing|Meeting_Social_Gathering_In_Person*Carrying_Bag_On_Shoulder/Back_Light|Holding_Other_Object_Light|Located_Indoors</t>
  </si>
  <si>
    <t>Sitting_With_Movement*In_Position_Sitting*Meeting_Social_Gathering_In_Person|Using_Computer/Screen*Holding_Other_Object_Light|In_Conversation|Located_Indoors|Texting/Browsing_Phone</t>
  </si>
  <si>
    <t>Lying_With_Movement*Lying_On_Back*Meeting_Social_Gathering_In_Person*Located_Indoors|Texting/Browsing_Phone</t>
  </si>
  <si>
    <t>Standing_With_Movement*In_Position_Upright*Loading/Unloading_Vehicle*Carrying_Bag_On_Shoulder/Back_Light|In_Conversation|Located_Outdoors</t>
  </si>
  <si>
    <t>Walking_Fast*In_Position_Upright*Meeting_Social_Gathering_In_Person|Playing_Sports/Games*In_Conversation|Located_Outdoors</t>
  </si>
  <si>
    <t>Standing_With_Movement*In_Position_Upright*Riding_Elevator_Up*Holding_Bag/Briefcase_Hand_Light|Holding_Drink|Located_Indoors</t>
  </si>
  <si>
    <t>Walking*In_Position_Upright*Watching_TV/Movies*In_Conversation|Located_Indoors|Texting/Browsing_Phone</t>
  </si>
  <si>
    <t>Puttering_Around*In_Position_Upright*Meeting_Social_Gathering_In_Person|Playing_Sports/Games*Located_Indoors</t>
  </si>
  <si>
    <t>Walking_Down_Stairs*In_Position_Upright*In_Transit_Active*Carrying_Bag_On_Shoulder/Back_Heavy|Holding_Bag/Briefcase_Hand_Light|Located_Indoors</t>
  </si>
  <si>
    <t>Walking_Down_Stairs*In_Position_Upright*Meeting_Virtual*Located_Indoors|Texting/Browsing_Phone</t>
  </si>
  <si>
    <t>Walking*In_Position_Upright*Loading/Unloading_Vehicle*Carrying_Bag_On_Shoulder/Back_Light|Holding_Other_Object_Light|Located_Indoors</t>
  </si>
  <si>
    <t>Walking*In_Position_Upright*Loading/Unloading_Vehicle*Located_Indoors</t>
  </si>
  <si>
    <t>Walking*In_Position_Upright*HLB_Other|In_Transit_Active|Meeting_Virtual*Located_Indoors|On_Video_Call/FaceTime</t>
  </si>
  <si>
    <t>Walking*In_Position_Upright*In_Transit_Active|Riding_Elevator_Down*Located_Indoors</t>
  </si>
  <si>
    <t>Puttering_Around*In_Position_Upright*In_Transit_Active*Carrying_Bag_On_Shoulder/Back_Light|Holding_Other_Object_Light|Holding_Solid_Food|Located_Indoors</t>
  </si>
  <si>
    <t>Standing_With_Movement*In_Position_Upright*In_Transit_Active*Carrying_Bag_On_Shoulder/Back_Light|Holding_Solid_Food|Located_Outdoors</t>
  </si>
  <si>
    <t>Standing_With_Movement*In_Position_Upright*Playing_Sports/Games*Located_Outdoors|Significantly_Higher_Effort_Than_Normal</t>
  </si>
  <si>
    <t>Walking*In_Position_Upright*HLB_Other*Holding_Drink|Located_Indoors</t>
  </si>
  <si>
    <t>Walking_Down_Stairs*In_Position_Upright*HIGH_LEVEL_BEHAVIOR_Unlabeled*Carrying_Bag_On_Shoulder/Back_Light|In_Conversation|Located_Outdoors</t>
  </si>
  <si>
    <t>Walking_Down_Stairs*In_Position_Upright*In_Transit_Active*Carrying_Bag_On_Shoulder/Back_Light|In_Conversation|Located_Outdoors|Texting/Browsing_Phone</t>
  </si>
  <si>
    <t>Standing_With_Movement*In_Position_Upright*Doing_Common_Housework*Carrying_Bag_On_Shoulder/Back_Light|Holding_Other_Object_Light|Located_Indoors</t>
  </si>
  <si>
    <t>Walking*In_Position_Upright*Cooking/Prepping_Food|In_Transit_Active|Meeting_Social_Gathering_In_Person*Holding_Other_Object_Light|In_Conversation|Located_Indoors</t>
  </si>
  <si>
    <t>Puttering_Around*In_Position_Upright*Meeting_Social_Gathering_In_Person|Packing/Unpacking_Something*In_Conversation|Located_Indoors</t>
  </si>
  <si>
    <t>Standing_With_Movement*In_Position_Upright*In_Transit_Active|Meeting_Social_Gathering_In_Person*Holding_Other_Object_Light|Holding_Solid_Food|In_Conversation|Located_Indoors</t>
  </si>
  <si>
    <t>Walking*In_Position_Upright*HIGH_LEVEL_BEHAVIOR_Unlabeled*Located_Indoors|On_Phone_Call|Texting/Browsing_Phone</t>
  </si>
  <si>
    <t>Standing_With_Movement*In_Position_Upright*Doing_Common_Housework|Meeting_Social_Gathering_In_Person*Holding_Other_Object_Heavy|In_Conversation|Located_Indoors</t>
  </si>
  <si>
    <t>Walking*In_Position_Upright*Doing_Common_Housework|In_Transit_Active|Meeting_Social_Gathering_In_Person*Holding_Other_Object_Heavy|In_Conversation|Located_Indoors</t>
  </si>
  <si>
    <t>Sitting_With_Movement*In_Position_Sitting*Doing_Common_Housework_Light|Using_Computer/Screen|Watching_TV/Movies*Holding_Other_Object_Light|Located_Indoors</t>
  </si>
  <si>
    <t>Standing_With_Movement*In_Position_Upright*In_Transit_Active|Meeting_Social_Gathering_In_Person*Located_Outdoors|Texting/Browsing_Phone</t>
  </si>
  <si>
    <t>Sitting_With_Movement*In_Position_Sitting*In_Transit_Active*Located_Indoors|On_Phone_Call|Texting/Browsing_Phone</t>
  </si>
  <si>
    <t>Walking_Slow*In_Position_Upright*HIGH_LEVEL_BEHAVIOR_Unlabeled*Carrying_Bag_On_Shoulder/Back_Light|Located_Outdoors</t>
  </si>
  <si>
    <t>Sitting_With_Movement*In_Position_Sitting*Meeting_Social_Gathering_In_Person|Watching_TV/Movies*Browsing_Computer|Located_Indoors</t>
  </si>
  <si>
    <t>Standing_With_Movement*In_Position_Upright*Using_Computer/Screen*Handwriting|Located_Indoors|On_Video_Call/FaceTime</t>
  </si>
  <si>
    <t>Walking*In_Position_Upright*In_Bathroom*Carrying_Bag_On_Shoulder/Back_Light|Located_Indoors</t>
  </si>
  <si>
    <t>Walking*In_Position_Upright*Administering_Care_Child/Elder/Other_Adult|In_Transit_Active*Located_Indoors|Texting/Browsing_Phone</t>
  </si>
  <si>
    <t>Walking*In_Position_Upright*HIGH_LEVEL_BEHAVIOR_Unlabeled*Holding_Bag/Briefcase_Hand_Light|Holding_Other_Object_Light|Located_Outdoors</t>
  </si>
  <si>
    <t>Walking*In_Position_Upright*HIGH_LEVEL_BEHAVIOR_Unlabeled*Carrying_Bag_On_Shoulder/Back_Light|Carrying_Grocery_Bags_Light|Holding_Solid_Food|Located_Indoors</t>
  </si>
  <si>
    <t>Walking*In_Position_Upright*Watching_TV/Movies*CONTEXTUAL_PARAMETERS_Unlabeled</t>
  </si>
  <si>
    <t>Walking*In_Position_Upright*Eating/Dining*CONTEXTUAL_PARAMETERS_Unlabeled</t>
  </si>
  <si>
    <t>Standing_With_Movement*Posture_Other*Cleaning*Holding_Other_Object_Light|Located_Indoors</t>
  </si>
  <si>
    <t>Sitting_With_Movement*In_Position_Sitting*Dressing/Undressing*Located_Indoors|On_Phone_Call|Texting/Browsing_Phone</t>
  </si>
  <si>
    <t>Sitting_With_Movement*In_Position_Sitting*Meeting_Social_Gathering_In_Person|Playing_Sports/Games|Using_Computer/Screen*In_Conversation|Located_Indoors</t>
  </si>
  <si>
    <t>Puttering_Around*In_Position_Upright*In_Transit_Passive_Train/Bus/Plane*Carrying_Bag_On_Shoulder/Back_Light|Holding_Other_Object_Light</t>
  </si>
  <si>
    <t>Walking_Down_Stairs*In_Position_Upright*HIGH_LEVEL_BEHAVIOR_Unlabeled*In_Conversation|Located_Indoors|On_Video_Call/FaceTime</t>
  </si>
  <si>
    <t>Walking*In_Position_Upright*Bathing_Pet|Cooking/Prepping_Food*Holding_Other_Object_Light|Located_Indoors</t>
  </si>
  <si>
    <t>Walking*In_Position_Upright*HLB_Other*Holding_Other_Object_Light|Located_Indoors|Texting/Browsing_Phone</t>
  </si>
  <si>
    <t>Folding_Clothes*Posture_Too_Complex*Doing_Laundry*Holding_Other_Object_Light|Located_Indoors</t>
  </si>
  <si>
    <t>Walking_Up_Stairs*In_Position_Upright*Doing_Laundry*Located_Indoors</t>
  </si>
  <si>
    <t>Sitting_With_Movement*In_Position_Sitting*Meeting_Formal_Gathering_In_Person*Handwriting|Located_Indoors</t>
  </si>
  <si>
    <t>Walking_Up_Stairs*In_Position_Upright*In_Transit_Active*Carrying_Bag_On_Shoulder/Back_Light|Holding_Other_Object_Light|Located_Indoors|Texting/Browsing_Phone</t>
  </si>
  <si>
    <t>Standing_With_Movement*In_Position_Upright*In_Transit_Active|Riding_Elevator_Down*Carrying_Grocery_Bags_Light|Located_Indoors</t>
  </si>
  <si>
    <t>Standing_With_Movement*In_Position_Upright*Doing_Common_Housework_Light|Meeting_Social_Gathering_In_Person*Holding_Other_Object_Light|In_Conversation|Located_Indoors</t>
  </si>
  <si>
    <t>Sitting_With_Movement*In_Position_Sitting*Meeting_Social_Gathering_In_Person|Watching_TV/Movies*Holding_Drink|Legs_Crossed|Located_Indoors</t>
  </si>
  <si>
    <t>Puttering_Around*In_Position_Upright*Meeting_Social_Gathering_In_Person*In_Conversation|Located_Outdoors|Texting/Browsing_Phone</t>
  </si>
  <si>
    <t>Sitting_With_Movement*In_Position_Sitting*Meeting_Social_Gathering_In_Person|Playing_Sports/Games*CP_Too_Complex|In_Conversation|Located_Indoors</t>
  </si>
  <si>
    <t>Walking*In_Position_Upright*Meeting_Formal_Gathering_In_Person*In_Conversation|Located_Indoors</t>
  </si>
  <si>
    <t>Standing_With_Movement*In_Position_Upright*Cooking/Prepping_Food|Eating/Dining*In_Conversation|Located_Indoors</t>
  </si>
  <si>
    <t>Standing_With_Movement*In_Position_Upright*HIGH_LEVEL_BEHAVIOR_Unlabeled*Browsing_Computer|Located_Indoors</t>
  </si>
  <si>
    <t>Standing_With_Movement*In_Position_Upright*Relaxing_Passive*In_Conversation|Located_Outdoors</t>
  </si>
  <si>
    <t>Walking_Up_Stairs*In_Position_Upright*Meeting_Virtual*Located_Indoors|Texting/Browsing_Phone</t>
  </si>
  <si>
    <t>Walking_Up_Stairs*In_Position_Upright*In_Transit_Active*Carrying_Bag_On_Shoulder/Back_Light|In_Conversation|Located_Outdoors</t>
  </si>
  <si>
    <t>Sitting_With_Movement*In_Position_Sitting*Eating/Dining*Holding_Drink|Legs_Uncrossed|Located_Indoors</t>
  </si>
  <si>
    <t>Walking_Down_Stairs*In_Position_Upright*In_Transit_Active*Holding_Other_Object_Light|In_Conversation|Located_Indoors</t>
  </si>
  <si>
    <t>Lying_With_Movement*Lying_On_Left_Side*HIGH_LEVEL_BEHAVIOR_Unlabeled*Holding_Other_Object_Light|In_Conversation|Located_Indoors|Texting/Browsing_Phone</t>
  </si>
  <si>
    <t>Walking*In_Position_Upright*HLB_Other*Holding_Drink|In_Conversation|Located_Indoors</t>
  </si>
  <si>
    <t>Standing_With_Movement*In_Position_Upright*HLB_Other|Packing/Unpacking_Something*Holding_Other_Object_Light|In_Conversation|Located_Indoors</t>
  </si>
  <si>
    <t>Standing_With_Movement*In_Position_Upright*Doing_Common_Housework*Holding_Other_Object_Light|In_Conversation|Located_Indoors</t>
  </si>
  <si>
    <t>Walking_Up_Stairs*In_Position_Upright*In_Transit_Active|Meeting_Social_Gathering_In_Person*Holding_Drink|In_Conversation|Located_Outdoors</t>
  </si>
  <si>
    <t>Walking_Down_Stairs*In_Position_Upright*In_Transit_Active*Holding_Bag/Briefcase_Hand_Light|Located_Outdoors</t>
  </si>
  <si>
    <t>Walking*In_Position_Upright*In_Transit_Passive_Train/Bus/Plane*CONTEXTUAL_PARAMETERS_Unlabeled</t>
  </si>
  <si>
    <t>Walking_Down_Stairs*In_Position_Upright*Doing_Common_Housework|In_Transit_Active*Holding_Other_Object_Heavy|Located_Indoors</t>
  </si>
  <si>
    <t>Standing_With_Movement*In_Position_Upright*Cooking/Prepping_Food*Holding_Drink|Located_Indoors|On_Phone_Call</t>
  </si>
  <si>
    <t>Walking_Down_Stairs*In_Position_Upright*Meeting_Social_Gathering_In_Person*Located_Indoors|On_Video_Call/FaceTime</t>
  </si>
  <si>
    <t>Puttering_Around*In_Position_Upright*Meeting_Social_Gathering_In_Person*Located_Indoors|On_Video_Call/FaceTime</t>
  </si>
  <si>
    <t>Walking*In_Position_Upright*Doing_Home_Repair_Light|Meeting_Social_Gathering_In_Person*Holding_Other_Object_Light|In_Conversation|Located_Indoors</t>
  </si>
  <si>
    <t>Walking_Slow*In_Position_Upright*Meeting_Social_Gathering_In_Person*Carrying_Bag_On_Shoulder/Back_Light|Holding_Other_Object_Light|Located_Indoors</t>
  </si>
  <si>
    <t>Walking_Up_Stairs*In_Position_Upright*In_Transit_Active*Carrying_Bag_On_Shoulder/Back_Light|Carrying_Grocery_Bags_Light|Located_Indoors</t>
  </si>
  <si>
    <t>Walking*In_Position_Upright*Gardening*Holding_Other_Object_Light|Located_Indoors</t>
  </si>
  <si>
    <t>Puttering_Around*In_Position_Upright*In_Transit_Active|Meeting_Social_Gathering_In_Person|Riding_Elevator_Up*Carrying_Grocery_Bags_Light|Located_Indoors</t>
  </si>
  <si>
    <t>Walking*In_Position_Upright*Relaxing_Passive*Located_Indoors</t>
  </si>
  <si>
    <t>Kneeling_With_Movement*In_Position_Kneeling*HIGH_LEVEL_BEHAVIOR_Unlabeled*In_Conversation|Located_Outdoors</t>
  </si>
  <si>
    <t>Walking_Down_Stairs*In_Position_Upright*Cooking/Prepping_Food*Located_Indoors</t>
  </si>
  <si>
    <t>Walking_Up_Stairs*In_Position_Upright*Cooking/Prepping_Food*Located_Indoors</t>
  </si>
  <si>
    <t>Puttering_Around*In_Position_Upright*Loading/Unloading_Vehicle*Carrying_Bag_On_Shoulder/Back_Light|Located_Outdoors</t>
  </si>
  <si>
    <t>Walking*In_Position_Upright*In_Transit_Active|Using_Computer/Screen*Holding_Other_Object_Light|Located_Indoors|Texting/Browsing_Phone</t>
  </si>
  <si>
    <t>Standing_With_Movement*Posture_Other*HIGH_LEVEL_BEHAVIOR_Unlabeled*Located_Indoors|Texting/Browsing_Phone</t>
  </si>
  <si>
    <t>Puttering_Around*In_Position_Upright*Riding_Elevator_Up*Carrying_Bag_On_Shoulder/Back_Light|Located_Indoors</t>
  </si>
  <si>
    <t>Puttering_Around*In_Position_Upright*Doing_Common_Housework_Light*Located_Indoors|On_Phone_Call|Texting/Browsing_Phone</t>
  </si>
  <si>
    <t>Standing_With_Movement*In_Position_Upright*Doing_Common_Housework|Doing_Dishes*CONTEXTUAL_PARAMETERS_Unlabeled</t>
  </si>
  <si>
    <t>Walking_Up_Stairs*In_Position_Upright*Doing_Common_Housework*Holding_Other_Object_Light|Located_Indoors</t>
  </si>
  <si>
    <t>Walking*In_Position_Upright*In_Transit_Active*In_Conversation|Located_Outdoors|Texting/Browsing_Phone</t>
  </si>
  <si>
    <t>Kneeling_With_Movement*In_Position_Kneeling*Doing_Resistance_Training*Holding_Other_Object_Heavy|Located_Indoors</t>
  </si>
  <si>
    <t>Standing_With_Movement*In_Position_Upright*Meeting_Social_Gathering_In_Person|Packing/Unpacking_Something*Carrying_Bag_On_Shoulder/Back_Light|Holding_Drink|Located_Indoors</t>
  </si>
  <si>
    <t>Walking*In_Position_Upright*HLB_Other*Holding_Drink|Holding_Other_Object_Light|Located_Indoors</t>
  </si>
  <si>
    <t>Walking*In_Position_Upright*HLB_Other*CP_Other|Located_Indoors</t>
  </si>
  <si>
    <t>Walking_Slow*In_Position_Upright*Meeting_Virtual|Using_Computer/Screen*Browsing_Computer|Located_Indoors</t>
  </si>
  <si>
    <t>Puttering_Around*In_Position_Upright*HLB_Other*Holding_Drink|Located_Indoors|Texting/Browsing_Phone</t>
  </si>
  <si>
    <t>Walking_Up_Stairs*In_Position_Upright*Doing_Common_Housework_Light*Holding_Other_Object_Light|Located_Indoors</t>
  </si>
  <si>
    <t>Walking*In_Position_Upright*Meeting_Social_Gathering_In_Person*Holding_Other_Object_Light|Located_Indoors|Texting/Browsing_Phone</t>
  </si>
  <si>
    <t>Sitting_With_Movement*In_Position_Sitting*Meeting_Social_Gathering_In_Person|Watching_Lecture*CP_Video_Unavailable/Indecipherable|Holding_Other_Object_Light|Located_Indoors</t>
  </si>
  <si>
    <t>Sitting_With_Movement*In_Position_Sitting*Eating/Dining*Holding_Drink|In_Conversation|Legs_Crossed|Located_Indoors|Texting/Browsing_Phone</t>
  </si>
  <si>
    <t>Sitting_With_Movement*In_Position_Sitting*Eating/Dining|Watching_TV/Movies*Holding_Drink|Legs_Crossed|Located_Indoors|Texting/Browsing_Phone</t>
  </si>
  <si>
    <t>Standing_With_Movement*In_Position_Upright*In_Transit_Active|Meeting_Social_Gathering_In_Person*Carrying_Grocery_Bags_Light|In_Conversation|Located_Indoors</t>
  </si>
  <si>
    <t>Sitting_With_Movement*In_Position_Reclining/Slouching*Using_Computer/Screen|Watching_TV/Movies*Legs_Crossed|Located_Indoors|Texting/Browsing_Phone</t>
  </si>
  <si>
    <t>Standing_With_Movement*In_Position_Upright*In_Transit_Active*In_Conversation|Located_Indoors|On_Phone_Call</t>
  </si>
  <si>
    <t>Puttering_Around*In_Position_Upright*In_Transit_Active|Riding_Elevator_Up*Holding_Other_Object_Light|Located_Indoors</t>
  </si>
  <si>
    <t>Sitting_With_Movement*In_Position_Sitting*Working_Other*Holding_Drink|Located_Indoors</t>
  </si>
  <si>
    <t>Standing_With_Movement*In_Position_Upright*HIGH_LEVEL_BEHAVIOR_Unlabeled*Holding_Bag/Briefcase_Hand_Light|In_Conversation|Located_Outdoors</t>
  </si>
  <si>
    <t>Standing_With_Movement*In_Position_Upright*In_Transit_Driving_Car*CONTEXTUAL_PARAMETERS_Unlabeled</t>
  </si>
  <si>
    <t>Sitting_With_Movement*In_Position_Sitting*Doing_Common_Housework_Light|Eating/Dining*Holding_Other_Object_Light|Located_Indoors</t>
  </si>
  <si>
    <t>Standing_With_Movement*In_Position_Upright*Doing_Common_Housework_Light|Eating/Dining*Holding_Drink|Holding_Other_Object_Light|Located_Indoors</t>
  </si>
  <si>
    <t>Standing_With_Movement*In_Position_Upright*Packing/Unpacking_Something*Carrying_Bag_On_Shoulder/Back_Light|Holding_Other_Object_Light|In_Conversation|Located_Indoors</t>
  </si>
  <si>
    <t>Sitting_With_Movement*In_Position_Sitting*In_Transit_Passive_Car|Packing/Unpacking_Something*Located_Outdoors</t>
  </si>
  <si>
    <t>Walking_Slow*In_Position_Upright*Meeting_Social_Gathering_In_Person*Holding_Drink|In_Conversation|Located_Outdoors</t>
  </si>
  <si>
    <t>Sitting_With_Movement*In_Position_Sitting*Eating/Dining*Holding_Drink|In_Conversation|Located_Outdoors|Texting/Browsing_Phone</t>
  </si>
  <si>
    <t>Walking*In_Position_Upright*HIGH_LEVEL_BEHAVIOR_Unlabeled*Carrying_Bag_On_Shoulder/Back_Heavy|Holding_Other_Object_Light|Located_Indoors</t>
  </si>
  <si>
    <t>Walking_Up_Stairs*In_Position_Upright*In_Transit_Active|Riding_Escalator_Up*Carrying_Bag_On_Shoulder/Back_Heavy|Carrying_Grocery_Bags_Light|Located_Outdoors</t>
  </si>
  <si>
    <t>Standing_With_Movement*In_Position_Upright*In_Transit_Active*Carrying_Bag_On_Shoulder/Back_Heavy|Carrying_Grocery_Bags_Light|Located_Indoors</t>
  </si>
  <si>
    <t>Walking_Slow*In_Position_Upright*HIGH_LEVEL_BEHAVIOR_Unlabeled*Holding_Other_Object_Light|Located_Indoors|Texting/Browsing_Phone</t>
  </si>
  <si>
    <t>Walking_Up_Stairs*In_Position_Upright*In_Transit_Active*Holding_Solid_Food|Located_Indoors</t>
  </si>
  <si>
    <t>Walking_Up_Stairs*In_Position_Upright*In_Transit_Active*Carrying_Grocery_Bags_Light|Located_Indoors</t>
  </si>
  <si>
    <t>Lying_With_Movement*Lying_On_Back*HIGH_LEVEL_BEHAVIOR_Unlabeled*Holding_Other_Object_Light|In_Conversation|Located_Indoors</t>
  </si>
  <si>
    <t>Standing_With_Movement*In_Position_Upright*In_Transit_Active*Holding_Other_Object_Heavy|Located_Indoors|Texting/Browsing_Phone</t>
  </si>
  <si>
    <t>Puttering_Around*In_Position_Upright*In_Transit_Active*Holding_Other_Object_Light|Holding_Solid_Food|Located_Indoors</t>
  </si>
  <si>
    <t>Walking*In_Position_Upright*Eating/Dining|In_Transit_Active|Meeting_Social_Gathering_In_Person*Holding_Other_Object_Light|Holding_Solid_Food|In_Conversation|Located_Indoors</t>
  </si>
  <si>
    <t>Standing_With_Movement*In_Position_Upright*Doing_Dishes|Meeting_Social_Gathering_In_Person*Holding_Solid_Food|In_Conversation|Located_Indoors</t>
  </si>
  <si>
    <t>Washing_Hands*In_Position_Upright*Grooming/Self_Care*Holding_Other_Object_Light|In_Conversation|Located_Indoors</t>
  </si>
  <si>
    <t>Walking*In_Position_Upright*Meeting_Social_Gathering_In_Person*Holding_Bag/Briefcase_Hand_Light|Holding_Drink|In_Conversation|Located_Indoors</t>
  </si>
  <si>
    <t>Sitting_With_Movement*In_Position_Reclining/Slouching*HIGH_LEVEL_BEHAVIOR_Unlabeled*Holding_Other_Object_Light|Located_Indoors|On_Video_Call/FaceTime</t>
  </si>
  <si>
    <t>Sitting_With_Movement*In_Position_Sitting*In_Transit_Active|Meeting_Social_Gathering_In_Person*Holding_Other_Object_Light|Located_Indoors</t>
  </si>
  <si>
    <t>Walking_Up_Stairs*In_Position_Upright*HLB_Other*Carrying_Bag_On_Shoulder/Back_Light|Located_Outdoors</t>
  </si>
  <si>
    <t>Walking_Down_Stairs*In_Position_Upright*In_Transit_Active|Meeting_Social_Gathering_In_Person*Holding_Other_Object_Light|In_Conversation|Located_Indoors</t>
  </si>
  <si>
    <t>Walking_Fast*In_Position_Upright*In_Transit_Active*Located_Indoors|Significantly_Higher_Effort_Than_Normal</t>
  </si>
  <si>
    <t>Puttering_Around*In_Position_Upright*Doing_Common_Housework_Light|Eating/Dining|Meeting_Social_Gathering_In_Person*Holding_Drink|Holding_Other_Object_Light</t>
  </si>
  <si>
    <t>Kneeling_With_Movement*In_Position_Kneeling*Cooking/Prepping_Food|Doing_Common_Housework*In_Conversation|Located_Indoors</t>
  </si>
  <si>
    <t>Walking*In_Position_Upright*Meeting_Social_Gathering_In_Person*Carrying_Bag_On_Shoulder/Back_Light|In_Conversation|Located_Indoors</t>
  </si>
  <si>
    <t>Walking*In_Position_Upright*Cleaning|In_Transit_Active*Holding_Solid_Food|Located_Indoors</t>
  </si>
  <si>
    <t>Sitting_With_Movement*In_Position_Sitting*Eating/Dining|Meeting_Social_Gathering_In_Person|Relaxing_Passive*Holding_Drink|Located_Indoors</t>
  </si>
  <si>
    <t>Puttering_Around*In_Position_Upright*In_Transit_Active*Carrying_Grocery_Bags_Heavy|Located_Outdoors</t>
  </si>
  <si>
    <t>Sitting_With_Movement*In_Position_Sitting*Relaxing_Passive|Using_Computer/Screen*Located_Indoors</t>
  </si>
  <si>
    <t>Walking_Down_Stairs*In_Position_Upright*Meeting_Virtual*Located_Indoors|On_Video_Call/FaceTime</t>
  </si>
  <si>
    <t>Walking*In_Position_Upright*Meeting_Virtual*Holding_Solid_Food|Located_Indoors|On_Video_Call/FaceTime</t>
  </si>
  <si>
    <t>Walking_Down_Stairs*In_Position_Upright*Meeting_Virtual*Located_Indoors|On_Video_Call/FaceTime|Texting/Browsing_Phone</t>
  </si>
  <si>
    <t>Puttering_Around*In_Position_Upright*Cooking/Prepping_Food|In_Transit_Active*Located_Indoors|Texting/Browsing_Phone</t>
  </si>
  <si>
    <t>Walking*In_Position_Upright*In_Bathroom*Holding_Other_Object_Light|Located_Indoors</t>
  </si>
  <si>
    <t>Sitting_With_Movement*In_Position_Sitting*Eating/Dining*Holding_Book/Reader|Holding_Solid_Food|Located_Indoors</t>
  </si>
  <si>
    <t>Walking*In_Position_Upright*Cleaning|In_Transit_Active*Holding_Drink|Located_Indoors</t>
  </si>
  <si>
    <t>Walking_Slow*In_Position_Upright*Doing_Common_Housework*Located_Indoors</t>
  </si>
  <si>
    <t>Walking_Down_Stairs*In_Position_Upright*HIGH_LEVEL_BEHAVIOR_Unlabeled*Holding_Other_Object_Light|Located_Outdoors</t>
  </si>
  <si>
    <t>Puttering_Around*In_Position_Upright*Meeting_Virtual|Using_Computer/Screen*Holding_Other_Object_Light|Located_Indoors</t>
  </si>
  <si>
    <t>Walking_Down_Stairs*In_Position_Upright*Doing_Common_Housework_Light*Holding_Other_Object_Light|Located_Indoors</t>
  </si>
  <si>
    <t>Puttering_Around*In_Position_Upright*Loading/Unloading_Vehicle*Carrying_Grocery_Bags_Light|Holding_Other_Object_Light|Located_Outdoors</t>
  </si>
  <si>
    <t>Puttering_Around*In_Position_Upright*Working_Other*Holding_Drink|Located_Indoors</t>
  </si>
  <si>
    <t>Standing_With_Movement*In_Position_Upright*Watching_Lecture*Carrying_Bag_On_Shoulder/Back_Light|Holding_Other_Object_Light|Located_Indoors</t>
  </si>
  <si>
    <t>Sitting_With_Movement*In_Position_Sitting*Meeting_Social_Gathering_In_Person|Packing/Unpacking_Something|Working_Other*In_Conversation|Located_Indoors</t>
  </si>
  <si>
    <t>Doing_Resistance_Training_Other*In_Position_Upright*Doing_Resistance_Training|Playing_Sports/Games*Holding_Other_Object_Light|Located_Indoors</t>
  </si>
  <si>
    <t>Standing_With_Movement*In_Position_Upright*Cleaning|Doing_Common_Housework|In_Transit_Active|Riding_Elevator_Down*In_Conversation|Located_Indoors</t>
  </si>
  <si>
    <t>Sitting_With_Movement*In_Position_Sitting*Eating/Dining|Watching_TV/Movies*Holding_Drink|Legs_Uncrossed|Located_Indoors</t>
  </si>
  <si>
    <t>Sitting_With_Movement*In_Position_Sitting*In_Transit_Passive_Car*Holding_Bag/Briefcase_Hand_Light|In_Conversation|Located_Outdoors</t>
  </si>
  <si>
    <t>Standing_Still*In_Position_Upright*Meeting_Social_Gathering_In_Person|Playing_Sports/Games*Located_Outdoors</t>
  </si>
  <si>
    <t>Puttering_Around*In_Position_Upright*Meeting_Social_Gathering_In_Person*Holding_Other_Object_Light|Located_Outdoors</t>
  </si>
  <si>
    <t>Sitting_With_Movement*In_Position_Sitting*HLB_Other*Holding_Other_Object_Light|In_Conversation|Located_Indoors</t>
  </si>
  <si>
    <t>Standing_With_Movement*In_Position_Upright*In_Transit_Active*Holding_Other_Object_Light|In_Conversation|Located_Indoors|On_Phone_Call</t>
  </si>
  <si>
    <t>Washing_Hands*In_Position_Upright*Cooking/Prepping_Food*Holding_Other_Object_Light|Located_Indoors</t>
  </si>
  <si>
    <t>Walking*In_Position_Upright*Cooking/Prepping_Food|Eating/Dining|In_Transit_Active*In_Conversation|Located_Indoors</t>
  </si>
  <si>
    <t>Walking*In_Position_Upright*Dressing/Undressing|In_Transit_Active*Located_Outdoors</t>
  </si>
  <si>
    <t>Sitting_With_Movement*In_Position_Sitting*Eating/Dining*Browsing_Computer|Handwriting|Holding_Drink|Located_Indoors</t>
  </si>
  <si>
    <t>Kneeling_With_Movement*In_Position_Kneeling*In_Transit_Active*In_Conversation|Located_Outdoors</t>
  </si>
  <si>
    <t>Walking*In_Position_Upright*Loading/Unloading_Vehicle*Carrying_Bag_On_Shoulder/Back_Light|Holding_Bag/Briefcase_Hand_Light|Located_Indoors</t>
  </si>
  <si>
    <t>Sitting_With_Movement*In_Position_Sitting*Using_Computer/Screen|Watching_Lecture*Browsing_Computer|Holding_Other_Object_Light|Located_Indoors</t>
  </si>
  <si>
    <t>Sitting_With_Movement*In_Position_Sitting*Packing/Unpacking_Something*Holding_Drink|Located_Indoors</t>
  </si>
  <si>
    <t>Walking_Down_Stairs*In_Position_Upright*In_Transit_Active*Carrying_Bag_On_Shoulder/Back_Heavy|Located_Outdoors|Texting/Browsing_Phone</t>
  </si>
  <si>
    <t>Sitting_With_Movement*In_Position_Sitting*Using_Computer/Screen*Holding_Drink|Legs_Uncrossed|Located_Indoors</t>
  </si>
  <si>
    <t>Walking_Up_Stairs*In_Position_Upright*Eating/Dining|In_Transit_Active*Carrying_Bag_On_Shoulder/Back_Light|Holding_Solid_Food|Located_Outdoors</t>
  </si>
  <si>
    <t>Standing_With_Movement*In_Position_Upright*Eating/Dining|Watching_TV/Movies*Holding_Other_Object_Light|Holding_Solid_Food|Located_Indoors</t>
  </si>
  <si>
    <t>Sitting_With_Movement*In_Position_Sitting*HIGH_LEVEL_BEHAVIOR_Unlabeled*Holding_Drink|In_Conversation|Located_Outdoors|Texting/Browsing_Phone</t>
  </si>
  <si>
    <t>Standing_With_Movement*In_Position_Upright*Meeting_Virtual*Located_Indoors</t>
  </si>
  <si>
    <t>Standing_With_Movement*In_Position_Upright*Eating/Dining|Watching_TV/Movies*Holding_Drink|Located_Indoors|Texting/Browsing_Phone</t>
  </si>
  <si>
    <t>Standing_With_Movement*In_Position_Upright*Grooming/Self_Care|Watching_TV/Movies*Holding_Other_Object_Light|Located_Indoors</t>
  </si>
  <si>
    <t>Walking_Slow*In_Position_Upright*In_Transit_Active|Watching_TV/Movies*Holding_Other_Object_Light|Located_Indoors</t>
  </si>
  <si>
    <t>Sitting_With_Movement*In_Position_Sitting*Working_Other*Browsing_Computer|Holding_Other_Object_Light|Texting/Browsing_Phone</t>
  </si>
  <si>
    <t>Walking_Down_Stairs*In_Position_Upright*HIGH_LEVEL_BEHAVIOR_Unlabeled*Holding_Bag/Briefcase_Hand_Light|Holding_Other_Object_Light|Located_Indoors</t>
  </si>
  <si>
    <t>Walking_Slow*In_Position_Upright*In_Transit_Active|Using_Computer/Screen*Holding_Other_Object_Light|Located_Indoors|Typing_Computer</t>
  </si>
  <si>
    <t>Standing_With_Movement*In_Position_Upright*HIGH_LEVEL_BEHAVIOR_Unlabeled*Holding_Drink|Located_Indoors|On_Video_Call/FaceTime</t>
  </si>
  <si>
    <t>Puttering_Around*In_Position_Upright*Meeting_Social_Gathering_In_Person*Carrying_Bag_On_Shoulder/Back_Light|Located_Outdoors</t>
  </si>
  <si>
    <t>Walking*In_Position_Upright*In_Transit_Active*Carrying_Bag_On_Shoulder/Back_Light|Holding_Drink|Located_Outdoors|Texting/Browsing_Phone</t>
  </si>
  <si>
    <t>Puttering_Around*In_Position_Upright*Cooking/Prepping_Food|Meeting_Social_Gathering_In_Person*Holding_Drink|In_Conversation|Located_Indoors</t>
  </si>
  <si>
    <t>Puttering_Around*In_Position_Upright*Meeting_Social_Gathering_In_Person|Working_Other*In_Conversation|Located_Indoors|Texting/Browsing_Phone</t>
  </si>
  <si>
    <t>Sitting_With_Movement*In_Position_Sitting*HIGH_LEVEL_BEHAVIOR_Unlabeled*Holding_Drink|Legs_Crossed|Located_Indoors</t>
  </si>
  <si>
    <t>Walking_Down_Stairs*In_Position_Upright*In_Transit_Active*Holding_Drink|Located_Outdoors</t>
  </si>
  <si>
    <t>Sitting_With_Movement*In_Position_Reclining/Slouching*Eating/Dining|Meeting_Social_Gathering_In_Person|Relaxing_Passive|Watching_TV/Movies*Holding_Drink|Located_Indoors</t>
  </si>
  <si>
    <t>Puttering_Around*In_Position_Upright*Relaxing_Passive|Watching_TV/Movies*Located_Indoors|Texting/Browsing_Phone</t>
  </si>
  <si>
    <t>Sitting_With_Movement*In_Position_Sitting*Eating/Dining|Relaxing_Passive|Watching_TV/Movies*Browsing_Computer|Located_Indoors</t>
  </si>
  <si>
    <t>Standing_With_Movement*In_Position_Upright*HLB_Video_Unavailable/Indecipherable*CP_Video_Unavailable/Indecipherable|Carrying_Bag_On_Shoulder/Back_Light|Located_Indoors</t>
  </si>
  <si>
    <t>Organizing_Shelf/Cabinet*In_Position_Upright*In_Transit_Active*Holding_Other_Object_Light|Located_Indoors</t>
  </si>
  <si>
    <t>Walking*In_Position_Upright*In_Bathroom|In_Transit_Active|Meeting_Social_Gathering_In_Person*In_Conversation|Located_Indoors</t>
  </si>
  <si>
    <t>Puttering_Around*In_Position_Upright*Loading/Unloading_Vehicle*Carrying_Bag_On_Shoulder/Back_Light|Carrying_Grocery_Bags_Light|Located_Outdoors</t>
  </si>
  <si>
    <t>Walking_Up_Stairs*In_Position_Upright*HIGH_LEVEL_BEHAVIOR_Unlabeled*Holding_Other_Object_Light|In_Conversation|Located_Indoors</t>
  </si>
  <si>
    <t>Sitting_With_Movement*In_Position_Sitting*Loading/Unloading_Vehicle*Holding_Bag/Briefcase_Hand_Light|Located_Outdoors</t>
  </si>
  <si>
    <t>Walking*In_Position_Upright*Doing_Laundry|Watching_TV/Movies*Located_Indoors</t>
  </si>
  <si>
    <t>Walking_Slow*In_Position_Upright*Dressing/Undressing*Holding_Other_Object_Light|Located_Indoors</t>
  </si>
  <si>
    <t>Standing_Still*In_Position_Upright*In_Transit_Active|Meeting_Social_Gathering_In_Person*Holding_Other_Object_Light|Located_Indoors</t>
  </si>
  <si>
    <t>Walking*In_Position_Upright*Eating/Dining*Carrying_Bag_On_Shoulder/Back_Light|Holding_Solid_Food|Located_Outdoors</t>
  </si>
  <si>
    <t>Walking*In_Position_Upright*Cooking/Prepping_Food*Holding_Drink|Holding_Solid_Food|Located_Indoors</t>
  </si>
  <si>
    <t>Walking*In_Position_Upright*HIGH_LEVEL_BEHAVIOR_Unlabeled*CP_Video_Unavailable/Indecipherable</t>
  </si>
  <si>
    <t>Walking*In_Position_Upright*Meeting_Formal_Gathering_In_Person*Holding_Other_Object_Light|Located_Indoors</t>
  </si>
  <si>
    <t>Puttering_Around*In_Position_Upright*Meeting_Formal_Gathering_In_Person*Holding_Drink|Located_Indoors</t>
  </si>
  <si>
    <t>Standing_With_Movement*In_Position_Upright*Eating/Dining|Watching_TV/Movies*CONTEXTUAL_PARAMETERS_Unlabeled</t>
  </si>
  <si>
    <t>Walking*In_Position_Upright*Dressing/Undressing*Holding_Bag/Briefcase_Hand_Light|Located_Indoors</t>
  </si>
  <si>
    <t>Walking_Slow*In_Position_Upright*HIGH_LEVEL_BEHAVIOR_Unlabeled*Holding_Other_Object_Light|In_Conversation|Located_Indoors|On_Video_Call/FaceTime</t>
  </si>
  <si>
    <t>Walking_Down_Stairs*In_Position_Upright*Walking_Pet*Located_Outdoors</t>
  </si>
  <si>
    <t>Puttering_Around*In_Position_Upright*In_Transit_Active|Riding_Elevator_Down*Carrying_Bag_On_Shoulder/Back_Light|Holding_Other_Object_Light|Located_Indoors</t>
  </si>
  <si>
    <t>Doing_Resistance_Training_Other*In_Position_Upright*Doing_Resistance_Training*Holding_Other_Object_Light|Located_Indoors</t>
  </si>
  <si>
    <t>Sitting_With_Movement*In_Position_Sitting*Packing/Unpacking_Something|Working_Other*Holding_Other_Object_Light|Legs_Crossed|Located_Indoors</t>
  </si>
  <si>
    <t>Puttering_Around*In_Position_Upright*Playing_Exergame*Holding_Other_Object_Light|Located_Indoors</t>
  </si>
  <si>
    <t>Sitting_With_Movement*In_Position_Sitting*Eating/Dining|Using_Computer/Screen|Watching_TV/Movies*Legs_Crossed|Located_Indoors</t>
  </si>
  <si>
    <t>Standing_With_Movement*In_Position_Upright*Meeting_Social_Gathering_In_Person|Watching_TV/Movies*Holding_Drink|Located_Indoors</t>
  </si>
  <si>
    <t>Lying_With_Movement*Lying_On_Stomach*Exercising_Gym_Other*In_Conversation|Located_Indoors</t>
  </si>
  <si>
    <t>Standing_With_Movement*In_Position_Upright*Riding_Elevator_Down*Holding_Bag/Briefcase_Hand_Light|Holding_Other_Object_Light|Located_Indoors</t>
  </si>
  <si>
    <t>Standing_With_Movement*In_Position_Upright*In_Bathroom*Carrying_Bag_On_Shoulder/Back_Light|Holding_Other_Object_Light|Located_Indoors</t>
  </si>
  <si>
    <t>Walking_Down_Stairs*In_Position_Upright*HIGH_LEVEL_BEHAVIOR_Unlabeled*Carrying_Bag_On_Shoulder/Back_Light|Holding_Bag/Briefcase_Hand_Light|Holding_Other_Object_Light|Located_Indoors</t>
  </si>
  <si>
    <t>Sitting_With_Movement*In_Position_Sitting*HLB_Other*Holding_Solid_Food|Located_Indoors</t>
  </si>
  <si>
    <t>Walking_Slow*In_Position_Upright*Dressing/Undressing|In_Transit_Active*Holding_Other_Object_Light|Located_Indoors</t>
  </si>
  <si>
    <t>Standing_With_Movement*In_Position_Upright*HLB_Other*Holding_Drink|Holding_Other_Object_Light|Located_Indoors</t>
  </si>
  <si>
    <t>Standing_With_Movement*In_Position_Upright*In_Transit_Active*Carrying_Bag_On_Shoulder/Back_Heavy|Holding_Other_Object_Light|Located_Outdoors|Significantly_Higher_Effort_Than_Normal</t>
  </si>
  <si>
    <t>Walking*In_Position_Upright*Eating/Dining*Located_Outdoors</t>
  </si>
  <si>
    <t>Standing_With_Movement*In_Position_Upright*Eating/Dining|In_Transit_Active*Holding_Solid_Food|Located_Indoors</t>
  </si>
  <si>
    <t>Walking_Fast*In_Position_Upright*HIGH_LEVEL_BEHAVIOR_Unlabeled*Carrying_Bag_On_Shoulder/Back_Light|Located_Indoors</t>
  </si>
  <si>
    <t>Sitting_With_Movement*In_Position_Sitting*Doing_Alternative_Exercise/Therapy/Stretching|HLB_Other*Located_Indoors</t>
  </si>
  <si>
    <t>Standing_With_Movement*In_Position_Upright*Using_Computer/Screen|Watching_TV/Movies*Located_Indoors</t>
  </si>
  <si>
    <t>Walking*In_Position_Upright*Doing_Common_Housework_Light*Holding_Solid_Food|Located_Indoors</t>
  </si>
  <si>
    <t>Standing_With_Movement*In_Position_Upright*In_Transit_Active|Meeting_Virtual|Riding_Elevator_Up*Holding_Other_Object_Light|In_Conversation|Located_Indoors|On_Video_Call/FaceTime</t>
  </si>
  <si>
    <t>Walking_Down_Stairs*In_Position_Upright*In_Transit_Active*Carrying_Grocery_Bags_Light|Located_Outdoors</t>
  </si>
  <si>
    <t>Standing_With_Movement*In_Position_Upright*Cooking/Prepping_Food*In_Conversation|Located_Indoors|Texting/Browsing_Phone</t>
  </si>
  <si>
    <t>Standing_With_Movement*In_Position_Upright*Meeting_Social_Gathering_In_Person*Holding_Drink|In_Conversation|Located_Outdoors|Texting/Browsing_Phone</t>
  </si>
  <si>
    <t>Walking*In_Position_Upright*In_Transit_Active|Watching_TV/Movies*Holding_Drink|Located_Indoors|Texting/Browsing_Phone</t>
  </si>
  <si>
    <t>Walking*In_Position_Upright*HLB_Other*Located_Indoors|Texting/Browsing_Phone</t>
  </si>
  <si>
    <t>Walking*In_Position_Upright*HLB_Other|Meeting_Social_Gathering_In_Person*Holding_Solid_Food|Located_Indoors</t>
  </si>
  <si>
    <t>Walking_Slow*In_Position_Upright*HIGH_LEVEL_BEHAVIOR_Unlabeled*Carrying_Bag_On_Shoulder/Back_Light|Holding_Other_Object_Light|Located_Indoors|Texting/Browsing_Phone</t>
  </si>
  <si>
    <t>Lying_With_Movement*Lying_On_Back*Eating/Dining|Using_Computer/Screen*Holding_Other_Object_Light|Holding_Solid_Food|Located_Indoors|Texting/Browsing_Phone</t>
  </si>
  <si>
    <t>Walking*In_Position_Upright*Meeting_Social_Gathering_In_Person|Riding_Elevator_Up*In_Conversation|Located_Indoors</t>
  </si>
  <si>
    <t>Puttering_Around*In_Position_Upright*HLB_Video_Unavailable/Indecipherable*Holding_Drink|Located_Indoors</t>
  </si>
  <si>
    <t>Walking*In_Position_Upright*Relaxing_Passive*Holding_Other_Object_Light|Located_Outdoors|Texting/Browsing_Phone</t>
  </si>
  <si>
    <t>Walking_Down_Stairs*In_Position_Upright*In_Transit_Active*Carrying_Bag_On_Shoulder/Back_Light|Located_Indoors|On_Phone_Call</t>
  </si>
  <si>
    <t>Standing_With_Movement*In_Position_Upright*Eating/Dining|Meeting_Social_Gathering_In_Person*Holding_Drink|In_Conversation|Located_Indoors|Texting/Browsing_Phone</t>
  </si>
  <si>
    <t>Puttering_Around*In_Position_Upright*Doing_Common_Housework|Meeting_Social_Gathering_In_Person*Holding_Drink|In_Conversation|Located_Indoors</t>
  </si>
  <si>
    <t>Standing_With_Movement*In_Position_Upright*Eating/Dining|Meeting_Social_Gathering_In_Person*Holding_Other_Object_Light|Located_Indoors</t>
  </si>
  <si>
    <t>Standing_With_Movement*In_Position_Upright*Cooking/Prepping_Food*CP_Video_Unavailable/Indecipherable|Located_Indoors</t>
  </si>
  <si>
    <t>Puttering_Around*In_Position_Upright*HIGH_LEVEL_BEHAVIOR_Unlabeled*Carrying_Bag_On_Shoulder/Back_Heavy|Located_Outdoors|Texting/Browsing_Phone</t>
  </si>
  <si>
    <t>Walking_Down_Stairs*In_Position_Upright*HIGH_LEVEL_BEHAVIOR_Unlabeled*Carrying_Bag_On_Shoulder/Back_Heavy|Located_Outdoors</t>
  </si>
  <si>
    <t>Walking_Up_Stairs*In_Position_Upright*In_Transit_Active*Carrying_Bag_On_Shoulder/Back_Light|Holding_Other_Object_Light|On_Video_Call/FaceTime</t>
  </si>
  <si>
    <t>Walking*In_Position_Upright*In_Transit_Active|Working_Other*Holding_Other_Object_Light|Located_Indoors</t>
  </si>
  <si>
    <t>Walking*In_Position_Upright*Cleaning|Meeting_Social_Gathering_In_Person*Holding_Other_Object_Light|In_Conversation|Located_Indoors</t>
  </si>
  <si>
    <t>Kneeling_With_Movement*In_Position_Kneeling*Cleaning|Meeting_Social_Gathering_In_Person*Holding_Other_Object_Light|In_Conversation|Located_Indoors</t>
  </si>
  <si>
    <t>Standing_With_Movement*In_Position_Upright*Meeting_Social_Gathering_In_Person|Riding_Elevator_Up*Carrying_Bag_On_Shoulder/Back_Light|Holding_Other_Object_Light|Located_Indoors</t>
  </si>
  <si>
    <t>Walking_Down_Stairs*In_Position_Upright*In_Transit_Active*Located_Outdoors|On_Video_Call/FaceTime</t>
  </si>
  <si>
    <t>Puttering_Around*In_Position_Upright*In_Transit_Active|Relaxing_Passive*Holding_Drink|Located_Indoors|Texting/Browsing_Phone</t>
  </si>
  <si>
    <t>Washing_Hands*In_Position_Upright*Cooking/Prepping_Food|Doing_Common_Housework*Located_Indoors</t>
  </si>
  <si>
    <t>Walking*In_Position_Upright*Eating/Dining|Meeting_Social_Gathering_In_Person*Carrying_Grocery_Bags_Light|Holding_Bag/Briefcase_Hand_Light|Holding_Other_Object_Light|In_Conversation|Located_Indoors</t>
  </si>
  <si>
    <t>Standing_Still*In_Position_Upright*Riding_Escalator_Up*Holding_Bag/Briefcase_Hand_Light</t>
  </si>
  <si>
    <t>Puttering_Around*In_Position_Upright*HIGH_LEVEL_BEHAVIOR_Unlabeled*Carrying_Grocery_Bags_Light|Located_Outdoors</t>
  </si>
  <si>
    <t>Sitting_With_Movement*In_Position_Sitting*Eating/Dining|HLB_Other|Relaxing_Passive*Holding_Drink|Located_Indoors</t>
  </si>
  <si>
    <t>Sitting_With_Movement*In_Position_Sitting*Relaxing_Passive*Holding_Other_Object_Light</t>
  </si>
  <si>
    <t>Puttering_Around*In_Position_Upright*HLB_Other|Playing_With_Children_Light*Located_Indoors</t>
  </si>
  <si>
    <t>Puttering_Around*In_Position_Upright*Shopping_Grocery*Carrying_Grocery_Bags_Light|Located_Indoors</t>
  </si>
  <si>
    <t>Standing_With_Movement*In_Position_Upright*Loading/Unloading_Vehicle*Carrying_Bag_On_Shoulder/Back_Light|Holding_Other_Object_Light|In_Conversation|Located_Indoors</t>
  </si>
  <si>
    <t>Walking*In_Position_Upright*Meeting_Virtual*Holding_Solid_Food|Located_Indoors|On_Video_Call/FaceTime|Texting/Browsing_Phone</t>
  </si>
  <si>
    <t>Walking_Down_Stairs*In_Position_Upright*Doing_Laundry|In_Transit_Active*Located_Indoors|Texting/Browsing_Phone</t>
  </si>
  <si>
    <t>Walking*In_Position_Upright*In_Transit_Passive_Train/Bus/Plane*Holding_Other_Object_Light|Holding_Solid_Food|Located_Outdoors</t>
  </si>
  <si>
    <t>Walking*In_Position_Upright*In_Transit_Passive_Train/Bus/Plane*Carrying_Bag_On_Shoulder/Back_Light|Carrying_Grocery_Bags_Light|Located_Indoors</t>
  </si>
  <si>
    <t>Puttering_Around*In_Position_Upright*Doing_Common_Housework*Holding_Bag/Briefcase_Hand_Light|Located_Outdoors</t>
  </si>
  <si>
    <t>Puttering_Around*In_Position_Upright*Doing_Laundry*Holding_Other_Object_Light|Located_Indoors|Texting/Browsing_Phone</t>
  </si>
  <si>
    <t>Standing_With_Movement*In_Position_Upright*Doing_Common_Housework|Watching_TV/Movies*CONTEXTUAL_PARAMETERS_Unlabeled</t>
  </si>
  <si>
    <t>Standing_With_Movement*In_Position_Upright*Gardening*CONTEXTUAL_PARAMETERS_Unlabeled</t>
  </si>
  <si>
    <t>Puttering_Around*In_Position_Upright*Eating/Dining*Holding_Other_Object_Light|In_Conversation|Located_Indoors</t>
  </si>
  <si>
    <t>Walking_Down_Stairs*In_Position_Upright*In_Transit_Passive_Train/Bus/Plane*Holding_Other_Object_Light|Located_Outdoors</t>
  </si>
  <si>
    <t>Walking*In_Position_Upright*Riding_Escalator_Up*Carrying_Bag_On_Shoulder/Back_Light|Located_Indoors</t>
  </si>
  <si>
    <t>Standing_With_Movement*In_Position_Upright*In_Transit_Active|Riding_Escalator_Up*Holding_Other_Object_Light|Located_Indoors|Texting/Browsing_Phone</t>
  </si>
  <si>
    <t>Standing_With_Movement*In_Position_Upright*Cleaning|Doing_Common_Housework|In_Transit_Active|Riding_Elevator_Down*In_Conversation|Located_Indoors|Texting/Browsing_Phone</t>
  </si>
  <si>
    <t>Walking*In_Position_Upright*Cleaning|Doing_Common_Housework|In_Transit_Active*Holding_Other_Object_Light|In_Conversation|Located_Indoors</t>
  </si>
  <si>
    <t>Sitting_With_Movement*In_Position_Sitting*Eating/Dining|Meeting_Social_Gathering_In_Person|Using_Computer/Screen|Watching_TV/Movies*Holding_Drink|Located_Indoors</t>
  </si>
  <si>
    <t>Sitting_With_Movement*In_Position_Sitting*Eating/Dining|Using_Computer/Screen|Watching_TV/Movies*Holding_Drink|Legs_Crossed|Located_Indoors</t>
  </si>
  <si>
    <t>Sitting_Still*In_Position_Sitting*HIGH_LEVEL_BEHAVIOR_Unlabeled*Located_Indoors|On_Phone_Call</t>
  </si>
  <si>
    <t>Standing_With_Movement*In_Position_Upright*In_Transit_Active|Loading/Unloading_Vehicle*Holding_Other_Object_Light|Located_Outdoors</t>
  </si>
  <si>
    <t>Walking_Slow*In_Position_Upright*Meeting_Social_Gathering_In_Person*Carrying_Bag_On_Shoulder/Back_Light|Located_Outdoors</t>
  </si>
  <si>
    <t>Puttering_Around*In_Position_Upright*Doing_Common_Housework_Light*Holding_Other_Object_Light|In_Conversation|Located_Indoors</t>
  </si>
  <si>
    <t>Sitting_With_Movement*In_Position_Reclining/Slouching*Eating/Dining|Watching_TV/Movies*Holding_Drink|Holding_Solid_Food|Legs_Crossed|Located_Indoors</t>
  </si>
  <si>
    <t>Standing_With_Movement*In_Position_Upright*Cooking/Prepping_Food*Carrying_Bag_On_Shoulder/Back_Light|Holding_Solid_Food|Located_Indoors</t>
  </si>
  <si>
    <t>Standing_With_Movement*In_Position_Upright*HIGH_LEVEL_BEHAVIOR_Unlabeled*Carrying_Bag_On_Shoulder/Back_Light|Holding_Other_Object_Light|Holding_Solid_Food|Located_Indoors</t>
  </si>
  <si>
    <t>Standing_With_Movement*In_Position_Upright*In_Transit_Active|Meeting_Social_Gathering_In_Person|Riding_Elevator_Up*Holding_Other_Object_Light|In_Conversation|Located_Indoors</t>
  </si>
  <si>
    <t>Sitting_With_Movement*In_Position_Reclining/Slouching*Using_Computer/Screen*Holding_Solid_Food|Legs_Crossed|Located_Indoors</t>
  </si>
  <si>
    <t>Standing_With_Movement*In_Position_Upright*Cooking/Prepping_Food*Holding_Drink|In_Conversation|Located_Indoors</t>
  </si>
  <si>
    <t>Standing_With_Movement*In_Position_Upright*In_Transit_Active|Riding_Elevator_Up*Holding_Other_Object_Heavy|Located_Indoors</t>
  </si>
  <si>
    <t>Walking_Down_Stairs*In_Position_Upright*In_Transit_Active*Holding_Other_Object_Heavy|Located_Indoors</t>
  </si>
  <si>
    <t>Standing_With_Movement*In_Position_Upright*In_Transit_Active|Watching_TV/Movies*Holding_Other_Object_Light|Located_Indoors</t>
  </si>
  <si>
    <t>Lying_With_Movement*Lying_On_Back*HLB_Other*CP_Other|Located_Indoors</t>
  </si>
  <si>
    <t>Walking_Down_Stairs*In_Position_Upright*In_Transit_Active*Carrying_Bag_On_Shoulder/Back_Light|In_Conversation|Located_Indoors|Texting/Browsing_Phone</t>
  </si>
  <si>
    <t>Kneeling_With_Movement*In_Position_Kneeling*In_Transit_Active*Holding_Other_Object_Light|Located_Indoors</t>
  </si>
  <si>
    <t>Sitting_With_Movement*In_Position_Sitting*Eating/Dining|Meeting_Social_Gathering_In_Person*Holding_Drink|Holding_Solid_Food|In_Conversation|Located_Outdoors</t>
  </si>
  <si>
    <t>Applying_Makeup*In_Position_Upright*Grooming/Self_Care|Meeting_Social_Gathering_In_Person*In_Conversation|Located_Indoors</t>
  </si>
  <si>
    <t>Walking*In_Position_Upright*Meeting_Social_Gathering_In_Person|Shopping_Non-Grocery*Holding_Other_Object_Light|In_Conversation|Located_Indoors</t>
  </si>
  <si>
    <t>Walking_Up_Stairs*In_Position_Upright*In_Transit_Active*Holding_Other_Object_Light|Located_Indoors|On_Video_Call/FaceTime</t>
  </si>
  <si>
    <t>Standing_With_Movement*In_Position_Upright*In_Transit_Active|Riding_Escalator_Up*In_Conversation|Located_Indoors|Texting/Browsing_Phone</t>
  </si>
  <si>
    <t>Sitting_With_Movement*In_Position_Sitting*Eating/Dining*Holding_Other_Object_Light|Holding_Solid_Food|Located_Indoors|On_Video_Call/FaceTime</t>
  </si>
  <si>
    <t>Standing_Still*In_Position_Upright*Riding_Elevator_Up*Carrying_Bag_On_Shoulder/Back_Heavy|In_Conversation</t>
  </si>
  <si>
    <t>Walking_Down_Stairs*In_Position_Upright*In_Transit_Active*Carrying_Bag_On_Shoulder/Back_Light|Holding_Other_Object_Light</t>
  </si>
  <si>
    <t>Puttering_Around*In_Position_Upright*Riding_Elevator_Up*Carrying_Bag_On_Shoulder/Back_Light|Located_Indoors|Texting/Browsing_Phone</t>
  </si>
  <si>
    <t>Sitting_With_Movement*In_Position_Sitting*Packing/Unpacking_Something*Holding_Bag/Briefcase_Hand_Light|Holding_Other_Object_Light|In_Conversation|Located_Indoors</t>
  </si>
  <si>
    <t>Puttering_Around*In_Position_Upright*Cooking/Prepping_Food*Texting/Browsing_Phone</t>
  </si>
  <si>
    <t>Standing_With_Movement*In_Position_Upright*Relaxing_Passive*Located_Indoors|On_Video_Call/FaceTime</t>
  </si>
  <si>
    <t>Sitting_With_Movement*In_Position_Sitting*HIGH_LEVEL_BEHAVIOR_Unlabeled*Carrying_Bag_On_Shoulder/Back_Light|Located_Indoors</t>
  </si>
  <si>
    <t>Sitting_With_Movement*In_Position_Reclining/Slouching*Relaxing_Passive*Holding_Drink|Located_Indoors|Texting/Browsing_Phone</t>
  </si>
  <si>
    <t>Walking*In_Position_Upright*In_Transit_Active|Meeting_Social_Gathering_In_Person*Carrying_Grocery_Bags_Light|Holding_Bag/Briefcase_Hand_Light|Holding_Other_Object_Light|In_Conversation|Located_Indoors</t>
  </si>
  <si>
    <t>Puttering_Around*In_Position_Upright*In_Bathroom|In_Transit_Active*Holding_Other_Object_Light|Located_Indoors</t>
  </si>
  <si>
    <t>Standing_With_Movement*In_Position_Upright*Cooking/Prepping_Food|In_Transit_Active|Meeting_Social_Gathering_In_Person*Holding_Drink|Located_Indoors</t>
  </si>
  <si>
    <t>Puttering_Around*In_Position_Upright*In_Transit_Active|Riding_Elevator_Down*Carrying_Bag_On_Shoulder/Back_Light|Located_Indoors|Texting/Browsing_Phone</t>
  </si>
  <si>
    <t>Walking*In_Position_Upright*Doing_Common_Housework_Light*Holding_Other_Object_Light|Located_Indoors|Texting/Browsing_Phone</t>
  </si>
  <si>
    <t>Walking*In_Position_Upright*Doing_Laundry|In_Transit_Active*Located_Indoors|Texting/Browsing_Phone</t>
  </si>
  <si>
    <t>Standing_With_Movement*In_Position_Upright*Administering_Care_Child/Elder/Other_Adult|Meeting_Social_Gathering_In_Person*Holding_Other_Object_Light|Located_Indoors</t>
  </si>
  <si>
    <t>Walking*In_Position_Upright*Doing_Common_Housework_Light*Carrying_Bag_On_Shoulder/Back_Light|Holding_Other_Object_Light|Located_Indoors</t>
  </si>
  <si>
    <t>Standing_With_Movement*In_Position_Upright*Eating/Dining*Holding_Other_Object_Light|Located_Outdoors</t>
  </si>
  <si>
    <t>Walking*In_Position_Upright*Cleaning|Doing_Common_Housework*CONTEXTUAL_PARAMETERS_Unlabeled</t>
  </si>
  <si>
    <t>Walking_Fast*In_Position_Upright*In_Transit_Active*Located_Indoors</t>
  </si>
  <si>
    <t>Lying_With_Movement*Lying_On_Stomach*Doing_Common_Housework*Located_Indoors</t>
  </si>
  <si>
    <t>Kneeling_With_Movement*In_Position_Kneeling*HIGH_LEVEL_BEHAVIOR_Unlabeled*Handwriting|Located_Indoors|Texting/Browsing_Phone</t>
  </si>
  <si>
    <t>Lying_Still*Lying_On_Back*Eating/Dining|Relaxing_Passive|Watching_TV/Movies*Holding_Drink|Located_Indoors</t>
  </si>
  <si>
    <t>Sitting_With_Movement*In_Position_Sitting*HIGH_LEVEL_BEHAVIOR_Unlabeled*Legs_Crossed|Located_Indoors|On_Phone_Call</t>
  </si>
  <si>
    <t>Walking*In_Position_Upright*HIGH_LEVEL_BEHAVIOR_Unlabeled*Holding_Other_Object_Light|In_Conversation|Located_Indoors|Texting/Browsing_Phone</t>
  </si>
  <si>
    <t>Walking*In_Position_Upright*Cooking/Prepping_Food*Holding_Solid_Food|In_Conversation|Located_Indoors</t>
  </si>
  <si>
    <t>Sitting_With_Movement*In_Position_Sitting*Meeting_Social_Gathering_In_Person|Packing/Unpacking_Something|Watching_Lecture*Located_Indoors</t>
  </si>
  <si>
    <t>Puttering_Around*In_Position_Upright*In_Transit_Active|Meeting_Social_Gathering_In_Person|Working_Other*In_Conversation|Located_Indoors</t>
  </si>
  <si>
    <t>Walking*In_Position_Upright*Cleaning|Doing_Common_Housework|In_Transit_Active*Holding_Other_Object_Light|In_Conversation|Located_Indoors|Texting/Browsing_Phone</t>
  </si>
  <si>
    <t>Walking*In_Position_Upright*In_Transit_Active|Meeting_Social_Gathering_In_Person*Holding_Other_Object_Light|Located_Indoors|Texting/Browsing_Phone</t>
  </si>
  <si>
    <t>Lying_With_Movement*Lying_On_Left_Side*Eating/Dining*Holding_Solid_Food|Located_Indoors</t>
  </si>
  <si>
    <t>Walking*In_Position_Upright*HIGH_LEVEL_BEHAVIOR_Unlabeled*Carrying_Bag_On_Shoulder/Back_Light|In_Conversation|Located_Outdoors</t>
  </si>
  <si>
    <t>Standing_With_Movement*In_Position_Upright*Playing_Sports/Games*Holding_Other_Object_Light</t>
  </si>
  <si>
    <t>Standing_With_Movement*In_Position_Upright*Meeting_Social_Gathering_In_Person|Playing_Sports/Games*Holding_Other_Object_Light</t>
  </si>
  <si>
    <t>Standing_With_Movement*In_Position_Upright*HIGH_LEVEL_BEHAVIOR_Unlabeled*Holding_Bag/Briefcase_Hand_Light|Holding_Drink|Located_Indoors</t>
  </si>
  <si>
    <t>Walking_Slow*In_Position_Upright*In_Transit_Active*Holding_Bag/Briefcase_Hand_Light|Holding_Drink|Located_Indoors</t>
  </si>
  <si>
    <t>Sitting_With_Movement*In_Position_Sitting*Eating/Dining|Meeting_Social_Gathering_In_Person|Using_Computer/Screen*Holding_Other_Object_Light|In_Conversation|Located_Indoors|Texting/Browsing_Phone</t>
  </si>
  <si>
    <t>Sitting_With_Movement*In_Position_Sitting*Doing_Common_Housework_Light|Using_Computer/Screen*Holding_Other_Object_Light|Located_Indoors</t>
  </si>
  <si>
    <t>Standing_With_Movement*In_Position_Upright*Riding_Elevator_Up*Holding_Bag/Briefcase_Hand_Light|Located_Indoors|Texting/Browsing_Phone</t>
  </si>
  <si>
    <t>Walking*In_Position_Upright*Eating/Dining*Holding_Solid_Food|In_Conversation|Located_Indoors</t>
  </si>
  <si>
    <t>Walking*In_Position_Upright*Loading/Unloading_Vehicle*Carrying_Bag_On_Shoulder/Back_Light|Holding_Bag/Briefcase_Hand_Light|Located_Outdoors</t>
  </si>
  <si>
    <t>Standing_Still*In_Position_Upright*HIGH_LEVEL_BEHAVIOR_Unlabeled*Carrying_Bag_On_Shoulder/Back_Light|Located_Indoors</t>
  </si>
  <si>
    <t>Walking_Up_Stairs*In_Position_Upright*HIGH_LEVEL_BEHAVIOR_Unlabeled*Carrying_Bag_On_Shoulder/Back_Light|Holding_Bag/Briefcase_Hand_Light|Located_Indoors</t>
  </si>
  <si>
    <t>Walking*In_Position_Upright*Eating/Dining|In_Transit_Active*Holding_Other_Object_Light|Holding_Solid_Food|Located_Indoors|Texting/Browsing_Phone</t>
  </si>
  <si>
    <t>Standing_With_Movement*In_Position_Upright*Packing/Unpacking_Something*Holding_Bag/Briefcase_Hand_Heavy|Located_Indoors</t>
  </si>
  <si>
    <t>Standing_With_Movement*In_Position_Upright*Packing/Unpacking_Something*Holding_Drink|Holding_Other_Object_Light|Located_Indoors</t>
  </si>
  <si>
    <t>Standing_With_Movement*In_Position_Upright*HLB_Other|Packing/Unpacking_Something*Holding_Bag/Briefcase_Hand_Light|Located_Indoors</t>
  </si>
  <si>
    <t>Walking_Slow*In_Position_Upright*In_Transit_Active*Located_Indoors|On_Video_Call/FaceTime|Texting/Browsing_Phone</t>
  </si>
  <si>
    <t>Walking_Down_Stairs*In_Position_Upright*In_Transit_Active|Meeting_Social_Gathering_In_Person*Holding_Drink|In_Conversation|Located_Indoors</t>
  </si>
  <si>
    <t>Walking*In_Position_Upright*In_Transit_Passive_Train/Bus/Plane*Holding_Bag/Briefcase_Hand_Light|Located_Outdoors|Texting/Browsing_Phone</t>
  </si>
  <si>
    <t>Puttering_Around*In_Position_Upright*In_Transit_Active|Shopping_Non-Grocery*Carrying_Grocery_Bags_Light|Located_Indoors</t>
  </si>
  <si>
    <t>Sitting_With_Movement*In_Position_Sitting*Packing/Unpacking_Something*Holding_Other_Object_Light|Located_Indoors|On_Video_Call/FaceTime</t>
  </si>
  <si>
    <t>Walking_Up_Stairs*In_Position_Upright*HIGH_LEVEL_BEHAVIOR_Unlabeled*Holding_Other_Object_Light|Located_Indoors|On_Video_Call/FaceTime</t>
  </si>
  <si>
    <t>Walking*In_Position_Upright*Meeting_Social_Gathering_In_Person*Holding_Drink|In_Conversation|Located_Indoors|Texting/Browsing_Phone</t>
  </si>
  <si>
    <t>Puttering_Around*In_Position_Upright*Dancing*Carrying_Bag_On_Shoulder/Back_Light|Holding_Other_Object_Light|Located_Indoors</t>
  </si>
  <si>
    <t>Walking*In_Position_Upright*Doing_Common_Housework|In_Transit_Active*Holding_Other_Object_Heavy|Located_Indoors</t>
  </si>
  <si>
    <t>Puttering_Around*In_Position_Upright*Meeting_Social_Gathering_In_Person*Holding_Other_Object_Light|In_Conversation|Located_Indoors|Texting/Browsing_Phone</t>
  </si>
  <si>
    <t>Puttering_Around*In_Position_Upright*Meeting_Social_Gathering_In_Person*Holding_Drink|Holding_Other_Object_Light|In_Conversation|Located_Indoors</t>
  </si>
  <si>
    <t>Standing_With_Movement*In_Position_Upright*Doing_Dishes*Holding_Other_Object_Light|Located_Indoors|On_Phone_Call</t>
  </si>
  <si>
    <t>Walking_Up_Stairs*In_Position_Upright*In_Transit_Active|Riding_Escalator_Up*Carrying_Bag_On_Shoulder/Back_Light|Located_Indoors</t>
  </si>
  <si>
    <t>Walking_Down_Stairs*In_Position_Upright*HIGH_LEVEL_BEHAVIOR_Unlabeled*Holding_Drink|Located_Indoors</t>
  </si>
  <si>
    <t>Puttering_Around*In_Position_Upright*Riding_Elevator_Down*Carrying_Bag_On_Shoulder/Back_Light|Located_Indoors|Texting/Browsing_Phone</t>
  </si>
  <si>
    <t>Walking_Down_Stairs*In_Position_Upright*In_Transit_Active*Holding_Drink|Holding_Other_Object_Light</t>
  </si>
  <si>
    <t>Dusting*In_Position_Upright*Cleaning|In_Transit_Active*Located_Indoors</t>
  </si>
  <si>
    <t>Standing_With_Movement*In_Position_Upright*In_Transit_Active|Loading/Unloading_Vehicle*Holding_Bag/Briefcase_Hand_Light|Located_Outdoors</t>
  </si>
  <si>
    <t>Sitting_With_Movement*In_Position_Sitting*In_Transit_Active|Meeting_Social_Gathering_In_Person|Relaxing_Passive*Holding_Other_Object_Light|Holding_Solid_Food|In_Conversation|Located_Indoors</t>
  </si>
  <si>
    <t>Standing_With_Movement*In_Position_Upright*HIGH_LEVEL_BEHAVIOR_Unlabeled*Holding_Bag/Briefcase_Hand_Light|In_Conversation|Located_Indoors</t>
  </si>
  <si>
    <t>Standing_With_Movement*In_Position_Upright*In_Transit_Active|Loading/Unloading_Vehicle*Carrying_Grocery_Bags_Heavy|Located_Outdoors</t>
  </si>
  <si>
    <t>Standing_Still*In_Position_Upright*In_Transit_Active|Meeting_Social_Gathering_In_Person*Located_Indoors</t>
  </si>
  <si>
    <t>Walking*In_Position_Upright*Cooking/Prepping_Food|In_Transit_Active|Meeting_Social_Gathering_In_Person*Located_Indoors</t>
  </si>
  <si>
    <t>Sitting_Still*In_Position_Sitting*Using_Computer/Screen*Holding_Other_Object_Light|Located_Indoors</t>
  </si>
  <si>
    <t>Sitting_With_Movement*In_Position_Reclining/Slouching*HIGH_LEVEL_BEHAVIOR_Unlabeled*Holding_Other_Object_Light|In_Conversation|Located_Indoors|On_Video_Call/FaceTime|Texting/Browsing_Phone</t>
  </si>
  <si>
    <t>Walking_Down_Stairs*In_Position_Upright*In_Transit_Active*Carrying_Bag_On_Shoulder/Back_Light|Holding_Drink|Located_Indoors</t>
  </si>
  <si>
    <t>Standing_With_Movement*In_Position_Upright*In_Transit_Passive_Train/Bus/Plane*Carrying_Bag_On_Shoulder/Back_Light|Holding_Drink|Located_Outdoors</t>
  </si>
  <si>
    <t>Sitting_With_Movement*In_Position_Sitting*HLB_Other*Browsing_Computer|Legs_Uncrossed|Located_Indoors</t>
  </si>
  <si>
    <t>Puttering_Around*In_Position_Upright*Doing_Dishes*CONTEXTUAL_PARAMETERS_Unlabeled</t>
  </si>
  <si>
    <t>Walking*In_Position_Upright*HIGH_LEVEL_BEHAVIOR_Unlabeled*Texting/Browsing_Phone</t>
  </si>
  <si>
    <t>Standing_With_Movement*In_Position_Upright*Riding_Escalator_Up*Carrying_Bag_On_Shoulder/Back_Light|Located_Outdoors</t>
  </si>
  <si>
    <t>Walking_Up_Stairs*In_Position_Upright*Cleaning|Meeting_Social_Gathering_In_Person*In_Conversation|Located_Indoors</t>
  </si>
  <si>
    <t>Standing_With_Movement*In_Position_Upright*In_Transit_Active|Meeting_Social_Gathering_In_Person*CP_Video_Unavailable/Indecipherable|In_Conversation|Located_Indoors</t>
  </si>
  <si>
    <t>Folding_Clothes*In_Position_Upright*Doing_Common_Housework_Light|Doing_Laundry*Located_Indoors</t>
  </si>
  <si>
    <t>Puttering_Around*In_Position_Upright*Doing_Home_Repair_Light*CONTEXTUAL_PARAMETERS_Unlabeled</t>
  </si>
  <si>
    <t>Walking*In_Position_Upright*In_Transit_Active*Browsing_Computer|Holding_Other_Object_Light|Located_Indoors</t>
  </si>
  <si>
    <t>Sitting_With_Movement*In_Position_Sitting*Packing/Unpacking_Something|Watching_Lecture*Located_Indoors</t>
  </si>
  <si>
    <t>Walking*In_Position_Upright*Meeting_Formal_Gathering_In_Person*Located_Indoors</t>
  </si>
  <si>
    <t>Walking*In_Position_Upright*Meeting_Formal_Gathering_In_Person|Working_Other*Located_Indoors</t>
  </si>
  <si>
    <t>Sitting_With_Movement*In_Position_Sitting*Eating/Dining|Watching_TV/Movies*Holding_Drink|Located_Indoors|Texting/Browsing_Phone</t>
  </si>
  <si>
    <t>Standing_With_Movement*In_Position_Upright*In_Transit_Active|Riding_Elevator_Up*Holding_Drink|Located_Indoors|Texting/Browsing_Phone</t>
  </si>
  <si>
    <t>Standing_With_Movement*In_Position_Upright*Meeting_Social_Gathering_In_Person|Packing/Unpacking_Something*Holding_Other_Object_Light|Located_Outdoors</t>
  </si>
  <si>
    <t>Walking_Up_Stairs*In_Position_Upright*In_Transit_Active*Carrying_Grocery_Bags_Light|Located_Outdoors</t>
  </si>
  <si>
    <t>Sitting_With_Movement*In_Position_Sitting*Doing_Common_Housework_Light*Holding_Other_Object_Light|Located_Indoors|Texting/Browsing_Phone</t>
  </si>
  <si>
    <t>Standing_With_Movement*In_Position_Upright*In_Transit_Active|Packing/Unpacking_Something*Holding_Other_Object_Light|Located_Indoors</t>
  </si>
  <si>
    <t>Doing_Resistance_Training_Other*Posture_Too_Complex*Meeting_Social_Gathering_In_Person*Located_Indoors</t>
  </si>
  <si>
    <t>Standing_With_Movement*In_Position_Upright*Doing_Common_Housework_Light*Holding_Other_Object_Light|In_Conversation|Located_Indoors|On_Phone_Call</t>
  </si>
  <si>
    <t>Washing_Hands*In_Position_Upright*HIGH_LEVEL_BEHAVIOR_Unlabeled*Holding_Other_Object_Light|Located_Indoors</t>
  </si>
  <si>
    <t>Walking*In_Position_Upright*In_Transit_Active*Carrying_Bag_On_Shoulder/Back_Light|Holding_Bag/Briefcase_Hand_Light|Holding_Other_Object_Light|Located_Indoors</t>
  </si>
  <si>
    <t>Standing_With_Movement*In_Position_Upright*Eating/Dining*Holding_Drink|In_Conversation</t>
  </si>
  <si>
    <t>Washing_Hands*In_Position_Upright*Eating/Dining*Located_Indoors</t>
  </si>
  <si>
    <t>Standing_With_Movement*In_Position_Upright*Grooming/Self_Care|Meeting_Virtual*Located_Indoors|On_Video_Call/FaceTime</t>
  </si>
  <si>
    <t>Walking*In_Position_Upright*In_Transit_Active*Carrying_Bag_On_Shoulder/Back_Heavy|Holding_Other_Object_Light|Holding_Solid_Food|Located_Indoors</t>
  </si>
  <si>
    <t>Walking_Down_Stairs*In_Position_Upright*In_Transit_Active*Carrying_Bag_On_Shoulder/Back_Heavy|Carrying_Grocery_Bags_Light|Located_Outdoors</t>
  </si>
  <si>
    <t>Walking_Down_Stairs*In_Position_Upright*In_Transit_Active*Carrying_Bag_On_Shoulder/Back_Heavy|Holding_Solid_Food|Located_Indoors</t>
  </si>
  <si>
    <t>Sitting_With_Movement*In_Position_Reclining/Slouching*Eating/Dining*Holding_Other_Object_Light|In_Conversation|Located_Indoors|Texting/Browsing_Phone</t>
  </si>
  <si>
    <t>Standing_With_Movement*In_Position_Upright*In_Transit_Active|Using_Computer/Screen*Located_Indoors</t>
  </si>
  <si>
    <t>Sitting_With_Movement*In_Position_Sitting*Grooming/Self_Care|Watching_TV/Movies*Holding_Other_Object_Light|Located_Indoors</t>
  </si>
  <si>
    <t>Sitting_With_Movement*In_Position_Sitting*Eating/Dining|Meeting_Social_Gathering_In_Person|Playing_Videogame*Holding_Drink|In_Conversation|Located_Indoors|Texting/Browsing_Phone</t>
  </si>
  <si>
    <t>Washing_Hands*In_Position_Upright*Grooming/Self_Care*Holding_Other_Object_Light|Located_Indoors</t>
  </si>
  <si>
    <t>Puttering_Around*In_Position_Upright*HLB_Video_Unavailable/Indecipherable*CP_Too_Complex|Located_Indoors</t>
  </si>
  <si>
    <t>Washing_Hands*In_Position_Upright*Meeting_Social_Gathering_In_Person*Holding_Other_Object_Light|Located_Indoors</t>
  </si>
  <si>
    <t>Lying_With_Movement*Lying_On_Back*HLB_Other*Located_Indoors</t>
  </si>
  <si>
    <t>Standing_With_Movement*In_Position_Upright*Meeting_Social_Gathering_In_Person|Packing/Unpacking_Something*Holding_Bag/Briefcase_Hand_Light|In_Conversation|Located_Indoors</t>
  </si>
  <si>
    <t>Walking*In_Position_Upright*In_Transit_Active|Meeting_Social_Gathering_In_Person*Holding_Drink|Holding_Other_Object_Light|In_Conversation|Located_Indoors</t>
  </si>
  <si>
    <t>Walking_Up_Stairs*In_Position_Upright*In_Transit_Active|Meeting_Social_Gathering_In_Person*Holding_Other_Object_Light|In_Conversation|Located_Indoors</t>
  </si>
  <si>
    <t>Walking*In_Position_Upright*HLB_Other|In_Transit_Active*Carrying_Bag_On_Shoulder/Back_Light|Located_Outdoors|Texting/Browsing_Phone</t>
  </si>
  <si>
    <t>Kneeling_With_Movement*In_Position_Kneeling*Packing/Unpacking_Something*Located_Outdoors</t>
  </si>
  <si>
    <t>Standing_With_Movement*In_Position_Upright*In_Transit_Active*Holding_Book/Reader|Located_Indoors|Texting/Browsing_Phone</t>
  </si>
  <si>
    <t>Standing_With_Movement*In_Position_Upright*In_Transit_Active|Packing/Unpacking_Something*Carrying_Bag_On_Shoulder/Back_Light|Located_Indoors</t>
  </si>
  <si>
    <t>Washing_Hands*In_Position_Upright*Cleaning|Meeting_Social_Gathering_In_Person*Located_Indoors</t>
  </si>
  <si>
    <t>Standing_With_Movement*In_Position_Upright*In_Transit_Active|Meeting_Formal_Gathering_In_Person*Carrying_Bag_On_Shoulder/Back_Light|In_Conversation|Located_Indoors</t>
  </si>
  <si>
    <t>Puttering_Around*In_Position_Upright*HIGH_LEVEL_BEHAVIOR_Unlabeled*Handwriting|Located_Indoors|On_Phone_Call</t>
  </si>
  <si>
    <t>Walking_Slow*In_Position_Upright*Meeting_Social_Gathering_In_Person*Holding_Bag/Briefcase_Hand_Light|In_Conversation|Located_Outdoors</t>
  </si>
  <si>
    <t>Walking*In_Position_Upright*Meeting_Virtual|Using_Computer/Screen*Located_Indoors|On_Video_Call/FaceTime</t>
  </si>
  <si>
    <t>Walking*In_Position_Upright*Cooking/Prepping_Food|In_Transit_Active|Meeting_Social_Gathering_In_Person*Holding_Solid_Food|In_Conversation|Located_Indoors</t>
  </si>
  <si>
    <t>Standing_With_Movement*In_Position_Upright*HIGH_LEVEL_BEHAVIOR_Unlabeled*Carrying_Bag_On_Shoulder/Back_Light|In_Conversation|Located_Indoors|Texting/Browsing_Phone</t>
  </si>
  <si>
    <t>Standing_With_Movement*In_Position_Upright*Loading/Unloading_Vehicle*Carrying_Bag_On_Shoulder/Back_Light|Holding_Bag/Briefcase_Hand_Light|Holding_Other_Object_Light|Located_Outdoors</t>
  </si>
  <si>
    <t>Walking*In_Position_Upright*HIGH_LEVEL_BEHAVIOR_Unlabeled*Carrying_Bag_On_Shoulder/Back_Light|Carrying_Grocery_Bags_Light|Located_Indoors|Texting/Browsing_Phone</t>
  </si>
  <si>
    <t>Standing_With_Movement*In_Position_Upright*In_Transit_Active|Riding_Elevator_Down*Carrying_Bag_On_Shoulder/Back_Light|Carrying_Grocery_Bags_Light|Located_Outdoors</t>
  </si>
  <si>
    <t>Standing_With_Movement*In_Position_Upright*Dressing/Undressing*Holding_Drink|Located_Indoors</t>
  </si>
  <si>
    <t>Walking_Up_Stairs*In_Position_Upright*In_Transit_Passive_Train/Bus/Plane*Carrying_Bag_On_Shoulder/Back_Light|Located_Outdoors</t>
  </si>
  <si>
    <t>Puttering_Around*In_Position_Upright*HIGH_LEVEL_BEHAVIOR_Unlabeled*Holding_Bag/Briefcase_Hand_Light|Holding_Other_Object_Light|Located_Indoors</t>
  </si>
  <si>
    <t>Walking*In_Position_Upright*Grooming/Self_Care*Carrying_Bag_On_Shoulder/Back_Light|Holding_Bag/Briefcase_Hand_Light|Located_Indoors</t>
  </si>
  <si>
    <t>Standing_Still*In_Position_Upright*In_Transit_Passive_Train/Bus/Plane*Carrying_Bag_On_Shoulder/Back_Light|Located_Outdoors</t>
  </si>
  <si>
    <t>Puttering_Around*In_Position_Upright*Exercising_Gym_Other*Located_Indoors|Texting/Browsing_Phone</t>
  </si>
  <si>
    <t>Walking*In_Position_Upright*In_Transit_Active|Meeting_Social_Gathering_In_Person*Carrying_Bag_On_Shoulder/Back_Light|Located_Indoors|Texting/Browsing_Phone</t>
  </si>
  <si>
    <t>Standing_With_Movement*Posture_Other*HLB_Other*Located_Outdoors</t>
  </si>
  <si>
    <t>Walking_Up_Stairs*In_Position_Upright*Doing_Laundry*Holding_Other_Object_Light|Located_Indoors</t>
  </si>
  <si>
    <t>Walking*In_Position_Upright*Cooking/Prepping_Food|Meeting_Social_Gathering_In_Person*Holding_Other_Object_Light|In_Conversation|Located_Indoors</t>
  </si>
  <si>
    <t>Sitting_With_Movement*In_Position_Sitting*Meeting_Formal_Gathering_In_Person|Working_Other*Handwriting|Holding_Other_Object_Light|Located_Indoors</t>
  </si>
  <si>
    <t>Puttering_Around*In_Position_Upright*Meeting_Social_Gathering_In_Person*Carrying_Bag_On_Shoulder/Back_Light|Holding_Other_Object_Light|Located_Indoors|Texting/Browsing_Phone</t>
  </si>
  <si>
    <t>Standing_With_Movement*In_Position_Upright*Cleaning|Doing_Common_Housework|In_Transit_Active*Holding_Other_Object_Light|In_Conversation|Located_Indoors|Texting/Browsing_Phone</t>
  </si>
  <si>
    <t>Walking_Slow*In_Position_Upright*Eating/Dining*Holding_Solid_Food|In_Conversation|Located_Outdoors</t>
  </si>
  <si>
    <t>Standing_With_Movement*In_Position_Upright*Cleaning|Cooking/Prepping_Food|Meeting_Social_Gathering_In_Person*Holding_Other_Object_Light|In_Conversation|Located_Indoors</t>
  </si>
  <si>
    <t>Sitting_With_Movement*In_Position_Sitting*Eating/Dining|Meeting_Social_Gathering_In_Person*Holding_Other_Object_Light|Located_Indoors|Texting/Browsing_Phone</t>
  </si>
  <si>
    <t>Walking_Up_Stairs*In_Position_Upright*In_Transit_Active*In_Conversation|Located_Outdoors</t>
  </si>
  <si>
    <t>Kneeling_With_Movement*In_Position_Kneeling*Dressing/Undressing*Carrying_Bag_On_Shoulder/Back_Light|Holding_Other_Object_Light|Located_Indoors</t>
  </si>
  <si>
    <t>Walking_Slow*In_Position_Upright*Riding_Elevator_Down*Holding_Bag/Briefcase_Hand_Light|Holding_Other_Object_Light|Located_Indoors</t>
  </si>
  <si>
    <t>Standing_With_Movement*In_Position_Upright*Loading/Unloading_Vehicle*Carrying_Bag_On_Shoulder/Back_Light|Located_Outdoors</t>
  </si>
  <si>
    <t>Sitting_With_Movement*In_Position_Sitting*In_Transit_Active*Holding_Other_Object_Light|Located_Outdoors</t>
  </si>
  <si>
    <t>Standing_Still*In_Position_Upright*HIGH_LEVEL_BEHAVIOR_Unlabeled*Located_Outdoors|Texting/Browsing_Phone</t>
  </si>
  <si>
    <t>Standing_With_Movement*In_Position_Upright*Packing/Unpacking_Something*Holding_Bag/Briefcase_Hand_Light|Located_Outdoors</t>
  </si>
  <si>
    <t>Standing_With_Movement*In_Position_Upright*Cooking/Prepping_Food*Holding_Other_Object_Light|Located_Indoors|On_Video_Call/FaceTime</t>
  </si>
  <si>
    <t>Walking*In_Position_Upright*Loading/Unloading_Vehicle*Carrying_Bag_On_Shoulder/Back_Light|Holding_Other_Object_Light|Located_Outdoors</t>
  </si>
  <si>
    <t>Standing_With_Movement*In_Position_Upright*Loading/Unloading_Vehicle*Carrying_Bag_On_Shoulder/Back_Light|Holding_Other_Object_Light|Located_Indoors</t>
  </si>
  <si>
    <t>Sitting_With_Movement*In_Position_Sitting*Eating/Dining*Holding_Other_Object_Light|In_Conversation|Located_Outdoors</t>
  </si>
  <si>
    <t>Puttering_Around*In_Position_Upright*In_Transit_Active*Carrying_Bag_On_Shoulder/Back_Light|Holding_Solid_Food|Located_Indoors</t>
  </si>
  <si>
    <t>Sitting_With_Movement*In_Position_Sitting*Relaxing_Passive*Holding_Drink|In_Conversation|Located_Indoors|On_Video_Call/FaceTime</t>
  </si>
  <si>
    <t>Lying_With_Movement*Lying_On_Back*Relaxing_Passive|Using_Computer/Screen|Watching_TV/Movies*Holding_Other_Object_Light|Located_Indoors</t>
  </si>
  <si>
    <t>Walking*In_Position_Upright*In_Transit_Active*Carrying_Bag_On_Shoulder/Back_Light|Holding_Solid_Food|Located_Indoors|Texting/Browsing_Phone</t>
  </si>
  <si>
    <t>Walking*In_Position_Upright*Using_Computer/Screen*Browsing_Computer|Holding_Other_Object_Light|Located_Indoors</t>
  </si>
  <si>
    <t>Lying_With_Movement*Lying_On_Left_Side*Grooming/Self_Care|Using_Computer/Screen*In_Conversation|Located_Indoors</t>
  </si>
  <si>
    <t>Standing_With_Movement*In_Position_Upright*Meeting_Social_Gathering_In_Person*Holding_Bag/Briefcase_Hand_Light|Located_Indoors</t>
  </si>
  <si>
    <t>Standing_With_Movement*In_Position_Upright*In_Transit_Active*Holding_Drink|Located_Indoors|Texting/Browsing_Phone</t>
  </si>
  <si>
    <t>Walking_Slow*In_Position_Upright*In_Transit_Active|Meeting_Social_Gathering_In_Person*Carrying_Bag_On_Shoulder/Back_Light|Located_Outdoors</t>
  </si>
  <si>
    <t>Walking_Up_Stairs*In_Position_Upright*In_Transit_Active|Meeting_Social_Gathering_In_Person*Carrying_Bag_On_Shoulder/Back_Light|Located_Indoors</t>
  </si>
  <si>
    <t>Sitting_With_Movement*In_Position_Sitting*Meeting_Social_Gathering_In_Person|Using_Computer/Screen|Watching_TV/Movies*Holding_Other_Object_Light|In_Conversation|Located_Indoors</t>
  </si>
  <si>
    <t>Walking*In_Position_Upright*In_Transit_Active*Carrying_Bag_On_Shoulder/Back_Light|Holding_Drink|In_Conversation|Located_Outdoors</t>
  </si>
  <si>
    <t>Walking_Down_Stairs*In_Position_Upright*In_Transit_Active*Carrying_Bag_On_Shoulder/Back_Light|Holding_Other_Object_Light|On_Video_Call/FaceTime</t>
  </si>
  <si>
    <t>Walking*In_Position_Upright*Meeting_Social_Gathering_In_Person*Carrying_Bag_On_Shoulder/Back_Light|Holding_Other_Object_Light|Located_Indoors</t>
  </si>
  <si>
    <t>Walking*In_Position_Upright*Eating/Dining|Meeting_Social_Gathering_In_Person*Holding_Other_Object_Light|Located_Indoors</t>
  </si>
  <si>
    <t>Sitting_With_Movement*In_Position_Sitting*Meeting_Social_Gathering_In_Person*Carrying_Bag_On_Shoulder/Back_Light|Holding_Drink|Legs_Crossed|Located_Outdoors</t>
  </si>
  <si>
    <t>Kneeling_With_Movement*In_Position_Kneeling*Cleaning|Doing_Common_Housework*Located_Indoors</t>
  </si>
  <si>
    <t>Sitting_With_Movement*In_Position_Sitting*In_Transit_Active|Meeting_Social_Gathering_In_Person*Holding_Solid_Food|In_Conversation|Located_Indoors</t>
  </si>
  <si>
    <t>Walking*In_Position_Upright*Doing_Laundry|Meeting_Virtual*Located_Indoors|On_Video_Call/FaceTime|Texting/Browsing_Phone</t>
  </si>
  <si>
    <t>Standing_With_Movement*In_Position_Upright*Administering_Care_Child/Elder/Other_Adult|In_Transit_Active*Located_Indoors</t>
  </si>
  <si>
    <t>Walking*In_Position_Upright*HIGH_LEVEL_BEHAVIOR_Unlabeled*In_Conversation|Located_Outdoors|Texting/Browsing_Phone</t>
  </si>
  <si>
    <t>Standing_Still*In_Position_Upright*Riding_Elevator_Up*Carrying_Bag_On_Shoulder/Back_Light|Located_Indoors</t>
  </si>
  <si>
    <t>Lying_With_Movement*Lying_On_Back*Relaxing_Passive*Holding_Drink|Located_Indoors</t>
  </si>
  <si>
    <t>Puttering_Around*Posture_Video_Unavailable/Indecipherable*HIGH_LEVEL_BEHAVIOR_Unlabeled*Located_Indoors</t>
  </si>
  <si>
    <t>Walking*In_Position_Upright*HIGH_LEVEL_BEHAVIOR_Unlabeled*Holding_Book/Reader|Holding_Drink|Located_Indoors</t>
  </si>
  <si>
    <t>Walking_Slow*In_Position_Upright*Relaxing_Passive*Carrying_Bag_On_Shoulder/Back_Light|Located_Outdoors</t>
  </si>
  <si>
    <t>Sitting_With_Movement*In_Position_Reclining/Slouching*Relaxing_Passive*Holding_Drink|In_Conversation|Located_Indoors</t>
  </si>
  <si>
    <t>Standing_With_Movement*In_Position_Upright*Loading/Unloading_Vehicle*Holding_Drink|Holding_Other_Object_Light|Located_Outdoors</t>
  </si>
  <si>
    <t>Standing_With_Movement*In_Position_Upright*Walking_Pet*Holding_Other_Object_Light|Located_Indoors</t>
  </si>
  <si>
    <t>Standing_With_Movement*In_Position_Upright*HLB_Other*Holding_Other_Object_Light</t>
  </si>
  <si>
    <t>Puttering_Around*In_Position_Upright*Doing_Laundry|HLB_Other*Holding_Drink|Located_Indoors</t>
  </si>
  <si>
    <t>Walking*In_Position_Upright*Cooking/Prepping_Food|Meeting_Social_Gathering_In_Person*Located_Indoors</t>
  </si>
  <si>
    <t>Walking*In_Position_Upright*HIGH_LEVEL_BEHAVIOR_Unlabeled*Holding_Other_Object_Light|Holding_Solid_Food|In_Conversation|Located_Indoors</t>
  </si>
  <si>
    <t>Walking*In_Position_Upright*HIGH_LEVEL_BEHAVIOR_Unlabeled*Holding_Solid_Food|In_Conversation|Located_Indoors</t>
  </si>
  <si>
    <t>Lying_With_Movement*Lying_On_Back*Eating/Dining*Holding_Other_Object_Light|Holding_Solid_Food|Located_Indoors|Texting/Browsing_Phone</t>
  </si>
  <si>
    <t>Standing_With_Movement*In_Position_Upright*Loading/Unloading_Vehicle*Holding_Drink|Located_Outdoors</t>
  </si>
  <si>
    <t>Washing_Hands*In_Position_Upright*In_Bathroom|In_Transit_Active*Carrying_Bag_On_Shoulder/Back_Light|Located_Indoors</t>
  </si>
  <si>
    <t>Standing_With_Movement*In_Position_Upright*In_Transit_Active|Riding_Elevator_Up*Carrying_Bag_On_Shoulder/Back_Heavy|Holding_Other_Object_Light|Located_Indoors</t>
  </si>
  <si>
    <t>Puttering_Around*In_Position_Upright*HIGH_LEVEL_BEHAVIOR_Unlabeled*Carrying_Bag_On_Shoulder/Back_Light|Holding_Solid_Food|Located_Indoors</t>
  </si>
  <si>
    <t>Lying_With_Movement*Lying_On_Back*Eating/Dining|Relaxing_Passive*Holding_Solid_Food|Located_Indoors</t>
  </si>
  <si>
    <t>Walking*In_Position_Upright*Cooking/Prepping_Food*In_Conversation|Located_Indoors|Texting/Browsing_Phone</t>
  </si>
  <si>
    <t>Sitting_With_Movement*In_Position_Sitting*Using_Computer/Screen|Watching_TV/Movies*In_Conversation|Located_Indoors|Texting/Browsing_Phone</t>
  </si>
  <si>
    <t>Lying_With_Movement*Lying_On_Right_Side*HIGH_LEVEL_BEHAVIOR_Unlabeled*Holding_Other_Object_Light|In_Conversation|Located_Indoors</t>
  </si>
  <si>
    <t>Walking*In_Position_Upright*HLB_Other|Meeting_Social_Gathering_In_Person*In_Conversation|Located_Indoors</t>
  </si>
  <si>
    <t>Walking*In_Position_Upright*Doing_Common_Housework|Meeting_Social_Gathering_In_Person*Holding_Other_Object_Light|In_Conversation|Located_Indoors</t>
  </si>
  <si>
    <t>Standing_With_Movement*In_Position_Upright*HLB_Other|Packing/Unpacking_Something*In_Conversation|Located_Indoors|Texting/Browsing_Phone</t>
  </si>
  <si>
    <t>Sitting_With_Movement*In_Position_Sitting*Eating/Dining|Meeting_Social_Gathering_In_Person|Playing_Videogame*Holding_Drink|In_Conversation|Located_Indoors</t>
  </si>
  <si>
    <t>Walking*In_Position_Upright*In_Transit_Active|Meeting_Social_Gathering_In_Person*In_Conversation|Located_Indoors|On_Video_Call/FaceTime</t>
  </si>
  <si>
    <t>Standing_With_Movement*In_Position_Upright*HLB_Video_Unavailable/Indecipherable*Located_Indoors|Texting/Browsing_Phone</t>
  </si>
  <si>
    <t>Playing_Frisbee*In_Position_Upright*Meeting_Virtual*Holding_Other_Object_Light|Located_Indoors|On_Phone_Call</t>
  </si>
  <si>
    <t>Lying_With_Movement*Lying_On_Right_Side*Relaxing_Passive*Holding_Other_Object_Light|Located_Indoors</t>
  </si>
  <si>
    <t>Lying_With_Movement*Lying_On_Right_Side*Watching_TV/Movies*Holding_Other_Object_Light|Located_Indoors|On_Phone_Call</t>
  </si>
  <si>
    <t>Walking*In_Position_Upright*In_Transit_Passive_Train/Bus/Plane*Texting/Browsing_Phone</t>
  </si>
  <si>
    <t>Standing_With_Movement*In_Position_Upright*Doing_Common_Housework*Holding_Other_Object_Heavy|Located_Outdoors</t>
  </si>
  <si>
    <t>Puttering_Around*In_Position_Upright*Cooking/Prepping_Food*Holding_Drink|Holding_Other_Object_Light|Located_Indoors|On_Phone_Call</t>
  </si>
  <si>
    <t>Standing_Still*In_Position_Upright*Riding_Elevator_Down*Carrying_Bag_On_Shoulder/Back_Heavy|Located_Indoors|Texting/Browsing_Phone</t>
  </si>
  <si>
    <t>Standing_Still*In_Position_Upright*Riding_Elevator_Up*In_Conversation|Located_Indoors</t>
  </si>
  <si>
    <t>Kneeling_With_Movement*In_Position_Kneeling*Meeting_Virtual*Located_Indoors|On_Video_Call/FaceTime</t>
  </si>
  <si>
    <t>Walking_Up_Stairs*In_Position_Upright*In_Transit_Active*Located_Indoors|On_Phone_Call</t>
  </si>
  <si>
    <t>Walking_Up_Stairs*In_Position_Upright*In_Transit_Active*Holding_Drink|Located_Indoors</t>
  </si>
  <si>
    <t>Walking_Down_Stairs*In_Position_Upright*Shopping_Grocery*Carrying_Bag_On_Shoulder/Back_Light|Carrying_Grocery_Bags_Light|Located_Indoors</t>
  </si>
  <si>
    <t>Puttering_Around*In_Position_Upright*Doing_Common_Housework_Light|Meeting_Social_Gathering_In_Person*Holding_Drink|Holding_Other_Object_Light</t>
  </si>
  <si>
    <t>Walking_Down_Stairs*In_Position_Upright*In_Transit_Active|Meeting_Social_Gathering_In_Person*Holding_Bag/Briefcase_Hand_Light|Located_Indoors</t>
  </si>
  <si>
    <t>Walking_Up_Stairs*In_Position_Upright*Meeting_Social_Gathering_In_Person*Carrying_Grocery_Bags_Light|Holding_Drink|Holding_Other_Object_Light|Located_Indoors</t>
  </si>
  <si>
    <t>Standing_With_Movement*In_Position_Upright*Riding_Elevator_Up*Carrying_Bag_On_Shoulder/Back_Light</t>
  </si>
  <si>
    <t>Walking*In_Position_Upright*Eating/Dining|Using_Computer/Screen*Located_Indoors</t>
  </si>
  <si>
    <t>Standing_With_Movement*In_Position_Upright*HIGH_LEVEL_BEHAVIOR_Unlabeled*Carrying_Grocery_Bags_Light|Located_Outdoors</t>
  </si>
  <si>
    <t>Walking*In_Position_Upright*Loading/Unloading_Vehicle*Carrying_Bag_On_Shoulder/Back_Light|Holding_Bag/Briefcase_Hand_Light|Holding_Other_Object_Light|Located_Indoors</t>
  </si>
  <si>
    <t>Walking*In_Position_Upright*HIGH_LEVEL_BEHAVIOR_Unlabeled*Carrying_Bag_On_Shoulder/Back_Light|Holding_Drink|Holding_Other_Object_Light|Located_Indoors</t>
  </si>
  <si>
    <t>Sitting_With_Movement*In_Position_Sitting*Exercising_Gym_Stationary_Bicycle*Holding_Other_Object_Light|Located_Indoors</t>
  </si>
  <si>
    <t>Puttering_Around*In_Position_Upright*Cleaning*Holding_Other_Object_Light|Holding_Solid_Food|Located_Indoors</t>
  </si>
  <si>
    <t>Standing_With_Movement*In_Position_Upright*Eating/Dining|HLB_Video_Unavailable/Indecipherable*Holding_Other_Object_Light|Holding_Solid_Food|Located_Indoors</t>
  </si>
  <si>
    <t>Walking*In_Position_Upright*HLB_Video_Unavailable/Indecipherable|In_Transit_Active*Located_Outdoors</t>
  </si>
  <si>
    <t>Standing_With_Movement*In_Position_Upright*Doing_Common_Housework_Light*Holding_Book/Reader|Located_Indoors</t>
  </si>
  <si>
    <t>Standing_With_Movement*In_Position_Upright*In_Transit_Active|Riding_Elevator_Up*Carrying_Bag_On_Shoulder/Back_Heavy|Located_Indoors</t>
  </si>
  <si>
    <t>Washing_Hands*In_Position_Upright*Cleaning|Doing_Dishes*Located_Indoors</t>
  </si>
  <si>
    <t>Walking*In_Position_Upright*In_Transit_Active*Holding_Book/Reader|Located_Indoors|Texting/Browsing_Phone</t>
  </si>
  <si>
    <t>Standing_With_Movement*In_Position_Upright*Grooming/Self_Care*Located_Indoors|Texting/Browsing_Phone</t>
  </si>
  <si>
    <t>Sitting_With_Movement*In_Position_Sitting*Meeting_Social_Gathering_In_Person|Using_Computer/Screen|Working_Other*Browsing_Computer|Located_Indoors</t>
  </si>
  <si>
    <t>Walking*In_Position_Upright*Meeting_Social_Gathering_In_Person*Holding_Solid_Food|Located_Indoors</t>
  </si>
  <si>
    <t>Standing_With_Movement*In_Position_Upright*In_Transit_Active|Riding_Elevator_Down*Texting/Browsing_Phone</t>
  </si>
  <si>
    <t>Puttering_Around*In_Position_Upright*In_Transit_Active|Meeting_Social_Gathering_In_Person*Holding_Other_Object_Light|Located_Outdoors</t>
  </si>
  <si>
    <t>Standing_With_Movement*In_Position_Upright*In_Bathroom*Holding_Other_Object_Light|In_Conversation|Located_Indoors|On_Video_Call/FaceTime|Texting/Browsing_Phone</t>
  </si>
  <si>
    <t>Standing_With_Movement*In_Position_Upright*Relaxing_Passive*Holding_Other_Object_Light|In_Conversation|Located_Outdoors</t>
  </si>
  <si>
    <t>Standing_With_Movement*In_Position_Upright*In_Transit_Active|Riding_Elevator_Down*Carrying_Bag_On_Shoulder/Back_Heavy|Holding_Other_Object_Light|Located_Indoors</t>
  </si>
  <si>
    <t>Standing_With_Movement*In_Position_Upright*In_Transit_Active|Meeting_Formal_Gathering_In_Person*In_Conversation|Located_Indoors</t>
  </si>
  <si>
    <t>Sitting_With_Movement*In_Position_Sitting*HLB_Other*Holding_Drink|In_Conversation|Located_Indoors|On_Video_Call/FaceTime</t>
  </si>
  <si>
    <t>Sitting_With_Movement*In_Position_Sitting*Using_Computer/Screen*CP_Other|Located_Indoors</t>
  </si>
  <si>
    <t>Walking_Fast*In_Position_Upright*Playing_Sports/Games*Located_Outdoors</t>
  </si>
  <si>
    <t>Walking_Slow*In_Position_Upright*Playing_Sports/Games|Watching_TV/Movies*Holding_Other_Object_Light|Located_Outdoors</t>
  </si>
  <si>
    <t>Standing_With_Movement*In_Position_Upright*Shopping_Grocery*Carrying_Grocery_Bags_Light|Holding_Other_Object_Light|Located_Indoors</t>
  </si>
  <si>
    <t>Walking_Down_Stairs*In_Position_Upright*In_Transit_Active*Holding_Other_Object_Light|In_Conversation|Located_Outdoors</t>
  </si>
  <si>
    <t>Walking_Down_Stairs*In_Position_Upright*In_Transit_Active*Holding_Drink|Holding_Other_Object_Light|In_Conversation|Located_Outdoors</t>
  </si>
  <si>
    <t>Puttering_Around*In_Position_Upright*Packing/Unpacking_Something|Watching_TV/Movies*Holding_Drink|Located_Indoors</t>
  </si>
  <si>
    <t>Walking*In_Position_Upright*Eating/Dining|In_Transit_Active*Holding_Solid_Food|Located_Indoors|Texting/Browsing_Phone</t>
  </si>
  <si>
    <t>Sitting_With_Movement*In_Position_Sitting*Dancing|Meeting_Social_Gathering_In_Person*In_Conversation|Located_Indoors|Texting/Browsing_Phone</t>
  </si>
  <si>
    <t>Walking_Slow*In_Position_Upright*In_Transit_Active|Meeting_Social_Gathering_In_Person*Holding_Other_Object_Light|In_Conversation|Located_Indoors</t>
  </si>
  <si>
    <t>Walking_Slow*In_Position_Upright*Eating/Dining|In_Transit_Active*Holding_Drink|In_Conversation|Located_Indoors</t>
  </si>
  <si>
    <t>Puttering_Around*In_Position_Upright*Meeting_Virtual*Holding_Other_Object_Light|Located_Indoors|On_Phone_Call</t>
  </si>
  <si>
    <t>Kneeling_With_Movement*In_Position_Kneeling*Meeting_Social_Gathering_In_Person|Packing/Unpacking_Something*Holding_Other_Object_Light|In_Conversation|Located_Indoors</t>
  </si>
  <si>
    <t>Sitting_With_Movement*In_Position_Reclining/Slouching*Meeting_Social_Gathering_In_Person|Using_Computer/Screen*Holding_Other_Object_Light|In_Conversation|Located_Indoors</t>
  </si>
  <si>
    <t>Walking_Fast*In_Position_Upright*In_Transit_Active*Carrying_Bag_On_Shoulder/Back_Light|Located_Outdoors</t>
  </si>
  <si>
    <t>Walking*In_Position_Upright*In_Transit_Active|Meeting_Social_Gathering_In_Person*Carrying_Bag_On_Shoulder/Back_Light</t>
  </si>
  <si>
    <t>Walking*In_Position_Upright*In_Transit_Active|Meeting_Social_Gathering_In_Person*Carrying_Bag_On_Shoulder/Back_Light|Holding_Drink|Located_Outdoors|Texting/Browsing_Phone</t>
  </si>
  <si>
    <t>Walking_Up_Stairs*In_Position_Upright*HIGH_LEVEL_BEHAVIOR_Unlabeled*Carrying_Bag_On_Shoulder/Back_Heavy</t>
  </si>
  <si>
    <t>Puttering_Around*In_Position_Upright*Riding_Elevator_Up*Located_Indoors</t>
  </si>
  <si>
    <t>Walking*In_Position_Upright*Working_Other*Holding_Other_Object_Light|Located_Indoors|Texting/Browsing_Phone</t>
  </si>
  <si>
    <t>Walking*In_Position_Upright*Doing_Common_Housework|In_Transit_Active*In_Conversation|Located_Indoors|On_Video_Call/FaceTime</t>
  </si>
  <si>
    <t>Walking*In_Position_Upright*Meeting_Social_Gathering_In_Person*Carrying_Grocery_Bags_Light|Holding_Other_Object_Light|In_Conversation|Located_Outdoors</t>
  </si>
  <si>
    <t>Washing_Face*In_Position_Upright*Grooming/Self_Care|In_Bathroom*Holding_Other_Object_Light|Located_Indoors</t>
  </si>
  <si>
    <t>Walking_Slow*In_Position_Upright*In_Bathroom*Carrying_Bag_On_Shoulder/Back_Light|Located_Indoors</t>
  </si>
  <si>
    <t>Standing_With_Movement*In_Position_Upright*Eating/Dining*Holding_Solid_Food|Located_Indoors|On_Phone_Call</t>
  </si>
  <si>
    <t>Sitting_With_Movement*In_Position_Sitting*Eating/Dining|In_Transit_Active*Located_Outdoors</t>
  </si>
  <si>
    <t>Puttering_Around*In_Position_Upright*Eating/Dining|In_Transit_Active|Meeting_Social_Gathering_In_Person*Holding_Solid_Food|Located_Indoors</t>
  </si>
  <si>
    <t>Standing_With_Movement*In_Position_Upright*Eating/Dining|In_Transit_Active|Meeting_Social_Gathering_In_Person*Holding_Solid_Food|In_Conversation|Located_Indoors</t>
  </si>
  <si>
    <t>Sitting_With_Movement*In_Position_Sitting*Doing_Common_Housework_Light|Meeting_Social_Gathering_In_Person*Located_Indoors</t>
  </si>
  <si>
    <t>Walking*In_Position_Upright*Administering_Care_Child/Elder/Other_Adult|In_Transit_Active|Meeting_Social_Gathering_In_Person*Carrying_Bag_On_Shoulder/Back_Light|Located_Indoors</t>
  </si>
  <si>
    <t>Sitting_Still*In_Position_Sitting*Eating/Dining|Watching_TV/Movies*Holding_Drink|Located_Indoors</t>
  </si>
  <si>
    <t>Walking*In_Position_Upright*Watching_TV/Movies*Holding_Drink|In_Conversation|Located_Indoors</t>
  </si>
  <si>
    <t>Walking*In_Position_Upright*Doing_Laundry|Watching_TV/Movies*Holding_Drink|In_Conversation|Located_Indoors</t>
  </si>
  <si>
    <t>Standing_With_Movement*Posture_Other*Using_Computer/Screen*Browsing_Computer|Holding_Other_Object_Light|Located_Indoors</t>
  </si>
  <si>
    <t>Sitting_With_Movement*In_Position_Sitting*In_Transit_Active|In_Transit_Driving_Car*Located_Outdoors|Texting/Browsing_Phone</t>
  </si>
  <si>
    <t>Puttering_Around*In_Position_Upright*Watching_TV/Movies*Texting/Browsing_Phone</t>
  </si>
  <si>
    <t>Walking*In_Position_Upright*Shopping_Non-Grocery*Located_Outdoors</t>
  </si>
  <si>
    <t>Puttering_Around*In_Position_Upright*In_Transit_Driving_Car|Loading/Unloading_Vehicle*Holding_Other_Object_Light|Located_Outdoors</t>
  </si>
  <si>
    <t>Walking_Down_Stairs*In_Position_Upright*In_Transit_Passive_Train/Bus/Plane*Carrying_Bag_On_Shoulder/Back_Light|Located_Indoors</t>
  </si>
  <si>
    <t>Puttering_Around*In_Position_Upright*HIGH_LEVEL_BEHAVIOR_Unlabeled*Handwriting|Located_Indoors|Texting/Browsing_Phone</t>
  </si>
  <si>
    <t>Standing_With_Movement*In_Position_Upright*Eating/Dining*Carrying_Bag_On_Shoulder/Back_Light|Located_Outdoors</t>
  </si>
  <si>
    <t>Sitting_With_Movement*In_Position_Reclining/Slouching*Eating/Dining|Watching_TV/Movies*Legs_Crossed|Located_Indoors</t>
  </si>
  <si>
    <t>Walking*In_Position_Upright*In_Transit_Active|Packing/Unpacking_Something*Carrying_Bag_On_Shoulder/Back_Light|Holding_Solid_Food|Located_Outdoors</t>
  </si>
  <si>
    <t>Standing_Still*In_Position_Upright*HIGH_LEVEL_BEHAVIOR_Unlabeled*Located_Outdoors</t>
  </si>
  <si>
    <t>Standing_With_Movement*Posture_Other*HIGH_LEVEL_BEHAVIOR_Unlabeled*Located_Indoors</t>
  </si>
  <si>
    <t>Standing_With_Movement*In_Position_Upright*Doing_Common_Housework_Light*Handwriting|Holding_Book/Reader|Holding_Other_Object_Light|Located_Indoors</t>
  </si>
  <si>
    <t>Sitting_With_Movement*In_Position_Sitting*HLB_Other|Packing/Unpacking_Something*Located_Indoors</t>
  </si>
  <si>
    <t>Lying_With_Movement*Lying_On_Back*Playing_With_Pets|Relaxing_Passive*Located_Indoors</t>
  </si>
  <si>
    <t>Sitting_With_Movement*In_Position_Sitting*Using_Computer/Screen|Working_Other*Located_Indoors|Typing_Computer</t>
  </si>
  <si>
    <t>Sitting_With_Movement*In_Position_Sitting*Eating/Dining|Meeting_Social_Gathering_In_Person|Using_Computer/Screen*Browsing_Computer|Located_Indoors</t>
  </si>
  <si>
    <t>Standing_With_Movement*In_Position_Upright*Riding_Elevator_Down*Holding_Bag/Briefcase_Hand_Light|Holding_Drink|Located_Indoors</t>
  </si>
  <si>
    <t>Sitting_With_Movement*In_Position_Sitting*HIGH_LEVEL_BEHAVIOR_Unlabeled*CP_Video_Unavailable/Indecipherable|Located_Indoors</t>
  </si>
  <si>
    <t>Puttering_Around*In_Position_Upright*In_Transit_Active|Riding_Elevator_Down*Holding_Other_Object_Light|Located_Indoors</t>
  </si>
  <si>
    <t>Walking_Down_Stairs*In_Position_Upright*In_Transit_Active*In_Conversation|Located_Outdoors</t>
  </si>
  <si>
    <t>Walking*In_Position_Upright*In_Transit_Active*In_Conversation|Located_Indoors|On_Phone_Call</t>
  </si>
  <si>
    <t>Kneeling_With_Movement*In_Position_Kneeling*Dressing/Undressing|In_Transit_Active*Holding_Other_Object_Light|Located_Indoors|Texting/Browsing_Phone</t>
  </si>
  <si>
    <t>Sitting_With_Movement*In_Position_Sitting*Cooking/Prepping_Food*Holding_Other_Object_Light|In_Conversation|Located_Indoors</t>
  </si>
  <si>
    <t>Sitting_With_Movement*In_Position_Sitting*Eating/Dining*Browsing_Computer|Holding_Drink|Located_Indoors</t>
  </si>
  <si>
    <t>Walking*In_Position_Upright*In_Transit_Active*Holding_Other_Object_Light|Texting/Browsing_Phone</t>
  </si>
  <si>
    <t>Puttering_Around*In_Position_Upright*Packing/Unpacking_Something*Carrying_Bag_On_Shoulder/Back_Light|Located_Indoors</t>
  </si>
  <si>
    <t>Puttering_Around*In_Position_Upright*In_Transit_Active|Riding_Elevator_Up*Holding_Other_Object_Light|In_Conversation|Located_Indoors</t>
  </si>
  <si>
    <t>Sitting_With_Movement*In_Position_Sitting*Eating/Dining|In_Transit_Passive_Car*In_Conversation|Located_Outdoors</t>
  </si>
  <si>
    <t>Standing_With_Movement*In_Position_Upright*In_Transit_Active|Loading/Unloading_Vehicle*Carrying_Bag_On_Shoulder/Back_Light|Holding_Bag/Briefcase_Hand_Light|Located_Outdoors</t>
  </si>
  <si>
    <t>Standing_With_Movement*In_Position_Upright*In_Transit_Active|Packing/Unpacking_Something|Riding_Escalator_Up*Carrying_Bag_On_Shoulder/Back_Light|Holding_Bag/Briefcase_Hand_Light|Located_Outdoors</t>
  </si>
  <si>
    <t>Sitting_With_Movement*In_Position_Sitting*HLB_Other*Holding_Other_Object_Light|Located_Outdoors|Texting/Browsing_Phone</t>
  </si>
  <si>
    <t>Puttering_Around*In_Position_Upright*Dressing/Undressing|Exercising_Gym_Other*Holding_Other_Object_Light|Located_Indoors</t>
  </si>
  <si>
    <t>Walking_Down_Stairs*In_Position_Upright*In_Transit_Active*Carrying_Bag_On_Shoulder/Back_Light|Holding_Solid_Food|Located_Indoors</t>
  </si>
  <si>
    <t>Walking*In_Position_Upright*In_Transit_Active*Carrying_Bag_On_Shoulder/Back_Heavy|Carrying_Grocery_Bags_Light|Located_Indoors</t>
  </si>
  <si>
    <t>Standing_With_Movement*In_Position_Upright*In_Transit_Active*Carrying_Bag_On_Shoulder/Back_Heavy|Carrying_Grocery_Bags_Light|Located_Outdoors</t>
  </si>
  <si>
    <t>Standing_With_Movement*In_Position_Upright*Dressing/Undressing*Located_Indoors|Texting/Browsing_Phone</t>
  </si>
  <si>
    <t>Puttering_Around*In_Position_Upright*In_Transit_Active|Meeting_Social_Gathering_In_Person|Riding_Elevator_Up*In_Conversation|Located_Indoors</t>
  </si>
  <si>
    <t>Walking_Down_Stairs*In_Position_Upright*Eating/Dining|In_Transit_Active*Carrying_Bag_On_Shoulder/Back_Light|Holding_Solid_Food|Located_Outdoors</t>
  </si>
  <si>
    <t>Walking*In_Position_Upright*Shopping_Grocery*Carrying_Grocery_Bags_Light|Located_Indoors</t>
  </si>
  <si>
    <t>Brushing/Combing/Tying_Hair*In_Position_Upright*Grooming/Self_Care|Watching_TV/Movies*Holding_Other_Object_Light|Located_Indoors</t>
  </si>
  <si>
    <t>Sitting_With_Movement*In_Position_Reclining/Slouching*Using_Computer/Screen|Watching_TV/Movies*Holding_Other_Object_Light|Located_Indoors|Texting/Browsing_Phone</t>
  </si>
  <si>
    <t>Standing_With_Movement*In_Position_Upright*Dancing*Located_Indoors</t>
  </si>
  <si>
    <t>Standing_With_Movement*In_Position_Upright*In_Transit_Active|Using_Computer/Screen*Holding_Other_Object_Light|Located_Indoors|Typing_Computer</t>
  </si>
  <si>
    <t>Sitting_With_Movement*In_Position_Sitting*HIGH_LEVEL_BEHAVIOR_Unlabeled*CP_Other|Holding_Other_Object_Light|Texting/Browsing_Phone</t>
  </si>
  <si>
    <t>Standing_With_Movement*In_Position_Upright*In_Transit_Active|Riding_Escalator_Up*Located_Outdoors|Texting/Browsing_Phone</t>
  </si>
  <si>
    <t>Walking_Up_Stairs*In_Position_Upright*In_Transit_Active|Meeting_Social_Gathering_In_Person*Holding_Other_Object_Light|In_Conversation|Located_Outdoors</t>
  </si>
  <si>
    <t>Sitting_With_Movement*In_Position_Sitting*Relaxing_Passive|Using_Computer/Screen*Browsing_Computer|Located_Indoors|Texting/Browsing_Phone|Typing_Computer</t>
  </si>
  <si>
    <t>Walking*In_Position_Upright*Eating/Dining|In_Transit_Active*Holding_Drink|Holding_Other_Object_Light|Located_Indoors</t>
  </si>
  <si>
    <t>Sitting_With_Movement*In_Position_Sitting*Cleaning|Meeting_Social_Gathering_In_Person*Holding_Other_Object_Light|In_Conversation|Located_Indoors</t>
  </si>
  <si>
    <t>Walking*In_Position_Upright*Eating/Dining*Holding_Other_Object_Light|Located_Indoors|Texting/Browsing_Phone</t>
  </si>
  <si>
    <t>Standing_With_Movement*In_Position_Upright*Riding_Elevator_Up*Located_Outdoors|Texting/Browsing_Phone</t>
  </si>
  <si>
    <t>Walking_Up_Stairs*In_Position_Upright*In_Transit_Active|Meeting_Social_Gathering_In_Person*Carrying_Bag_On_Shoulder/Back_Light|In_Conversation|Located_Indoors</t>
  </si>
  <si>
    <t>Walking*In_Position_Upright*Doing_Common_Housework_Light|In_Transit_Active*Located_Indoors</t>
  </si>
  <si>
    <t>Sitting_With_Movement*In_Position_Sitting*Eating/Dining|Relaxing_Passive|Watching_TV/Movies*Holding_Drink|Legs_Crossed|Located_Indoors</t>
  </si>
  <si>
    <t>Walking*In_Position_Upright*Riding_Elevator_Down*Located_Indoors</t>
  </si>
  <si>
    <t>Sitting_With_Movement*In_Position_Sitting*Relaxing_Passive|Using_Computer/Screen*Browsing_Computer|Located_Indoors|On_Phone_Call</t>
  </si>
  <si>
    <t>Puttering_Around*In_Position_Upright*In_Transit_Active|Riding_Elevator_Down*Carrying_Bag_On_Shoulder/Back_Light|Holding_Other_Object_Light|Located_Indoors|Texting/Browsing_Phone</t>
  </si>
  <si>
    <t>Walking*In_Position_Upright*HIGH_LEVEL_BEHAVIOR_Unlabeled*Carrying_Grocery_Bags_Heavy|Located_Indoors</t>
  </si>
  <si>
    <t>Walking*In_Position_Upright*Meeting_Virtual*Holding_Other_Object_Light|Located_Outdoors|On_Video_Call/FaceTime</t>
  </si>
  <si>
    <t>Walking*In_Position_Upright*Cleaning|Doing_Common_Housework*Holding_Other_Object_Light|Located_Indoors</t>
  </si>
  <si>
    <t>Walking*In_Position_Upright*HIGH_LEVEL_BEHAVIOR_Unlabeled*Carrying_Bag_On_Shoulder/Back_Light|Carrying_Grocery_Bags_Light|Located_Outdoors</t>
  </si>
  <si>
    <t>Standing_With_Movement*In_Position_Upright*In_Transit_Active|Riding_Elevator_Down*Carrying_Bag_On_Shoulder/Back_Light|Located_Outdoors</t>
  </si>
  <si>
    <t>Standing_With_Movement*In_Position_Upright*HIGH_LEVEL_BEHAVIOR_Unlabeled*Holding_Other_Object_Heavy|Located_Outdoors</t>
  </si>
  <si>
    <t>Puttering_Around*In_Position_Upright*Watching_TV/Movies*On_Phone_Call</t>
  </si>
  <si>
    <t>Standing_With_Movement*In_Position_Upright*In_Transit_Active|Loading/Unloading_Vehicle*Located_Outdoors</t>
  </si>
  <si>
    <t>Walking_Slow*In_Position_Upright*In_Transit_Passive_Train/Bus/Plane*Carrying_Bag_On_Shoulder/Back_Light|Holding_Bag/Briefcase_Hand_Light|Located_Indoors</t>
  </si>
  <si>
    <t>Sitting_With_Movement*In_Position_Sitting*In_Transit_Active|Relaxing_Passive*Located_Outdoors|Texting/Browsing_Phone</t>
  </si>
  <si>
    <t>Standing_With_Movement*In_Position_Upright*HIGH_LEVEL_BEHAVIOR_Unlabeled*Carrying_Bag_On_Shoulder/Back_Heavy|In_Conversation|Located_Indoors</t>
  </si>
  <si>
    <t>Standing_Still*In_Position_Upright*HIGH_LEVEL_BEHAVIOR_Unlabeled*Carrying_Bag_On_Shoulder/Back_Heavy|In_Conversation|Located_Outdoors|Texting/Browsing_Phone</t>
  </si>
  <si>
    <t>Kneeling_With_Movement*In_Position_Kneeling*Playing_With_Children_Light*Carrying_Bag_On_Shoulder/Back_Light|Located_Indoors</t>
  </si>
  <si>
    <t>Walking_Fast*In_Position_Upright*In_Transit_Active*Holding_Other_Object_Light|Located_Indoors</t>
  </si>
  <si>
    <t>Standing_With_Movement*In_Position_Upright*Doing_Dishes*Holding_Drink|Located_Indoors</t>
  </si>
  <si>
    <t>Standing_With_Movement*Posture_Other*Playing_With_Pets*Located_Indoors</t>
  </si>
  <si>
    <t>Sitting_With_Movement*In_Position_Sitting*Using_Computer/Screen|Working_Other*Browsing_Computer|Holding_Other_Object_Light|Legs_Uncrossed|Located_Indoors</t>
  </si>
  <si>
    <t>Standing_With_Movement*In_Position_Upright*Riding_Elevator_Up*Holding_Drink|Holding_Solid_Food|Located_Indoors</t>
  </si>
  <si>
    <t>Sitting_With_Movement*In_Position_Sitting*Meeting_Social_Gathering_In_Person|Working_Other*Handwriting|Located_Indoors</t>
  </si>
  <si>
    <t>Sitting_With_Movement*In_Position_Sitting*Doing_Alternative_Exercise/Therapy/Stretching*Holding_Other_Object_Light|Located_Indoors</t>
  </si>
  <si>
    <t>Standing_With_Movement*In_Position_Upright*Playing_Sports/Games*Located_Indoors|Texting/Browsing_Phone</t>
  </si>
  <si>
    <t>Standing_With_Movement*In_Position_Upright*Doing_Common_Housework_Light|Meeting_Social_Gathering_In_Person*Holding_Other_Object_Light|Located_Indoors</t>
  </si>
  <si>
    <t>Lying_With_Movement*Lying_On_Back*Eating/Dining*Holding_Drink|Holding_Other_Object_Light|Located_Indoors|Texting/Browsing_Phone</t>
  </si>
  <si>
    <t>Standing_With_Movement*In_Position_Upright*Riding_Elevator_Up*Carrying_Bag_On_Shoulder/Back_Light|Holding_Other_Object_Light|Located_Indoors|On_Video_Call/FaceTime</t>
  </si>
  <si>
    <t>Puttering_Around*In_Position_Upright*Playing_Sports/Games*Holding_Other_Object_Light</t>
  </si>
  <si>
    <t>Sitting_With_Movement*In_Position_Sitting*Meeting_Social_Gathering_In_Person|Playing_Sports/Games*In_Conversation|Located_Indoors</t>
  </si>
  <si>
    <t>Standing_With_Movement*In_Position_Upright*In_Transit_Active*Holding_Other_Object_Light|In_Conversation|Located_Outdoors</t>
  </si>
  <si>
    <t>Kneeling_With_Movement*In_Position_Kneeling*Exercising_Gym_Other*In_Conversation|Located_Indoors</t>
  </si>
  <si>
    <t>Walking_Slow*In_Position_Upright*Riding_Elevator_Up*Holding_Bag/Briefcase_Hand_Light|Holding_Other_Object_Light|Located_Indoors</t>
  </si>
  <si>
    <t>Sitting_With_Movement*In_Position_Sitting*Meeting_Social_Gathering_In_Person*Holding_Solid_Food|In_Conversation|Legs_Crossed|Located_Outdoors</t>
  </si>
  <si>
    <t>Standing_With_Movement*In_Position_Upright*In_Transit_Active|Riding_Elevator_Down*Carrying_Bag_On_Shoulder/Back_Light|Holding_Bag/Briefcase_Hand_Light|Located_Indoors|Texting/Browsing_Phone</t>
  </si>
  <si>
    <t>Walking_Down_Stairs*In_Position_Upright*In_Transit_Active*Holding_Bag/Briefcase_Hand_Light|Located_Indoors</t>
  </si>
  <si>
    <t>Puttering_Around*In_Position_Upright*Loading/Unloading_Vehicle*Holding_Other_Object_Light|In_Conversation|Located_Outdoors</t>
  </si>
  <si>
    <t>Sitting_With_Movement*In_Position_Sitting*Eating/Dining|In_Transit_Passive_Car*Holding_Other_Object_Light|Holding_Solid_Food|In_Conversation|Located_Outdoors</t>
  </si>
  <si>
    <t>Walking*In_Position_Upright*In_Transit_Active*Holding_Bag/Briefcase_Hand_Light|Holding_Solid_Food|Located_Outdoors</t>
  </si>
  <si>
    <t>Walking_Up_Stairs*In_Position_Upright*In_Transit_Active*Carrying_Bag_On_Shoulder/Back_Heavy|Holding_Other_Object_Light|Located_Indoors</t>
  </si>
  <si>
    <t>Walking*In_Position_Upright*In_Transit_Active*Carrying_Bag_On_Shoulder/Back_Heavy|Holding_Solid_Food|Located_Outdoors|Texting/Browsing_Phone</t>
  </si>
  <si>
    <t>Sitting_With_Movement*In_Position_Sitting*In_Transit_Passive_Car|Meeting_Social_Gathering_In_Person*In_Conversation|Located_Outdoors|Texting/Browsing_Phone</t>
  </si>
  <si>
    <t>Sitting_With_Movement*In_Position_Sitting*Dressing/Undressing|Meeting_Social_Gathering_In_Person|Watching_TV/Movies*Holding_Other_Object_Light|In_Conversation|Located_Indoors</t>
  </si>
  <si>
    <t>Walking*In_Position_Upright*In_Transit_Active*Holding_Bag/Briefcase_Hand_Heavy|Located_Indoors</t>
  </si>
  <si>
    <t>Standing_With_Movement*In_Position_Upright*HLB_Other|Packing/Unpacking_Something*Holding_Other_Object_Light|Located_Indoors</t>
  </si>
  <si>
    <t>Standing_With_Movement*In_Position_Upright*Doing_Dishes|Meeting_Social_Gathering_In_Person*In_Conversation|Located_Indoors</t>
  </si>
  <si>
    <t>Folding_Clothes*In_Position_Upright*Doing_Laundry|In_Transit_Active*Holding_Other_Object_Light|Located_Indoors</t>
  </si>
  <si>
    <t>Puttering_Around*In_Position_Upright*In_Transit_Active|Packing/Unpacking_Something*Holding_Other_Object_Light|Located_Indoors</t>
  </si>
  <si>
    <t>Standing_With_Movement*In_Position_Upright*In_Transit_Active|Meeting_Social_Gathering_In_Person*Carrying_Bag_On_Shoulder/Back_Light|Holding_Drink|Located_Outdoors|Texting/Browsing_Phone</t>
  </si>
  <si>
    <t>Puttering_Around*In_Position_Upright*Meeting_Social_Gathering_In_Person*Holding_Drink|In_Conversation|Located_Indoors|Texting/Browsing_Phone</t>
  </si>
  <si>
    <t>Standing_With_Movement*In_Position_Upright*HIGH_LEVEL_BEHAVIOR_Unlabeled*Carrying_Bag_On_Shoulder/Back_Light|Texting/Browsing_Phone</t>
  </si>
  <si>
    <t>Standing_With_Movement*In_Position_Upright*Eating/Dining|Relaxing_Passive*Holding_Drink|Located_Indoors</t>
  </si>
  <si>
    <t>Puttering_Around*In_Position_Upright*In_Transit_Active*Holding_Book/Reader|Located_Indoors</t>
  </si>
  <si>
    <t>Sitting_With_Movement*In_Position_Sitting*Meeting_Social_Gathering_In_Person|Relaxing_Passive*Located_Indoors|Significantly_Higher_Effort_Than_Normal</t>
  </si>
  <si>
    <t>Standing_With_Movement*In_Position_Upright*In_Transit_Active*Holding_Bag/Briefcase_Hand_Light|Located_Indoors</t>
  </si>
  <si>
    <t>Walking_Up_Stairs*In_Position_Upright*Doing_Common_Housework_Light*Holding_Other_Object_Light|Located_Indoors|Texting/Browsing_Phone</t>
  </si>
  <si>
    <t>Walking_Up_Stairs*In_Position_Upright*Meeting_Virtual*Located_Indoors|On_Video_Call/FaceTime</t>
  </si>
  <si>
    <t>Walking*In_Position_Upright*In_Transit_Active*Holding_Other_Object_Light|In_Conversation|Located_Indoors|On_Video_Call/FaceTime</t>
  </si>
  <si>
    <t>Puttering_Around*In_Position_Upright*In_Transit_Active*Holding_Bag/Briefcase_Hand_Light|Located_Indoors</t>
  </si>
  <si>
    <t>Sitting_With_Movement*In_Position_Sitting*In_Bathroom*Holding_Other_Object_Light|Located_Indoors</t>
  </si>
  <si>
    <t>Walking*In_Position_Upright*Cleaning|In_Transit_Active|Meeting_Social_Gathering_In_Person*Located_Indoors</t>
  </si>
  <si>
    <t>Standing_With_Movement*In_Position_Upright*In_Transit_Passive_Train/Bus/Plane|Riding_Escalator_Up*Holding_Other_Object_Light|Located_Outdoors</t>
  </si>
  <si>
    <t>Walking_Down_Stairs*In_Position_Upright*HIGH_LEVEL_BEHAVIOR_Unlabeled*Holding_Other_Object_Light|In_Conversation|Located_Indoors|On_Video_Call/FaceTime</t>
  </si>
  <si>
    <t>Walking*In_Position_Upright*In_Transit_Driving_Car*Holding_Other_Object_Light|Located_Outdoors</t>
  </si>
  <si>
    <t>Puttering_Around*In_Position_Upright*Riding_Elevator_Up*Holding_Other_Object_Light|In_Conversation|Located_Indoors</t>
  </si>
  <si>
    <t>Standing_Still*In_Position_Upright*In_Transit_Active|Riding_Escalator_Up*Carrying_Bag_On_Shoulder/Back_Light|Holding_Bag/Briefcase_Hand_Light|Holding_Other_Object_Light|Located_Outdoors</t>
  </si>
  <si>
    <t>Standing_With_Movement*In_Position_Upright*Riding_Elevator_Up*Carrying_Bag_On_Shoulder/Back_Light|Holding_Bag/Briefcase_Hand_Light|Located_Indoors</t>
  </si>
  <si>
    <t>Standing_With_Movement*In_Position_Upright*HLB_Other*Carrying_Bag_On_Shoulder/Back_Light|Holding_Bag/Briefcase_Hand_Light|Holding_Other_Object_Light|Located_Indoors</t>
  </si>
  <si>
    <t>Sitting_With_Movement*In_Position_Reclining/Slouching*Eating/Dining*Located_Indoors|Texting/Browsing_Phone</t>
  </si>
  <si>
    <t>Puttering_Around*In_Position_Upright*In_Transit_Active|Meeting_Social_Gathering_In_Person*Holding_Other_Object_Light|In_Conversation|Located_Outdoors</t>
  </si>
  <si>
    <t>Walking*In_Position_Upright*Meeting_Social_Gathering_In_Person*Carrying_Bag_On_Shoulder/Back_Light|Holding_Drink|Located_Indoors</t>
  </si>
  <si>
    <t>Puttering_Around*In_Position_Upright*HLB_Other*Holding_Drink|Holding_Other_Object_Light|Located_Indoors</t>
  </si>
  <si>
    <t>Kneeling_With_Movement*In_Position_Kneeling*Doing_Home_Repair_Light*CONTEXTUAL_PARAMETERS_Unlabeled</t>
  </si>
  <si>
    <t>Walking*In_Position_Upright*Cooking/Prepping_Food|Meeting_Social_Gathering_In_Person*In_Conversation|Located_Indoors</t>
  </si>
  <si>
    <t>Sitting_With_Movement*In_Position_Sitting*Working_Other*Legs_Crossed|Located_Indoors|Texting/Browsing_Phone</t>
  </si>
  <si>
    <t>Standing_With_Movement*In_Position_Upright*Cleaning|Doing_Common_Housework|In_Transit_Active*Holding_Other_Object_Light|Located_Indoors</t>
  </si>
  <si>
    <t>Sitting_With_Movement*In_Position_Sitting*Watching_TV/Movies*Holding_Other_Object_Light|Legs_Crossed|Located_Indoors|Texting/Browsing_Phone</t>
  </si>
  <si>
    <t>Sitting_With_Movement*In_Position_Sitting*Eating/Dining|Meeting_Social_Gathering_In_Person*In_Conversation|Legs_Crossed|Located_Indoors</t>
  </si>
  <si>
    <t>Walking_Slow*In_Position_Upright*Meeting_Social_Gathering_In_Person*In_Conversation|Located_Outdoors</t>
  </si>
  <si>
    <t>Sitting_With_Movement*In_Position_Sitting*Using_Computer/Screen*In_Conversation|Legs_Uncrossed|Located_Indoors</t>
  </si>
  <si>
    <t>Walking*In_Position_Upright*Eating/Dining|In_Transit_Active*Holding_Other_Object_Light|Holding_Solid_Food|Located_Indoors</t>
  </si>
  <si>
    <t>Sitting_With_Movement*In_Position_Sitting*Relaxing_Passive|Watching_TV/Movies*Legs_Crossed|Located_Indoors|Texting/Browsing_Phone</t>
  </si>
  <si>
    <t>Standing_With_Movement*In_Position_Upright*In_Transit_Active*Holding_Solid_Food|In_Conversation|Located_Indoors</t>
  </si>
  <si>
    <t>Washing_Hands*In_Position_Upright*In_Transit_Active*Carrying_Bag_On_Shoulder/Back_Light|Located_Indoors</t>
  </si>
  <si>
    <t>Standing_With_Movement*In_Position_Upright*In_Transit_Active*Carrying_Bag_On_Shoulder/Back_Light|Holding_Other_Object_Light|Located_Indoors|On_Phone_Call</t>
  </si>
  <si>
    <t>Standing_With_Movement*In_Position_Upright*Doing_Laundry*Holding_Other_Object_Heavy|Located_Indoors</t>
  </si>
  <si>
    <t>Standing_With_Movement*In_Position_Upright*Packing/Unpacking_Something|Using_Computer/Screen|Working_Other*Holding_Other_Object_Light|Located_Indoors</t>
  </si>
  <si>
    <t>Standing_With_Movement*In_Position_Upright*Eating/Dining|In_Transit_Active*Holding_Other_Object_Light|Holding_Solid_Food|In_Conversation|Located_Outdoors</t>
  </si>
  <si>
    <t>Standing_With_Movement*In_Position_Upright*In_Transit_Active|Riding_Escalator_Down*Carrying_Bag_On_Shoulder/Back_Light|Holding_Bag/Briefcase_Hand_Light|Located_Indoors</t>
  </si>
  <si>
    <t>Walking*In_Position_Upright*In_Transit_Active|Meeting_Virtual*Holding_Other_Object_Light|Located_Indoors|On_Video_Call/FaceTime</t>
  </si>
  <si>
    <t>Walking*In_Position_Upright*Eating/Dining|In_Transit_Active*Carrying_Bag_On_Shoulder/Back_Light|Holding_Solid_Food|Located_Outdoors|Texting/Browsing_Phone</t>
  </si>
  <si>
    <t>Standing_With_Movement*In_Position_Upright*In_Transit_Active*Carrying_Bag_On_Shoulder/Back_Light|Holding_Solid_Food|Located_Indoors</t>
  </si>
  <si>
    <t>Standing_With_Movement*In_Position_Upright*Packing/Unpacking_Something*Holding_Other_Object_Light|Located_Indoors|Texting/Browsing_Phone</t>
  </si>
  <si>
    <t>Lying_With_Movement*Lying_On_Left_Side*Sleeping*Holding_Other_Object_Light|Located_Indoors</t>
  </si>
  <si>
    <t>Walking_Up_Stairs*In_Position_Upright*In_Transit_Active*Holding_Other_Object_Light|In_Conversation|Located_Outdoors</t>
  </si>
  <si>
    <t>Standing_With_Movement*In_Position_Upright*HIGH_LEVEL_BEHAVIOR_Unlabeled*Holding_Drink|In_Conversation|Located_Outdoors</t>
  </si>
  <si>
    <t>Walking*In_Position_Upright*Eating/Dining|Watching_TV/Movies*Holding_Drink|Located_Indoors|Texting/Browsing_Phone</t>
  </si>
  <si>
    <t>Lying_With_Movement*Lying_On_Stomach*Meeting_Social_Gathering_In_Person*Holding_Other_Object_Light|In_Conversation|Located_Indoors</t>
  </si>
  <si>
    <t>Kneeling_With_Movement*In_Position_Kneeling*Working_Other*Holding_Other_Object_Light</t>
  </si>
  <si>
    <t>Sitting_With_Movement*In_Position_Sitting*Dancing|Meeting_Social_Gathering_In_Person*Holding_Other_Object_Light|In_Conversation|Located_Indoors</t>
  </si>
  <si>
    <t>Puttering_Around*In_Position_Upright*Cleaning*Holding_Bag/Briefcase_Hand_Light|Located_Indoors</t>
  </si>
  <si>
    <t>Standing_With_Movement*In_Position_Upright*In_Transit_Active|Meeting_Social_Gathering_In_Person*Carrying_Bag_On_Shoulder/Back_Light|Holding_Solid_Food|Located_Outdoors</t>
  </si>
  <si>
    <t>Walking*In_Position_Upright*Eating/Dining|In_Transit_Active*Holding_Drink|Located_Indoors|On_Phone_Call</t>
  </si>
  <si>
    <t>Walking_Up_Stairs*In_Position_Upright*In_Transit_Active*Carrying_Bag_On_Shoulder/Back_Light|Holding_Drink|In_Conversation|Located_Indoors</t>
  </si>
  <si>
    <t>Standing_Still*In_Position_Upright*Riding_Escalator_Up*Carrying_Bag_On_Shoulder/Back_Heavy|Located_Outdoors</t>
  </si>
  <si>
    <t>Walking*In_Position_Upright*HIGH_LEVEL_BEHAVIOR_Unlabeled*Holding_Bag/Briefcase_Hand_Light|In_Conversation|Located_Indoors</t>
  </si>
  <si>
    <t>Standing_With_Movement*In_Position_Upright*In_Transit_Active*Holding_Book/Reader|Located_Indoors</t>
  </si>
  <si>
    <t>Standing_With_Movement*In_Position_Upright*Meeting_Social_Gathering_In_Person|Riding_Escalator_Down*Carrying_Grocery_Bags_Light|Holding_Other_Object_Light|In_Conversation|Located_Indoors</t>
  </si>
  <si>
    <t>Walking_Slow*In_Position_Upright*Shopping_Non-Grocery*Carrying_Bag_On_Shoulder/Back_Light|Holding_Other_Object_Light|In_Conversation|Located_Indoors</t>
  </si>
  <si>
    <t>Standing_With_Movement*In_Position_Upright*In_Transit_Active*Holding_Bag/Briefcase_Hand_Light|In_Conversation|Located_Outdoors</t>
  </si>
  <si>
    <t>Standing_With_Movement*In_Position_Upright*Cooking/Prepping_Food|In_Transit_Active|Meeting_Social_Gathering_In_Person*Holding_Other_Object_Light|In_Conversation|Located_Indoors</t>
  </si>
  <si>
    <t>Standing_With_Movement*In_Position_Upright*In_Transit_Active|Riding_Elevator_Up*Carrying_Bag_On_Shoulder/Back_Light|Holding_Bag/Briefcase_Hand_Light|Located_Indoors</t>
  </si>
  <si>
    <t>Sitting_With_Movement*In_Position_Sitting*Exercising_Gym_Stationary_Bicycle*Holding_Drink|Located_Indoors</t>
  </si>
  <si>
    <t>Walking*In_Position_Upright*In_Transit_Passive_Train/Bus/Plane*Holding_Drink|Located_Outdoors</t>
  </si>
  <si>
    <t>Walking*In_Position_Upright*Cooking/Prepping_Food|Eating/Dining|Watching_TV/Movies*CONTEXTUAL_PARAMETERS_Unlabeled</t>
  </si>
  <si>
    <t>Standing_With_Movement*In_Position_Upright*Cooking/Prepping_Food|Doing_Common_Housework*Holding_Other_Object_Light|Located_Indoors</t>
  </si>
  <si>
    <t>Sitting_With_Movement*In_Position_Sitting*Doing_Dishes*Holding_Other_Object_Light|Located_Indoors|Texting/Browsing_Phone</t>
  </si>
  <si>
    <t>Sitting_With_Movement*In_Position_Sitting*Packing/Unpacking_Something*Holding_Other_Object_Light|In_Conversation|Located_Indoors|On_Video_Call/FaceTime</t>
  </si>
  <si>
    <t>Standing_With_Movement*In_Position_Upright*Meeting_Social_Gathering_In_Person|Using_Computer/Screen*In_Conversation|Located_Indoors|Typing_Computer</t>
  </si>
  <si>
    <t>Walking*In_Position_Upright*In_Transit_Active*Carrying_Bag_On_Shoulder/Back_Heavy|Holding_Bag/Briefcase_Hand_Light|Holding_Other_Object_Light|Located_Indoors</t>
  </si>
  <si>
    <t>Sitting_With_Movement*In_Position_Sitting*In_Transit_Active|Meeting_Social_Gathering_In_Person|Relaxing_Passive*In_Conversation|Located_Indoors</t>
  </si>
  <si>
    <t>Walking*In_Position_Upright*Cooking/Prepping_Food|Doing_Common_Housework_Light*Holding_Other_Object_Light|Located_Indoors</t>
  </si>
  <si>
    <t>Standing_With_Movement*In_Position_Upright*Doing_Common_Housework_Light|Doing_Dishes*Holding_Drink|Located_Indoors</t>
  </si>
  <si>
    <t>Walking_Down_Stairs*In_Position_Upright*HLB_Other*Holding_Other_Object_Light|Located_Indoors</t>
  </si>
  <si>
    <t>Walking_Down_Stairs*In_Position_Upright*HIGH_LEVEL_BEHAVIOR_Unlabeled*CONTEXTUAL_PARAMETERS_Unlabeled</t>
  </si>
  <si>
    <t>Walking*In_Position_Upright*Shopping_Grocery*CP_Other|Located_Outdoors</t>
  </si>
  <si>
    <t>Puttering_Around*In_Position_Upright*Packing/Unpacking_Something*Carrying_Bag_On_Shoulder/Back_Light|Holding_Other_Object_Light|Located_Indoors</t>
  </si>
  <si>
    <t>Sitting_With_Movement*In_Position_Sitting*Doing_Resistance_Training|Exercising_Gym_Other*Holding_Drink|Located_Indoors</t>
  </si>
  <si>
    <t>Standing_With_Movement*In_Position_Upright*Meeting_Social_Gathering_In_Person*Carrying_Grocery_Bags_Light|In_Conversation|Located_Indoors</t>
  </si>
  <si>
    <t>Walking_Down_Stairs*In_Position_Upright*In_Transit_Active*Carrying_Bag_On_Shoulder/Back_Light|Holding_Other_Object_Light|Located_Outdoors|Texting/Browsing_Phone</t>
  </si>
  <si>
    <t>Walking*In_Position_Upright*In_Transit_Active*Carrying_Grocery_Bags_Light|Located_Outdoors|On_Phone_Call</t>
  </si>
  <si>
    <t>Sitting_With_Movement*In_Position_Reclining/Slouching*Using_Computer/Screen|Watching_TV/Movies*Holding_Other_Object_Light|Legs_Crossed|Located_Indoors</t>
  </si>
  <si>
    <t>Sitting_With_Movement*In_Position_Sitting*Meeting_Social_Gathering_In_Person*Hand_In_Pocket|Holding_Other_Object_Light|In_Conversation|Located_Indoors</t>
  </si>
  <si>
    <t>Sitting_With_Movement*In_Position_Sitting*Doing_Common_Housework_Light|Using_Computer/Screen*Located_Indoors</t>
  </si>
  <si>
    <t>Sitting_With_Movement*In_Position_Sitting*Doing_Common_Housework_Light|Eating/Dining|Using_Computer/Screen*Holding_Other_Object_Light|Located_Indoors</t>
  </si>
  <si>
    <t>Walking_Slow*In_Position_Upright*Riding_Elevator_Up*Carrying_Bag_On_Shoulder/Back_Light|Holding_Other_Object_Light|Located_Indoors</t>
  </si>
  <si>
    <t>Walking_Down_Stairs*In_Position_Upright*In_Transit_Active*Carrying_Bag_On_Shoulder/Back_Light|Holding_Bag/Briefcase_Hand_Light|Located_Outdoors</t>
  </si>
  <si>
    <t>Puttering_Around*In_Position_Upright*HLB_Other*Holding_Drink|In_Conversation|Located_Indoors</t>
  </si>
  <si>
    <t>Standing_With_Movement*In_Position_Upright*Meeting_Social_Gathering_In_Person*Carrying_Bag_On_Shoulder/Back_Light|Holding_Other_Object_Light|Located_Outdoors</t>
  </si>
  <si>
    <t>Puttering_Around*In_Position_Upright*In_Transit_Active|Riding_Elevator_Down*Carrying_Bag_On_Shoulder/Back_Light|Located_Indoors</t>
  </si>
  <si>
    <t>Walking*In_Position_Upright*In_Transit_Active*Carrying_Bag_On_Shoulder/Back_Light|Holding_Solid_Food|Located_Outdoors|Texting/Browsing_Phone</t>
  </si>
  <si>
    <t>Walking*In_Position_Upright*In_Transit_Active*Carrying_Bag_On_Shoulder/Back_Heavy|Carrying_Grocery_Bags_Light|Located_Indoors|Texting/Browsing_Phone</t>
  </si>
  <si>
    <t>Walking_Slow*In_Position_Upright*In_Transit_Active|Meeting_Social_Gathering_In_Person|Watching_TV/Movies*Holding_Other_Object_Light|Located_Outdoors</t>
  </si>
  <si>
    <t>Standing_With_Movement*In_Position_Upright*Cooking/Prepping_Food|Doing_Dishes*Holding_Other_Object_Light|In_Conversation|Located_Indoors</t>
  </si>
  <si>
    <t>Puttering_Around*In_Position_Upright*Packing/Unpacking_Something|Watching_TV/Movies*Holding_Other_Object_Light|Located_Indoors|Texting/Browsing_Phone</t>
  </si>
  <si>
    <t>Standing_With_Movement*In_Position_Upright*Meeting_Social_Gathering_In_Person*In_Conversation</t>
  </si>
  <si>
    <t>Sitting_With_Movement*In_Position_Sitting*Using_Computer/Screen*Located_Indoors|On_Phone_Call|Texting/Browsing_Phone</t>
  </si>
  <si>
    <t>Puttering_Around*In_Position_Upright*HLB_Other|Meeting_Social_Gathering_In_Person*Holding_Drink|In_Conversation|Located_Indoors</t>
  </si>
  <si>
    <t>Walking*In_Position_Upright*In_Transit_Active*Carrying_Bag_On_Shoulder/Back_Light|In_Conversation|Located_Indoors|Texting/Browsing_Phone</t>
  </si>
  <si>
    <t>Lying_With_Movement*Lying_On_Left_Side*HIGH_LEVEL_BEHAVIOR_Unlabeled*Holding_Other_Object_Light|Located_Indoors</t>
  </si>
  <si>
    <t>Walking_Up_Stairs*In_Position_Upright*In_Transit_Active|Meeting_Social_Gathering_In_Person*Carrying_Grocery_Bags_Light|In_Conversation|Located_Indoors</t>
  </si>
  <si>
    <t>Standing_With_Movement*In_Position_Upright*Meeting_Social_Gathering_In_Person|Riding_Elevator_Down*Holding_Drink|Located_Indoors</t>
  </si>
  <si>
    <t>Standing_With_Movement*In_Position_Upright*Meeting_Social_Gathering_In_Person|Shopping_Non-Grocery*Carrying_Bag_On_Shoulder/Back_Light|Holding_Drink|Located_Indoors</t>
  </si>
  <si>
    <t>Sitting_With_Movement*In_Position_Reclining/Slouching*Relaxing_Passive*Located_Indoors|On_Video_Call/FaceTime|Texting/Browsing_Phone</t>
  </si>
  <si>
    <t>Standing_With_Movement*In_Position_Upright*Riding_Escalator_Up|Shopping_Grocery*Carrying_Bag_On_Shoulder/Back_Light|Carrying_Grocery_Bags_Light|Located_Indoors</t>
  </si>
  <si>
    <t>Lying_With_Movement*Lying_On_Back*Doing_Common_Housework*Located_Indoors</t>
  </si>
  <si>
    <t>Puttering_Around*In_Position_Upright*In_Transit_Active|Watching_TV/Movies*Located_Indoors|Texting/Browsing_Phone</t>
  </si>
  <si>
    <t>Sitting_With_Movement*In_Position_Reclining/Slouching*Dressing/Undressing*Located_Indoors</t>
  </si>
  <si>
    <t>Standing_With_Movement*In_Position_Upright*Meeting_Social_Gathering_In_Person|Shopping_Non-Grocery*Carrying_Grocery_Bags_Light|Holding_Other_Object_Light|Located_Indoors</t>
  </si>
  <si>
    <t>Standing_With_Movement*In_Position_Upright*Meeting_Social_Gathering_In_Person|Riding_Escalator_Up*Carrying_Grocery_Bags_Light|Holding_Other_Object_Light|In_Conversation|Located_Indoors</t>
  </si>
  <si>
    <t>Walking_Up_Stairs*In_Position_Upright*Meeting_Social_Gathering_In_Person*Carrying_Bag_On_Shoulder/Back_Light|In_Conversation|Located_Indoors</t>
  </si>
  <si>
    <t>Sitting_With_Movement*In_Position_Sitting*Meeting_Virtual|Watching_TV/Movies*Holding_Other_Object_Light|In_Conversation|Located_Indoors|Texting/Browsing_Phone</t>
  </si>
  <si>
    <t>Sitting_With_Movement*In_Position_Sitting*Meeting_Social_Gathering_In_Person*Holding_Bag/Briefcase_Hand_Light|In_Conversation|Located_Outdoors</t>
  </si>
  <si>
    <t>Puttering_Around*In_Position_Upright*Loading/Unloading_Vehicle*Located_Outdoors|Texting/Browsing_Phone</t>
  </si>
  <si>
    <t>Standing_With_Movement*In_Position_Upright*HIGH_LEVEL_BEHAVIOR_Unlabeled*Carrying_Bag_On_Shoulder/Back_Light|Holding_Drink|Located_Indoors</t>
  </si>
  <si>
    <t>Walking_Slow*In_Position_Upright*HIGH_LEVEL_BEHAVIOR_Unlabeled*Located_Outdoors</t>
  </si>
  <si>
    <t>Walking*In_Position_Upright*HIGH_LEVEL_BEHAVIOR_Unlabeled*Carrying_Bag_On_Shoulder/Back_Light|Carrying_Grocery_Bags_Light|Located_Indoors</t>
  </si>
  <si>
    <t>Puttering_Around*In_Position_Upright*Riding_Elevator_Up*Located_Outdoors</t>
  </si>
  <si>
    <t>Lying_With_Movement*Lying_On_Back*Doing_Alternative_Exercise/Therapy/Stretching*Located_Indoors|Texting/Browsing_Phone</t>
  </si>
  <si>
    <t>Puttering_Around*In_Position_Upright*HIGH_LEVEL_BEHAVIOR_Unlabeled*Located_Indoors|Located_Outdoors</t>
  </si>
  <si>
    <t>Standing_Still*In_Position_Upright*Grooming/Self_Care*Located_Indoors</t>
  </si>
  <si>
    <t>Walking*In_Position_Upright*Administering_Care_Child/Elder/Other_Adult*Holding_Solid_Food|Located_Indoors</t>
  </si>
  <si>
    <t>Standing_With_Movement*In_Position_Upright*Playing_Videogame*Holding_Other_Object_Light|Located_Indoors</t>
  </si>
  <si>
    <t>Walking_Up_Stairs*In_Position_Upright*In_Transit_Active*Carrying_Bag_On_Shoulder/Back_Light|Holding_Solid_Food|Located_Indoors</t>
  </si>
  <si>
    <t>Standing_With_Movement*In_Position_Upright*Meeting_Social_Gathering_In_Person*Holding_Drink|Holding_Other_Object_Light|Located_Indoors</t>
  </si>
  <si>
    <t>Standing_With_Movement*In_Position_Upright*Eating/Dining|In_Transit_Active*Carrying_Bag_On_Shoulder/Back_Light|Holding_Solid_Food|Located_Outdoors|Texting/Browsing_Phone</t>
  </si>
  <si>
    <t>Puttering_Around*In_Position_Upright*Eating/Dining*Holding_Drink</t>
  </si>
  <si>
    <t>Putting_Clothes_Away*Posture_Video_Unavailable/Indecipherable*Doing_Laundry|Playing_With_Pets*Located_Indoors</t>
  </si>
  <si>
    <t>Standing_With_Movement*In_Position_Upright*Riding_Elevator_Up*Holding_Drink|In_Conversation|Located_Indoors</t>
  </si>
  <si>
    <t>Sitting_With_Movement*In_Position_Sitting*Eating/Dining|Meeting_Virtual|Using_Computer/Screen*Holding_Drink|Located_Indoors</t>
  </si>
  <si>
    <t>Sitting_With_Movement*In_Position_Sitting*Eating/Dining|Meeting_Social_Gathering_In_Person*Holding_Other_Object_Light|Legs_Crossed|Located_Indoors</t>
  </si>
  <si>
    <t>Puttering_Around*In_Position_Upright*In_Transit_Active|Riding_Elevator_Up*Located_Indoors|Texting/Browsing_Phone</t>
  </si>
  <si>
    <t>Sitting_With_Movement*In_Position_Reclining/Slouching*Using_Computer/Screen*In_Conversation|Located_Indoors|Typing_Computer</t>
  </si>
  <si>
    <t>Puttering_Around*In_Position_Upright*Cooking/Prepping_Food|Eating/Dining*In_Conversation|Located_Indoors</t>
  </si>
  <si>
    <t>Standing_With_Movement*In_Position_Upright*Loading/Unloading_Vehicle*Holding_Bag/Briefcase_Hand_Light|Located_Outdoors</t>
  </si>
  <si>
    <t>Walking*In_Position_Upright*Loading/Unloading_Vehicle*Located_Outdoors</t>
  </si>
  <si>
    <t>Puttering_Around*In_Position_Upright*Administering_Care_Child/Elder/Other_Adult*Carrying_Bag_On_Shoulder/Back_Heavy|In_Conversation|Located_Outdoors|Texting/Browsing_Phone</t>
  </si>
  <si>
    <t>Sitting_With_Movement*In_Position_Sitting*In_Transit_Passive_Car*Holding_Drink|In_Conversation|Located_Outdoors|Texting/Browsing_Phone</t>
  </si>
  <si>
    <t>Walking*In_Position_Upright*Loading/Unloading_Vehicle*Holding_Other_Object_Light|Located_Outdoors</t>
  </si>
  <si>
    <t>Standing_With_Movement*In_Position_Upright*Packing/Unpacking_Something*Holding_Drink|Located_Indoors</t>
  </si>
  <si>
    <t>Sitting_With_Movement*In_Position_Sitting*HLB_Other|Relaxing_Passive*In_Conversation|Located_Indoors|On_Video_Call/FaceTime|Texting/Browsing_Phone</t>
  </si>
  <si>
    <t>Sitting_With_Movement*In_Position_Reclining/Slouching*Using_Computer/Screen*Legs_Crossed|Located_Indoors|Texting/Browsing_Phone</t>
  </si>
  <si>
    <t>Standing_With_Movement*In_Position_Upright*Dressing/Undressing|Meeting_Social_Gathering_In_Person*In_Conversation|Located_Indoors</t>
  </si>
  <si>
    <t>Walking_Down_Stairs*In_Position_Upright*HIGH_LEVEL_BEHAVIOR_Unlabeled*Carrying_Bag_On_Shoulder/Back_Light|In_Conversation|Located_Indoors</t>
  </si>
  <si>
    <t>Standing_With_Movement*In_Position_Upright*In_Transit_Active*Holding_Other_Object_Light|Located_Indoors|On_Video_Call/FaceTime</t>
  </si>
  <si>
    <t>Standing_With_Movement*In_Position_Upright*In_Transit_Active*Holding_Other_Object_Light|Located_Indoors|On_Phone_Call</t>
  </si>
  <si>
    <t>Standing_With_Movement*In_Position_Upright*Riding_Elevator_Down*Carrying_Bag_On_Shoulder/Back_Light|In_Conversation|Located_Indoors</t>
  </si>
  <si>
    <t>Walking*In_Position_Upright*HIGH_LEVEL_BEHAVIOR_Unlabeled*Carrying_Bag_On_Shoulder/Back_Light|Located_Outdoors|On_Phone_Call|Texting/Browsing_Phone</t>
  </si>
  <si>
    <t>Standing_With_Movement*In_Position_Upright*In_Transit_Active|Meeting_Social_Gathering_In_Person|Riding_Escalator_Up*Carrying_Bag_On_Shoulder/Back_Light|In_Conversation|Located_Indoors</t>
  </si>
  <si>
    <t>Kneeling_With_Movement*In_Position_Kneeling*Doing_Common_Housework_Light*Located_Indoors</t>
  </si>
  <si>
    <t>Puttering_Around*In_Position_Upright*Cooking/Prepping_Food|In_Transit_Active|Meeting_Social_Gathering_In_Person*Holding_Drink|In_Conversation|Located_Indoors</t>
  </si>
  <si>
    <t>Sitting_With_Movement*In_Position_Sitting*Eating/Dining|Meeting_Social_Gathering_In_Person|Relaxing_Passive|Using_Computer/Screen*Browsing_Computer|Holding_Drink|In_Conversation|Located_Indoors</t>
  </si>
  <si>
    <t>Standing_With_Movement*In_Position_Upright*HIGH_LEVEL_BEHAVIOR_Unlabeled*Holding_Bag/Briefcase_Hand_Light|Located_Outdoors</t>
  </si>
  <si>
    <t>Walking*In_Position_Upright*HIGH_LEVEL_BEHAVIOR_Unlabeled*Holding_Bag/Briefcase_Hand_Light|Located_Indoors|Texting/Browsing_Phone</t>
  </si>
  <si>
    <t>Sitting_With_Movement*In_Position_Sitting*Eating/Dining|In_Transit_Driving_Car*Holding_Solid_Food|In_Conversation|Located_Outdoors</t>
  </si>
  <si>
    <t>Walking_Slow*In_Position_Upright*HIGH_LEVEL_BEHAVIOR_Unlabeled*Carrying_Bag_On_Shoulder/Back_Light|In_Conversation|Located_Indoors|Texting/Browsing_Phone</t>
  </si>
  <si>
    <t>Walking*In_Position_Upright*Cleaning|In_Transit_Active|Meeting_Social_Gathering_In_Person|Relaxing_Passive*Holding_Drink|Located_Indoors</t>
  </si>
  <si>
    <t>Standing_With_Movement*In_Position_Upright*In_Transit_Active|Riding_Elevator_Up*Located_Outdoors|Texting/Browsing_Phone</t>
  </si>
  <si>
    <t>Puttering_Around*In_Position_Upright*HIGH_LEVEL_BEHAVIOR_Unlabeled*Holding_Other_Object_Light|In_Conversation|Located_Outdoors|On_Video_Call/FaceTime</t>
  </si>
  <si>
    <t>Walking_Up_Stairs*In_Position_Upright*HIGH_LEVEL_BEHAVIOR_Unlabeled*Holding_Other_Object_Light|In_Conversation|Located_Indoors|On_Video_Call/FaceTime</t>
  </si>
  <si>
    <t>Standing_Still*In_Position_Upright*In_Transit_Active|Riding_Escalator_Up*Carrying_Bag_On_Shoulder/Back_Light|Holding_Bag/Briefcase_Hand_Light|Located_Indoors</t>
  </si>
  <si>
    <t>Standing_With_Movement*In_Position_Upright*Flagged_Special_Circumstances*Holding_Bag/Briefcase_Hand_Light|In_Conversation|Located_Indoors</t>
  </si>
  <si>
    <t>Puttering_Around*In_Position_Upright*HIGH_LEVEL_BEHAVIOR_Unlabeled*Carrying_Bag_On_Shoulder/Back_Light|In_Conversation|Located_Outdoors</t>
  </si>
  <si>
    <t>Sitting_With_Movement*In_Position_Sitting*Meeting_Virtual*Legs_Crossed|Located_Indoors|Texting/Browsing_Phone</t>
  </si>
  <si>
    <t>Puttering_Around*In_Position_Upright*Meeting_Social_Gathering_In_Person|Shopping_Non-Grocery*Carrying_Grocery_Bags_Light|Holding_Other_Object_Light|In_Conversation|Located_Indoors|Texting/Browsing_Phone</t>
  </si>
  <si>
    <t>Walking_Up_Stairs*In_Position_Upright*HLB_Other*Holding_Other_Object_Light|Located_Indoors</t>
  </si>
  <si>
    <t>Sitting_With_Movement*In_Position_Sitting*Playing_With_Pets|Using_Computer/Screen*Located_Indoors</t>
  </si>
  <si>
    <t>Standing_With_Movement*Posture_Other*HIGH_LEVEL_BEHAVIOR_Unlabeled*Holding_Other_Object_Light|Located_Indoors</t>
  </si>
  <si>
    <t>Standing_With_Movement*In_Position_Upright*Cleaning|Doing_Common_Housework_Light*Located_Indoors</t>
  </si>
  <si>
    <t>Standing_With_Movement*In_Position_Upright*Grooming/Self_Care*Carrying_Bag_On_Shoulder/Back_Light|Holding_Other_Object_Light|Located_Indoors</t>
  </si>
  <si>
    <t>Puttering_Around*In_Position_Upright*Dressing/Undressing|Meeting_Social_Gathering_In_Person*Carrying_Bag_On_Shoulder/Back_Light|Holding_Other_Object_Light|In_Conversation|Located_Indoors</t>
  </si>
  <si>
    <t>Organizing_Shelf/Cabinet*In_Position_Upright*Doing_Common_Housework*Located_Indoors</t>
  </si>
  <si>
    <t>Walking_Up_Stairs*In_Position_Upright*In_Transit_Active*Holding_Drink|Holding_Other_Object_Light|In_Conversation|Located_Outdoors</t>
  </si>
  <si>
    <t>Sitting_With_Movement*In_Position_Sitting*Meeting_Social_Gathering_In_Person*Holding_Drink|Holding_Other_Object_Light|In_Conversation|Located_Outdoors</t>
  </si>
  <si>
    <t>Standing_With_Movement*In_Position_Upright*Meeting_Social_Gathering_In_Person|Riding_Elevator_Up*Holding_Other_Object_Light|Located_Indoors|Texting/Browsing_Phone</t>
  </si>
  <si>
    <t>Puttering_Around*In_Position_Upright*Packing/Unpacking_Something|Watching_TV/Movies*Located_Indoors|Texting/Browsing_Phone</t>
  </si>
  <si>
    <t>Standing_With_Movement*In_Position_Upright*HLB_Video_Unavailable/Indecipherable*CP_Too_Complex|Located_Indoors</t>
  </si>
  <si>
    <t>Puttering_Around*In_Position_Upright*Loading/Unloading_Vehicle|Meeting_Social_Gathering_In_Person*Holding_Other_Object_Heavy|In_Conversation|Located_Outdoors</t>
  </si>
  <si>
    <t>Standing_With_Movement*In_Position_Upright*Dressing/Undressing*Holding_Other_Object_Light|Located_Indoors|On_Phone_Call</t>
  </si>
  <si>
    <t>Washing_Hands*In_Position_Upright*Cooking/Prepping_Food|Meeting_Social_Gathering_In_Person*In_Conversation|Located_Indoors</t>
  </si>
  <si>
    <t>Puttering_Around*In_Position_Upright*Using_Computer/Screen*Holding_Other_Object_Light|Located_Indoors</t>
  </si>
  <si>
    <t>Standing_With_Movement*In_Position_Upright*Dressing/Undressing|Meeting_Formal_Gathering_In_Person*Holding_Other_Object_Light|In_Conversation|Located_Indoors</t>
  </si>
  <si>
    <t>Standing_With_Movement*In_Position_Upright*In_Transit_Active|Riding_Escalator_Up*Carrying_Bag_On_Shoulder/Back_Light|Located_Outdoors|On_Phone_Call|Texting/Browsing_Phone</t>
  </si>
  <si>
    <t>Standing_With_Movement*In_Position_Upright*In_Transit_Active|Meeting_Social_Gathering_In_Person|Riding_Escalator_Up*Carrying_Bag_On_Shoulder/Back_Light</t>
  </si>
  <si>
    <t>Walking*In_Position_Upright*HLB_Other|In_Transit_Active*In_Conversation|Located_Outdoors</t>
  </si>
  <si>
    <t>Sitting_Still*In_Position_Sitting*Relaxing_Passive*Holding_Book/Reader|Located_Indoors|Texting/Browsing_Phone</t>
  </si>
  <si>
    <t>Sitting_With_Movement*In_Position_Sitting*Doing_Home_Repair*In_Conversation|Located_Indoors</t>
  </si>
  <si>
    <t>Standing_With_Movement*In_Position_Upright*Meeting_Formal_Gathering_In_Person|Packing/Unpacking_Something*Holding_Other_Object_Light|In_Conversation|Located_Indoors</t>
  </si>
  <si>
    <t>Walking*In_Position_Upright*In_Transit_Active|Shopping_Grocery*Holding_Bag/Briefcase_Hand_Light|In_Conversation</t>
  </si>
  <si>
    <t>Washing_Hands*In_Position_Upright*Grooming/Self_Care|In_Bathroom*Carrying_Grocery_Bags_Light|Located_Outdoors</t>
  </si>
  <si>
    <t>Sitting_With_Movement*In_Position_Sitting*Cooking/Prepping_Food|Using_Computer/Screen*Browsing_Computer|Located_Indoors</t>
  </si>
  <si>
    <t>Walking*In_Position_Upright*Meeting_Virtual*Holding_Solid_Food|Located_Outdoors|On_Video_Call/FaceTime</t>
  </si>
  <si>
    <t>Sitting_With_Movement*In_Position_Sitting*Meeting_Social_Gathering_In_Person|Relaxing_Passive*Holding_Drink|Located_Indoors</t>
  </si>
  <si>
    <t>Puttering_Around*In_Position_Upright*Cooking/Prepping_Food|Using_Computer/Screen|Working_Other*Located_Indoors</t>
  </si>
  <si>
    <t>Sitting_With_Movement*In_Position_Sitting*In_Transit_Active*Carrying_Bag_On_Shoulder/Back_Light|Holding_Bag/Briefcase_Hand_Light|Located_Indoors</t>
  </si>
  <si>
    <t>Standing_With_Movement*In_Position_Upright*HIGH_LEVEL_BEHAVIOR_Unlabeled*Holding_Solid_Food</t>
  </si>
  <si>
    <t>Sitting_Still*In_Position_Sitting*Meeting_Formal_Gathering_In_Person*Holding_Other_Object_Light|In_Conversation|Located_Indoors</t>
  </si>
  <si>
    <t>Walking*In_Position_Upright*In_Transit_Active|Meeting_Virtual*Holding_Other_Object_Light|In_Conversation|Located_Indoors|On_Video_Call/FaceTime</t>
  </si>
  <si>
    <t>Walking*In_Position_Upright*Cooking/Prepping_Food*Holding_Drink|Located_Indoors</t>
  </si>
  <si>
    <t>Walking*In_Position_Upright*In_Transit_Active|Riding_Elevator_Down*Located_Indoors|Texting/Browsing_Phone</t>
  </si>
  <si>
    <t>Sitting_With_Movement*In_Position_Sitting*Working_Other*CP_Video_Unavailable/Indecipherable|Holding_Other_Object_Light|Located_Indoors</t>
  </si>
  <si>
    <t>Puttering_Around*In_Position_Upright*Doing_Common_Housework_Light*Located_Indoors|On_Phone_Call</t>
  </si>
  <si>
    <t>Standing_With_Movement*In_Position_Upright*In_Bathroom*Holding_Other_Object_Light|In_Conversation|Located_Indoors|Texting/Browsing_Phone</t>
  </si>
  <si>
    <t>Puttering_Around*In_Position_Upright*Cooking/Prepping_Food*Holding_Other_Object_Heavy|Located_Indoors</t>
  </si>
  <si>
    <t>Doing_Resistance_Training_Other*In_Position_Upright*Doing_Resistance_Training*Holding_Other_Object_Heavy|Located_Indoors</t>
  </si>
  <si>
    <t>Sitting_With_Movement*In_Position_Sitting*Working_Other*In_Conversation|Located_Indoors</t>
  </si>
  <si>
    <t>Sitting_With_Movement*In_Position_Sitting*Using_Computer/Screen|Working_Other*Located_Indoors|Unsure</t>
  </si>
  <si>
    <t>Sitting_With_Movement*In_Position_Sitting*In_Transit_Passive_Car*Holding_Drink|Located_Outdoors|Texting/Browsing_Phone</t>
  </si>
  <si>
    <t>Sitting_With_Movement*In_Position_Reclining/Slouching*Eating/Dining|Using_Computer/Screen*Holding_Solid_Food|Legs_Crossed|Located_Indoors</t>
  </si>
  <si>
    <t>Walking*In_Position_Upright*In_Transit_Active|Using_Computer/Screen*Carrying_Bag_On_Shoulder/Back_Heavy|Located_Indoors|Texting/Browsing_Phone</t>
  </si>
  <si>
    <t>Lying_With_Movement*Lying_On_Right_Side*HLB_Video_Unavailable/Indecipherable*Located_Indoors|Texting/Browsing_Phone</t>
  </si>
  <si>
    <t>Walking*In_Position_Upright*In_Transit_Active|Packing/Unpacking_Something*Holding_Solid_Food|Located_Outdoors</t>
  </si>
  <si>
    <t>Walking*In_Position_Upright*Playing_Sports/Games|Watching_TV/Movies*Holding_Other_Object_Light|Located_Outdoors</t>
  </si>
  <si>
    <t>Standing_With_Movement*In_Position_Upright*Grooming/Self_Care|Meeting_Social_Gathering_In_Person*Holding_Other_Object_Light|Located_Indoors</t>
  </si>
  <si>
    <t>Walking_Slow*In_Position_Upright*HLB_Other|Meeting_Social_Gathering_In_Person*Holding_Drink|Holding_Solid_Food|Located_Indoors</t>
  </si>
  <si>
    <t>Walking_Slow*In_Position_Upright*In_Transit_Active*In_Conversation|Located_Indoors</t>
  </si>
  <si>
    <t>Walking*In_Position_Upright*In_Transit_Active|Using_Computer/Screen*Holding_Other_Object_Light|Located_Indoors|Typing_Computer</t>
  </si>
  <si>
    <t>Sitting_With_Movement*In_Position_Sitting*Playing_Videogame|Using_Computer/Screen|Watching_TV/Movies*Browsing_Computer|Located_Indoors</t>
  </si>
  <si>
    <t>Sitting_With_Movement*In_Position_Reclining/Slouching*Using_Computer/Screen|Watching_TV/Movies*Located_Indoors|On_Phone_Call</t>
  </si>
  <si>
    <t>Standing_With_Movement*In_Position_Upright*Riding_Elevator_Down*Holding_Bag/Briefcase_Hand_Light|Located_Indoors</t>
  </si>
  <si>
    <t>Puttering_Around*In_Position_Upright*HIGH_LEVEL_BEHAVIOR_Unlabeled*Holding_Bag/Briefcase_Hand_Light|Located_Outdoors</t>
  </si>
  <si>
    <t>Sitting_With_Movement*In_Position_Reclining/Slouching*Eating/Dining|Using_Computer/Screen*Browsing_Computer|Holding_Other_Object_Light|Located_Indoors</t>
  </si>
  <si>
    <t>Standing_With_Movement*In_Position_Upright*In_Transit_Active|Meeting_Social_Gathering_In_Person|Riding_Elevator_Down*In_Conversation|Located_Indoors|Texting/Browsing_Phone</t>
  </si>
  <si>
    <t>Walking*In_Position_Upright*In_Transit_Active|Meeting_Social_Gathering_In_Person*Holding_Drink|Located_Outdoors</t>
  </si>
  <si>
    <t>Lying_With_Movement*Lying_On_Stomach*Using_Computer/Screen*In_Conversation|Located_Indoors|Texting/Browsing_Phone</t>
  </si>
  <si>
    <t>Standing_With_Movement*In_Position_Upright*HIGH_LEVEL_BEHAVIOR_Unlabeled*Holding_Other_Object_Light|Located_Indoors|On_Video_Call/FaceTime|Texting/Browsing_Phone</t>
  </si>
  <si>
    <t>Walking_Down_Stairs*In_Position_Upright*HIGH_LEVEL_BEHAVIOR_Unlabeled*Holding_Other_Object_Light|Located_Indoors|On_Video_Call/FaceTime</t>
  </si>
  <si>
    <t>Lying_With_Movement*Lying_On_Back*Relaxing_Passive|Using_Computer/Screen|Watching_TV/Movies*Legs_Crossed|Located_Indoors|Texting/Browsing_Phone</t>
  </si>
  <si>
    <t>Walking*In_Position_Upright*Meeting_Social_Gathering_In_Person*Carrying_Bag_On_Shoulder/Back_Light|Holding_Solid_Food|In_Conversation|Located_Outdoors</t>
  </si>
  <si>
    <t>Standing_With_Movement*In_Position_Upright*Riding_Escalator_Up*Located_Outdoors|Texting/Browsing_Phone</t>
  </si>
  <si>
    <t>Sitting_With_Movement*In_Position_Reclining/Slouching*Eating/Dining|Watching_TV/Movies*Holding_Drink|Located_Indoors</t>
  </si>
  <si>
    <t>Puttering_Around*In_Position_Upright*HIGH_LEVEL_BEHAVIOR_Unlabeled*Carrying_Bag_On_Shoulder/Back_Light|Holding_Drink|Located_Indoors</t>
  </si>
  <si>
    <t>Puttering_Around*In_Position_Upright*Cleaning|Packing/Unpacking_Something*Holding_Other_Object_Light|Located_Indoors</t>
  </si>
  <si>
    <t>Standing_With_Movement*In_Position_Upright*In_Transit_Active|Meeting_Social_Gathering_In_Person*Holding_Solid_Food|In_Conversation|Located_Indoors</t>
  </si>
  <si>
    <t>Walking*In_Position_Upright*Shopping_Grocery*Carrying_Grocery_Bags_Heavy|Located_Indoors</t>
  </si>
  <si>
    <t>Sitting_Still*In_Position_Sitting*Eating/Dining|Watching_TV/Movies*Holding_Drink|In_Conversation|Located_Indoors</t>
  </si>
  <si>
    <t>Sitting_With_Movement*In_Position_Sitting*Doing_Laundry|Eating/Dining|Watching_TV/Movies*Holding_Drink|Located_Indoors</t>
  </si>
  <si>
    <t>Sitting_With_Movement*In_Position_Sitting*Doing_Laundry|Eating/Dining|Watching_TV/Movies*Holding_Drink|In_Conversation|Located_Indoors</t>
  </si>
  <si>
    <t>Walking*In_Position_Upright*Cleaning|Eating/Dining|In_Transit_Active|Meeting_Social_Gathering_In_Person*Holding_Drink|Located_Indoors</t>
  </si>
  <si>
    <t>Puttering_Around*In_Position_Upright*In_Transit_Active*Located_Outdoors|Using_Umbrella</t>
  </si>
  <si>
    <t>Walking_Up_Stairs*In_Position_Upright*HIGH_LEVEL_BEHAVIOR_Unlabeled*Holding_Other_Object_Light</t>
  </si>
  <si>
    <t>Standing_With_Movement*In_Position_Upright*In_Transit_Active*Holding_Drink|Holding_Other_Object_Light|Located_Outdoors</t>
  </si>
  <si>
    <t>Standing_With_Movement*In_Position_Upright*Riding_Elevator_Down*Carrying_Bag_On_Shoulder/Back_Light|Holding_Bag/Briefcase_Hand_Light|Holding_Other_Object_Light|Located_Indoors</t>
  </si>
  <si>
    <t>Walking_Down_Stairs*In_Position_Upright*In_Transit_Active*Carrying_Bag_On_Shoulder/Back_Light|Holding_Bag/Briefcase_Hand_Light|Holding_Other_Object_Light|Located_Outdoors</t>
  </si>
  <si>
    <t>Walking_Down_Stairs*In_Position_Upright*In_Transit_Active*Carrying_Bag_On_Shoulder/Back_Light|Holding_Bag/Briefcase_Hand_Light|Located_Indoors</t>
  </si>
  <si>
    <t>Walking*In_Position_Upright*HIGH_LEVEL_BEHAVIOR_Unlabeled*Holding_Other_Object_Light</t>
  </si>
  <si>
    <t>Standing_With_Movement*In_Position_Upright*Shopping_Grocery*Holding_Drink|Located_Indoors</t>
  </si>
  <si>
    <t>Walking*In_Position_Upright*Cleaning|Doing_Common_Housework|In_Transit_Active*In_Conversation|Located_Indoors</t>
  </si>
  <si>
    <t>Walking_Up_Stairs*In_Position_Upright*In_Transit_Active|Meeting_Social_Gathering_In_Person*In_Conversation|Located_Outdoors</t>
  </si>
  <si>
    <t>Standing_With_Movement*In_Position_Upright*In_Transit_Active*CP_Video_Unavailable/Indecipherable|Located_Indoors</t>
  </si>
  <si>
    <t>Standing_With_Movement*In_Position_Upright*Riding_Escalator_Down*Located_Indoors|Texting/Browsing_Phone</t>
  </si>
  <si>
    <t>Walking*In_Position_Upright*Meeting_Social_Gathering_In_Person|Shopping_Grocery*Holding_Other_Object_Light|In_Conversation|Located_Indoors</t>
  </si>
  <si>
    <t>Walking_Down_Stairs*In_Position_Upright*HIGH_LEVEL_BEHAVIOR_Unlabeled*Carrying_Bag_On_Shoulder/Back_Heavy</t>
  </si>
  <si>
    <t>Puttering_Around*In_Position_Upright*In_Transit_Active|Riding_Elevator_Up*Carrying_Bag_On_Shoulder/Back_Light|Located_Indoors</t>
  </si>
  <si>
    <t>Puttering_Around*In_Position_Upright*Doing_Laundry*Holding_Other_Object_Heavy|Located_Indoors</t>
  </si>
  <si>
    <t>Standing_With_Movement*In_Position_Upright*In_Transit_Active|Riding_Elevator_Down*Carrying_Bag_On_Shoulder/Back_Light|Holding_Other_Object_Light|Located_Indoors|Texting/Browsing_Phone</t>
  </si>
  <si>
    <t>Sitting_With_Movement*In_Position_Sitting*Watching_TV/Movies|Working_Other*Holding_Other_Object_Light|Located_Indoors</t>
  </si>
  <si>
    <t>Walking*In_Position_Upright*Cooking/Prepping_Food|Meeting_Social_Gathering_In_Person*Holding_Other_Object_Light|Located_Outdoors</t>
  </si>
  <si>
    <t>Standing_With_Movement*In_Position_Upright*Meeting_Social_Gathering_In_Person|Watching_TV/Movies*Holding_Drink|In_Conversation|Located_Indoors</t>
  </si>
  <si>
    <t>Sitting_With_Movement*In_Position_Sitting*Meeting_Social_Gathering_In_Person|Using_Computer/Screen*Browsing_Computer|In_Conversation|Legs_Crossed|Located_Indoors</t>
  </si>
  <si>
    <t>Sitting_With_Movement*In_Position_Sitting*Meeting_Social_Gathering_In_Person|Using_Computer/Screen|Watching_TV/Movies*In_Conversation|Located_Indoors</t>
  </si>
  <si>
    <t>Walking*In_Position_Upright*Playing_Sports/Games*Located_Indoors</t>
  </si>
  <si>
    <t>Walking*In_Position_Upright*HIGH_LEVEL_BEHAVIOR_Unlabeled*Carrying_Bag_On_Shoulder/Back_Light|Holding_Bag/Briefcase_Hand_Light|Located_Indoors|Texting/Browsing_Phone</t>
  </si>
  <si>
    <t>Standing_With_Movement*In_Position_Upright*Eating/Dining*Holding_Solid_Food|Located_Outdoors|Texting/Browsing_Phone</t>
  </si>
  <si>
    <t>Walking*In_Position_Upright*In_Transit_Active*Carrying_Bag_On_Shoulder/Back_Light|Carrying_Grocery_Bags_Light|Located_Indoors|Texting/Browsing_Phone</t>
  </si>
  <si>
    <t>Walking*In_Position_Upright*In_Transit_Active*Carrying_Bag_On_Shoulder/Back_Heavy|Carrying_Grocery_Bags_Light|Located_Outdoors|Texting/Browsing_Phone</t>
  </si>
  <si>
    <t>Standing_With_Movement*In_Position_Upright*Riding_Elevator_Down*Carrying_Bag_On_Shoulder/Back_Light|Holding_Solid_Food|Located_Indoors</t>
  </si>
  <si>
    <t>Walking_Slow*In_Position_Upright*HIGH_LEVEL_BEHAVIOR_Unlabeled*Holding_Other_Object_Light|In_Conversation|Located_Indoors</t>
  </si>
  <si>
    <t>Sitting_With_Movement*In_Position_Sitting*Using_Computer/Screen*In_Conversation|Located_Indoors|On_Phone_Call|Texting/Browsing_Phone</t>
  </si>
  <si>
    <t>Walking*In_Position_Upright*HLB_Video_Unavailable/Indecipherable*Located_Outdoors</t>
  </si>
  <si>
    <t>Walking*In_Position_Upright*In_Transit_Active*Located_Indoors|On_Video_Call/FaceTime|Texting/Browsing_Phone</t>
  </si>
  <si>
    <t>Standing_With_Movement*In_Position_Upright*In_Transit_Active|Riding_Elevator_Down*Holding_Bag/Briefcase_Hand_Light|Located_Indoors|Texting/Browsing_Phone</t>
  </si>
  <si>
    <t>Standing_With_Movement*In_Position_Upright*In_Transit_Active*Holding_Bag/Briefcase_Hand_Light|Holding_Other_Object_Light|Located_Indoors</t>
  </si>
  <si>
    <t>Walking_Down_Stairs*In_Position_Upright*HIGH_LEVEL_BEHAVIOR_Unlabeled*In_Conversation|Located_Indoors</t>
  </si>
  <si>
    <t>Walking_Up_Stairs*In_Position_Upright*HIGH_LEVEL_BEHAVIOR_Unlabeled*Holding_Drink|Holding_Solid_Food|Located_Indoors</t>
  </si>
  <si>
    <t>Sitting_With_Movement*In_Position_Sitting*Watching_TV/Movies*Holding_Drink|Legs_Crossed|Located_Indoors</t>
  </si>
  <si>
    <t>Sitting_With_Movement*In_Position_Sitting*Using_Computer/Screen*Handwriting|Holding_Other_Object_Light|Texting/Browsing_Phone</t>
  </si>
  <si>
    <t>Standing_With_Movement*In_Position_Upright*Packing/Unpacking_Something|Using_Computer/Screen*Holding_Other_Object_Light|Located_Indoors|Texting/Browsing_Phone</t>
  </si>
  <si>
    <t>Standing_Still*In_Position_Upright*Riding_Escalator_Up*Located_Indoors</t>
  </si>
  <si>
    <t>Sitting_With_Movement*In_Position_Reclining/Slouching*Doing_Laundry|Eating/Dining|Watching_TV/Movies*Holding_Book/Reader|Holding_Drink|In_Conversation|Located_Indoors</t>
  </si>
  <si>
    <t>Walking*In_Position_Upright*In_Transit_Passive_Train/Bus/Plane*Carrying_Bag_On_Shoulder/Back_Light|Carrying_Grocery_Bags_Light|Located_Outdoors</t>
  </si>
  <si>
    <t>Walking*In_Position_Upright*Eating/Dining*Carrying_Bag_On_Shoulder/Back_Light|Holding_Solid_Food|Located_Indoors</t>
  </si>
  <si>
    <t>Standing_With_Movement*In_Position_Upright*Riding_Escalator_Up|Shopping_Grocery*Carrying_Bag_On_Shoulder/Back_Light|Holding_Other_Object_Light|Located_Indoors</t>
  </si>
  <si>
    <t>Lying_Still*Lying_On_Back*Doing_Alternative_Exercise/Therapy/Stretching*Located_Indoors</t>
  </si>
  <si>
    <t>Standing_Still*In_Position_Upright*Watching_TV/Movies*CONTEXTUAL_PARAMETERS_Unlabeled</t>
  </si>
  <si>
    <t>Walking*In_Position_Upright*Eating/Dining|Meeting_Social_Gathering_In_Person*Holding_Solid_Food|In_Conversation|Located_Indoors</t>
  </si>
  <si>
    <t>Standing_With_Movement*In_Position_Upright*Cooking/Prepping_Food|Meeting_Social_Gathering_In_Person*CP_Video_Unavailable/Indecipherable|In_Conversation|Located_Indoors</t>
  </si>
  <si>
    <t>Walking_Up_Stairs*In_Position_Upright*Meeting_Virtual*Located_Indoors|On_Video_Call/FaceTime|Texting/Browsing_Phone</t>
  </si>
  <si>
    <t>Standing_With_Movement*Posture_Other*Cooking/Prepping_Food*Located_Indoors</t>
  </si>
  <si>
    <t>Sitting_With_Movement*In_Position_Sitting*Using_Computer/Screen*Browsing_Computer|Legs_Uncrossed|Located_Indoors|Texting/Browsing_Phone</t>
  </si>
  <si>
    <t>Walking*In_Position_Upright*Riding_Elevator_Up*Carrying_Grocery_Bags_Light|Located_Indoors</t>
  </si>
  <si>
    <t>Standing_With_Movement*In_Position_Upright*In_Transit_Active*Carrying_Bag_On_Shoulder/Back_Heavy|Located_Indoors</t>
  </si>
  <si>
    <t>Walking*In_Position_Upright*Riding_Elevator_Down*In_Conversation|Located_Indoors</t>
  </si>
  <si>
    <t>Walking_Up_Stairs*In_Position_Upright*In_Transit_Active*Carrying_Bag_On_Shoulder/Back_Light|Holding_Other_Object_Light|Located_Outdoors|Texting/Browsing_Phone</t>
  </si>
  <si>
    <t>Standing_Still*In_Position_Upright*Meeting_Social_Gathering_In_Person*In_Conversation|Located_Indoors</t>
  </si>
  <si>
    <t>Sitting_Still*In_Position_Sitting*Using_Computer/Screen*In_Conversation|Located_Indoors</t>
  </si>
  <si>
    <t>Walking_Up_Stairs*In_Position_Upright*In_Transit_Active*Carrying_Bag_On_Shoulder/Back_Light|Holding_Bag/Briefcase_Hand_Light|Located_Outdoors</t>
  </si>
  <si>
    <t>Walking*In_Position_Upright*In_Transit_Active*Carrying_Bag_On_Shoulder/Back_Light|Holding_Bag/Briefcase_Hand_Light|Located_Indoors|Texting/Browsing_Phone</t>
  </si>
  <si>
    <t>Standing_With_Movement*In_Position_Upright*Meeting_Social_Gathering_In_Person|Riding_Escalator_Down*Located_Indoors</t>
  </si>
  <si>
    <t>Walking_Up_Stairs*In_Position_Upright*In_Transit_Active*Holding_Other_Object_Light|Located_Indoors|Texting/Browsing_Phone</t>
  </si>
  <si>
    <t>Sitting_With_Movement*In_Position_Reclining/Slouching*Eating/Dining*Holding_Drink|Located_Indoors|Texting/Browsing_Phone</t>
  </si>
  <si>
    <t>Standing_With_Movement*In_Position_Upright*Eating/Dining|In_Transit_Active*Carrying_Bag_On_Shoulder/Back_Light|Holding_Bag/Briefcase_Hand_Light|Holding_Drink|Located_Indoors</t>
  </si>
  <si>
    <t>Walking_Up_Stairs*In_Position_Upright*In_Transit_Active*Carrying_Bag_On_Shoulder/Back_Light|Holding_Solid_Food|Located_Outdoors|Texting/Browsing_Phone</t>
  </si>
  <si>
    <t>Walking*In_Position_Upright*HIGH_LEVEL_BEHAVIOR_Unlabeled*Carrying_Bag_On_Shoulder/Back_Light|Holding_Solid_Food|Located_Indoors</t>
  </si>
  <si>
    <t>Walking_Down_Stairs*In_Position_Upright*Meeting_Social_Gathering_In_Person*Located_Outdoors|Texting/Browsing_Phone</t>
  </si>
  <si>
    <t>Sitting_With_Movement*In_Position_Sitting*Dancing|Using_Computer/Screen*Browsing_Computer|Located_Indoors</t>
  </si>
  <si>
    <t>Sitting_With_Movement*In_Position_Sitting*Meeting_Virtual|Using_Computer/Screen*Holding_Other_Object_Light|Located_Indoors|On_Video_Call/FaceTime|Typing_Computer</t>
  </si>
  <si>
    <t>Walking_Down_Stairs*In_Position_Upright*In_Transit_Active*Holding_Bag/Briefcase_Hand_Light|Holding_Other_Object_Light|Located_Outdoors</t>
  </si>
  <si>
    <t>Standing_With_Movement*In_Position_Upright*In_Transit_Passive_Train/Bus/Plane|Meeting_Social_Gathering_In_Person*Carrying_Bag_On_Shoulder/Back_Light|Located_Outdoors</t>
  </si>
  <si>
    <t>Puttering_Around*In_Position_Upright*Cooking/Prepping_Food|Eating/Dining*Holding_Other_Object_Light|Located_Indoors|On_Phone_Call</t>
  </si>
  <si>
    <t>Sitting_With_Movement*In_Position_Sitting*Relaxing_Passive*Browsing_Computer|Located_Indoors|Texting/Browsing_Phone</t>
  </si>
  <si>
    <t>Standing_With_Movement*In_Position_Upright*In_Transit_Active|Riding_Escalator_Up*Located_Outdoors|On_Video_Call/FaceTime</t>
  </si>
  <si>
    <t>Standing_With_Movement*In_Position_Upright*Doing_Common_Housework*Holding_Drink|In_Conversation|Located_Indoors</t>
  </si>
  <si>
    <t>Standing_With_Movement*In_Position_Upright*Meeting_Social_Gathering_In_Person|Riding_Escalator_Down*Carrying_Bag_On_Shoulder/Back_Light|In_Conversation|Located_Indoors</t>
  </si>
  <si>
    <t>Standing_With_Movement*In_Position_Upright*Riding_Elevator_Down*In_Conversation|Located_Outdoors</t>
  </si>
  <si>
    <t>Walking*In_Position_Upright*In_Transit_Active|Meeting_Social_Gathering_In_Person*Holding_Drink|Holding_Solid_Food|In_Conversation|Located_Indoors</t>
  </si>
  <si>
    <t>Walking_Up_Stairs*In_Position_Upright*HIGH_LEVEL_BEHAVIOR_Unlabeled*Carrying_Bag_On_Shoulder/Back_Light|Carrying_Grocery_Bags_Light|Located_Indoors</t>
  </si>
  <si>
    <t>Walking_Slow*In_Position_Upright*In_Transit_Active*Located_Outdoors</t>
  </si>
  <si>
    <t>Standing_With_Movement*In_Position_Upright*Riding_Escalator_Down|Shopping_Grocery*Carrying_Bag_On_Shoulder/Back_Light|Located_Outdoors</t>
  </si>
  <si>
    <t>Standing_With_Movement*In_Position_Upright*Cooking/Prepping_Food*Holding_Other_Object_Heavy|Holding_Other_Object_Light|Located_Indoors</t>
  </si>
  <si>
    <t>Sitting_With_Movement*In_Position_Sitting*In_Transit_Passive_Train/Bus/Plane*Holding_Bag/Briefcase_Hand_Light|Located_Outdoors|On_Phone_Call</t>
  </si>
  <si>
    <t>Walking*In_Position_Upright*Cleaning*Holding_Drink|Located_Indoors</t>
  </si>
  <si>
    <t>Walking*In_Position_Upright*In_Bathroom*Holding_Other_Object_Light|Located_Indoors|Texting/Browsing_Phone</t>
  </si>
  <si>
    <t>Puttering_Around*In_Position_Upright*Meeting_Virtual*Located_Indoors|On_Phone_Call</t>
  </si>
  <si>
    <t>Puttering_Around*In_Position_Upright*Doing_Common_Housework*CP_Video_Unavailable/Indecipherable|Located_Indoors</t>
  </si>
  <si>
    <t>Puttering_Around*In_Position_Upright*HIGH_LEVEL_BEHAVIOR_Unlabeled*Carrying_Bag_On_Shoulder/Back_Heavy</t>
  </si>
  <si>
    <t>Sitting_With_Movement*In_Position_Sitting*Using_Computer/Screen*Holding_Drink|Located_Indoors|Texting/Browsing_Phone</t>
  </si>
  <si>
    <t>Sitting_With_Movement*In_Position_Sitting*Packing/Unpacking_Something*Holding_Bag/Briefcase_Hand_Light|Located_Indoors</t>
  </si>
  <si>
    <t>Walking*In_Position_Upright*Doing_Common_Housework*CONTEXTUAL_PARAMETERS_Unlabeled</t>
  </si>
  <si>
    <t>Washing_Hands*In_Position_Upright*Using_Computer/Screen*Browsing_Computer|Located_Indoors</t>
  </si>
  <si>
    <t>Puttering_Around*In_Position_Upright*Loading/Unloading_Vehicle*Located_Indoors</t>
  </si>
  <si>
    <t>Standing_With_Movement*In_Position_Upright*Doing_Common_Housework_Light*Holding_Book/Reader|Located_Indoors|Texting/Browsing_Phone</t>
  </si>
  <si>
    <t>Standing_With_Movement*In_Position_Upright*Meeting_Social_Gathering_In_Person|Using_Computer/Screen*Located_Indoors</t>
  </si>
  <si>
    <t>Standing_With_Movement*In_Position_Upright*Dressing/Undressing|Meeting_Social_Gathering_In_Person*Carrying_Bag_On_Shoulder/Back_Light|Holding_Other_Object_Light|Located_Indoors</t>
  </si>
  <si>
    <t>Sitting_With_Movement*In_Position_Sitting*HIGH_LEVEL_BEHAVIOR_Unlabeled*Holding_Other_Object_Light|In_Conversation|Legs_Uncrossed|Located_Indoors|Texting/Browsing_Phone</t>
  </si>
  <si>
    <t>Walking_Slow*In_Position_Upright*In_Transit_Active|Meeting_Social_Gathering_In_Person*Holding_Other_Object_Light|Located_Outdoors|Texting/Browsing_Phone</t>
  </si>
  <si>
    <t>Puttering_Around*In_Position_Upright*In_Transit_Active|Riding_Elevator_Up*Holding_Other_Object_Light|Located_Indoors|Texting/Browsing_Phone</t>
  </si>
  <si>
    <t>Standing_With_Movement*In_Position_Upright*In_Transit_Active*Carrying_Bag_On_Shoulder/Back_Heavy|Holding_Other_Object_Light|Located_Outdoors</t>
  </si>
  <si>
    <t>Standing_With_Movement*In_Position_Upright*In_Transit_Active*Carrying_Bag_On_Shoulder/Back_Light|In_Conversation|Located_Outdoors|Texting/Browsing_Phone</t>
  </si>
  <si>
    <t>Standing_With_Movement*In_Position_Upright*Eating/Dining|Riding_Elevator_Down*Holding_Other_Object_Light|Holding_Solid_Food|Located_Indoors|Texting/Browsing_Phone</t>
  </si>
  <si>
    <t>Walking*In_Position_Upright*Using_Computer/Screen|Watching_TV/Movies*Located_Indoors</t>
  </si>
  <si>
    <t>Standing_With_Movement*In_Position_Upright*Riding_Elevator_Up*Holding_Other_Object_Light|In_Conversation|Located_Indoors|Texting/Browsing_Phone</t>
  </si>
  <si>
    <t>Standing_With_Movement*In_Position_Upright*In_Transit_Active*In_Conversation|Located_Indoors|Texting/Browsing_Phone</t>
  </si>
  <si>
    <t>Standing_With_Movement*In_Position_Upright*In_Transit_Active|Riding_Elevator_Down*CP_Other|Holding_Other_Object_Light</t>
  </si>
  <si>
    <t>Walking_Up_Stairs*In_Position_Upright*In_Transit_Active|Meeting_Social_Gathering_In_Person*Carrying_Bag_On_Shoulder/Back_Light|Located_Outdoors</t>
  </si>
  <si>
    <t>Standing_With_Movement*In_Position_Upright*Meeting_Social_Gathering_In_Person|Riding_Elevator_Up*Carrying_Bag_On_Shoulder/Back_Light|Located_Indoors</t>
  </si>
  <si>
    <t>Sitting_With_Movement*In_Position_Sitting*Meeting_Virtual|Using_Computer/Screen*In_Conversation|Located_Indoors|Typing_Computer</t>
  </si>
  <si>
    <t>Standing_With_Movement*In_Position_Upright*Riding_Escalator_Up*Carrying_Bag_On_Shoulder/Back_Light|Located_Indoors|Texting/Browsing_Phone</t>
  </si>
  <si>
    <t>Standing_With_Movement*In_Position_Upright*Meeting_Social_Gathering_In_Person|Using_Computer/Screen*Holding_Drink|Located_Indoors</t>
  </si>
  <si>
    <t>Walking_Down_Stairs*In_Position_Upright*In_Transit_Active*Holding_Book/Reader|Located_Indoors</t>
  </si>
  <si>
    <t>Walking_Down_Stairs*In_Position_Upright*HIGH_LEVEL_BEHAVIOR_Unlabeled*Carrying_Bag_On_Shoulder/Back_Light|Holding_Drink|Located_Indoors</t>
  </si>
  <si>
    <t>Standing_Still*In_Position_Upright*In_Transit_Active|Meeting_Social_Gathering_In_Person|Riding_Escalator_Up*Carrying_Bag_On_Shoulder/Back_Light|In_Conversation|Located_Indoors</t>
  </si>
  <si>
    <t>Puttering_Around*In_Position_Upright*Cooking/Prepping_Food|In_Transit_Active|Watching_TV/Movies*Holding_Drink|Holding_Other_Object_Light|Located_Indoors</t>
  </si>
  <si>
    <t>Standing_Still*In_Position_Upright*Riding_Elevator_Up*Located_Indoors</t>
  </si>
  <si>
    <t>Sitting_With_Movement*In_Position_Reclining/Slouching*Playing_With_Pets|Relaxing_Passive*Holding_Book/Reader|Located_Indoors</t>
  </si>
  <si>
    <t>Sitting_With_Movement*In_Position_Sitting*Meeting_Formal_Gathering_In_Person*Located_Indoors</t>
  </si>
  <si>
    <t>Standing_With_Movement*In_Position_Upright*In_Transit_Active|Riding_Elevator_Down*Holding_Other_Object_Light|Located_Outdoors</t>
  </si>
  <si>
    <t>Sitting_With_Movement*In_Position_Sitting*HIGH_LEVEL_BEHAVIOR_Unlabeled*Holding_Other_Object_Light|In_Conversation|Located_Indoors|On_Video_Call/FaceTime|Texting/Browsing_Phone</t>
  </si>
  <si>
    <t>Standing_With_Movement*In_Position_Upright*In_Transit_Passive_Train/Bus/Plane*Holding_Drink|Located_Outdoors</t>
  </si>
  <si>
    <t>Lying_With_Movement*Lying_On_Right_Side*HIGH_LEVEL_BEHAVIOR_Unlabeled*Handwriting|Holding_Other_Object_Light|Located_Indoors|Texting/Browsing_Phone</t>
  </si>
  <si>
    <t>Organizing_Shelf/Cabinet*In_Position_Upright*In_Bathroom*Holding_Other_Object_Light|Located_Indoors</t>
  </si>
  <si>
    <t>Sitting_With_Movement*In_Position_Sitting*Meeting_Social_Gathering_In_Person|Playing_With_Children_Moderate*In_Conversation|Located_Indoors</t>
  </si>
  <si>
    <t>Sitting_With_Movement*In_Position_Sitting*Eating/Dining|Meeting_Virtual|Using_Computer/Screen*Holding_Other_Object_Light|Holding_Solid_Food|Located_Indoors|On_Video_Call/FaceTime|Typing_Computer</t>
  </si>
  <si>
    <t>Sitting_With_Movement*In_Position_Sitting*Eating/Dining|Meeting_Social_Gathering_In_Person|Watching_TV/Movies*Legs_Crossed|Located_Indoors</t>
  </si>
  <si>
    <t>Walking*In_Position_Upright*Eating/Dining|Meeting_Social_Gathering_In_Person*Holding_Solid_Food|In_Conversation|Located_Indoors|Texting/Browsing_Phone</t>
  </si>
  <si>
    <t>Puttering_Around*In_Position_Upright*Eating/Dining|Watching_TV/Movies*Holding_Drink|Located_Indoors</t>
  </si>
  <si>
    <t>Standing_With_Movement*In_Position_Upright*Riding_Escalator_Down|Using_Computer/Screen*Located_Indoors|Texting/Browsing_Phone</t>
  </si>
  <si>
    <t>Kneeling_With_Movement*In_Position_Kneeling*Walking_Pet*Located_Indoors</t>
  </si>
  <si>
    <t>Sitting_With_Movement*In_Position_Sitting*Watching_TV/Movies*Holding_Other_Object_Light|Legs_Uncrossed|Located_Indoors</t>
  </si>
  <si>
    <t>Washing_Hands*In_Position_Upright*HIGH_LEVEL_BEHAVIOR_Unlabeled*In_Conversation|Located_Indoors</t>
  </si>
  <si>
    <t>Walking*In_Position_Upright*Packing/Unpacking_Something*Holding_Other_Object_Light|Located_Outdoors</t>
  </si>
  <si>
    <t>Walking_Down_Stairs*In_Position_Upright*In_Transit_Active*Carrying_Grocery_Bags_Light|Located_Indoors|On_Phone_Call</t>
  </si>
  <si>
    <t>Walking*In_Position_Upright*Packing/Unpacking_Something*Holding_Bag/Briefcase_Hand_Light|Holding_Other_Object_Light|Located_Indoors</t>
  </si>
  <si>
    <t>Puttering_Around*In_Position_Upright*Exercising_Gym_Other*Holding_Other_Object_Light|Located_Indoors</t>
  </si>
  <si>
    <t>Walking*In_Position_Upright*In_Transit_Active*Holding_Solid_Food|In_Conversation|Located_Indoors|On_Video_Call/FaceTime</t>
  </si>
  <si>
    <t>Standing_With_Movement*In_Position_Upright*Riding_Elevator_Up*Carrying_Grocery_Bags_Light|Located_Indoors</t>
  </si>
  <si>
    <t>Sitting_With_Movement*In_Position_Sitting*Cooking/Prepping_Food|Meeting_Social_Gathering_In_Person*Holding_Other_Object_Light|Holding_Solid_Food|In_Conversation|Located_Indoors</t>
  </si>
  <si>
    <t>Walking_Up_Stairs*In_Position_Upright*In_Transit_Active|Riding_Escalator_Up*Holding_Bag/Briefcase_Hand_Light|Located_Indoors</t>
  </si>
  <si>
    <t>Lying_With_Movement*Lying_On_Stomach*Using_Computer/Screen|Watching_TV/Movies*Browsing_Computer|Located_Indoors</t>
  </si>
  <si>
    <t>Puttering_Around*In_Position_Upright*Meeting_Social_Gathering_In_Person*Holding_Drink|Holding_Other_Object_Light|In_Conversation|Located_Outdoors</t>
  </si>
  <si>
    <t>Standing_With_Movement*In_Position_Upright*Meeting_Social_Gathering_In_Person*Holding_Drink|Located_Outdoors</t>
  </si>
  <si>
    <t>Sitting_With_Movement*In_Position_Sitting*Relaxing_Passive|Using_Computer/Screen*Browsing_Computer|Located_Indoors|On_Phone_Call|Texting/Browsing_Phone|Typing_Computer</t>
  </si>
  <si>
    <t>Kneeling_With_Movement*In_Position_Kneeling*Grooming/Self_Care*Located_Indoors</t>
  </si>
  <si>
    <t>Standing_With_Movement*In_Position_Upright*HIGH_LEVEL_BEHAVIOR_Unlabeled*Carrying_Bag_On_Shoulder/Back_Light|Located_Outdoors|On_Phone_Call|Texting/Browsing_Phone</t>
  </si>
  <si>
    <t>Walking*In_Position_Upright*In_Transit_Active*Carrying_Bag_On_Shoulder/Back_Light|Holding_Other_Object_Light|On_Video_Call/FaceTime</t>
  </si>
  <si>
    <t>Walking*In_Position_Upright*Eating/Dining|Working_Other*Located_Indoors</t>
  </si>
  <si>
    <t>Standing_With_Movement*In_Position_Upright*Cooking/Prepping_Food*Texting/Browsing_Phone</t>
  </si>
  <si>
    <t>Walking_Up_Stairs*In_Position_Upright*In_Transit_Active*Holding_Book/Reader|Located_Indoors</t>
  </si>
  <si>
    <t>Walking*In_Position_Upright*In_Transit_Active|Meeting_Social_Gathering_In_Person*Carrying_Bag_On_Shoulder/Back_Light|Holding_Drink|In_Conversation|Located_Outdoors|Texting/Browsing_Phone</t>
  </si>
  <si>
    <t>Watering_Plants*In_Position_Upright*Gardening|In_Transit_Active*Holding_Other_Object_Light|Located_Indoors</t>
  </si>
  <si>
    <t>Standing_With_Movement*In_Position_Upright*Riding_Elevator_Up*Located_Outdoors</t>
  </si>
  <si>
    <t>Standing_With_Movement*In_Position_Upright*Shopping_Non-Grocery*Carrying_Bag_On_Shoulder/Back_Light|Located_Indoors|Texting/Browsing_Phone</t>
  </si>
  <si>
    <t>Walking*In_Position_Upright*Loading/Unloading_Vehicle*Carrying_Bag_On_Shoulder/Back_Light|Holding_Bag/Briefcase_Hand_Light|Holding_Other_Object_Light|Located_Outdoors</t>
  </si>
  <si>
    <t>Standing_With_Movement*In_Position_Upright*HIGH_LEVEL_BEHAVIOR_Unlabeled*Carrying_Bag_On_Shoulder/Back_Light|Holding_Book/Reader|Located_Indoors</t>
  </si>
  <si>
    <t>Standing_Still*In_Position_Upright*Riding_Escalator_Down|Shopping_Grocery*Carrying_Bag_On_Shoulder/Back_Light|Located_Indoors</t>
  </si>
  <si>
    <t>Standing_With_Movement*In_Position_Upright*HIGH_LEVEL_BEHAVIOR_Unlabeled*CP_Video_Unavailable/Indecipherable|Handwriting|Holding_Other_Object_Light</t>
  </si>
  <si>
    <t>Standing_Still*In_Position_Upright*In_Transit_Active*Carrying_Bag_On_Shoulder/Back_Light|Holding_Bag/Briefcase_Hand_Light|Located_Outdoors</t>
  </si>
  <si>
    <t>Standing_With_Movement*In_Position_Upright*In_Transit_Active|Riding_Elevator_Up*Carrying_Bag_On_Shoulder/Back_Light|In_Conversation|Located_Indoors</t>
  </si>
  <si>
    <t>Standing_With_Movement*In_Position_Upright*In_Transit_Active|Riding_Elevator_Down*Holding_Bag/Briefcase_Hand_Light|Located_Indoors</t>
  </si>
  <si>
    <t>Standing_With_Movement*In_Position_Upright*HIGH_LEVEL_BEHAVIOR_Unlabeled*Carrying_Bag_On_Shoulder/Back_Light|Holding_Other_Object_Light|Located_Outdoors|Texting/Browsing_Phone</t>
  </si>
  <si>
    <t>Kneeling_With_Movement*In_Position_Kneeling*HIGH_LEVEL_BEHAVIOR_Unlabeled*Holding_Other_Object_Light|In_Conversation|Located_Outdoors</t>
  </si>
  <si>
    <t>Standing_With_Movement*In_Position_Upright*In_Transit_Active*Carrying_Bag_On_Shoulder/Back_Light|Holding_Bag/Briefcase_Hand_Light|Located_Outdoors</t>
  </si>
  <si>
    <t>Standing_With_Movement*In_Position_Upright*Dressing/Undressing|Walking_Pet*Located_Indoors</t>
  </si>
  <si>
    <t>Puttering_Around*In_Position_Upright*Playing_With_Pets|Relaxing_Passive*Located_Indoors</t>
  </si>
  <si>
    <t>Puttering_Around*In_Position_Upright*Meeting_Social_Gathering_In_Person|Packing/Unpacking_Something*Located_Indoors</t>
  </si>
  <si>
    <t>Sitting_With_Movement*In_Position_Sitting*In_Transit_Passive_Car|Watching_TV/Movies*Holding_Other_Object_Light|Located_Outdoors</t>
  </si>
  <si>
    <t>Sitting_With_Movement*In_Position_Sitting*Doing_Resistance_Training*Holding_Other_Object_Light|Located_Indoors</t>
  </si>
  <si>
    <t>Sitting_With_Movement*In_Position_Sitting*HIGH_LEVEL_BEHAVIOR_Unlabeled*Holding_Drink|Holding_Other_Object_Light|In_Conversation|Located_Indoors|Texting/Browsing_Phone</t>
  </si>
  <si>
    <t>Standing_With_Movement*In_Position_Upright*Meeting_Social_Gathering_In_Person|Riding_Escalator_Up*Located_Indoors</t>
  </si>
  <si>
    <t>Standing_With_Movement*In_Position_Upright*Doing_Alternative_Exercise/Therapy/Stretching|HLB_Other*Located_Indoors</t>
  </si>
  <si>
    <t>Standing_With_Movement*In_Position_Upright*HIGH_LEVEL_BEHAVIOR_Unlabeled*Carrying_Bag_On_Shoulder/Back_Light|Holding_Solid_Food|Located_Indoors</t>
  </si>
  <si>
    <t>Sitting_With_Movement*In_Position_Sitting*Doing_Common_Housework*In_Conversation|Located_Indoors|Significantly_Higher_Effort_Than_Normal</t>
  </si>
  <si>
    <t>Standing_With_Movement*In_Position_Upright*Dressing/Undressing|Meeting_Social_Gathering_In_Person*Holding_Other_Object_Light|In_Conversation|Located_Indoors</t>
  </si>
  <si>
    <t>Puttering_Around*In_Position_Upright*Loading/Unloading_Vehicle|Meeting_Social_Gathering_In_Person*In_Conversation|Located_Outdoors</t>
  </si>
  <si>
    <t>Standing_With_Movement*In_Position_Upright*Meeting_Social_Gathering_In_Person*In_Conversation|Located_Indoors|On_Video_Call/FaceTime</t>
  </si>
  <si>
    <t>Standing_With_Movement*In_Position_Upright*Meeting_Social_Gathering_In_Person|Riding_Elevator_Down*Holding_Drink|In_Conversation|Located_Indoors</t>
  </si>
  <si>
    <t>Standing_With_Movement*In_Position_Upright*In_Transit_Active*Holding_Drink|In_Conversation|Located_Indoors</t>
  </si>
  <si>
    <t>Standing_With_Movement*In_Position_Upright*HLB_Other*Holding_Book/Reader|In_Conversation|Located_Indoors</t>
  </si>
  <si>
    <t>Standing_Still*In_Position_Upright*Riding_Escalator_Down*Carrying_Bag_On_Shoulder/Back_Light|Located_Indoors</t>
  </si>
  <si>
    <t>Walking_Up_Stairs*In_Position_Upright*Dressing/Undressing*Located_Indoors</t>
  </si>
  <si>
    <t>Walking*In_Position_Upright*HIGH_LEVEL_BEHAVIOR_Unlabeled*Carrying_Bag_On_Shoulder/Back_Light|Holding_Other_Object_Light|In_Conversation|Located_Indoors</t>
  </si>
  <si>
    <t>Standing_With_Movement*In_Position_Upright*In_Transit_Active|Walking_Pet*Located_Outdoors|Texting/Browsing_Phone</t>
  </si>
  <si>
    <t>Standing_With_Movement*In_Position_Upright*In_Bathroom*Located_Indoors|Unsure</t>
  </si>
  <si>
    <t>Puttering_Around*In_Position_Upright*In_Transit_Active*Carrying_Bag_On_Shoulder/Back_Light|Holding_Drink|Located_Outdoors</t>
  </si>
  <si>
    <t>Standing_With_Movement*In_Position_Upright*Cleaning*Holding_Other_Object_Light|In_Conversation|Located_Indoors</t>
  </si>
  <si>
    <t>Standing_With_Movement*In_Position_Upright*In_Transit_Passive_Train/Bus/Plane|Riding_Elevator_Down*Holding_Other_Object_Light|Located_Outdoors</t>
  </si>
  <si>
    <t>Sitting_With_Movement*In_Position_Sitting*Meeting_Social_Gathering_In_Person*CP_Too_Complex|Located_Indoors</t>
  </si>
  <si>
    <t>Standing_With_Movement*In_Position_Upright*Cleaning|Eating/Dining*Holding_Drink|Located_Indoors</t>
  </si>
  <si>
    <t>Puttering_Around*In_Position_Upright*HIGH_LEVEL_BEHAVIOR_Unlabeled*Carrying_Bag_On_Shoulder/Back_Heavy|Holding_Other_Object_Light|Located_Indoors</t>
  </si>
  <si>
    <t>Standing_With_Movement*In_Position_Upright*In_Transit_Active|Riding_Elevator_Up*Carrying_Bag_On_Shoulder/Back_Heavy|Carrying_Grocery_Bags_Light|Located_Indoors</t>
  </si>
  <si>
    <t>Standing_With_Movement*In_Position_Upright*HLB_Other*Texting/Browsing_Phone</t>
  </si>
  <si>
    <t>Walking_Up_Stairs*In_Position_Upright*HLB_Other*Located_Indoors</t>
  </si>
  <si>
    <t>Walking_Down_Stairs*In_Position_Upright*Doing_Common_Housework_Light*Located_Indoors</t>
  </si>
  <si>
    <t>Standing_With_Movement*In_Position_Upright*HLB_Other|Packing/Unpacking_Something*Located_Indoors</t>
  </si>
  <si>
    <t>Standing_With_Movement*In_Position_Upright*Shopping_Grocery*Located_Indoors|Texting/Browsing_Phone</t>
  </si>
  <si>
    <t>Standing_With_Movement*In_Position_Upright*In_Transit_Active|Riding_Elevator_Up*Carrying_Grocery_Bags_Light|Located_Indoors|Texting/Browsing_Phone</t>
  </si>
  <si>
    <t>Standing_With_Movement*In_Position_Upright*In_Transit_Active|Riding_Elevator_Down*Carrying_Grocery_Bags_Light|Located_Indoors|Texting/Browsing_Phone</t>
  </si>
  <si>
    <t>Kneeling_With_Movement*In_Position_Kneeling*Doing_Common_Housework_Light*Holding_Solid_Food|Located_Indoors</t>
  </si>
  <si>
    <t>Walking*In_Position_Upright*HIGH_LEVEL_BEHAVIOR_Unlabeled*Holding_Drink|Holding_Solid_Food|Located_Indoors</t>
  </si>
  <si>
    <t>Sitting_With_Movement*In_Position_Sitting*Meeting_Social_Gathering_In_Person|Using_Computer/Screen*In_Conversation|Located_Indoors|Typing_Computer</t>
  </si>
  <si>
    <t>Sitting_With_Movement*In_Position_Sitting*Relaxing_Passive|Watching_TV/Movies*Holding_Drink|Located_Indoors</t>
  </si>
  <si>
    <t>Standing_With_Movement*In_Position_Upright*Packing/Unpacking_Something*Holding_Bag/Briefcase_Hand_Light|Holding_Other_Object_Light|Located_Indoors</t>
  </si>
  <si>
    <t>Standing_With_Movement*Posture_Too_Complex*HIGH_LEVEL_BEHAVIOR_Unlabeled*Carrying_Bag_On_Shoulder/Back_Light|In_Conversation|Located_Outdoors</t>
  </si>
  <si>
    <t>Standing_With_Movement*In_Position_Upright*Doing_Common_Housework|Meeting_Social_Gathering_In_Person*In_Conversation|Located_Indoors</t>
  </si>
  <si>
    <t>Loading/Unloading_Washing_Machine/Dryer*In_Position_Upright*Doing_Laundry|Meeting_Social_Gathering_In_Person*Holding_Other_Object_Light|Located_Indoors</t>
  </si>
  <si>
    <t>Sitting_With_Movement*In_Position_Sitting*Eating/Dining|In_Transit_Passive_Car*Holding_Drink|Located_Outdoors</t>
  </si>
  <si>
    <t>Sitting_Still*In_Position_Sitting*In_Transit_Driving_Car*Holding_Other_Object_Light|Located_Outdoors</t>
  </si>
  <si>
    <t>Sitting_With_Movement*In_Position_Sitting*In_Transit_Active*Carrying_Bag_On_Shoulder/Back_Heavy|Located_Outdoors</t>
  </si>
  <si>
    <t>Sitting_With_Movement*In_Position_Sitting*In_Transit_Active*In_Conversation|Located_Outdoors</t>
  </si>
  <si>
    <t>Standing_With_Movement*In_Position_Upright*Loading/Unloading_Vehicle*Carrying_Bag_On_Shoulder/Back_Light|Holding_Other_Object_Light|Located_Outdoors</t>
  </si>
  <si>
    <t>Walking*In_Position_Upright*Playing_Sports/Games*Located_Outdoors</t>
  </si>
  <si>
    <t>Puttering_Around*In_Position_Upright*Working_Other*Holding_Other_Object_Light</t>
  </si>
  <si>
    <t>Standing_With_Movement*In_Position_Upright*Working_Other*In_Conversation</t>
  </si>
  <si>
    <t>Sitting_With_Movement*In_Position_Sitting*Dressing/Undressing|Packing/Unpacking_Something*Holding_Other_Object_Light</t>
  </si>
  <si>
    <t>Washing_Hands*In_Position_Upright*In_Bathroom*Holding_Other_Object_Light|Located_Indoors</t>
  </si>
  <si>
    <t>Standing_With_Movement*In_Position_Upright*Doing_Common_Housework_Light*Carrying_Bag_On_Shoulder/Back_Light|Located_Indoors</t>
  </si>
  <si>
    <t>Puttering_Around*In_Position_Upright*Watching_TV/Movies*Holding_Drink|Located_Indoors</t>
  </si>
  <si>
    <t>Walking*In_Position_Upright*HIGH_LEVEL_BEHAVIOR_Unlabeled*On_Phone_Call</t>
  </si>
  <si>
    <t>Sitting_With_Movement*In_Position_Sitting*Cooking/Prepping_Food|Working_Other*Handwriting|Holding_Other_Object_Light|Located_Indoors</t>
  </si>
  <si>
    <t>Standing_With_Movement*In_Position_Upright*In_Transit_Passive_Train/Bus/Plane|Riding_Elevator_Down*Located_Outdoors</t>
  </si>
  <si>
    <t>Standing_With_Movement*Posture_Other*HIGH_LEVEL_BEHAVIOR_Unlabeled*Handwriting|Located_Indoors</t>
  </si>
  <si>
    <t>Sitting_With_Movement*In_Position_Sitting*Using_Computer/Screen|Working_Other*CP_Video_Unavailable/Indecipherable|Located_Indoors</t>
  </si>
  <si>
    <t>Walking*In_Position_Upright*HLB_Other|In_Transit_Active*Carrying_Bag_On_Shoulder/Back_Light|Located_Outdoors</t>
  </si>
  <si>
    <t>Walking_Up_Stairs*In_Position_Upright*In_Transit_Active*Carrying_Bag_On_Shoulder/Back_Heavy|Located_Outdoors|Texting/Browsing_Phone</t>
  </si>
  <si>
    <t>Sitting_With_Movement*In_Position_Sitting*HIGH_LEVEL_BEHAVIOR_Unlabeled*Holding_Other_Object_Light|Located_Indoors|Unsure</t>
  </si>
  <si>
    <t>Walking_Down_Stairs*In_Position_Upright*Doing_Laundry*Holding_Other_Object_Light|Located_Indoors</t>
  </si>
  <si>
    <t>Standing_With_Movement*In_Position_Upright*In_Transit_Active|Riding_Elevator_Down*Carrying_Bag_On_Shoulder/Back_Light|Holding_Other_Object_Light|Located_Indoors</t>
  </si>
  <si>
    <t>Sitting_With_Movement*In_Position_Sitting*Watching_Lecture*Holding_Other_Object_Light|Located_Indoors</t>
  </si>
  <si>
    <t>Walking_Down_Stairs*In_Position_Upright*In_Transit_Active*Holding_Drink|Holding_Other_Object_Light|Located_Indoors</t>
  </si>
  <si>
    <t>Sitting_With_Movement*In_Position_Sitting*Using_Computer/Screen|Working_Other*Handwriting|Legs_Crossed|Located_Indoors</t>
  </si>
  <si>
    <t>Sitting_With_Movement*In_Position_Sitting*Using_Computer/Screen*Holding_Drink|Located_Indoors|Typing_Computer</t>
  </si>
  <si>
    <t>Puttering_Around*In_Position_Upright*Meeting_Social_Gathering_In_Person*Holding_Solid_Food|In_Conversation|Located_Indoors</t>
  </si>
  <si>
    <t>Puttering_Around*In_Position_Upright*Meeting_Social_Gathering_In_Person|Playing_Sports/Games*Holding_Other_Object_Light|In_Conversation</t>
  </si>
  <si>
    <t>Standing_With_Movement*In_Position_Upright*HIGH_LEVEL_BEHAVIOR_Unlabeled*Holding_Solid_Food|In_Conversation|Located_Indoors</t>
  </si>
  <si>
    <t>Standing_With_Movement*In_Position_Upright*Loading/Unloading_Vehicle*Carrying_Bag_On_Shoulder/Back_Heavy|Holding_Bag/Briefcase_Hand_Light|Located_Outdoors</t>
  </si>
  <si>
    <t>Sitting_With_Movement*In_Position_Sitting*HIGH_LEVEL_BEHAVIOR_Unlabeled*Holding_Other_Object_Light|In_Conversation|Legs_Crossed|Located_Indoors</t>
  </si>
  <si>
    <t>Walking*In_Position_Upright*Shopping_Grocery*Holding_Other_Object_Light|Located_Outdoors</t>
  </si>
  <si>
    <t>Standing_With_Movement*In_Position_Upright*Packing/Unpacking_Something*Carrying_Bag_On_Shoulder/Back_Light|Located_Indoors</t>
  </si>
  <si>
    <t>Sitting_With_Movement*In_Position_Sitting*In_Transit_Passive_Car*In_Conversation|Located_Outdoors|On_Phone_Call</t>
  </si>
  <si>
    <t>Sitting_With_Movement*In_Position_Sitting*Eating/Dining|In_Transit_Passive_Car*Holding_Other_Object_Light|Located_Outdoors</t>
  </si>
  <si>
    <t>Sitting_With_Movement*In_Position_Sitting*Doing_Resistance_Training*Holding_Drink|Located_Indoors</t>
  </si>
  <si>
    <t>Standing_With_Movement*In_Position_Upright*Meeting_Social_Gathering_In_Person|Riding_Elevator_Up*Located_Indoors|Texting/Browsing_Phone</t>
  </si>
  <si>
    <t>Standing_With_Movement*In_Position_Upright*Meeting_Social_Gathering_In_Person*Hand_In_Pocket|In_Conversation|Located_Indoors</t>
  </si>
  <si>
    <t>Puttering_Around*In_Position_Upright*Doing_Common_Housework*In_Conversation|Located_Indoors|Texting/Browsing_Phone</t>
  </si>
  <si>
    <t>Standing_With_Movement*In_Position_Upright*In_Transit_Active*Holding_Bag/Briefcase_Hand_Light|Holding_Other_Object_Light|Located_Outdoors</t>
  </si>
  <si>
    <t>Walking*In_Position_Upright*In_Transit_Active*Carrying_Bag_On_Shoulder/Back_Light|Carrying_Grocery_Bags_Light|Located_Outdoors|Texting/Browsing_Phone</t>
  </si>
  <si>
    <t>Standing_With_Movement*In_Position_Upright*Dressing/Undressing*Carrying_Bag_On_Shoulder/Back_Light|Holding_Other_Object_Light|Located_Outdoors</t>
  </si>
  <si>
    <t>Loading/Unloading_Washing_Machine/Dryer*In_Position_Upright*Doing_Common_Housework_Light|Doing_Laundry*Holding_Other_Object_Light|Located_Indoors</t>
  </si>
  <si>
    <t>Walking*In_Position_Upright*Loading/Unloading_Vehicle*Carrying_Bag_On_Shoulder/Back_Light|Holding_Other_Object_Light|In_Conversation|Located_Outdoors</t>
  </si>
  <si>
    <t>Puttering_Around*In_Position_Upright*In_Transit_Active|Meeting_Social_Gathering_In_Person*Located_Indoors|Texting/Browsing_Phone</t>
  </si>
  <si>
    <t>Puttering_Around*In_Position_Upright*Administering_Care_Child/Elder/Other_Adult|In_Bathroom*Located_Indoors</t>
  </si>
  <si>
    <t>Sitting_With_Movement*In_Position_Sitting*Eating/Dining|Using_Computer/Screen*Holding_Drink|Located_Indoors|Texting/Browsing_Phone</t>
  </si>
  <si>
    <t>Puttering_Around*In_Position_Upright*Cooking/Prepping_Food|In_Transit_Active|Meeting_Social_Gathering_In_Person*Located_Indoors|Texting/Browsing_Phone</t>
  </si>
  <si>
    <t>Standing_Still*In_Position_Upright*Doing_Dishes*Located_Indoors</t>
  </si>
  <si>
    <t>Walking*In_Position_Upright*Eating/Dining*Holding_Drink|Holding_Other_Object_Light|Located_Indoors</t>
  </si>
  <si>
    <t>Walking*In_Position_Upright*HIGH_LEVEL_BEHAVIOR_Unlabeled*CP_Video_Unavailable/Indecipherable|Holding_Other_Object_Light</t>
  </si>
  <si>
    <t>Sitting_With_Movement*In_Position_Sitting*Working_Other*Holding_Other_Object_Light|Located_Indoors|On_Phone_Call</t>
  </si>
  <si>
    <t>Standing_With_Movement*In_Position_Upright*Watching_TV/Movies*Texting/Browsing_Phone</t>
  </si>
  <si>
    <t>Standing_Still*In_Position_Upright*HIGH_LEVEL_BEHAVIOR_Unlabeled*On_Phone_Call</t>
  </si>
  <si>
    <t>Walking_Up_Stairs*In_Position_Upright*In_Transit_Passive_Train/Bus/Plane*Located_Outdoors</t>
  </si>
  <si>
    <t>Standing_With_Movement*In_Position_Upright*Dressing/Undressing|Grooming/Self_Care*Located_Indoors</t>
  </si>
  <si>
    <t>Sitting_With_Movement*In_Position_Sitting*Eating/Dining|In_Transit_Driving_Car*Holding_Solid_Food|Texting/Browsing_Phone</t>
  </si>
  <si>
    <t>Loading/Unloading_Washing_Machine/Dryer*In_Position_Upright*Doing_Laundry*Holding_Other_Object_Light|Located_Indoors|Texting/Browsing_Phone</t>
  </si>
  <si>
    <t>Puttering_Around*In_Position_Upright*Doing_Common_Housework|Eating/Dining*Holding_Other_Object_Light|Located_Indoors</t>
  </si>
  <si>
    <t>Walking_Up_Stairs*In_Position_Upright*Walking_Pet*Located_Outdoors</t>
  </si>
  <si>
    <t>Standing_With_Movement*In_Position_Upright*Meeting_Social_Gathering_In_Person|Using_Computer/Screen*Browsing_Computer|Holding_Other_Object_Light|In_Conversation|Located_Indoors</t>
  </si>
  <si>
    <t>Standing_With_Movement*In_Position_Upright*Dressing/Undressing|Meeting_Social_Gathering_In_Person*Carrying_Bag_On_Shoulder/Back_Light|Located_Indoors</t>
  </si>
  <si>
    <t>Walking*In_Position_Upright*Riding_Elevator_Up*Located_Indoors</t>
  </si>
  <si>
    <t>Puttering_Around*In_Position_Upright*In_Transit_Active|Riding_Elevator_Up*Carrying_Bag_On_Shoulder/Back_Light|Holding_Other_Object_Light|Located_Indoors</t>
  </si>
  <si>
    <t>Standing_With_Movement*In_Position_Upright*In_Transit_Active*Holding_Other_Object_Light|In_Conversation|Located_Indoors|Texting/Browsing_Phone</t>
  </si>
  <si>
    <t>Puttering_Around*In_Position_Upright*Eating/Dining|Meeting_Social_Gathering_In_Person*Holding_Drink|Located_Indoors</t>
  </si>
  <si>
    <t>Walking*In_Position_Upright*In_Transit_Active*Carrying_Bag_On_Shoulder/Back_Light|Holding_Bag/Briefcase_Hand_Light|In_Conversation|Located_Indoors</t>
  </si>
  <si>
    <t>Puttering_Around*In_Position_Upright*Packing/Unpacking_Something*Holding_Drink|Located_Indoors</t>
  </si>
  <si>
    <t>Standing_With_Movement*In_Position_Upright*In_Transit_Active|Riding_Elevator_Down*Carrying_Bag_On_Shoulder/Back_Heavy|Holding_Other_Object_Light|Holding_Solid_Food|Located_Indoors</t>
  </si>
  <si>
    <t>Standing_With_Movement*In_Position_Upright*HIGH_LEVEL_BEHAVIOR_Unlabeled*Carrying_Bag_On_Shoulder/Back_Heavy|Holding_Other_Object_Light|Located_Indoors|Texting/Browsing_Phone</t>
  </si>
  <si>
    <t>Walking_Slow*In_Position_Upright*Eating/Dining|Watching_TV/Movies*Holding_Other_Object_Light|Holding_Solid_Food|Located_Indoors</t>
  </si>
  <si>
    <t>Lying_With_Movement*Lying_On_Right_Side*HIGH_LEVEL_BEHAVIOR_Unlabeled*In_Conversation|Located_Indoors|Texting/Browsing_Phone</t>
  </si>
  <si>
    <t>Walking_Slow*In_Position_Upright*In_Transit_Active|Meeting_Social_Gathering_In_Person*Holding_Other_Object_Heavy|In_Conversation|Located_Indoors</t>
  </si>
  <si>
    <t>Lying_With_Movement*Lying_On_Stomach*Relaxing_Passive*Located_Indoors</t>
  </si>
  <si>
    <t>Sitting_With_Movement*In_Position_Reclining/Slouching*Using_Computer/Screen*Holding_Drink|Located_Indoors</t>
  </si>
  <si>
    <t>Standing_With_Movement*In_Position_Upright*Meeting_Social_Gathering_In_Person|Riding_Escalator_Up*In_Conversation|Located_Indoors|Texting/Browsing_Phone</t>
  </si>
  <si>
    <t>Sitting_With_Movement*In_Position_Sitting*Cooking/Prepping_Food*Holding_Other_Object_Light|Located_Indoors|On_Video_Call/FaceTime</t>
  </si>
  <si>
    <t>Sitting_With_Movement*In_Position_Sitting*Relaxing_Passive|Using_Computer/Screen|Watching_TV/Movies*Legs_Crossed|Located_Indoors|Texting/Browsing_Phone</t>
  </si>
  <si>
    <t>Puttering_Around*In_Position_Upright*Doing_Home_Repair_Light|Meeting_Social_Gathering_In_Person*Holding_Other_Object_Light|Located_Indoors</t>
  </si>
  <si>
    <t>Sitting_With_Movement*In_Position_Reclining/Slouching*Relaxing_Passive*Holding_Book/Reader|Located_Indoors|Texting/Browsing_Phone</t>
  </si>
  <si>
    <t>Standing_With_Movement*In_Position_Upright*Eating/Dining|Meeting_Social_Gathering_In_Person*Holding_Drink|Holding_Other_Object_Light|In_Conversation</t>
  </si>
  <si>
    <t>Walking_Treadmill*In_Position_Upright*HIGH_LEVEL_BEHAVIOR_Unlabeled*Carrying_Bag_On_Shoulder/Back_Light|Located_Indoors</t>
  </si>
  <si>
    <t>Walking_Slow*In_Position_Upright*In_Transit_Active*Carrying_Bag_On_Shoulder/Back_Light|In_Conversation|Located_Outdoors</t>
  </si>
  <si>
    <t>Standing_With_Movement*In_Position_Upright*HLB_Other*Carrying_Bag_On_Shoulder/Back_Light|Holding_Other_Object_Light|Located_Indoors</t>
  </si>
  <si>
    <t>Puttering_Around*In_Position_Upright*Riding_Elevator_Down|Shopping_Non-Grocery*Holding_Other_Object_Light|Located_Indoors</t>
  </si>
  <si>
    <t>Standing_With_Movement*In_Position_Upright*Riding_Escalator_Up*Carrying_Bag_On_Shoulder/Back_Light|Located_Indoors</t>
  </si>
  <si>
    <t>Walking*In_Position_Upright*Administering_Care_Child/Elder/Other_Adult*Carrying_Bag_On_Shoulder/Back_Heavy|Holding_Other_Object_Light|Located_Outdoors</t>
  </si>
  <si>
    <t>Walking_Fast*In_Position_Upright*Playing_With_Children_Light*Located_Indoors</t>
  </si>
  <si>
    <t>Walking*In_Position_Upright*Eating/Dining*Holding_Bag/Briefcase_Hand_Light|Holding_Solid_Food|Located_Indoors</t>
  </si>
  <si>
    <t>Walking_Slow*In_Position_Upright*HIGH_LEVEL_BEHAVIOR_Unlabeled*Holding_Bag/Briefcase_Hand_Light|In_Conversation|Located_Outdoors</t>
  </si>
  <si>
    <t>Walking_Up_Stairs*In_Position_Upright*Meeting_Virtual*In_Conversation|Located_Indoors|On_Video_Call/FaceTime</t>
  </si>
  <si>
    <t>Walking*In_Position_Upright*Administering_Care_Child/Elder/Other_Adult|In_Transit_Active*Holding_Other_Object_Heavy|Located_Indoors</t>
  </si>
  <si>
    <t>Standing_With_Movement*In_Position_Upright*Dressing/Undressing|Watching_TV/Movies*Holding_Other_Object_Light|Located_Indoors</t>
  </si>
  <si>
    <t>Standing_With_Movement*Posture_Other*Doing_Laundry*Holding_Other_Object_Light|Located_Indoors</t>
  </si>
  <si>
    <t>Walking*In_Position_Upright*Doing_Common_Housework|Doing_Home_Repair*Holding_Other_Object_Light</t>
  </si>
  <si>
    <t>Puttering_Around*In_Position_Upright*In_Transit_Passive_Train/Bus/Plane*Carrying_Bag_On_Shoulder/Back_Light|Located_Indoors</t>
  </si>
  <si>
    <t>Puttering_Around*In_Position_Upright*In_Transit_Passive_Train/Bus/Plane*Carrying_Bag_On_Shoulder/Back_Light|Holding_Other_Object_Light|Located_Indoors</t>
  </si>
  <si>
    <t>Walking*In_Position_Upright*In_Transit_Active*Carrying_Bag_On_Shoulder/Back_Light|Holding_Other_Object_Light|Holding_Solid_Food|Located_Indoors</t>
  </si>
  <si>
    <t>Walking_Slow*In_Position_Upright*Meeting_Social_Gathering_In_Person*Holding_Other_Object_Light|Located_Outdoors</t>
  </si>
  <si>
    <t>Sitting_With_Movement*In_Position_Sitting*Playing_With_Pets*Located_Indoors|Texting/Browsing_Phone</t>
  </si>
  <si>
    <t>Washing_Hands*In_Position_Upright*HLB_Other*Located_Outdoors</t>
  </si>
  <si>
    <t>Puttering_Around*In_Position_Upright*Cleaning|Meeting_Social_Gathering_In_Person*Holding_Other_Object_Light|Located_Indoors</t>
  </si>
  <si>
    <t>Standing_With_Movement*In_Position_Upright*In_Transit_Active|Meeting_Social_Gathering_In_Person*Holding_Other_Object_Light|Located_Outdoors</t>
  </si>
  <si>
    <t>Standing_With_Movement*In_Position_Upright*Shopping_Non-Grocery*In_Conversation|Located_Indoors</t>
  </si>
  <si>
    <t>Sitting_With_Movement*In_Position_Sitting*Eating/Dining*Browsing_Computer|In_Conversation|Located_Indoors</t>
  </si>
  <si>
    <t>Sitting_With_Movement*In_Position_Sitting*Eating/Dining|In_Transit_Active*Holding_Solid_Food|Texting/Browsing_Phone</t>
  </si>
  <si>
    <t>Sitting_With_Movement*In_Position_Reclining/Slouching*In_Transit_Passive_Car*In_Conversation|Located_Outdoors</t>
  </si>
  <si>
    <t>Standing_With_Movement*In_Position_Upright*Eating/Dining|Using_Computer/Screen*Holding_Drink|Located_Indoors</t>
  </si>
  <si>
    <t>Walking*In_Position_Upright*HLB_Other|Meeting_Social_Gathering_In_Person*Holding_Solid_Food|Located_Outdoors</t>
  </si>
  <si>
    <t>Standing_With_Movement*In_Position_Upright*HLB_Other|Meeting_Social_Gathering_In_Person|Riding_Elevator_Up*Holding_Drink|Holding_Solid_Food|In_Conversation|Located_Indoors</t>
  </si>
  <si>
    <t>Sitting_With_Movement*In_Position_Sitting*Dressing/Undressing*Holding_Other_Object_Light|In_Conversation|Located_Indoors</t>
  </si>
  <si>
    <t>Walking*In_Position_Upright*In_Transit_Active*Holding_Bag/Briefcase_Hand_Light|Located_Indoors|Texting/Browsing_Phone</t>
  </si>
  <si>
    <t>Puttering_Around*In_Position_Upright*Meeting_Social_Gathering_In_Person|Packing/Unpacking_Something|Shopping_Grocery*Holding_Other_Object_Light|In_Conversation|Located_Indoors</t>
  </si>
  <si>
    <t>Sitting_With_Movement*In_Position_Sitting*In_Transit_Passive_Car*Carrying_Bag_On_Shoulder/Back_Light|Located_Outdoors</t>
  </si>
  <si>
    <t>Walking*In_Position_Upright*In_Transit_Passive_Train/Bus/Plane*Carrying_Bag_On_Shoulder/Back_Heavy|Located_Outdoors</t>
  </si>
  <si>
    <t>Walking_Up_Stairs*In_Position_Upright*In_Transit_Active|Meeting_Social_Gathering_In_Person*Holding_Other_Object_Light|In_Conversation|Located_Indoors|On_Video_Call/FaceTime</t>
  </si>
  <si>
    <t>Sitting_With_Movement*In_Position_Sitting*In_Transit_Passive_Train/Bus/Plane*Located_Indoors|On_Video_Call/FaceTime</t>
  </si>
  <si>
    <t>Walking*In_Position_Upright*In_Transit_Active*Carrying_Bag_On_Shoulder/Back_Light|Holding_Drink|Located_Indoors|Texting/Browsing_Phone</t>
  </si>
  <si>
    <t>Washing_Hands*In_Position_Upright*In_Transit_Active*Located_Indoors</t>
  </si>
  <si>
    <t>Walking*In_Position_Upright*Working_Other*Located_Indoors|Texting/Browsing_Phone</t>
  </si>
  <si>
    <t>Puttering_Around*In_Position_Upright*Meeting_Social_Gathering_In_Person|Packing/Unpacking_Something|Shopping_Grocery*Carrying_Bag_On_Shoulder/Back_Light|Holding_Other_Object_Light|In_Conversation|Located_Indoors</t>
  </si>
  <si>
    <t>Standing_With_Movement*In_Position_Upright*Dressing/Undressing|In_Transit_Active|Packing/Unpacking_Something*Holding_Other_Object_Light|Located_Indoors</t>
  </si>
  <si>
    <t>Standing_With_Movement*In_Position_Upright*Loading/Unloading_Vehicle*Carrying_Bag_On_Shoulder/Back_Light|Holding_Other_Object_Light|In_Conversation|Located_Outdoors</t>
  </si>
  <si>
    <t>Walking*In_Position_Upright*HIGH_LEVEL_BEHAVIOR_Unlabeled*In_Conversation|Located_Indoors|On_Video_Call/FaceTime</t>
  </si>
  <si>
    <t>Walking*In_Position_Upright*Administering_Care_Child/Elder/Other_Adult|In_Transit_Active|Meeting_Social_Gathering_In_Person*Holding_Other_Object_Light|Located_Indoors</t>
  </si>
  <si>
    <t>Standing_Still*In_Position_Upright*HLB_Other*Handwriting|Located_Indoors</t>
  </si>
  <si>
    <t>Standing_With_Movement*Posture_Too_Complex*HIGH_LEVEL_BEHAVIOR_Unlabeled*Located_Indoors</t>
  </si>
  <si>
    <t>Standing_With_Movement*In_Position_Upright*HIGH_LEVEL_BEHAVIOR_Unlabeled*Carrying_Bag_On_Shoulder/Back_Light|Carrying_Grocery_Bags_Light|Located_Indoors|Texting/Browsing_Phone</t>
  </si>
  <si>
    <t>Standing_With_Movement*In_Position_Upright*Cooking/Prepping_Food|Packing/Unpacking_Something*Holding_Solid_Food|Located_Indoors</t>
  </si>
  <si>
    <t>Puttering_Around*In_Position_Upright*In_Transit_Active|Riding_Elevator_Up*Holding_Drink|Located_Outdoors</t>
  </si>
  <si>
    <t>Walking*In_Position_Upright*Eating/Dining*Holding_Other_Object_Light|Holding_Solid_Food|Located_Indoors</t>
  </si>
  <si>
    <t>Puttering_Around*In_Position_Upright*HIGH_LEVEL_BEHAVIOR_Unlabeled*Holding_Other_Object_Heavy|Located_Outdoors</t>
  </si>
  <si>
    <t>Standing_With_Movement*In_Position_Upright*Dressing/Undressing|In_Bathroom*Located_Indoors</t>
  </si>
  <si>
    <t>Walking*In_Position_Upright*HIGH_LEVEL_BEHAVIOR_Unlabeled*Holding_Other_Object_Light|In_Conversation|Located_Indoors|On_Video_Call/FaceTime|Texting/Browsing_Phone</t>
  </si>
  <si>
    <t>Walking*In_Position_Upright*Packing/Unpacking_Something*Carrying_Bag_On_Shoulder/Back_Light|Located_Indoors</t>
  </si>
  <si>
    <t>Walking*In_Position_Upright*In_Transit_Active*CONTEXTUAL_PARAMETERS_Unlabeled</t>
  </si>
  <si>
    <t>Standing_Still*In_Position_Upright*Riding_Escalator_Up*Carrying_Bag_On_Shoulder/Back_Light</t>
  </si>
  <si>
    <t>Walking*In_Position_Upright*In_Transit_Active|Shopping_Non-Grocery*In_Conversation|Located_Indoors</t>
  </si>
  <si>
    <t>Walking_Slow*In_Position_Upright*HIGH_LEVEL_BEHAVIOR_Unlabeled*Carrying_Bag_On_Shoulder/Back_Light|Holding_Other_Object_Light|In_Conversation|Located_Indoors</t>
  </si>
  <si>
    <t>Puttering_Around*In_Position_Upright*Eating/Dining|In_Transit_Active*Holding_Other_Object_Light|Holding_Solid_Food|Located_Outdoors</t>
  </si>
  <si>
    <t>Walking_Down_Stairs*In_Position_Upright*Meeting_Social_Gathering_In_Person*Located_Indoors|Texting/Browsing_Phone</t>
  </si>
  <si>
    <t>Walking*In_Position_Upright*HLB_Other*Located_Outdoors</t>
  </si>
  <si>
    <t>Walking_Down_Stairs*In_Position_Upright*In_Transit_Active*Holding_Drink|Located_Indoors|Texting/Browsing_Phone</t>
  </si>
  <si>
    <t>Sitting_With_Movement*In_Position_Sitting*Watching_TV/Movies|Working_Other*Located_Indoors|Texting/Browsing_Phone</t>
  </si>
  <si>
    <t>Kneeling_With_Movement*In_Position_Kneeling*HIGH_LEVEL_BEHAVIOR_Unlabeled*Holding_Other_Object_Light|Located_Outdoors|Texting/Browsing_Phone</t>
  </si>
  <si>
    <t>Standing_With_Movement*In_Position_Upright*In_Transit_Active|Riding_Elevator_Up*Holding_Drink|Located_Indoors</t>
  </si>
  <si>
    <t>Sitting_With_Movement*In_Position_Reclining/Slouching*Doing_Resistance_Training*Located_Indoors</t>
  </si>
  <si>
    <t>Walking_Down_Stairs*In_Position_Upright*In_Transit_Active|Meeting_Social_Gathering_In_Person*In_Conversation|Located_Outdoors</t>
  </si>
  <si>
    <t>Walking*In_Position_Upright*HIGH_LEVEL_BEHAVIOR_Unlabeled*Carrying_Bag_On_Shoulder/Back_Light|Holding_Bag/Briefcase_Hand_Light|In_Conversation|Located_Indoors</t>
  </si>
  <si>
    <t>Walking_Slow*In_Position_Upright*In_Transit_Active*Carrying_Bag_On_Shoulder/Back_Light|Located_Outdoors|Texting/Browsing_Phone</t>
  </si>
  <si>
    <t>Walking*In_Position_Upright*Cooking/Prepping_Food*Located_Indoors|On_Video_Call/FaceTime</t>
  </si>
  <si>
    <t>Sitting_With_Movement*In_Position_Sitting*HIGH_LEVEL_BEHAVIOR_Unlabeled*Holding_Solid_Food|Located_Indoors|Texting/Browsing_Phone</t>
  </si>
  <si>
    <t>Puttering_Around*In_Position_Upright*Doing_Common_Housework_Light|Meeting_Social_Gathering_In_Person*Holding_Other_Object_Light|In_Conversation|Located_Indoors</t>
  </si>
  <si>
    <t>Walking*In_Position_Upright*Relaxing_Passive*Holding_Other_Object_Light|Located_Indoors</t>
  </si>
  <si>
    <t>Walking*In_Position_Upright*In_Transit_Active*Carrying_Bag_On_Shoulder/Back_Heavy|Located_Indoors|Texting/Browsing_Phone</t>
  </si>
  <si>
    <t>Sitting_With_Movement*In_Position_Sitting*Using_Computer/Screen*Browsing_Computer|CP_Other|Located_Indoors|Typing_Computer</t>
  </si>
  <si>
    <t>Standing_With_Movement*In_Position_Upright*Doing_Common_Housework|In_Transit_Active|Riding_Elevator_Down*In_Conversation|Located_Indoors</t>
  </si>
  <si>
    <t>Standing_With_Movement*In_Position_Upright*Playing_Sports/Games*In_Conversation|Located_Indoors</t>
  </si>
  <si>
    <t>Puttering_Around*In_Position_Upright*Loading/Unloading_Vehicle|Meeting_Social_Gathering_In_Person*Carrying_Grocery_Bags_Light|In_Conversation|Located_Outdoors</t>
  </si>
  <si>
    <t>Standing_With_Movement*In_Position_Upright*Meeting_Social_Gathering_In_Person*Carrying_Bag_On_Shoulder/Back_Light|Holding_Solid_Food|In_Conversation|Located_Outdoors</t>
  </si>
  <si>
    <t>Standing_With_Movement*In_Position_Upright*In_Bathroom*Carrying_Bag_On_Shoulder/Back_Heavy|Located_Indoors</t>
  </si>
  <si>
    <t>Puttering_Around*In_Position_Upright*In_Bathroom*Located_Indoors|Texting/Browsing_Phone</t>
  </si>
  <si>
    <t>Kneeling_With_Movement*In_Position_Kneeling*Cooking/Prepping_Food|Doing_Common_Housework*Located_Indoors</t>
  </si>
  <si>
    <t>Walking*In_Position_Upright*Cooking/Prepping_Food|Doing_Dishes|In_Transit_Active|Meeting_Social_Gathering_In_Person*Located_Indoors</t>
  </si>
  <si>
    <t>Walking_Slow*In_Position_Upright*In_Transit_Passive_Train/Bus/Plane*Carrying_Bag_On_Shoulder/Back_Light|Carrying_Grocery_Bags_Light|Located_Indoors</t>
  </si>
  <si>
    <t>Puttering_Around*In_Position_Upright*Shopping_Grocery*Carrying_Bag_On_Shoulder/Back_Light|Holding_Solid_Food|Located_Outdoors</t>
  </si>
  <si>
    <t>Sitting_With_Movement*In_Position_Sitting*Packing/Unpacking_Something*Located_Outdoors</t>
  </si>
  <si>
    <t>Puttering_Around*In_Position_Upright*Doing_Common_Housework|Doing_Laundry*Holding_Other_Object_Light</t>
  </si>
  <si>
    <t>Puttering_Around*In_Position_Upright*In_Transit_Active|Riding_Elevator_Down*Carrying_Bag_On_Shoulder/Back_Light|Located_Outdoors</t>
  </si>
  <si>
    <t>Standing_With_Movement*In_Position_Upright*In_Transit_Active*Carrying_Bag_On_Shoulder/Back_Heavy|Holding_Other_Object_Light|Holding_Solid_Food|Located_Indoors</t>
  </si>
  <si>
    <t>Walking*In_Position_Upright*Packing/Unpacking_Something*Holding_Other_Object_Light|Located_Indoors</t>
  </si>
  <si>
    <t>Standing_With_Movement*In_Position_Upright*In_Transit_Active|Riding_Elevator_Up*Carrying_Bag_On_Shoulder/Back_Heavy|Holding_Solid_Food|Located_Indoors</t>
  </si>
  <si>
    <t>Standing_With_Movement*In_Position_Upright*Dressing/Undressing|Packing/Unpacking_Something*Holding_Other_Object_Light|Located_Indoors</t>
  </si>
  <si>
    <t>Kneeling_With_Movement*In_Position_Kneeling*Meeting_Social_Gathering_In_Person|Packing/Unpacking_Something*Holding_Other_Object_Light|Located_Outdoors</t>
  </si>
  <si>
    <t>Kneeling_With_Movement*In_Position_Kneeling*Dressing/Undressing|Meeting_Social_Gathering_In_Person*Located_Outdoors</t>
  </si>
  <si>
    <t>Walking*In_Position_Upright*In_Transit_Active*Holding_Bag/Briefcase_Hand_Light|Holding_Drink|Located_Indoors</t>
  </si>
  <si>
    <t>Standing_With_Movement*In_Position_Upright*Exercising_Gym_Other*Holding_Other_Object_Light|In_Conversation|Located_Indoors|Texting/Browsing_Phone</t>
  </si>
  <si>
    <t>Standing_With_Movement*In_Position_Upright*Exercising_Gym_Other*Holding_Other_Object_Heavy|In_Conversation|Located_Indoors</t>
  </si>
  <si>
    <t>Sitting_With_Movement*In_Position_Sitting*In_Transit_Passive_Car*Holding_Drink|In_Conversation|Located_Outdoors|On_Video_Call/FaceTime|Texting/Browsing_Phone</t>
  </si>
  <si>
    <t>Standing_With_Movement*In_Position_Upright*Packing/Unpacking_Something*Located_Indoors|Texting/Browsing_Phone</t>
  </si>
  <si>
    <t>Puttering_Around*In_Position_Upright*Exercising_Gym_Other*Holding_Drink|Located_Indoors</t>
  </si>
  <si>
    <t>Walking_Slow*In_Position_Upright*HIGH_LEVEL_BEHAVIOR_Unlabeled*Carrying_Bag_On_Shoulder/Back_Light|Located_Indoors|Texting/Browsing_Phone</t>
  </si>
  <si>
    <t>Lying_With_Movement*Lying_On_Left_Side*Relaxing_Passive*Holding_Other_Object_Light|Located_Indoors</t>
  </si>
  <si>
    <t>Standing_With_Movement*In_Position_Upright*In_Transit_Active*Holding_Drink|Holding_Other_Object_Light|In_Conversation|Located_Outdoors</t>
  </si>
  <si>
    <t>Standing_With_Movement*In_Position_Upright*Cooking/Prepping_Food|Doing_Common_Housework_Light*Holding_Other_Object_Light|Located_Indoors</t>
  </si>
  <si>
    <t>Sitting_With_Movement*In_Position_Sitting*Eating/Dining|Meeting_Virtual*Holding_Other_Object_Light|Holding_Solid_Food|Located_Indoors|On_Video_Call/FaceTime</t>
  </si>
  <si>
    <t>Sitting_With_Movement*In_Position_Sitting*Eating/Dining|Meeting_Social_Gathering_In_Person*Holding_Drink|In_Conversation|Located_Indoors|Texting/Browsing_Phone</t>
  </si>
  <si>
    <t>Walking*In_Position_Upright*HIGH_LEVEL_BEHAVIOR_Unlabeled*CP_Other|Holding_Other_Object_Light</t>
  </si>
  <si>
    <t>Puttering_Around*In_Position_Upright*Dressing/Undressing|Meeting_Social_Gathering_In_Person*Holding_Other_Object_Light|In_Conversation|Located_Indoors</t>
  </si>
  <si>
    <t>Walking*In_Position_Upright*Meeting_Social_Gathering_In_Person|Shopping_Non-Grocery*Carrying_Bag_On_Shoulder/Back_Light|Holding_Drink|Located_Indoors</t>
  </si>
  <si>
    <t>Walking*In_Position_Upright*Meeting_Social_Gathering_In_Person*Located_Indoors|Texting/Browsing_Phone</t>
  </si>
  <si>
    <t>Walking_Slow*In_Position_Upright*Shopping_Grocery*Holding_Other_Object_Light|Located_Indoors</t>
  </si>
  <si>
    <t>Puttering_Around*In_Position_Upright*Meeting_Social_Gathering_In_Person*Carrying_Bag_On_Shoulder/Back_Light|Located_Indoors</t>
  </si>
  <si>
    <t>Walking_Slow*In_Position_Upright*In_Transit_Passive_Train/Bus/Plane*Carrying_Bag_On_Shoulder/Back_Light|Holding_Other_Object_Light|Located_Outdoors</t>
  </si>
  <si>
    <t>Standing_With_Movement*In_Position_Upright*Meeting_Virtual*Holding_Solid_Food|In_Conversation|Located_Outdoors|On_Video_Call/FaceTime</t>
  </si>
  <si>
    <t>Puttering_Around*In_Position_Upright*In_Transit_Active*Located_Outdoors|On_Phone_Call</t>
  </si>
  <si>
    <t>Kneeling_With_Movement*In_Position_Kneeling*Cleaning|Doing_Common_Housework*Holding_Other_Object_Light|Located_Indoors</t>
  </si>
  <si>
    <t>Standing_With_Movement*In_Position_Upright*Dressing/Undressing*Holding_Other_Object_Light|In_Conversation|Located_Indoors</t>
  </si>
  <si>
    <t>Standing_With_Movement*In_Position_Upright*Doing_Common_Housework*Holding_Other_Object_Light|Located_Indoors|On_Phone_Call</t>
  </si>
  <si>
    <t>Puttering_Around*In_Position_Upright*Doing_Resistance_Training*In_Conversation|Located_Indoors</t>
  </si>
  <si>
    <t>Standing_With_Movement*In_Position_Upright*Playing_Sports/Games*Holding_Other_Object_Light|Located_Outdoors</t>
  </si>
  <si>
    <t>Walking_Slow*In_Position_Upright*In_Transit_Active|Meeting_Social_Gathering_In_Person*In_Conversation|Located_Indoors</t>
  </si>
  <si>
    <t>Walking*In_Position_Upright*HLB_Other*Carrying_Bag_On_Shoulder/Back_Light|Located_Outdoors</t>
  </si>
  <si>
    <t>Walking_Up_Stairs*In_Position_Upright*Doing_Common_Housework_Light*Located_Indoors</t>
  </si>
  <si>
    <t>Puttering_Around*In_Position_Upright*HIGH_LEVEL_BEHAVIOR_Unlabeled*Carrying_Grocery_Bags_Light|Located_Indoors|On_Phone_Call</t>
  </si>
  <si>
    <t>Sitting_With_Movement*In_Position_Sitting*Meeting_Social_Gathering_In_Person|Relaxing_Passive*Holding_Drink|In_Conversation|Located_Outdoors</t>
  </si>
  <si>
    <t>Puttering_Around*In_Position_Upright*In_Transit_Active*Carrying_Bag_On_Shoulder/Back_Heavy|Located_Outdoors</t>
  </si>
  <si>
    <t>Standing_With_Movement*In_Position_Upright*HIGH_LEVEL_BEHAVIOR_Unlabeled*Holding_Other_Object_Light|In_Conversation</t>
  </si>
  <si>
    <t>Standing_With_Movement*In_Position_Upright*Relaxing_Passive*Carrying_Bag_On_Shoulder/Back_Light|Holding_Other_Object_Light|Located_Outdoors</t>
  </si>
  <si>
    <t>Puttering_Around*In_Position_Upright*Eating/Dining|Meeting_Virtual*Located_Indoors|Texting/Browsing_Phone</t>
  </si>
  <si>
    <t>Puttering_Around*In_Position_Upright*Dressing/Undressing*Holding_Other_Object_Light|Located_Outdoors</t>
  </si>
  <si>
    <t>Walking_Slow*In_Position_Upright*In_Transit_Passive_Train/Bus/Plane*Carrying_Bag_On_Shoulder/Back_Light|Holding_Bag/Briefcase_Hand_Light|Located_Outdoors</t>
  </si>
  <si>
    <t>Puttering_Around*In_Position_Upright*In_Transit_Active|Watching_TV/Movies*Located_Indoors</t>
  </si>
  <si>
    <t>Walking*In_Position_Upright*Grooming/Self_Care*Located_Indoors</t>
  </si>
  <si>
    <t>Standing_With_Movement*In_Position_Upright*Using_Computer/Screen*Holding_Other_Object_Light|In_Conversation|Located_Indoors</t>
  </si>
  <si>
    <t>Standing_With_Movement*In_Position_Upright*Riding_Elevator_Down*In_Conversation|Located_Indoors|Texting/Browsing_Phone</t>
  </si>
  <si>
    <t>Sitting_With_Movement*In_Position_Sitting*HLB_Video_Unavailable/Indecipherable*CP_Too_Complex|Located_Indoors</t>
  </si>
  <si>
    <t>Walking_Up_Stairs*In_Position_Upright*In_Transit_Active*Holding_Bag/Briefcase_Hand_Light|Located_Outdoors</t>
  </si>
  <si>
    <t>Kneeling_With_Movement*In_Position_Kneeling*Relaxing_Passive*Holding_Other_Object_Light|Located_Indoors</t>
  </si>
  <si>
    <t>Standing_With_Movement*In_Position_Upright*HLB_Other|In_Transit_Active*In_Conversation|Located_Indoors</t>
  </si>
  <si>
    <t>Standing_With_Movement*In_Position_Upright*Meeting_Social_Gathering_In_Person|Packing/Unpacking_Something*Holding_Bag/Briefcase_Hand_Light|Holding_Drink|In_Conversation|Located_Outdoors</t>
  </si>
  <si>
    <t>Lying_With_Movement*Lying_On_Right_Side*Using_Computer/Screen*Located_Indoors</t>
  </si>
  <si>
    <t>Standing_With_Movement*In_Position_Upright*Grooming/Self_Care*Carrying_Bag_On_Shoulder/Back_Light</t>
  </si>
  <si>
    <t>Sitting_With_Movement*In_Position_Sitting*In_Transit_Passive_Train/Bus/Plane*Located_Indoors|On_Phone_Call</t>
  </si>
  <si>
    <t>Sitting_With_Movement*In_Position_Sitting*Doing_Common_Housework_Light*Carrying_Bag_On_Shoulder/Back_Light|Located_Indoors</t>
  </si>
  <si>
    <t>Puttering_Around*In_Position_Upright*Cooking/Prepping_Food|In_Transit_Active|Meeting_Social_Gathering_In_Person*Located_Indoors</t>
  </si>
  <si>
    <t>Puttering_Around*In_Position_Upright*Using_Computer/Screen*Holding_Other_Object_Light|Holding_Solid_Food|Located_Indoors</t>
  </si>
  <si>
    <t>Walking*In_Position_Upright*Meeting_Virtual*Holding_Bag/Briefcase_Hand_Light|In_Conversation|Located_Outdoors|On_Video_Call/FaceTime</t>
  </si>
  <si>
    <t>Sitting_With_Movement*In_Position_Sitting*HLB_Other|Watching_TV/Movies*Located_Indoors</t>
  </si>
  <si>
    <t>Kneeling_With_Movement*In_Position_Kneeling*Packing/Unpacking_Something*Holding_Other_Object_Light|Legs_Uncrossed|Located_Indoors</t>
  </si>
  <si>
    <t>Standing_With_Movement*In_Position_Upright*Cooking/Prepping_Food|Eating/Dining*Holding_Other_Object_Light|Located_Indoors|Texting/Browsing_Phone</t>
  </si>
  <si>
    <t>Lying_With_Movement*Lying_On_Right_Side*HIGH_LEVEL_BEHAVIOR_Unlabeled*Holding_Other_Object_Light|Located_Indoors|On_Phone_Call</t>
  </si>
  <si>
    <t>Puttering_Around*In_Position_Upright*HIGH_LEVEL_BEHAVIOR_Unlabeled*Handwriting|Located_Indoors</t>
  </si>
  <si>
    <t>Standing_With_Movement*In_Position_Upright*HIGH_LEVEL_BEHAVIOR_Unlabeled*CP_Other|Located_Indoors</t>
  </si>
  <si>
    <t>Sitting_With_Movement*In_Position_Sitting*Eating/Dining*In_Conversation|Located_Indoors|On_Phone_Call</t>
  </si>
  <si>
    <t>Washing_Hands*In_Position_Upright*Doing_Common_Housework*Holding_Other_Object_Light|Located_Indoors</t>
  </si>
  <si>
    <t>Sitting_With_Movement*In_Position_Sitting*Grooming/Self_Care|Meeting_Formal_Gathering_In_Person*Holding_Other_Object_Light|Located_Indoors</t>
  </si>
  <si>
    <t>Standing_With_Movement*In_Position_Upright*Meeting_Social_Gathering_In_Person|Shopping_Grocery*Carrying_Bag_On_Shoulder/Back_Light|In_Conversation|Located_Indoors|Texting/Browsing_Phone</t>
  </si>
  <si>
    <t>Standing_With_Movement*In_Position_Upright*Administering_Care_Child/Elder/Other_Adult|Meeting_Social_Gathering_In_Person*Holding_Other_Object_Heavy|In_Conversation|Located_Indoors</t>
  </si>
  <si>
    <t>Standing_With_Movement*In_Position_Upright*Relaxing_Passive*Holding_Other_Object_Light|Located_Outdoors</t>
  </si>
  <si>
    <t>Standing_With_Movement*In_Position_Upright*In_Transit_Active*Carrying_Grocery_Bags_Light|Located_Indoors|Texting/Browsing_Phone</t>
  </si>
  <si>
    <t>Running_Non-Treadmill*In_Position_Upright*Doing_Alternative_Exercise/Therapy/Stretching*Located_Outdoors</t>
  </si>
  <si>
    <t>Sitting_With_Movement*In_Position_Sitting*HIGH_LEVEL_BEHAVIOR_Unlabeled*Holding_Drink|Located_Outdoors</t>
  </si>
  <si>
    <t>Walking_Slow*In_Position_Upright*Riding_Elevator_Up*Located_Indoors|Texting/Browsing_Phone</t>
  </si>
  <si>
    <t>Standing_With_Movement*In_Position_Upright*Dressing/Undressing*Located_Outdoors</t>
  </si>
  <si>
    <t>Walking*In_Position_Upright*In_Transit_Active*Located_Outdoors|On_Phone_Call</t>
  </si>
  <si>
    <t>Standing_With_Movement*In_Position_Upright*Dressing/Undressing|HLB_Other*Holding_Other_Object_Light|Located_Indoors</t>
  </si>
  <si>
    <t>Standing_With_Movement*In_Position_Upright*In_Transit_Active|Meeting_Social_Gathering_In_Person*Carrying_Bag_On_Shoulder/Back_Light|Holding_Solid_Food|In_Conversation|Located_Indoors</t>
  </si>
  <si>
    <t>Sitting_With_Movement*In_Position_Reclining/Slouching*Eating/Dining|Using_Computer/Screen*Holding_Solid_Food|Located_Indoors|Texting/Browsing_Phone</t>
  </si>
  <si>
    <t>Lying_With_Movement*Lying_On_Stomach*Sleeping*Located_Indoors</t>
  </si>
  <si>
    <t>Walking*In_Position_Upright*Cooking/Prepping_Food*In_Conversation|Located_Indoors</t>
  </si>
  <si>
    <t>Sitting_With_Movement*In_Position_Sitting*Eating/Dining|Watching_TV/Movies*Holding_Solid_Food|In_Conversation|Located_Indoors</t>
  </si>
  <si>
    <t>Standing_With_Movement*Posture_Other*Relaxing_Passive*Located_Indoors|Texting/Browsing_Phone</t>
  </si>
  <si>
    <t>Walking*In_Position_Upright*Using_Computer/Screen*Holding_Other_Object_Light|Located_Indoors</t>
  </si>
  <si>
    <t>Sitting_With_Movement*In_Position_Sitting*Eating/Dining|Meeting_Virtual*Holding_Other_Object_Light|Located_Indoors|On_Video_Call/FaceTime</t>
  </si>
  <si>
    <t>Walking_Fast*In_Position_Upright*HIGH_LEVEL_BEHAVIOR_Unlabeled*Located_Indoors</t>
  </si>
  <si>
    <t>Walking*In_Position_Upright*Meeting_Social_Gathering_In_Person*Holding_Drink|Located_Outdoors</t>
  </si>
  <si>
    <t>Walking*In_Position_Upright*In_Transit_Active|Meeting_Social_Gathering_In_Person*Carrying_Bag_On_Shoulder/Back_Light|Located_Outdoors|Texting/Browsing_Phone</t>
  </si>
  <si>
    <t>Lying_Still*Lying_On_Back*Relaxing_Passive*Browsing_Computer|Located_Indoors|On_Phone_Call</t>
  </si>
  <si>
    <t>Standing_With_Movement*In_Position_Upright*Cleaning*Carrying_Bag_On_Shoulder/Back_Light|Located_Indoors</t>
  </si>
  <si>
    <t>Walking*In_Position_Upright*Meeting_Social_Gathering_In_Person*Carrying_Bag_On_Shoulder/Back_Light|In_Conversation|Located_Outdoors|Texting/Browsing_Phone</t>
  </si>
  <si>
    <t>Kneeling_With_Movement*In_Position_Kneeling*In_Transit_Active|Packing/Unpacking_Something*Holding_Other_Object_Light|Located_Outdoors</t>
  </si>
  <si>
    <t>Standing_With_Movement*In_Position_Upright*Packing/Unpacking_Something*Holding_Book/Reader|Located_Indoors</t>
  </si>
  <si>
    <t>Walking*In_Position_Upright*In_Bathroom|In_Transit_Active*Located_Indoors</t>
  </si>
  <si>
    <t>Standing_With_Movement*In_Position_Upright*Doing_Dishes|Meeting_Virtual*Located_Indoors|On_Video_Call/FaceTime</t>
  </si>
  <si>
    <t>Standing_With_Movement*In_Position_Upright*Doing_Laundry*Holding_Other_Object_Light|Located_Indoors|Texting/Browsing_Phone</t>
  </si>
  <si>
    <t>Sitting_With_Movement*In_Position_Sitting*Cooking/Prepping_Food|Eating/Dining|Watching_TV/Movies*Holding_Drink|Located_Indoors</t>
  </si>
  <si>
    <t>Organizing_Shelf/Cabinet*In_Position_Kneeling*Cooking/Prepping_Food*Holding_Other_Object_Light|Located_Indoors</t>
  </si>
  <si>
    <t>Walking_Down_Stairs*In_Position_Upright*In_Transit_Passive_Train/Bus/Plane*Carrying_Bag_On_Shoulder/Back_Light|Located_Outdoors</t>
  </si>
  <si>
    <t>Sitting_With_Movement*In_Position_Sitting*HIGH_LEVEL_BEHAVIOR_Unlabeled*Handwriting|Holding_Other_Object_Light|In_Conversation|Located_Indoors</t>
  </si>
  <si>
    <t>Walking_Fast*In_Position_Upright*In_Transit_Active*Holding_Bag/Briefcase_Hand_Light|Located_Outdoors</t>
  </si>
  <si>
    <t>Sitting_With_Movement*Posture_Other*Using_Computer/Screen|Watching_TV/Movies*Located_Indoors</t>
  </si>
  <si>
    <t>Sitting_With_Movement*In_Position_Sitting*Meeting_Social_Gathering_In_Person|Playing_Sports/Games*CP_Too_Complex|Located_Indoors</t>
  </si>
  <si>
    <t>Standing_With_Movement*In_Position_Upright*Meeting_Social_Gathering_In_Person|Shopping_Non-Grocery*Holding_Other_Object_Light|In_Conversation|Located_Indoors</t>
  </si>
  <si>
    <t>Sitting_With_Movement*In_Position_Sitting*Eating/Dining|Meeting_Social_Gathering_In_Person|Watching_TV/Movies*Holding_Solid_Food|In_Conversation|Located_Indoors</t>
  </si>
  <si>
    <t>Sitting_With_Movement*In_Position_Sitting*Using_Computer/Screen*Browsing_Computer|Legs_Crossed|Located_Indoors|Typing_Computer</t>
  </si>
  <si>
    <t>Brushing/Combing/Tying_Hair*In_Position_Upright*HIGH_LEVEL_BEHAVIOR_Unlabeled*Located_Indoors</t>
  </si>
  <si>
    <t>Sitting_Still*In_Position_Sitting*Meeting_Social_Gathering_In_Person|Playing_Sports/Games*Located_Outdoors|Texting/Browsing_Phone</t>
  </si>
  <si>
    <t>Sitting_With_Movement*In_Position_Sitting*Relaxing_Passive|Watching_TV/Movies*Holding_Solid_Food|Located_Indoors</t>
  </si>
  <si>
    <t>Lying_With_Movement*Lying_On_Back*Relaxing_Passive*CP_Video_Unavailable/Indecipherable|Located_Indoors</t>
  </si>
  <si>
    <t>Standing_With_Movement*In_Position_Upright*Packing/Unpacking_Something*Holding_Solid_Food|Located_Outdoors</t>
  </si>
  <si>
    <t>Walking*In_Position_Upright*In_Transit_Active*Carrying_Bag_On_Shoulder/Back_Heavy|Holding_Other_Object_Light|In_Conversation|Located_Indoors</t>
  </si>
  <si>
    <t>Sitting_With_Movement*In_Position_Reclining/Slouching*Eating/Dining|Relaxing_Passive*Holding_Other_Object_Light|Located_Indoors</t>
  </si>
  <si>
    <t>Walking_Down_Stairs*In_Position_Upright*In_Transit_Active*Carrying_Bag_On_Shoulder/Back_Light|Holding_Other_Object_Light|In_Conversation|Located_Indoors</t>
  </si>
  <si>
    <t>Walking*In_Position_Upright*Meeting_Social_Gathering_In_Person*Holding_Drink|Holding_Other_Object_Light|In_Conversation|Located_Outdoors</t>
  </si>
  <si>
    <t>Standing_With_Movement*In_Position_Upright*In_Transit_Active|Riding_Elevator_Up*Holding_Other_Object_Heavy|Located_Indoors|Texting/Browsing_Phone</t>
  </si>
  <si>
    <t>Standing_With_Movement*In_Position_Upright*Using_Computer/Screen|Working_Other*Browsing_Computer|Located_Indoors</t>
  </si>
  <si>
    <t>Standing_With_Movement*In_Position_Upright*In_Transit_Active|Using_Computer/Screen*Holding_Bag/Briefcase_Hand_Light|Holding_Other_Object_Light|Located_Outdoors</t>
  </si>
  <si>
    <t>Sitting_With_Movement*In_Position_Sitting*Meeting_Social_Gathering_In_Person*Holding_Other_Object_Light|In_Conversation|Located_Outdoors|On_Phone_Call</t>
  </si>
  <si>
    <t>Standing_With_Movement*In_Position_Upright*Riding_Elevator_Up*Holding_Other_Object_Light|Located_Indoors|On_Video_Call/FaceTime</t>
  </si>
  <si>
    <t>Puttering_Around*In_Position_Upright*Packing/Unpacking_Something*Holding_Other_Object_Light|Located_Indoors|Texting/Browsing_Phone</t>
  </si>
  <si>
    <t>Sitting_With_Movement*In_Position_Sitting*Eating/Dining|Using_Computer/Screen|Watching_TV/Movies*Browsing_Computer|Holding_Other_Object_Light|Located_Indoors</t>
  </si>
  <si>
    <t>Walking*In_Position_Upright*Dressing/Undressing|In_Transit_Active*Located_Indoors</t>
  </si>
  <si>
    <t>Sitting_With_Movement*In_Position_Sitting*Meeting_Social_Gathering_In_Person|Relaxing_Passive|Watching_TV/Movies*Located_Indoors|Texting/Browsing_Phone</t>
  </si>
  <si>
    <t>Walking_Up_Stairs*In_Position_Upright*In_Transit_Active*Carrying_Bag_On_Shoulder/Back_Light</t>
  </si>
  <si>
    <t>Walking*In_Position_Upright*HLB_Other|In_Transit_Active*Holding_Drink|Holding_Other_Object_Light|Located_Indoors</t>
  </si>
  <si>
    <t>Washing_Hands*In_Position_Upright*In_Transit_Active|Meeting_Social_Gathering_In_Person*Located_Indoors</t>
  </si>
  <si>
    <t>Kneeling_With_Movement*In_Position_Kneeling*Doing_Common_Housework|In_Bathroom|Meeting_Social_Gathering_In_Person*Located_Indoors</t>
  </si>
  <si>
    <t>Sitting_With_Movement*In_Position_Sitting*Dressing/Undressing|In_Transit_Active*Located_Indoors</t>
  </si>
  <si>
    <t>Puttering_Around*In_Position_Upright*In_Transit_Active|Using_Computer/Screen|Watching_TV/Movies*Holding_Other_Object_Light|In_Conversation|Located_Indoors</t>
  </si>
  <si>
    <t>Standing_With_Movement*In_Position_Upright*Cleaning|Doing_Common_Housework|In_Transit_Active*Located_Indoors</t>
  </si>
  <si>
    <t>Walking*In_Position_Upright*In_Transit_Passive_Train/Bus/Plane|Riding_Elevator_Down*Carrying_Bag_On_Shoulder/Back_Light|Located_Outdoors</t>
  </si>
  <si>
    <t>Walking_Up_Stairs*In_Position_Upright*HIGH_LEVEL_BEHAVIOR_Unlabeled*Holding_Bag/Briefcase_Hand_Light|Located_Indoors</t>
  </si>
  <si>
    <t>Standing_With_Movement*In_Position_Upright*Doing_Resistance_Training*Holding_Drink|Located_Indoors</t>
  </si>
  <si>
    <t>Walking_Slow*In_Position_Upright*Eating/Dining*Holding_Solid_Food|Located_Indoors</t>
  </si>
  <si>
    <t>Walking*In_Position_Upright*In_Transit_Active|Packing/Unpacking_Something*Located_Indoors</t>
  </si>
  <si>
    <t>Walking*In_Position_Upright*In_Transit_Active|Meeting_Social_Gathering_In_Person*Carrying_Bag_On_Shoulder/Back_Light|Holding_Other_Object_Light|Located_Indoors</t>
  </si>
  <si>
    <t>Puttering_Around*In_Position_Upright*Playing_With_Pets*Located_Indoors</t>
  </si>
  <si>
    <t>Standing_With_Movement*In_Position_Upright*Eating/Dining|Watching_TV/Movies*Holding_Drink|Located_Indoors</t>
  </si>
  <si>
    <t>Walking*In_Position_Upright*Shopping_Grocery*Located_Indoors|Texting/Browsing_Phone</t>
  </si>
  <si>
    <t>Kneeling_With_Movement*In_Position_Kneeling*Meeting_Social_Gathering_In_Person|Playing_Sports/Games*Holding_Other_Object_Light|Located_Outdoors</t>
  </si>
  <si>
    <t>Walking_Slow*In_Position_Upright*HIGH_LEVEL_BEHAVIOR_Unlabeled*Carrying_Bag_On_Shoulder/Back_Light|Holding_Other_Object_Light|Located_Indoors</t>
  </si>
  <si>
    <t>Standing_With_Movement*In_Position_Upright*Eating/Dining*Holding_Other_Object_Light|In_Conversation|Located_Indoors|Texting/Browsing_Phone</t>
  </si>
  <si>
    <t>Standing_With_Movement*In_Position_Upright*HLB_Other*Holding_Drink|Located_Indoors</t>
  </si>
  <si>
    <t>Standing_Still*In_Position_Upright*In_Transit_Active*Carrying_Bag_On_Shoulder/Back_Heavy|Located_Outdoors</t>
  </si>
  <si>
    <t>Walking*In_Position_Upright*Meeting_Social_Gathering_In_Person*In_Conversation|Located_Indoors|Texting/Browsing_Phone</t>
  </si>
  <si>
    <t>Standing_With_Movement*In_Position_Upright*Meeting_Social_Gathering_In_Person*CP_Video_Unavailable/Indecipherable|In_Conversation|Located_Indoors</t>
  </si>
  <si>
    <t>Walking*In_Position_Upright*In_Transit_Active|Meeting_Social_Gathering_In_Person*Holding_Other_Object_Heavy|In_Conversation|Located_Indoors</t>
  </si>
  <si>
    <t>Walking*In_Position_Upright*Dressing/Undressing|In_Transit_Active*Holding_Other_Object_Light|Located_Indoors</t>
  </si>
  <si>
    <t>Walking_Up_Stairs*In_Position_Upright*In_Transit_Active|Meeting_Social_Gathering_In_Person*In_Conversation|Located_Indoors</t>
  </si>
  <si>
    <t>Walking*In_Position_Upright*Eating/Dining|In_Transit_Active*Holding_Drink|Located_Indoors</t>
  </si>
  <si>
    <t>Putting_Clothes_Away*In_Position_Upright*Doing_Laundry*Carrying_Bag_On_Shoulder/Back_Light|Located_Indoors</t>
  </si>
  <si>
    <t>Lying_With_Movement*Lying_On_Left_Side*HIGH_LEVEL_BEHAVIOR_Unlabeled*Holding_Other_Object_Light|Located_Indoors|On_Video_Call/FaceTime</t>
  </si>
  <si>
    <t>Lying_With_Movement*Lying_On_Right_Side*HIGH_LEVEL_BEHAVIOR_Unlabeled*Holding_Other_Object_Light|In_Conversation|Located_Indoors|Texting/Browsing_Phone</t>
  </si>
  <si>
    <t>Standing_With_Movement*In_Position_Upright*Packing/Unpacking_Something*Holding_Bag/Briefcase_Hand_Light</t>
  </si>
  <si>
    <t>Washing_Hands*In_Position_Upright*Meeting_Social_Gathering_In_Person*Carrying_Bag_On_Shoulder/Back_Light|Located_Indoors</t>
  </si>
  <si>
    <t>Puttering_Around*In_Position_Upright*In_Transit_Active|Meeting_Social_Gathering_In_Person|Riding_Elevator_Up*Carrying_Grocery_Bags_Light|In_Conversation|Located_Indoors</t>
  </si>
  <si>
    <t>Standing_With_Movement*In_Position_Upright*Meeting_Social_Gathering_In_Person*Located_Indoors|On_Video_Call/FaceTime</t>
  </si>
  <si>
    <t>Puttering_Around*In_Position_Upright*HIGH_LEVEL_BEHAVIOR_Unlabeled*Carrying_Bag_On_Shoulder/Back_Light|Carrying_Grocery_Bags_Light|Located_Indoors</t>
  </si>
  <si>
    <t>Standing_With_Movement*In_Position_Upright*Gardening*Located_Indoors</t>
  </si>
  <si>
    <t>Standing_With_Movement*In_Position_Upright*Playing_Videogame*Holding_Other_Object_Light|Located_Indoors|Texting/Browsing_Phone</t>
  </si>
  <si>
    <t>Puttering_Around*In_Position_Upright*HIGH_LEVEL_BEHAVIOR_Unlabeled*Holding_Other_Object_Light|Texting/Browsing_Phone</t>
  </si>
  <si>
    <t>Walking_Slow*In_Position_Upright*Shopping_Grocery*Located_Indoors</t>
  </si>
  <si>
    <t>Walking*In_Position_Upright*In_Transit_Active|Meeting_Social_Gathering_In_Person*Holding_Other_Object_Light|Holding_Solid_Food|In_Conversation|Located_Indoors</t>
  </si>
  <si>
    <t>Walking*In_Position_Upright*Doing_Common_Housework_Light*Holding_Drink|Located_Indoors</t>
  </si>
  <si>
    <t>Sitting_With_Movement*In_Position_Sitting*HIGH_LEVEL_BEHAVIOR_Unlabeled*Holding_Other_Object_Light|Holding_Solid_Food|In_Conversation|Located_Indoors</t>
  </si>
  <si>
    <t>Walking_Up_Stairs*In_Position_Upright*In_Transit_Active*Holding_Drink|Holding_Other_Object_Light|Located_Indoors</t>
  </si>
  <si>
    <t>Standing_With_Movement*In_Position_Upright*Packing/Unpacking_Something*Holding_Other_Object_Light|Located_Outdoors</t>
  </si>
  <si>
    <t>Walking_Up_Stairs*In_Position_Upright*In_Transit_Active|Meeting_Social_Gathering_In_Person*Located_Outdoors</t>
  </si>
  <si>
    <t>Walking*In_Position_Upright*Shopping_Grocery*Carrying_Grocery_Bags_Light|Located_Outdoors</t>
  </si>
  <si>
    <t>Walking*In_Position_Upright*Dressing/Undressing|Meeting_Virtual*Holding_Other_Object_Light|Located_Indoors|On_Video_Call/FaceTime</t>
  </si>
  <si>
    <t>Sitting_With_Movement*In_Position_Sitting*Eating/Dining|In_Transit_Active*Holding_Solid_Food|Located_Indoors|Texting/Browsing_Phone</t>
  </si>
  <si>
    <t>Puttering_Around*In_Position_Upright*Meeting_Social_Gathering_In_Person*Carrying_Bag_On_Shoulder/Back_Light|Holding_Solid_Food|In_Conversation|Located_Outdoors</t>
  </si>
  <si>
    <t>Kneeling_With_Movement*In_Position_Kneeling*Meeting_Social_Gathering_In_Person|Using_Computer/Screen*In_Conversation|Located_Indoors|Typing_Computer</t>
  </si>
  <si>
    <t>Walking_Up_Stairs*In_Position_Upright*Eating/Dining*Located_Indoors</t>
  </si>
  <si>
    <t>Organizing_Shelf/Cabinet*In_Position_Kneeling*Cleaning*Holding_Other_Object_Light|Located_Indoors</t>
  </si>
  <si>
    <t>Puttering_Around*In_Position_Upright*Cleaning|In_Transit_Active|Packing/Unpacking_Something*Holding_Other_Object_Light|Located_Indoors</t>
  </si>
  <si>
    <t>Walking*In_Position_Upright*Cleaning|In_Transit_Active|Meeting_Social_Gathering_In_Person*In_Conversation|Located_Indoors</t>
  </si>
  <si>
    <t>Standing_With_Movement*In_Position_Upright*Meeting_Social_Gathering_In_Person|Playing_With_Children_Moderate*Located_Indoors</t>
  </si>
  <si>
    <t>Kneeling_With_Movement*In_Position_Kneeling*Cooking/Prepping_Food*Holding_Solid_Food|Located_Indoors</t>
  </si>
  <si>
    <t>Walking_Up_Stairs*In_Position_Upright*In_Transit_Active*Holding_Bag/Briefcase_Hand_Light|Located_Indoors</t>
  </si>
  <si>
    <t>Standing_With_Movement*In_Position_Upright*Eating/Dining*Holding_Other_Object_Light|In_Conversation|Located_Indoors</t>
  </si>
  <si>
    <t>Standing_With_Movement*In_Position_Upright*Packing/Unpacking_Something|Riding_Elevator_Down*Holding_Bag/Briefcase_Hand_Light|Holding_Other_Object_Light|Located_Indoors</t>
  </si>
  <si>
    <t>Standing_With_Movement*In_Position_Upright*Packing/Unpacking_Something*Holding_Other_Object_Light</t>
  </si>
  <si>
    <t>Kneeling_With_Movement*In_Position_Kneeling*Cleaning|In_Transit_Active|Walking_Pet*Holding_Other_Object_Light|Located_Outdoors</t>
  </si>
  <si>
    <t>Sitting_With_Movement*In_Position_Sitting*HLB_Other|Using_Computer/Screen*Holding_Other_Object_Light|Located_Indoors</t>
  </si>
  <si>
    <t>Loading/Unloading_Washing_Machine/Dryer*Posture_Too_Complex*Doing_Laundry*Holding_Other_Object_Light|Located_Indoors</t>
  </si>
  <si>
    <t>Walking_Down_Stairs*In_Position_Upright*Exercising_Gym_Other*In_Conversation|Located_Indoors</t>
  </si>
  <si>
    <t>Standing_With_Movement*In_Position_Upright*Cooking/Prepping_Food|Meeting_Social_Gathering_In_Person*Located_Indoors|Texting/Browsing_Phone</t>
  </si>
  <si>
    <t>Standing_With_Movement*In_Position_Upright*HIGH_LEVEL_BEHAVIOR_Unlabeled*Carrying_Bag_On_Shoulder/Back_Light|Holding_Other_Object_Light|In_Conversation|Located_Indoors|Texting/Browsing_Phone</t>
  </si>
  <si>
    <t>Sitting_With_Movement*In_Position_Sitting*Packing/Unpacking_Something|Watching_TV/Movies*Holding_Other_Object_Light|Located_Indoors</t>
  </si>
  <si>
    <t>Standing_With_Movement*In_Position_Upright*In_Transit_Active*Carrying_Bag_On_Shoulder/Back_Light|Holding_Bag/Briefcase_Hand_Light|Located_Indoors|Texting/Browsing_Phone</t>
  </si>
  <si>
    <t>Walking*In_Position_Upright*In_Transit_Active*Carrying_Bag_On_Shoulder/Back_Heavy|Holding_Other_Object_Light|Located_Outdoors|Texting/Browsing_Phone</t>
  </si>
  <si>
    <t>Lying_With_Movement*Lying_On_Back*Eating/Dining|Relaxing_Passive|Watching_TV/Movies*Holding_Drink|Located_Indoors|Texting/Browsing_Phone</t>
  </si>
  <si>
    <t>Standing_With_Movement*In_Position_Upright*Riding_Elevator_Down*Holding_Other_Object_Light|In_Conversation|Located_Indoors</t>
  </si>
  <si>
    <t>Standing_With_Movement*In_Position_Upright*HLB_Video_Unavailable/Indecipherable*CP_Video_Unavailable/Indecipherable|Located_Indoors</t>
  </si>
  <si>
    <t>Puttering_Around*In_Position_Upright*Dancing*Holding_Other_Object_Light|Located_Indoors</t>
  </si>
  <si>
    <t>Standing_With_Movement*In_Position_Upright*Cooking/Prepping_Food|Meeting_Social_Gathering_In_Person*Holding_Other_Object_Light|Holding_Solid_Food|In_Conversation|Located_Indoors</t>
  </si>
  <si>
    <t>Washing_Hands*In_Position_Upright*Cleaning*Located_Outdoors</t>
  </si>
  <si>
    <t>Walking_Slow*In_Position_Upright*In_Transit_Passive_Train/Bus/Plane|Meeting_Social_Gathering_In_Person*Carrying_Bag_On_Shoulder/Back_Light</t>
  </si>
  <si>
    <t>Walking*In_Position_Upright*Meeting_Social_Gathering_In_Person*Carrying_Bag_On_Shoulder/Back_Light|Located_Indoors|Texting/Browsing_Phone</t>
  </si>
  <si>
    <t>Standing_Still*In_Position_Upright*HIGH_LEVEL_BEHAVIOR_Unlabeled*Carrying_Bag_On_Shoulder/Back_Heavy|In_Conversation</t>
  </si>
  <si>
    <t>Walking_Slow*In_Position_Upright*HIGH_LEVEL_BEHAVIOR_Unlabeled*Located_Indoors|On_Phone_Call</t>
  </si>
  <si>
    <t>Walking*In_Position_Upright*In_Transit_Active*Carrying_Grocery_Bags_Light|Holding_Book/Reader|Located_Outdoors</t>
  </si>
  <si>
    <t>Standing_With_Movement*In_Position_Upright*Packing/Unpacking_Something*Carrying_Bag_On_Shoulder/Back_Light|Located_Outdoors</t>
  </si>
  <si>
    <t>Puttering_Around*In_Position_Upright*Doing_Common_Housework*Holding_Other_Object_Light|Located_Outdoors</t>
  </si>
  <si>
    <t>Sitting_With_Movement*In_Position_Sitting*In_Transit_Driving_Car*Holding_Other_Object_Light</t>
  </si>
  <si>
    <t>Sitting_With_Movement*In_Position_Sitting*Doing_Common_Housework_Light*Holding_Other_Object_Light|Legs_Uncrossed|Located_Indoors</t>
  </si>
  <si>
    <t>Standing_With_Movement*Posture_Other*Cooking/Prepping_Food*Holding_Other_Object_Light|Located_Indoors</t>
  </si>
  <si>
    <t>Sitting_With_Movement*In_Position_Sitting*HIGH_LEVEL_BEHAVIOR_Unlabeled*Holding_Other_Object_Light|Located_Indoors|On_Phone_Call|Texting/Browsing_Phone|Typing_Computer</t>
  </si>
  <si>
    <t>Standing_With_Movement*In_Position_Upright*Doing_Laundry*CONTEXTUAL_PARAMETERS_Unlabeled</t>
  </si>
  <si>
    <t>Walking*In_Position_Upright*Loading/Unloading_Vehicle|Meeting_Social_Gathering_In_Person*Holding_Other_Object_Light|Located_Indoors</t>
  </si>
  <si>
    <t>Sitting_With_Movement*In_Position_Sitting*Eating/Dining|Flagged_Special_Circumstances*Holding_Drink|In_Conversation|Located_Indoors</t>
  </si>
  <si>
    <t>Walking*In_Position_Upright*In_Transit_Active*Carrying_Bag_On_Shoulder/Back_Light|Located_Outdoors|On_Phone_Call</t>
  </si>
  <si>
    <t>Standing_With_Movement*In_Position_Upright*Cooking/Prepping_Food|Grooming/Self_Care|In_Bathroom*Located_Indoors</t>
  </si>
  <si>
    <t>Walking*In_Position_Upright*Relaxing_Passive*CP_Too_Complex|Carrying_Bag_On_Shoulder/Back_Light</t>
  </si>
  <si>
    <t>Standing_With_Movement*In_Position_Upright*In_Transit_Passive_Train/Bus/Plane|Riding_Escalator_Up*Carrying_Bag_On_Shoulder/Back_Light|Located_Outdoors</t>
  </si>
  <si>
    <t>Walking_Up_Stairs*In_Position_Upright*Walking_Pet*Located_Indoors</t>
  </si>
  <si>
    <t>Sitting_With_Movement*In_Position_Sitting*HLB_Other*Located_Indoors|On_Phone_Call</t>
  </si>
  <si>
    <t>Sitting_With_Movement*In_Position_Sitting*Meeting_Formal_Gathering_In_Person|Using_Computer/Screen|Working_Other*Browsing_Computer|Located_Indoors</t>
  </si>
  <si>
    <t>Sitting_With_Movement*In_Position_Sitting*Playing_Videogame|Using_Computer/Screen*Holding_Other_Object_Light|Located_Indoors</t>
  </si>
  <si>
    <t>Walking_Slow*In_Position_Upright*In_Transit_Active*Holding_Other_Object_Light|Located_Indoors|Texting/Browsing_Phone</t>
  </si>
  <si>
    <t>Standing_With_Movement*In_Position_Upright*HIGH_LEVEL_BEHAVIOR_Unlabeled*Carrying_Bag_On_Shoulder/Back_Light|Holding_Bag/Briefcase_Hand_Light|Located_Indoors|Texting/Browsing_Phone</t>
  </si>
  <si>
    <t>Standing_With_Movement*In_Position_Upright*Packing/Unpacking_Something*Carrying_Bag_On_Shoulder/Back_Heavy|Holding_Bag/Briefcase_Hand_Light|Located_Indoors</t>
  </si>
  <si>
    <t>Walking*In_Position_Upright*Meeting_Virtual*Located_Indoors</t>
  </si>
  <si>
    <t>Sitting_With_Movement*In_Position_Sitting*Eating/Dining|HLB_Other*Holding_Drink|Located_Indoors</t>
  </si>
  <si>
    <t>Kneeling_With_Movement*In_Position_Kneeling*Meeting_Social_Gathering_In_Person*Holding_Drink|Holding_Other_Object_Light|In_Conversation|Located_Outdoors</t>
  </si>
  <si>
    <t>Walking*In_Position_Upright*In_Transit_Active*Holding_Other_Object_Light|In_Conversation|Located_Outdoors|Texting/Browsing_Phone</t>
  </si>
  <si>
    <t>Puttering_Around*In_Position_Upright*Meeting_Social_Gathering_In_Person|Working_Other*Located_Indoors</t>
  </si>
  <si>
    <t>Standing_With_Movement*In_Position_Upright*In_Bathroom*In_Conversation|Located_Indoors</t>
  </si>
  <si>
    <t>Standing_Still*In_Position_Upright*Working_Other*Located_Indoors</t>
  </si>
  <si>
    <t>Standing_With_Movement*In_Position_Upright*Dressing/Undressing|Packing/Unpacking_Something*Holding_Other_Object_Light</t>
  </si>
  <si>
    <t>Standing_With_Movement*In_Position_Upright*HLB_Other*Located_Indoors|Significantly_Higher_Effort_Than_Normal</t>
  </si>
  <si>
    <t>Sitting_With_Movement*In_Position_Sitting*In_Transit_Active|Meeting_Social_Gathering_In_Person|Relaxing_Passive*Holding_Solid_Food|In_Conversation|Located_Indoors</t>
  </si>
  <si>
    <t>Sitting_With_Movement*In_Position_Sitting*Eating/Dining|In_Transit_Driving_Car*Located_Outdoors</t>
  </si>
  <si>
    <t>Puttering_Around*In_Position_Upright*Doing_Laundry|Meeting_Social_Gathering_In_Person*Located_Indoors</t>
  </si>
  <si>
    <t>Puttering_Around*In_Position_Upright*In_Transit_Active*Holding_Other_Object_Light|In_Conversation|Located_Indoors</t>
  </si>
  <si>
    <t>Kneeling_With_Movement*In_Position_Kneeling*In_Bathroom*Located_Indoors</t>
  </si>
  <si>
    <t>Walking*In_Position_Upright*HIGH_LEVEL_BEHAVIOR_Unlabeled*Legs_Uncrossed|Located_Indoors</t>
  </si>
  <si>
    <t>Standing_With_Movement*In_Position_Upright*HIGH_LEVEL_BEHAVIOR_Unlabeled*Carrying_Bag_On_Shoulder/Back_Light|Carrying_Grocery_Bags_Light|Located_Outdoors</t>
  </si>
  <si>
    <t>Walking*In_Position_Upright*HIGH_LEVEL_BEHAVIOR_Unlabeled*Holding_Other_Object_Light|Located_Outdoors|On_Phone_Call</t>
  </si>
  <si>
    <t>Sitting_With_Movement*In_Position_Reclining/Slouching*Watching_TV/Movies*Legs_Crossed|Located_Indoors|Texting/Browsing_Phone</t>
  </si>
  <si>
    <t>Washing_Hands*In_Position_Upright*HIGH_LEVEL_BEHAVIOR_Unlabeled*Carrying_Bag_On_Shoulder/Back_Light|Located_Indoors</t>
  </si>
  <si>
    <t>Standing_With_Movement*In_Position_Upright*Cleaning*CP_Video_Unavailable/Indecipherable|Holding_Other_Object_Light</t>
  </si>
  <si>
    <t>Standing_With_Movement*In_Position_Upright*Doing_Common_Housework_Light*Holding_Book/Reader|Holding_Other_Object_Light|Located_Indoors</t>
  </si>
  <si>
    <t>Sitting_With_Movement*In_Position_Sitting*Playing_With_Pets|Using_Computer/Screen*Browsing_Computer|Located_Indoors</t>
  </si>
  <si>
    <t>Sitting_With_Movement*In_Position_Sitting*Using_Computer/Screen*In_Conversation|Legs_Crossed|Located_Indoors</t>
  </si>
  <si>
    <t>Sitting_With_Movement*In_Position_Reclining/Slouching*Using_Computer/Screen*Handwriting|Located_Indoors</t>
  </si>
  <si>
    <t>Walking_Down_Stairs*In_Position_Upright*In_Transit_Active|Meeting_Social_Gathering_In_Person*Located_Outdoors</t>
  </si>
  <si>
    <t>Sitting_With_Movement*In_Position_Sitting*Eating/Dining|In_Transit_Passive_Car*Holding_Drink|Holding_Solid_Food|Located_Outdoors</t>
  </si>
  <si>
    <t>Sitting_With_Movement*In_Position_Sitting*Eating/Dining|In_Transit_Passive_Car*Holding_Other_Object_Light|In_Conversation|Located_Outdoors</t>
  </si>
  <si>
    <t>Walking_Slow*In_Position_Upright*Doing_Resistance_Training*Located_Indoors</t>
  </si>
  <si>
    <t>Lying_With_Movement*Lying_On_Back*Using_Computer/Screen*Holding_Other_Object_Light|Located_Indoors</t>
  </si>
  <si>
    <t>Sitting_With_Movement*In_Position_Sitting*Cleaning|Doing_Common_Housework|Packing/Unpacking_Something*In_Conversation|Located_Indoors</t>
  </si>
  <si>
    <t>Standing_With_Movement*In_Position_Upright*HLB_Other|In_Transit_Active*In_Conversation|Located_Outdoors|Texting/Browsing_Phone</t>
  </si>
  <si>
    <t>Walking_Slow*In_Position_Upright*HIGH_LEVEL_BEHAVIOR_Unlabeled*Holding_Drink|Located_Indoors</t>
  </si>
  <si>
    <t>Walking*In_Position_Upright*Relaxing_Passive*Holding_Book/Reader|Located_Indoors</t>
  </si>
  <si>
    <t>Puttering_Around*In_Position_Upright*In_Transit_Active|Meeting_Social_Gathering_In_Person*Holding_Bag/Briefcase_Hand_Light|Located_Indoors</t>
  </si>
  <si>
    <t>Walking*In_Position_Upright*In_Transit_Active|Meeting_Social_Gathering_In_Person*Carrying_Grocery_Bags_Light|Located_Indoors</t>
  </si>
  <si>
    <t>Puttering_Around*In_Position_Upright*Riding_Elevator_Up|Shopping_Non-Grocery*Holding_Other_Object_Light|Located_Indoors</t>
  </si>
  <si>
    <t>Standing_With_Movement*In_Position_Upright*Using_Computer/Screen*Handwriting|Located_Indoors</t>
  </si>
  <si>
    <t>Lying_With_Movement*Lying_On_Back*HLB_Video_Unavailable/Indecipherable*Handwriting|Holding_Other_Object_Light</t>
  </si>
  <si>
    <t>Standing_Still*In_Position_Upright*HIGH_LEVEL_BEHAVIOR_Unlabeled*Holding_Other_Object_Light|Located_Indoors</t>
  </si>
  <si>
    <t>Puttering_Around*In_Position_Upright*HIGH_LEVEL_BEHAVIOR_Unlabeled*Carrying_Bag_On_Shoulder/Back_Light|Holding_Other_Object_Light|Located_Outdoors</t>
  </si>
  <si>
    <t>Walking_Down_Stairs*In_Position_Upright*In_Transit_Active|Meeting_Social_Gathering_In_Person*Carrying_Bag_On_Shoulder/Back_Light|Located_Indoors</t>
  </si>
  <si>
    <t>Sitting_With_Movement*In_Position_Sitting*Using_Computer/Screen*Browsing_Computer|Legs_Crossed|Located_Indoors|Texting/Browsing_Phone</t>
  </si>
  <si>
    <t>Walking_Down_Stairs*In_Position_Upright*In_Transit_Active*In_Conversation|Located_Indoors</t>
  </si>
  <si>
    <t>Sitting_With_Movement*In_Position_Sitting*Dancing|Meeting_Social_Gathering_In_Person*In_Conversation|Located_Indoors</t>
  </si>
  <si>
    <t>Standing_With_Movement*In_Position_Upright*In_Transit_Active|Riding_Escalator_Up*Holding_Bag/Briefcase_Hand_Light|Located_Outdoors</t>
  </si>
  <si>
    <t>Puttering_Around*In_Position_Upright*Doing_Common_Housework|Packing/Unpacking_Something*Holding_Other_Object_Light|Located_Indoors</t>
  </si>
  <si>
    <t>Doing_Resistance_Training_Free_Weights*In_Position_Sitting*Doing_Resistance_Training*Holding_Other_Object_Heavy|In_Conversation|Located_Indoors</t>
  </si>
  <si>
    <t>Standing_With_Movement*In_Position_Upright*Dressing/Undressing|Meeting_Social_Gathering_In_Person*Holding_Other_Object_Light|Located_Outdoors</t>
  </si>
  <si>
    <t>Sitting_With_Movement*In_Position_Sitting*Meeting_Social_Gathering_In_Person|Packing/Unpacking_Something|Using_Computer/Screen*Holding_Other_Object_Light|Located_Indoors</t>
  </si>
  <si>
    <t>Walking*In_Position_Upright*In_Bathroom|In_Transit_Active*Carrying_Bag_On_Shoulder/Back_Light|Carrying_Grocery_Bags_Light|Located_Indoors</t>
  </si>
  <si>
    <t>Puttering_Around*In_Position_Upright*Doing_Resistance_Training*Holding_Drink|Located_Indoors</t>
  </si>
  <si>
    <t>Lying_With_Movement*Lying_On_Left_Side*Meeting_Virtual|Using_Computer/Screen*Browsing_Computer|Located_Indoors</t>
  </si>
  <si>
    <t>Puttering_Around*In_Position_Upright*Grooming/Self_Care|Watching_TV/Movies*Located_Indoors</t>
  </si>
  <si>
    <t>Standing_With_Movement*In_Position_Upright*Cooking/Prepping_Food|Watching_TV/Movies*Holding_Solid_Food|Located_Indoors</t>
  </si>
  <si>
    <t>Walking_Down_Stairs*In_Position_Upright*Meeting_Social_Gathering_In_Person*In_Conversation|Located_Indoors</t>
  </si>
  <si>
    <t>Standing_With_Movement*In_Position_Upright*In_Transit_Active|Riding_Elevator_Up*Holding_Bag/Briefcase_Hand_Light|Located_Indoors</t>
  </si>
  <si>
    <t>Lying_With_Movement*Lying_On_Back*Relaxing_Passive*Handwriting|Holding_Other_Object_Light|Legs_Crossed|Located_Indoors</t>
  </si>
  <si>
    <t>Lying_With_Movement*Lying_On_Back*Working_Other*Handwriting|Holding_Other_Object_Light|Located_Indoors</t>
  </si>
  <si>
    <t>Walking_Down_Stairs*In_Position_Upright*HIGH_LEVEL_BEHAVIOR_Unlabeled*Carrying_Bag_On_Shoulder/Back_Light|Located_Outdoors</t>
  </si>
  <si>
    <t>Puttering_Around*In_Position_Upright*Doing_Common_Housework*Handwriting|Located_Indoors</t>
  </si>
  <si>
    <t>Loading/Unloading_Washing_Machine/Dryer*In_Position_Upright*Doing_Laundry*Located_Indoors|Texting/Browsing_Phone</t>
  </si>
  <si>
    <t>Sitting_With_Movement*In_Position_Sitting*In_Transit_Active*Carrying_Bag_On_Shoulder/Back_Light|Carrying_Grocery_Bags_Light|Located_Indoors|Texting/Browsing_Phone</t>
  </si>
  <si>
    <t>Standing_With_Movement*In_Position_Upright*Eating/Dining*Carrying_Bag_On_Shoulder/Back_Light|Holding_Drink|Located_Indoors</t>
  </si>
  <si>
    <t>Walking*In_Position_Upright*Dressing/Undressing|Packing/Unpacking_Something*Located_Indoors</t>
  </si>
  <si>
    <t>Lying_With_Movement*Lying_On_Back*Meeting_Social_Gathering_In_Person|Using_Computer/Screen|Watching_TV/Movies*In_Conversation|Located_Indoors</t>
  </si>
  <si>
    <t>Sitting_Still*In_Position_Sitting*HIGH_LEVEL_BEHAVIOR_Unlabeled*Located_Outdoors</t>
  </si>
  <si>
    <t>Walking*In_Position_Upright*In_Transit_Active|Meeting_Social_Gathering_In_Person*Located_Indoors|On_Video_Call/FaceTime</t>
  </si>
  <si>
    <t>Standing_With_Movement*In_Position_Upright*Cleaning|In_Transit_Active|Meeting_Social_Gathering_In_Person*Holding_Other_Object_Light|Located_Indoors</t>
  </si>
  <si>
    <t>Walking*In_Position_Upright*Using_Computer/Screen*Located_Outdoors|Texting/Browsing_Phone</t>
  </si>
  <si>
    <t>Walking*In_Position_Upright*Meeting_Social_Gathering_In_Person*Carrying_Bag_On_Shoulder/Back_Light|Holding_Other_Object_Light|In_Conversation|Located_Indoors</t>
  </si>
  <si>
    <t>Sitting_With_Movement*In_Position_Sitting*Eating/Dining|Watching_TV/Movies*Holding_Drink|Holding_Other_Object_Light|Legs_Crossed|Located_Indoors</t>
  </si>
  <si>
    <t>Standing_With_Movement*In_Position_Upright*HIGH_LEVEL_BEHAVIOR_Unlabeled*In_Conversation|Located_Indoors|On_Video_Call/FaceTime|Texting/Browsing_Phone</t>
  </si>
  <si>
    <t>Brushing_Teeth*In_Position_Upright*Grooming/Self_Care|In_Bathroom*In_Conversation|Located_Indoors</t>
  </si>
  <si>
    <t>Walking*In_Position_Upright*HIGH_LEVEL_BEHAVIOR_Unlabeled*Holding_Drink|Holding_Other_Object_Light|Located_Indoors</t>
  </si>
  <si>
    <t>Walking_Up_Stairs*In_Position_Upright*In_Transit_Active*Carrying_Bag_On_Shoulder/Back_Heavy|Located_Indoors</t>
  </si>
  <si>
    <t>Standing_With_Movement*In_Position_Upright*HIGH_LEVEL_BEHAVIOR_Unlabeled*Carrying_Bag_On_Shoulder/Back_Light|Holding_Solid_Food|Located_Indoors|Texting/Browsing_Phone</t>
  </si>
  <si>
    <t>Lying_With_Movement*Lying_On_Back*Grooming/Self_Care|Using_Computer/Screen*In_Conversation|Located_Indoors</t>
  </si>
  <si>
    <t>Puttering_Around*In_Position_Upright*Dressing/Undressing|Packing/Unpacking_Something*Located_Indoors</t>
  </si>
  <si>
    <t>Walking*In_Position_Upright*In_Transit_Active|Shopping_Non-Grocery*Located_Indoors</t>
  </si>
  <si>
    <t>Standing_With_Movement*In_Position_Upright*Shopping_Grocery*Holding_Solid_Food|Located_Indoors</t>
  </si>
  <si>
    <t>Standing_With_Movement*In_Position_Upright*Eating/Dining*Carrying_Bag_On_Shoulder/Back_Light|Holding_Drink|Holding_Solid_Food|Located_Indoors</t>
  </si>
  <si>
    <t>Standing_With_Movement*In_Position_Upright*Doing_Common_Housework*Holding_Bag/Briefcase_Hand_Light|Holding_Other_Object_Light|Located_Outdoors</t>
  </si>
  <si>
    <t>Walking*In_Position_Upright*Loading/Unloading_Vehicle*Holding_Other_Object_Heavy|Located_Outdoors</t>
  </si>
  <si>
    <t>Puttering_Around*In_Position_Upright*Dressing/Undressing|Meeting_Social_Gathering_In_Person*In_Conversation|Located_Indoors</t>
  </si>
  <si>
    <t>Sitting_With_Movement*In_Position_Sitting*Using_Computer/Screen*Holding_Other_Object_Light|Located_Indoors|On_Phone_Call|Texting/Browsing_Phone|Typing_Computer</t>
  </si>
  <si>
    <t>Sitting_With_Movement*In_Position_Sitting*HIGH_LEVEL_BEHAVIOR_Unlabeled*Handwriting|In_Conversation|Located_Indoors|On_Phone_Call</t>
  </si>
  <si>
    <t>Sitting_With_Movement*In_Position_Sitting*Loading/Unloading_Vehicle*Holding_Other_Object_Light|Located_Outdoors</t>
  </si>
  <si>
    <t>Walking_Down_Stairs*In_Position_Upright*HIGH_LEVEL_BEHAVIOR_Unlabeled*Holding_Other_Object_Light|Located_Indoors|Texting/Browsing_Phone</t>
  </si>
  <si>
    <t>Walking_Fast*In_Position_Upright*In_Transit_Active*Holding_Other_Object_Light|Located_Outdoors</t>
  </si>
  <si>
    <t>Walking*In_Position_Upright*HLB_Video_Unavailable/Indecipherable*Located_Indoors</t>
  </si>
  <si>
    <t>Standing_With_Movement*In_Position_Upright*HIGH_LEVEL_BEHAVIOR_Unlabeled*Holding_Bag/Briefcase_Hand_Light|Located_Indoors|Texting/Browsing_Phone</t>
  </si>
  <si>
    <t>Walking*In_Position_Upright*Riding_Elevator_Down*Located_Indoors|Texting/Browsing_Phone</t>
  </si>
  <si>
    <t>Walking*In_Position_Upright*HIGH_LEVEL_BEHAVIOR_Unlabeled*Holding_Other_Object_Light|Located_Indoors|On_Phone_Call</t>
  </si>
  <si>
    <t>Standing_With_Movement*In_Position_Upright*In_Bathroom|In_Transit_Active*Holding_Other_Object_Light|Located_Indoors</t>
  </si>
  <si>
    <t>Standing_With_Movement*In_Position_Upright*Administering_Care_Child/Elder/Other_Adult|Meeting_Social_Gathering_In_Person*In_Conversation|Located_Indoors</t>
  </si>
  <si>
    <t>Sitting_With_Movement*In_Position_Sitting*HIGH_LEVEL_BEHAVIOR_Unlabeled*Holding_Drink|Holding_Other_Object_Light|Located_Indoors</t>
  </si>
  <si>
    <t>Sitting_With_Movement*In_Position_Reclining/Slouching*Eating/Dining|Using_Computer/Screen*Legs_Crossed|Located_Indoors|Texting/Browsing_Phone</t>
  </si>
  <si>
    <t>Standing_With_Movement*In_Position_Upright*HIGH_LEVEL_BEHAVIOR_Unlabeled*Holding_Drink|Holding_Other_Object_Light|Located_Indoors</t>
  </si>
  <si>
    <t>Standing_With_Movement*In_Position_Upright*HLB_Other|Meeting_Social_Gathering_In_Person*Holding_Drink|Holding_Solid_Food|Located_Indoors</t>
  </si>
  <si>
    <t>Walking*In_Position_Upright*Using_Computer/Screen*Browsing_Computer|Located_Indoors</t>
  </si>
  <si>
    <t>Sitting_With_Movement*In_Position_Sitting*Relaxing_Passive|Using_Computer/Screen*Located_Indoors|On_Phone_Call|Texting/Browsing_Phone</t>
  </si>
  <si>
    <t>Standing_With_Movement*In_Position_Upright*In_Transit_Active|Meeting_Social_Gathering_In_Person*Carrying_Bag_On_Shoulder/Back_Light|Located_Indoors|Texting/Browsing_Phone</t>
  </si>
  <si>
    <t>Kneeling_With_Movement*In_Position_Kneeling*Doing_Common_Housework*In_Conversation|Located_Indoors</t>
  </si>
  <si>
    <t>Standing_With_Movement*In_Position_Upright*Riding_Elevator_Down*Holding_Bag/Briefcase_Hand_Light|In_Conversation</t>
  </si>
  <si>
    <t>Puttering_Around*In_Position_Upright*Loading/Unloading_Vehicle*Holding_Bag/Briefcase_Hand_Light|In_Conversation|Located_Outdoors</t>
  </si>
  <si>
    <t>Puttering_Around*In_Position_Upright*In_Transit_Active|Riding_Elevator_Up*Carrying_Bag_On_Shoulder/Back_Light|Carrying_Grocery_Bags_Light|Located_Indoors</t>
  </si>
  <si>
    <t>Standing_With_Movement*In_Position_Upright*In_Transit_Passive_Train/Bus/Plane|Riding_Elevator_Up*Holding_Other_Object_Light|Located_Outdoors</t>
  </si>
  <si>
    <t>Walking*In_Position_Upright*Cooking/Prepping_Food|Doing_Common_Housework*Holding_Other_Object_Light|Located_Indoors</t>
  </si>
  <si>
    <t>Sitting_With_Movement*In_Position_Sitting*HIGH_LEVEL_BEHAVIOR_Unlabeled*Handwriting</t>
  </si>
  <si>
    <t>Walking_Up_Stairs*In_Position_Upright*In_Transit_Passive_Train/Bus/Plane*Carrying_Bag_On_Shoulder/Back_Light|Located_Indoors</t>
  </si>
  <si>
    <t>Organizing_Shelf/Cabinet*Posture_Too_Complex*Doing_Common_Housework*Holding_Other_Object_Light|Located_Indoors</t>
  </si>
  <si>
    <t>Standing_Still*In_Position_Upright*Cooking/Prepping_Food*Located_Indoors</t>
  </si>
  <si>
    <t>Puttering_Around*In_Position_Upright*Using_Computer/Screen*Browsing_Computer|In_Conversation|Located_Indoors</t>
  </si>
  <si>
    <t>Standing_With_Movement*In_Position_Upright*Meeting_Social_Gathering_In_Person*Holding_Other_Object_Light|In_Conversation|Located_Outdoors|On_Phone_Call</t>
  </si>
  <si>
    <t>Standing_With_Movement*In_Position_Upright*Doing_Common_Housework_Light|HLB_Video_Unavailable/Indecipherable*Holding_Other_Object_Light|Located_Indoors</t>
  </si>
  <si>
    <t>Walking_Up_Stairs*In_Position_Upright*HLB_Other*Carrying_Grocery_Bags_Light|Located_Indoors</t>
  </si>
  <si>
    <t>Puttering_Around*In_Position_Upright*Doing_Resistance_Training|Exercising_Gym_Other*Located_Indoors|Texting/Browsing_Phone</t>
  </si>
  <si>
    <t>Sitting_With_Movement*In_Position_Sitting*Meeting_Social_Gathering_In_Person|Using_Computer/Screen*Browsing_Computer|Legs_Crossed|Located_Indoors</t>
  </si>
  <si>
    <t>Lying_With_Movement*Lying_On_Back*HLB_Video_Unavailable/Indecipherable*CP_Video_Unavailable/Indecipherable|Located_Indoors</t>
  </si>
  <si>
    <t>Sitting_With_Movement*In_Position_Reclining/Slouching*Grooming/Self_Care*Located_Indoors</t>
  </si>
  <si>
    <t>Standing_With_Movement*In_Position_Upright*Working_Other*In_Conversation|Texting/Browsing_Phone</t>
  </si>
  <si>
    <t>Walking_Down_Stairs*In_Position_Upright*In_Transit_Active|Meeting_Social_Gathering_In_Person*In_Conversation|Located_Indoors</t>
  </si>
  <si>
    <t>Walking_Down_Stairs*In_Position_Upright*In_Transit_Active*Holding_Bag/Briefcase_Hand_Light|Located_Indoors|Texting/Browsing_Phone</t>
  </si>
  <si>
    <t>Lying_With_Movement*Lying_On_Right_Side*Using_Computer/Screen|Watching_TV/Movies*Browsing_Computer|Located_Indoors</t>
  </si>
  <si>
    <t>Walking*In_Position_Upright*Eating/Dining|Meeting_Social_Gathering_In_Person*Holding_Other_Object_Light|In_Conversation|Located_Indoors</t>
  </si>
  <si>
    <t>Puttering_Around*In_Position_Upright*HIGH_LEVEL_BEHAVIOR_Unlabeled*Carrying_Bag_On_Shoulder/Back_Light|Located_Outdoors|Texting/Browsing_Phone</t>
  </si>
  <si>
    <t>Walking*In_Position_Upright*Shopping_Non-Grocery*Carrying_Bag_On_Shoulder/Back_Light|Holding_Drink|Located_Indoors</t>
  </si>
  <si>
    <t>Walking*In_Position_Upright*Cleaning|Meeting_Social_Gathering_In_Person*Holding_Other_Object_Light|Located_Indoors</t>
  </si>
  <si>
    <t>Standing_With_Movement*In_Position_Upright*Playing_With_Children_Light*Holding_Other_Object_Light|Located_Indoors</t>
  </si>
  <si>
    <t>Walking*In_Position_Upright*HIGH_LEVEL_BEHAVIOR_Unlabeled*Holding_Bag/Briefcase_Hand_Light|Located_Outdoors|Texting/Browsing_Phone</t>
  </si>
  <si>
    <t>Standing_With_Movement*In_Position_Upright*In_Transit_Active|Watching_TV/Movies*Located_Indoors</t>
  </si>
  <si>
    <t>Puttering_Around*In_Position_Upright*Doing_Common_Housework_Light|Doing_Dishes*Holding_Other_Object_Light|Located_Indoors</t>
  </si>
  <si>
    <t>Sitting_With_Movement*In_Position_Sitting*In_Transit_Passive_Car|Playing_Videogame*Holding_Other_Object_Light|Located_Outdoors</t>
  </si>
  <si>
    <t>Puttering_Around*In_Position_Upright*HLB_Other*Holding_Other_Object_Light|Located_Outdoors</t>
  </si>
  <si>
    <t>Walking_Up_Stairs*In_Position_Upright*HIGH_LEVEL_BEHAVIOR_Unlabeled*Holding_Other_Object_Light|Located_Outdoors</t>
  </si>
  <si>
    <t>Sitting_With_Movement*In_Position_Sitting*HIGH_LEVEL_BEHAVIOR_Unlabeled*Carrying_Bag_On_Shoulder/Back_Light|Located_Outdoors</t>
  </si>
  <si>
    <t>Sitting_With_Movement*In_Position_Sitting*HLB_Video_Unavailable/Indecipherable*CONTEXTUAL_PARAMETERS_Unlabeled</t>
  </si>
  <si>
    <t>Puttering_Around*In_Position_Upright*Doing_Resistance_Training|Dressing/Undressing*Holding_Other_Object_Light|Located_Indoors</t>
  </si>
  <si>
    <t>Standing_With_Movement*In_Position_Upright*In_Transit_Active|Riding_Elevator_Down*Carrying_Bag_On_Shoulder/Back_Heavy|Located_Indoors</t>
  </si>
  <si>
    <t>Walking_Up_Stairs*In_Position_Upright*HIGH_LEVEL_BEHAVIOR_Unlabeled*Holding_Other_Object_Light|Located_Indoors|On_Phone_Call</t>
  </si>
  <si>
    <t>Sitting_With_Movement*In_Position_Sitting*Meeting_Social_Gathering_In_Person|Using_Computer/Screen|Watching_TV/Movies*Legs_Crossed|Located_Indoors|Texting/Browsing_Phone</t>
  </si>
  <si>
    <t>Sitting_With_Movement*In_Position_Sitting*Using_Computer/Screen*Browsing_Computer|Holding_Other_Object_Light|In_Conversation|Located_Indoors</t>
  </si>
  <si>
    <t>Standing_With_Movement*In_Position_Upright*In_Transit_Active*Handwriting|Located_Indoors|Texting/Browsing_Phone</t>
  </si>
  <si>
    <t>Walking*In_Position_Upright*HIGH_LEVEL_BEHAVIOR_Unlabeled*Holding_Other_Object_Light|Holding_Solid_Food|Located_Indoors</t>
  </si>
  <si>
    <t>Standing_With_Movement*In_Position_Upright*Meeting_Formal_Gathering_In_Person*Holding_Other_Object_Light|Located_Indoors</t>
  </si>
  <si>
    <t>Puttering_Around*In_Position_Upright*Watching_TV/Movies*Holding_Solid_Food|Located_Indoors</t>
  </si>
  <si>
    <t>Lying_With_Movement*Lying_On_Back*Relaxing_Passive*Legs_Crossed|Located_Indoors</t>
  </si>
  <si>
    <t>Kneeling_With_Movement*In_Position_Kneeling*Meeting_Social_Gathering_In_Person|Using_Computer/Screen*Browsing_Computer|In_Conversation|Located_Indoors</t>
  </si>
  <si>
    <t>Puttering_Around*In_Position_Upright*Meeting_Social_Gathering_In_Person*Handwriting|In_Conversation|Located_Indoors</t>
  </si>
  <si>
    <t>Standing_With_Movement*In_Position_Upright*In_Transit_Passive_Train/Bus/Plane*Carrying_Bag_On_Shoulder/Back_Light|Located_Outdoors|Texting/Browsing_Phone</t>
  </si>
  <si>
    <t>Sitting_Still*In_Position_Sitting*In_Bathroom*Located_Indoors</t>
  </si>
  <si>
    <t>Standing_With_Movement*In_Position_Upright*Dressing/Undressing|In_Transit_Active*Carrying_Bag_On_Shoulder/Back_Light|Located_Outdoors</t>
  </si>
  <si>
    <t>Walking*In_Position_Upright*In_Transit_Active|Packing/Unpacking_Something*Holding_Other_Object_Light|Located_Indoors</t>
  </si>
  <si>
    <t>Sitting_With_Movement*In_Position_Sitting*Eating/Dining|Meeting_Social_Gathering_In_Person|Relaxing_Passive|Using_Computer/Screen|Watching_TV/Movies*Holding_Other_Object_Light|In_Conversation|Located_Indoors</t>
  </si>
  <si>
    <t>Puttering_Around*In_Position_Upright*HIGH_LEVEL_BEHAVIOR_Unlabeled*On_Phone_Call</t>
  </si>
  <si>
    <t>Puttering_Around*In_Position_Upright*Watching_TV/Movies*CONTEXTUAL_PARAMETERS_Unlabeled</t>
  </si>
  <si>
    <t>Standing_With_Movement*In_Position_Upright*Playing_Videogame*Located_Indoors|Texting/Browsing_Phone</t>
  </si>
  <si>
    <t>Puttering_Around*In_Position_Upright*Shopping_Grocery*Holding_Drink|Holding_Other_Object_Light|Located_Indoors</t>
  </si>
  <si>
    <t>Sitting_With_Movement*In_Position_Sitting*Relaxing_Passive|Using_Computer/Screen*Browsing_Computer|Holding_Drink|Located_Indoors</t>
  </si>
  <si>
    <t>Puttering_Around*In_Position_Upright*In_Transit_Active|Riding_Elevator_Up*Carrying_Grocery_Bags_Light|Located_Indoors</t>
  </si>
  <si>
    <t>Standing_With_Movement*In_Position_Upright*Doing_Resistance_Training*Holding_Other_Object_Heavy|Located_Indoors</t>
  </si>
  <si>
    <t>Puttering_Around*In_Position_Upright*In_Transit_Active*Carrying_Bag_On_Shoulder/Back_Light|Holding_Other_Object_Light|In_Conversation|Located_Indoors</t>
  </si>
  <si>
    <t>Walking*In_Position_Upright*Meeting_Social_Gathering_In_Person*Located_Outdoors|Texting/Browsing_Phone</t>
  </si>
  <si>
    <t>Puttering_Around*In_Position_Upright*Doing_Common_Housework_Light|In_Bathroom*Holding_Other_Object_Light|Located_Indoors</t>
  </si>
  <si>
    <t>Standing_With_Movement*In_Position_Upright*Shopping_Non-Grocery*In_Conversation|Located_Outdoors</t>
  </si>
  <si>
    <t>Sitting_With_Movement*In_Position_Sitting*HIGH_LEVEL_BEHAVIOR_Unlabeled*Legs_Crossed|Located_Outdoors|Texting/Browsing_Phone</t>
  </si>
  <si>
    <t>Standing_With_Movement*In_Position_Upright*HIGH_LEVEL_BEHAVIOR_Unlabeled*Holding_Book/Reader</t>
  </si>
  <si>
    <t>Walking*In_Position_Upright*Doing_Common_Housework_Light|Meeting_Social_Gathering_In_Person*Holding_Other_Object_Light|In_Conversation|Located_Indoors</t>
  </si>
  <si>
    <t>Sitting_With_Movement*In_Position_Sitting*Packing/Unpacking_Something*Legs_Uncrossed|Located_Indoors</t>
  </si>
  <si>
    <t>Walking_Fast*In_Position_Upright*Meeting_Social_Gathering_In_Person|Playing_Sports/Games*Located_Outdoors</t>
  </si>
  <si>
    <t>Standing_With_Movement*In_Position_Upright*Eating/Dining|Meeting_Social_Gathering_In_Person*Carrying_Bag_On_Shoulder/Back_Light|Holding_Solid_Food|In_Conversation|Located_Outdoors</t>
  </si>
  <si>
    <t>Sitting_With_Movement*In_Position_Reclining/Slouching*Eating/Dining*Holding_Solid_Food|In_Conversation|Located_Indoors</t>
  </si>
  <si>
    <t>Puttering_Around*In_Position_Upright*In_Transit_Active|Riding_Elevator_Up*Carrying_Bag_On_Shoulder/Back_Light|Located_Indoors|Texting/Browsing_Phone</t>
  </si>
  <si>
    <t>Walking*In_Position_Upright*HIGH_LEVEL_BEHAVIOR_Unlabeled*Carrying_Bag_On_Shoulder/Back_Heavy|Located_Outdoors</t>
  </si>
  <si>
    <t>Sitting_With_Movement*In_Position_Sitting*Meeting_Social_Gathering_In_Person|Using_Computer/Screen*In_Conversation|Texting/Browsing_Phone</t>
  </si>
  <si>
    <t>Walking*In_Position_Upright*Doing_Common_Housework_Light*Located_Outdoors</t>
  </si>
  <si>
    <t>Sitting_With_Movement*In_Position_Sitting*Eating/Dining|Meeting_Social_Gathering_In_Person|Watching_TV/Movies*Holding_Drink|Located_Indoors</t>
  </si>
  <si>
    <t>Standing_With_Movement*In_Position_Upright*In_Transit_Active|Meeting_Social_Gathering_In_Person*Carrying_Bag_On_Shoulder/Back_Light|Holding_Drink|In_Conversation|Located_Outdoors</t>
  </si>
  <si>
    <t>Walking*In_Position_Upright*Cleaning|In_Transit_Active*Holding_Other_Object_Light|Located_Indoors</t>
  </si>
  <si>
    <t>Walking*In_Position_Upright*Administering_Care_Child/Elder/Other_Adult|In_Transit_Active|Meeting_Social_Gathering_In_Person*Located_Indoors</t>
  </si>
  <si>
    <t>Sitting_With_Movement*In_Position_Sitting*Eating/Dining|Meeting_Social_Gathering_In_Person*Holding_Book/Reader|Holding_Drink|Located_Indoors</t>
  </si>
  <si>
    <t>Standing_With_Movement*In_Position_Upright*Using_Computer/Screen*Carrying_Bag_On_Shoulder/Back_Light|Carrying_Grocery_Bags_Light|Located_Indoors|Texting/Browsing_Phone</t>
  </si>
  <si>
    <t>Sitting_With_Movement*In_Position_Sitting*HIGH_LEVEL_BEHAVIOR_Unlabeled*Carrying_Bag_On_Shoulder/Back_Light|Carrying_Grocery_Bags_Light|Located_Indoors</t>
  </si>
  <si>
    <t>Puttering_Around*In_Position_Upright*In_Transit_Passive_Train/Bus/Plane*Holding_Other_Object_Light|Located_Outdoors</t>
  </si>
  <si>
    <t>Sitting_With_Movement*In_Position_Sitting*Watching_TV/Movies*Holding_Other_Object_Light</t>
  </si>
  <si>
    <t>Puttering_Around*In_Position_Upright*Cleaning*CONTEXTUAL_PARAMETERS_Unlabeled</t>
  </si>
  <si>
    <t>Lying_With_Movement*Lying_On_Right_Side*Playing_Videogame*Holding_Other_Object_Light|Located_Indoors</t>
  </si>
  <si>
    <t>Walking*In_Position_Upright*In_Transit_Active*Holding_Drink|Located_Indoors|Texting/Browsing_Phone</t>
  </si>
  <si>
    <t>Sitting_With_Movement*In_Position_Sitting*Meeting_Social_Gathering_In_Person|Watching_TV/Movies*Holding_Other_Object_Light|Legs_Crossed|Located_Indoors|Texting/Browsing_Phone</t>
  </si>
  <si>
    <t>Standing_With_Movement*In_Position_Upright*In_Transit_Active*Carrying_Bag_On_Shoulder/Back_Light|In_Conversation|Located_Indoors|Texting/Browsing_Phone</t>
  </si>
  <si>
    <t>Sitting_With_Movement*In_Position_Sitting*Dressing/Undressing|Using_Computer/Screen*Browsing_Computer|Located_Indoors</t>
  </si>
  <si>
    <t>Blowdrying_Hair*In_Position_Upright*Grooming/Self_Care|In_Bathroom*Holding_Other_Object_Light|Located_Indoors</t>
  </si>
  <si>
    <t>Walking_Down_Stairs*In_Position_Upright*HIGH_LEVEL_BEHAVIOR_Unlabeled*Holding_Other_Object_Light|Located_Indoors|On_Phone_Call</t>
  </si>
  <si>
    <t>Walking_Up_Stairs*In_Position_Upright*HIGH_LEVEL_BEHAVIOR_Unlabeled*In_Conversation|Located_Outdoors</t>
  </si>
  <si>
    <t>Walking*In_Position_Upright*Riding_Elevator_Down*Holding_Other_Object_Light|Located_Indoors</t>
  </si>
  <si>
    <t>Sitting_With_Movement*In_Position_Sitting*Using_Computer/Screen|Watching_TV/Movies*Browsing_Computer|In_Conversation|Located_Indoors</t>
  </si>
  <si>
    <t>Sitting_With_Movement*In_Position_Sitting*Packing/Unpacking_Something*Holding_Other_Object_Light|Located_Outdoors</t>
  </si>
  <si>
    <t>Walking_Down_Stairs*In_Position_Upright*In_Transit_Active*Holding_Other_Object_Light|In_Conversation|Located_Indoors|Texting/Browsing_Phone</t>
  </si>
  <si>
    <t>Puttering_Around*In_Position_Upright*Meeting_Social_Gathering_In_Person|Packing/Unpacking_Something*Holding_Solid_Food|Located_Indoors</t>
  </si>
  <si>
    <t>Standing_With_Movement*In_Position_Upright*HIGH_LEVEL_BEHAVIOR_Unlabeled*In_Conversation|Located_Outdoors|Texting/Browsing_Phone</t>
  </si>
  <si>
    <t>Puttering_Around*In_Position_Upright*In_Transit_Active*In_Conversation|Located_Indoors|On_Video_Call/FaceTime</t>
  </si>
  <si>
    <t>Standing_With_Movement*In_Position_Upright*Riding_Elevator_Up*Holding_Drink|Holding_Other_Object_Light|In_Conversation|Located_Indoors</t>
  </si>
  <si>
    <t>Sitting_With_Movement*In_Position_Sitting*HIGH_LEVEL_BEHAVIOR_Unlabeled*Holding_Other_Object_Light|In_Conversation|Located_Indoors|On_Phone_Call</t>
  </si>
  <si>
    <t>Sitting_With_Movement*In_Position_Sitting*Doing_Common_Housework*In_Conversation|Located_Indoors</t>
  </si>
  <si>
    <t>Sitting_With_Movement*In_Position_Sitting*HLB_Other*Located_Outdoors</t>
  </si>
  <si>
    <t>Standing_With_Movement*In_Position_Upright*HLB_Other|Meeting_Social_Gathering_In_Person*Holding_Book/Reader|In_Conversation|Located_Indoors</t>
  </si>
  <si>
    <t>Walking*In_Position_Upright*In_Transit_Active|Meeting_Social_Gathering_In_Person*Carrying_Grocery_Bags_Light|Located_Outdoors</t>
  </si>
  <si>
    <t>Standing_With_Movement*In_Position_Upright*In_Transit_Active|Riding_Escalator_Up*Carrying_Bag_On_Shoulder/Back_Light|Carrying_Grocery_Bags_Light|Located_Indoors</t>
  </si>
  <si>
    <t>Standing_With_Movement*In_Position_Upright*HIGH_LEVEL_BEHAVIOR_Unlabeled*On_Phone_Call</t>
  </si>
  <si>
    <t>Sitting_With_Movement*In_Position_Sitting*Working_Other*Handwriting|Holding_Other_Object_Light|Legs_Crossed|Located_Indoors</t>
  </si>
  <si>
    <t>Standing_With_Movement*In_Position_Upright*Riding_Escalator_Up*Located_Outdoors</t>
  </si>
  <si>
    <t>Standing_With_Movement*In_Position_Upright*In_Transit_Active|Meeting_Social_Gathering_In_Person*Holding_Other_Object_Light|Located_Indoors</t>
  </si>
  <si>
    <t>Standing_With_Movement*In_Position_Upright*Meeting_Social_Gathering_In_Person*Holding_Other_Object_Light|In_Conversation|Located_Indoors|On_Phone_Call</t>
  </si>
  <si>
    <t>Standing_With_Movement*In_Position_Upright*Eating/Dining|Riding_Elevator_Up*Holding_Solid_Food|Located_Indoors</t>
  </si>
  <si>
    <t>Kneeling_Still*In_Position_Kneeling*Meeting_Social_Gathering_In_Person|Playing_Sports/Games*Located_Outdoors</t>
  </si>
  <si>
    <t>Sitting_With_Movement*In_Position_Sitting*Relaxing_Passive*Carrying_Bag_On_Shoulder/Back_Light|In_Conversation|Located_Outdoors</t>
  </si>
  <si>
    <t>Sitting_With_Movement*In_Position_Sitting*HIGH_LEVEL_BEHAVIOR_Unlabeled*Carrying_Bag_On_Shoulder/Back_Heavy|Holding_Other_Object_Light|In_Conversation|Located_Outdoors</t>
  </si>
  <si>
    <t>Standing_With_Movement*In_Position_Upright*In_Transit_Active*Carrying_Bag_On_Shoulder/Back_Heavy|Holding_Other_Object_Light|Located_Indoors</t>
  </si>
  <si>
    <t>Walking_Up_Stairs*In_Position_Upright*HIGH_LEVEL_BEHAVIOR_Unlabeled*Carrying_Bag_On_Shoulder/Back_Light|Holding_Other_Object_Light|Located_Indoors</t>
  </si>
  <si>
    <t>Puttering_Around*In_Position_Sitting*Cooking/Prepping_Food*Holding_Other_Object_Light|Located_Indoors</t>
  </si>
  <si>
    <t>Sitting_With_Movement*In_Position_Sitting*Meeting_Virtual|Playing_Videogame*Holding_Other_Object_Light|Located_Indoors|On_Video_Call/FaceTime</t>
  </si>
  <si>
    <t>Standing_With_Movement*In_Position_Upright*HIGH_LEVEL_BEHAVIOR_Unlabeled*Carrying_Bag_On_Shoulder/Back_Light|Holding_Other_Object_Light|Located_Outdoors</t>
  </si>
  <si>
    <t>Standing_With_Movement*In_Position_Upright*Meeting_Formal_Gathering_In_Person*Holding_Bag/Briefcase_Hand_Light|In_Conversation|Located_Indoors</t>
  </si>
  <si>
    <t>Walking_Slow*In_Position_Upright*Meeting_Social_Gathering_In_Person*Holding_Other_Object_Light|In_Conversation|Located_Indoors</t>
  </si>
  <si>
    <t>Standing_With_Movement*In_Position_Upright*Riding_Escalator_Up*Holding_Other_Object_Light|Located_Indoors</t>
  </si>
  <si>
    <t>Sitting_With_Movement*In_Position_Sitting*Using_Computer/Screen*Holding_Book/Reader|Located_Indoors</t>
  </si>
  <si>
    <t>Sitting_Still*In_Position_Sitting*HLB_Video_Unavailable/Indecipherable*CP_Video_Unavailable/Indecipherable|Located_Indoors</t>
  </si>
  <si>
    <t>Walking*In_Position_Upright*Eating/Dining|Using_Computer/Screen*Holding_Other_Object_Light|Located_Indoors</t>
  </si>
  <si>
    <t>Sitting_With_Movement*In_Position_Sitting*Using_Computer/Screen*Browsing_Computer|Holding_Drink|Located_Indoors|Texting/Browsing_Phone</t>
  </si>
  <si>
    <t>Lying_With_Movement*Lying_On_Stomach*HIGH_LEVEL_BEHAVIOR_Unlabeled*Holding_Other_Object_Light|Located_Indoors</t>
  </si>
  <si>
    <t>Standing_With_Movement*In_Position_Upright*Riding_Elevator_Down*Carrying_Bag_On_Shoulder/Back_Light|Texting/Browsing_Phone</t>
  </si>
  <si>
    <t>Walking*In_Position_Upright*In_Transit_Active|Walking_Pet*Located_Outdoors|Texting/Browsing_Phone</t>
  </si>
  <si>
    <t>Puttering_Around*In_Position_Upright*Cleaning|In_Transit_Active*Located_Indoors|Texting/Browsing_Phone</t>
  </si>
  <si>
    <t>Walking_Up_Stairs*In_Position_Upright*HIGH_LEVEL_BEHAVIOR_Unlabeled*Located_Outdoors</t>
  </si>
  <si>
    <t>Standing_With_Movement*In_Position_Upright*HLB_Other*CP_Other|Located_Indoors</t>
  </si>
  <si>
    <t>Puttering_Around*In_Position_Upright*Doing_Common_Housework_Light*Holding_Book/Reader|Located_Indoors</t>
  </si>
  <si>
    <t>Walking*In_Position_Upright*Playing_Sports/Games*In_Conversation|Located_Outdoors</t>
  </si>
  <si>
    <t>Standing_With_Movement*In_Position_Upright*Meeting_Social_Gathering_In_Person*Carrying_Bag_On_Shoulder/Back_Light|Holding_Other_Object_Light|Located_Indoors|Texting/Browsing_Phone</t>
  </si>
  <si>
    <t>Walking*In_Position_Upright*In_Transit_Active*Holding_Other_Object_Heavy|Located_Outdoors</t>
  </si>
  <si>
    <t>Puttering_Around*In_Position_Upright*Packing/Unpacking_Something*Browsing_Computer|Located_Indoors</t>
  </si>
  <si>
    <t>Puttering_Around*In_Position_Upright*In_Transit_Active|Loading/Unloading_Vehicle|Meeting_Social_Gathering_In_Person*Holding_Other_Object_Light|In_Conversation|Located_Outdoors</t>
  </si>
  <si>
    <t>Walking_Down_Stairs*In_Position_Upright*Meeting_Social_Gathering_In_Person*Located_Indoors</t>
  </si>
  <si>
    <t>Standing_With_Movement*In_Position_Upright*Meeting_Social_Gathering_In_Person|Riding_Elevator_Up*Holding_Drink|Located_Indoors</t>
  </si>
  <si>
    <t>Walking_Up_Stairs*In_Position_Upright*HIGH_LEVEL_BEHAVIOR_Unlabeled*Holding_Drink|Located_Indoors</t>
  </si>
  <si>
    <t>Walking*In_Position_Upright*Dressing/Undressing|In_Transit_Active*Carrying_Bag_On_Shoulder/Back_Light</t>
  </si>
  <si>
    <t>Puttering_Around*In_Position_Upright*Loading/Unloading_Vehicle*Holding_Bag/Briefcase_Hand_Light|Located_Outdoors|Texting/Browsing_Phone</t>
  </si>
  <si>
    <t>Standing_With_Movement*In_Position_Upright*Cleaning*CONTEXTUAL_PARAMETERS_Unlabeled</t>
  </si>
  <si>
    <t>Walking*In_Position_Upright*In_Transit_Active*Texting/Browsing_Phone</t>
  </si>
  <si>
    <t>Walking*In_Position_Upright*Cooking/Prepping_Food|In_Transit_Active*Holding_Other_Object_Light|Located_Indoors</t>
  </si>
  <si>
    <t>Sitting_With_Movement*In_Position_Sitting*Meeting_Virtual*CP_Video_Unavailable/Indecipherable|Located_Indoors|On_Video_Call/FaceTime</t>
  </si>
  <si>
    <t>Standing_With_Movement*In_Position_Upright*In_Transit_Active|Shopping_Non-Grocery*Located_Indoors</t>
  </si>
  <si>
    <t>Standing_With_Movement*In_Position_Upright*Meeting_Social_Gathering_In_Person|Riding_Elevator_Down*Holding_Other_Object_Light|Located_Indoors|Texting/Browsing_Phone</t>
  </si>
  <si>
    <t>Puttering_Around*In_Position_Upright*Doing_Resistance_Training|Exercising_Gym_Other*Located_Indoors</t>
  </si>
  <si>
    <t>Standing_With_Movement*In_Position_Upright*HIGH_LEVEL_BEHAVIOR_Unlabeled*Carrying_Bag_On_Shoulder/Back_Heavy|Holding_Other_Object_Light|Located_Outdoors</t>
  </si>
  <si>
    <t>Standing_With_Movement*In_Position_Upright*Eating/Dining|In_Transit_Active*Holding_Other_Object_Light|Holding_Solid_Food|Located_Outdoors</t>
  </si>
  <si>
    <t>Walking*In_Position_Upright*In_Transit_Active*Carrying_Bag_On_Shoulder/Back_Light|Holding_Other_Object_Light|In_Conversation|Located_Indoors</t>
  </si>
  <si>
    <t>Walking*In_Position_Upright*Doing_Laundry|Watching_TV/Movies*In_Conversation|Located_Indoors</t>
  </si>
  <si>
    <t>Walking*In_Position_Upright*Cooking/Prepping_Food|In_Transit_Active|Meeting_Social_Gathering_In_Person*Holding_Other_Object_Light|Located_Indoors</t>
  </si>
  <si>
    <t>Standing_With_Movement*In_Position_Upright*Shopping_Grocery*Carrying_Bag_On_Shoulder/Back_Light|Holding_Solid_Food|Located_Outdoors</t>
  </si>
  <si>
    <t>Puttering_Around*In_Position_Upright*Doing_Dishes*Holding_Other_Object_Light|Holding_Solid_Food|Located_Indoors</t>
  </si>
  <si>
    <t>Standing_With_Movement*In_Position_Upright*Cooking/Prepping_Food|Eating/Dining*Holding_Drink|Located_Indoors</t>
  </si>
  <si>
    <t>Lying_With_Movement*Lying_On_Back*HIGH_LEVEL_BEHAVIOR_Unlabeled*Holding_Other_Object_Light|Located_Indoors|On_Video_Call/FaceTime|Texting/Browsing_Phone</t>
  </si>
  <si>
    <t>Folding_Clothes*In_Position_Upright*Doing_Common_Housework|Doing_Laundry*Located_Indoors</t>
  </si>
  <si>
    <t>Sitting_With_Movement*In_Position_Sitting*HIGH_LEVEL_BEHAVIOR_Unlabeled*Holding_Book/Reader|Holding_Drink|Located_Indoors</t>
  </si>
  <si>
    <t>Walking*In_Position_Upright*Meeting_Social_Gathering_In_Person|Playing_Sports/Games*In_Conversation|Located_Outdoors</t>
  </si>
  <si>
    <t>Brushing/Combing/Tying_Hair*In_Position_Upright*HIGH_LEVEL_BEHAVIOR_Unlabeled*Holding_Other_Object_Light|Located_Indoors</t>
  </si>
  <si>
    <t>Standing_With_Movement*In_Position_Upright*Eating/Dining*Holding_Other_Object_Light|Located_Indoors|Texting/Browsing_Phone</t>
  </si>
  <si>
    <t>Standing_With_Movement*In_Position_Upright*In_Transit_Passive_Train/Bus/Plane*Holding_Bag/Briefcase_Hand_Light</t>
  </si>
  <si>
    <t>Standing_With_Movement*In_Position_Upright*Cleaning|Doing_Dishes|In_Transit_Active*Located_Indoors</t>
  </si>
  <si>
    <t>Standing_With_Movement*In_Position_Upright*Doing_Common_Housework*Holding_Book/Reader|Located_Indoors</t>
  </si>
  <si>
    <t>Standing_With_Movement*In_Position_Upright*Riding_Escalator_Up*Located_Indoors</t>
  </si>
  <si>
    <t>Standing_With_Movement*In_Position_Upright*Eating/Dining*In_Conversation|Located_Indoors</t>
  </si>
  <si>
    <t>Sitting_With_Movement*In_Position_Sitting*Eating/Dining*Holding_Drink|In_Conversation|Legs_Uncrossed|Located_Indoors</t>
  </si>
  <si>
    <t>Standing_With_Movement*In_Position_Upright*Meeting_Social_Gathering_In_Person|Packing/Unpacking_Something*Holding_Other_Object_Light|In_Conversation|Located_Outdoors</t>
  </si>
  <si>
    <t>Puttering_Around*In_Position_Upright*Riding_Elevator_Down*Holding_Other_Object_Light|Located_Indoors</t>
  </si>
  <si>
    <t>Sitting_With_Movement*In_Position_Reclining/Slouching*Relaxing_Passive*In_Conversation|Located_Indoors|Texting/Browsing_Phone</t>
  </si>
  <si>
    <t>Puttering_Around*In_Position_Upright*HIGH_LEVEL_BEHAVIOR_Unlabeled*In_Conversation</t>
  </si>
  <si>
    <t>Walking*In_Position_Upright*In_Transit_Active*Carrying_Grocery_Bags_Light|Located_Indoors|Texting/Browsing_Phone</t>
  </si>
  <si>
    <t>Puttering_Around*In_Position_Upright*Loading/Unloading_Vehicle*Carrying_Bag_On_Shoulder/Back_Light|Holding_Bag/Briefcase_Hand_Light|Located_Outdoors</t>
  </si>
  <si>
    <t>Puttering_Around*In_Position_Upright*Grooming/Self_Care*Located_Indoors|Texting/Browsing_Phone</t>
  </si>
  <si>
    <t>Standing_With_Movement*In_Position_Upright*Working_Other*Carrying_Bag_On_Shoulder/Back_Light|Located_Indoors</t>
  </si>
  <si>
    <t>Sitting_With_Movement*In_Position_Sitting*Packing/Unpacking_Something*Holding_Other_Object_Light|Legs_Crossed|Located_Indoors</t>
  </si>
  <si>
    <t>Sitting_With_Movement*In_Position_Sitting*HLB_Other*Carrying_Bag_On_Shoulder/Back_Light|Located_Indoors</t>
  </si>
  <si>
    <t>Walking*In_Position_Upright*HIGH_LEVEL_BEHAVIOR_Unlabeled*Carrying_Bag_On_Shoulder/Back_Heavy</t>
  </si>
  <si>
    <t>Sitting_With_Movement*In_Position_Sitting*Dressing/Undressing*Carrying_Bag_On_Shoulder/Back_Light|Holding_Other_Object_Light|On_Video_Call/FaceTime</t>
  </si>
  <si>
    <t>Puttering_Around*In_Position_Upright*Meeting_Social_Gathering_In_Person|Packing/Unpacking_Something*Carrying_Bag_On_Shoulder/Back_Light|In_Conversation|Located_Indoors</t>
  </si>
  <si>
    <t>Puttering_Around*In_Position_Upright*Cooking/Prepping_Food|In_Transit_Active*Holding_Drink|Located_Indoors</t>
  </si>
  <si>
    <t>Sitting_With_Movement*In_Position_Sitting*Meeting_Social_Gathering_In_Person|Relaxing_Passive|Using_Computer/Screen*Browsing_Computer|In_Conversation|Located_Indoors</t>
  </si>
  <si>
    <t>Sitting_With_Movement*In_Position_Sitting*Eating/Dining|Meeting_Social_Gathering_In_Person|Using_Computer/Screen*Browsing_Computer|Holding_Solid_Food|In_Conversation|Located_Indoors</t>
  </si>
  <si>
    <t>Standing_Still*In_Position_Upright*HLB_Other*Located_Indoors|On_Phone_Call</t>
  </si>
  <si>
    <t>Walking_Slow*In_Position_Upright*In_Transit_Passive_Train/Bus/Plane*Carrying_Bag_On_Shoulder/Back_Light|Located_Outdoors</t>
  </si>
  <si>
    <t>Puttering_Around*In_Position_Upright*Doing_Common_Housework_Light*Carrying_Bag_On_Shoulder/Back_Light|Located_Indoors|Texting/Browsing_Phone</t>
  </si>
  <si>
    <t>Standing_With_Movement*In_Position_Upright*Meeting_Social_Gathering_In_Person*Carrying_Bag_On_Shoulder/Back_Light|Holding_Other_Object_Light|In_Conversation|Located_Indoors</t>
  </si>
  <si>
    <t>Puttering_Around*In_Position_Upright*In_Transit_Active*Holding_Other_Object_Light|Located_Indoors|Texting/Browsing_Phone</t>
  </si>
  <si>
    <t>Lying_With_Movement*Lying_On_Back*HLB_Other|Relaxing_Passive*In_Conversation|Located_Indoors|Texting/Browsing_Phone</t>
  </si>
  <si>
    <t>Standing_With_Movement*In_Position_Upright*Meeting_Social_Gathering_In_Person*Carrying_Bag_On_Shoulder/Back_Heavy|In_Conversation|Located_Indoors</t>
  </si>
  <si>
    <t>Standing_With_Movement*In_Position_Upright*Meeting_Social_Gathering_In_Person*Holding_Other_Object_Light|In_Conversation</t>
  </si>
  <si>
    <t>Lying_With_Movement*Posture_Video_Unavailable/Indecipherable*Sleeping*Located_Indoors</t>
  </si>
  <si>
    <t>Standing_With_Movement*In_Position_Upright*Riding_Elevator_Up*Holding_Bag/Briefcase_Hand_Light|Holding_Other_Object_Light|Located_Indoors</t>
  </si>
  <si>
    <t>Standing_With_Movement*In_Position_Upright*Grooming/Self_Care*Holding_Other_Object_Light|In_Conversation|Located_Indoors</t>
  </si>
  <si>
    <t>Sitting_Still*In_Position_Sitting*In_Bathroom|In_Transit_Active|Meeting_Social_Gathering_In_Person*In_Conversation|Located_Indoors</t>
  </si>
  <si>
    <t>Walking_Down_Stairs*In_Position_Upright*In_Transit_Active*Carrying_Bag_On_Shoulder/Back_Light|Carrying_Grocery_Bags_Light|Located_Indoors</t>
  </si>
  <si>
    <t>Washing_Hands*In_Position_Upright*Doing_Common_Housework*Located_Indoors</t>
  </si>
  <si>
    <t>Sitting_With_Movement*In_Position_Sitting*Exercising_Gym_Other*Holding_Other_Object_Light|Located_Indoors</t>
  </si>
  <si>
    <t>Standing_With_Movement*In_Position_Upright*Doing_Common_Housework_Light*Holding_Drink|Located_Indoors</t>
  </si>
  <si>
    <t>Sitting_Still*In_Position_Sitting*Playing_Sports/Games*Located_Indoors</t>
  </si>
  <si>
    <t>Sitting_With_Movement*In_Position_Sitting*Watching_TV/Movies*Holding_Drink|Holding_Other_Object_Light|Located_Indoors</t>
  </si>
  <si>
    <t>Standing_With_Movement*In_Position_Upright*In_Transit_Active|Riding_Elevator_Up*Holding_Solid_Food|In_Conversation|Located_Indoors</t>
  </si>
  <si>
    <t>Standing_With_Movement*In_Position_Upright*In_Transit_Active|Riding_Elevator_Down*Holding_Other_Object_Light|In_Conversation|Located_Indoors</t>
  </si>
  <si>
    <t>Sitting_With_Movement*In_Position_Sitting*Eating/Dining|Relaxing_Passive*Holding_Solid_Food|In_Conversation|Located_Indoors|On_Video_Call/FaceTime|Texting/Browsing_Phone</t>
  </si>
  <si>
    <t>Sitting_With_Movement*In_Position_Sitting*Playing_Videogame|Using_Computer/Screen*Holding_Other_Object_Light|Located_Indoors|Typing_Computer</t>
  </si>
  <si>
    <t>Applying_Makeup*In_Position_Kneeling*Grooming/Self_Care*Located_Indoors</t>
  </si>
  <si>
    <t>Washing_Hands*In_Position_Upright*Cleaning|Meeting_Social_Gathering_In_Person*In_Conversation|Located_Indoors</t>
  </si>
  <si>
    <t>Walking*In_Position_Upright*In_Transit_Active*Holding_Other_Object_Light|Holding_Solid_Food|Located_Outdoors</t>
  </si>
  <si>
    <t>Standing_With_Movement*In_Position_Upright*Riding_Elevator_Up*Carrying_Grocery_Bags_Light|Holding_Bag/Briefcase_Hand_Light</t>
  </si>
  <si>
    <t>Puttering_Around*In_Position_Upright*Administering_Care_Child/Elder/Other_Adult*In_Conversation|Located_Indoors</t>
  </si>
  <si>
    <t>Kneeling_With_Movement*In_Position_Kneeling*In_Bathroom|Packing/Unpacking_Something*Holding_Other_Object_Light|Located_Indoors</t>
  </si>
  <si>
    <t>Sitting_With_Movement*In_Position_Sitting*Cooking/Prepping_Food|Using_Computer/Screen|Working_Other*Located_Indoors</t>
  </si>
  <si>
    <t>Puttering_Around*In_Position_Upright*Shopping_Non-Grocery*Carrying_Bag_On_Shoulder/Back_Light|Located_Outdoors</t>
  </si>
  <si>
    <t>Standing_With_Movement*In_Position_Upright*Dressing/Undressing|Meeting_Social_Gathering_In_Person*CP_Video_Unavailable/Indecipherable|In_Conversation|Located_Indoors</t>
  </si>
  <si>
    <t>Walking*In_Position_Upright*HIGH_LEVEL_BEHAVIOR_Unlabeled*Carrying_Bag_On_Shoulder/Back_Light|Holding_Bag/Briefcase_Hand_Light|Holding_Other_Object_Light|Located_Indoors</t>
  </si>
  <si>
    <t>Walking*In_Position_Upright*Administering_Care_Child/Elder/Other_Adult*Carrying_Bag_On_Shoulder/Back_Heavy|In_Conversation|Located_Outdoors</t>
  </si>
  <si>
    <t>Standing_With_Movement*In_Position_Upright*In_Transit_Active*Holding_Bag/Briefcase_Hand_Light|In_Conversation|Texting/Browsing_Phone</t>
  </si>
  <si>
    <t>Walking*In_Position_Upright*HIGH_LEVEL_BEHAVIOR_Unlabeled*Carrying_Grocery_Bags_Light|Located_Outdoors</t>
  </si>
  <si>
    <t>Puttering_Around*In_Position_Upright*Meeting_Social_Gathering_In_Person|Using_Computer/Screen*Holding_Other_Object_Light|In_Conversation|Located_Indoors</t>
  </si>
  <si>
    <t>Walking_Up_Stairs*In_Position_Upright*HIGH_LEVEL_BEHAVIOR_Unlabeled*In_Conversation|Located_Indoors</t>
  </si>
  <si>
    <t>Sitting_With_Movement*In_Position_Sitting*Meeting_Formal_Gathering_In_Person|Packing/Unpacking_Something*Located_Indoors</t>
  </si>
  <si>
    <t>Standing_With_Movement*In_Position_Upright*Doing_Alternative_Exercise/Therapy/Stretching*Located_Indoors|Texting/Browsing_Phone</t>
  </si>
  <si>
    <t>Standing_With_Movement*In_Position_Upright*In_Transit_Active|Riding_Elevator_Up*Carrying_Grocery_Bags_Light|Located_Indoors</t>
  </si>
  <si>
    <t>Sitting_With_Movement*In_Position_Sitting*Dressing/Undressing*Legs_Uncrossed|Located_Indoors</t>
  </si>
  <si>
    <t>Puttering_Around*In_Position_Upright*Eating/Dining|Watching_TV/Movies*Holding_Solid_Food|Located_Indoors</t>
  </si>
  <si>
    <t>Standing_With_Movement*In_Position_Upright*Cooking/Prepping_Food|Watching_TV/Movies*Holding_Other_Object_Light|Holding_Solid_Food|Located_Indoors</t>
  </si>
  <si>
    <t>Brushing/Combing/Tying_Hair*In_Position_Sitting*Grooming/Self_Care*Located_Indoors</t>
  </si>
  <si>
    <t>Standing_With_Movement*In_Position_Upright*HIGH_LEVEL_BEHAVIOR_Unlabeled*Holding_Bag/Briefcase_Hand_Light|Holding_Other_Object_Light|Located_Outdoors</t>
  </si>
  <si>
    <t>Puttering_Around*In_Position_Upright*Doing_Common_Housework_Light|Meeting_Social_Gathering_In_Person*Holding_Other_Object_Light</t>
  </si>
  <si>
    <t>Puttering_Around*In_Position_Upright*Doing_Common_Housework*Holding_Other_Object_Light|Holding_Solid_Food|Located_Indoors</t>
  </si>
  <si>
    <t>Puttering_Around*In_Position_Upright*HLB_Other|In_Transit_Active*Holding_Other_Object_Light|Located_Indoors</t>
  </si>
  <si>
    <t>Sitting_With_Movement*In_Position_Sitting*Doing_Common_Housework*Holding_Other_Object_Light|Located_Indoors|Texting/Browsing_Phone</t>
  </si>
  <si>
    <t>Walking*In_Position_Upright*HIGH_LEVEL_BEHAVIOR_Unlabeled*Holding_Other_Object_Heavy|Located_Outdoors</t>
  </si>
  <si>
    <t>Walking_Up_Stairs*In_Position_Upright*In_Transit_Active|Meeting_Social_Gathering_In_Person*Located_Indoors</t>
  </si>
  <si>
    <t>Walking*In_Position_Upright*Meeting_Social_Gathering_In_Person|Playing_Sports/Games*Holding_Other_Object_Light|Located_Outdoors</t>
  </si>
  <si>
    <t>Puttering_Around*In_Position_Upright*Cleaning*Holding_Other_Object_Light|Located_Indoors|Texting/Browsing_Phone</t>
  </si>
  <si>
    <t>Sitting_With_Movement*In_Position_Sitting*Meeting_Social_Gathering_In_Person|Relaxing_Passive*Handwriting|In_Conversation|Located_Indoors</t>
  </si>
  <si>
    <t>Standing_With_Movement*In_Position_Upright*Cooking/Prepping_Food*CONTEXTUAL_PARAMETERS_Unlabeled</t>
  </si>
  <si>
    <t>Walking_Down_Stairs*In_Position_Upright*Walking_Pet*Located_Indoors</t>
  </si>
  <si>
    <t>Sitting_With_Movement*In_Position_Sitting*Working_Other*Holding_Other_Object_Light|Legs_Uncrossed|Located_Indoors</t>
  </si>
  <si>
    <t>Walking*In_Position_Upright*Cooking/Prepping_Food*Holding_Other_Object_Light|Holding_Solid_Food|Located_Indoors</t>
  </si>
  <si>
    <t>Sitting_With_Movement*In_Position_Sitting*Packing/Unpacking_Something*In_Conversation|Located_Outdoors</t>
  </si>
  <si>
    <t>Walking*In_Position_Upright*In_Transit_Active*Holding_Bag/Briefcase_Hand_Light|Holding_Other_Object_Light|Located_Indoors</t>
  </si>
  <si>
    <t>Standing_With_Movement*In_Position_Upright*Doing_Laundry|Meeting_Social_Gathering_In_Person*Holding_Other_Object_Light|Located_Indoors</t>
  </si>
  <si>
    <t>Walking*In_Position_Upright*In_Transit_Active*Carrying_Bag_On_Shoulder/Back_Heavy|Holding_Drink|Located_Indoors</t>
  </si>
  <si>
    <t>Walking*In_Position_Upright*Shopping_Non-Grocery*Carrying_Bag_On_Shoulder/Back_Light|Holding_Other_Object_Light|In_Conversation|Located_Indoors</t>
  </si>
  <si>
    <t>Standing_With_Movement*In_Position_Upright*Working_Other*Carrying_Bag_On_Shoulder/Back_Light</t>
  </si>
  <si>
    <t>Puttering_Around*In_Position_Upright*HIGH_LEVEL_BEHAVIOR_Unlabeled*Texting/Browsing_Phone</t>
  </si>
  <si>
    <t>Standing_With_Movement*In_Position_Upright*HIGH_LEVEL_BEHAVIOR_Unlabeled*Holding_Other_Object_Heavy|In_Conversation|Located_Indoors</t>
  </si>
  <si>
    <t>Puttering_Around*In_Position_Upright*Cooking/Prepping_Food|Eating/Dining*Holding_Solid_Food|Located_Indoors|Texting/Browsing_Phone</t>
  </si>
  <si>
    <t>Sitting_With_Movement*In_Position_Sitting*Relaxing_Passive*In_Conversation|Located_Outdoors|Texting/Browsing_Phone</t>
  </si>
  <si>
    <t>Puttering_Around*In_Position_Upright*Loading/Unloading_Vehicle*Carrying_Grocery_Bags_Light|Located_Outdoors</t>
  </si>
  <si>
    <t>Sitting_With_Movement*In_Position_Sitting*Using_Computer/Screen|Watching_TV/Movies*Browsing_Computer|Holding_Other_Object_Light|Located_Indoors</t>
  </si>
  <si>
    <t>Sitting_With_Movement*In_Position_Sitting*Meeting_Social_Gathering_In_Person|Using_Computer/Screen|Working_Other*Holding_Other_Object_Light|Located_Indoors</t>
  </si>
  <si>
    <t>Sitting_With_Movement*In_Position_Sitting*Using_Computer/Screen|Working_Other*Legs_Crossed|Located_Indoors|Texting/Browsing_Phone</t>
  </si>
  <si>
    <t>Sitting_With_Movement*In_Position_Sitting*Eating/Dining|Meeting_Social_Gathering_In_Person*Legs_Crossed|Located_Indoors</t>
  </si>
  <si>
    <t>Sitting_With_Movement*In_Position_Sitting*Relaxing_Passive|Watching_TV/Movies*Legs_Crossed|Located_Indoors</t>
  </si>
  <si>
    <t>Sitting_With_Movement*In_Position_Sitting*Relaxing_Passive*Carrying_Bag_On_Shoulder/Back_Light|Holding_Other_Object_Light|In_Conversation|Located_Outdoors</t>
  </si>
  <si>
    <t>Walking_Down_Stairs*In_Position_Upright*Meeting_Social_Gathering_In_Person*Located_Outdoors</t>
  </si>
  <si>
    <t>Walking_Down_Stairs*In_Position_Upright*Doing_Common_Housework*Holding_Other_Object_Light|Located_Indoors</t>
  </si>
  <si>
    <t>Standing_With_Movement*In_Position_Upright*Doing_Common_Housework_Light|In_Bathroom*In_Conversation|Located_Indoors</t>
  </si>
  <si>
    <t>Standing_With_Movement*In_Position_Upright*Dressing/Undressing|Packing/Unpacking_Something*Located_Indoors</t>
  </si>
  <si>
    <t>Standing_With_Movement*In_Position_Upright*In_Transit_Active*Carrying_Bag_On_Shoulder/Back_Light|Texting/Browsing_Phone</t>
  </si>
  <si>
    <t>Walking*In_Position_Upright*In_Transit_Active*In_Conversation|Located_Outdoors|On_Video_Call/FaceTime</t>
  </si>
  <si>
    <t>Walking*In_Position_Upright*Administering_Care_Child/Elder/Other_Adult|In_Transit_Active|Meeting_Social_Gathering_In_Person*In_Conversation|Located_Indoors</t>
  </si>
  <si>
    <t>Sitting_With_Movement*In_Position_Sitting*HIGH_LEVEL_BEHAVIOR_Unlabeled*Carrying_Bag_On_Shoulder/Back_Light|Holding_Other_Object_Light|Located_Indoors</t>
  </si>
  <si>
    <t>Walking*In_Position_Upright*Grooming/Self_Care*Holding_Other_Object_Light|Located_Indoors</t>
  </si>
  <si>
    <t>Applying_Makeup*In_Position_Sitting*Grooming/Self_Care*Located_Indoors</t>
  </si>
  <si>
    <t>Standing_With_Movement*In_Position_Upright*In_Bathroom*In_Conversation|Located_Indoors|On_Video_Call/FaceTime|Texting/Browsing_Phone</t>
  </si>
  <si>
    <t>Walking_Slow*In_Position_Upright*In_Transit_Passive_Train/Bus/Plane*Holding_Bag/Briefcase_Hand_Light|Located_Outdoors</t>
  </si>
  <si>
    <t>Lying_With_Movement*Lying_On_Right_Side*Meeting_Social_Gathering_In_Person*In_Conversation|Located_Indoors|Texting/Browsing_Phone</t>
  </si>
  <si>
    <t>Standing_With_Movement*In_Position_Upright*Eating/Dining*Holding_Other_Object_Light|Holding_Solid_Food|Located_Indoors</t>
  </si>
  <si>
    <t>Puttering_Around*In_Position_Upright*In_Transit_Active*Carrying_Bag_On_Shoulder/Back_Light|Holding_Other_Object_Light|Located_Indoors|Texting/Browsing_Phone</t>
  </si>
  <si>
    <t>Puttering_Around*In_Position_Upright*Meeting_Social_Gathering_In_Person*Carrying_Bag_On_Shoulder/Back_Light|Holding_Other_Object_Light|In_Conversation|Located_Indoors</t>
  </si>
  <si>
    <t>Standing_With_Movement*In_Position_Upright*Meeting_Social_Gathering_In_Person*Holding_Drink|Located_Indoors</t>
  </si>
  <si>
    <t>Sitting_With_Movement*In_Position_Reclining/Slouching*Eating/Dining*Holding_Drink|Located_Indoors</t>
  </si>
  <si>
    <t>Walking_Down_Stairs*In_Position_Upright*In_Transit_Active*Carrying_Bag_On_Shoulder/Back_Heavy|Located_Indoors</t>
  </si>
  <si>
    <t>Walking*In_Position_Upright*Eating/Dining|In_Transit_Active*Holding_Other_Object_Light|Holding_Solid_Food|Located_Outdoors|Texting/Browsing_Phone</t>
  </si>
  <si>
    <t>Puttering_Around*In_Position_Upright*Dressing/Undressing|Watching_TV/Movies*Holding_Other_Object_Light|Located_Indoors</t>
  </si>
  <si>
    <t>Lying_With_Movement*Lying_On_Right_Side*HIGH_LEVEL_BEHAVIOR_Unlabeled*Holding_Other_Object_Light|Located_Indoors</t>
  </si>
  <si>
    <t>Walking*In_Position_Upright*In_Transit_Active*Carrying_Bag_On_Shoulder/Back_Light|Located_Indoors|On_Phone_Call</t>
  </si>
  <si>
    <t>Sitting_With_Movement*In_Position_Sitting*Meeting_Social_Gathering_In_Person*Holding_Drink|In_Conversation|Legs_Crossed|Located_Outdoors</t>
  </si>
  <si>
    <t>Walking*In_Position_Upright*Meeting_Social_Gathering_In_Person*Carrying_Grocery_Bags_Light|Holding_Other_Object_Light|In_Conversation|Located_Indoors|Texting/Browsing_Phone</t>
  </si>
  <si>
    <t>Standing_With_Movement*In_Position_Upright*Meeting_Formal_Gathering_In_Person|Working_Other*Holding_Other_Object_Light|Located_Indoors</t>
  </si>
  <si>
    <t>Sitting_Still*In_Position_Sitting*HIGH_LEVEL_BEHAVIOR_Unlabeled*Holding_Other_Object_Light|Located_Indoors|Texting/Browsing_Phone</t>
  </si>
  <si>
    <t>Sitting_With_Movement*In_Position_Sitting*HLB_Other|Relaxing_Passive*Located_Indoors|Texting/Browsing_Phone</t>
  </si>
  <si>
    <t>Puttering_Around*In_Position_Upright*Eating/Dining*In_Conversation|Located_Indoors</t>
  </si>
  <si>
    <t>Puttering_Around*In_Position_Upright*HLB_Other|Packing/Unpacking_Something*Located_Indoors</t>
  </si>
  <si>
    <t>Standing_With_Movement*In_Position_Upright*Shopping_Grocery*Holding_Other_Object_Light|Located_Indoors|Texting/Browsing_Phone</t>
  </si>
  <si>
    <t>Sitting_With_Movement*In_Position_Sitting*Meeting_Social_Gathering_In_Person|Watching_TV/Movies*Legs_Crossed|Located_Indoors|Texting/Browsing_Phone</t>
  </si>
  <si>
    <t>Puttering_Around*In_Position_Upright*Doing_Resistance_Training*Located_Indoors|Texting/Browsing_Phone</t>
  </si>
  <si>
    <t>Puttering_Around*In_Position_Upright*HIGH_LEVEL_BEHAVIOR_Unlabeled*Holding_Drink|Located_Indoors|Texting/Browsing_Phone</t>
  </si>
  <si>
    <t>Lying_With_Movement*Lying_On_Left_Side*HIGH_LEVEL_BEHAVIOR_Unlabeled*In_Conversation|Located_Indoors</t>
  </si>
  <si>
    <t>Sitting_With_Movement*In_Position_Reclining/Slouching*Meeting_Social_Gathering_In_Person|Relaxing_Passive*In_Conversation|Legs_Crossed|Located_Indoors|Texting/Browsing_Phone</t>
  </si>
  <si>
    <t>Walking*In_Position_Upright*Meeting_Social_Gathering_In_Person*Carrying_Bag_On_Shoulder/Back_Light|Located_Outdoors</t>
  </si>
  <si>
    <t>Brushing/Combing/Tying_Hair*In_Position_Upright*In_Bathroom*Holding_Other_Object_Light|Located_Indoors</t>
  </si>
  <si>
    <t>Sitting_Still*In_Position_Reclining/Slouching*Eating/Dining|Watching_TV/Movies*Located_Indoors</t>
  </si>
  <si>
    <t>Sitting_With_Movement*In_Position_Sitting*HIGH_LEVEL_BEHAVIOR_Unlabeled*Holding_Other_Object_Light|On_Phone_Call|Texting/Browsing_Phone</t>
  </si>
  <si>
    <t>Standing_With_Movement*In_Position_Upright*Shopping_Grocery*Holding_Drink|Holding_Other_Object_Light|Located_Indoors</t>
  </si>
  <si>
    <t>Standing_With_Movement*In_Position_Upright*Meeting_Social_Gathering_In_Person*Carrying_Bag_On_Shoulder/Back_Light|In_Conversation|Located_Indoors</t>
  </si>
  <si>
    <t>Standing_With_Movement*In_Position_Upright*Cleaning|In_Transit_Active*Located_Indoors</t>
  </si>
  <si>
    <t>Walking*In_Position_Upright*Cooking/Prepping_Food*Holding_Other_Object_Light|Holding_Solid_Food|In_Conversation|Located_Indoors</t>
  </si>
  <si>
    <t>Walking_Up_Stairs*In_Position_Upright*In_Transit_Active|Meeting_Social_Gathering_In_Person*Holding_Other_Object_Light|Located_Indoors</t>
  </si>
  <si>
    <t>Walking*In_Position_Upright*Playing_Sports/Games*Holding_Other_Object_Light|Located_Indoors</t>
  </si>
  <si>
    <t>Sitting_With_Movement*In_Position_Reclining/Slouching*Using_Computer/Screen|Watching_TV/Movies*CP_Video_Unavailable/Indecipherable|Located_Indoors</t>
  </si>
  <si>
    <t>Puttering_Around*In_Position_Upright*Exercising_Gym_Other*Located_Indoors</t>
  </si>
  <si>
    <t>Organizing_Shelf/Cabinet*In_Position_Upright*HIGH_LEVEL_BEHAVIOR_Unlabeled*Located_Indoors</t>
  </si>
  <si>
    <t>Sitting_With_Movement*In_Position_Sitting*Working_Other*Browsing_Computer|Texting/Browsing_Phone</t>
  </si>
  <si>
    <t>Sitting_With_Movement*In_Position_Sitting*Eating/Dining|Meeting_Social_Gathering_In_Person|Watching_TV/Movies*In_Conversation|Located_Indoors|Texting/Browsing_Phone</t>
  </si>
  <si>
    <t>Puttering_Around*In_Position_Upright*Meeting_Social_Gathering_In_Person*Carrying_Bag_On_Shoulder/Back_Light|Holding_Solid_Food|Located_Outdoors</t>
  </si>
  <si>
    <t>Walking*In_Position_Upright*Meeting_Social_Gathering_In_Person*Carrying_Grocery_Bags_Light|Holding_Other_Object_Light|Located_Indoors|Texting/Browsing_Phone</t>
  </si>
  <si>
    <t>Standing_With_Movement*In_Position_Upright*HLB_Video_Unavailable/Indecipherable*CP_Video_Unavailable/Indecipherable</t>
  </si>
  <si>
    <t>Puttering_Around*In_Position_Upright*Playing_With_Children_Moderate*Holding_Other_Object_Light|Located_Indoors</t>
  </si>
  <si>
    <t>Walking_Up_Stairs*In_Position_Upright*Administering_Care_Child/Elder/Other_Adult|Meeting_Social_Gathering_In_Person*Located_Indoors</t>
  </si>
  <si>
    <t>Walking_Up_Stairs*In_Position_Upright*In_Transit_Active*Carrying_Bag_On_Shoulder/Back_Light|Holding_Drink|Located_Indoors</t>
  </si>
  <si>
    <t>Standing_With_Movement*In_Position_Upright*Eating/Dining|In_Transit_Active*Carrying_Bag_On_Shoulder/Back_Light|Holding_Other_Object_Light|Located_Outdoors</t>
  </si>
  <si>
    <t>Puttering_Around*In_Position_Upright*In_Transit_Active*Carrying_Bag_On_Shoulder/Back_Light|Carrying_Grocery_Bags_Light|Located_Indoors</t>
  </si>
  <si>
    <t>Standing_With_Movement*In_Position_Upright*Doing_Common_Housework*CONTEXTUAL_PARAMETERS_Unlabeled</t>
  </si>
  <si>
    <t>Walking*In_Position_Upright*Dressing/Undressing*Holding_Other_Object_Light|Located_Indoors</t>
  </si>
  <si>
    <t>Lying_With_Movement*Lying_On_Back*Relaxing_Passive|Using_Computer/Screen|Watching_TV/Movies*CP_Other|Located_Indoors</t>
  </si>
  <si>
    <t>Sitting_With_Movement*In_Position_Sitting*In_Transit_Active*Holding_Other_Object_Light|Located_Outdoors|Texting/Browsing_Phone</t>
  </si>
  <si>
    <t>Walking*In_Position_Upright*In_Transit_Active*Holding_Bag/Briefcase_Hand_Light|Located_Outdoors|Texting/Browsing_Phone</t>
  </si>
  <si>
    <t>Walking*In_Position_Upright*HIGH_LEVEL_BEHAVIOR_Unlabeled*Carrying_Bag_On_Shoulder/Back_Heavy|Located_Indoors|Texting/Browsing_Phone</t>
  </si>
  <si>
    <t>Puttering_Around*In_Position_Upright*In_Transit_Active|Packing/Unpacking_Something*Holding_Book/Reader|Holding_Other_Object_Light|Located_Indoors</t>
  </si>
  <si>
    <t>Sitting_With_Movement*In_Position_Sitting*Meeting_Social_Gathering_In_Person|Working_Other*Holding_Other_Object_Light|In_Conversation|Legs_Crossed|Located_Indoors</t>
  </si>
  <si>
    <t>Sitting_With_Movement*In_Position_Sitting*Using_Computer/Screen|Working_Other*Handwriting|Holding_Other_Object_Light|Legs_Crossed|Located_Indoors</t>
  </si>
  <si>
    <t>Sitting_With_Movement*In_Position_Sitting*Eating/Dining*Holding_Drink|In_Conversation|Located_Indoors|Texting/Browsing_Phone</t>
  </si>
  <si>
    <t>Doing_Resistance_Training_Free_Weights*In_Position_Sitting*Doing_Resistance_Training*Located_Indoors</t>
  </si>
  <si>
    <t>Puttering_Around*In_Position_Upright*In_Transit_Active|Riding_Elevator_Down*Located_Indoors</t>
  </si>
  <si>
    <t>Puttering_Around*In_Position_Upright*Cooking/Prepping_Food|Eating/Dining|Watching_TV/Movies*Holding_Solid_Food|Located_Indoors</t>
  </si>
  <si>
    <t>Sitting_With_Movement*In_Position_Sitting*HLB_Other|Meeting_Social_Gathering_In_Person*In_Conversation|Located_Indoors</t>
  </si>
  <si>
    <t>Sitting_With_Movement*In_Position_Sitting*Packing/Unpacking_Something|Using_Computer/Screen|Watching_TV/Movies*Holding_Other_Object_Light|Located_Indoors</t>
  </si>
  <si>
    <t>Sitting_With_Movement*In_Position_Sitting*Dressing/Undressing*Legs_Crossed|Located_Indoors</t>
  </si>
  <si>
    <t>Sitting_With_Movement*In_Position_Sitting*Meeting_Social_Gathering_In_Person*Carrying_Bag_On_Shoulder/Back_Light|Holding_Drink|Legs_Crossed|Located_Outdoors|Texting/Browsing_Phone</t>
  </si>
  <si>
    <t>Standing_With_Movement*In_Position_Upright*Dressing/Undressing|In_Transit_Active|Meeting_Social_Gathering_In_Person*Located_Indoors</t>
  </si>
  <si>
    <t>Puttering_Around*In_Position_Upright*In_Transit_Active|Meeting_Social_Gathering_In_Person*Located_Indoors</t>
  </si>
  <si>
    <t>Walking*In_Position_Upright*Shopping_Grocery*Carrying_Bag_On_Shoulder/Back_Light|Holding_Solid_Food|Located_Outdoors</t>
  </si>
  <si>
    <t>Sitting_With_Movement*In_Position_Sitting*Eating/Dining*Holding_Drink|Legs_Crossed|Located_Indoors</t>
  </si>
  <si>
    <t>Puttering_Around*In_Position_Upright*HLB_Video_Unavailable/Indecipherable*Holding_Other_Object_Heavy|Located_Indoors</t>
  </si>
  <si>
    <t>Standing_With_Movement*In_Position_Upright*Doing_Dishes|Meeting_Social_Gathering_In_Person*Holding_Other_Object_Light|In_Conversation|Located_Indoors</t>
  </si>
  <si>
    <t>Brushing_Teeth*In_Position_Upright*Grooming/Self_Care*Holding_Other_Object_Light|Located_Indoors|Texting/Browsing_Phone</t>
  </si>
  <si>
    <t>Standing_With_Movement*In_Position_Upright*In_Transit_Passive_Train/Bus/Plane*Holding_Other_Object_Light|Located_Outdoors|Texting/Browsing_Phone</t>
  </si>
  <si>
    <t>Walking*In_Position_Upright*In_Transit_Active|Meeting_Virtual*Located_Indoors|On_Video_Call/FaceTime</t>
  </si>
  <si>
    <t>Walking_Slow*In_Position_Upright*In_Transit_Active*Carrying_Bag_On_Shoulder/Back_Light|Located_Indoors</t>
  </si>
  <si>
    <t>Standing_With_Movement*In_Position_Upright*Using_Computer/Screen*Browsing_Computer|Holding_Other_Object_Light|Located_Indoors</t>
  </si>
  <si>
    <t>Walking_Down_Stairs*In_Position_Upright*HIGH_LEVEL_BEHAVIOR_Unlabeled*Carrying_Bag_On_Shoulder/Back_Light|Holding_Other_Object_Light|Located_Indoors</t>
  </si>
  <si>
    <t>Walking*In_Position_Upright*In_Transit_Active*Carrying_Grocery_Bags_Light|Located_Outdoors|Texting/Browsing_Phone</t>
  </si>
  <si>
    <t>Sitting_With_Movement*In_Position_Sitting*Eating/Dining*Holding_Drink|In_Conversation|Legs_Crossed|Located_Indoors</t>
  </si>
  <si>
    <t>Puttering_Around*In_Position_Upright*Meeting_Social_Gathering_In_Person|Playing_Sports/Games*In_Conversation|Located_Indoors</t>
  </si>
  <si>
    <t>Standing_With_Movement*In_Position_Upright*Riding_Elevator_Up*Holding_Other_Object_Light|In_Conversation|Located_Indoors</t>
  </si>
  <si>
    <t>Standing_With_Movement*In_Position_Upright*Doing_Common_Housework|Meeting_Social_Gathering_In_Person*Holding_Other_Object_Light|In_Conversation|Located_Indoors</t>
  </si>
  <si>
    <t>Standing_With_Movement*In_Position_Upright*In_Transit_Active|Riding_Elevator_Up*Carrying_Bag_On_Shoulder/Back_Heavy|Located_Indoors|Texting/Browsing_Phone</t>
  </si>
  <si>
    <t>Puttering_Around*In_Position_Upright*Relaxing_Passive*Located_Indoors</t>
  </si>
  <si>
    <t>Puttering_Around*In_Position_Upright*Meeting_Social_Gathering_In_Person*In_Conversation|Located_Indoors|On_Video_Call/FaceTime</t>
  </si>
  <si>
    <t>Walking_Slow*In_Position_Upright*In_Transit_Active*Located_Indoors|Texting/Browsing_Phone</t>
  </si>
  <si>
    <t>Walking*In_Position_Upright*Dancing*Located_Indoors</t>
  </si>
  <si>
    <t>Sitting_With_Movement*In_Position_Sitting*Meeting_Social_Gathering_In_Person*Holding_Drink|In_Conversation|Legs_Crossed|Located_Outdoors|Texting/Browsing_Phone</t>
  </si>
  <si>
    <t>Puttering_Around*In_Position_Upright*HLB_Other*Carrying_Bag_On_Shoulder/Back_Light|Located_Outdoors</t>
  </si>
  <si>
    <t>Sitting_With_Movement*In_Position_Sitting*Relaxing_Passive*Carrying_Bag_On_Shoulder/Back_Light|Texting/Browsing_Phone</t>
  </si>
  <si>
    <t>Walking_Up_Stairs*In_Position_Upright*In_Transit_Active*Carrying_Bag_On_Shoulder/Back_Light|Located_Indoors|Texting/Browsing_Phone</t>
  </si>
  <si>
    <t>Standing_With_Movement*In_Position_Upright*Administering_Care_Child/Elder/Other_Adult|Riding_Elevator_Up*Holding_Other_Object_Light|Located_Indoors</t>
  </si>
  <si>
    <t>Walking*In_Position_Upright*Watching_TV/Movies*In_Conversation|Located_Indoors</t>
  </si>
  <si>
    <t>Sitting_With_Movement*In_Position_Sitting*Eating/Dining*Holding_Drink|Holding_Other_Object_Light|Located_Indoors|Texting/Browsing_Phone</t>
  </si>
  <si>
    <t>Lying_With_Movement*Lying_On_Stomach*HIGH_LEVEL_BEHAVIOR_Unlabeled*Holding_Other_Object_Light|Located_Indoors|On_Phone_Call</t>
  </si>
  <si>
    <t>Walking*In_Position_Upright*HLB_Other*Holding_Other_Object_Light|Located_Indoors</t>
  </si>
  <si>
    <t>Puttering_Around*In_Position_Upright*Dressing/Undressing*CP_Other|Located_Indoors</t>
  </si>
  <si>
    <t>Puttering_Around*In_Position_Upright*Eating/Dining*Holding_Solid_Food|In_Conversation|Located_Indoors</t>
  </si>
  <si>
    <t>Walking*In_Position_Upright*Doing_Resistance_Training*Holding_Other_Object_Light|Located_Indoors</t>
  </si>
  <si>
    <t>Standing_With_Movement*In_Position_Upright*HLB_Other*In_Conversation|Located_Indoors|Texting/Browsing_Phone</t>
  </si>
  <si>
    <t>Walking_Up_Stairs*In_Position_Upright*In_Transit_Active*Located_Outdoors|Texting/Browsing_Phone</t>
  </si>
  <si>
    <t>Sitting_With_Movement*In_Position_Sitting*Packing/Unpacking_Something*Carrying_Bag_On_Shoulder/Back_Light|In_Conversation|Located_Indoors|Texting/Browsing_Phone</t>
  </si>
  <si>
    <t>Standing_With_Movement*In_Position_Upright*In_Transit_Active|Meeting_Social_Gathering_In_Person*Carrying_Grocery_Bags_Light|In_Conversation|Located_Outdoors</t>
  </si>
  <si>
    <t>Walking*In_Position_Upright*In_Transit_Active|Meeting_Social_Gathering_In_Person|Walking_Pet*Holding_Other_Object_Light|Located_Outdoors</t>
  </si>
  <si>
    <t>Lying_Still*Lying_On_Left_Side*HIGH_LEVEL_BEHAVIOR_Unlabeled*Located_Indoors</t>
  </si>
  <si>
    <t>Standing_Still*In_Position_Upright*In_Transit_Active*Carrying_Bag_On_Shoulder/Back_Light|Located_Outdoors</t>
  </si>
  <si>
    <t>Sitting_With_Movement*In_Position_Sitting*HIGH_LEVEL_BEHAVIOR_Unlabeled*Carrying_Bag_On_Shoulder/Back_Light|Located_Indoors|Unsure</t>
  </si>
  <si>
    <t>Sitting_With_Movement*In_Position_Sitting*Eating/Dining|Playing_Videogame*Holding_Other_Object_Light|Located_Indoors|Texting/Browsing_Phone</t>
  </si>
  <si>
    <t>Walking*In_Position_Upright*Riding_Elevator_Up*Holding_Other_Object_Light|Located_Indoors</t>
  </si>
  <si>
    <t>Standing_With_Movement*In_Position_Upright*Administering_Care_Child/Elder/Other_Adult*In_Conversation|Located_Indoors</t>
  </si>
  <si>
    <t>Kneeling_With_Movement*In_Position_Kneeling*HIGH_LEVEL_BEHAVIOR_Unlabeled*Holding_Other_Object_Light|In_Conversation|Located_Indoors</t>
  </si>
  <si>
    <t>Sitting_With_Movement*In_Position_Reclining/Slouching*Using_Computer/Screen|Watching_TV/Movies*Browsing_Computer|Located_Indoors|Texting/Browsing_Phone</t>
  </si>
  <si>
    <t>Standing_Still*In_Position_Upright*Eating/Dining*Located_Indoors</t>
  </si>
  <si>
    <t>Sitting_With_Movement*In_Position_Sitting*Doing_Resistance_Training|Exercising_Gym_Other*Located_Indoors</t>
  </si>
  <si>
    <t>Sitting_With_Movement*In_Position_Sitting*Cooking/Prepping_Food*Holding_Drink|Located_Indoors</t>
  </si>
  <si>
    <t>Standing_With_Movement*In_Position_Upright*Meeting_Social_Gathering_In_Person*Holding_Bag/Briefcase_Hand_Light|In_Conversation|Located_Indoors</t>
  </si>
  <si>
    <t>Standing_With_Movement*In_Position_Upright*In_Transit_Active|Riding_Elevator_Up*Carrying_Bag_On_Shoulder/Back_Light|Holding_Solid_Food|Located_Indoors</t>
  </si>
  <si>
    <t>Standing_With_Movement*In_Position_Upright*Doing_Resistance_Training*In_Conversation|Located_Indoors</t>
  </si>
  <si>
    <t>Puttering_Around*In_Position_Upright*Dancing*In_Conversation|Located_Indoors</t>
  </si>
  <si>
    <t>Walking_Up_Stairs*In_Position_Upright*In_Transit_Active*Holding_Other_Object_Light|Located_Outdoors|Texting/Browsing_Phone</t>
  </si>
  <si>
    <t>Standing_With_Movement*In_Position_Upright*In_Transit_Active*Carrying_Bag_On_Shoulder/Back_Light|Holding_Drink|Located_Outdoors|Texting/Browsing_Phone</t>
  </si>
  <si>
    <t>Standing_With_Movement*In_Position_Upright*HLB_Other*Carrying_Bag_On_Shoulder/Back_Light|In_Conversation|Located_Indoors</t>
  </si>
  <si>
    <t>Sitting_With_Movement*In_Position_Sitting*Playing_With_Children_Light*Legs_Crossed|Located_Outdoors</t>
  </si>
  <si>
    <t>Walking*In_Position_Upright*Administering_Care_Child/Elder/Other_Adult|In_Transit_Active*Holding_Other_Object_Heavy|In_Conversation|Located_Outdoors</t>
  </si>
  <si>
    <t>Sitting_With_Movement*In_Position_Sitting*In_Transit_Active*Carrying_Bag_On_Shoulder/Back_Light|Holding_Other_Object_Light|Located_Outdoors|Texting/Browsing_Phone</t>
  </si>
  <si>
    <t>Standing_With_Movement*In_Position_Upright*Using_Computer/Screen*Carrying_Bag_On_Shoulder/Back_Light|Holding_Other_Object_Light|Located_Indoors</t>
  </si>
  <si>
    <t>Standing_With_Movement*In_Position_Upright*In_Transit_Active|Riding_Elevator_Up*Located_Outdoors</t>
  </si>
  <si>
    <t>Standing_With_Movement*In_Position_Upright*Cleaning|Doing_Common_Housework*CONTEXTUAL_PARAMETERS_Unlabeled</t>
  </si>
  <si>
    <t>Standing_With_Movement*In_Position_Upright*Cleaning|Meeting_Social_Gathering_In_Person*In_Conversation|Located_Indoors</t>
  </si>
  <si>
    <t>Sitting_With_Movement*In_Position_Sitting*HIGH_LEVEL_BEHAVIOR_Unlabeled*Handwriting|In_Conversation|Located_Indoors</t>
  </si>
  <si>
    <t>Lying_With_Movement*Lying_On_Stomach*Watching_TV/Movies*Holding_Other_Object_Light|Located_Indoors</t>
  </si>
  <si>
    <t>Standing_With_Movement*In_Position_Upright*Doing_Common_Housework|Packing/Unpacking_Something*Located_Indoors</t>
  </si>
  <si>
    <t>Puttering_Around*In_Position_Upright*Cooking/Prepping_Food|Meeting_Social_Gathering_In_Person*In_Conversation|Located_Indoors|Texting/Browsing_Phone</t>
  </si>
  <si>
    <t>Standing_Still*In_Position_Upright*HLB_Other*Located_Indoors</t>
  </si>
  <si>
    <t>Walking*In_Position_Upright*Shopping_Non-Grocery*Carrying_Bag_On_Shoulder/Back_Light|Holding_Other_Object_Light|Located_Indoors</t>
  </si>
  <si>
    <t>Walking*In_Position_Upright*Playing_Sports/Games*Holding_Other_Object_Light|Located_Outdoors</t>
  </si>
  <si>
    <t>Sitting_With_Movement*In_Position_Sitting*Meeting_Social_Gathering_In_Person*Legs_Crossed|Located_Indoors</t>
  </si>
  <si>
    <t>Walking*In_Position_Upright*In_Transit_Active|Meeting_Social_Gathering_In_Person*Holding_Drink|Located_Indoors</t>
  </si>
  <si>
    <t>Walking*In_Position_Upright*Meeting_Social_Gathering_In_Person*Holding_Other_Object_Light|Located_Outdoors|Texting/Browsing_Phone</t>
  </si>
  <si>
    <t>Puttering_Around*In_Position_Upright*In_Transit_Active|Riding_Elevator_Up*Located_Indoors</t>
  </si>
  <si>
    <t>Sitting_With_Movement*In_Position_Reclining/Slouching*Meeting_Social_Gathering_In_Person|Using_Computer/Screen*In_Conversation|Located_Indoors|Texting/Browsing_Phone</t>
  </si>
  <si>
    <t>Kneeling_With_Movement*In_Position_Kneeling*Dressing/Undressing*Located_Indoors</t>
  </si>
  <si>
    <t>Standing_With_Movement*In_Position_Upright*Eating/Dining*Holding_Drink|In_Conversation|Located_Indoors</t>
  </si>
  <si>
    <t>Sitting_With_Movement*In_Position_Sitting*Relaxing_Passive*Carrying_Bag_On_Shoulder/Back_Light|Located_Outdoors|Texting/Browsing_Phone</t>
  </si>
  <si>
    <t>Sitting_With_Movement*In_Position_Sitting*Packing/Unpacking_Something*Holding_Other_Object_Light|In_Conversation|Located_Outdoors</t>
  </si>
  <si>
    <t>Standing_With_Movement*In_Position_Upright*Meeting_Social_Gathering_In_Person|Packing/Unpacking_Something*In_Conversation|Located_Indoors</t>
  </si>
  <si>
    <t>Sitting_With_Movement*In_Position_Sitting*Meeting_Virtual*Carrying_Bag_On_Shoulder/Back_Light|Holding_Other_Object_Light|On_Video_Call/FaceTime</t>
  </si>
  <si>
    <t>Puttering_Around*In_Position_Upright*Cleaning|Cooking/Prepping_Food|Doing_Dishes*Located_Indoors</t>
  </si>
  <si>
    <t>Walking*In_Position_Upright*In_Transit_Active|Meeting_Formal_Gathering_In_Person*In_Conversation|Located_Indoors</t>
  </si>
  <si>
    <t>Walking*In_Position_Upright*In_Transit_Active|Using_Computer/Screen*Browsing_Computer|Holding_Other_Object_Light|Located_Indoors</t>
  </si>
  <si>
    <t>Sitting_With_Movement*In_Position_Sitting*Using_Computer/Screen|Working_Other*Holding_Other_Object_Light|Legs_Crossed|Located_Indoors</t>
  </si>
  <si>
    <t>Lying_Still*Lying_On_Back*Relaxing_Passive*Located_Indoors|On_Phone_Call|Texting/Browsing_Phone</t>
  </si>
  <si>
    <t>Standing_With_Movement*In_Position_Upright*Riding_Elevator_Up*Carrying_Bag_On_Shoulder/Back_Light|Holding_Other_Object_Light|In_Conversation|Located_Indoors</t>
  </si>
  <si>
    <t>Sitting_With_Movement*In_Position_Sitting*In_Bathroom*Located_Outdoors</t>
  </si>
  <si>
    <t>Standing_With_Movement*In_Position_Upright*HLB_Other*Holding_Book/Reader|Holding_Other_Object_Light|Located_Indoors</t>
  </si>
  <si>
    <t>Sitting_With_Movement*In_Position_Sitting*Eating/Dining|Meeting_Social_Gathering_In_Person*Holding_Other_Object_Light|Holding_Solid_Food|Located_Indoors</t>
  </si>
  <si>
    <t>Walking*In_Position_Upright*Cleaning|Doing_Common_Housework|In_Transit_Active*Holding_Other_Object_Light|Located_Indoors</t>
  </si>
  <si>
    <t>Walking*In_Position_Upright*In_Transit_Active*Holding_Bag/Briefcase_Hand_Light|Holding_Drink|Located_Outdoors</t>
  </si>
  <si>
    <t>Sitting_With_Movement*In_Position_Sitting*Using_Computer/Screen*Holding_Other_Object_Light|In_Conversation|Located_Indoors|Texting/Browsing_Phone</t>
  </si>
  <si>
    <t>Walking_Slow*In_Position_Upright*Meeting_Social_Gathering_In_Person*Holding_Other_Object_Light|Located_Indoors</t>
  </si>
  <si>
    <t>Walking*In_Position_Upright*Eating/Dining|In_Transit_Active|Meeting_Social_Gathering_In_Person*Holding_Solid_Food|In_Conversation|Located_Indoors</t>
  </si>
  <si>
    <t>Walking*In_Position_Upright*Eating/Dining|In_Transit_Active*Holding_Solid_Food|Located_Indoors</t>
  </si>
  <si>
    <t>Walking*In_Position_Upright*In_Transit_Active|Meeting_Social_Gathering_In_Person|Watching_TV/Movies*Holding_Other_Object_Light|Located_Outdoors</t>
  </si>
  <si>
    <t>Puttering_Around*In_Position_Upright*Cooking/Prepping_Food|Watching_TV/Movies*Holding_Drink|Located_Indoors</t>
  </si>
  <si>
    <t>Standing_With_Movement*In_Position_Upright*Grooming/Self_Care*CP_Video_Unavailable/Indecipherable|Located_Indoors</t>
  </si>
  <si>
    <t>Kneeling_With_Movement*In_Position_Kneeling*Cleaning|Doing_Common_Housework|Meeting_Social_Gathering_In_Person*Holding_Other_Object_Light|In_Conversation|Located_Indoors</t>
  </si>
  <si>
    <t>Sitting_With_Movement*In_Position_Reclining/Slouching*Eating/Dining|Meeting_Social_Gathering_In_Person|Using_Computer/Screen*Holding_Solid_Food|In_Conversation|Located_Indoors</t>
  </si>
  <si>
    <t>Standing_With_Movement*In_Position_Upright*Working_Other*Handwriting|Located_Indoors</t>
  </si>
  <si>
    <t>Kneeling_With_Movement*In_Position_Kneeling*Doing_Alternative_Exercise/Therapy/Stretching*Located_Indoors</t>
  </si>
  <si>
    <t>Standing_With_Movement*In_Position_Upright*Riding_Escalator_Up*Carrying_Bag_On_Shoulder/Back_Light|In_Conversation</t>
  </si>
  <si>
    <t>Standing_With_Movement*In_Position_Upright*In_Transit_Active|Shopping_Non-Grocery*In_Conversation|Located_Indoors</t>
  </si>
  <si>
    <t>Sitting_With_Movement*In_Position_Sitting*Eating/Dining|Meeting_Social_Gathering_In_Person|Using_Computer/Screen*Browsing_Computer|Holding_Drink|In_Conversation|Located_Indoors</t>
  </si>
  <si>
    <t>Putting_Clothes_Away*In_Position_Upright*Administering_Care_Child/Elder/Other_Adult|Doing_Laundry*Holding_Other_Object_Light|Located_Indoors</t>
  </si>
  <si>
    <t>Standing_With_Movement*In_Position_Upright*In_Transit_Active|Riding_Elevator_Up*In_Conversation|Located_Indoors|Texting/Browsing_Phone</t>
  </si>
  <si>
    <t>Standing_With_Movement*In_Position_Upright*Working_Other*Handwriting|Holding_Other_Object_Light|Located_Indoors</t>
  </si>
  <si>
    <t>Puttering_Around*In_Position_Upright*In_Transit_Active*Carrying_Bag_On_Shoulder/Back_Light|Holding_Other_Object_Light|Located_Outdoors</t>
  </si>
  <si>
    <t>Walking*In_Position_Upright*Eating/Dining|In_Transit_Active*Carrying_Bag_On_Shoulder/Back_Heavy|Holding_Solid_Food|Located_Indoors</t>
  </si>
  <si>
    <t>Standing_With_Movement*In_Position_Upright*HLB_Other*Carrying_Bag_On_Shoulder/Back_Heavy|Located_Indoors</t>
  </si>
  <si>
    <t>Walking*In_Position_Upright*In_Transit_Active|Packing/Unpacking_Something*Holding_Bag/Briefcase_Hand_Light|Located_Indoors</t>
  </si>
  <si>
    <t>Sitting_With_Movement*In_Position_Sitting*Relaxing_Passive*CP_Video_Unavailable/Indecipherable|Located_Indoors</t>
  </si>
  <si>
    <t>Sitting_With_Movement*In_Position_Sitting*Packing/Unpacking_Something*In_Conversation|Located_Indoors</t>
  </si>
  <si>
    <t>Standing_With_Movement*In_Position_Upright*Riding_Elevator_Up*Holding_Bag/Briefcase_Hand_Light|Located_Indoors</t>
  </si>
  <si>
    <t>Sitting_With_Movement*In_Position_Reclining/Slouching*Meeting_Social_Gathering_In_Person*Located_Outdoors|Texting/Browsing_Phone</t>
  </si>
  <si>
    <t>Sitting_With_Movement*In_Position_Sitting*Meeting_Virtual*Carrying_Bag_On_Shoulder/Back_Light|On_Video_Call/FaceTime</t>
  </si>
  <si>
    <t>Walking*In_Position_Upright*In_Transit_Active|Working_Other*Located_Indoors|Texting/Browsing_Phone</t>
  </si>
  <si>
    <t>Sitting_With_Movement*In_Position_Sitting*HIGH_LEVEL_BEHAVIOR_Unlabeled*Holding_Book/Reader|Holding_Other_Object_Light|Located_Indoors</t>
  </si>
  <si>
    <t>Walking*In_Position_Upright*Administering_Care_Child/Elder/Other_Adult|In_Transit_Active*Located_Outdoors</t>
  </si>
  <si>
    <t>Standing_With_Movement*In_Position_Upright*Doing_Common_Housework*Holding_Other_Object_Light|Located_Outdoors</t>
  </si>
  <si>
    <t>Standing_With_Movement*In_Position_Upright*In_Transit_Passive_Train/Bus/Plane|Riding_Elevator_Down*Carrying_Bag_On_Shoulder/Back_Light|Located_Outdoors</t>
  </si>
  <si>
    <t>Sitting_With_Movement*In_Position_Sitting*Eating/Dining*Browsing_Computer|Holding_Other_Object_Light|Located_Indoors</t>
  </si>
  <si>
    <t>Standing_With_Movement*In_Position_Upright*Packing/Unpacking_Something*Holding_Bag/Briefcase_Hand_Light|Located_Indoors</t>
  </si>
  <si>
    <t>Walking_Slow*In_Position_Upright*Cooking/Prepping_Food*Holding_Other_Object_Light|Located_Indoors</t>
  </si>
  <si>
    <t>Walking_Up_Stairs*In_Position_Upright*Meeting_Social_Gathering_In_Person*Located_Outdoors</t>
  </si>
  <si>
    <t>Standing_Still*In_Position_Upright*HIGH_LEVEL_BEHAVIOR_Unlabeled*Holding_Other_Object_Light|In_Conversation|Located_Indoors</t>
  </si>
  <si>
    <t>Walking*In_Position_Upright*Administering_Care_Child/Elder/Other_Adult|In_Transit_Active*Located_Indoors</t>
  </si>
  <si>
    <t>Folding_Clothes*In_Position_Sitting*Doing_Laundry|Meeting_Virtual*Located_Indoors|On_Video_Call/FaceTime</t>
  </si>
  <si>
    <t>Puttering_Around*In_Position_Upright*Eating/Dining*Holding_Drink|In_Conversation|Located_Indoors</t>
  </si>
  <si>
    <t>Sitting_With_Movement*In_Position_Sitting*In_Transit_Active*Carrying_Bag_On_Shoulder/Back_Heavy|Holding_Other_Object_Light|Located_Outdoors</t>
  </si>
  <si>
    <t>Sitting_With_Movement*In_Position_Sitting*Grooming/Self_Care*Holding_Other_Object_Light|Located_Indoors|On_Video_Call/FaceTime</t>
  </si>
  <si>
    <t>Puttering_Around*In_Position_Upright*Meeting_Social_Gathering_In_Person*Carrying_Bag_On_Shoulder/Back_Light|Holding_Drink|Located_Indoors</t>
  </si>
  <si>
    <t>Standing_Still*In_Position_Upright*Riding_Elevator_Down*Located_Indoors</t>
  </si>
  <si>
    <t>Walking*In_Position_Upright*Relaxing_Passive*In_Conversation|Located_Indoors</t>
  </si>
  <si>
    <t>Puttering_Around*In_Position_Upright*In_Transit_Active|Shopping_Non-Grocery*Carrying_Bag_On_Shoulder/Back_Light|Located_Indoors</t>
  </si>
  <si>
    <t>Sitting_With_Movement*In_Position_Sitting*Working_Other*Holding_Other_Object_Light|Located_Indoors|On_Phone_Call|Texting/Browsing_Phone</t>
  </si>
  <si>
    <t>Lying_With_Movement*Lying_On_Back*Doing_Resistance_Training*Located_Indoors</t>
  </si>
  <si>
    <t>Sitting_With_Movement*In_Position_Sitting*Dressing/Undressing|HLB_Other*Holding_Other_Object_Light|Located_Indoors</t>
  </si>
  <si>
    <t>Standing_With_Movement*In_Position_Upright*HIGH_LEVEL_BEHAVIOR_Unlabeled*Holding_Solid_Food|Located_Indoors|Texting/Browsing_Phone</t>
  </si>
  <si>
    <t>Puttering_Around*In_Position_Upright*Doing_Common_Housework|Eating/Dining*Located_Indoors</t>
  </si>
  <si>
    <t>Sitting_With_Movement*In_Position_Sitting*Using_Computer/Screen|Watching_TV/Movies*Legs_Crossed|Located_Indoors|Texting/Browsing_Phone</t>
  </si>
  <si>
    <t>Sitting_With_Movement*In_Position_Sitting*Eating/Dining|Watching_TV/Movies*Holding_Drink|Legs_Crossed|Located_Indoors</t>
  </si>
  <si>
    <t>Walking*In_Position_Upright*In_Transit_Active*Holding_Drink|In_Conversation|Located_Indoors</t>
  </si>
  <si>
    <t>Standing_With_Movement*In_Position_Upright*In_Transit_Active|Riding_Elevator_Up*Holding_Other_Object_Light|Located_Indoors|Texting/Browsing_Phone</t>
  </si>
  <si>
    <t>Doing_Resistance_Training_Free_Weights*In_Position_Upright*Doing_Resistance_Training*Located_Indoors</t>
  </si>
  <si>
    <t>Walking_Down_Stairs*In_Position_Upright*In_Transit_Active*Holding_Drink|Located_Indoors</t>
  </si>
  <si>
    <t>Lying_With_Movement*Lying_On_Stomach*Using_Computer/Screen*Browsing_Computer|Located_Indoors|Typing_Computer</t>
  </si>
  <si>
    <t>Walking*In_Position_Upright*In_Transit_Active|Meeting_Social_Gathering_In_Person*Located_Indoors|On_Video_Call/FaceTime|Texting/Browsing_Phone</t>
  </si>
  <si>
    <t>Walking*In_Position_Upright*Administering_Care_Child/Elder/Other_Adult|In_Transit_Active|Meeting_Social_Gathering_In_Person*Holding_Other_Object_Light|In_Conversation|Located_Indoors</t>
  </si>
  <si>
    <t>Walking_Down_Stairs*In_Position_Upright*HLB_Other*Located_Indoors|Texting/Browsing_Phone</t>
  </si>
  <si>
    <t>Lying_With_Movement*Lying_On_Left_Side*Using_Computer/Screen*Browsing_Computer|In_Conversation|Located_Indoors</t>
  </si>
  <si>
    <t>Standing_With_Movement*In_Position_Upright*In_Transit_Active|Meeting_Social_Gathering_In_Person*Located_Outdoors</t>
  </si>
  <si>
    <t>Standing_With_Movement*In_Position_Upright*Administering_Care_Child/Elder/Other_Adult|In_Transit_Active|Packing/Unpacking_Something*Holding_Other_Object_Light|Located_Indoors</t>
  </si>
  <si>
    <t>Standing_With_Movement*In_Position_Upright*In_Transit_Active|Meeting_Social_Gathering_In_Person*Holding_Other_Object_Light|Located_Indoors|Texting/Browsing_Phone</t>
  </si>
  <si>
    <t>Sitting_With_Movement*In_Position_Sitting*Meeting_Social_Gathering_In_Person*In_Conversation|Legs_Uncrossed|Located_Indoors|Texting/Browsing_Phone</t>
  </si>
  <si>
    <t>Puttering_Around*In_Position_Upright*Eating/Dining|Meeting_Social_Gathering_In_Person*Holding_Drink|In_Conversation|Located_Indoors</t>
  </si>
  <si>
    <t>Sitting_With_Movement*In_Position_Sitting*Eating/Dining|Meeting_Social_Gathering_In_Person*Holding_Other_Object_Light|In_Conversation|Legs_Crossed|Located_Indoors</t>
  </si>
  <si>
    <t>Walking_Slow*In_Position_Upright*HLB_Video_Unavailable/Indecipherable*Holding_Bag/Briefcase_Hand_Light</t>
  </si>
  <si>
    <t>Sitting_With_Movement*In_Position_Sitting*Eating/Dining*In_Conversation|Legs_Uncrossed|Located_Indoors|Texting/Browsing_Phone</t>
  </si>
  <si>
    <t>Walking*In_Position_Upright*HIGH_LEVEL_BEHAVIOR_Unlabeled*Carrying_Bag_On_Shoulder/Back_Heavy|Located_Indoors</t>
  </si>
  <si>
    <t>Sitting_With_Movement*In_Position_Sitting*Packing/Unpacking_Something|Using_Computer/Screen*Located_Indoors</t>
  </si>
  <si>
    <t>Walking_Down_Stairs*In_Position_Upright*In_Transit_Passive_Train/Bus/Plane*Located_Outdoors</t>
  </si>
  <si>
    <t>Standing_With_Movement*In_Position_Upright*Walking_Pet*Located_Indoors|Texting/Browsing_Phone</t>
  </si>
  <si>
    <t>Standing_With_Movement*In_Position_Upright*In_Transit_Active*Carrying_Bag_On_Shoulder/Back_Heavy|Located_Outdoors</t>
  </si>
  <si>
    <t>Standing_Still*In_Position_Upright*HIGH_LEVEL_BEHAVIOR_Unlabeled*Located_Indoors|Texting/Browsing_Phone</t>
  </si>
  <si>
    <t>Walking*In_Position_Upright*In_Transit_Active|Watching_TV/Movies*Holding_Other_Object_Light|Located_Indoors|Texting/Browsing_Phone</t>
  </si>
  <si>
    <t>Puttering_Around*In_Position_Upright*Cooking/Prepping_Food|Watching_TV/Movies*Holding_Other_Object_Light|Holding_Solid_Food|Located_Indoors</t>
  </si>
  <si>
    <t>Standing_With_Movement*In_Position_Upright*In_Transit_Active*Holding_Bag/Briefcase_Hand_Light|Located_Outdoors</t>
  </si>
  <si>
    <t>Walking_Up_Stairs*In_Position_Upright*Meeting_Social_Gathering_In_Person*Located_Indoors</t>
  </si>
  <si>
    <t>Sitting_With_Movement*In_Position_Reclining/Slouching*Meeting_Social_Gathering_In_Person|Using_Computer/Screen*In_Conversation|Located_Indoors</t>
  </si>
  <si>
    <t>Standing_With_Movement*In_Position_Upright*Doing_Home_Repair_Light*Holding_Other_Object_Light|Located_Indoors</t>
  </si>
  <si>
    <t>Puttering_Around*In_Position_Upright*Meeting_Social_Gathering_In_Person*Handwriting|Located_Indoors</t>
  </si>
  <si>
    <t>Sitting_With_Movement*In_Position_Sitting*Eating/Dining*Legs_Uncrossed|Located_Indoors|Texting/Browsing_Phone</t>
  </si>
  <si>
    <t>Walking_Slow*In_Position_Upright*Shopping_Non-Grocery*Carrying_Bag_On_Shoulder/Back_Light|Holding_Other_Object_Light|Located_Indoors</t>
  </si>
  <si>
    <t>Puttering_Around*In_Position_Upright*Shopping_Non-Grocery*Carrying_Bag_On_Shoulder/Back_Light|Located_Indoors</t>
  </si>
  <si>
    <t>Cycling_Active_Pedaling_Stationary_Bike*In_Position_Sitting*Exercising_Gym_Stationary_Bicycle*Holding_Drink|Located_Indoors</t>
  </si>
  <si>
    <t>Standing_With_Movement*In_Position_Upright*HLB_Other|Meeting_Social_Gathering_In_Person*Located_Indoors|Texting/Browsing_Phone</t>
  </si>
  <si>
    <t>Walking*In_Position_Upright*In_Transit_Active|Meeting_Social_Gathering_In_Person*Carrying_Grocery_Bags_Light|Holding_Bag/Briefcase_Hand_Light|Holding_Other_Object_Light|In_Conversation|Located_Outdoors</t>
  </si>
  <si>
    <t>Standing_With_Movement*In_Position_Upright*Riding_Elevator_Up*Holding_Other_Object_Light|Located_Outdoors|Texting/Browsing_Phone</t>
  </si>
  <si>
    <t>Standing_With_Movement*In_Position_Upright*Playing_Sports/Games*Holding_Other_Object_Light|In_Conversation|Located_Indoors</t>
  </si>
  <si>
    <t>Organizing_Shelf/Cabinet*In_Position_Upright*Doing_Common_Housework*Holding_Other_Object_Light|Located_Indoors</t>
  </si>
  <si>
    <t>Walking*In_Position_Upright*Working_Other*Holding_Other_Object_Light</t>
  </si>
  <si>
    <t>Puttering_Around*In_Position_Upright*Cooking/Prepping_Food|In_Transit_Active|Meeting_Social_Gathering_In_Person*Holding_Other_Object_Light|In_Conversation|Located_Indoors</t>
  </si>
  <si>
    <t>Standing_With_Movement*In_Position_Upright*Playing_With_Children_Light|Watching_TV/Movies*In_Conversation|Located_Indoors</t>
  </si>
  <si>
    <t>Puttering_Around*Posture_Other*Doing_Common_Housework*Carrying_Bag_On_Shoulder/Back_Light|Located_Indoors</t>
  </si>
  <si>
    <t>Standing_With_Movement*In_Position_Upright*In_Transit_Active*Carrying_Bag_On_Shoulder/Back_Light|Holding_Drink|Located_Indoors</t>
  </si>
  <si>
    <t>Sitting_With_Movement*In_Position_Sitting*Relaxing_Passive*Holding_Solid_Food|Legs_Crossed|Located_Indoors|On_Video_Call/FaceTime</t>
  </si>
  <si>
    <t>Walking*In_Position_Upright*HIGH_LEVEL_BEHAVIOR_Unlabeled*Holding_Book/Reader|Located_Indoors</t>
  </si>
  <si>
    <t>Walking*In_Position_Upright*Playing_Sports/Games*Holding_Other_Object_Light|In_Conversation|Located_Indoors</t>
  </si>
  <si>
    <t>Sitting_With_Movement*In_Position_Sitting*Dressing/Undressing*Holding_Other_Object_Light|Located_Outdoors</t>
  </si>
  <si>
    <t>Sitting_With_Movement*In_Position_Sitting*Doing_Home_Repair_Light*Holding_Other_Object_Light|Located_Indoors</t>
  </si>
  <si>
    <t>Standing_With_Movement*In_Position_Upright*Eating/Dining|In_Transit_Active*Holding_Other_Object_Light|Located_Indoors</t>
  </si>
  <si>
    <t>Puttering_Around*In_Position_Upright*Gardening*Holding_Other_Object_Light|Located_Indoors</t>
  </si>
  <si>
    <t>Standing_Still*In_Position_Upright*Relaxing_Passive*Located_Outdoors</t>
  </si>
  <si>
    <t>Standing_Still*In_Position_Upright*In_Transit_Active*In_Conversation|Located_Indoors</t>
  </si>
  <si>
    <t>Sitting_With_Movement*In_Position_Reclining/Slouching*Meeting_Social_Gathering_In_Person|Watching_TV/Movies*Holding_Drink|Located_Indoors</t>
  </si>
  <si>
    <t>Sitting_With_Movement*In_Position_Sitting*Eating/Dining|Relaxing_Passive|Watching_TV/Movies*Holding_Drink|Located_Indoors</t>
  </si>
  <si>
    <t>Walking*In_Position_Upright*In_Transit_Active*Located_Outdoors|Using_Umbrella</t>
  </si>
  <si>
    <t>Standing_With_Movement*In_Position_Upright*Meeting_Social_Gathering_In_Person*Holding_Other_Object_Light|Located_Outdoors</t>
  </si>
  <si>
    <t>Standing_With_Movement*In_Position_Upright*Cleaning|Doing_Common_Housework*Holding_Other_Object_Light|Located_Indoors</t>
  </si>
  <si>
    <t>Sitting_With_Movement*In_Position_Sitting*Eating/Dining*Holding_Solid_Food|In_Conversation|Legs_Uncrossed|Located_Indoors</t>
  </si>
  <si>
    <t>Standing_With_Movement*In_Position_Upright*Cooking/Prepping_Food|Meeting_Social_Gathering_In_Person*Holding_Other_Object_Light|Holding_Solid_Food|Located_Indoors</t>
  </si>
  <si>
    <t>Standing_With_Movement*In_Position_Upright*Eating/Dining*Carrying_Bag_On_Shoulder/Back_Heavy|Holding_Other_Object_Light|Holding_Solid_Food|In_Conversation|Located_Outdoors</t>
  </si>
  <si>
    <t>Standing_With_Movement*In_Position_Upright*Grooming/Self_Care|Meeting_Virtual*Holding_Other_Object_Light|Located_Indoors|On_Video_Call/FaceTime</t>
  </si>
  <si>
    <t>Standing_With_Movement*In_Position_Upright*Shopping_Grocery*Carrying_Bag_On_Shoulder/Back_Heavy|Holding_Other_Object_Light|Located_Indoors</t>
  </si>
  <si>
    <t>Lying_With_Movement*Lying_On_Back*Using_Computer/Screen*Browsing_Computer|Located_Indoors|Texting/Browsing_Phone</t>
  </si>
  <si>
    <t>Sitting_With_Movement*In_Position_Reclining/Slouching*Meeting_Social_Gathering_In_Person|Relaxing_Passive|Watching_TV/Movies*Located_Indoors|Texting/Browsing_Phone</t>
  </si>
  <si>
    <t>Standing_With_Movement*In_Position_Upright*Shopping_Grocery*Carrying_Bag_On_Shoulder/Back_Light|Holding_Other_Object_Light|Holding_Solid_Food|Located_Outdoors</t>
  </si>
  <si>
    <t>Standing_With_Movement*In_Position_Upright*HIGH_LEVEL_BEHAVIOR_Unlabeled*CONTEXTUAL_PARAMETERS_Unlabeled</t>
  </si>
  <si>
    <t>Puttering_Around*In_Position_Upright*Cooking/Prepping_Food|Doing_Common_Housework_Light*Holding_Solid_Food|Located_Indoors</t>
  </si>
  <si>
    <t>Walking_Up_Stairs*In_Position_Upright*HIGH_LEVEL_BEHAVIOR_Unlabeled*Carrying_Bag_On_Shoulder/Back_Light|Located_Outdoors</t>
  </si>
  <si>
    <t>Walking_Down_Stairs*In_Position_Upright*In_Transit_Active*Carrying_Bag_On_Shoulder/Back_Light|Holding_Other_Object_Light|Located_Indoors</t>
  </si>
  <si>
    <t>Walking*In_Position_Upright*In_Transit_Active|Meeting_Social_Gathering_In_Person*Carrying_Grocery_Bags_Light|In_Conversation|Located_Outdoors</t>
  </si>
  <si>
    <t>Standing_With_Movement*In_Position_Upright*In_Transit_Active*Carrying_Bag_On_Shoulder/Back_Light|Holding_Book/Reader</t>
  </si>
  <si>
    <t>Puttering_Around*In_Position_Upright*Meeting_Virtual*Holding_Other_Object_Light|Located_Indoors|On_Video_Call/FaceTime|Texting/Browsing_Phone</t>
  </si>
  <si>
    <t>Puttering_Around*In_Position_Upright*Cooking/Prepping_Food|HLB_Video_Unavailable/Indecipherable*Holding_Drink|Located_Indoors</t>
  </si>
  <si>
    <t>Sitting_With_Movement*In_Position_Sitting*Using_Computer/Screen|Working_Other*Holding_Other_Object_Light|Legs_Crossed|Located_Indoors|Texting/Browsing_Phone</t>
  </si>
  <si>
    <t>Sitting_With_Movement*In_Position_Sitting*Eating/Dining*In_Conversation|Legs_Uncrossed|Located_Indoors</t>
  </si>
  <si>
    <t>Puttering_Around*In_Position_Upright*Meeting_Social_Gathering_In_Person|Shopping_Grocery*Located_Indoors</t>
  </si>
  <si>
    <t>Standing_With_Movement*In_Position_Upright*In_Transit_Active*Carrying_Bag_On_Shoulder/Back_Heavy|In_Conversation|Located_Outdoors</t>
  </si>
  <si>
    <t>Walking*In_Position_Upright*Eating/Dining*Holding_Drink|Located_Indoors</t>
  </si>
  <si>
    <t>Standing_With_Movement*In_Position_Upright*Cleaning|Meeting_Social_Gathering_In_Person*In_Conversation|Located_Outdoors</t>
  </si>
  <si>
    <t>Walking_Up_Stairs*In_Position_Upright*In_Transit_Active*Holding_Other_Object_Light|Located_Outdoors</t>
  </si>
  <si>
    <t>Walking*In_Position_Upright*In_Transit_Active*Carrying_Bag_On_Shoulder/Back_Light|In_Conversation|Located_Indoors|On_Phone_Call</t>
  </si>
  <si>
    <t>Washing_Hands*In_Position_Upright*Doing_Common_Housework_Light|In_Transit_Active*Located_Indoors</t>
  </si>
  <si>
    <t>Puttering_Around*In_Position_Upright*HIGH_LEVEL_BEHAVIOR_Unlabeled*In_Conversation|Located_Indoors|On_Video_Call/FaceTime|Texting/Browsing_Phone</t>
  </si>
  <si>
    <t>Walking_Down_Stairs*In_Position_Upright*Doing_Common_Housework*Located_Indoors</t>
  </si>
  <si>
    <t>Standing_With_Movement*In_Position_Upright*Using_Computer/Screen*Located_Outdoors|Texting/Browsing_Phone</t>
  </si>
  <si>
    <t>Walking*In_Position_Upright*In_Transit_Active*Carrying_Grocery_Bags_Light|Located_Indoors|On_Phone_Call</t>
  </si>
  <si>
    <t>Standing_With_Movement*In_Position_Upright*HLB_Other|In_Transit_Active*In_Conversation|Located_Outdoors</t>
  </si>
  <si>
    <t>Lying_With_Movement*Lying_On_Right_Side*Playing_Videogame*Located_Indoors</t>
  </si>
  <si>
    <t>Sitting_With_Movement*In_Position_Sitting*In_Transit_Active*Texting/Browsing_Phone</t>
  </si>
  <si>
    <t>Sitting_With_Movement*In_Position_Sitting*Packing/Unpacking_Something|Using_Computer/Screen*Holding_Other_Object_Light|Located_Indoors</t>
  </si>
  <si>
    <t>Puttering_Around*In_Position_Upright*Cooking/Prepping_Food|Watching_TV/Movies*Holding_Solid_Food|Located_Indoors</t>
  </si>
  <si>
    <t>Folding_Clothes*In_Position_Upright*Doing_Common_Housework|Doing_Laundry*Holding_Other_Object_Light|Located_Indoors</t>
  </si>
  <si>
    <t>Puttering_Around*In_Position_Upright*HIGH_LEVEL_BEHAVIOR_Unlabeled*Carrying_Bag_On_Shoulder/Back_Heavy|In_Conversation</t>
  </si>
  <si>
    <t>Sitting_With_Movement*In_Position_Sitting*Watching_TV/Movies*Located_Indoors|On_Phone_Call</t>
  </si>
  <si>
    <t>Kneeling_With_Movement*In_Position_Kneeling*Cooking/Prepping_Food*Holding_Other_Object_Light|Located_Indoors</t>
  </si>
  <si>
    <t>Walking_Slow*In_Position_Upright*Shopping_Non-Grocery*Carrying_Bag_On_Shoulder/Back_Light|Located_Indoors</t>
  </si>
  <si>
    <t>Standing_With_Movement*In_Position_Upright*Flagged_Special_Circumstances|Meeting_Virtual|Using_Computer/Screen*In_Conversation|Located_Indoors|On_Video_Call/FaceTime</t>
  </si>
  <si>
    <t>Walking*In_Position_Upright*Using_Computer/Screen*Located_Indoors|Texting/Browsing_Phone</t>
  </si>
  <si>
    <t>Sitting_With_Movement*In_Position_Sitting*Eating/Dining*Holding_Drink|In_Conversation|Located_Outdoors</t>
  </si>
  <si>
    <t>Sitting_With_Movement*In_Position_Sitting*In_Transit_Passive_Train/Bus/Plane*Legs_Crossed</t>
  </si>
  <si>
    <t>Walking_Up_Stairs*In_Position_Upright*In_Transit_Active*In_Conversation|Located_Indoors</t>
  </si>
  <si>
    <t>Sitting_With_Movement*In_Position_Sitting*In_Transit_Active*Handwriting|Located_Indoors</t>
  </si>
  <si>
    <t>Puttering_Around*In_Position_Upright*In_Transit_Active*Carrying_Bag_On_Shoulder/Back_Heavy|Located_Outdoors|Texting/Browsing_Phone</t>
  </si>
  <si>
    <t>Washing_Hands*In_Position_Upright*Grooming/Self_Care*In_Conversation|Located_Indoors</t>
  </si>
  <si>
    <t>Standing_With_Movement*In_Position_Upright*In_Transit_Active|Meeting_Social_Gathering_In_Person|Riding_Elevator_Up*Carrying_Grocery_Bags_Light|In_Conversation|Located_Indoors</t>
  </si>
  <si>
    <t>Standing_With_Movement*In_Position_Upright*HIGH_LEVEL_BEHAVIOR_Unlabeled*Located_Indoors|On_Phone_Call|Texting/Browsing_Phone</t>
  </si>
  <si>
    <t>Standing_With_Movement*In_Position_Upright*Eating/Dining*Holding_Book/Reader</t>
  </si>
  <si>
    <t>Walking_Down_Stairs*In_Position_Upright*In_Transit_Active*Carrying_Bag_On_Shoulder/Back_Light|Holding_Other_Object_Light|Located_Indoors|Texting/Browsing_Phone</t>
  </si>
  <si>
    <t>Puttering_Around*In_Position_Upright*In_Transit_Active*Carrying_Grocery_Bags_Light|Located_Indoors</t>
  </si>
  <si>
    <t>Standing_With_Movement*In_Position_Upright*HIGH_LEVEL_BEHAVIOR_Unlabeled*Carrying_Bag_On_Shoulder/Back_Light|Holding_Solid_Food|In_Conversation|Located_Indoors</t>
  </si>
  <si>
    <t>Standing_With_Movement*In_Position_Upright*Meeting_Social_Gathering_In_Person|Using_Computer/Screen*Holding_Other_Object_Light|In_Conversation|Located_Indoors</t>
  </si>
  <si>
    <t>Puttering_Around*In_Position_Upright*HIGH_LEVEL_BEHAVIOR_Unlabeled*Holding_Drink|In_Conversation|Located_Indoors</t>
  </si>
  <si>
    <t>Sitting_With_Movement*In_Position_Sitting*Eating/Dining*Holding_Other_Object_Light|Holding_Solid_Food|In_Conversation|Located_Outdoors</t>
  </si>
  <si>
    <t>Puttering_Around*In_Position_Upright*Grooming/Self_Care|In_Transit_Active*Located_Indoors</t>
  </si>
  <si>
    <t>Walking*In_Position_Upright*HLB_Other|In_Transit_Active*Holding_Other_Object_Light|Located_Indoors</t>
  </si>
  <si>
    <t>Walking*In_Position_Upright*Shopping_Non-Grocery*Holding_Other_Object_Light|Located_Indoors</t>
  </si>
  <si>
    <t>Sitting_With_Movement*In_Position_Sitting*HLB_Video_Unavailable/Indecipherable*Located_Indoors|Texting/Browsing_Phone</t>
  </si>
  <si>
    <t>Standing_With_Movement*In_Position_Upright*Eating/Dining*Located_Outdoors</t>
  </si>
  <si>
    <t>Walking*In_Position_Upright*Doing_Laundry|In_Transit_Active*Holding_Other_Object_Light|Located_Indoors</t>
  </si>
  <si>
    <t>Sitting_With_Movement*In_Position_Sitting*HLB_Video_Unavailable/Indecipherable*Located_Indoors|On_Video_Call/FaceTime</t>
  </si>
  <si>
    <t>Standing_With_Movement*In_Position_Upright*Cooking/Prepping_Food*Holding_Book/Reader|Located_Indoors</t>
  </si>
  <si>
    <t>Sitting_With_Movement*In_Position_Reclining/Slouching*Using_Computer/Screen*Browsing_Computer|Legs_Crossed|Located_Indoors</t>
  </si>
  <si>
    <t>Standing_With_Movement*In_Position_Upright*Doing_Common_Housework*Handwriting|Located_Indoors</t>
  </si>
  <si>
    <t>Standing_With_Movement*In_Position_Upright*Shopping_Non-Grocery*Carrying_Bag_On_Shoulder/Back_Light|Holding_Other_Object_Light|Located_Indoors|Texting/Browsing_Phone</t>
  </si>
  <si>
    <t>Walking*In_Position_Upright*Walking_Pet*Holding_Other_Object_Light|Located_Indoors</t>
  </si>
  <si>
    <t>Sitting_With_Movement*In_Position_Sitting*Watching_TV/Movies*Legs_Uncrossed|Located_Indoors</t>
  </si>
  <si>
    <t>Puttering_Around*In_Position_Upright*Shopping_Grocery*In_Conversation|Located_Indoors</t>
  </si>
  <si>
    <t>Sitting_With_Movement*In_Position_Sitting*HIGH_LEVEL_BEHAVIOR_Unlabeled*Holding_Drink|In_Conversation|Located_Outdoors</t>
  </si>
  <si>
    <t>Walking_Slow*In_Position_Upright*Watching_TV/Movies*Holding_Other_Object_Light|Located_Indoors</t>
  </si>
  <si>
    <t>Brushing_Teeth*In_Position_Upright*Grooming/Self_Care|Watching_TV/Movies*Located_Indoors</t>
  </si>
  <si>
    <t>Sitting_Still*In_Position_Sitting*Eating/Dining|Using_Computer/Screen*Browsing_Computer|Holding_Drink|Located_Indoors</t>
  </si>
  <si>
    <t>Puttering_Around*In_Position_Upright*HIGH_LEVEL_BEHAVIOR_Unlabeled*In_Conversation|Located_Outdoors</t>
  </si>
  <si>
    <t>Sitting_With_Movement*In_Position_Sitting*Relaxing_Passive*Holding_Other_Object_Light|In_Conversation|Legs_Uncrossed|Located_Indoors</t>
  </si>
  <si>
    <t>Walking*In_Position_Upright*HIGH_LEVEL_BEHAVIOR_Unlabeled*Holding_Drink|Located_Indoors|Texting/Browsing_Phone</t>
  </si>
  <si>
    <t>Walking*In_Position_Upright*In_Transit_Active*Holding_Drink|Holding_Other_Object_Light|Located_Outdoors</t>
  </si>
  <si>
    <t>Sitting_With_Movement*In_Position_Reclining/Slouching*Meeting_Virtual|Using_Computer/Screen*Holding_Other_Object_Light|Located_Indoors</t>
  </si>
  <si>
    <t>Standing_With_Movement*In_Position_Upright*HLB_Other|Meeting_Social_Gathering_In_Person*Located_Indoors</t>
  </si>
  <si>
    <t>Standing_With_Movement*In_Position_Upright*Meeting_Social_Gathering_In_Person|Shopping_Non-Grocery*Carrying_Grocery_Bags_Light|In_Conversation|Located_Indoors</t>
  </si>
  <si>
    <t>Walking*In_Position_Upright*In_Transit_Active*Carrying_Bag_On_Shoulder/Back_Light|Holding_Solid_Food</t>
  </si>
  <si>
    <t>Puttering_Around*In_Position_Upright*Meeting_Social_Gathering_In_Person*Carrying_Bag_On_Shoulder/Back_Light|In_Conversation|Located_Indoors</t>
  </si>
  <si>
    <t>Sitting_With_Movement*In_Position_Sitting*HLB_Video_Unavailable/Indecipherable*Legs_Crossed|Located_Indoors</t>
  </si>
  <si>
    <t>Sitting_Still*In_Position_Sitting*HIGH_LEVEL_BEHAVIOR_Unlabeled*Legs_Crossed|Located_Indoors</t>
  </si>
  <si>
    <t>Sitting_With_Movement*In_Position_Reclining/Slouching*Meeting_Social_Gathering_In_Person|Using_Computer/Screen*Browsing_Computer|In_Conversation|Located_Indoors</t>
  </si>
  <si>
    <t>Brushing/Combing/Tying_Hair*In_Position_Upright*In_Bathroom*Located_Indoors</t>
  </si>
  <si>
    <t>Walking*In_Position_Upright*In_Transit_Active*Carrying_Bag_On_Shoulder/Back_Light|Located_Indoors|Located_Outdoors</t>
  </si>
  <si>
    <t>Lying_Still*Lying_On_Left_Side*Watching_TV/Movies*Located_Indoors</t>
  </si>
  <si>
    <t>Kneeling_With_Movement*In_Position_Kneeling*HLB_Other|Watching_TV/Movies*In_Conversation|Located_Indoors</t>
  </si>
  <si>
    <t>Organizing_Shelf/Cabinet*In_Position_Upright*Doing_Common_Housework_Light|Packing/Unpacking_Something*Located_Indoors</t>
  </si>
  <si>
    <t>Sitting_With_Movement*In_Position_Sitting*Cleaning|Meeting_Social_Gathering_In_Person*Holding_Other_Object_Light|Located_Indoors</t>
  </si>
  <si>
    <t>Puttering_Around*In_Position_Upright*Doing_Alternative_Exercise/Therapy/Stretching*Holding_Drink|Located_Indoors</t>
  </si>
  <si>
    <t>Walking*In_Position_Upright*In_Transit_Active*Holding_Other_Object_Light|Located_Indoors|On_Phone_Call</t>
  </si>
  <si>
    <t>Sitting_With_Movement*In_Position_Sitting*Dressing/Undressing*Holding_Other_Object_Light|Located_Indoors|On_Phone_Call</t>
  </si>
  <si>
    <t>Puttering_Around*In_Position_Upright*Cooking/Prepping_Food|Eating/Dining*Holding_Drink|Located_Indoors</t>
  </si>
  <si>
    <t>Walking*In_Position_Upright*Administering_Care_Child/Elder/Other_Adult|In_Transit_Active*Holding_Other_Object_Heavy|Located_Outdoors</t>
  </si>
  <si>
    <t>Standing_With_Movement*In_Position_Upright*Using_Computer/Screen*Browsing_Computer|In_Conversation|Located_Indoors</t>
  </si>
  <si>
    <t>Standing_With_Movement*In_Position_Upright*In_Transit_Active|Riding_Elevator_Up*Carrying_Bag_On_Shoulder/Back_Light|Holding_Other_Object_Light|Located_Indoors|Texting/Browsing_Phone</t>
  </si>
  <si>
    <t>Sitting_With_Movement*In_Position_Sitting*Meeting_Virtual|Using_Computer/Screen*In_Conversation|Located_Indoors|On_Video_Call/FaceTime|Texting/Browsing_Phone</t>
  </si>
  <si>
    <t>Walking*In_Position_Upright*Doing_Resistance_Training*Holding_Other_Object_Heavy|Located_Indoors</t>
  </si>
  <si>
    <t>Standing_With_Movement*In_Position_Upright*Meeting_Social_Gathering_In_Person*Holding_Drink|In_Conversation|Located_Outdoors</t>
  </si>
  <si>
    <t>Sitting_With_Movement*In_Position_Sitting*Using_Computer/Screen|Watching_TV/Movies*Holding_Drink|Legs_Uncrossed|Located_Indoors</t>
  </si>
  <si>
    <t>Walking*In_Position_Upright*In_Transit_Active*Carrying_Bag_On_Shoulder/Back_Light|Located_Outdoors|On_Phone_Call|Texting/Browsing_Phone</t>
  </si>
  <si>
    <t>Standing_With_Movement*In_Position_Upright*Dressing/Undressing|In_Bathroom*Holding_Other_Object_Light|Located_Indoors</t>
  </si>
  <si>
    <t>Walking*In_Position_Upright*HIGH_LEVEL_BEHAVIOR_Unlabeled*Holding_Other_Object_Light|In_Conversation|Located_Outdoors</t>
  </si>
  <si>
    <t>Puttering_Around*In_Position_Upright*Loading/Unloading_Vehicle|Meeting_Social_Gathering_In_Person*Holding_Other_Object_Light|In_Conversation|Located_Outdoors</t>
  </si>
  <si>
    <t>Sitting_With_Movement*In_Position_Sitting*Meeting_Formal_Gathering_In_Person*Holding_Other_Object_Light|Located_Indoors</t>
  </si>
  <si>
    <t>Puttering_Around*In_Position_Upright*HIGH_LEVEL_BEHAVIOR_Unlabeled*Holding_Other_Object_Light|In_Conversation|Located_Outdoors</t>
  </si>
  <si>
    <t>Walking_Slow*In_Position_Upright*In_Transit_Active*Carrying_Bag_On_Shoulder/Back_Light|Holding_Other_Object_Light|Located_Outdoors</t>
  </si>
  <si>
    <t>Sitting_With_Movement*In_Position_Sitting*In_Transit_Driving_Car*In_Conversation|Located_Outdoors|Texting/Browsing_Phone</t>
  </si>
  <si>
    <t>Sitting_With_Movement*In_Position_Sitting*Eating/Dining*Holding_Other_Object_Light|Located_Outdoors</t>
  </si>
  <si>
    <t>Walking*In_Position_Upright*Shopping_Grocery*Located_Outdoors</t>
  </si>
  <si>
    <t>Sitting_With_Movement*In_Position_Sitting*Administering_Care_Child/Elder/Other_Adult*In_Conversation|Located_Indoors</t>
  </si>
  <si>
    <t>Standing_With_Movement*In_Position_Upright*Using_Computer/Screen|Watching_TV/Movies*Holding_Other_Object_Light|Located_Indoors</t>
  </si>
  <si>
    <t>Standing_With_Movement*In_Position_Upright*In_Transit_Active|Riding_Elevator_Down*Located_Outdoors</t>
  </si>
  <si>
    <t>Sitting_With_Movement*In_Position_Sitting*Cooking/Prepping_Food|Watching_TV/Movies*Holding_Other_Object_Light|Legs_Crossed|Located_Indoors|Texting/Browsing_Phone</t>
  </si>
  <si>
    <t>Sitting_With_Movement*In_Position_Sitting*Dressing/Undressing*In_Conversation|Located_Indoors</t>
  </si>
  <si>
    <t>Kneeling_With_Movement*In_Position_Kneeling*Dressing/Undressing*Holding_Other_Object_Light|Located_Indoors</t>
  </si>
  <si>
    <t>Standing_With_Movement*In_Position_Upright*In_Transit_Active|Walking_Pet*Located_Outdoors</t>
  </si>
  <si>
    <t>Sitting_With_Movement*In_Position_Sitting*Using_Computer/Screen*Holding_Other_Object_Light|In_Conversation|Legs_Crossed|Located_Indoors</t>
  </si>
  <si>
    <t>Standing_With_Movement*In_Position_Upright*HIGH_LEVEL_BEHAVIOR_Unlabeled*Holding_Other_Object_Light|In_Conversation|Located_Indoors|Texting/Browsing_Phone</t>
  </si>
  <si>
    <t>Sitting_With_Movement*In_Position_Sitting*Packing/Unpacking_Something|Watching_Lecture*Holding_Other_Object_Light|Located_Indoors</t>
  </si>
  <si>
    <t>Puttering_Around*In_Position_Upright*Meeting_Social_Gathering_In_Person|Using_Computer/Screen*In_Conversation|Located_Indoors</t>
  </si>
  <si>
    <t>Sitting_With_Movement*In_Position_Sitting*Dressing/Undressing|Meeting_Formal_Gathering_In_Person*Holding_Other_Object_Light|In_Conversation|Located_Indoors</t>
  </si>
  <si>
    <t>Sitting_With_Movement*In_Position_Reclining/Slouching*Using_Computer/Screen*Browsing_Computer|Holding_Solid_Food|Legs_Crossed|Located_Indoors</t>
  </si>
  <si>
    <t>Puttering_Around*In_Position_Upright*HIGH_LEVEL_BEHAVIOR_Unlabeled*Holding_Other_Object_Light</t>
  </si>
  <si>
    <t>Sitting_With_Movement*In_Position_Sitting*Doing_Common_Housework_Light|Packing/Unpacking_Something*Holding_Other_Object_Light|Located_Indoors</t>
  </si>
  <si>
    <t>Puttering_Around*In_Position_Upright*HIGH_LEVEL_BEHAVIOR_Unlabeled*Holding_Drink|Holding_Other_Object_Light</t>
  </si>
  <si>
    <t>Washing_Hands*In_Position_Upright*Doing_Common_Housework_Light*Located_Indoors</t>
  </si>
  <si>
    <t>Standing_With_Movement*In_Position_Upright*In_Transit_Active|Meeting_Social_Gathering_In_Person|Riding_Elevator_Down*In_Conversation|Located_Indoors</t>
  </si>
  <si>
    <t>Standing_With_Movement*In_Position_Upright*Walking_Pet*Holding_Other_Object_Light|Located_Outdoors</t>
  </si>
  <si>
    <t>Sitting_With_Movement*In_Position_Sitting*Playing_With_Pets*Legs_Uncrossed|Located_Indoors</t>
  </si>
  <si>
    <t>Standing_With_Movement*In_Position_Upright*Packing/Unpacking_Something*Carrying_Bag_On_Shoulder/Back_Light|Holding_Other_Object_Light|Located_Indoors</t>
  </si>
  <si>
    <t>Standing_With_Movement*In_Position_Upright*In_Transit_Active*In_Conversation|Located_Outdoors|Texting/Browsing_Phone</t>
  </si>
  <si>
    <t>Sitting_With_Movement*In_Position_Sitting*Eating/Dining|Using_Computer/Screen|Watching_TV/Movies*Holding_Other_Object_Light|Holding_Solid_Food|Located_Indoors</t>
  </si>
  <si>
    <t>Puttering_Around*In_Position_Upright*In_Transit_Active*In_Conversation|Located_Outdoors</t>
  </si>
  <si>
    <t>Puttering_Around*In_Position_Upright*Cooking/Prepping_Food|Watching_TV/Movies*Holding_Other_Object_Light|Located_Indoors|Texting/Browsing_Phone</t>
  </si>
  <si>
    <t>Standing_With_Movement*In_Position_Upright*Meeting_Social_Gathering_In_Person|Riding_Elevator_Down*Holding_Other_Object_Light|In_Conversation|Located_Indoors</t>
  </si>
  <si>
    <t>Puttering_Around*In_Position_Upright*In_Transit_Active|Meeting_Social_Gathering_In_Person*Carrying_Bag_On_Shoulder/Back_Light|Holding_Drink|Located_Indoors</t>
  </si>
  <si>
    <t>Walking*In_Position_Upright*Cleaning|In_Transit_Active|Meeting_Social_Gathering_In_Person*Holding_Other_Object_Light|In_Conversation|Located_Indoors</t>
  </si>
  <si>
    <t>Standing_With_Movement*In_Position_Upright*Doing_Common_Housework*In_Conversation|Located_Indoors|Texting/Browsing_Phone</t>
  </si>
  <si>
    <t>Sitting_With_Movement*In_Position_Reclining/Slouching*Eating/Dining|Watching_TV/Movies*Located_Indoors|Texting/Browsing_Phone</t>
  </si>
  <si>
    <t>Standing_With_Movement*In_Position_Upright*Doing_Home_Repair*Located_Indoors|Texting/Browsing_Phone</t>
  </si>
  <si>
    <t>Standing_With_Movement*In_Position_Upright*Meeting_Virtual|Using_Computer/Screen*Located_Indoors|On_Video_Call/FaceTime</t>
  </si>
  <si>
    <t>Puttering_Around*In_Position_Upright*HIGH_LEVEL_BEHAVIOR_Unlabeled*Holding_Solid_Food|Located_Indoors|Texting/Browsing_Phone</t>
  </si>
  <si>
    <t>Standing_With_Movement*In_Position_Upright*Doing_Common_Housework_Light*Holding_Other_Object_Light|Located_Indoors|On_Phone_Call</t>
  </si>
  <si>
    <t>Standing_Still*In_Position_Upright*HIGH_LEVEL_BEHAVIOR_Unlabeled*Holding_Other_Object_Light|In_Conversation|Located_Indoors|Texting/Browsing_Phone</t>
  </si>
  <si>
    <t>Sitting_With_Movement*In_Position_Sitting*Playing_With_Pets*Holding_Other_Object_Light|Located_Indoors</t>
  </si>
  <si>
    <t>Puttering_Around*In_Position_Upright*Using_Computer/Screen*Browsing_Computer|Located_Indoors</t>
  </si>
  <si>
    <t>Walking*In_Position_Upright*HIGH_LEVEL_BEHAVIOR_Unlabeled*In_Conversation|Located_Indoors|Texting/Browsing_Phone</t>
  </si>
  <si>
    <t>Sitting_Still*In_Position_Sitting*Watching_TV/Movies*Holding_Other_Object_Light|Legs_Crossed|Located_Indoors</t>
  </si>
  <si>
    <t>Puttering_Around*In_Position_Upright*Grooming/Self_Care*Holding_Other_Object_Light|Located_Indoors</t>
  </si>
  <si>
    <t>Standing_With_Movement*In_Position_Upright*Doing_Common_Housework|Eating/Dining*Located_Indoors</t>
  </si>
  <si>
    <t>Standing_With_Movement*In_Position_Upright*In_Bathroom*Located_Indoors|On_Phone_Call</t>
  </si>
  <si>
    <t>Standing_With_Movement*In_Position_Upright*Grooming/Self_Care*In_Conversation|Located_Indoors</t>
  </si>
  <si>
    <t>Sitting_With_Movement*In_Position_Sitting*HLB_Other|Using_Computer/Screen*Located_Indoors|Typing_Computer</t>
  </si>
  <si>
    <t>Sitting_With_Movement*In_Position_Sitting*Meeting_Social_Gathering_In_Person|Using_Computer/Screen|Watching_TV/Movies*Browsing_Computer|Legs_Crossed|Located_Indoors</t>
  </si>
  <si>
    <t>Standing_With_Movement*In_Position_Upright*Meeting_Social_Gathering_In_Person*Located_Indoors|On_Video_Call/FaceTime|Texting/Browsing_Phone</t>
  </si>
  <si>
    <t>Kneeling_With_Movement*In_Position_Kneeling*Eating/Dining*Located_Indoors</t>
  </si>
  <si>
    <t>Puttering_Around*In_Position_Upright*In_Transit_Passive_Train/Bus/Plane*Carrying_Bag_On_Shoulder/Back_Light|Located_Outdoors|On_Phone_Call</t>
  </si>
  <si>
    <t>Kneeling_With_Movement*In_Position_Kneeling*Cleaning*Located_Indoors</t>
  </si>
  <si>
    <t>Sitting_With_Movement*In_Position_Sitting*Dressing/Undressing|Meeting_Social_Gathering_In_Person*Holding_Other_Object_Light|In_Conversation|Located_Indoors</t>
  </si>
  <si>
    <t>Sitting_With_Movement*In_Position_Sitting*Doing_Resistance_Training|Watching_TV/Movies*Located_Indoors|Texting/Browsing_Phone</t>
  </si>
  <si>
    <t>Walking*In_Position_Upright*In_Transit_Active|Watching_TV/Movies*Holding_Other_Object_Light|Located_Indoors</t>
  </si>
  <si>
    <t>Puttering_Around*In_Position_Upright*In_Transit_Active|Meeting_Social_Gathering_In_Person*Carrying_Bag_On_Shoulder/Back_Light|Holding_Drink|Located_Outdoors</t>
  </si>
  <si>
    <t>Lying_With_Movement*Lying_On_Right_Side*Doing_Alternative_Exercise/Therapy/Stretching*Located_Indoors</t>
  </si>
  <si>
    <t>Sitting_With_Movement*In_Position_Sitting*Cooking/Prepping_Food|Playing_Videogame|Watching_TV/Movies*Holding_Other_Object_Light|Located_Indoors</t>
  </si>
  <si>
    <t>Sitting_With_Movement*In_Position_Sitting*Using_Computer/Screen|Watching_TV/Movies*Browsing_Computer|Legs_Crossed|Located_Indoors</t>
  </si>
  <si>
    <t>Puttering_Around*In_Position_Upright*Doing_Alternative_Exercise/Therapy/Stretching*Holding_Other_Object_Light|Located_Indoors</t>
  </si>
  <si>
    <t>Walking_Down_Stairs*In_Position_Upright*HLB_Other*Located_Indoors</t>
  </si>
  <si>
    <t>Sitting_With_Movement*In_Position_Sitting*Cleaning*Located_Indoors</t>
  </si>
  <si>
    <t>Standing_With_Movement*In_Position_Upright*Meeting_Formal_Gathering_In_Person*Located_Indoors</t>
  </si>
  <si>
    <t>Sitting_With_Movement*In_Position_Sitting*HLB_Other*In_Conversation|Located_Indoors|On_Video_Call/FaceTime</t>
  </si>
  <si>
    <t>Sitting_With_Movement*In_Position_Sitting*Eating/Dining|Meeting_Social_Gathering_In_Person*In_Conversation|Located_Outdoors|Texting/Browsing_Phone</t>
  </si>
  <si>
    <t>Puttering_Around*In_Position_Upright*Meeting_Social_Gathering_In_Person*Carrying_Bag_On_Shoulder/Back_Light|Holding_Other_Object_Light|Located_Indoors</t>
  </si>
  <si>
    <t>Standing_With_Movement*Posture_Other*Packing/Unpacking_Something*Holding_Other_Object_Light|Located_Indoors</t>
  </si>
  <si>
    <t>Standing_Still*In_Position_Upright*Cooking/Prepping_Food*Holding_Other_Object_Light|Located_Indoors</t>
  </si>
  <si>
    <t>Sitting_With_Movement*In_Position_Sitting*Using_Computer/Screen*In_Conversation|Located_Indoors|Texting/Browsing_Phone</t>
  </si>
  <si>
    <t>Brushing_Teeth*In_Position_Upright*Grooming/Self_Care*Carrying_Bag_On_Shoulder/Back_Light|Holding_Other_Object_Light|Located_Indoors</t>
  </si>
  <si>
    <t>Puttering_Around*In_Position_Upright*Meeting_Social_Gathering_In_Person|Packing/Unpacking_Something*Holding_Other_Object_Light|In_Conversation|Located_Indoors</t>
  </si>
  <si>
    <t>Kneeling_With_Movement*In_Position_Kneeling*Eating/Dining|Meeting_Social_Gathering_In_Person*Holding_Other_Object_Light|In_Conversation|Located_Indoors</t>
  </si>
  <si>
    <t>Puttering_Around*In_Position_Upright*HIGH_LEVEL_BEHAVIOR_Unlabeled*Browsing_Computer|Holding_Other_Object_Light|Located_Indoors|Typing_Computer</t>
  </si>
  <si>
    <t>Standing_With_Movement*In_Position_Upright*HIGH_LEVEL_BEHAVIOR_Unlabeled*Holding_Other_Object_Light|Texting/Browsing_Phone</t>
  </si>
  <si>
    <t>Standing_With_Movement*In_Position_Upright*In_Transit_Active*Holding_Drink|Holding_Other_Object_Light|Located_Indoors</t>
  </si>
  <si>
    <t>Lying_With_Movement*Lying_On_Right_Side*HLB_Video_Unavailable/Indecipherable|Relaxing_Passive*CP_Video_Unavailable/Indecipherable|Located_Indoors</t>
  </si>
  <si>
    <t>Standing_With_Movement*In_Position_Upright*Riding_Elevator_Down*Carrying_Bag_On_Shoulder/Back_Light|In_Conversation</t>
  </si>
  <si>
    <t>Walking*In_Position_Upright*HIGH_LEVEL_BEHAVIOR_Unlabeled*Holding_Bag/Briefcase_Hand_Light|Located_Outdoors</t>
  </si>
  <si>
    <t>Standing_With_Movement*In_Position_Upright*Using_Computer/Screen*In_Conversation|Located_Indoors</t>
  </si>
  <si>
    <t>Sitting_With_Movement*In_Position_Reclining/Slouching*HIGH_LEVEL_BEHAVIOR_Unlabeled*Holding_Other_Object_Light|In_Conversation|Located_Indoors</t>
  </si>
  <si>
    <t>Standing_With_Movement*In_Position_Upright*Riding_Elevator_Up*Carrying_Bag_On_Shoulder/Back_Light|Holding_Bag/Briefcase_Hand_Light|Holding_Other_Object_Light|Located_Indoors</t>
  </si>
  <si>
    <t>Puttering_Around*In_Position_Upright*Meeting_Formal_Gathering_In_Person*Carrying_Bag_On_Shoulder/Back_Light|Located_Indoors|Texting/Browsing_Phone</t>
  </si>
  <si>
    <t>Puttering_Around*In_Position_Upright*Administering_Care_Child/Elder/Other_Adult|Cooking/Prepping_Food|Doing_Common_Housework*Holding_Other_Object_Light|Located_Indoors</t>
  </si>
  <si>
    <t>Standing_With_Movement*In_Position_Upright*In_Transit_Active*Holding_Other_Object_Light|Located_Outdoors|Texting/Browsing_Phone</t>
  </si>
  <si>
    <t>Sitting_With_Movement*In_Position_Sitting*Working_Other*Holding_Other_Object_Light|Legs_Crossed|Located_Indoors</t>
  </si>
  <si>
    <t>Standing_With_Movement*In_Position_Upright*Meeting_Social_Gathering_In_Person|Packing/Unpacking_Something*Holding_Other_Object_Light|In_Conversation|Located_Indoors</t>
  </si>
  <si>
    <t>Walking_Down_Stairs*In_Position_Upright*In_Transit_Active*Carrying_Bag_On_Shoulder/Back_Light|Located_Outdoors|Texting/Browsing_Phone</t>
  </si>
  <si>
    <t>Walking*In_Position_Upright*In_Transit_Active*Carrying_Bag_On_Shoulder/Back_Heavy|Holding_Bag/Briefcase_Hand_Light|Located_Outdoors|Texting/Browsing_Phone</t>
  </si>
  <si>
    <t>Standing_With_Movement*In_Position_Upright*HIGH_LEVEL_BEHAVIOR_Unlabeled*Holding_Drink|Holding_Other_Object_Light|In_Conversation|Located_Indoors</t>
  </si>
  <si>
    <t>Puttering_Around*In_Position_Upright*HIGH_LEVEL_BEHAVIOR_Unlabeled*Carrying_Bag_On_Shoulder/Back_Light|Located_Outdoors|On_Phone_Call|Texting/Browsing_Phone</t>
  </si>
  <si>
    <t>Lying_With_Movement*Lying_On_Left_Side*Doing_Alternative_Exercise/Therapy/Stretching*Located_Indoors</t>
  </si>
  <si>
    <t>Standing_With_Movement*In_Position_Upright*Cleaning|Cooking/Prepping_Food*Holding_Drink|Holding_Other_Object_Light|Located_Indoors</t>
  </si>
  <si>
    <t>Standing_With_Movement*In_Position_Upright*In_Bathroom|In_Transit_Active*Located_Indoors</t>
  </si>
  <si>
    <t>Standing_With_Movement*In_Position_Upright*Cleaning*Located_Indoors|On_Phone_Call</t>
  </si>
  <si>
    <t>Sweeping*In_Position_Upright*Cleaning*Holding_Other_Object_Light|Located_Indoors</t>
  </si>
  <si>
    <t>Puttering_Around*In_Position_Upright*Doing_Common_Housework_Light*Holding_Other_Object_Heavy|Located_Indoors</t>
  </si>
  <si>
    <t>Sitting_With_Movement*In_Position_Sitting*Administering_Care_Child/Elder/Other_Adult*Holding_Other_Object_Light|Located_Indoors</t>
  </si>
  <si>
    <t>Standing_With_Movement*In_Position_Upright*Doing_Dishes*Located_Indoors|Texting/Browsing_Phone</t>
  </si>
  <si>
    <t>Sitting_With_Movement*In_Position_Sitting*Cooking/Prepping_Food|Using_Computer/Screen*Located_Indoors</t>
  </si>
  <si>
    <t>Standing_With_Movement*In_Position_Upright*Eating/Dining*Holding_Solid_Food|In_Conversation|Located_Outdoors</t>
  </si>
  <si>
    <t>Walking_Up_Stairs*In_Position_Upright*In_Transit_Active|Meeting_Social_Gathering_In_Person*In_Conversation|Located_Outdoors|Texting/Browsing_Phone</t>
  </si>
  <si>
    <t>Sitting_With_Movement*In_Position_Sitting*Doing_Laundry*Located_Indoors</t>
  </si>
  <si>
    <t>Sitting_With_Movement*In_Position_Sitting*In_Transit_Passive_Car|Playing_Videogame*Holding_Other_Object_Light|Located_Outdoors|Texting/Browsing_Phone</t>
  </si>
  <si>
    <t>Walking*In_Position_Upright*Meeting_Social_Gathering_In_Person*Holding_Other_Object_Light|Located_Outdoors</t>
  </si>
  <si>
    <t>Sitting_With_Movement*In_Position_Sitting*Cooking/Prepping_Food|Watching_TV/Movies*Located_Indoors|Texting/Browsing_Phone</t>
  </si>
  <si>
    <t>Standing_With_Movement*In_Position_Upright*HIGH_LEVEL_BEHAVIOR_Unlabeled*Carrying_Bag_On_Shoulder/Back_Heavy|Holding_Other_Object_Light|Located_Indoors</t>
  </si>
  <si>
    <t>Standing_With_Movement*In_Position_Upright*In_Transit_Active|Meeting_Social_Gathering_In_Person*Holding_Other_Object_Light|In_Conversation|Located_Outdoors</t>
  </si>
  <si>
    <t>Standing_With_Movement*In_Position_Upright*Doing_Dishes*In_Conversation|Located_Indoors</t>
  </si>
  <si>
    <t>Standing_With_Movement*In_Position_Upright*Doing_Common_Housework*Holding_Other_Object_Light|Located_Indoors|Texting/Browsing_Phone</t>
  </si>
  <si>
    <t>Lying_With_Movement*Lying_On_Back*Working_Other*Holding_Other_Object_Light|Located_Indoors</t>
  </si>
  <si>
    <t>Walking*In_Position_Upright*In_Transit_Active*Located_Indoors|On_Phone_Call</t>
  </si>
  <si>
    <t>Puttering_Around*In_Position_Upright*Cleaning|In_Bathroom|Meeting_Social_Gathering_In_Person*Located_Indoors</t>
  </si>
  <si>
    <t>Walking*In_Position_Upright*Walking_Pet*Located_Indoors</t>
  </si>
  <si>
    <t>Walking_Up_Stairs*In_Position_Upright*Doing_Common_Housework*Located_Indoors</t>
  </si>
  <si>
    <t>Standing_With_Movement*In_Position_Upright*Shopping_Grocery*Holding_Other_Object_Light|Holding_Solid_Food|Located_Indoors</t>
  </si>
  <si>
    <t>Standing_With_Movement*In_Position_Upright*Loading/Unloading_Vehicle*Located_Outdoors</t>
  </si>
  <si>
    <t>Sitting_With_Movement*In_Position_Sitting*Relaxing_Passive*Carrying_Bag_On_Shoulder/Back_Light|In_Conversation|Located_Outdoors|Texting/Browsing_Phone</t>
  </si>
  <si>
    <t>Walking*In_Position_Upright*In_Transit_Active*Holding_Drink|Holding_Other_Object_Light</t>
  </si>
  <si>
    <t>Standing_With_Movement*In_Position_Upright*In_Transit_Active|Riding_Escalator_Down*Carrying_Bag_On_Shoulder/Back_Light|Located_Indoors</t>
  </si>
  <si>
    <t>Puttering_Around*In_Position_Upright*Doing_Common_Housework*Holding_Other_Object_Light</t>
  </si>
  <si>
    <t>Standing_With_Movement*In_Position_Upright*HIGH_LEVEL_BEHAVIOR_Unlabeled*Holding_Other_Object_Light|Located_Indoors|On_Phone_Call</t>
  </si>
  <si>
    <t>Standing_With_Movement*In_Position_Upright*HIGH_LEVEL_BEHAVIOR_Unlabeled*Carrying_Bag_On_Shoulder/Back_Heavy|Located_Outdoors</t>
  </si>
  <si>
    <t>Sitting_With_Movement*In_Position_Reclining/Slouching*Eating/Dining|Watching_TV/Movies*Holding_Solid_Food|Legs_Uncrossed|Located_Indoors</t>
  </si>
  <si>
    <t>Puttering_Around*In_Position_Upright*In_Transit_Active|Meeting_Social_Gathering_In_Person*In_Conversation|Located_Outdoors</t>
  </si>
  <si>
    <t>Lying_With_Movement*Lying_On_Right_Side*Doing_Alternative_Exercise/Therapy/Stretching*Located_Indoors|Texting/Browsing_Phone</t>
  </si>
  <si>
    <t>Puttering_Around*In_Position_Upright*Working_Other*Handwriting|Holding_Other_Object_Heavy|Located_Indoors</t>
  </si>
  <si>
    <t>Standing_With_Movement*In_Position_Upright*HIGH_LEVEL_BEHAVIOR_Unlabeled*Handwriting|Holding_Other_Object_Light|Located_Indoors</t>
  </si>
  <si>
    <t>Sitting_With_Movement*In_Position_Reclining/Slouching*Eating/Dining*Holding_Other_Object_Light|Holding_Solid_Food|Located_Indoors|On_Video_Call/FaceTime</t>
  </si>
  <si>
    <t>Sitting_With_Movement*In_Position_Sitting*Relaxing_Passive|Using_Computer/Screen*Browsing_Computer|Located_Indoors|On_Phone_Call|Typing_Computer</t>
  </si>
  <si>
    <t>Puttering_Around*Posture_Too_Complex*HIGH_LEVEL_BEHAVIOR_Unlabeled*Holding_Other_Object_Light|Located_Indoors</t>
  </si>
  <si>
    <t>Puttering_Around*In_Position_Upright*Grooming/Self_Care|In_Bathroom*Holding_Other_Object_Light|Located_Indoors</t>
  </si>
  <si>
    <t>Organizing_Shelf/Cabinet*In_Position_Upright*HIGH_LEVEL_BEHAVIOR_Unlabeled*Holding_Other_Object_Light|Located_Indoors</t>
  </si>
  <si>
    <t>Puttering_Around*In_Position_Upright*Meeting_Social_Gathering_In_Person|Packing/Unpacking_Something*Holding_Other_Object_Light|In_Conversation|Located_Outdoors</t>
  </si>
  <si>
    <t>Lying_With_Movement*Lying_On_Back*Watching_TV/Movies*Holding_Other_Object_Light|Located_Indoors|Texting/Browsing_Phone</t>
  </si>
  <si>
    <t>Standing_With_Movement*In_Position_Upright*HIGH_LEVEL_BEHAVIOR_Unlabeled*Carrying_Bag_On_Shoulder/Back_Light|Holding_Other_Object_Light|In_Conversation|Located_Outdoors</t>
  </si>
  <si>
    <t>Standing_With_Movement*In_Position_Upright*In_Transit_Active*Carrying_Bag_On_Shoulder/Back_Light|Holding_Other_Object_Light|In_Conversation|Located_Outdoors</t>
  </si>
  <si>
    <t>Standing_With_Movement*In_Position_Upright*Grooming/Self_Care*Carrying_Bag_On_Shoulder/Back_Heavy|Located_Indoors</t>
  </si>
  <si>
    <t>Sitting_With_Movement*In_Position_Sitting*In_Transit_Passive_Train/Bus/Plane|Meeting_Social_Gathering_In_Person*Carrying_Bag_On_Shoulder/Back_Light|Legs_Uncrossed|Texting/Browsing_Phone</t>
  </si>
  <si>
    <t>Sitting_With_Movement*In_Position_Sitting*Eating/Dining|Relaxing_Passive|Watching_TV/Movies*Holding_Solid_Food|Legs_Crossed|Located_Indoors</t>
  </si>
  <si>
    <t>Puttering_Around*In_Position_Upright*Meeting_Virtual*Located_Indoors|On_Video_Call/FaceTime|Texting/Browsing_Phone</t>
  </si>
  <si>
    <t>Sitting_With_Movement*In_Position_Sitting*Eating/Dining*Holding_Drink|Holding_Other_Object_Light|Located_Indoors</t>
  </si>
  <si>
    <t>Standing_With_Movement*In_Position_Upright*In_Transit_Active|Riding_Elevator_Up*Located_Indoors|Texting/Browsing_Phone</t>
  </si>
  <si>
    <t>Lying_Still*Lying_On_Stomach*HIGH_LEVEL_BEHAVIOR_Unlabeled*Located_Indoors</t>
  </si>
  <si>
    <t>Washing_Hands*In_Position_Upright*Cleaning|Cooking/Prepping_Food*Located_Indoors</t>
  </si>
  <si>
    <t>Sitting_With_Movement*In_Position_Sitting*Meeting_Social_Gathering_In_Person|Using_Computer/Screen|Working_Other*Holding_Other_Object_Light|In_Conversation|Located_Indoors</t>
  </si>
  <si>
    <t>Sitting_With_Movement*In_Position_Sitting*Using_Computer/Screen*Holding_Other_Object_Light|Located_Indoors|On_Video_Call/FaceTime</t>
  </si>
  <si>
    <t>Sitting_With_Movement*In_Position_Sitting*Meeting_Social_Gathering_In_Person*Holding_Other_Object_Light|Located_Outdoors|Texting/Browsing_Phone</t>
  </si>
  <si>
    <t>Puttering_Around*In_Position_Upright*Using_Computer/Screen|Watching_TV/Movies*Holding_Other_Object_Light|Located_Indoors</t>
  </si>
  <si>
    <t>Walking_Down_Stairs*In_Position_Upright*In_Transit_Active*Carrying_Bag_On_Shoulder/Back_Light|Holding_Other_Object_Light|Located_Outdoors</t>
  </si>
  <si>
    <t>Standing_With_Movement*In_Position_Upright*Meeting_Social_Gathering_In_Person|Riding_Elevator_Up*In_Conversation|Located_Indoors</t>
  </si>
  <si>
    <t>Standing_With_Movement*In_Position_Upright*Meeting_Social_Gathering_In_Person*Carrying_Bag_On_Shoulder/Back_Light|Holding_Drink|Located_Outdoors</t>
  </si>
  <si>
    <t>Standing_With_Movement*In_Position_Upright*Cleaning|In_Bathroom*Located_Indoors</t>
  </si>
  <si>
    <t>Sitting_With_Movement*In_Position_Sitting*Meeting_Virtual|Using_Computer/Screen*Browsing_Computer|In_Conversation|Located_Indoors</t>
  </si>
  <si>
    <t>Flossing_Teeth*In_Position_Upright*Grooming/Self_Care|In_Bathroom*Holding_Other_Object_Light|Located_Indoors</t>
  </si>
  <si>
    <t>Kneeling_With_Movement*In_Position_Kneeling*HIGH_LEVEL_BEHAVIOR_Unlabeled*Holding_Other_Object_Light|Located_Outdoors</t>
  </si>
  <si>
    <t>Standing_With_Movement*Posture_Other*Doing_Common_Housework*Holding_Other_Object_Light|Located_Indoors</t>
  </si>
  <si>
    <t>Standing_With_Movement*In_Position_Upright*Meeting_Social_Gathering_In_Person|Playing_Sports/Games*Holding_Other_Object_Light|In_Conversation|Located_Outdoors</t>
  </si>
  <si>
    <t>Puttering_Around*In_Position_Upright*Cleaning|Cooking/Prepping_Food*Holding_Other_Object_Light|Located_Indoors</t>
  </si>
  <si>
    <t>Standing_With_Movement*In_Position_Upright*Riding_Elevator_Down*Carrying_Bag_On_Shoulder/Back_Light|Holding_Other_Object_Light|Located_Indoors|Texting/Browsing_Phone</t>
  </si>
  <si>
    <t>Standing_With_Movement*In_Position_Upright*In_Transit_Active|Riding_Elevator_Down*Carrying_Bag_On_Shoulder/Back_Light|In_Conversation|Located_Indoors</t>
  </si>
  <si>
    <t>Sitting_With_Movement*In_Position_Sitting*Relaxing_Passive*Holding_Other_Object_Light|In_Conversation|Located_Outdoors</t>
  </si>
  <si>
    <t>Puttering_Around*In_Position_Upright*Cleaning|Doing_Common_Housework|Packing/Unpacking_Something*In_Conversation|Located_Indoors</t>
  </si>
  <si>
    <t>Puttering_Around*In_Position_Upright*Doing_Common_Housework|In_Transit_Active*Located_Indoors</t>
  </si>
  <si>
    <t>Walking*In_Position_Upright*HIGH_LEVEL_BEHAVIOR_Unlabeled*Located_Indoors|On_Phone_Call</t>
  </si>
  <si>
    <t>Washing_Hands*In_Position_Upright*Meeting_Social_Gathering_In_Person*In_Conversation|Located_Indoors</t>
  </si>
  <si>
    <t>Standing_With_Movement*In_Position_Upright*Using_Computer/Screen*Browsing_Computer|Holding_Book/Reader|Located_Indoors</t>
  </si>
  <si>
    <t>Puttering_Around*In_Position_Upright*Doing_Common_Housework|Meeting_Social_Gathering_In_Person*Located_Indoors</t>
  </si>
  <si>
    <t>Applying_Makeup*In_Position_Upright*Grooming/Self_Care|In_Bathroom*Holding_Other_Object_Light|Located_Indoors</t>
  </si>
  <si>
    <t>Walking*In_Position_Upright*In_Transit_Active|Meeting_Social_Gathering_In_Person*Holding_Other_Object_Light|In_Conversation|Located_Indoors|Texting/Browsing_Phone</t>
  </si>
  <si>
    <t>Walking*In_Position_Upright*Watching_TV/Movies*Holding_Other_Object_Light|Located_Indoors</t>
  </si>
  <si>
    <t>Walking*In_Position_Upright*HIGH_LEVEL_BEHAVIOR_Unlabeled*Located_Indoors|On_Video_Call/FaceTime</t>
  </si>
  <si>
    <t>Standing_With_Movement*In_Position_Upright*Doing_Common_Housework_Light|Doing_Dishes*Holding_Other_Object_Light|Located_Indoors</t>
  </si>
  <si>
    <t>Sitting_With_Movement*In_Position_Sitting*Meeting_Formal_Gathering_In_Person*Browsing_Computer|In_Conversation|Located_Indoors</t>
  </si>
  <si>
    <t>Sitting_With_Movement*In_Position_Sitting*Eating/Dining|Watching_TV/Movies*Holding_Book/Reader|Located_Indoors</t>
  </si>
  <si>
    <t>Washing_Hands*In_Position_Upright*In_Bathroom*Carrying_Bag_On_Shoulder/Back_Light|Located_Indoors</t>
  </si>
  <si>
    <t>Sitting_With_Movement*In_Position_Sitting*Dressing/Undressing|In_Transit_Passive_Car*Located_Outdoors</t>
  </si>
  <si>
    <t>Applying_Makeup*In_Position_Sitting*Grooming/Self_Care*Holding_Other_Object_Light|Located_Indoors</t>
  </si>
  <si>
    <t>Standing_With_Movement*In_Position_Upright*In_Transit_Active*Holding_Other_Object_Light|Located_Outdoors|On_Phone_Call</t>
  </si>
  <si>
    <t>Puttering_Around*In_Position_Upright*Cooking/Prepping_Food*CONTEXTUAL_PARAMETERS_Unlabeled</t>
  </si>
  <si>
    <t>Puttering_Around*In_Position_Upright*Doing_Alternative_Exercise/Therapy/Stretching*Located_Indoors|Texting/Browsing_Phone</t>
  </si>
  <si>
    <t>Walking*In_Position_Upright*In_Transit_Active|Meeting_Social_Gathering_In_Person*Holding_Solid_Food|In_Conversation|Located_Indoors</t>
  </si>
  <si>
    <t>Sitting_With_Movement*In_Position_Sitting*Meeting_Social_Gathering_In_Person|Using_Computer/Screen*Holding_Other_Object_Light|Located_Indoors</t>
  </si>
  <si>
    <t>Walking*In_Position_Upright*In_Transit_Active*Carrying_Bag_On_Shoulder/Back_Heavy|Holding_Bag/Briefcase_Hand_Light|Located_Indoors</t>
  </si>
  <si>
    <t>Sitting_Still*In_Position_Reclining/Slouching*HIGH_LEVEL_BEHAVIOR_Unlabeled*In_Conversation|Located_Indoors</t>
  </si>
  <si>
    <t>Puttering_Around*In_Position_Upright*Meeting_Social_Gathering_In_Person*In_Conversation</t>
  </si>
  <si>
    <t>Walking*In_Position_Upright*In_Transit_Active|Using_Computer/Screen*Located_Indoors|Texting/Browsing_Phone</t>
  </si>
  <si>
    <t>Puttering_Around*In_Position_Upright*HIGH_LEVEL_BEHAVIOR_Unlabeled*Located_Outdoors|Texting/Browsing_Phone</t>
  </si>
  <si>
    <t>Standing_With_Movement*In_Position_Upright*Dressing/Undressing|In_Transit_Active*Holding_Other_Object_Light|Located_Indoors</t>
  </si>
  <si>
    <t>Sitting_With_Movement*In_Position_Sitting*Administering_Care_Child/Elder/Other_Adult|Meeting_Social_Gathering_In_Person*Holding_Other_Object_Heavy|In_Conversation|Located_Indoors</t>
  </si>
  <si>
    <t>Sitting_With_Movement*In_Position_Sitting*Meeting_Virtual*Holding_Other_Object_Light|Located_Indoors|Texting/Browsing_Phone</t>
  </si>
  <si>
    <t>Walking*In_Position_Upright*Cooking/Prepping_Food|Meeting_Social_Gathering_In_Person*Holding_Other_Object_Light|Located_Indoors</t>
  </si>
  <si>
    <t>Walking*In_Position_Upright*HIGH_LEVEL_BEHAVIOR_Unlabeled*Holding_Bag/Briefcase_Hand_Light|Holding_Other_Object_Light|Located_Indoors</t>
  </si>
  <si>
    <t>Walking_Slow*In_Position_Upright*In_Transit_Active|Meeting_Social_Gathering_In_Person*Located_Indoors</t>
  </si>
  <si>
    <t>Standing_With_Movement*In_Position_Upright*Meeting_Social_Gathering_In_Person*Carrying_Bag_On_Shoulder/Back_Light|Located_Outdoors</t>
  </si>
  <si>
    <t>Walking*In_Position_Upright*Eating/Dining|In_Transit_Active*Located_Indoors</t>
  </si>
  <si>
    <t>Sitting_With_Movement*In_Position_Sitting*HIGH_LEVEL_BEHAVIOR_Unlabeled*Browsing_Computer|Holding_Other_Object_Light</t>
  </si>
  <si>
    <t>Puttering_Around*In_Position_Upright*Shopping_Grocery*Carrying_Bag_On_Shoulder/Back_Light|Carrying_Grocery_Bags_Light|Holding_Other_Object_Light|Located_Indoors</t>
  </si>
  <si>
    <t>Puttering_Around*In_Position_Upright*HIGH_LEVEL_BEHAVIOR_Unlabeled*Carrying_Bag_On_Shoulder/Back_Light|Carrying_Grocery_Bags_Light|Holding_Other_Object_Light|Located_Indoors</t>
  </si>
  <si>
    <t>Sitting_With_Movement*In_Position_Sitting*In_Transit_Passive_Train/Bus/Plane*Carrying_Bag_On_Shoulder/Back_Light|Holding_Drink|Located_Outdoors</t>
  </si>
  <si>
    <t>Standing_With_Movement*In_Position_Upright*Doing_Dishes*Located_Indoors|Significantly_Higher_Effort_Than_Normal</t>
  </si>
  <si>
    <t>Sitting_With_Movement*In_Position_Sitting*Doing_Laundry|Watching_TV/Movies*Located_Indoors</t>
  </si>
  <si>
    <t>Walking*In_Position_Upright*HIGH_LEVEL_BEHAVIOR_Unlabeled*Carrying_Grocery_Bags_Light|Located_Indoors</t>
  </si>
  <si>
    <t>Sitting_With_Movement*In_Position_Sitting*Meeting_Social_Gathering_In_Person|Using_Computer/Screen*In_Conversation|Located_Indoors|Texting/Browsing_Phone</t>
  </si>
  <si>
    <t>Standing_With_Movement*In_Position_Upright*In_Transit_Active|Riding_Elevator_Up*Holding_Other_Object_Light|In_Conversation|Located_Indoors</t>
  </si>
  <si>
    <t>Puttering_Around*In_Position_Upright*Cleaning|Meeting_Social_Gathering_In_Person*In_Conversation|Located_Indoors</t>
  </si>
  <si>
    <t>Sitting_With_Movement*In_Position_Reclining/Slouching*Meeting_Social_Gathering_In_Person*Located_Indoors|Texting/Browsing_Phone</t>
  </si>
  <si>
    <t>Sitting_With_Movement*In_Position_Sitting*HIGH_LEVEL_BEHAVIOR_Unlabeled*Carrying_Bag_On_Shoulder/Back_Light|Legs_Crossed|Located_Outdoors|Texting/Browsing_Phone</t>
  </si>
  <si>
    <t>Sitting_With_Movement*In_Position_Sitting*Meeting_Social_Gathering_In_Person*CP_Video_Unavailable/Indecipherable|Located_Indoors</t>
  </si>
  <si>
    <t>Standing_With_Movement*In_Position_Upright*Riding_Elevator_Down*Located_Outdoors</t>
  </si>
  <si>
    <t>Standing_With_Movement*In_Position_Upright*Cooking/Prepping_Food|In_Transit_Active*Located_Indoors|Texting/Browsing_Phone</t>
  </si>
  <si>
    <t>Sitting_With_Movement*In_Position_Sitting*Meeting_Formal_Gathering_In_Person*Holding_Other_Object_Light|In_Conversation|Located_Indoors|Texting/Browsing_Phone</t>
  </si>
  <si>
    <t>Standing_With_Movement*In_Position_Upright*In_Transit_Active*Carrying_Grocery_Bags_Light|Located_Indoors</t>
  </si>
  <si>
    <t>Sitting_With_Movement*In_Position_Sitting*Relaxing_Passive*Located_Indoors|On_Video_Call/FaceTime|Typing_Computer</t>
  </si>
  <si>
    <t>Standing_With_Movement*In_Position_Upright*In_Transit_Active|Packing/Unpacking_Something*Located_Indoors</t>
  </si>
  <si>
    <t>Sitting_With_Movement*In_Position_Sitting*Eating/Dining|Playing_Videogame|Using_Computer/Screen*Located_Indoors|Texting/Browsing_Phone</t>
  </si>
  <si>
    <t>Sitting_With_Movement*In_Position_Sitting*HLB_Video_Unavailable/Indecipherable*Legs_Uncrossed|Located_Indoors</t>
  </si>
  <si>
    <t>Sitting_With_Movement*In_Position_Reclining/Slouching*Using_Computer/Screen*Located_Indoors|On_Phone_Call</t>
  </si>
  <si>
    <t>Walking*In_Position_Upright*In_Transit_Active|Watching_TV/Movies*Located_Indoors|Texting/Browsing_Phone</t>
  </si>
  <si>
    <t>Sitting_With_Movement*In_Position_Reclining/Slouching*Packing/Unpacking_Something*Holding_Other_Object_Light|Located_Indoors</t>
  </si>
  <si>
    <t>Walking*In_Position_Upright*Shopping_Grocery*Carrying_Bag_On_Shoulder/Back_Light|Located_Outdoors</t>
  </si>
  <si>
    <t>Standing_With_Movement*In_Position_Upright*Administering_Care_Child/Elder/Other_Adult*Holding_Other_Object_Light|Located_Indoors</t>
  </si>
  <si>
    <t>Sitting_With_Movement*In_Position_Reclining/Slouching*In_Transit_Passive_Car*Located_Outdoors</t>
  </si>
  <si>
    <t>Walking*In_Position_Upright*Cleaning|Doing_Common_Housework_Light*Located_Indoors</t>
  </si>
  <si>
    <t>Standing_With_Movement*In_Position_Upright*Cleaning|Doing_Common_Housework_Light*Located_Indoors|Texting/Browsing_Phone</t>
  </si>
  <si>
    <t>Kneeling_With_Movement*In_Position_Kneeling*Doing_Common_Housework_Light*Holding_Other_Object_Light|Located_Indoors</t>
  </si>
  <si>
    <t>Doing_Resistance_Training_Free_Weights*In_Position_Sitting*Doing_Resistance_Training*Holding_Other_Object_Light|In_Conversation|Located_Indoors</t>
  </si>
  <si>
    <t>Walking*In_Position_Upright*Shopping_Non-Grocery*In_Conversation|Located_Indoors</t>
  </si>
  <si>
    <t>Sitting_With_Movement*In_Position_Sitting*HLB_Other|Meeting_Virtual*Located_Indoors|On_Video_Call/FaceTime</t>
  </si>
  <si>
    <t>Puttering_Around*In_Position_Upright*Cooking/Prepping_Food*Holding_Other_Object_Heavy|Holding_Other_Object_Light|In_Conversation|Located_Indoors</t>
  </si>
  <si>
    <t>Puttering_Around*In_Position_Upright*Shopping_Grocery*Holding_Other_Object_Light|In_Conversation|Located_Indoors</t>
  </si>
  <si>
    <t>Sitting_With_Movement*In_Position_Sitting*Eating/Dining|Meeting_Social_Gathering_In_Person|Using_Computer/Screen|Watching_TV/Movies*Holding_Other_Object_Light|Located_Indoors</t>
  </si>
  <si>
    <t>Standing_With_Movement*In_Position_Upright*Dressing/Undressing|Grooming/Self_Care*Holding_Other_Object_Light|Located_Indoors</t>
  </si>
  <si>
    <t>Walking_Down_Stairs*In_Position_Upright*In_Transit_Active*Holding_Other_Object_Light|Located_Outdoors</t>
  </si>
  <si>
    <t>Puttering_Around*In_Position_Upright*Cleaning|In_Transit_Active*Located_Indoors</t>
  </si>
  <si>
    <t>Walking*In_Position_Upright*In_Transit_Active|Meeting_Social_Gathering_In_Person*Carrying_Grocery_Bags_Light|Holding_Other_Object_Light|In_Conversation|Located_Outdoors</t>
  </si>
  <si>
    <t>Walking*In_Position_Upright*Shopping_Grocery*Located_Indoors|On_Phone_Call</t>
  </si>
  <si>
    <t>Standing_With_Movement*In_Position_Upright*Riding_Elevator_Up*In_Conversation|Located_Indoors</t>
  </si>
  <si>
    <t>Lying_With_Movement*Lying_On_Left_Side*Using_Computer/Screen|Watching_TV/Movies*Holding_Other_Object_Light|Located_Indoors|Texting/Browsing_Phone</t>
  </si>
  <si>
    <t>Sitting_With_Movement*In_Position_Reclining/Slouching*Eating/Dining*Legs_Crossed|Located_Indoors|Texting/Browsing_Phone</t>
  </si>
  <si>
    <t>Puttering_Around*In_Position_Upright*In_Transit_Active*Holding_Other_Object_Light|Located_Outdoors|On_Phone_Call</t>
  </si>
  <si>
    <t>Standing_With_Movement*In_Position_Upright*HIGH_LEVEL_BEHAVIOR_Unlabeled*Holding_Other_Object_Light|Located_Indoors|On_Phone_Call|Texting/Browsing_Phone</t>
  </si>
  <si>
    <t>Sitting_With_Movement*In_Position_Sitting*Meeting_Social_Gathering_In_Person|Using_Computer/Screen|Watching_TV/Movies*Holding_Other_Object_Light|In_Conversation|Legs_Crossed|Located_Indoors</t>
  </si>
  <si>
    <t>Sitting_With_Movement*In_Position_Sitting*Doing_Common_Housework_Light*Located_Indoors</t>
  </si>
  <si>
    <t>Standing_With_Movement*In_Position_Upright*Watching_TV/Movies*CP_Video_Unavailable/Indecipherable|Located_Indoors</t>
  </si>
  <si>
    <t>Sitting_With_Movement*In_Position_Sitting*Meeting_Social_Gathering_In_Person*Legs_Crossed|Located_Outdoors|Texting/Browsing_Phone</t>
  </si>
  <si>
    <t>Sitting_With_Movement*In_Position_Sitting*In_Transit_Active*Located_Indoors</t>
  </si>
  <si>
    <t>Standing_With_Movement*In_Position_Upright*Meeting_Social_Gathering_In_Person|Using_Computer/Screen*Browsing_Computer|Located_Indoors</t>
  </si>
  <si>
    <t>Standing_With_Movement*In_Position_Upright*HIGH_LEVEL_BEHAVIOR_Unlabeled*Holding_Other_Object_Heavy|Located_Indoors</t>
  </si>
  <si>
    <t>Standing_With_Movement*In_Position_Upright*Using_Computer/Screen*Browsing_Computer|Located_Indoors|Texting/Browsing_Phone</t>
  </si>
  <si>
    <t>Standing_With_Movement*In_Position_Upright*Packing/Unpacking_Something|Shopping_Grocery*Holding_Other_Object_Light|Located_Indoors</t>
  </si>
  <si>
    <t>Sitting_With_Movement*In_Position_Sitting*Eating/Dining|Watching_TV/Movies*Holding_Solid_Food|Legs_Uncrossed|Located_Indoors</t>
  </si>
  <si>
    <t>Standing_Still*In_Position_Upright*HIGH_LEVEL_BEHAVIOR_Unlabeled*Carrying_Bag_On_Shoulder/Back_Heavy|Located_Indoors|Texting/Browsing_Phone</t>
  </si>
  <si>
    <t>Puttering_Around*In_Position_Upright*Eating/Dining*Holding_Other_Object_Light|Holding_Solid_Food</t>
  </si>
  <si>
    <t>Walking*In_Position_Upright*Working_Other*Holding_Other_Object_Light|Located_Indoors</t>
  </si>
  <si>
    <t>Washing_Hands*In_Position_Upright*Meeting_Social_Gathering_In_Person*Located_Indoors</t>
  </si>
  <si>
    <t>Sitting_Still*In_Position_Sitting*In_Transit_Active*Carrying_Bag_On_Shoulder/Back_Heavy|Located_Outdoors|Texting/Browsing_Phone</t>
  </si>
  <si>
    <t>Puttering_Around*In_Position_Upright*Meeting_Social_Gathering_In_Person*Carrying_Bag_On_Shoulder/Back_Light|Holding_Drink|Located_Outdoors</t>
  </si>
  <si>
    <t>Puttering_Around*In_Position_Upright*Riding_Elevator_Down*Located_Indoors</t>
  </si>
  <si>
    <t>Puttering_Around*In_Position_Upright*In_Transit_Active|Shopping_Non-Grocery*Carrying_Bag_On_Shoulder/Back_Light|Located_Outdoors</t>
  </si>
  <si>
    <t>Sitting_With_Movement*In_Position_Sitting*Using_Computer/Screen*Browsing_Computer|Holding_Other_Object_Light|Located_Indoors|Texting/Browsing_Phone</t>
  </si>
  <si>
    <t>Sitting_With_Movement*In_Position_Sitting*Relaxing_Passive|Watching_TV/Movies*In_Conversation|Located_Indoors</t>
  </si>
  <si>
    <t>Walking*In_Position_Upright*Exercising_Gym_Other*Located_Indoors</t>
  </si>
  <si>
    <t>Sitting_With_Movement*In_Position_Sitting*Eating/Dining*Holding_Book/Reader</t>
  </si>
  <si>
    <t>Puttering_Around*In_Position_Upright*Meeting_Formal_Gathering_In_Person*Carrying_Bag_On_Shoulder/Back_Light|Holding_Other_Object_Light|Located_Indoors</t>
  </si>
  <si>
    <t>Standing_With_Movement*In_Position_Upright*Cooking/Prepping_Food|Meeting_Social_Gathering_In_Person*Holding_Other_Object_Light|Located_Outdoors</t>
  </si>
  <si>
    <t>Standing_With_Movement*In_Position_Upright*Meeting_Social_Gathering_In_Person|Working_Other*In_Conversation</t>
  </si>
  <si>
    <t>Puttering_Around*In_Position_Upright*Cooking/Prepping_Food*Holding_Other_Object_Light|Located_Indoors|On_Phone_Call</t>
  </si>
  <si>
    <t>Sitting_With_Movement*In_Position_Sitting*Eating/Dining|Using_Computer/Screen*Holding_Drink|Holding_Solid_Food|Located_Indoors</t>
  </si>
  <si>
    <t>Walking*In_Position_Upright*Cooking/Prepping_Food*Located_Indoors|On_Phone_Call</t>
  </si>
  <si>
    <t>Standing_With_Movement*In_Position_Upright*Riding_Elevator_Down*In_Conversation|Located_Indoors</t>
  </si>
  <si>
    <t>Walking*In_Position_Upright*In_Transit_Active*Located_Indoors|On_Video_Call/FaceTime</t>
  </si>
  <si>
    <t>Puttering_Around*In_Position_Upright*In_Transit_Active|Using_Computer/Screen*Located_Indoors|Texting/Browsing_Phone</t>
  </si>
  <si>
    <t>Walking*In_Position_Upright*Administering_Care_Child/Elder/Other_Adult|In_Transit_Active|Meeting_Social_Gathering_In_Person*Holding_Other_Object_Light|In_Conversation|Located_Outdoors</t>
  </si>
  <si>
    <t>Standing_With_Movement*In_Position_Upright*Meeting_Social_Gathering_In_Person|Playing_Sports/Games*Holding_Other_Object_Light|In_Conversation</t>
  </si>
  <si>
    <t>Standing_With_Movement*In_Position_Upright*Using_Computer/Screen*Located_Indoors|Typing_Computer</t>
  </si>
  <si>
    <t>Walking*In_Position_Upright*In_Transit_Active|Watching_TV/Movies*Located_Indoors</t>
  </si>
  <si>
    <t>Standing_With_Movement*In_Position_Upright*Doing_Common_Housework*In_Conversation|Located_Indoors</t>
  </si>
  <si>
    <t>Sitting_With_Movement*In_Position_Sitting*Playing_With_Pets*Located_Indoors|On_Video_Call/FaceTime</t>
  </si>
  <si>
    <t>Standing_With_Movement*In_Position_Upright*Using_Computer/Screen*Holding_Other_Object_Light|Located_Indoors|Typing_Computer</t>
  </si>
  <si>
    <t>Standing_With_Movement*In_Position_Upright*Loading/Unloading_Vehicle*Holding_Other_Object_Light|Located_Outdoors</t>
  </si>
  <si>
    <t>Sitting_With_Movement*In_Position_Sitting*HLB_Other|Using_Computer/Screen*Browsing_Computer|Holding_Other_Object_Light|Located_Indoors|Texting/Browsing_Phone</t>
  </si>
  <si>
    <t>Sitting_With_Movement*In_Position_Sitting*Meeting_Social_Gathering_In_Person|Using_Computer/Screen|Working_Other*Browsing_Computer|Located_Indoors|Typing_Computer</t>
  </si>
  <si>
    <t>Standing_With_Movement*In_Position_Upright*Meeting_Formal_Gathering_In_Person|Packing/Unpacking_Something*Carrying_Bag_On_Shoulder/Back_Light|Holding_Other_Object_Light|In_Conversation|Located_Indoors</t>
  </si>
  <si>
    <t>Sitting_With_Movement*In_Position_Sitting*Doing_Alternative_Exercise/Therapy/Stretching*Holding_Book/Reader|Located_Indoors</t>
  </si>
  <si>
    <t>Sitting_With_Movement*In_Position_Sitting*Grooming/Self_Care|Meeting_Social_Gathering_In_Person*In_Conversation|Located_Indoors</t>
  </si>
  <si>
    <t>Walking*In_Position_Upright*In_Transit_Active*CP_Video_Unavailable/Indecipherable|Located_Indoors</t>
  </si>
  <si>
    <t>Puttering_Around*In_Position_Upright*Administering_Care_Child/Elder/Other_Adult|Doing_Common_Housework_Light*Located_Indoors</t>
  </si>
  <si>
    <t>Puttering_Around*In_Position_Upright*Doing_Common_Housework_Light*Holding_Drink|Located_Indoors</t>
  </si>
  <si>
    <t>Sitting_With_Movement*In_Position_Sitting*Working_Other*Holding_Other_Object_Light|In_Conversation|Located_Indoors</t>
  </si>
  <si>
    <t>Sitting_With_Movement*In_Position_Sitting*Cleaning|Packing/Unpacking_Something*Located_Indoors</t>
  </si>
  <si>
    <t>Puttering_Around*In_Position_Upright*In_Transit_Active*Carrying_Bag_On_Shoulder/Back_Light|Carrying_Grocery_Bags_Light|Located_Outdoors</t>
  </si>
  <si>
    <t>Standing_With_Movement*In_Position_Upright*In_Transit_Active|Riding_Elevator_Up*Carrying_Grocery_Bags_Heavy|Located_Indoors</t>
  </si>
  <si>
    <t>Puttering_Around*In_Position_Upright*HIGH_LEVEL_BEHAVIOR_Unlabeled*Carrying_Grocery_Bags_Heavy|Holding_Other_Object_Light|Located_Indoors</t>
  </si>
  <si>
    <t>Sitting_With_Movement*In_Position_Sitting*Meeting_Social_Gathering_In_Person|Using_Computer/Screen*Browsing_Computer|In_Conversation|Located_Indoors|Texting/Browsing_Phone</t>
  </si>
  <si>
    <t>Folding_Clothes*Posture_Too_Complex*Doing_Laundry|Packing/Unpacking_Something*Holding_Other_Object_Light|Located_Indoors</t>
  </si>
  <si>
    <t>Walking_Up_Stairs*In_Position_Upright*HIGH_LEVEL_BEHAVIOR_Unlabeled*Carrying_Bag_On_Shoulder/Back_Light|Located_Indoors</t>
  </si>
  <si>
    <t>Walking*In_Position_Upright*HIGH_LEVEL_BEHAVIOR_Unlabeled*Holding_Other_Object_Light|In_Conversation|Located_Indoors|On_Video_Call/FaceTime</t>
  </si>
  <si>
    <t>Sitting_Still*In_Position_Sitting*HIGH_LEVEL_BEHAVIOR_Unlabeled*Carrying_Bag_On_Shoulder/Back_Heavy|Located_Indoors|On_Phone_Call</t>
  </si>
  <si>
    <t>Kneeling_With_Movement*In_Position_Kneeling*Doing_Laundry|Packing/Unpacking_Something*Holding_Other_Object_Light|Located_Indoors</t>
  </si>
  <si>
    <t>Walking_Down_Stairs*In_Position_Upright*In_Transit_Active*Holding_Other_Object_Light|Located_Indoors</t>
  </si>
  <si>
    <t>Walking*In_Position_Upright*In_Transit_Active*Carrying_Bag_On_Shoulder/Back_Heavy|Holding_Other_Object_Light|Holding_Solid_Food|Located_Outdoors</t>
  </si>
  <si>
    <t>Kneeling_With_Movement*In_Position_Kneeling*HLB_Other*Holding_Other_Object_Light|In_Conversation|Located_Indoors</t>
  </si>
  <si>
    <t>Standing_With_Movement*In_Position_Upright*In_Transit_Active|Riding_Escalator_Up*Located_Indoors</t>
  </si>
  <si>
    <t>Sitting_With_Movement*In_Position_Reclining/Slouching*HIGH_LEVEL_BEHAVIOR_Unlabeled*Located_Indoors|On_Phone_Call|Texting/Browsing_Phone</t>
  </si>
  <si>
    <t>Folding_Clothes*In_Position_Upright*Doing_Laundry|Watching_TV/Movies*Located_Indoors</t>
  </si>
  <si>
    <t>Walking_Up_Stairs*In_Position_Upright*In_Transit_Active*Carrying_Bag_On_Shoulder/Back_Light|Holding_Other_Object_Light|Located_Outdoors</t>
  </si>
  <si>
    <t>Sitting_With_Movement*In_Position_Sitting*Using_Computer/Screen|Watching_TV/Movies*Browsing_Computer|Legs_Uncrossed|Located_Indoors|Typing_Computer</t>
  </si>
  <si>
    <t>Walking*In_Position_Upright*HLB_Other*Located_Outdoors|Texting/Browsing_Phone</t>
  </si>
  <si>
    <t>Walking*In_Position_Upright*Doing_Common_Housework|In_Transit_Active*In_Conversation|Located_Indoors</t>
  </si>
  <si>
    <t>Sitting_With_Movement*In_Position_Sitting*Eating/Dining|Watching_TV/Movies*Browsing_Computer|Located_Indoors|Texting/Browsing_Phone</t>
  </si>
  <si>
    <t>Standing_With_Movement*In_Position_Upright*Doing_Common_Housework|In_Transit_Active*Located_Indoors</t>
  </si>
  <si>
    <t>Walking_Slow*In_Position_Upright*Doing_Common_Housework*Holding_Other_Object_Light|Located_Indoors</t>
  </si>
  <si>
    <t>Lying_With_Movement*Lying_On_Right_Side*Meeting_Social_Gathering_In_Person|Playing_With_Children_Moderate*Located_Indoors</t>
  </si>
  <si>
    <t>Sitting_With_Movement*In_Position_Reclining/Slouching*HIGH_LEVEL_BEHAVIOR_Unlabeled*Legs_Crossed|Located_Indoors|Texting/Browsing_Phone</t>
  </si>
  <si>
    <t>Sitting_With_Movement*In_Position_Sitting*Meeting_Social_Gathering_In_Person*Handwriting|In_Conversation|Located_Indoors</t>
  </si>
  <si>
    <t>Walking*In_Position_Upright*In_Transit_Active*Carrying_Bag_On_Shoulder/Back_Heavy|In_Conversation|Located_Outdoors|Texting/Browsing_Phone</t>
  </si>
  <si>
    <t>Sitting_With_Movement*In_Position_Sitting*Doing_Alternative_Exercise/Therapy/Stretching*In_Conversation|Located_Indoors</t>
  </si>
  <si>
    <t>Puttering_Around*In_Position_Upright*Cleaning|Cooking/Prepping_Food|Doing_Dishes|Meeting_Social_Gathering_In_Person*Located_Indoors</t>
  </si>
  <si>
    <t>Kneeling_With_Movement*In_Position_Kneeling*Packing/Unpacking_Something*Located_Indoors</t>
  </si>
  <si>
    <t>Sitting_With_Movement*In_Position_Reclining/Slouching*Meeting_Social_Gathering_In_Person|Watching_TV/Movies*Holding_Other_Object_Light|Legs_Crossed|Located_Indoors</t>
  </si>
  <si>
    <t>Sitting_With_Movement*In_Position_Sitting*Relaxing_Passive*Carrying_Bag_On_Shoulder/Back_Light|Located_Outdoors</t>
  </si>
  <si>
    <t>Standing_With_Movement*In_Position_Upright*Cooking/Prepping_Food|Watching_TV/Movies*Holding_Other_Object_Light|Located_Indoors|Texting/Browsing_Phone</t>
  </si>
  <si>
    <t>Standing_With_Movement*In_Position_Upright*Walking_Pet*Located_Indoors</t>
  </si>
  <si>
    <t>Walking*In_Position_Upright*Shopping_Grocery*Holding_Other_Object_Light|Located_Indoors|Texting/Browsing_Phone</t>
  </si>
  <si>
    <t>Walking*In_Position_Upright*HIGH_LEVEL_BEHAVIOR_Unlabeled*Holding_Drink|In_Conversation|Located_Indoors</t>
  </si>
  <si>
    <t>Standing_With_Movement*In_Position_Upright*Dressing/Undressing|Meeting_Social_Gathering_In_Person*Carrying_Bag_On_Shoulder/Back_Light|Holding_Other_Object_Light|In_Conversation|Located_Indoors</t>
  </si>
  <si>
    <t>Walking*In_Position_Upright*In_Transit_Active*Holding_Solid_Food|In_Conversation|Located_Indoors</t>
  </si>
  <si>
    <t>Walking*In_Position_Upright*In_Transit_Active*Holding_Solid_Food|Located_Outdoors</t>
  </si>
  <si>
    <t>Standing_With_Movement*In_Position_Upright*In_Transit_Active|Meeting_Social_Gathering_In_Person*Carrying_Bag_On_Shoulder/Back_Light|In_Conversation|Located_Indoors</t>
  </si>
  <si>
    <t>Sitting_With_Movement*In_Position_Reclining/Slouching*Playing_Videogame*Located_Indoors|Texting/Browsing_Phone</t>
  </si>
  <si>
    <t>Walking*In_Position_Upright*Eating/Dining|In_Transit_Active*Holding_Solid_Food|In_Conversation|Located_Outdoors</t>
  </si>
  <si>
    <t>Standing_With_Movement*In_Position_Upright*In_Transit_Active|Meeting_Social_Gathering_In_Person|Riding_Elevator_Up*In_Conversation|Located_Indoors</t>
  </si>
  <si>
    <t>Sitting_With_Movement*In_Position_Reclining/Slouching*Using_Computer/Screen*Browsing_Computer|In_Conversation|Legs_Crossed|Located_Indoors</t>
  </si>
  <si>
    <t>Standing_With_Movement*In_Position_Upright*Grooming/Self_Care|Meeting_Social_Gathering_In_Person*Holding_Other_Object_Light|In_Conversation|Located_Indoors</t>
  </si>
  <si>
    <t>Standing_Still*In_Position_Upright*Relaxing_Passive*Located_Indoors|Texting/Browsing_Phone</t>
  </si>
  <si>
    <t>Puttering_Around*In_Position_Upright*Doing_Home_Repair*Holding_Other_Object_Light|In_Conversation|Located_Indoors</t>
  </si>
  <si>
    <t>Walking_Slow*In_Position_Upright*HLB_Other*Carrying_Bag_On_Shoulder/Back_Light|In_Conversation</t>
  </si>
  <si>
    <t>Sitting_With_Movement*In_Position_Sitting*Working_Other*Legs_Crossed|Located_Indoors</t>
  </si>
  <si>
    <t>Standing_With_Movement*In_Position_Upright*Cooking/Prepping_Food*Holding_Other_Object_Heavy|Located_Indoors</t>
  </si>
  <si>
    <t>Sitting_With_Movement*In_Position_Sitting*Administering_Care_Child/Elder/Other_Adult*Holding_Other_Object_Light|In_Conversation|Located_Indoors</t>
  </si>
  <si>
    <t>Sitting_With_Movement*In_Position_Sitting*Watching_TV/Movies*Holding_Other_Object_Light|Legs_Crossed|Located_Indoors</t>
  </si>
  <si>
    <t>Standing_With_Movement*In_Position_Upright*In_Transit_Active*Carrying_Bag_On_Shoulder/Back_Light|Holding_Bag/Briefcase_Hand_Light|Located_Indoors</t>
  </si>
  <si>
    <t>Sitting_With_Movement*In_Position_Sitting*Dressing/Undressing*Carrying_Bag_On_Shoulder/Back_Light|Located_Indoors</t>
  </si>
  <si>
    <t>Walking*In_Position_Upright*HLB_Other|Meeting_Social_Gathering_In_Person*Holding_Drink|Holding_Solid_Food|Located_Indoors</t>
  </si>
  <si>
    <t>Puttering_Around*In_Position_Upright*HLB_Video_Unavailable/Indecipherable*CP_Video_Unavailable/Indecipherable|Located_Indoors</t>
  </si>
  <si>
    <t>Sitting_With_Movement*In_Position_Reclining/Slouching*Using_Computer/Screen*Browsing_Computer|Holding_Drink|Located_Indoors</t>
  </si>
  <si>
    <t>Puttering_Around*In_Position_Upright*Eating/Dining|In_Transit_Active*Holding_Other_Object_Light|Located_Indoors</t>
  </si>
  <si>
    <t>Sitting_Still*In_Position_Sitting*HIGH_LEVEL_BEHAVIOR_Unlabeled*In_Conversation|Located_Outdoors</t>
  </si>
  <si>
    <t>Walking*In_Position_Upright*In_Transit_Active|Meeting_Social_Gathering_In_Person*Located_Indoors|Texting/Browsing_Phone</t>
  </si>
  <si>
    <t>Puttering_Around*In_Position_Upright*Cooking/Prepping_Food|Eating/Dining*Holding_Solid_Food|Located_Indoors</t>
  </si>
  <si>
    <t>Standing_With_Movement*In_Position_Upright*Grooming/Self_Care*CP_Other|Located_Indoors</t>
  </si>
  <si>
    <t>Walking*In_Position_Upright*Cleaning|Meeting_Social_Gathering_In_Person*In_Conversation|Located_Outdoors</t>
  </si>
  <si>
    <t>Standing_With_Movement*In_Position_Upright*Meeting_Virtual*Located_Indoors|On_Video_Call/FaceTime</t>
  </si>
  <si>
    <t>Puttering_Around*In_Position_Upright*Dressing/Undressing|Walking_Pet*Located_Indoors</t>
  </si>
  <si>
    <t>Walking_Down_Stairs*In_Position_Upright*HIGH_LEVEL_BEHAVIOR_Unlabeled*Carrying_Bag_On_Shoulder/Back_Light|Located_Indoors</t>
  </si>
  <si>
    <t>Sitting_With_Movement*In_Position_Sitting*Working_Other*Holding_Book/Reader</t>
  </si>
  <si>
    <t>Organizing_Shelf/Cabinet*In_Position_Kneeling*Doing_Common_Housework*Located_Indoors</t>
  </si>
  <si>
    <t>Standing_With_Movement*In_Position_Upright*Riding_Elevator_Up*Carrying_Bag_On_Shoulder/Back_Light|Holding_Other_Object_Light|Located_Indoors|Texting/Browsing_Phone</t>
  </si>
  <si>
    <t>Kneeling_With_Movement*In_Position_Kneeling*Doing_Home_Repair_Light|Meeting_Social_Gathering_In_Person*Holding_Other_Object_Light|In_Conversation|Located_Indoors</t>
  </si>
  <si>
    <t>Puttering_Around*In_Position_Upright*Cleaning*Holding_Other_Object_Light|In_Conversation|Located_Indoors</t>
  </si>
  <si>
    <t>Standing_With_Movement*In_Position_Upright*Cooking/Prepping_Food*Located_Indoors|On_Phone_Call</t>
  </si>
  <si>
    <t>Walking*In_Position_Upright*In_Transit_Active|Playing_Sports/Games*In_Conversation|Located_Indoors</t>
  </si>
  <si>
    <t>Puttering_Around*In_Position_Upright*Cleaning|Doing_Common_Housework|Doing_Dishes*Holding_Other_Object_Light|Located_Indoors</t>
  </si>
  <si>
    <t>Standing_With_Movement*In_Position_Upright*In_Transit_Active*Holding_Other_Object_Light|In_Conversation|Located_Indoors</t>
  </si>
  <si>
    <t>Standing_With_Movement*In_Position_Upright*Packing/Unpacking_Something*Holding_Other_Object_Light|In_Conversation|Located_Outdoors</t>
  </si>
  <si>
    <t>Standing_With_Movement*In_Position_Upright*Meeting_Social_Gathering_In_Person*Carrying_Bag_On_Shoulder/Back_Light|Located_Indoors</t>
  </si>
  <si>
    <t>Standing_With_Movement*In_Position_Upright*Meeting_Social_Gathering_In_Person|Playing_Sports/Games*Located_Outdoors</t>
  </si>
  <si>
    <t>Puttering_Around*In_Position_Upright*Meeting_Virtual*Holding_Other_Object_Light|Located_Indoors|On_Video_Call/FaceTime</t>
  </si>
  <si>
    <t>Standing_With_Movement*In_Position_Upright*Eating/Dining|Meeting_Social_Gathering_In_Person*Holding_Solid_Food|Located_Indoors</t>
  </si>
  <si>
    <t>Puttering_Around*In_Position_Upright*In_Transit_Active|Working_Other*Located_Indoors</t>
  </si>
  <si>
    <t>Puttering_Around*In_Position_Upright*Working_Other*Handwriting|Located_Indoors</t>
  </si>
  <si>
    <t>Kneeling_With_Movement*In_Position_Kneeling*HLB_Other*Located_Indoors</t>
  </si>
  <si>
    <t>Standing_With_Movement*In_Position_Upright*HIGH_LEVEL_BEHAVIOR_Unlabeled*In_Conversation|Located_Indoors|On_Video_Call/FaceTime</t>
  </si>
  <si>
    <t>Standing_Still*In_Position_Upright*HIGH_LEVEL_BEHAVIOR_Unlabeled*Carrying_Bag_On_Shoulder/Back_Light|Located_Outdoors</t>
  </si>
  <si>
    <t>Walking*In_Position_Upright*In_Transit_Active*In_Conversation|Located_Indoors|Texting/Browsing_Phone</t>
  </si>
  <si>
    <t>Sitting_With_Movement*In_Position_Reclining/Slouching*Using_Computer/Screen*Browsing_Computer|In_Conversation|Located_Indoors|Texting/Browsing_Phone</t>
  </si>
  <si>
    <t>Puttering_Around*In_Position_Upright*Doing_Common_Housework_Light*Holding_Other_Object_Light|Located_Indoors|Texting/Browsing_Phone</t>
  </si>
  <si>
    <t>Walking_Slow*In_Position_Upright*HIGH_LEVEL_BEHAVIOR_Unlabeled*In_Conversation|Located_Indoors</t>
  </si>
  <si>
    <t>Standing_With_Movement*In_Position_Upright*Meeting_Formal_Gathering_In_Person*Carrying_Bag_On_Shoulder/Back_Light|In_Conversation|Located_Indoors</t>
  </si>
  <si>
    <t>Sitting_Still*In_Position_Sitting*HLB_Other|Using_Computer/Screen*Located_Indoors|Texting/Browsing_Phone</t>
  </si>
  <si>
    <t>Walking*In_Position_Upright*Eating/Dining*Located_Indoors</t>
  </si>
  <si>
    <t>Standing_With_Movement*In_Position_Upright*HLB_Other|Meeting_Social_Gathering_In_Person*Located_Outdoors</t>
  </si>
  <si>
    <t>Puttering_Around*In_Position_Upright*Playing_Sports/Games*In_Conversation|Located_Indoors</t>
  </si>
  <si>
    <t>Standing_With_Movement*In_Position_Upright*Using_Computer/Screen*Carrying_Bag_On_Shoulder/Back_Light|Located_Indoors</t>
  </si>
  <si>
    <t>Puttering_Around*In_Position_Upright*Doing_Dishes|In_Transit_Active*Holding_Other_Object_Light|Located_Indoors</t>
  </si>
  <si>
    <t>Walking*In_Position_Upright*Cooking/Prepping_Food|Doing_Common_Housework|In_Transit_Active*Holding_Other_Object_Light|Located_Indoors</t>
  </si>
  <si>
    <t>Sitting_Still*In_Position_Sitting*Eating/Dining*Holding_Solid_Food|Located_Indoors|Texting/Browsing_Phone</t>
  </si>
  <si>
    <t>Puttering_Around*In_Position_Upright*Administering_Care_Child/Elder/Other_Adult|Meeting_Social_Gathering_In_Person*In_Conversation|Located_Indoors</t>
  </si>
  <si>
    <t>Walking_Slow*In_Position_Upright*HIGH_LEVEL_BEHAVIOR_Unlabeled*Carrying_Bag_On_Shoulder/Back_Light|Located_Indoors</t>
  </si>
  <si>
    <t>Sitting_With_Movement*In_Position_Sitting*Grooming/Self_Care*Located_Indoors</t>
  </si>
  <si>
    <t>Puttering_Around*In_Position_Upright*HIGH_LEVEL_BEHAVIOR_Unlabeled*Holding_Other_Object_Heavy|Located_Indoors</t>
  </si>
  <si>
    <t>Puttering_Around*In_Position_Upright*Doing_Home_Repair*In_Conversation|Located_Indoors</t>
  </si>
  <si>
    <t>Sitting_With_Movement*In_Position_Sitting*In_Transit_Active*Carrying_Bag_On_Shoulder/Back_Light|Located_Indoors</t>
  </si>
  <si>
    <t>Puttering_Around*In_Position_Upright*Cleaning|Doing_Common_Housework*CONTEXTUAL_PARAMETERS_Unlabeled</t>
  </si>
  <si>
    <t>Sitting_With_Movement*In_Position_Sitting*HLB_Other*Texting/Browsing_Phone</t>
  </si>
  <si>
    <t>Puttering_Around*In_Position_Upright*Doing_Common_Housework|In_Bathroom*Located_Indoors</t>
  </si>
  <si>
    <t>Walking*In_Position_Upright*In_Transit_Active|Meeting_Virtual*Holding_Other_Object_Light|In_Conversation|Located_Outdoors|On_Video_Call/FaceTime</t>
  </si>
  <si>
    <t>Puttering_Around*In_Position_Upright*Cleaning|Doing_Common_Housework|Doing_Dishes|In_Transit_Active*Holding_Other_Object_Light|Located_Indoors</t>
  </si>
  <si>
    <t>Standing_With_Movement*In_Position_Upright*Eating/Dining*Holding_Solid_Food|In_Conversation|Located_Indoors</t>
  </si>
  <si>
    <t>Standing_With_Movement*In_Position_Upright*Eating/Dining*Carrying_Bag_On_Shoulder/Back_Light|Holding_Solid_Food|Located_Indoors</t>
  </si>
  <si>
    <t>Walking*In_Position_Upright*HIGH_LEVEL_BEHAVIOR_Unlabeled*Holding_Drink|Holding_Other_Object_Light|In_Conversation|Located_Indoors</t>
  </si>
  <si>
    <t>Walking*In_Position_Upright*In_Transit_Active*Carrying_Bag_On_Shoulder/Back_Light|Texting/Browsing_Phone</t>
  </si>
  <si>
    <t>Puttering_Around*In_Position_Upright*HIGH_LEVEL_BEHAVIOR_Unlabeled*Carrying_Grocery_Bags_Light|Located_Indoors</t>
  </si>
  <si>
    <t>Walking*In_Position_Upright*Meeting_Virtual*Located_Indoors|On_Video_Call/FaceTime|Texting/Browsing_Phone</t>
  </si>
  <si>
    <t>Standing_With_Movement*In_Position_Upright*Doing_Laundry|Packing/Unpacking_Something*Holding_Other_Object_Light|Located_Indoors</t>
  </si>
  <si>
    <t>Walking_Down_Stairs*In_Position_Upright*HIGH_LEVEL_BEHAVIOR_Unlabeled*Located_Outdoors</t>
  </si>
  <si>
    <t>Sitting_Still*In_Position_Sitting*HLB_Other*Holding_Other_Object_Light|Located_Indoors</t>
  </si>
  <si>
    <t>Puttering_Around*In_Position_Upright*HIGH_LEVEL_BEHAVIOR_Unlabeled*Holding_Solid_Food|Located_Indoors|On_Phone_Call</t>
  </si>
  <si>
    <t>Puttering_Around*In_Position_Upright*Meeting_Social_Gathering_In_Person|Shopping_Non-Grocery*Located_Indoors</t>
  </si>
  <si>
    <t>Sitting_With_Movement*In_Position_Sitting*Using_Computer/Screen*Carrying_Bag_On_Shoulder/Back_Light|Texting/Browsing_Phone|Typing_Computer</t>
  </si>
  <si>
    <t>Puttering_Around*In_Position_Upright*Relaxing_Passive*Holding_Book/Reader|Located_Indoors</t>
  </si>
  <si>
    <t>Sitting_With_Movement*In_Position_Sitting*Using_Computer/Screen*Browsing_Computer|Holding_Other_Object_Heavy|Located_Indoors</t>
  </si>
  <si>
    <t>Puttering_Around*In_Position_Upright*In_Transit_Active|Riding_Elevator_Down*Located_Indoors|Texting/Browsing_Phone</t>
  </si>
  <si>
    <t>Walking_Slow*In_Position_Upright*HIGH_LEVEL_BEHAVIOR_Unlabeled*Located_Indoors|Texting/Browsing_Phone</t>
  </si>
  <si>
    <t>Puttering_Around*In_Position_Upright*Meeting_Virtual*Located_Indoors|On_Video_Call/FaceTime</t>
  </si>
  <si>
    <t>Sitting_With_Movement*In_Position_Reclining/Slouching*Relaxing_Passive|Watching_TV/Movies*Holding_Drink|Located_Indoors</t>
  </si>
  <si>
    <t>Puttering_Around*In_Position_Upright*Cleaning|Doing_Dishes*Holding_Other_Object_Light|Located_Indoors</t>
  </si>
  <si>
    <t>Sitting_With_Movement*In_Position_Sitting*HLB_Other|Packing/Unpacking_Something*Holding_Other_Object_Light|Located_Indoors</t>
  </si>
  <si>
    <t>Sitting_With_Movement*In_Position_Sitting*HIGH_LEVEL_BEHAVIOR_Unlabeled*Holding_Drink|Located_Indoors|Texting/Browsing_Phone</t>
  </si>
  <si>
    <t>Puttering_Around*In_Position_Upright*Cleaning*Located_Outdoors</t>
  </si>
  <si>
    <t>Sitting_With_Movement*In_Position_Sitting*Eating/Dining|Playing_Videogame|Using_Computer/Screen*Holding_Solid_Food|Located_Indoors</t>
  </si>
  <si>
    <t>Sitting_With_Movement*In_Position_Sitting*Meeting_Social_Gathering_In_Person*In_Conversation|Legs_Uncrossed|Located_Outdoors</t>
  </si>
  <si>
    <t>Walking*In_Position_Upright*In_Transit_Active*Carrying_Bag_On_Shoulder/Back_Heavy|Holding_Solid_Food|Located_Indoors</t>
  </si>
  <si>
    <t>Walking*In_Position_Upright*Watching_TV/Movies*Located_Indoors</t>
  </si>
  <si>
    <t>Sitting_With_Movement*In_Position_Reclining/Slouching*Relaxing_Passive*CP_Video_Unavailable/Indecipherable</t>
  </si>
  <si>
    <t>Folding_Clothes*In_Position_Upright*Doing_Laundry|Packing/Unpacking_Something*Holding_Other_Object_Light|Located_Indoors</t>
  </si>
  <si>
    <t>Standing_With_Movement*In_Position_Upright*Eating/Dining|Using_Computer/Screen*Located_Indoors</t>
  </si>
  <si>
    <t>Walking*In_Position_Upright*HIGH_LEVEL_BEHAVIOR_Unlabeled*Holding_Solid_Food|Located_Indoors</t>
  </si>
  <si>
    <t>Sitting_With_Movement*In_Position_Sitting*Meeting_Social_Gathering_In_Person*CP_Video_Unavailable/Indecipherable|In_Conversation|Located_Indoors</t>
  </si>
  <si>
    <t>Walking*In_Position_Upright*Meeting_Social_Gathering_In_Person*Carrying_Grocery_Bags_Light|Holding_Other_Object_Light|In_Conversation|Located_Indoors</t>
  </si>
  <si>
    <t>Puttering_Around*In_Position_Upright*Cooking/Prepping_Food|Doing_Dishes*Holding_Other_Object_Light|Located_Indoors</t>
  </si>
  <si>
    <t>Sitting_With_Movement*In_Position_Sitting*HLB_Other|Playing_With_Children_Light*Located_Indoors</t>
  </si>
  <si>
    <t>Walking*In_Position_Upright*In_Transit_Active|Shopping_Grocery*Holding_Other_Object_Light|Located_Indoors</t>
  </si>
  <si>
    <t>Walking*In_Position_Upright*In_Transit_Active*Carrying_Bag_On_Shoulder/Back_Heavy|Holding_Bag/Briefcase_Hand_Light|Located_Outdoors</t>
  </si>
  <si>
    <t>Standing_With_Movement*In_Position_Upright*Dancing*Located_Indoors|Texting/Browsing_Phone</t>
  </si>
  <si>
    <t>Sitting_With_Movement*In_Position_Sitting*HLB_Other*Carrying_Bag_On_Shoulder/Back_Light|Holding_Other_Object_Light|In_Conversation</t>
  </si>
  <si>
    <t>Walking*In_Position_Upright*In_Transit_Active|Meeting_Social_Gathering_In_Person*Carrying_Bag_On_Shoulder/Back_Light|In_Conversation|Located_Indoors</t>
  </si>
  <si>
    <t>Puttering_Around*In_Position_Upright*HLB_Other|In_Transit_Active*In_Conversation|Located_Indoors</t>
  </si>
  <si>
    <t>Standing_With_Movement*In_Position_Upright*HIGH_LEVEL_BEHAVIOR_Unlabeled*Handwriting|Located_Indoors|Texting/Browsing_Phone</t>
  </si>
  <si>
    <t>Standing_With_Movement*In_Position_Upright*In_Transit_Active*Carrying_Grocery_Bags_Light|Located_Outdoors</t>
  </si>
  <si>
    <t>Sitting_With_Movement*In_Position_Sitting*Eating/Dining|Playing_Videogame|Using_Computer/Screen*Located_Indoors</t>
  </si>
  <si>
    <t>Sitting_With_Movement*In_Position_Reclining/Slouching*Meeting_Social_Gathering_In_Person*In_Conversation|Located_Outdoors|Texting/Browsing_Phone</t>
  </si>
  <si>
    <t>Sitting_Still*In_Position_Sitting*HIGH_LEVEL_BEHAVIOR_Unlabeled*Browsing_Computer|Located_Indoors|Typing_Computer</t>
  </si>
  <si>
    <t>Sitting_With_Movement*In_Position_Sitting*Using_Computer/Screen*Handwriting|Legs_Uncrossed|Located_Indoors</t>
  </si>
  <si>
    <t>Sitting_With_Movement*In_Position_Sitting*Eating/Dining|Relaxing_Passive|Using_Computer/Screen*Holding_Solid_Food|Located_Indoors|Texting/Browsing_Phone</t>
  </si>
  <si>
    <t>Watering_Plants*In_Position_Upright*Gardening*Holding_Other_Object_Light|Located_Indoors</t>
  </si>
  <si>
    <t>Sitting_With_Movement*In_Position_Sitting*In_Transit_Active*Holding_Drink|Located_Indoors</t>
  </si>
  <si>
    <t>Sitting_With_Movement*In_Position_Sitting*Meeting_Formal_Gathering_In_Person*CP_Video_Unavailable/Indecipherable|In_Conversation|Located_Indoors</t>
  </si>
  <si>
    <t>Standing_With_Movement*In_Position_Upright*HLB_Other*Carrying_Bag_On_Shoulder/Back_Light|In_Conversation</t>
  </si>
  <si>
    <t>Standing_With_Movement*In_Position_Upright*Shopping_Grocery*Carrying_Grocery_Bags_Light|Holding_Bag/Briefcase_Hand_Light</t>
  </si>
  <si>
    <t>Puttering_Around*In_Position_Upright*Doing_Resistance_Training*Holding_Other_Object_Light|Located_Indoors</t>
  </si>
  <si>
    <t>Lying_With_Movement*Lying_On_Right_Side*Meeting_Social_Gathering_In_Person|Watching_TV/Movies*In_Conversation|Located_Indoors</t>
  </si>
  <si>
    <t>Standing_With_Movement*In_Position_Upright*Meeting_Social_Gathering_In_Person|Packing/Unpacking_Something|Shopping_Non-Grocery*Carrying_Grocery_Bags_Light|Holding_Other_Object_Light|In_Conversation|Located_Indoors</t>
  </si>
  <si>
    <t>Walking*In_Position_Upright*In_Transit_Active|Meeting_Social_Gathering_In_Person*Holding_Other_Object_Light|Located_Outdoors|Texting/Browsing_Phone</t>
  </si>
  <si>
    <t>Sitting_With_Movement*In_Position_Sitting*In_Transit_Active|Meeting_Social_Gathering_In_Person*Carrying_Bag_On_Shoulder/Back_Light|Holding_Drink|In_Conversation|Legs_Uncrossed|Located_Outdoors</t>
  </si>
  <si>
    <t>Walking*In_Position_Upright*Cooking/Prepping_Food*Holding_Other_Object_Light|In_Conversation|Located_Indoors</t>
  </si>
  <si>
    <t>Sitting_With_Movement*In_Position_Sitting*HLB_Other*In_Conversation|Located_Indoors|Texting/Browsing_Phone</t>
  </si>
  <si>
    <t>Sitting_With_Movement*In_Position_Sitting*In_Transit_Passive_Car*Holding_Other_Object_Light|Texting/Browsing_Phone</t>
  </si>
  <si>
    <t>Sitting_With_Movement*In_Position_Sitting*Dressing/Undressing*Located_Outdoors</t>
  </si>
  <si>
    <t>Standing_With_Movement*In_Position_Upright*HIGH_LEVEL_BEHAVIOR_Unlabeled*Holding_Other_Object_Light|In_Conversation|Located_Outdoors|Texting/Browsing_Phone</t>
  </si>
  <si>
    <t>Puttering_Around*In_Position_Upright*Meeting_Social_Gathering_In_Person*Holding_Drink|In_Conversation|Located_Outdoors</t>
  </si>
  <si>
    <t>Sitting_With_Movement*In_Position_Reclining/Slouching*Meeting_Social_Gathering_In_Person*Holding_Other_Object_Light|In_Conversation|Located_Indoors</t>
  </si>
  <si>
    <t>Walking*In_Position_Upright*In_Transit_Active*Holding_Other_Object_Heavy|Located_Indoors</t>
  </si>
  <si>
    <t>Puttering_Around*In_Position_Upright*Meeting_Social_Gathering_In_Person*Holding_Drink|Located_Outdoors</t>
  </si>
  <si>
    <t>Walking_Slow*In_Position_Upright*HIGH_LEVEL_BEHAVIOR_Unlabeled*Located_Indoors|On_Video_Call/FaceTime</t>
  </si>
  <si>
    <t>Standing_With_Movement*In_Position_Upright*In_Transit_Active*Handwriting|Located_Indoors</t>
  </si>
  <si>
    <t>Puttering_Around*In_Position_Upright*Doing_Dishes|In_Transit_Active*Located_Indoors</t>
  </si>
  <si>
    <t>Puttering_Around*In_Position_Upright*In_Transit_Active*Holding_Solid_Food|Located_Indoors</t>
  </si>
  <si>
    <t>Standing_With_Movement*In_Position_Upright*In_Transit_Active|Meeting_Social_Gathering_In_Person*Located_Indoors|Texting/Browsing_Phone</t>
  </si>
  <si>
    <t>Walking*In_Position_Upright*Doing_Common_Housework*Holding_Other_Object_Light|Located_Outdoors</t>
  </si>
  <si>
    <t>Standing_With_Movement*In_Position_Upright*Eating/Dining|Playing_Videogame*Holding_Other_Object_Light|Located_Indoors</t>
  </si>
  <si>
    <t>Folding_Clothes*In_Position_Upright*Doing_Common_Housework|Doing_Laundry*Holding_Other_Object_Light|Located_Indoors|Texting/Browsing_Phone</t>
  </si>
  <si>
    <t>Walking*In_Position_Upright*In_Transit_Active|Meeting_Social_Gathering_In_Person*Holding_Other_Object_Light|In_Conversation|Located_Outdoors|On_Video_Call/FaceTime</t>
  </si>
  <si>
    <t>Walking*In_Position_Upright*In_Bathroom*Located_Indoors</t>
  </si>
  <si>
    <t>Sitting_Still*In_Position_Sitting*Meeting_Social_Gathering_In_Person*Holding_Other_Object_Light|In_Conversation|Located_Indoors</t>
  </si>
  <si>
    <t>Standing_With_Movement*In_Position_Upright*Eating/Dining*Holding_Drink|Located_Indoors|Texting/Browsing_Phone</t>
  </si>
  <si>
    <t>Standing_With_Movement*In_Position_Upright*Watching_TV/Movies*Holding_Drink|Located_Indoors</t>
  </si>
  <si>
    <t>Standing_With_Movement*In_Position_Upright*Doing_Common_Housework|Loading/Unloading_Vehicle*In_Conversation|Located_Indoors</t>
  </si>
  <si>
    <t>Puttering_Around*In_Position_Upright*In_Transit_Active*Carrying_Bag_On_Shoulder/Back_Light|Located_Outdoors|Texting/Browsing_Phone</t>
  </si>
  <si>
    <t>Puttering_Around*In_Position_Upright*Grooming/Self_Care|Watching_TV/Movies*Located_Indoors|Texting/Browsing_Phone</t>
  </si>
  <si>
    <t>Walking*In_Position_Upright*HIGH_LEVEL_BEHAVIOR_Unlabeled*CONTEXTUAL_PARAMETERS_Unlabeled</t>
  </si>
  <si>
    <t>Puttering_Around*In_Position_Upright*Dressing/Undressing*Holding_Drink|Located_Indoors</t>
  </si>
  <si>
    <t>Sitting_With_Movement*In_Position_Sitting*In_Transit_Active*Holding_Other_Object_Light|Located_Indoors|Texting/Browsing_Phone</t>
  </si>
  <si>
    <t>Puttering_Around*In_Position_Upright*Doing_Common_Housework_Light|In_Transit_Active*Located_Indoors</t>
  </si>
  <si>
    <t>Walking_Slow*In_Position_Upright*Cooking/Prepping_Food|Meeting_Social_Gathering_In_Person*Holding_Other_Object_Light|Located_Outdoors</t>
  </si>
  <si>
    <t>Sitting_With_Movement*In_Position_Sitting*HLB_Other|Meeting_Social_Gathering_In_Person*Holding_Other_Object_Light|In_Conversation|Located_Indoors</t>
  </si>
  <si>
    <t>Sitting_With_Movement*In_Position_Reclining/Slouching*Relaxing_Passive|Watching_TV/Movies*In_Conversation|Located_Indoors|Texting/Browsing_Phone</t>
  </si>
  <si>
    <t>Walking*In_Position_Upright*In_Transit_Active*Carrying_Bag_On_Shoulder/Back_Light|Holding_Book/Reader</t>
  </si>
  <si>
    <t>Walking*In_Position_Upright*Eating/Dining|In_Transit_Active*Carrying_Bag_On_Shoulder/Back_Light|Holding_Other_Object_Light|Located_Outdoors</t>
  </si>
  <si>
    <t>Puttering_Around*In_Position_Upright*Cooking/Prepping_Food|Eating/Dining|Packing/Unpacking_Something*Holding_Other_Object_Light|Located_Indoors</t>
  </si>
  <si>
    <t>Sitting_With_Movement*In_Position_Sitting*HIGH_LEVEL_BEHAVIOR_Unlabeled*CP_Video_Unavailable/Indecipherable</t>
  </si>
  <si>
    <t>Sitting_With_Movement*In_Position_Sitting*Eating/Dining*In_Conversation|Legs_Crossed|Located_Indoors</t>
  </si>
  <si>
    <t>Sitting_With_Movement*In_Position_Reclining/Slouching*HIGH_LEVEL_BEHAVIOR_Unlabeled*Holding_Book/Reader|Located_Indoors|Texting/Browsing_Phone</t>
  </si>
  <si>
    <t>Sitting_With_Movement*In_Position_Sitting*Eating/Dining|Relaxing_Passive|Watching_TV/Movies*Legs_Crossed|Located_Indoors</t>
  </si>
  <si>
    <t>Puttering_Around*In_Position_Upright*In_Transit_Active*Holding_Other_Object_Light|Located_Outdoors</t>
  </si>
  <si>
    <t>Sitting_With_Movement*In_Position_Sitting*HLB_Other*Handwriting|Located_Indoors|Texting/Browsing_Phone</t>
  </si>
  <si>
    <t>Sitting_With_Movement*In_Position_Sitting*Playing_With_Pets|Using_Computer/Screen*Located_Indoors|Texting/Browsing_Phone</t>
  </si>
  <si>
    <t>Standing_With_Movement*In_Position_Upright*Playing_With_Children_Light*In_Conversation|Located_Indoors</t>
  </si>
  <si>
    <t>Standing_With_Movement*In_Position_Upright*Meeting_Social_Gathering_In_Person|Packing/Unpacking_Something*Holding_Other_Object_Light|Holding_Solid_Food|Located_Indoors</t>
  </si>
  <si>
    <t>Sitting_With_Movement*In_Position_Sitting*Eating/Dining|Watching_TV/Movies*Holding_Drink|In_Conversation|Located_Indoors</t>
  </si>
  <si>
    <t>Standing_With_Movement*In_Position_Upright*HLB_Video_Unavailable/Indecipherable|Packing/Unpacking_Something*Located_Indoors</t>
  </si>
  <si>
    <t>Puttering_Around*In_Position_Upright*Doing_Common_Housework_Light*Located_Indoors|Texting/Browsing_Phone</t>
  </si>
  <si>
    <t>Standing_With_Movement*In_Position_Upright*Cleaning|Doing_Dishes*In_Conversation|Located_Indoors</t>
  </si>
  <si>
    <t>Sitting_Still*In_Position_Reclining/Slouching*Watching_TV/Movies*Located_Indoors</t>
  </si>
  <si>
    <t>Sitting_Still*In_Position_Sitting*HLB_Other*Legs_Crossed|Located_Indoors|Texting/Browsing_Phone</t>
  </si>
  <si>
    <t>Sitting_With_Movement*In_Position_Sitting*Meeting_Social_Gathering_In_Person*Holding_Other_Object_Light|In_Conversation|Located_Outdoors|Texting/Browsing_Phone</t>
  </si>
  <si>
    <t>Puttering_Around*In_Position_Upright*Grooming/Self_Care|In_Bathroom*In_Conversation|Located_Indoors</t>
  </si>
  <si>
    <t>Sitting_With_Movement*In_Position_Sitting*Eating/Dining*Holding_Solid_Food|In_Conversation|Located_Outdoors|Texting/Browsing_Phone</t>
  </si>
  <si>
    <t>Puttering_Around*In_Position_Upright*In_Transit_Active|Playing_Sports/Games*In_Conversation|Located_Indoors</t>
  </si>
  <si>
    <t>Walking*In_Position_Upright*In_Transit_Active*Located_Outdoors|On_Video_Call/FaceTime</t>
  </si>
  <si>
    <t>Standing_With_Movement*In_Position_Upright*Cleaning|In_Transit_Active|Meeting_Social_Gathering_In_Person*In_Conversation|Located_Indoors</t>
  </si>
  <si>
    <t>Sitting_With_Movement*In_Position_Sitting*Eating/Dining*Holding_Other_Object_Light|Legs_Uncrossed|Located_Indoors</t>
  </si>
  <si>
    <t>Standing_With_Movement*In_Position_Upright*Flagged_Special_Circumstances*In_Conversation|Located_Indoors</t>
  </si>
  <si>
    <t>Sitting_With_Movement*In_Position_Sitting*Meeting_Social_Gathering_In_Person|Relaxing_Passive*Holding_Book/Reader|Holding_Drink|Located_Indoors</t>
  </si>
  <si>
    <t>Puttering_Around*In_Position_Upright*Using_Computer/Screen*Located_Indoors</t>
  </si>
  <si>
    <t>Sitting_Still*In_Position_Sitting*In_Transit_Passive_Car|Meeting_Social_Gathering_In_Person*Located_Outdoors</t>
  </si>
  <si>
    <t>Sitting_With_Movement*In_Position_Reclining/Slouching*Relaxing_Passive*CP_Video_Unavailable/Indecipherable|Located_Indoors</t>
  </si>
  <si>
    <t>Standing_With_Movement*In_Position_Upright*Doing_Common_Housework_Light*Holding_Other_Object_Light|Located_Indoors|Texting/Browsing_Phone</t>
  </si>
  <si>
    <t>Kneeling_With_Movement*In_Position_Kneeling*Meeting_Social_Gathering_In_Person*Located_Outdoors</t>
  </si>
  <si>
    <t>Sitting_With_Movement*In_Position_Sitting*HLB_Other|Using_Computer/Screen|Watching_TV/Movies*Holding_Other_Object_Light|Located_Indoors</t>
  </si>
  <si>
    <t>Sitting_With_Movement*In_Position_Sitting*Meeting_Social_Gathering_In_Person|Relaxing_Passive*In_Conversation|Located_Outdoors</t>
  </si>
  <si>
    <t>Putting_Clothes_Away*In_Position_Kneeling*Doing_Laundry*Holding_Other_Object_Light|Located_Indoors</t>
  </si>
  <si>
    <t>Walking*In_Position_Upright*Cooking/Prepping_Food|In_Transit_Active*Located_Indoors</t>
  </si>
  <si>
    <t>Walking*In_Position_Upright*In_Transit_Active*Holding_Other_Object_Light</t>
  </si>
  <si>
    <t>Puttering_Around*In_Position_Upright*Cooking/Prepping_Food|Eating/Dining*Holding_Other_Object_Light|Holding_Solid_Food|Located_Indoors</t>
  </si>
  <si>
    <t>Standing_With_Movement*In_Position_Upright*Playing_Sports/Games|Watching_TV/Movies*Holding_Other_Object_Light|Located_Outdoors</t>
  </si>
  <si>
    <t>Walking_Slow*In_Position_Upright*In_Transit_Active*Carrying_Bag_On_Shoulder/Back_Heavy|Located_Outdoors|Texting/Browsing_Phone</t>
  </si>
  <si>
    <t>Sitting_With_Movement*In_Position_Sitting*Playing_Videogame|Using_Computer/Screen|Watching_TV/Movies*Browsing_Computer|Holding_Other_Object_Light|Located_Indoors</t>
  </si>
  <si>
    <t>Standing_With_Movement*In_Position_Upright*In_Transit_Active|Riding_Elevator_Down*Holding_Other_Object_Light|Located_Indoors|Texting/Browsing_Phone</t>
  </si>
  <si>
    <t>Doing_Resistance_Training_Free_Weights*In_Position_Sitting*Doing_Resistance_Training*Holding_Other_Object_Heavy|Located_Indoors</t>
  </si>
  <si>
    <t>Walking*In_Position_Upright*HIGH_LEVEL_BEHAVIOR_Unlabeled*Holding_Other_Object_Heavy|Located_Indoors</t>
  </si>
  <si>
    <t>Puttering_Around*In_Position_Upright*Doing_Common_Housework*Holding_Drink|Located_Indoors</t>
  </si>
  <si>
    <t>Puttering_Around*In_Position_Upright*HLB_Video_Unavailable/Indecipherable*Holding_Other_Object_Light|Located_Indoors</t>
  </si>
  <si>
    <t>Standing_With_Movement*In_Position_Upright*Playing_With_Children_Light*Located_Indoors</t>
  </si>
  <si>
    <t>Sitting_With_Movement*In_Position_Reclining/Slouching*Meeting_Social_Gathering_In_Person|Watching_Lecture*Located_Indoors</t>
  </si>
  <si>
    <t>Sitting_With_Movement*In_Position_Sitting*In_Transit_Active|Meeting_Social_Gathering_In_Person*In_Conversation|Located_Indoors|Texting/Browsing_Phone</t>
  </si>
  <si>
    <t>Sitting_With_Movement*In_Position_Sitting*Eating/Dining|Using_Computer/Screen*Holding_Other_Object_Light|Located_Indoors|Texting/Browsing_Phone</t>
  </si>
  <si>
    <t>Sitting_With_Movement*In_Position_Sitting*Watching_TV/Movies*CP_Video_Unavailable/Indecipherable|Located_Indoors</t>
  </si>
  <si>
    <t>Sitting_With_Movement*In_Position_Reclining/Slouching*Eating/Dining|Using_Computer/Screen*Browsing_Computer|Legs_Crossed|Located_Indoors</t>
  </si>
  <si>
    <t>Sitting_With_Movement*In_Position_Sitting*In_Transit_Active|Meeting_Social_Gathering_In_Person*In_Conversation|Legs_Crossed|Located_Indoors</t>
  </si>
  <si>
    <t>Puttering_Around*In_Position_Upright*In_Transit_Active|Packing/Unpacking_Something*Carrying_Bag_On_Shoulder/Back_Light|Located_Indoors</t>
  </si>
  <si>
    <t>Puttering_Around*In_Position_Upright*Shopping_Grocery*Located_Indoors|Texting/Browsing_Phone</t>
  </si>
  <si>
    <t>Sitting_With_Movement*In_Position_Sitting*Using_Computer/Screen|Watching_TV/Movies*Holding_Drink|Located_Indoors</t>
  </si>
  <si>
    <t>Standing_With_Movement*In_Position_Upright*Shopping_Non-Grocery*Holding_Other_Object_Light|Located_Indoors|Texting/Browsing_Phone</t>
  </si>
  <si>
    <t>Puttering_Around*In_Position_Upright*Shopping_Grocery*Holding_Solid_Food|Located_Indoors</t>
  </si>
  <si>
    <t>Standing_With_Movement*In_Position_Upright*Grooming/Self_Care|HLB_Other|Meeting_Virtual*Located_Indoors|On_Video_Call/FaceTime</t>
  </si>
  <si>
    <t>Sitting_With_Movement*In_Position_Sitting*Dressing/Undressing|Eating/Dining*Holding_Drink|Holding_Other_Object_Light|Located_Indoors</t>
  </si>
  <si>
    <t>Walking_Down_Stairs*In_Position_Upright*In_Transit_Active|Meeting_Social_Gathering_In_Person*Located_Indoors</t>
  </si>
  <si>
    <t>Sitting_With_Movement*In_Position_Sitting*In_Transit_Active*Holding_Other_Object_Light|Located_Indoors</t>
  </si>
  <si>
    <t>Puttering_Around*In_Position_Upright*Shopping_Non-Grocery*In_Conversation|Located_Indoors|Texting/Browsing_Phone</t>
  </si>
  <si>
    <t>Sitting_With_Movement*In_Position_Sitting*Eating/Dining|Meeting_Social_Gathering_In_Person*Holding_Other_Object_Light|In_Conversation|Legs_Crossed|Located_Outdoors</t>
  </si>
  <si>
    <t>Puttering_Around*In_Position_Upright*Cleaning|Doing_Common_Housework|Doing_Dishes*In_Conversation|Located_Indoors</t>
  </si>
  <si>
    <t>Puttering_Around*In_Position_Upright*Cooking/Prepping_Food|Meeting_Social_Gathering_In_Person*Located_Indoors|Texting/Browsing_Phone</t>
  </si>
  <si>
    <t>Standing_With_Movement*In_Position_Upright*Dressing/Undressing|Meeting_Social_Gathering_In_Person*Carrying_Bag_On_Shoulder/Back_Light|In_Conversation|Located_Indoors</t>
  </si>
  <si>
    <t>Standing_With_Movement*In_Position_Upright*Exercising_Gym_Other*Holding_Other_Object_Light|In_Conversation|Located_Indoors</t>
  </si>
  <si>
    <t>Standing_With_Movement*In_Position_Upright*Cooking/Prepping_Food|Watching_TV/Movies*Located_Indoors</t>
  </si>
  <si>
    <t>Sitting_With_Movement*In_Position_Sitting*Dressing/Undressing|Meeting_Social_Gathering_In_Person*In_Conversation|Located_Indoors</t>
  </si>
  <si>
    <t>Standing_With_Movement*In_Position_Upright*HIGH_LEVEL_BEHAVIOR_Unlabeled*Carrying_Bag_On_Shoulder/Back_Light|Holding_Bag/Briefcase_Hand_Light|Holding_Other_Object_Light|Located_Indoors</t>
  </si>
  <si>
    <t>Standing_With_Movement*In_Position_Upright*HIGH_LEVEL_BEHAVIOR_Unlabeled*Texting/Browsing_Phone</t>
  </si>
  <si>
    <t>Standing_With_Movement*In_Position_Upright*HLB_Other|Skateboarding/Scootering_Manual*Located_Outdoors</t>
  </si>
  <si>
    <t>Walking*In_Position_Upright*Doing_Common_Housework|Meeting_Social_Gathering_In_Person*Located_Indoors</t>
  </si>
  <si>
    <t>Brushing_Teeth*In_Position_Upright*Grooming/Self_Care|Watching_TV/Movies*Holding_Other_Object_Light|Located_Indoors</t>
  </si>
  <si>
    <t>Puttering_Around*In_Position_Upright*Cleaning|Packing/Unpacking_Something*Located_Indoors</t>
  </si>
  <si>
    <t>Walking*In_Position_Upright*In_Transit_Active|Meeting_Social_Gathering_In_Person*Holding_Drink|Holding_Other_Object_Light|In_Conversation|Located_Outdoors</t>
  </si>
  <si>
    <t>Puttering_Around*In_Position_Upright*Cleaning|In_Bathroom*Located_Indoors</t>
  </si>
  <si>
    <t>Standing_With_Movement*In_Position_Upright*Doing_Dishes*CONTEXTUAL_PARAMETERS_Unlabeled</t>
  </si>
  <si>
    <t>Puttering_Around*In_Position_Upright*Administering_Care_Child/Elder/Other_Adult*Holding_Other_Object_Light|Located_Outdoors</t>
  </si>
  <si>
    <t>Puttering_Around*In_Position_Upright*HIGH_LEVEL_BEHAVIOR_Unlabeled*Carrying_Bag_On_Shoulder/Back_Light|Holding_Other_Object_Light|Located_Indoors</t>
  </si>
  <si>
    <t>Standing_With_Movement*In_Position_Upright*In_Transit_Passive_Train/Bus/Plane*Holding_Bag/Briefcase_Hand_Light|Located_Outdoors</t>
  </si>
  <si>
    <t>Standing_With_Movement*In_Position_Upright*Meeting_Social_Gathering_In_Person|Working_Other*Holding_Other_Object_Light|In_Conversation|Located_Indoors</t>
  </si>
  <si>
    <t>Sitting_With_Movement*In_Position_Sitting*Meeting_Social_Gathering_In_Person|Watching_TV/Movies*Holding_Other_Object_Light|Legs_Crossed|Located_Indoors</t>
  </si>
  <si>
    <t>Standing_With_Movement*In_Position_Upright*In_Transit_Active|Riding_Escalator_Up*Carrying_Bag_On_Shoulder/Back_Light|Located_Outdoors</t>
  </si>
  <si>
    <t>Standing_With_Movement*In_Position_Upright*Playing_With_Pets*Located_Indoors</t>
  </si>
  <si>
    <t>Sitting_With_Movement*In_Position_Sitting*Meeting_Formal_Gathering_In_Person*Holding_Other_Object_Light|In_Conversation</t>
  </si>
  <si>
    <t>Standing_With_Movement*In_Position_Upright*Doing_Common_Housework_Light|Grooming/Self_Care*Holding_Other_Object_Light|Located_Indoors</t>
  </si>
  <si>
    <t>Puttering_Around*In_Position_Upright*Meeting_Formal_Gathering_In_Person*Located_Indoors</t>
  </si>
  <si>
    <t>Standing_With_Movement*In_Position_Upright*Working_Other*Holding_Book/Reader|Located_Indoors</t>
  </si>
  <si>
    <t>Sitting_With_Movement*In_Position_Sitting*Eating/Dining|Meeting_Virtual|Using_Computer/Screen*Located_Indoors</t>
  </si>
  <si>
    <t>Standing_With_Movement*In_Position_Upright*Meeting_Social_Gathering_In_Person|Riding_Elevator_Up*Holding_Other_Object_Light|In_Conversation|Located_Indoors</t>
  </si>
  <si>
    <t>Sitting_With_Movement*In_Position_Sitting*Eating/Dining|Meeting_Social_Gathering_In_Person|Watching_TV/Movies*Holding_Drink|Holding_Solid_Food|Located_Indoors</t>
  </si>
  <si>
    <t>Standing_With_Movement*In_Position_Upright*Meeting_Virtual*Holding_Other_Object_Light|In_Conversation|Located_Indoors|On_Video_Call/FaceTime</t>
  </si>
  <si>
    <t>Standing_With_Movement*In_Position_Upright*Cleaning|In_Bathroom*Holding_Other_Object_Light|Located_Indoors</t>
  </si>
  <si>
    <t>Sitting_With_Movement*In_Position_Sitting*HLB_Other|Relaxing_Passive*Handwriting|Holding_Book/Reader|Holding_Other_Object_Light|Located_Indoors</t>
  </si>
  <si>
    <t>Sitting_With_Movement*In_Position_Sitting*Watching_TV/Movies*CONTEXTUAL_PARAMETERS_Unlabeled</t>
  </si>
  <si>
    <t>Walking*In_Position_Upright*HIGH_LEVEL_BEHAVIOR_Unlabeled*Carrying_Bag_On_Shoulder/Back_Light|Holding_Other_Object_Light|Located_Indoors|Texting/Browsing_Phone</t>
  </si>
  <si>
    <t>Puttering_Around*In_Position_Upright*Eating/Dining|Meeting_Social_Gathering_In_Person*Carrying_Grocery_Bags_Light|Holding_Bag/Briefcase_Hand_Light|Holding_Other_Object_Light|In_Conversation|Located_Indoors</t>
  </si>
  <si>
    <t>Sitting_With_Movement*In_Position_Sitting*Eating/Dining|Relaxing_Passive*Holding_Solid_Food|Located_Indoors</t>
  </si>
  <si>
    <t>Standing_With_Movement*In_Position_Upright*Cooking/Prepping_Food|Packing/Unpacking_Something*Holding_Other_Object_Light|Located_Indoors</t>
  </si>
  <si>
    <t>Standing_With_Movement*In_Position_Upright*Eating/Dining|Meeting_Social_Gathering_In_Person*Holding_Drink|In_Conversation|Located_Indoors</t>
  </si>
  <si>
    <t>Sitting_With_Movement*In_Position_Sitting*HLB_Other*Holding_Drink|Located_Indoors</t>
  </si>
  <si>
    <t>Standing_With_Movement*In_Position_Upright*Dressing/Undressing|Meeting_Social_Gathering_In_Person*Located_Indoors</t>
  </si>
  <si>
    <t>Standing_With_Movement*In_Position_Upright*In_Transit_Active*Carrying_Bag_On_Shoulder/Back_Light|Carrying_Grocery_Bags_Light|Located_Outdoors</t>
  </si>
  <si>
    <t>Standing_With_Movement*In_Position_Upright*Shopping_Non-Grocery*Located_Indoors|Texting/Browsing_Phone</t>
  </si>
  <si>
    <t>Puttering_Around*In_Position_Upright*Cooking/Prepping_Food|Using_Computer/Screen*Located_Indoors</t>
  </si>
  <si>
    <t>Standing_With_Movement*In_Position_Upright*Eating/Dining*In_Conversation|Located_Outdoors</t>
  </si>
  <si>
    <t>Standing_With_Movement*In_Position_Upright*Grooming/Self_Care|In_Bathroom*Located_Indoors|On_Phone_Call</t>
  </si>
  <si>
    <t>Sitting_Still*In_Position_Sitting*In_Transit_Active*Carrying_Bag_On_Shoulder/Back_Light|Located_Indoors|Texting/Browsing_Phone</t>
  </si>
  <si>
    <t>Washing_Face*In_Position_Upright*Grooming/Self_Care|In_Bathroom*Located_Indoors</t>
  </si>
  <si>
    <t>Sitting_With_Movement*In_Position_Sitting*In_Transit_Active*Carrying_Bag_On_Shoulder/Back_Heavy|Holding_Other_Object_Light|Located_Outdoors|Texting/Browsing_Phone</t>
  </si>
  <si>
    <t>Standing_With_Movement*In_Position_Upright*In_Transit_Passive_Train/Bus/Plane|Meeting_Social_Gathering_In_Person*Carrying_Bag_On_Shoulder/Back_Light</t>
  </si>
  <si>
    <t>Puttering_Around*In_Position_Upright*Eating/Dining|Watching_TV/Movies*Located_Indoors|On_Phone_Call</t>
  </si>
  <si>
    <t>Sitting_With_Movement*In_Position_Sitting*Meeting_Social_Gathering_In_Person|Using_Computer/Screen*CP_Video_Unavailable/Indecipherable|Located_Indoors</t>
  </si>
  <si>
    <t>Puttering_Around*In_Position_Upright*Shopping_Non-Grocery*Holding_Other_Object_Light|In_Conversation|Located_Indoors</t>
  </si>
  <si>
    <t>Puttering_Around*In_Position_Upright*Doing_Common_Housework|In_Transit_Active|Packing/Unpacking_Something*CP_Other|Holding_Other_Object_Light|Located_Indoors</t>
  </si>
  <si>
    <t>Standing_With_Movement*In_Position_Upright*Shopping_Grocery*Located_Indoors|On_Video_Call/FaceTime</t>
  </si>
  <si>
    <t>Sitting_With_Movement*In_Position_Reclining/Slouching*Relaxing_Passive*Holding_Other_Object_Light|Located_Indoors</t>
  </si>
  <si>
    <t>Walking*In_Position_Upright*Shopping_Non-Grocery*Holding_Other_Object_Light|In_Conversation|Located_Indoors</t>
  </si>
  <si>
    <t>Sitting_With_Movement*In_Position_Sitting*Meeting_Social_Gathering_In_Person*CP_Other|In_Conversation|Legs_Crossed|Located_Indoors</t>
  </si>
  <si>
    <t>Standing_With_Movement*In_Position_Upright*Eating/Dining*Holding_Drink|Holding_Other_Object_Light|Located_Indoors</t>
  </si>
  <si>
    <t>Lying_With_Movement*Lying_On_Left_Side*Meeting_Social_Gathering_In_Person*In_Conversation|Located_Indoors|Texting/Browsing_Phone</t>
  </si>
  <si>
    <t>Standing_With_Movement*In_Position_Upright*Skateboarding/Scootering_Manual*Located_Outdoors</t>
  </si>
  <si>
    <t>Standing_With_Movement*In_Position_Upright*Meeting_Social_Gathering_In_Person*Carrying_Bag_On_Shoulder/Back_Light|Holding_Bag/Briefcase_Hand_Light|In_Conversation|Located_Outdoors</t>
  </si>
  <si>
    <t>Lying_With_Movement*Lying_On_Back*Eating/Dining|Relaxing_Passive*Holding_Solid_Food|Located_Indoors|Texting/Browsing_Phone</t>
  </si>
  <si>
    <t>Organizing_Shelf/Cabinet*In_Position_Upright*Meeting_Social_Gathering_In_Person*Located_Indoors</t>
  </si>
  <si>
    <t>Standing_With_Movement*In_Position_Upright*In_Transit_Active*Carrying_Bag_On_Shoulder/Back_Light|In_Conversation|Located_Indoors</t>
  </si>
  <si>
    <t>Standing_With_Movement*In_Position_Upright*In_Bathroom*Carrying_Bag_On_Shoulder/Back_Light|Located_Indoors</t>
  </si>
  <si>
    <t>Puttering_Around*In_Position_Upright*Cooking/Prepping_Food|Watching_TV/Movies*Located_Indoors|Texting/Browsing_Phone</t>
  </si>
  <si>
    <t>Standing_With_Movement*In_Position_Upright*Dressing/Undressing*Holding_Other_Object_Light</t>
  </si>
  <si>
    <t>Sitting_With_Movement*In_Position_Sitting*Eating/Dining|Watching_TV/Movies*Holding_Solid_Food|Located_Indoors|Texting/Browsing_Phone</t>
  </si>
  <si>
    <t>Sitting_Still*In_Position_Sitting*Relaxing_Passive*Holding_Book/Reader|Legs_Crossed|Located_Indoors</t>
  </si>
  <si>
    <t>Sitting_With_Movement*In_Position_Sitting*Relaxing_Passive|Watching_TV/Movies*Holding_Book/Reader|Located_Indoors</t>
  </si>
  <si>
    <t>Standing_With_Movement*In_Position_Upright*In_Transit_Passive_Train/Bus/Plane*Carrying_Bag_On_Shoulder/Back_Light|Carrying_Grocery_Bags_Light|Located_Outdoors</t>
  </si>
  <si>
    <t>Walking*In_Position_Upright*In_Transit_Active*Holding_Drink|Holding_Solid_Food|Located_Indoors</t>
  </si>
  <si>
    <t>Sitting_With_Movement*Posture_Other*HIGH_LEVEL_BEHAVIOR_Unlabeled*Located_Indoors|Texting/Browsing_Phone</t>
  </si>
  <si>
    <t>Standing_With_Movement*In_Position_Upright*Riding_Elevator_Up*Carrying_Bag_On_Shoulder/Back_Light|Located_Indoors|Texting/Browsing_Phone</t>
  </si>
  <si>
    <t>Standing_With_Movement*In_Position_Upright*In_Transit_Active*Holding_Other_Object_Light|Located_Outdoors|On_Video_Call/FaceTime</t>
  </si>
  <si>
    <t>Puttering_Around*In_Position_Upright*Eating/Dining*Holding_Other_Object_Light|Located_Indoors|Texting/Browsing_Phone</t>
  </si>
  <si>
    <t>Standing_Still*In_Position_Upright*In_Transit_Active*Located_Indoors|Texting/Browsing_Phone</t>
  </si>
  <si>
    <t>Organizing_Shelf/Cabinet*In_Position_Upright*Doing_Dishes*Located_Indoors</t>
  </si>
  <si>
    <t>Puttering_Around*In_Position_Upright*HIGH_LEVEL_BEHAVIOR_Unlabeled*In_Conversation|Located_Indoors|Texting/Browsing_Phone</t>
  </si>
  <si>
    <t>Lying_With_Movement*Lying_On_Right_Side*Using_Computer/Screen|Watching_TV/Movies*Located_Indoors|Texting/Browsing_Phone</t>
  </si>
  <si>
    <t>Puttering_Around*In_Position_Upright*In_Transit_Active|Meeting_Social_Gathering_In_Person*Holding_Other_Object_Light|In_Conversation|Located_Indoors</t>
  </si>
  <si>
    <t>Puttering_Around*In_Position_Upright*HLB_Video_Unavailable/Indecipherable*Holding_Other_Object_Light</t>
  </si>
  <si>
    <t>Walking*In_Position_Upright*In_Transit_Active*In_Conversation|Located_Indoors|On_Video_Call/FaceTime</t>
  </si>
  <si>
    <t>Sitting_With_Movement*In_Position_Sitting*Using_Computer/Screen|Watching_TV/Movies*Browsing_Computer|Holding_Solid_Food|Located_Indoors</t>
  </si>
  <si>
    <t>Lying_With_Movement*Lying_On_Back*Meeting_Social_Gathering_In_Person|Using_Computer/Screen|Watching_TV/Movies*Holding_Other_Object_Light|Located_Indoors|Texting/Browsing_Phone</t>
  </si>
  <si>
    <t>Kneeling_With_Movement*In_Position_Kneeling*HIGH_LEVEL_BEHAVIOR_Unlabeled*In_Conversation|Located_Indoors</t>
  </si>
  <si>
    <t>Walking*In_Position_Upright*Doing_Common_Housework|Meeting_Social_Gathering_In_Person*In_Conversation|Located_Indoors</t>
  </si>
  <si>
    <t>Sitting_With_Movement*In_Position_Sitting*Dressing/Undressing*Holding_Other_Object_Light|In_Conversation|Located_Outdoors</t>
  </si>
  <si>
    <t>Lying_With_Movement*Lying_On_Right_Side*Sleeping*Located_Indoors</t>
  </si>
  <si>
    <t>Sitting_With_Movement*In_Position_Sitting*Using_Computer/Screen*Handwriting|Holding_Other_Object_Light|Located_Indoors|Texting/Browsing_Phone|Typing_Computer</t>
  </si>
  <si>
    <t>Walking*In_Position_Upright*In_Transit_Active*CP_Video_Unavailable/Indecipherable|Located_Outdoors</t>
  </si>
  <si>
    <t>Sitting_With_Movement*In_Position_Sitting*Eating/Dining|Watching_TV/Movies*Holding_Other_Object_Light|Legs_Uncrossed|Located_Indoors</t>
  </si>
  <si>
    <t>Walking*In_Position_Upright*In_Transit_Active|Meeting_Social_Gathering_In_Person*In_Conversation|Located_Indoors|Texting/Browsing_Phone</t>
  </si>
  <si>
    <t>Kneeling_With_Movement*In_Position_Kneeling*Relaxing_Passive*Located_Indoors</t>
  </si>
  <si>
    <t>Sitting_With_Movement*In_Position_Sitting*Meeting_Virtual|Using_Computer/Screen*Located_Indoors|On_Video_Call/FaceTime|Typing_Computer</t>
  </si>
  <si>
    <t>Puttering_Around*In_Position_Upright*Dressing/Undressing|Meeting_Social_Gathering_In_Person*Located_Indoors</t>
  </si>
  <si>
    <t>Sitting_With_Movement*In_Position_Sitting*Meeting_Social_Gathering_In_Person|Using_Computer/Screen|Working_Other*Browsing_Computer|In_Conversation|Located_Indoors</t>
  </si>
  <si>
    <t>Walking*In_Position_Upright*Eating/Dining|In_Transit_Active*Holding_Solid_Food|Located_Outdoors</t>
  </si>
  <si>
    <t>Sitting_With_Movement*In_Position_Sitting*HLB_Other*Carrying_Bag_On_Shoulder/Back_Light|Located_Outdoors|Texting/Browsing_Phone</t>
  </si>
  <si>
    <t>Standing_With_Movement*In_Position_Upright*Meeting_Social_Gathering_In_Person*Holding_Other_Object_Light|Located_Outdoors|Texting/Browsing_Phone</t>
  </si>
  <si>
    <t>Standing_With_Movement*In_Position_Upright*Working_Other*Located_Indoors|Texting/Browsing_Phone</t>
  </si>
  <si>
    <t>Sitting_With_Movement*In_Position_Sitting*Eating/Dining|Meeting_Social_Gathering_In_Person|Watching_TV/Movies*CP_Video_Unavailable/Indecipherable|In_Conversation|Located_Indoors</t>
  </si>
  <si>
    <t>Sitting_With_Movement*In_Position_Sitting*Meeting_Social_Gathering_In_Person|Packing/Unpacking_Something*Holding_Other_Object_Light|In_Conversation|Located_Indoors</t>
  </si>
  <si>
    <t>Walking*In_Position_Upright*In_Transit_Active*Holding_Other_Object_Light|In_Conversation|Located_Indoors|On_Phone_Call</t>
  </si>
  <si>
    <t>Standing_With_Movement*In_Position_Upright*HIGH_LEVEL_BEHAVIOR_Unlabeled*Carrying_Bag_On_Shoulder/Back_Heavy|Located_Indoors</t>
  </si>
  <si>
    <t>Puttering_Around*In_Position_Upright*Cooking/Prepping_Food|In_Transit_Active*Holding_Solid_Food|Located_Indoors|On_Video_Call/FaceTime</t>
  </si>
  <si>
    <t>Standing_With_Movement*In_Position_Upright*Gardening*Holding_Other_Object_Light|Located_Indoors</t>
  </si>
  <si>
    <t>Sitting_With_Movement*In_Position_Sitting*Meeting_Social_Gathering_In_Person*Carrying_Bag_On_Shoulder/Back_Light|Located_Indoors</t>
  </si>
  <si>
    <t>Sitting_Still*In_Position_Sitting*In_Transit_Passive_Train/Bus/Plane*Carrying_Bag_On_Shoulder/Back_Light|Carrying_Grocery_Bags_Light|Located_Outdoors</t>
  </si>
  <si>
    <t>Standing_With_Movement*In_Position_Upright*Riding_Elevator_Down*Carrying_Bag_On_Shoulder/Back_Light|Holding_Other_Object_Light|Located_Indoors</t>
  </si>
  <si>
    <t>Brushing/Combing/Tying_Hair*In_Position_Upright*Grooming/Self_Care*Located_Indoors</t>
  </si>
  <si>
    <t>Sitting_With_Movement*In_Position_Sitting*Eating/Dining|Meeting_Social_Gathering_In_Person*Holding_Drink|In_Conversation|Legs_Crossed|Located_Outdoors</t>
  </si>
  <si>
    <t>Standing_With_Movement*In_Position_Upright*Shopping_Grocery*Carrying_Bag_On_Shoulder/Back_Light|Located_Indoors</t>
  </si>
  <si>
    <t>Standing_With_Movement*In_Position_Upright*Eating/Dining*Holding_Solid_Food|Located_Outdoors</t>
  </si>
  <si>
    <t>Sitting_With_Movement*In_Position_Sitting*Meeting_Social_Gathering_In_Person|Watching_TV/Movies*CP_Video_Unavailable/Indecipherable|In_Conversation|Located_Indoors</t>
  </si>
  <si>
    <t>Standing_With_Movement*In_Position_Upright*In_Bathroom*Located_Indoors|Texting/Browsing_Phone</t>
  </si>
  <si>
    <t>Standing_With_Movement*In_Position_Upright*HIGH_LEVEL_BEHAVIOR_Unlabeled*Carrying_Bag_On_Shoulder/Back_Heavy|In_Conversation|Located_Outdoors</t>
  </si>
  <si>
    <t>Standing_With_Movement*In_Position_Upright*Working_Other*Holding_Other_Object_Light|In_Conversation</t>
  </si>
  <si>
    <t>Sitting_With_Movement*In_Position_Sitting*Watching_TV/Movies*Holding_Drink|Located_Indoors|Texting/Browsing_Phone</t>
  </si>
  <si>
    <t>Sitting_With_Movement*In_Position_Sitting*HIGH_LEVEL_BEHAVIOR_Unlabeled*Carrying_Bag_On_Shoulder/Back_Light|Carrying_Grocery_Bags_Light|Located_Indoors|Texting/Browsing_Phone</t>
  </si>
  <si>
    <t>Puttering_Around*In_Position_Upright*Using_Computer/Screen*Located_Indoors|Texting/Browsing_Phone</t>
  </si>
  <si>
    <t>Sitting_With_Movement*In_Position_Sitting*In_Transit_Active|Watching_TV/Movies*Located_Indoors|Texting/Browsing_Phone</t>
  </si>
  <si>
    <t>Sitting_With_Movement*In_Position_Sitting*HIGH_LEVEL_BEHAVIOR_Unlabeled*Handwriting|Legs_Uncrossed|Located_Indoors</t>
  </si>
  <si>
    <t>Walking_Up_Stairs*In_Position_Upright*HIGH_LEVEL_BEHAVIOR_Unlabeled*Holding_Other_Object_Light|Located_Indoors|Texting/Browsing_Phone</t>
  </si>
  <si>
    <t>Walking*In_Position_Upright*Shopping_Grocery*Carrying_Bag_On_Shoulder/Back_Light|Located_Indoors</t>
  </si>
  <si>
    <t>Lying_With_Movement*Lying_On_Left_Side*Meeting_Social_Gathering_In_Person*In_Conversation|Located_Indoors</t>
  </si>
  <si>
    <t>Puttering_Around*In_Position_Upright*Doing_Common_Housework|In_Transit_Active*In_Conversation|Located_Indoors</t>
  </si>
  <si>
    <t>Kneeling_With_Movement*In_Position_Kneeling*Administering_Care_Child/Elder/Other_Adult*Located_Indoors</t>
  </si>
  <si>
    <t>Walking*In_Position_Upright*HIGH_LEVEL_BEHAVIOR_Unlabeled*Carrying_Bag_On_Shoulder/Back_Heavy|Located_Outdoors|Texting/Browsing_Phone</t>
  </si>
  <si>
    <t>Puttering_Around*In_Position_Upright*Cooking/Prepping_Food|Eating/Dining*Located_Indoors</t>
  </si>
  <si>
    <t>Sitting_Still*In_Position_Sitting*Meeting_Social_Gathering_In_Person|Watching_Lecture*Located_Indoors</t>
  </si>
  <si>
    <t>Walking_Down_Stairs*In_Position_Upright*HLB_Other|In_Transit_Active*In_Conversation|Located_Outdoors|Texting/Browsing_Phone</t>
  </si>
  <si>
    <t>Sitting_With_Movement*In_Position_Sitting*Using_Computer/Screen|Working_Other*CP_Video_Unavailable/Indecipherable|Legs_Crossed|Located_Indoors</t>
  </si>
  <si>
    <t>Puttering_Around*In_Position_Upright*Shopping_Grocery*CP_Other|Located_Indoors</t>
  </si>
  <si>
    <t>Sitting_With_Movement*In_Position_Sitting*Cooking/Prepping_Food*Holding_Other_Object_Light|Located_Indoors|On_Phone_Call|Texting/Browsing_Phone</t>
  </si>
  <si>
    <t>Standing_With_Movement*In_Position_Upright*In_Transit_Active*Holding_Drink|Located_Indoors</t>
  </si>
  <si>
    <t>Standing_With_Movement*In_Position_Upright*HIGH_LEVEL_BEHAVIOR_Unlabeled*Carrying_Bag_On_Shoulder/Back_Light|In_Conversation|Located_Indoors</t>
  </si>
  <si>
    <t>Walking*In_Position_Upright*In_Transit_Active|Packing/Unpacking_Something*Holding_Book/Reader|Holding_Other_Object_Light|Located_Indoors</t>
  </si>
  <si>
    <t>Walking*In_Position_Upright*HIGH_LEVEL_BEHAVIOR_Unlabeled*Carrying_Bag_On_Shoulder/Back_Light|Holding_Other_Object_Light|Located_Outdoors|Texting/Browsing_Phone</t>
  </si>
  <si>
    <t>Standing_With_Movement*In_Position_Upright*Meeting_Social_Gathering_In_Person|Packing/Unpacking_Something*Located_Indoors</t>
  </si>
  <si>
    <t>Puttering_Around*In_Position_Upright*Cleaning|Doing_Common_Housework_Light|In_Transit_Active*Holding_Other_Object_Light|Located_Indoors</t>
  </si>
  <si>
    <t>Sitting_With_Movement*In_Position_Sitting*Meeting_Formal_Gathering_In_Person*Located_Indoors|Texting/Browsing_Phone</t>
  </si>
  <si>
    <t>Sitting_With_Movement*In_Position_Sitting*Meeting_Social_Gathering_In_Person|Working_Other*In_Conversation|Located_Indoors|Texting/Browsing_Phone</t>
  </si>
  <si>
    <t>Standing_With_Movement*In_Position_Upright*Meeting_Social_Gathering_In_Person|Watching_TV/Movies*Holding_Other_Object_Light|Located_Outdoors</t>
  </si>
  <si>
    <t>Puttering_Around*In_Position_Upright*Meeting_Social_Gathering_In_Person*Carrying_Bag_On_Shoulder/Back_Light|In_Conversation|Located_Outdoors</t>
  </si>
  <si>
    <t>Sitting_With_Movement*In_Position_Sitting*In_Transit_Passive_Train/Bus/Plane|Meeting_Social_Gathering_In_Person*Carrying_Bag_On_Shoulder/Back_Light|In_Conversation|Legs_Uncrossed</t>
  </si>
  <si>
    <t>Standing_With_Movement*In_Position_Upright*Using_Computer/Screen*Carrying_Bag_On_Shoulder/Back_Light|Carrying_Grocery_Bags_Light|Holding_Other_Object_Light|Located_Indoors</t>
  </si>
  <si>
    <t>Standing_With_Movement*In_Position_Upright*In_Bathroom*Holding_Other_Object_Light|Located_Indoors|Texting/Browsing_Phone</t>
  </si>
  <si>
    <t>Puttering_Around*In_Position_Upright*Cleaning|Loading/Unloading_Vehicle*Holding_Other_Object_Light|Located_Outdoors</t>
  </si>
  <si>
    <t>Walking*In_Position_Upright*In_Transit_Active*Holding_Other_Object_Light|In_Conversation|Located_Indoors|Texting/Browsing_Phone</t>
  </si>
  <si>
    <t>Walking*In_Position_Upright*In_Transit_Active|Meeting_Social_Gathering_In_Person*Located_Outdoors|Texting/Browsing_Phone</t>
  </si>
  <si>
    <t>Sitting_With_Movement*In_Position_Sitting*Eating/Dining|In_Transit_Active*Holding_Solid_Food|Located_Indoors</t>
  </si>
  <si>
    <t>Sitting_With_Movement*In_Position_Sitting*Using_Computer/Screen*Located_Indoors|Unsure</t>
  </si>
  <si>
    <t>Sitting_With_Movement*In_Position_Sitting*Using_Computer/Screen*Holding_Other_Object_Light|Legs_Crossed|Located_Indoors</t>
  </si>
  <si>
    <t>Standing_With_Movement*In_Position_Upright*Dressing/Undressing*Holding_Other_Object_Light|Located_Outdoors</t>
  </si>
  <si>
    <t>Kneeling_With_Movement*In_Position_Kneeling*Cleaning*Holding_Other_Object_Light|Located_Indoors</t>
  </si>
  <si>
    <t>Standing_Still*In_Position_Upright*HLB_Other*In_Conversation|Located_Indoors</t>
  </si>
  <si>
    <t>Standing_With_Movement*In_Position_Upright*Using_Computer/Screen*Located_Indoors|On_Phone_Call</t>
  </si>
  <si>
    <t>Lying_With_Movement*Lying_On_Back*Relaxing_Passive*Browsing_Computer|Located_Indoors</t>
  </si>
  <si>
    <t>Lying_With_Movement*Lying_On_Back*Eating/Dining|Relaxing_Passive|Watching_TV/Movies*Holding_Drink|Located_Indoors</t>
  </si>
  <si>
    <t>Kneeling_With_Movement*In_Position_Kneeling*Meeting_Social_Gathering_In_Person*In_Conversation|Located_Indoors|Texting/Browsing_Phone</t>
  </si>
  <si>
    <t>Puttering_Around*In_Position_Upright*HIGH_LEVEL_BEHAVIOR_Unlabeled*Holding_Other_Object_Light|Holding_Solid_Food|Located_Indoors</t>
  </si>
  <si>
    <t>Sitting_With_Movement*In_Position_Sitting*Eating/Dining|Watching_TV/Movies*Holding_Other_Object_Light|Holding_Solid_Food|In_Conversation|Located_Indoors</t>
  </si>
  <si>
    <t>Sitting_With_Movement*In_Position_Sitting*Meeting_Virtual|Packing/Unpacking_Something*Holding_Other_Object_Light|Located_Indoors|On_Video_Call/FaceTime</t>
  </si>
  <si>
    <t>Standing_With_Movement*In_Position_Upright*Cooking/Prepping_Food*Holding_Other_Object_Light|In_Conversation|Located_Indoors|Texting/Browsing_Phone</t>
  </si>
  <si>
    <t>Sitting_With_Movement*In_Position_Sitting*HIGH_LEVEL_BEHAVIOR_Unlabeled*Holding_Other_Object_Light|Legs_Crossed|Located_Indoors</t>
  </si>
  <si>
    <t>Walking_Up_Stairs*In_Position_Upright*In_Transit_Active*Carrying_Bag_On_Shoulder/Back_Light|Located_Outdoors|Texting/Browsing_Phone</t>
  </si>
  <si>
    <t>Walking*In_Position_Upright*In_Transit_Active|Shopping_Non-Grocery*Holding_Other_Object_Light|Located_Indoors</t>
  </si>
  <si>
    <t>Sitting_With_Movement*In_Position_Sitting*Watching_TV/Movies*Located_Indoors|Unsure</t>
  </si>
  <si>
    <t>Puttering_Around*Posture_Too_Complex*Packing/Unpacking_Something*Holding_Other_Object_Light|Located_Indoors</t>
  </si>
  <si>
    <t>Walking*In_Position_Upright*In_Transit_Active*Carrying_Bag_On_Shoulder/Back_Light|In_Conversation|Located_Indoors</t>
  </si>
  <si>
    <t>Standing_With_Movement*In_Position_Upright*Meeting_Social_Gathering_In_Person*Holding_Other_Object_Light|In_Conversation|Located_Outdoors|Texting/Browsing_Phone</t>
  </si>
  <si>
    <t>Standing_With_Movement*In_Position_Upright*HLB_Other|Playing_With_Children_Light*Located_Indoors</t>
  </si>
  <si>
    <t>Standing_With_Movement*In_Position_Upright*Riding_Elevator_Down*Holding_Bag/Briefcase_Hand_Light</t>
  </si>
  <si>
    <t>Sitting_With_Movement*In_Position_Sitting*Using_Computer/Screen|Working_Other*Holding_Other_Object_Light|Located_Indoors|Texting/Browsing_Phone</t>
  </si>
  <si>
    <t>Sitting_With_Movement*In_Position_Sitting*Meeting_Social_Gathering_In_Person*Carrying_Bag_On_Shoulder/Back_Light|Located_Indoors|Texting/Browsing_Phone</t>
  </si>
  <si>
    <t>Walking*In_Position_Upright*Cleaning*Holding_Other_Object_Light|Located_Indoors</t>
  </si>
  <si>
    <t>Standing_With_Movement*In_Position_Upright*In_Transit_Active|Riding_Escalator_Up*Located_Outdoors</t>
  </si>
  <si>
    <t>Sitting_With_Movement*In_Position_Sitting*Using_Computer/Screen|Watching_TV/Movies*CP_Video_Unavailable/Indecipherable|Located_Indoors</t>
  </si>
  <si>
    <t>Sitting_With_Movement*In_Position_Sitting*HIGH_LEVEL_BEHAVIOR_Unlabeled*Holding_Other_Object_Light</t>
  </si>
  <si>
    <t>Standing_With_Movement*In_Position_Upright*In_Transit_Active|Riding_Elevator_Down*Carrying_Bag_On_Shoulder/Back_Light|Located_Indoors|Texting/Browsing_Phone</t>
  </si>
  <si>
    <t>Standing_Still*In_Position_Upright*HIGH_LEVEL_BEHAVIOR_Unlabeled*Carrying_Bag_On_Shoulder/Back_Heavy|Located_Outdoors|Texting/Browsing_Phone</t>
  </si>
  <si>
    <t>Standing_With_Movement*In_Position_Upright*Meeting_Social_Gathering_In_Person|Shopping_Grocery*Holding_Other_Object_Light|In_Conversation|Located_Indoors</t>
  </si>
  <si>
    <t>Puttering_Around*In_Position_Upright*Doing_Common_Housework|Eating/Dining*Holding_Solid_Food|Located_Indoors</t>
  </si>
  <si>
    <t>Standing_With_Movement*In_Position_Upright*Riding_Elevator_Up*Carrying_Bag_On_Shoulder/Back_Light|Holding_Other_Object_Light|Located_Indoors</t>
  </si>
  <si>
    <t>Standing_With_Movement*In_Position_Upright*Eating/Dining|Meeting_Social_Gathering_In_Person*Holding_Solid_Food|In_Conversation|Located_Indoors</t>
  </si>
  <si>
    <t>Standing_With_Movement*In_Position_Upright*Doing_Resistance_Training|Exercising_Gym_Other*Holding_Other_Object_Heavy|Located_Indoors</t>
  </si>
  <si>
    <t>Puttering_Around*In_Position_Upright*Packing/Unpacking_Something*Holding_Other_Object_Light|In_Conversation|Located_Indoors</t>
  </si>
  <si>
    <t>Standing_With_Movement*In_Position_Upright*Riding_Elevator_Down*Carrying_Bag_On_Shoulder/Back_Light|Located_Indoors</t>
  </si>
  <si>
    <t>Sitting_With_Movement*In_Position_Sitting*In_Transit_Passive_Train/Bus/Plane*Carrying_Bag_On_Shoulder/Back_Light|Holding_Other_Object_Light|Located_Outdoors|Texting/Browsing_Phone</t>
  </si>
  <si>
    <t>Puttering_Around*In_Position_Upright*In_Transit_Active|Meeting_Social_Gathering_In_Person*In_Conversation|Located_Indoors|Texting/Browsing_Phone</t>
  </si>
  <si>
    <t>Walking*In_Position_Upright*Cleaning|Cooking/Prepping_Food*Located_Indoors</t>
  </si>
  <si>
    <t>Sitting_With_Movement*In_Position_Sitting*Meeting_Social_Gathering_In_Person|Using_Computer/Screen*Browsing_Computer|Holding_Solid_Food|In_Conversation|Located_Indoors</t>
  </si>
  <si>
    <t>Puttering_Around*In_Position_Upright*Eating/Dining|Packing/Unpacking_Something*Located_Indoors</t>
  </si>
  <si>
    <t>Walking*In_Position_Upright*Cleaning|Doing_Common_Housework|In_Transit_Active*Located_Indoors</t>
  </si>
  <si>
    <t>Standing_With_Movement*In_Position_Upright*In_Transit_Active*Carrying_Bag_On_Shoulder/Back_Light|Holding_Other_Object_Light|Located_Indoors|Texting/Browsing_Phone</t>
  </si>
  <si>
    <t>Walking*In_Position_Upright*Doing_Resistance_Training*Located_Indoors</t>
  </si>
  <si>
    <t>Puttering_Around*In_Position_Upright*Cooking/Prepping_Food|Eating/Dining|Meeting_Social_Gathering_In_Person*Holding_Other_Object_Light|In_Conversation|Located_Outdoors</t>
  </si>
  <si>
    <t>Puttering_Around*In_Position_Upright*Shopping_Non-Grocery*Holding_Other_Object_Light|Located_Indoors|Texting/Browsing_Phone</t>
  </si>
  <si>
    <t>Standing_With_Movement*In_Position_Upright*Cooking/Prepping_Food|Eating/Dining*Holding_Solid_Food|Located_Indoors</t>
  </si>
  <si>
    <t>Sitting_With_Movement*In_Position_Sitting*Eating/Dining|Using_Computer/Screen|Watching_TV/Movies*Holding_Solid_Food|Located_Indoors|Texting/Browsing_Phone</t>
  </si>
  <si>
    <t>Walking*In_Position_Upright*In_Transit_Active*Carrying_Grocery_Bags_Heavy|Located_Indoors</t>
  </si>
  <si>
    <t>Sitting_With_Movement*In_Position_Sitting*Cooking/Prepping_Food*Handwriting|Holding_Other_Object_Light|Located_Indoors</t>
  </si>
  <si>
    <t>Sitting_With_Movement*In_Position_Sitting*Meeting_Virtual|Using_Computer/Screen*Located_Indoors|Typing_Computer</t>
  </si>
  <si>
    <t>Sitting_With_Movement*In_Position_Reclining/Slouching*Meeting_Social_Gathering_In_Person|Watching_TV/Movies*In_Conversation|Located_Indoors|Texting/Browsing_Phone</t>
  </si>
  <si>
    <t>Washing_Hands*In_Position_Upright*Grooming/Self_Care|In_Bathroom*Located_Indoors</t>
  </si>
  <si>
    <t>Sitting_With_Movement*In_Position_Sitting*Meeting_Virtual|Using_Computer/Screen*Browsing_Computer</t>
  </si>
  <si>
    <t>Sitting_With_Movement*In_Position_Sitting*Eating/Dining|Using_Computer/Screen*Holding_Solid_Food|Located_Indoors|Typing_Computer</t>
  </si>
  <si>
    <t>Walking_Slow*In_Position_Upright*In_Transit_Active*Carrying_Bag_On_Shoulder/Back_Heavy|Located_Outdoors</t>
  </si>
  <si>
    <t>Standing_With_Movement*In_Position_Upright*Meeting_Social_Gathering_In_Person|Riding_Elevator_Down*In_Conversation|Located_Indoors</t>
  </si>
  <si>
    <t>Walking*In_Position_Upright*In_Transit_Active|Meeting_Social_Gathering_In_Person*Holding_Drink|In_Conversation|Located_Indoors</t>
  </si>
  <si>
    <t>Puttering_Around*In_Position_Upright*Eating/Dining*Holding_Other_Object_Light|Holding_Solid_Food|Located_Indoors</t>
  </si>
  <si>
    <t>Walking*In_Position_Upright*Cleaning*Located_Indoors</t>
  </si>
  <si>
    <t>Sitting_With_Movement*In_Position_Reclining/Slouching*Watching_TV/Movies*Holding_Drink|Located_Indoors</t>
  </si>
  <si>
    <t>Sitting_With_Movement*In_Position_Sitting*Relaxing_Passive*Located_Indoors|Unsure</t>
  </si>
  <si>
    <t>Doing_Resistance_Training_Free_Weights*Lying_On_Back*Doing_Resistance_Training*Holding_Other_Object_Light|In_Conversation|Located_Indoors</t>
  </si>
  <si>
    <t>Standing_With_Movement*In_Position_Upright*In_Transit_Active|Riding_Elevator_Up*Carrying_Bag_On_Shoulder/Back_Light|Located_Indoors|Texting/Browsing_Phone</t>
  </si>
  <si>
    <t>Standing_With_Movement*In_Position_Upright*Shopping_Non-Grocery*Holding_Other_Object_Light|Located_Indoors</t>
  </si>
  <si>
    <t>Kneeling_With_Movement*In_Position_Kneeling*Cooking/Prepping_Food*Holding_Other_Object_Light|Holding_Solid_Food|Located_Indoors</t>
  </si>
  <si>
    <t>Standing_With_Movement*In_Position_Upright*Cooking/Prepping_Food|Doing_Dishes*Located_Indoors</t>
  </si>
  <si>
    <t>Lying_With_Movement*Lying_On_Right_Side*Meeting_Social_Gathering_In_Person*In_Conversation|Located_Indoors</t>
  </si>
  <si>
    <t>Puttering_Around*In_Position_Upright*Packing/Unpacking_Something*Holding_Other_Object_Heavy|Holding_Other_Object_Light|Located_Indoors</t>
  </si>
  <si>
    <t>Sitting_With_Movement*In_Position_Sitting*HIGH_LEVEL_BEHAVIOR_Unlabeled*Carrying_Bag_On_Shoulder/Back_Light|Holding_Drink|Located_Outdoors</t>
  </si>
  <si>
    <t>Standing_With_Movement*In_Position_Upright*HLB_Other|Meeting_Social_Gathering_In_Person*In_Conversation|Located_Indoors|Texting/Browsing_Phone</t>
  </si>
  <si>
    <t>Standing_With_Movement*In_Position_Upright*Administering_Care_Child/Elder/Other_Adult*Holding_Other_Object_Light|In_Conversation|Located_Indoors</t>
  </si>
  <si>
    <t>Puttering_Around*In_Position_Upright*Relaxing_Passive*Located_Indoors|Texting/Browsing_Phone</t>
  </si>
  <si>
    <t>Puttering_Around*In_Position_Upright*Doing_Common_Housework_Light|In_Transit_Active|Meeting_Social_Gathering_In_Person|Packing/Unpacking_Something*In_Conversation|Located_Indoors</t>
  </si>
  <si>
    <t>Standing_With_Movement*In_Position_Upright*In_Transit_Passive_Train/Bus/Plane*Located_Outdoors|Texting/Browsing_Phone</t>
  </si>
  <si>
    <t>Sitting_With_Movement*In_Position_Sitting*Cleaning*Holding_Other_Object_Light|Located_Indoors</t>
  </si>
  <si>
    <t>Puttering_Around*In_Position_Upright*Doing_Home_Repair*Holding_Other_Object_Light</t>
  </si>
  <si>
    <t>Standing_With_Movement*In_Position_Upright*Packing/Unpacking_Something*Holding_Other_Object_Heavy|Located_Outdoors</t>
  </si>
  <si>
    <t>Puttering_Around*In_Position_Upright*Doing_Dishes|Eating/Dining*Located_Indoors</t>
  </si>
  <si>
    <t>Standing_With_Movement*In_Position_Upright*Meeting_Social_Gathering_In_Person*Located_Outdoors|Texting/Browsing_Phone</t>
  </si>
  <si>
    <t>Sitting_With_Movement*In_Position_Sitting*Eating/Dining|Using_Computer/Screen*Holding_Other_Object_Light|Holding_Solid_Food|Located_Indoors|Texting/Browsing_Phone</t>
  </si>
  <si>
    <t>Standing_With_Movement*In_Position_Upright*Riding_Elevator_Up*Carrying_Bag_On_Shoulder/Back_Light|Located_Indoors</t>
  </si>
  <si>
    <t>Puttering_Around*In_Position_Upright*Shopping_Non-Grocery*In_Conversation|Located_Indoors</t>
  </si>
  <si>
    <t>Sitting_With_Movement*In_Position_Sitting*Meeting_Social_Gathering_In_Person|Using_Computer/Screen*Browsing_Computer|Located_Indoors|Texting/Browsing_Phone</t>
  </si>
  <si>
    <t>Flossing_Teeth*In_Position_Upright*Grooming/Self_Care|In_Bathroom*Located_Indoors</t>
  </si>
  <si>
    <t>Sitting_With_Movement*In_Position_Sitting*Meeting_Social_Gathering_In_Person*Legs_Crossed|Located_Indoors|Texting/Browsing_Phone</t>
  </si>
  <si>
    <t>Sitting_With_Movement*In_Position_Sitting*Relaxing_Passive*Holding_Other_Object_Light|Legs_Crossed|Located_Outdoors|Texting/Browsing_Phone</t>
  </si>
  <si>
    <t>Doing_Resistance_Training_Free_Weights*Posture_Too_Complex*Doing_Resistance_Training*Holding_Other_Object_Heavy|Located_Indoors</t>
  </si>
  <si>
    <t>Putting_Clothes_Away*In_Position_Upright*Doing_Common_Housework|Doing_Laundry*In_Conversation|Located_Indoors</t>
  </si>
  <si>
    <t>Puttering_Around*In_Position_Upright*Meeting_Formal_Gathering_In_Person*Holding_Other_Object_Light|Located_Indoors</t>
  </si>
  <si>
    <t>Walking*In_Position_Upright*Doing_Common_Housework*Located_Outdoors</t>
  </si>
  <si>
    <t>Walking*In_Position_Upright*Administering_Care_Child/Elder/Other_Adult|In_Transit_Active*Holding_Other_Object_Light|Located_Indoors</t>
  </si>
  <si>
    <t>Sitting_With_Movement*In_Position_Reclining/Slouching*Meeting_Social_Gathering_In_Person|Watching_TV/Movies*Holding_Other_Object_Light|In_Conversation|Located_Indoors</t>
  </si>
  <si>
    <t>Walking*In_Position_Upright*Cooking/Prepping_Food*Holding_Solid_Food|Located_Indoors</t>
  </si>
  <si>
    <t>Standing_With_Movement*In_Position_Upright*Doing_Resistance_Training*Holding_Other_Object_Light|Located_Indoors</t>
  </si>
  <si>
    <t>Standing_With_Movement*In_Position_Upright*Dancing|Meeting_Social_Gathering_In_Person*Located_Indoors|Significantly_Higher_Effort_Than_Normal</t>
  </si>
  <si>
    <t>Standing_With_Movement*In_Position_Upright*Relaxing_Passive*Located_Indoors</t>
  </si>
  <si>
    <t>Lying_Still*Lying_On_Back*Relaxing_Passive*Located_Indoors|On_Phone_Call</t>
  </si>
  <si>
    <t>Sitting_With_Movement*In_Position_Sitting*Eating/Dining|In_Transit_Passive_Car*Holding_Drink|Holding_Other_Object_Light|Located_Outdoors</t>
  </si>
  <si>
    <t>Sitting_With_Movement*In_Position_Sitting*HLB_Other|Using_Computer/Screen*Holding_Other_Object_Light|Located_Indoors|Texting/Browsing_Phone</t>
  </si>
  <si>
    <t>Puttering_Around*In_Position_Upright*Doing_Alternative_Exercise/Therapy/Stretching*In_Conversation|Located_Indoors</t>
  </si>
  <si>
    <t>Puttering_Around*In_Position_Upright*Cooking/Prepping_Food|In_Transit_Active|Meeting_Social_Gathering_In_Person*Holding_Other_Object_Light|Located_Indoors</t>
  </si>
  <si>
    <t>Puttering_Around*In_Position_Upright*Eating/Dining|HLB_Other*Located_Indoors</t>
  </si>
  <si>
    <t>Standing_Still*In_Position_Upright*In_Transit_Active*Located_Indoors</t>
  </si>
  <si>
    <t>Sitting_With_Movement*In_Position_Sitting*In_Transit_Driving_Car*Holding_Solid_Food|Texting/Browsing_Phone</t>
  </si>
  <si>
    <t>Walking*In_Position_Upright*In_Transit_Active|Meeting_Social_Gathering_In_Person*Holding_Other_Object_Light|In_Conversation|Located_Outdoors|Texting/Browsing_Phone</t>
  </si>
  <si>
    <t>Sitting_With_Movement*In_Position_Sitting*Meeting_Social_Gathering_In_Person|Relaxing_Passive*In_Conversation|Located_Indoors</t>
  </si>
  <si>
    <t>Sitting_With_Movement*In_Position_Sitting*Watching_Lecture*Located_Indoors|Texting/Browsing_Phone</t>
  </si>
  <si>
    <t>Walking*In_Position_Upright*HLB_Other*Carrying_Bag_On_Shoulder/Back_Light|Located_Outdoors|Texting/Browsing_Phone</t>
  </si>
  <si>
    <t>Standing_With_Movement*In_Position_Upright*Eating/Dining|Watching_TV/Movies*Holding_Solid_Food|Located_Indoors</t>
  </si>
  <si>
    <t>Walking_Up_Stairs*In_Position_Upright*In_Transit_Active*Carrying_Bag_On_Shoulder/Back_Light|Holding_Other_Object_Light|Located_Indoors</t>
  </si>
  <si>
    <t>Standing_With_Movement*In_Position_Upright*Meeting_Social_Gathering_In_Person*Holding_Drink|Holding_Other_Object_Light|In_Conversation|Located_Outdoors</t>
  </si>
  <si>
    <t>Sitting_With_Movement*In_Position_Sitting*Eating/Dining|Watching_TV/Movies*Holding_Other_Object_Light|In_Conversation|Located_Indoors</t>
  </si>
  <si>
    <t>Sitting_With_Movement*In_Position_Sitting*Eating/Dining*Holding_Other_Object_Light|In_Conversation|Located_Indoors|Texting/Browsing_Phone</t>
  </si>
  <si>
    <t>Sitting_With_Movement*In_Position_Sitting*Meeting_Social_Gathering_In_Person|Watching_TV/Movies*Legs_Crossed|Located_Indoors</t>
  </si>
  <si>
    <t>Sitting_With_Movement*In_Position_Sitting*HIGH_LEVEL_BEHAVIOR_Unlabeled*Holding_Drink|Legs_Uncrossed|Located_Indoors</t>
  </si>
  <si>
    <t>Sitting_With_Movement*In_Position_Sitting*Eating/Dining|Watching_TV/Movies*Holding_Solid_Food|Legs_Crossed|Located_Indoors</t>
  </si>
  <si>
    <t>Sitting_With_Movement*In_Position_Sitting*Eating/Dining|Playing_Videogame*Holding_Drink|Located_Indoors</t>
  </si>
  <si>
    <t>Sitting_With_Movement*In_Position_Reclining/Slouching*Relaxing_Passive*Holding_Other_Object_Light|Located_Indoors|On_Phone_Call</t>
  </si>
  <si>
    <t>Puttering_Around*In_Position_Upright*Cleaning|Doing_Common_Housework_Light|Doing_Dishes*Located_Indoors</t>
  </si>
  <si>
    <t>Sitting_With_Movement*In_Position_Reclining/Slouching*Meeting_Social_Gathering_In_Person|Watching_TV/Movies*Holding_Other_Object_Light|Located_Indoors</t>
  </si>
  <si>
    <t>Sitting_With_Movement*In_Position_Sitting*HIGH_LEVEL_BEHAVIOR_Unlabeled*Holding_Book/Reader</t>
  </si>
  <si>
    <t>Sitting_With_Movement*In_Position_Sitting*Eating/Dining*Located_Indoors|On_Video_Call/FaceTime</t>
  </si>
  <si>
    <t>Sitting_With_Movement*In_Position_Sitting*HIGH_LEVEL_BEHAVIOR_Unlabeled*CONTEXTUAL_PARAMETERS_Unlabeled</t>
  </si>
  <si>
    <t>Walking*In_Position_Upright*Eating/Dining*Carrying_Bag_On_Shoulder/Back_Heavy|Holding_Solid_Food|Located_Outdoors</t>
  </si>
  <si>
    <t>Sitting_With_Movement*In_Position_Reclining/Slouching*Cooking/Prepping_Food|Watching_TV/Movies*Holding_Other_Object_Light|Located_Indoors|Texting/Browsing_Phone</t>
  </si>
  <si>
    <t>Sitting_With_Movement*In_Position_Sitting*HIGH_LEVEL_BEHAVIOR_Unlabeled*Located_Outdoors|On_Phone_Call</t>
  </si>
  <si>
    <t>Sitting_With_Movement*In_Position_Reclining/Slouching*Eating/Dining*Holding_Drink|In_Conversation|Located_Indoors</t>
  </si>
  <si>
    <t>Standing_With_Movement*In_Position_Upright*Relaxing_Passive*Holding_Other_Object_Light|Located_Indoors|Texting/Browsing_Phone</t>
  </si>
  <si>
    <t>Lying_With_Movement*Lying_On_Back*Eating/Dining*Holding_Solid_Food|Located_Indoors</t>
  </si>
  <si>
    <t>Sitting_With_Movement*In_Position_Sitting*In_Transit_Active*Carrying_Bag_On_Shoulder/Back_Light|Carrying_Grocery_Bags_Light|Located_Indoors</t>
  </si>
  <si>
    <t>Standing_With_Movement*In_Position_Upright*Using_Computer/Screen*In_Conversation|Located_Indoors|Texting/Browsing_Phone</t>
  </si>
  <si>
    <t>Walking*In_Position_Upright*Shopping_Grocery*Holding_Other_Object_Light|In_Conversation|Located_Indoors</t>
  </si>
  <si>
    <t>Puttering_Around*In_Position_Upright*Packing/Unpacking_Something*Located_Indoors|Texting/Browsing_Phone</t>
  </si>
  <si>
    <t>Standing_With_Movement*In_Position_Upright*Meeting_Social_Gathering_In_Person|Using_Computer/Screen*In_Conversation|Located_Indoors</t>
  </si>
  <si>
    <t>Lying_With_Movement*Lying_On_Back*HIGH_LEVEL_BEHAVIOR_Unlabeled*In_Conversation|Located_Indoors|Texting/Browsing_Phone</t>
  </si>
  <si>
    <t>Sitting_With_Movement*In_Position_Sitting*Eating/Dining|Relaxing_Passive|Watching_TV/Movies*Holding_Other_Object_Light|Located_Indoors</t>
  </si>
  <si>
    <t>Doing_Resistance_Training_Free_Weights*In_Position_Reclining/Slouching*Doing_Resistance_Training*Holding_Other_Object_Heavy|Located_Indoors</t>
  </si>
  <si>
    <t>Standing_With_Movement*In_Position_Upright*Cooking/Prepping_Food|Meeting_Virtual*In_Conversation|Located_Indoors</t>
  </si>
  <si>
    <t>Sitting_With_Movement*In_Position_Sitting*Working_Other*Holding_Other_Object_Light|Located_Indoors|Texting/Browsing_Phone</t>
  </si>
  <si>
    <t>Sitting_With_Movement*In_Position_Sitting*Playing_Videogame*Holding_Other_Object_Light|Texting/Browsing_Phone</t>
  </si>
  <si>
    <t>Standing_With_Movement*In_Position_Upright*Cleaning|Cooking/Prepping_Food*Holding_Other_Object_Light|Located_Indoors</t>
  </si>
  <si>
    <t>Standing_With_Movement*In_Position_Upright*In_Transit_Active*Carrying_Bag_On_Shoulder/Back_Light|Holding_Other_Object_Light|Located_Outdoors|Texting/Browsing_Phone</t>
  </si>
  <si>
    <t>Puttering_Around*In_Position_Upright*HIGH_LEVEL_BEHAVIOR_Unlabeled*Carrying_Grocery_Bags_Heavy|Located_Indoors</t>
  </si>
  <si>
    <t>Sitting_With_Movement*In_Position_Sitting*In_Transit_Passive_Train/Bus/Plane*Holding_Other_Object_Light|Texting/Browsing_Phone</t>
  </si>
  <si>
    <t>Sitting_With_Movement*In_Position_Sitting*Dressing/Undressing|Meeting_Social_Gathering_In_Person*Holding_Other_Object_Light|Located_Indoors</t>
  </si>
  <si>
    <t>Puttering_Around*In_Position_Upright*Meeting_Virtual*Holding_Solid_Food|Located_Indoors|On_Video_Call/FaceTime|Texting/Browsing_Phone</t>
  </si>
  <si>
    <t>Sitting_With_Movement*In_Position_Sitting*In_Transit_Driving_Car*Located_Outdoors|Unsure</t>
  </si>
  <si>
    <t>Standing_With_Movement*In_Position_Upright*Cooking/Prepping_Food|Meeting_Social_Gathering_In_Person*Located_Indoors</t>
  </si>
  <si>
    <t>Standing_With_Movement*In_Position_Upright*Playing_Sports/Games*Located_Indoors</t>
  </si>
  <si>
    <t>Sitting_With_Movement*In_Position_Sitting*In_Transit_Passive_Train/Bus/Plane*Carrying_Bag_On_Shoulder/Back_Light|Carrying_Grocery_Bags_Light|Located_Outdoors|Texting/Browsing_Phone</t>
  </si>
  <si>
    <t>Standing_With_Movement*In_Position_Upright*Meeting_Social_Gathering_In_Person*Carrying_Bag_On_Shoulder/Back_Light|In_Conversation|Located_Outdoors|Texting/Browsing_Phone</t>
  </si>
  <si>
    <t>Standing_With_Movement*In_Position_Upright*In_Transit_Active|Riding_Elevator_Up*Carrying_Bag_On_Shoulder/Back_Light|Holding_Other_Object_Light|Located_Indoors</t>
  </si>
  <si>
    <t>Doing_Resistance_Training_Free_Weights*In_Position_Upright*Doing_Resistance_Training|Meeting_Social_Gathering_In_Person*Holding_Other_Object_Heavy|Located_Indoors</t>
  </si>
  <si>
    <t>Puttering_Around*In_Position_Upright*Administering_Care_Child/Elder/Other_Adult|Cleaning|Meeting_Social_Gathering_In_Person*Located_Indoors</t>
  </si>
  <si>
    <t>Puttering_Around*In_Position_Upright*Eating/Dining|Meeting_Social_Gathering_In_Person*In_Conversation|Located_Indoors</t>
  </si>
  <si>
    <t>Standing_With_Movement*In_Position_Upright*Packing/Unpacking_Something*Holding_Other_Object_Light|In_Conversation|Located_Indoors</t>
  </si>
  <si>
    <t>Standing_With_Movement*In_Position_Upright*Administering_Care_Child/Elder/Other_Adult*Located_Indoors</t>
  </si>
  <si>
    <t>Sitting_With_Movement*In_Position_Sitting*Using_Computer/Screen|Watching_TV/Movies*Located_Indoors|Unsure</t>
  </si>
  <si>
    <t>Puttering_Around*In_Position_Upright*Administering_Care_Child/Elder/Other_Adult|Cooking/Prepping_Food|In_Transit_Active|Meeting_Social_Gathering_In_Person*Holding_Other_Object_Light|Located_Indoors</t>
  </si>
  <si>
    <t>Standing_With_Movement*In_Position_Upright*HIGH_LEVEL_BEHAVIOR_Unlabeled*Carrying_Bag_On_Shoulder/Back_Light|Holding_Other_Object_Light|Located_Indoors|Texting/Browsing_Phone</t>
  </si>
  <si>
    <t>Puttering_Around*In_Position_Upright*Meeting_Social_Gathering_In_Person*Holding_Drink|Holding_Solid_Food|Located_Indoors</t>
  </si>
  <si>
    <t>Sitting_With_Movement*In_Position_Sitting*Eating/Dining|Meeting_Social_Gathering_In_Person|Watching_TV/Movies*Holding_Other_Object_Light|Holding_Solid_Food|Located_Indoors</t>
  </si>
  <si>
    <t>Walking_Down_Stairs*In_Position_Upright*In_Transit_Active*Located_Outdoors|Texting/Browsing_Phone</t>
  </si>
  <si>
    <t>Puttering_Around*In_Position_Upright*Doing_Home_Repair*Located_Indoors|Texting/Browsing_Phone</t>
  </si>
  <si>
    <t>Puttering_Around*In_Position_Upright*Packing/Unpacking_Something*Holding_Bag/Briefcase_Hand_Light|Located_Indoors</t>
  </si>
  <si>
    <t>Sitting_With_Movement*In_Position_Sitting*HIGH_LEVEL_BEHAVIOR_Unlabeled*Holding_Other_Object_Light|Legs_Uncrossed|Located_Indoors</t>
  </si>
  <si>
    <t>Organizing_Shelf/Cabinet*In_Position_Upright*Doing_Common_Housework_Light*Located_Indoors</t>
  </si>
  <si>
    <t>Standing_With_Movement*In_Position_Upright*Grooming/Self_Care*Located_Indoors|On_Video_Call/FaceTime</t>
  </si>
  <si>
    <t>Sitting_With_Movement*In_Position_Sitting*Eating/Dining|Meeting_Social_Gathering_In_Person*Holding_Drink|Holding_Other_Object_Light|Located_Indoors</t>
  </si>
  <si>
    <t>Sitting_With_Movement*In_Position_Sitting*In_Transit_Passive_Train/Bus/Plane*Carrying_Bag_On_Shoulder/Back_Light</t>
  </si>
  <si>
    <t>Puttering_Around*In_Position_Upright*Cooking/Prepping_Food|Packing/Unpacking_Something*Holding_Solid_Food|Located_Indoors|On_Phone_Call</t>
  </si>
  <si>
    <t>Standing_With_Movement*In_Position_Upright*Meeting_Virtual*Located_Indoors|On_Video_Call/FaceTime|Texting/Browsing_Phone</t>
  </si>
  <si>
    <t>Standing_With_Movement*In_Position_Upright*Shopping_Non-Grocery*Carrying_Bag_On_Shoulder/Back_Light|Holding_Other_Object_Light|In_Conversation|Located_Indoors</t>
  </si>
  <si>
    <t>Puttering_Around*In_Position_Upright*Cooking/Prepping_Food|In_Transit_Active|Packing/Unpacking_Something*Holding_Other_Object_Light|Holding_Solid_Food|Located_Indoors</t>
  </si>
  <si>
    <t>Sitting_With_Movement*In_Position_Sitting*HLB_Other|Using_Computer/Screen*Browsing_Computer|Holding_Other_Object_Light|Located_Indoors</t>
  </si>
  <si>
    <t>Walking_Down_Stairs*In_Position_Upright*In_Transit_Active*Carrying_Bag_On_Shoulder/Back_Light|Located_Indoors|Texting/Browsing_Phone</t>
  </si>
  <si>
    <t>Standing_With_Movement*In_Position_Upright*Meeting_Social_Gathering_In_Person*Carrying_Bag_On_Shoulder/Back_Light|Holding_Other_Object_Light|In_Conversation|Located_Outdoors</t>
  </si>
  <si>
    <t>Standing_With_Movement*In_Position_Upright*HLB_Other|Meeting_Social_Gathering_In_Person*Holding_Other_Object_Light|Located_Indoors</t>
  </si>
  <si>
    <t>Organizing_Shelf/Cabinet*In_Position_Upright*Meeting_Social_Gathering_In_Person|Packing/Unpacking_Something*Holding_Drink|Holding_Solid_Food|Located_Indoors</t>
  </si>
  <si>
    <t>Sitting_With_Movement*In_Position_Reclining/Slouching*Relaxing_Passive*Holding_Drink|Located_Indoors</t>
  </si>
  <si>
    <t>Sitting_With_Movement*In_Position_Sitting*Eating/Dining*CP_Video_Unavailable/Indecipherable|Located_Outdoors</t>
  </si>
  <si>
    <t>Walking*In_Position_Upright*Meeting_Virtual*Holding_Other_Object_Light|Located_Indoors|On_Video_Call/FaceTime</t>
  </si>
  <si>
    <t>Standing_With_Movement*In_Position_Upright*Meeting_Social_Gathering_In_Person|Using_Computer/Screen*Browsing_Computer|In_Conversation|Located_Indoors</t>
  </si>
  <si>
    <t>Walking*In_Position_Upright*Shopping_Grocery*Carrying_Grocery_Bags_Light|Holding_Bag/Briefcase_Hand_Light</t>
  </si>
  <si>
    <t>Walking*In_Position_Upright*In_Transit_Active|Meeting_Virtual*Holding_Other_Object_Light|In_Conversation|Located_Outdoors|On_Video_Call/FaceTime|Texting/Browsing_Phone</t>
  </si>
  <si>
    <t>Sitting_With_Movement*In_Position_Sitting*Eating/Dining*Holding_Solid_Food|Located_Outdoors|Texting/Browsing_Phone</t>
  </si>
  <si>
    <t>Standing_With_Movement*In_Position_Upright*HIGH_LEVEL_BEHAVIOR_Unlabeled*Carrying_Bag_On_Shoulder/Back_Light|Holding_Bag/Briefcase_Hand_Light|Located_Indoors</t>
  </si>
  <si>
    <t>Sitting_With_Movement*In_Position_Sitting*Cooking/Prepping_Food|Meeting_Social_Gathering_In_Person*In_Conversation|Located_Indoors</t>
  </si>
  <si>
    <t>Standing_With_Movement*In_Position_Upright*In_Transit_Active|Riding_Escalator_Up*Carrying_Bag_On_Shoulder/Back_Light|Located_Indoors</t>
  </si>
  <si>
    <t>Standing_With_Movement*In_Position_Upright*Watching_TV/Movies*CONTEXTUAL_PARAMETERS_Unlabeled</t>
  </si>
  <si>
    <t>Walking*In_Position_Upright*HIGH_LEVEL_BEHAVIOR_Unlabeled*Carrying_Bag_On_Shoulder/Back_Light|Holding_Bag/Briefcase_Hand_Light|Located_Indoors</t>
  </si>
  <si>
    <t>Lying_With_Movement*Lying_On_Back*Meeting_Social_Gathering_In_Person*In_Conversation|Located_Indoors|Texting/Browsing_Phone</t>
  </si>
  <si>
    <t>Lying_With_Movement*Lying_On_Back*HLB_Video_Unavailable/Indecipherable*Holding_Other_Object_Light|Located_Indoors</t>
  </si>
  <si>
    <t>Standing_With_Movement*In_Position_Upright*Meeting_Virtual|Using_Computer/Screen*Located_Indoors</t>
  </si>
  <si>
    <t>Standing_With_Movement*In_Position_Upright*Shopping_Non-Grocery*Carrying_Bag_On_Shoulder/Back_Light|Located_Indoors</t>
  </si>
  <si>
    <t>Sitting_With_Movement*In_Position_Sitting*Using_Computer/Screen*Browsing_Computer|Handwriting|Located_Indoors|Typing_Computer</t>
  </si>
  <si>
    <t>Applying_Makeup*In_Position_Upright*Grooming/Self_Care*Holding_Other_Object_Light|Located_Indoors</t>
  </si>
  <si>
    <t>Walking*In_Position_Upright*In_Transit_Active|Meeting_Social_Gathering_In_Person*Carrying_Grocery_Bags_Light|In_Conversation|Located_Indoors</t>
  </si>
  <si>
    <t>Kneeling_With_Movement*In_Position_Kneeling*Doing_Laundry*Holding_Other_Object_Light|Located_Indoors</t>
  </si>
  <si>
    <t>Puttering_Around*In_Position_Upright*Doing_Common_Housework|Doing_Home_Repair*Holding_Other_Object_Light</t>
  </si>
  <si>
    <t>Sitting_With_Movement*In_Position_Sitting*Eating/Dining|Meeting_Social_Gathering_In_Person*Holding_Drink|Located_Indoors</t>
  </si>
  <si>
    <t>Standing_With_Movement*In_Position_Upright*Watching_TV/Movies*Located_Indoors|Texting/Browsing_Phone</t>
  </si>
  <si>
    <t>Sitting_With_Movement*In_Position_Sitting*Working_Other*CP_Video_Unavailable/Indecipherable|Legs_Crossed|Located_Indoors</t>
  </si>
  <si>
    <t>Standing_With_Movement*In_Position_Upright*Cleaning|Doing_Dishes*Holding_Other_Object_Light|Located_Indoors</t>
  </si>
  <si>
    <t>Puttering_Around*In_Position_Upright*In_Bathroom*Holding_Other_Object_Light|Located_Indoors</t>
  </si>
  <si>
    <t>Sitting_With_Movement*In_Position_Sitting*In_Transit_Passive_Train/Bus/Plane*Carrying_Bag_On_Shoulder/Back_Light|Carrying_Grocery_Bags_Light|Located_Outdoors</t>
  </si>
  <si>
    <t>Puttering_Around*In_Position_Upright*In_Transit_Active*Holding_Drink|Located_Indoors</t>
  </si>
  <si>
    <t>Standing_With_Movement*In_Position_Upright*In_Transit_Active|Meeting_Social_Gathering_In_Person*Located_Indoors</t>
  </si>
  <si>
    <t>Sitting_With_Movement*In_Position_Reclining/Slouching*Relaxing_Passive*In_Conversation|Located_Indoors</t>
  </si>
  <si>
    <t>Puttering_Around*In_Position_Upright*Cooking/Prepping_Food*In_Conversation|Located_Indoors|Texting/Browsing_Phone</t>
  </si>
  <si>
    <t>Walking*In_Position_Upright*In_Transit_Active|Meeting_Social_Gathering_In_Person*Holding_Other_Object_Light|Located_Indoors</t>
  </si>
  <si>
    <t>Standing_With_Movement*In_Position_Upright*Walking_Pet*Located_Outdoors</t>
  </si>
  <si>
    <t>Sitting_With_Movement*In_Position_Sitting*Doing_Common_Housework*Holding_Other_Object_Light|Located_Indoors</t>
  </si>
  <si>
    <t>Puttering_Around*In_Position_Upright*In_Bathroom*Carrying_Bag_On_Shoulder/Back_Light|Located_Indoors</t>
  </si>
  <si>
    <t>Sitting_With_Movement*In_Position_Sitting*Meeting_Virtual*Legs_Crossed|Located_Indoors|On_Video_Call/FaceTime</t>
  </si>
  <si>
    <t>Puttering_Around*In_Position_Upright*In_Transit_Active*Carrying_Bag_On_Shoulder/Back_Light|Located_Indoors|Texting/Browsing_Phone</t>
  </si>
  <si>
    <t>Standing_With_Movement*In_Position_Upright*In_Transit_Passive_Train/Bus/Plane*Carrying_Bag_On_Shoulder/Back_Light</t>
  </si>
  <si>
    <t>Standing_With_Movement*In_Position_Upright*Meeting_Social_Gathering_In_Person|Riding_Elevator_Up*Located_Indoors</t>
  </si>
  <si>
    <t>Walking*In_Position_Upright*Doing_Common_Housework|In_Transit_Active*Located_Indoors</t>
  </si>
  <si>
    <t>Sitting_With_Movement*In_Position_Sitting*HIGH_LEVEL_BEHAVIOR_Unlabeled*Holding_Other_Object_Light|Texting/Browsing_Phone</t>
  </si>
  <si>
    <t>Standing_With_Movement*In_Position_Upright*HLB_Other*Handwriting|Located_Indoors</t>
  </si>
  <si>
    <t>Puttering_Around*In_Position_Upright*HLB_Other*Located_Indoors|Texting/Browsing_Phone</t>
  </si>
  <si>
    <t>Sitting_With_Movement*In_Position_Sitting*Working_Other*Holding_Drink|Located_Indoors|Texting/Browsing_Phone</t>
  </si>
  <si>
    <t>Walking*In_Position_Upright*Eating/Dining*Holding_Solid_Food|Located_Indoors</t>
  </si>
  <si>
    <t>Sitting_With_Movement*In_Position_Sitting*Meeting_Social_Gathering_In_Person|Playing_Videogame*In_Conversation|Located_Indoors|Texting/Browsing_Phone</t>
  </si>
  <si>
    <t>Puttering_Around*In_Position_Upright*HIGH_LEVEL_BEHAVIOR_Unlabeled*Located_Indoors|On_Phone_Call|Texting/Browsing_Phone</t>
  </si>
  <si>
    <t>Sitting_With_Movement*In_Position_Sitting*In_Transit_Passive_Train/Bus/Plane|Playing_Videogame*Holding_Bag/Briefcase_Hand_Light|Located_Outdoors</t>
  </si>
  <si>
    <t>Puttering_Around*In_Position_Upright*Cooking/Prepping_Food|Eating/Dining*Holding_Drink|Holding_Other_Object_Light|Located_Indoors</t>
  </si>
  <si>
    <t>Sitting_With_Movement*In_Position_Sitting*Playing_Videogame*Holding_Other_Object_Light|Located_Indoors|On_Phone_Call</t>
  </si>
  <si>
    <t>Standing_With_Movement*In_Position_Upright*Cooking/Prepping_Food*Holding_Drink|Holding_Other_Object_Light|Located_Indoors</t>
  </si>
  <si>
    <t>Sitting_With_Movement*In_Position_Sitting*Meeting_Social_Gathering_In_Person|Using_Computer/Screen*Located_Indoors|Texting/Browsing_Phone</t>
  </si>
  <si>
    <t>Sitting_With_Movement*In_Position_Sitting*Eating/Dining|In_Transit_Active*Holding_Solid_Food|In_Conversation|Located_Outdoors</t>
  </si>
  <si>
    <t>Puttering_Around*In_Position_Upright*Packing/Unpacking_Something|Shopping_Grocery*Located_Indoors</t>
  </si>
  <si>
    <t>Puttering_Around*In_Position_Upright*Cooking/Prepping_Food|Packing/Unpacking_Something*Holding_Other_Object_Light|Located_Indoors</t>
  </si>
  <si>
    <t>Standing_With_Movement*In_Position_Upright*Working_Other*Located_Indoors|Typing_Computer</t>
  </si>
  <si>
    <t>Standing_With_Movement*In_Position_Upright*Eating/Dining|Meeting_Virtual|Using_Computer/Screen*Holding_Solid_Food|Located_Indoors</t>
  </si>
  <si>
    <t>Puttering_Around*In_Position_Upright*Doing_Alternative_Exercise/Therapy/Stretching*Located_Indoors</t>
  </si>
  <si>
    <t>Sitting_With_Movement*In_Position_Sitting*Watching_TV/Movies*In_Conversation|Legs_Uncrossed|Located_Indoors</t>
  </si>
  <si>
    <t>Sitting_With_Movement*In_Position_Reclining/Slouching*Using_Computer/Screen*In_Conversation|Located_Indoors|Texting/Browsing_Phone</t>
  </si>
  <si>
    <t>Sitting_With_Movement*In_Position_Sitting*Eating/Dining|Relaxing_Passive*Holding_Solid_Food|Legs_Uncrossed|Located_Indoors|On_Video_Call/FaceTime|Texting/Browsing_Phone</t>
  </si>
  <si>
    <t>Sitting_With_Movement*In_Position_Sitting*Eating/Dining|Relaxing_Passive|Using_Computer/Screen|Watching_TV/Movies*Located_Indoors</t>
  </si>
  <si>
    <t>Sitting_With_Movement*In_Position_Sitting*Eating/Dining|Meeting_Social_Gathering_In_Person*Holding_Solid_Food|In_Conversation|Legs_Crossed|Located_Outdoors</t>
  </si>
  <si>
    <t>Standing_With_Movement*Posture_Too_Complex*Packing/Unpacking_Something*Holding_Other_Object_Light|Located_Indoors</t>
  </si>
  <si>
    <t>Walking*In_Position_Upright*HIGH_LEVEL_BEHAVIOR_Unlabeled*Holding_Bag/Briefcase_Hand_Light|Located_Indoors</t>
  </si>
  <si>
    <t>Puttering_Around*In_Position_Upright*In_Transit_Active*Carrying_Bag_On_Shoulder/Back_Light|Holding_Other_Object_Light|Located_Indoors</t>
  </si>
  <si>
    <t>Sitting_With_Movement*In_Position_Sitting*Meeting_Social_Gathering_In_Person*Holding_Drink|Located_Indoors|Texting/Browsing_Phone</t>
  </si>
  <si>
    <t>Puttering_Around*In_Position_Upright*Walking_Pet*Located_Outdoors</t>
  </si>
  <si>
    <t>Puttering_Around*In_Position_Upright*Playing_With_Pets*Holding_Other_Object_Light|Located_Indoors</t>
  </si>
  <si>
    <t>Puttering_Around*In_Position_Upright*In_Transit_Active*Carrying_Bag_On_Shoulder/Back_Light|Located_Indoors</t>
  </si>
  <si>
    <t>Kneeling_With_Movement*In_Position_Kneeling*HIGH_LEVEL_BEHAVIOR_Unlabeled*Located_Indoors|Texting/Browsing_Phone</t>
  </si>
  <si>
    <t>Standing_With_Movement*In_Position_Upright*Relaxing_Passive*Located_Indoors|Texting/Browsing_Phone</t>
  </si>
  <si>
    <t>Kneeling_With_Movement*In_Position_Kneeling*Doing_Common_Housework*Holding_Other_Object_Light|Located_Indoors</t>
  </si>
  <si>
    <t>Sitting_With_Movement*In_Position_Sitting*Meeting_Social_Gathering_In_Person|Working_Other*Located_Indoors</t>
  </si>
  <si>
    <t>Standing_With_Movement*In_Position_Upright*Meeting_Social_Gathering_In_Person|Riding_Elevator_Down*Located_Indoors</t>
  </si>
  <si>
    <t>Puttering_Around*In_Position_Upright*In_Transit_Active*In_Conversation|Located_Indoors</t>
  </si>
  <si>
    <t>Applying_Makeup*In_Position_Upright*Grooming/Self_Care*Located_Indoors</t>
  </si>
  <si>
    <t>Sitting_With_Movement*In_Position_Sitting*Dressing/Undressing|Watching_TV/Movies*Holding_Other_Object_Light|Located_Indoors</t>
  </si>
  <si>
    <t>Watering_Plants*In_Position_Upright*Gardening*Located_Indoors</t>
  </si>
  <si>
    <t>Walking*In_Position_Upright*Dressing/Undressing*Located_Indoors</t>
  </si>
  <si>
    <t>Standing_With_Movement*In_Position_Upright*Cooking/Prepping_Food*Holding_Other_Object_Light|Holding_Solid_Food|In_Conversation|Located_Indoors</t>
  </si>
  <si>
    <t>Sitting_With_Movement*In_Position_Sitting*HLB_Other|Meeting_Virtual*Located_Indoors|On_Video_Call/FaceTime|Texting/Browsing_Phone</t>
  </si>
  <si>
    <t>Sitting_With_Movement*In_Position_Sitting*Eating/Dining|Relaxing_Passive|Using_Computer/Screen|Watching_TV/Movies*Holding_Other_Object_Light|Located_Indoors</t>
  </si>
  <si>
    <t>Sitting_With_Movement*In_Position_Sitting*HIGH_LEVEL_BEHAVIOR_Unlabeled*Handwriting|Located_Indoors|On_Phone_Call</t>
  </si>
  <si>
    <t>Puttering_Around*In_Position_Upright*Cooking/Prepping_Food|Doing_Dishes*Located_Indoors</t>
  </si>
  <si>
    <t>Sitting_With_Movement*In_Position_Reclining/Slouching*Meeting_Social_Gathering_In_Person|Playing_Videogame*Holding_Other_Object_Light|In_Conversation|Located_Indoors</t>
  </si>
  <si>
    <t>Sitting_Still*In_Position_Sitting*In_Transit_Driving_Car*Located_Outdoors|Texting/Browsing_Phone</t>
  </si>
  <si>
    <t>Sitting_With_Movement*In_Position_Sitting*Meeting_Virtual|Using_Computer/Screen*Legs_Crossed|Located_Indoors|On_Video_Call/FaceTime</t>
  </si>
  <si>
    <t>Standing_With_Movement*In_Position_Upright*Doing_Laundry|Watching_TV/Movies*In_Conversation|Located_Indoors</t>
  </si>
  <si>
    <t>Standing_With_Movement*In_Position_Upright*In_Transit_Active|Riding_Elevator_Down*Holding_Other_Object_Light|Located_Indoors</t>
  </si>
  <si>
    <t>Standing_With_Movement*In_Position_Upright*Doing_Common_Housework_Light|Doing_Dishes*Located_Indoors</t>
  </si>
  <si>
    <t>Lying_With_Movement*Lying_On_Back*Relaxing_Passive*Located_Indoors|On_Phone_Call|Texting/Browsing_Phone</t>
  </si>
  <si>
    <t>Sitting_With_Movement*In_Position_Sitting*Eating/Dining*Located_Outdoors|Texting/Browsing_Phone</t>
  </si>
  <si>
    <t>Standing_With_Movement*In_Position_Upright*Cooking/Prepping_Food*Holding_Other_Object_Light|Located_Indoors|On_Phone_Call</t>
  </si>
  <si>
    <t>Walking*In_Position_Upright*Shopping_Grocery*In_Conversation|Located_Indoors</t>
  </si>
  <si>
    <t>Lying_With_Movement*Lying_On_Back*Using_Computer/Screen*Located_Indoors</t>
  </si>
  <si>
    <t>Standing_With_Movement*In_Position_Upright*In_Transit_Active|Meeting_Social_Gathering_In_Person*Carrying_Bag_On_Shoulder/Back_Light|In_Conversation|Located_Outdoors</t>
  </si>
  <si>
    <t>Sitting_With_Movement*In_Position_Reclining/Slouching*Playing_With_Pets*Located_Indoors</t>
  </si>
  <si>
    <t>Sitting_With_Movement*In_Position_Sitting*Relaxing_Passive*Holding_Other_Object_Light|Located_Indoors|On_Phone_Call</t>
  </si>
  <si>
    <t>Puttering_Around*In_Position_Upright*Meeting_Social_Gathering_In_Person*Carrying_Grocery_Bags_Light|Holding_Other_Object_Light|In_Conversation|Located_Indoors</t>
  </si>
  <si>
    <t>Sitting_With_Movement*In_Position_Sitting*Exercising_Gym_Stationary_Bicycle*Located_Indoors</t>
  </si>
  <si>
    <t>Walking*In_Position_Upright*In_Transit_Active*Holding_Other_Object_Light|In_Conversation|Located_Outdoors|On_Video_Call/FaceTime</t>
  </si>
  <si>
    <t>Puttering_Around*In_Position_Upright*HIGH_LEVEL_BEHAVIOR_Unlabeled*Carrying_Bag_On_Shoulder/Back_Light|Located_Indoors|Texting/Browsing_Phone</t>
  </si>
  <si>
    <t>Sitting_With_Movement*In_Position_Sitting*Eating/Dining|Using_Computer/Screen*Holding_Drink|Located_Indoors</t>
  </si>
  <si>
    <t>Kneeling_With_Movement*In_Position_Kneeling*Cooking/Prepping_Food*Located_Indoors</t>
  </si>
  <si>
    <t>Standing_With_Movement*In_Position_Upright*Doing_Common_Housework*Located_Indoors|Texting/Browsing_Phone</t>
  </si>
  <si>
    <t>Doing_Resistance_Training_Free_Weights*In_Position_Kneeling*Doing_Resistance_Training*Holding_Other_Object_Heavy|Located_Indoors</t>
  </si>
  <si>
    <t>Standing_With_Movement*In_Position_Upright*HIGH_LEVEL_BEHAVIOR_Unlabeled*Holding_Bag/Briefcase_Hand_Light|Located_Indoors</t>
  </si>
  <si>
    <t>Folding_Clothes*In_Position_Sitting*Doing_Laundry*Holding_Other_Object_Light|Located_Indoors</t>
  </si>
  <si>
    <t>Sitting_With_Movement*In_Position_Sitting*Cooking/Prepping_Food*Located_Indoors</t>
  </si>
  <si>
    <t>Walking*In_Position_Upright*Doing_Common_Housework|In_Transit_Active|Meeting_Social_Gathering_In_Person*Located_Indoors</t>
  </si>
  <si>
    <t>Puttering_Around*In_Position_Upright*Cooking/Prepping_Food*Located_Indoors|On_Video_Call/FaceTime|Texting/Browsing_Phone</t>
  </si>
  <si>
    <t>Folding_Clothes*In_Position_Upright*Doing_Common_Housework_Light|Doing_Laundry*Holding_Other_Object_Light|Located_Indoors</t>
  </si>
  <si>
    <t>Sitting_With_Movement*In_Position_Reclining/Slouching*HIGH_LEVEL_BEHAVIOR_Unlabeled*Holding_Other_Object_Light|Located_Indoors</t>
  </si>
  <si>
    <t>Standing_With_Movement*In_Position_Upright*Grooming/Self_Care*Carrying_Bag_On_Shoulder/Back_Light|Located_Indoors</t>
  </si>
  <si>
    <t>Walking_Slow*In_Position_Upright*In_Transit_Passive_Train/Bus/Plane*Located_Outdoors</t>
  </si>
  <si>
    <t>Sitting_With_Movement*In_Position_Sitting*Eating/Dining|Relaxing_Passive*Holding_Solid_Food|Located_Indoors|Texting/Browsing_Phone</t>
  </si>
  <si>
    <t>Walking*In_Position_Upright*In_Transit_Active*Holding_Bag/Briefcase_Hand_Light|Holding_Other_Object_Light|Located_Outdoors</t>
  </si>
  <si>
    <t>Puttering_Around*In_Position_Upright*In_Transit_Passive_Train/Bus/Plane*Carrying_Bag_On_Shoulder/Back_Light|Located_Outdoors</t>
  </si>
  <si>
    <t>Standing_With_Movement*In_Position_Upright*Using_Computer/Screen*In_Conversation|Located_Outdoors</t>
  </si>
  <si>
    <t>Organizing_Shelf/Cabinet*In_Position_Kneeling*HIGH_LEVEL_BEHAVIOR_Unlabeled*Holding_Other_Object_Light|Located_Indoors</t>
  </si>
  <si>
    <t>Standing_With_Movement*In_Position_Upright*Shopping_Non-Grocery*Carrying_Bag_On_Shoulder/Back_Light|Holding_Bag/Briefcase_Hand_Light|Holding_Other_Object_Light|Located_Indoors</t>
  </si>
  <si>
    <t>Sitting_With_Movement*In_Position_Sitting*Working_Other*Handwriting|Holding_Other_Object_Light|Located_Indoors|Texting/Browsing_Phone</t>
  </si>
  <si>
    <t>Sitting_With_Movement*In_Position_Sitting*Using_Computer/Screen*Browsing_Computer|Handwriting|Holding_Other_Object_Light|In_Conversation|Located_Indoors|On_Video_Call/FaceTime</t>
  </si>
  <si>
    <t>Lying_With_Movement*Lying_On_Back*Relaxing_Passive|Using_Computer/Screen|Watching_TV/Movies*Located_Indoors|Texting/Browsing_Phone</t>
  </si>
  <si>
    <t>Puttering_Around*In_Position_Upright*HIGH_LEVEL_BEHAVIOR_Unlabeled*CONTEXTUAL_PARAMETERS_Unlabeled</t>
  </si>
  <si>
    <t>Puttering_Around*In_Position_Upright*Cooking/Prepping_Food|Meeting_Virtual|Using_Computer/Screen*Located_Indoors</t>
  </si>
  <si>
    <t>Sitting_With_Movement*In_Position_Sitting*In_Transit_Passive_Car*Located_Outdoors|On_Phone_Call</t>
  </si>
  <si>
    <t>Sitting_With_Movement*In_Position_Sitting*Eating/Dining*Carrying_Bag_On_Shoulder/Back_Light|Holding_Solid_Food|Located_Outdoors</t>
  </si>
  <si>
    <t>Puttering_Around*In_Position_Upright*Doing_Common_Housework_Light*Holding_Other_Object_Light|Holding_Solid_Food|Located_Indoors</t>
  </si>
  <si>
    <t>Doing_Resistance_Training_Other*In_Position_Upright*Doing_Resistance_Training|Exercising_Gym_Other*Located_Indoors</t>
  </si>
  <si>
    <t>Puttering_Around*In_Position_Upright*HLB_Other*Carrying_Bag_On_Shoulder/Back_Light|In_Conversation</t>
  </si>
  <si>
    <t>Sitting_With_Movement*In_Position_Sitting*HIGH_LEVEL_BEHAVIOR_Unlabeled*Holding_Drink|In_Conversation|Located_Indoors|Texting/Browsing_Phone</t>
  </si>
  <si>
    <t>Standing_With_Movement*In_Position_Upright*Meeting_Social_Gathering_In_Person|Playing_Sports/Games*Holding_Other_Object_Light|Located_Outdoors</t>
  </si>
  <si>
    <t>Walking*In_Position_Upright*Doing_Common_Housework|In_Transit_Active*Holding_Other_Object_Light|Located_Indoors</t>
  </si>
  <si>
    <t>Walking_Slow*In_Position_Upright*In_Transit_Active*Carrying_Bag_On_Shoulder/Back_Heavy|Holding_Other_Object_Light|Located_Outdoors</t>
  </si>
  <si>
    <t>Standing_With_Movement*In_Position_Upright*In_Transit_Active*Carrying_Bag_On_Shoulder/Back_Light|Holding_Drink|Located_Outdoors</t>
  </si>
  <si>
    <t>Lying_Still*Lying_On_Left_Side*HLB_Video_Unavailable/Indecipherable*CP_Video_Unavailable/Indecipherable|Located_Indoors</t>
  </si>
  <si>
    <t>Puttering_Around*In_Position_Upright*Cooking/Prepping_Food*Holding_Other_Object_Light</t>
  </si>
  <si>
    <t>Sitting_With_Movement*In_Position_Sitting*Meeting_Virtual|Watching_Lecture*Located_Indoors</t>
  </si>
  <si>
    <t>Sitting_With_Movement*In_Position_Sitting*Eating/Dining|Watching_TV/Movies*Legs_Crossed|Located_Indoors</t>
  </si>
  <si>
    <t>Sitting_With_Movement*In_Position_Sitting*Eating/Dining|Meeting_Social_Gathering_In_Person|Watching_TV/Movies*Holding_Other_Object_Light|Located_Indoors</t>
  </si>
  <si>
    <t>Sitting_With_Movement*In_Position_Sitting*HIGH_LEVEL_BEHAVIOR_Unlabeled*Located_Indoors|Unsure</t>
  </si>
  <si>
    <t>Standing_With_Movement*In_Position_Upright*Using_Computer/Screen|Watching_TV/Movies*Located_Indoors|Texting/Browsing_Phone</t>
  </si>
  <si>
    <t>Puttering_Around*In_Position_Upright*Cooking/Prepping_Food|Eating/Dining*Holding_Drink|Holding_Other_Object_Light|Holding_Solid_Food|Located_Indoors</t>
  </si>
  <si>
    <t>Sitting_With_Movement*In_Position_Sitting*In_Transit_Passive_Train/Bus/Plane*Carrying_Bag_On_Shoulder/Back_Light|Holding_Other_Object_Light|Located_Outdoors</t>
  </si>
  <si>
    <t>Sitting_With_Movement*In_Position_Reclining/Slouching*Watching_TV/Movies*Holding_Solid_Food|Located_Indoors</t>
  </si>
  <si>
    <t>Standing_With_Movement*In_Position_Upright*Using_Computer/Screen*Carrying_Bag_On_Shoulder/Back_Light|Carrying_Grocery_Bags_Light|Located_Indoors</t>
  </si>
  <si>
    <t>Standing_With_Movement*In_Position_Upright*Watching_TV/Movies*Holding_Other_Object_Light|In_Conversation|Located_Indoors</t>
  </si>
  <si>
    <t>Sitting_With_Movement*In_Position_Sitting*Grooming/Self_Care*Holding_Other_Object_Light|In_Conversation|Located_Outdoors</t>
  </si>
  <si>
    <t>Sitting_With_Movement*In_Position_Sitting*Meeting_Social_Gathering_In_Person|Working_Other*CP_Other|Located_Indoors</t>
  </si>
  <si>
    <t>Lying_With_Movement*Lying_On_Back*Playing_Videogame|Using_Computer/Screen*Holding_Other_Object_Light|Located_Indoors</t>
  </si>
  <si>
    <t>Standing_With_Movement*In_Position_Upright*In_Transit_Active*Carrying_Bag_On_Shoulder/Back_Heavy|Located_Outdoors|Texting/Browsing_Phone</t>
  </si>
  <si>
    <t>Organizing_Shelf/Cabinet*In_Position_Upright*Packing/Unpacking_Something*Holding_Other_Object_Light|Located_Indoors</t>
  </si>
  <si>
    <t>Puttering_Around*In_Position_Upright*Eating/Dining|Meeting_Social_Gathering_In_Person|Watching_TV/Movies*In_Conversation|Located_Indoors|Texting/Browsing_Phone</t>
  </si>
  <si>
    <t>Standing_With_Movement*In_Position_Upright*HIGH_LEVEL_BEHAVIOR_Unlabeled*Located_Indoors|Unsure</t>
  </si>
  <si>
    <t>Sitting_With_Movement*In_Position_Sitting*Meeting_Social_Gathering_In_Person|Using_Computer/Screen|Watching_TV/Movies*Legs_Crossed|Located_Indoors</t>
  </si>
  <si>
    <t>Sitting_With_Movement*In_Position_Sitting*Using_Computer/Screen*Holding_Other_Object_Light|In_Conversation|Located_Indoors</t>
  </si>
  <si>
    <t>Puttering_Around*In_Position_Upright*In_Transit_Active|Shopping_Non-Grocery*Located_Indoors</t>
  </si>
  <si>
    <t>Standing_With_Movement*In_Position_Upright*Riding_Elevator_Down*Carrying_Bag_On_Shoulder/Back_Light|Located_Indoors|Texting/Browsing_Phone</t>
  </si>
  <si>
    <t>Standing_With_Movement*In_Position_Upright*Meeting_Social_Gathering_In_Person*Holding_Other_Object_Light|In_Conversation|Located_Indoors|Texting/Browsing_Phone</t>
  </si>
  <si>
    <t>Standing_With_Movement*In_Position_Upright*HLB_Other*Located_Outdoors</t>
  </si>
  <si>
    <t>Sitting_With_Movement*In_Position_Sitting*In_Transit_Active|Meeting_Social_Gathering_In_Person*In_Conversation|Legs_Crossed|Located_Indoors|Texting/Browsing_Phone</t>
  </si>
  <si>
    <t>Puttering_Around*In_Position_Upright*Cooking/Prepping_Food*Holding_Other_Object_Heavy|Holding_Other_Object_Light|Located_Indoors</t>
  </si>
  <si>
    <t>Walking_Down_Stairs*In_Position_Upright*Cleaning*Located_Indoors</t>
  </si>
  <si>
    <t>Sitting_With_Movement*In_Position_Sitting*Using_Computer/Screen*Legs_Uncrossed|Located_Indoors|Texting/Browsing_Phone</t>
  </si>
  <si>
    <t>Sitting_With_Movement*In_Position_Sitting*Relaxing_Passive*Holding_Other_Object_Light|Located_Outdoors</t>
  </si>
  <si>
    <t>Walking*In_Position_Upright*In_Transit_Active*Holding_Other_Object_Light|Located_Indoors|Located_Outdoors</t>
  </si>
  <si>
    <t>Standing_With_Movement*In_Position_Upright*Using_Computer/Screen*Holding_Other_Object_Light|Located_Indoors</t>
  </si>
  <si>
    <t>Lying_With_Movement*Lying_On_Back*Exercising_Gym_Other*In_Conversation|Located_Indoors</t>
  </si>
  <si>
    <t>Kneeling_With_Movement*In_Position_Kneeling*Playing_With_Children_Light*In_Conversation|Located_Indoors</t>
  </si>
  <si>
    <t>Sitting_With_Movement*In_Position_Sitting*Meeting_Virtual|Using_Computer/Screen*Handwriting|Holding_Other_Object_Light|Located_Indoors|On_Video_Call/FaceTime</t>
  </si>
  <si>
    <t>Standing_With_Movement*In_Position_Upright*Using_Computer/Screen*Holding_Other_Object_Light|Located_Indoors|Texting/Browsing_Phone</t>
  </si>
  <si>
    <t>Walking*In_Position_Upright*Eating/Dining|In_Transit_Active*Holding_Other_Object_Light|Located_Indoors</t>
  </si>
  <si>
    <t>Standing_With_Movement*In_Position_Upright*In_Transit_Passive_Train/Bus/Plane*Holding_Other_Object_Light|Located_Outdoors</t>
  </si>
  <si>
    <t>Sitting_With_Movement*In_Position_Sitting*Working_Other*Holding_Book/Reader|Located_Indoors</t>
  </si>
  <si>
    <t>Puttering_Around*In_Position_Upright*Meeting_Virtual|Using_Computer/Screen*Located_Indoors</t>
  </si>
  <si>
    <t>Puttering_Around*In_Position_Upright*Meeting_Social_Gathering_In_Person*Holding_Solid_Food|Located_Indoors</t>
  </si>
  <si>
    <t>Sitting_With_Movement*In_Position_Sitting*Doing_Common_Housework_Light*Holding_Other_Object_Light|Located_Indoors</t>
  </si>
  <si>
    <t>Puttering_Around*In_Position_Upright*Meeting_Virtual*In_Conversation|Located_Indoors|On_Video_Call/FaceTime</t>
  </si>
  <si>
    <t>Sitting_With_Movement*In_Position_Sitting*Meeting_Virtual|Using_Computer/Screen*Browsing_Computer|Legs_Uncrossed|Located_Indoors|Typing_Computer</t>
  </si>
  <si>
    <t>Sitting_With_Movement*In_Position_Sitting*Eating/Dining|In_Transit_Passive_Car*Holding_Solid_Food|In_Conversation|Located_Outdoors</t>
  </si>
  <si>
    <t>Walking*In_Position_Upright*In_Transit_Active*Holding_Bag/Briefcase_Hand_Light</t>
  </si>
  <si>
    <t>Standing_With_Movement*In_Position_Upright*Meeting_Social_Gathering_In_Person|Packing/Unpacking_Something*Holding_Other_Object_Light|Located_Indoors</t>
  </si>
  <si>
    <t>Sitting_With_Movement*In_Position_Sitting*Eating/Dining|Relaxing_Passive*Holding_Solid_Food|Legs_Uncrossed|Located_Indoors|On_Video_Call/FaceTime</t>
  </si>
  <si>
    <t>Sitting_With_Movement*In_Position_Sitting*Meeting_Social_Gathering_In_Person|Using_Computer/Screen|Working_Other*Located_Indoors</t>
  </si>
  <si>
    <t>Puttering_Around*In_Position_Upright*Eating/Dining|Meeting_Social_Gathering_In_Person*Located_Indoors</t>
  </si>
  <si>
    <t>Organizing_Shelf/Cabinet*In_Position_Upright*Doing_Common_Housework_Light*Holding_Other_Object_Light|Located_Indoors</t>
  </si>
  <si>
    <t>Walking_Slow*In_Position_Upright*HIGH_LEVEL_BEHAVIOR_Unlabeled*Holding_Other_Object_Light|Located_Indoors</t>
  </si>
  <si>
    <t>Standing_With_Movement*In_Position_Upright*Dressing/Undressing|HLB_Other*Located_Indoors</t>
  </si>
  <si>
    <t>Puttering_Around*In_Position_Upright*HIGH_LEVEL_BEHAVIOR_Unlabeled*Holding_Bag/Briefcase_Hand_Light|Located_Indoors</t>
  </si>
  <si>
    <t>Sitting_With_Movement*In_Position_Sitting*In_Transit_Active|Meeting_Social_Gathering_In_Person*Holding_Other_Object_Light|In_Conversation|Located_Indoors|Texting/Browsing_Phone</t>
  </si>
  <si>
    <t>Puttering_Around*In_Position_Upright*Grooming/Self_Care*Located_Indoors</t>
  </si>
  <si>
    <t>Puttering_Around*In_Position_Upright*Eating/Dining|Meeting_Social_Gathering_In_Person*Holding_Other_Object_Light|In_Conversation|Located_Indoors</t>
  </si>
  <si>
    <t>Puttering_Around*In_Position_Upright*Doing_Laundry|Meeting_Virtual*Located_Indoors|On_Video_Call/FaceTime|Texting/Browsing_Phone</t>
  </si>
  <si>
    <t>Standing_With_Movement*In_Position_Upright*HIGH_LEVEL_BEHAVIOR_Unlabeled*Carrying_Bag_On_Shoulder/Back_Heavy|In_Conversation|Located_Outdoors|Texting/Browsing_Phone</t>
  </si>
  <si>
    <t>Standing_With_Movement*In_Position_Upright*HIGH_LEVEL_BEHAVIOR_Unlabeled*Holding_Other_Object_Light|Located_Indoors|On_Video_Call/FaceTime</t>
  </si>
  <si>
    <t>Standing_With_Movement*In_Position_Upright*HIGH_LEVEL_BEHAVIOR_Unlabeled*Holding_Solid_Food|Located_Indoors</t>
  </si>
  <si>
    <t>Standing_With_Movement*In_Position_Upright*Loading/Unloading_Vehicle*Holding_Bag/Briefcase_Hand_Light|Holding_Other_Object_Light|Located_Outdoors</t>
  </si>
  <si>
    <t>Standing_With_Movement*In_Position_Upright*HIGH_LEVEL_BEHAVIOR_Unlabeled*Carrying_Bag_On_Shoulder/Back_Heavy|Located_Outdoors|Texting/Browsing_Phone</t>
  </si>
  <si>
    <t>Sitting_With_Movement*In_Position_Sitting*Meeting_Virtual|Using_Computer/Screen*In_Conversation|Legs_Crossed|Located_Indoors|On_Video_Call/FaceTime</t>
  </si>
  <si>
    <t>Sitting_With_Movement*In_Position_Sitting*Cooking/Prepping_Food*Holding_Solid_Food|Located_Indoors</t>
  </si>
  <si>
    <t>Standing_With_Movement*In_Position_Upright*HLB_Other*Holding_Book/Reader|Located_Indoors</t>
  </si>
  <si>
    <t>Sitting_With_Movement*In_Position_Sitting*In_Transit_Driving_Car*Holding_Other_Object_Light|Located_Outdoors|On_Phone_Call</t>
  </si>
  <si>
    <t>Standing_With_Movement*In_Position_Upright*Meeting_Social_Gathering_In_Person|Playing_Sports/Games*In_Conversation|Located_Outdoors</t>
  </si>
  <si>
    <t>Standing_With_Movement*In_Position_Upright*Riding_Elevator_Down*Holding_Other_Object_Light|Located_Indoors|Texting/Browsing_Phone</t>
  </si>
  <si>
    <t>Sitting_With_Movement*In_Position_Sitting*Eating/Dining|Watching_TV/Movies*Browsing_Computer|Located_Indoors</t>
  </si>
  <si>
    <t>Walking*In_Position_Upright*Doing_Common_Housework_Light*Holding_Other_Object_Light|Located_Indoors</t>
  </si>
  <si>
    <t>Dry_Mopping*In_Position_Upright*Cleaning*Holding_Other_Object_Light|Located_Indoors</t>
  </si>
  <si>
    <t>Sitting_With_Movement*In_Position_Sitting*Eating/Dining|Meeting_Social_Gathering_In_Person*Holding_Drink|Holding_Other_Object_Light|Located_Indoors|Texting/Browsing_Phone</t>
  </si>
  <si>
    <t>Standing_With_Movement*In_Position_Upright*In_Transit_Active|Shopping_Non-Grocery*Holding_Other_Object_Light|Located_Indoors</t>
  </si>
  <si>
    <t>Sitting_With_Movement*In_Position_Sitting*HLB_Other|HLB_Video_Unavailable/Indecipherable*CP_Video_Unavailable/Indecipherable|Located_Indoors</t>
  </si>
  <si>
    <t>Lying_With_Movement*Lying_On_Left_Side*Sleeping*Located_Indoors</t>
  </si>
  <si>
    <t>Puttering_Around*In_Position_Upright*Administering_Care_Child/Elder/Other_Adult|Meeting_Social_Gathering_In_Person*Holding_Other_Object_Light|Located_Indoors</t>
  </si>
  <si>
    <t>Walking*In_Position_Upright*Eating/Dining|In_Transit_Active*Holding_Other_Object_Light|Holding_Solid_Food|Located_Outdoors</t>
  </si>
  <si>
    <t>Sitting_With_Movement*In_Position_Sitting*Eating/Dining*Holding_Book/Reader|Holding_Other_Object_Light|Located_Indoors</t>
  </si>
  <si>
    <t>Sitting_With_Movement*In_Position_Reclining/Slouching*Using_Computer/Screen*CP_Video_Unavailable/Indecipherable|Located_Indoors</t>
  </si>
  <si>
    <t>Puttering_Around*In_Position_Upright*Doing_Common_Housework|Doing_Laundry*Holding_Other_Object_Light|Located_Indoors</t>
  </si>
  <si>
    <t>Sitting_With_Movement*In_Position_Sitting*Using_Computer/Screen*Located_Outdoors|Texting/Browsing_Phone</t>
  </si>
  <si>
    <t>Walking_Up_Stairs*In_Position_Upright*HIGH_LEVEL_BEHAVIOR_Unlabeled*Located_Indoors|Texting/Browsing_Phone</t>
  </si>
  <si>
    <t>Walking*In_Position_Upright*Shopping_Non-Grocery*Holding_Other_Object_Light|Located_Outdoors</t>
  </si>
  <si>
    <t>Puttering_Around*In_Position_Upright*Watching_TV/Movies*Holding_Other_Object_Light|Located_Indoors|Texting/Browsing_Phone</t>
  </si>
  <si>
    <t>Walking*In_Position_Upright*In_Transit_Active|Meeting_Social_Gathering_In_Person*Carrying_Bag_On_Shoulder/Back_Light|Holding_Drink|Located_Outdoors</t>
  </si>
  <si>
    <t>Kneeling_With_Movement*In_Position_Kneeling*Doing_Common_Housework_Light|Packing/Unpacking_Something*Holding_Other_Object_Light|Located_Indoors</t>
  </si>
  <si>
    <t>Walking_Up_Stairs*In_Position_Upright*In_Transit_Active*Holding_Other_Object_Light|Located_Indoors</t>
  </si>
  <si>
    <t>Puttering_Around*In_Position_Upright*HIGH_LEVEL_BEHAVIOR_Unlabeled*Holding_Other_Object_Light|Located_Indoors|On_Phone_Call</t>
  </si>
  <si>
    <t>Walking*In_Position_Upright*HIGH_LEVEL_BEHAVIOR_Unlabeled*Carrying_Bag_On_Shoulder/Back_Light|In_Conversation|Located_Indoors</t>
  </si>
  <si>
    <t>Sitting_With_Movement*In_Position_Sitting*Eating/Dining|Meeting_Social_Gathering_In_Person|Watching_TV/Movies*In_Conversation|Located_Indoors</t>
  </si>
  <si>
    <t>Walking*In_Position_Upright*Doing_Laundry*Located_Indoors</t>
  </si>
  <si>
    <t>Walking*In_Position_Upright*In_Transit_Active*Carrying_Bag_On_Shoulder/Back_Light|Holding_Bag/Briefcase_Hand_Light|Holding_Other_Object_Light|Located_Outdoors</t>
  </si>
  <si>
    <t>Walking*In_Position_Upright*Eating/Dining*Holding_Other_Object_Light|Located_Indoors</t>
  </si>
  <si>
    <t>Puttering_Around*In_Position_Upright*HLB_Other|Meeting_Social_Gathering_In_Person*In_Conversation|Located_Indoors</t>
  </si>
  <si>
    <t>Puttering_Around*In_Position_Upright*Doing_Common_Housework*Located_Indoors|On_Phone_Call</t>
  </si>
  <si>
    <t>Sitting_With_Movement*In_Position_Sitting*In_Bathroom|In_Transit_Active*Carrying_Bag_On_Shoulder/Back_Light|Located_Indoors|Texting/Browsing_Phone</t>
  </si>
  <si>
    <t>Sitting_With_Movement*In_Position_Sitting*In_Transit_Passive_Train/Bus/Plane*Carrying_Bag_On_Shoulder/Back_Light|Carrying_Grocery_Bags_Light|Located_Indoors</t>
  </si>
  <si>
    <t>Standing_With_Movement*In_Position_Upright*Relaxing_Passive*Holding_Other_Object_Light|Located_Indoors</t>
  </si>
  <si>
    <t>Puttering_Around*In_Position_Upright*Cooking/Prepping_Food|In_Transit_Active*In_Conversation|Located_Indoors|Texting/Browsing_Phone</t>
  </si>
  <si>
    <t>Sitting_With_Movement*In_Position_Sitting*HIGH_LEVEL_BEHAVIOR_Unlabeled*Handwriting|Holding_Other_Object_Light|Legs_Uncrossed|Located_Indoors</t>
  </si>
  <si>
    <t>Walking*In_Position_Upright*Doing_Common_Housework|In_Transit_Active*Holding_Other_Object_Light|Located_Outdoors</t>
  </si>
  <si>
    <t>Walking*In_Position_Upright*Eating/Dining*Holding_Solid_Food|Located_Outdoors</t>
  </si>
  <si>
    <t>Sitting_With_Movement*In_Position_Sitting*Relaxing_Passive|Using_Computer/Screen*Legs_Uncrossed|Located_Indoors|Texting/Browsing_Phone</t>
  </si>
  <si>
    <t>Washing_Hands*In_Position_Upright*Cooking/Prepping_Food*Located_Indoors</t>
  </si>
  <si>
    <t>Puttering_Around*In_Position_Upright*Meeting_Social_Gathering_In_Person*Holding_Drink|Located_Indoors</t>
  </si>
  <si>
    <t>Standing_With_Movement*In_Position_Upright*In_Transit_Active*Carrying_Bag_On_Shoulder/Back_Light|Holding_Other_Object_Light|Located_Indoors</t>
  </si>
  <si>
    <t>Walking*In_Position_Upright*In_Transit_Active*Carrying_Bag_On_Shoulder/Back_Light|Holding_Solid_Food|Located_Indoors</t>
  </si>
  <si>
    <t>Standing_With_Movement*In_Position_Upright*Riding_Elevator_Up*Located_Indoors|Texting/Browsing_Phone</t>
  </si>
  <si>
    <t>Standing_With_Movement*In_Position_Upright*Playing_Sports/Games*Holding_Other_Object_Light|In_Conversation|Located_Outdoors</t>
  </si>
  <si>
    <t>Standing_With_Movement*In_Position_Upright*Meeting_Virtual|Packing/Unpacking_Something*Holding_Other_Object_Light|In_Conversation|Located_Indoors|On_Video_Call/FaceTime</t>
  </si>
  <si>
    <t>Puttering_Around*In_Position_Upright*Eating/Dining*Holding_Drink|Located_Indoors</t>
  </si>
  <si>
    <t>Standing_With_Movement*In_Position_Upright*In_Transit_Active|Riding_Elevator_Down*Carrying_Bag_On_Shoulder/Back_Light|Located_Indoors</t>
  </si>
  <si>
    <t>Sitting_With_Movement*In_Position_Sitting*Meeting_Virtual|Using_Computer/Screen*Holding_Book/Reader|Located_Indoors|On_Video_Call/FaceTime</t>
  </si>
  <si>
    <t>Walking*In_Position_Upright*Meeting_Social_Gathering_In_Person*Carrying_Bag_On_Shoulder/Back_Light|Located_Indoors</t>
  </si>
  <si>
    <t>Sitting_With_Movement*In_Position_Sitting*HIGH_LEVEL_BEHAVIOR_Unlabeled*Texting/Browsing_Phone</t>
  </si>
  <si>
    <t>Puttering_Around*In_Position_Upright*Cooking/Prepping_Food|Using_Computer/Screen*In_Conversation|Located_Indoors|Texting/Browsing_Phone</t>
  </si>
  <si>
    <t>Sitting_With_Movement*In_Position_Reclining/Slouching*Meeting_Social_Gathering_In_Person|Watching_TV/Movies*In_Conversation|Located_Indoors</t>
  </si>
  <si>
    <t>Standing_With_Movement*In_Position_Upright*Using_Computer/Screen*Located_Indoors|On_Video_Call/FaceTime</t>
  </si>
  <si>
    <t>Sitting_With_Movement*In_Position_Reclining/Slouching*Relaxing_Passive*CP_Video_Unavailable/Indecipherable|Holding_Other_Object_Light|Located_Indoors</t>
  </si>
  <si>
    <t>Sitting_With_Movement*In_Position_Reclining/Slouching*In_Transit_Passive_Car*Located_Outdoors|Texting/Browsing_Phone</t>
  </si>
  <si>
    <t>Sitting_With_Movement*In_Position_Sitting*Watching_TV/Movies*Handwriting|In_Conversation|Located_Indoors</t>
  </si>
  <si>
    <t>Sitting_With_Movement*In_Position_Sitting*Using_Computer/Screen*Browsing_Computer|In_Conversation|Located_Indoors|Typing_Computer</t>
  </si>
  <si>
    <t>Puttering_Around*In_Position_Upright*Eating/Dining|Watching_TV/Movies*Holding_Drink|Holding_Other_Object_Light|Located_Indoors</t>
  </si>
  <si>
    <t>Sitting_With_Movement*In_Position_Sitting*Meeting_Social_Gathering_In_Person|Using_Computer/Screen*Browsing_Computer|In_Conversation</t>
  </si>
  <si>
    <t>Puttering_Around*In_Position_Upright*Doing_Common_Housework|In_Transit_Active*Holding_Other_Object_Light|Located_Indoors</t>
  </si>
  <si>
    <t>Puttering_Around*In_Position_Upright*HLB_Other*Located_Indoors|On_Phone_Call</t>
  </si>
  <si>
    <t>Sitting_With_Movement*In_Position_Sitting*Eating/Dining|Watching_Lecture*Holding_Other_Object_Light|Holding_Solid_Food|Located_Indoors</t>
  </si>
  <si>
    <t>Sitting_With_Movement*In_Position_Sitting*Eating/Dining*Holding_Other_Object_Light|In_Conversation|Located_Indoors|On_Video_Call/FaceTime</t>
  </si>
  <si>
    <t>Standing_With_Movement*In_Position_Upright*Meeting_Formal_Gathering_In_Person*Holding_Other_Object_Light|In_Conversation|Located_Indoors</t>
  </si>
  <si>
    <t>Lying_With_Movement*Lying_On_Back*Doing_Alternative_Exercise/Therapy/Stretching*Holding_Other_Object_Light|Located_Indoors</t>
  </si>
  <si>
    <t>Puttering_Around*In_Position_Upright*In_Transit_Active|Meeting_Social_Gathering_In_Person*Carrying_Bag_On_Shoulder/Back_Light|In_Conversation|Located_Indoors</t>
  </si>
  <si>
    <t>Sitting_With_Movement*In_Position_Sitting*Using_Computer/Screen*Holding_Other_Object_Light|Located_Indoors|On_Video_Call/FaceTime|Texting/Browsing_Phone</t>
  </si>
  <si>
    <t>Standing_Still*In_Position_Upright*In_Transit_Active*Located_Outdoors</t>
  </si>
  <si>
    <t>Walking*In_Position_Upright*Meeting_Social_Gathering_In_Person*Holding_Drink|Located_Indoors</t>
  </si>
  <si>
    <t>Sitting_With_Movement*In_Position_Sitting*Using_Computer/Screen*Holding_Other_Object_Light|Legs_Crossed|Located_Indoors|Texting/Browsing_Phone</t>
  </si>
  <si>
    <t>Walking_Slow*In_Position_Upright*HIGH_LEVEL_BEHAVIOR_Unlabeled*Holding_Other_Object_Light|Located_Indoors|On_Video_Call/FaceTime</t>
  </si>
  <si>
    <t>Sitting_With_Movement*In_Position_Sitting*Meeting_Social_Gathering_In_Person|Relaxing_Passive*Located_Indoors|Texting/Browsing_Phone</t>
  </si>
  <si>
    <t>Sitting_With_Movement*In_Position_Sitting*HIGH_LEVEL_BEHAVIOR_Unlabeled*Legs_Crossed|Located_Outdoors</t>
  </si>
  <si>
    <t>Standing_With_Movement*In_Position_Upright*In_Transit_Active*Holding_Other_Object_Light|Located_Indoors|Texting/Browsing_Phone</t>
  </si>
  <si>
    <t>Puttering_Around*In_Position_Upright*Doing_Common_Housework|Packing/Unpacking_Something*Located_Indoors</t>
  </si>
  <si>
    <t>Walking*In_Position_Upright*Administering_Care_Child/Elder/Other_Adult*Holding_Other_Object_Light|Located_Indoors|Texting/Browsing_Phone</t>
  </si>
  <si>
    <t>Puttering_Around*In_Position_Upright*Meeting_Social_Gathering_In_Person|Working_Other*In_Conversation|Located_Indoors</t>
  </si>
  <si>
    <t>Standing_With_Movement*In_Position_Upright*Riding_Elevator_Up*Holding_Other_Object_Light|Located_Indoors|Texting/Browsing_Phone</t>
  </si>
  <si>
    <t>Sitting_With_Movement*In_Position_Sitting*Relaxing_Passive*Legs_Uncrossed|Located_Indoors|On_Video_Call/FaceTime|Texting/Browsing_Phone</t>
  </si>
  <si>
    <t>Standing_With_Movement*In_Position_Upright*Dancing|Meeting_Social_Gathering_In_Person*In_Conversation|Located_Indoors|Significantly_Higher_Effort_Than_Normal</t>
  </si>
  <si>
    <t>Sitting_With_Movement*In_Position_Sitting*Meeting_Virtual|Using_Computer/Screen*Legs_Crossed|Located_Indoors</t>
  </si>
  <si>
    <t>Walking*In_Position_Upright*In_Transit_Active*Carrying_Bag_On_Shoulder/Back_Heavy|In_Conversation|Located_Outdoors</t>
  </si>
  <si>
    <t>Sitting_With_Movement*In_Position_Sitting*Using_Computer/Screen*Handwriting|Holding_Other_Object_Light|In_Conversation|Located_Indoors|On_Video_Call/FaceTime</t>
  </si>
  <si>
    <t>Standing_With_Movement*In_Position_Upright*Doing_Home_Repair_Light|Meeting_Social_Gathering_In_Person*Holding_Other_Object_Light|In_Conversation|Located_Indoors</t>
  </si>
  <si>
    <t>Puttering_Around*In_Position_Upright*Administering_Care_Child/Elder/Other_Adult|Cooking/Prepping_Food|In_Transit_Active*Holding_Other_Object_Light|Located_Indoors</t>
  </si>
  <si>
    <t>Standing_With_Movement*In_Position_Upright*Playing_Sports/Games*In_Conversation|Located_Outdoors</t>
  </si>
  <si>
    <t>Washing_Face*In_Position_Upright*Grooming/Self_Care*Holding_Other_Object_Light|Located_Indoors</t>
  </si>
  <si>
    <t>Puttering_Around*In_Position_Upright*Meeting_Social_Gathering_In_Person*Holding_Other_Object_Light|Located_Indoors|Texting/Browsing_Phone</t>
  </si>
  <si>
    <t>Lying_With_Movement*Lying_On_Right_Side*Watching_TV/Movies*Holding_Other_Object_Light|Located_Indoors</t>
  </si>
  <si>
    <t>Kneeling_With_Movement*In_Position_Kneeling*Doing_Common_Housework*Located_Indoors</t>
  </si>
  <si>
    <t>Sitting_With_Movement*In_Position_Sitting*Meeting_Social_Gathering_In_Person|Playing_With_Children_Light*Located_Indoors</t>
  </si>
  <si>
    <t>Sitting_With_Movement*In_Position_Sitting*Eating/Dining|Relaxing_Passive*Holding_Drink|Holding_Other_Object_Light|Located_Indoors|Texting/Browsing_Phone</t>
  </si>
  <si>
    <t>Sitting_With_Movement*In_Position_Sitting*Using_Computer/Screen|Working_Other*Handwriting|Located_Indoors</t>
  </si>
  <si>
    <t>Walking*In_Position_Upright*In_Transit_Active*Carrying_Bag_On_Shoulder/Back_Light|Holding_Drink|Located_Indoors</t>
  </si>
  <si>
    <t>Walking*In_Position_Upright*HLB_Other*Located_Indoors</t>
  </si>
  <si>
    <t>Puttering_Around*In_Position_Upright*Meeting_Social_Gathering_In_Person*Located_Outdoors</t>
  </si>
  <si>
    <t>Sitting_With_Movement*In_Position_Sitting*HIGH_LEVEL_BEHAVIOR_Unlabeled*In_Conversation|Located_Outdoors|Texting/Browsing_Phone</t>
  </si>
  <si>
    <t>Lying_Still*Lying_On_Left_Side*Sleeping*Holding_Other_Object_Light|Located_Indoors</t>
  </si>
  <si>
    <t>Sitting_With_Movement*In_Position_Sitting*Watching_TV/Movies*Browsing_Computer|Located_Indoors</t>
  </si>
  <si>
    <t>Sitting_With_Movement*In_Position_Sitting*Eating/Dining|In_Transit_Active|Meeting_Social_Gathering_In_Person|Relaxing_Passive*Holding_Solid_Food|In_Conversation|Located_Indoors</t>
  </si>
  <si>
    <t>Sitting_With_Movement*In_Position_Sitting*HIGH_LEVEL_BEHAVIOR_Unlabeled*Holding_Drink|Holding_Other_Object_Light|In_Conversation|Located_Indoors</t>
  </si>
  <si>
    <t>Sitting_Still*In_Position_Sitting*HIGH_LEVEL_BEHAVIOR_Unlabeled*Holding_Other_Object_Light|Located_Indoors</t>
  </si>
  <si>
    <t>Sitting_With_Movement*In_Position_Sitting*Doing_Resistance_Training*Holding_Other_Object_Heavy|Located_Indoors</t>
  </si>
  <si>
    <t>Puttering_Around*In_Position_Upright*Packing/Unpacking_Something|Watching_TV/Movies*Holding_Other_Object_Light|Located_Indoors</t>
  </si>
  <si>
    <t>Walking*In_Position_Upright*Meeting_Social_Gathering_In_Person*Holding_Other_Object_Light|In_Conversation|Located_Indoors</t>
  </si>
  <si>
    <t>Sitting_With_Movement*In_Position_Sitting*In_Transit_Passive_Car|Meeting_Social_Gathering_In_Person*Holding_Other_Object_Light|Located_Indoors|Texting/Browsing_Phone</t>
  </si>
  <si>
    <t>Sitting_With_Movement*In_Position_Sitting*Cooking/Prepping_Food*Located_Indoors|On_Phone_Call</t>
  </si>
  <si>
    <t>Sitting_With_Movement*In_Position_Sitting*In_Transit_Passive_Train/Bus/Plane*Carrying_Bag_On_Shoulder/Back_Light|Legs_Crossed</t>
  </si>
  <si>
    <t>Sitting_With_Movement*In_Position_Sitting*Meeting_Social_Gathering_In_Person|Watching_TV/Movies*In_Conversation|Located_Indoors|Texting/Browsing_Phone</t>
  </si>
  <si>
    <t>Puttering_Around*In_Position_Upright*Eating/Dining|Packing/Unpacking_Something*In_Conversation|Located_Indoors</t>
  </si>
  <si>
    <t>Walking*In_Position_Upright*In_Transit_Active*Carrying_Grocery_Bags_Heavy|Located_Outdoors</t>
  </si>
  <si>
    <t>Standing_With_Movement*In_Position_Upright*HLB_Other|Walking_Pet*Located_Indoors</t>
  </si>
  <si>
    <t>Sitting_With_Movement*In_Position_Sitting*Meeting_Social_Gathering_In_Person|Watching_TV/Movies*Holding_Drink|In_Conversation|Located_Indoors</t>
  </si>
  <si>
    <t>Walking*In_Position_Upright*Doing_Common_Housework_Light*Located_Indoors</t>
  </si>
  <si>
    <t>Puttering_Around*In_Position_Upright*Cleaning|In_Transit_Active*Holding_Other_Object_Light|Located_Indoors|Texting/Browsing_Phone</t>
  </si>
  <si>
    <t>Sitting_With_Movement*In_Position_Sitting*Meeting_Social_Gathering_In_Person*Located_Outdoors|Texting/Browsing_Phone</t>
  </si>
  <si>
    <t>Standing_Still*In_Position_Upright*HIGH_LEVEL_BEHAVIOR_Unlabeled*In_Conversation|Located_Indoors</t>
  </si>
  <si>
    <t>Puttering_Around*In_Position_Upright*Cooking/Prepping_Food|In_Transit_Active|Packing/Unpacking_Something*Holding_Other_Object_Light|Located_Indoors</t>
  </si>
  <si>
    <t>Standing_With_Movement*In_Position_Upright*Meeting_Social_Gathering_In_Person*Holding_Drink|In_Conversation|Located_Indoors</t>
  </si>
  <si>
    <t>Sitting_With_Movement*In_Position_Sitting*Using_Computer/Screen*CONTEXTUAL_PARAMETERS_Unlabeled</t>
  </si>
  <si>
    <t>Putting_Clothes_Away*In_Position_Upright*Doing_Laundry|Watching_TV/Movies*Holding_Other_Object_Light|Located_Indoors</t>
  </si>
  <si>
    <t>Standing_With_Movement*In_Position_Upright*Cooking/Prepping_Food|Playing_With_Pets*Located_Indoors|On_Phone_Call</t>
  </si>
  <si>
    <t>Standing_With_Movement*In_Position_Upright*Packing/Unpacking_Something|Shopping_Grocery*Located_Indoors|On_Video_Call/FaceTime|Texting/Browsing_Phone</t>
  </si>
  <si>
    <t>Sitting_With_Movement*In_Position_Sitting*Meeting_Social_Gathering_In_Person*Legs_Crossed|Located_Outdoors</t>
  </si>
  <si>
    <t>Standing_With_Movement*In_Position_Upright*Eating/Dining|Meeting_Social_Gathering_In_Person*Holding_Other_Object_Light|In_Conversation|Located_Indoors</t>
  </si>
  <si>
    <t>Puttering_Around*In_Position_Upright*Meeting_Social_Gathering_In_Person*In_Conversation|Located_Indoors|On_Phone_Call</t>
  </si>
  <si>
    <t>Puttering_Around*In_Position_Upright*Working_Other*Carrying_Bag_On_Shoulder/Back_Light|Holding_Book/Reader</t>
  </si>
  <si>
    <t>Standing_With_Movement*In_Position_Upright*Cleaning|Doing_Common_Housework*Located_Indoors</t>
  </si>
  <si>
    <t>Lying_With_Movement*Lying_On_Back*Grooming/Self_Care|Meeting_Formal_Gathering_In_Person*Holding_Other_Object_Light|Located_Indoors</t>
  </si>
  <si>
    <t>Standing_With_Movement*In_Position_Upright*HLB_Video_Unavailable/Indecipherable*Holding_Other_Object_Light|Located_Indoors</t>
  </si>
  <si>
    <t>Puttering_Around*In_Position_Upright*Watching_TV/Movies*Located_Indoors|Texting/Browsing_Phone</t>
  </si>
  <si>
    <t>Walking*In_Position_Upright*HIGH_LEVEL_BEHAVIOR_Unlabeled*Carrying_Bag_On_Shoulder/Back_Light|Holding_Other_Object_Light|Located_Outdoors</t>
  </si>
  <si>
    <t>Standing_With_Movement*In_Position_Upright*Playing_Sports/Games*Holding_Other_Object_Light|Located_Indoors</t>
  </si>
  <si>
    <t>Standing_Still*In_Position_Upright*HIGH_LEVEL_BEHAVIOR_Unlabeled*Located_Indoors</t>
  </si>
  <si>
    <t>Sitting_With_Movement*In_Position_Sitting*Eating/Dining|Meeting_Social_Gathering_In_Person|Watching_TV/Movies*Holding_Other_Object_Light|Holding_Solid_Food|Legs_Crossed|Located_Indoors</t>
  </si>
  <si>
    <t>Walking_Up_Stairs*In_Position_Upright*In_Transit_Active*Located_Indoors|Texting/Browsing_Phone</t>
  </si>
  <si>
    <t>Sitting_Still*In_Position_Sitting*Watching_TV/Movies*Holding_Other_Object_Light|Located_Indoors</t>
  </si>
  <si>
    <t>Sitting_Still*In_Position_Sitting*In_Transit_Passive_Train/Bus/Plane*Texting/Browsing_Phone</t>
  </si>
  <si>
    <t>Lying_With_Movement*Lying_On_Left_Side*Relaxing_Passive*Holding_Other_Object_Light|Located_Indoors|Texting/Browsing_Phone</t>
  </si>
  <si>
    <t>Sitting_With_Movement*In_Position_Sitting*In_Transit_Passive_Train/Bus/Plane*Holding_Book/Reader</t>
  </si>
  <si>
    <t>Sitting_With_Movement*In_Position_Sitting*Cooking/Prepping_Food|Watching_TV/Movies*Located_Indoors</t>
  </si>
  <si>
    <t>Standing_With_Movement*In_Position_Upright*Shopping_Grocery*Holding_Other_Object_Light|In_Conversation|Located_Indoors</t>
  </si>
  <si>
    <t>Walking_Slow*In_Position_Upright*In_Transit_Active*Located_Indoors</t>
  </si>
  <si>
    <t>Standing_With_Movement*In_Position_Upright*Meeting_Social_Gathering_In_Person|Using_Computer/Screen*Browsing_Computer|In_Conversation|Located_Indoors|Typing_Computer</t>
  </si>
  <si>
    <t>Walking_Slow*In_Position_Upright*In_Transit_Active*In_Conversation|Located_Outdoors</t>
  </si>
  <si>
    <t>Walking*In_Position_Upright*In_Transit_Passive_Train/Bus/Plane*Carrying_Bag_On_Shoulder/Back_Light|Located_Indoors</t>
  </si>
  <si>
    <t>Lying_Still*Lying_On_Right_Side*Relaxing_Passive*Located_Indoors|Texting/Browsing_Phone</t>
  </si>
  <si>
    <t>Sitting_Still*In_Position_Sitting*Watching_TV/Movies*Located_Indoors|Texting/Browsing_Phone</t>
  </si>
  <si>
    <t>Sitting_With_Movement*In_Position_Sitting*In_Bathroom|Watching_TV/Movies*Holding_Other_Object_Light|Located_Indoors</t>
  </si>
  <si>
    <t>Standing_With_Movement*In_Position_Upright*Eating/Dining|Using_Computer/Screen*In_Conversation|Located_Indoors|Texting/Browsing_Phone</t>
  </si>
  <si>
    <t>Sitting_With_Movement*In_Position_Sitting*HIGH_LEVEL_BEHAVIOR_Unlabeled*Browsing_Computer|Located_Indoors|Texting/Browsing_Phone</t>
  </si>
  <si>
    <t>Sitting_With_Movement*In_Position_Sitting*Eating/Dining|Relaxing_Passive|Watching_TV/Movies*Holding_Other_Object_Light|Holding_Solid_Food|Located_Indoors</t>
  </si>
  <si>
    <t>Standing_With_Movement*In_Position_Upright*Loading/Unloading_Vehicle*In_Conversation|Located_Outdoors</t>
  </si>
  <si>
    <t>Puttering_Around*In_Position_Upright*Doing_Common_Housework*Holding_Other_Object_Light|In_Conversation|Located_Indoors</t>
  </si>
  <si>
    <t>Puttering_Around*In_Position_Upright*In_Transit_Active|Meeting_Social_Gathering_In_Person*Located_Indoors|On_Video_Call/FaceTime|Texting/Browsing_Phone</t>
  </si>
  <si>
    <t>Walking*In_Position_Upright*In_Transit_Active*Carrying_Bag_On_Shoulder/Back_Heavy|Holding_Other_Object_Light|Located_Indoors</t>
  </si>
  <si>
    <t>Sitting_With_Movement*In_Position_Sitting*Eating/Dining|Using_Computer/Screen*Browsing_Computer|Holding_Drink|Located_Indoors</t>
  </si>
  <si>
    <t>Walking*In_Position_Upright*In_Transit_Active*Carrying_Bag_On_Shoulder/Back_Light|Holding_Bag/Briefcase_Hand_Light|Located_Outdoors|Texting/Browsing_Phone</t>
  </si>
  <si>
    <t>Sitting_With_Movement*In_Position_Sitting*In_Transit_Passive_Train/Bus/Plane|Meeting_Social_Gathering_In_Person*Carrying_Bag_On_Shoulder/Back_Light|Texting/Browsing_Phone</t>
  </si>
  <si>
    <t>Sitting_With_Movement*In_Position_Reclining/Slouching*Watching_TV/Movies*Holding_Solid_Food|Legs_Crossed|Located_Indoors</t>
  </si>
  <si>
    <t>Standing_With_Movement*In_Position_Upright*HLB_Other*In_Conversation|Located_Outdoors|Texting/Browsing_Phone</t>
  </si>
  <si>
    <t>Sitting_Still*In_Position_Reclining/Slouching*HIGH_LEVEL_BEHAVIOR_Unlabeled*Located_Indoors|Texting/Browsing_Phone</t>
  </si>
  <si>
    <t>Standing_With_Movement*In_Position_Upright*Meeting_Social_Gathering_In_Person|Packing/Unpacking_Something*Located_Outdoors</t>
  </si>
  <si>
    <t>Puttering_Around*In_Position_Upright*HLB_Other*Carrying_Bag_On_Shoulder/Back_Light|Holding_Book/Reader|Located_Indoors</t>
  </si>
  <si>
    <t>Puttering_Around*In_Position_Upright*In_Transit_Passive_Train/Bus/Plane*Located_Outdoors</t>
  </si>
  <si>
    <t>Standing_With_Movement*In_Position_Upright*Relaxing_Passive*In_Conversation|Located_Indoors</t>
  </si>
  <si>
    <t>Standing_With_Movement*In_Position_Upright*In_Transit_Active|Riding_Elevator_Up*In_Conversation|Located_Indoors</t>
  </si>
  <si>
    <t>Puttering_Around*In_Position_Upright*In_Transit_Active*Holding_Drink|Holding_Solid_Food|Located_Indoors</t>
  </si>
  <si>
    <t>Sitting_With_Movement*In_Position_Sitting*Cooking/Prepping_Food*Holding_Other_Object_Light|Located_Indoors|On_Phone_Call</t>
  </si>
  <si>
    <t>Brushing/Combing/Tying_Hair*In_Position_Upright*Grooming/Self_Care|In_Bathroom*Holding_Other_Object_Light|Located_Indoors</t>
  </si>
  <si>
    <t>Walking*In_Position_Upright*In_Transit_Active*Carrying_Bag_On_Shoulder/Back_Heavy|Carrying_Grocery_Bags_Light|Located_Outdoors</t>
  </si>
  <si>
    <t>Walking*In_Position_Upright*HIGH_LEVEL_BEHAVIOR_Unlabeled*Holding_Other_Object_Light|Located_Indoors|On_Video_Call/FaceTime</t>
  </si>
  <si>
    <t>Sitting_With_Movement*In_Position_Sitting*Eating/Dining|In_Transit_Passive_Car*Holding_Solid_Food|Located_Outdoors</t>
  </si>
  <si>
    <t>Standing_With_Movement*In_Position_Upright*In_Transit_Active|Riding_Elevator_Up*Carrying_Bag_On_Shoulder/Back_Light|Located_Indoors</t>
  </si>
  <si>
    <t>Walking_Fast*In_Position_Upright*In_Transit_Active*Located_Outdoors</t>
  </si>
  <si>
    <t>Sitting_With_Movement*In_Position_Sitting*Meeting_Social_Gathering_In_Person|Using_Computer/Screen*In_Conversation|Legs_Crossed|Located_Indoors</t>
  </si>
  <si>
    <t>Sitting_With_Movement*In_Position_Sitting*Meeting_Social_Gathering_In_Person*Carrying_Bag_On_Shoulder/Back_Light|Holding_Drink|In_Conversation|Legs_Crossed|Located_Outdoors</t>
  </si>
  <si>
    <t>Puttering_Around*In_Position_Upright*Cooking/Prepping_Food|Doing_Common_Housework_Light*Located_Indoors</t>
  </si>
  <si>
    <t>Standing_With_Movement*In_Position_Upright*Shopping_Non-Grocery*Carrying_Bag_On_Shoulder/Back_Light|Holding_Solid_Food|In_Conversation</t>
  </si>
  <si>
    <t>Standing_With_Movement*In_Position_Upright*Doing_Dishes*Holding_Other_Object_Light|In_Conversation|Located_Indoors</t>
  </si>
  <si>
    <t>Sitting_With_Movement*In_Position_Sitting*Relaxing_Passive|Using_Computer/Screen|Watching_TV/Movies*Legs_Crossed|Located_Indoors</t>
  </si>
  <si>
    <t>Folding_Clothes*In_Position_Upright*Doing_Laundry|Watching_TV/Movies*Holding_Other_Object_Light|Located_Indoors</t>
  </si>
  <si>
    <t>Puttering_Around*In_Position_Upright*HIGH_LEVEL_BEHAVIOR_Unlabeled*In_Conversation|Located_Indoors|On_Video_Call/FaceTime</t>
  </si>
  <si>
    <t>Sitting_With_Movement*In_Position_Sitting*Eating/Dining|In_Transit_Passive_Car*Located_Outdoors</t>
  </si>
  <si>
    <t>Sitting_With_Movement*In_Position_Sitting*In_Transit_Passive_Car*Located_Indoors|Texting/Browsing_Phone</t>
  </si>
  <si>
    <t>Puttering_Around*In_Position_Upright*HIGH_LEVEL_BEHAVIOR_Unlabeled*Carrying_Bag_On_Shoulder/Back_Heavy|In_Conversation|Located_Outdoors</t>
  </si>
  <si>
    <t>Sitting_Still*In_Position_Sitting*Eating/Dining|Relaxing_Passive*Located_Indoors|Texting/Browsing_Phone</t>
  </si>
  <si>
    <t>Puttering_Around*In_Position_Upright*Cooking/Prepping_Food*Holding_Drink|Holding_Other_Object_Light|Holding_Solid_Food|Located_Indoors</t>
  </si>
  <si>
    <t>Sitting_With_Movement*In_Position_Sitting*Meeting_Social_Gathering_In_Person|Packing/Unpacking_Something*Holding_Other_Object_Light|Located_Indoors</t>
  </si>
  <si>
    <t>Kneeling_With_Movement*In_Position_Kneeling*Meeting_Social_Gathering_In_Person*In_Conversation|Located_Indoors</t>
  </si>
  <si>
    <t>Walking*In_Position_Upright*In_Transit_Active*Carrying_Bag_On_Shoulder/Back_Light|Holding_Solid_Food|Located_Outdoors</t>
  </si>
  <si>
    <t>Sitting_With_Movement*In_Position_Reclining/Slouching*Meeting_Social_Gathering_In_Person|Relaxing_Passive*In_Conversation|Located_Indoors|Texting/Browsing_Phone</t>
  </si>
  <si>
    <t>Puttering_Around*In_Position_Upright*Shopping_Grocery*Holding_Other_Object_Heavy|Located_Indoors</t>
  </si>
  <si>
    <t>Sitting_With_Movement*In_Position_Sitting*Using_Computer/Screen|Working_Other*Browsing_Computer|Holding_Other_Object_Light|Located_Indoors|Typing_Computer</t>
  </si>
  <si>
    <t>Puttering_Around*In_Position_Upright*Eating/Dining|Meeting_Social_Gathering_In_Person*Holding_Solid_Food|Located_Indoors</t>
  </si>
  <si>
    <t>Puttering_Around*In_Position_Upright*Cooking/Prepping_Food|Watching_TV/Movies*Located_Indoors</t>
  </si>
  <si>
    <t>Sitting_With_Movement*In_Position_Sitting*Eating/Dining|Using_Computer/Screen*Holding_Drink|Located_Indoors|Typing_Computer</t>
  </si>
  <si>
    <t>Washing_Hands*In_Position_Upright*Cleaning*Located_Indoors</t>
  </si>
  <si>
    <t>Walking*In_Position_Upright*Cleaning|In_Transit_Active*Located_Indoors</t>
  </si>
  <si>
    <t>Standing_With_Movement*In_Position_Upright*Cooking/Prepping_Food|Eating/Dining*Located_Indoors</t>
  </si>
  <si>
    <t>Puttering_Around*In_Position_Upright*Cleaning|Doing_Common_Housework|In_Transit_Active|Packing/Unpacking_Something*Holding_Other_Object_Light|Located_Indoors</t>
  </si>
  <si>
    <t>Sitting_Still*In_Position_Sitting*HIGH_LEVEL_BEHAVIOR_Unlabeled*Located_Outdoors|Texting/Browsing_Phone</t>
  </si>
  <si>
    <t>Standing_Still*In_Position_Upright*Using_Computer/Screen*Located_Indoors</t>
  </si>
  <si>
    <t>Kneeling_With_Movement*In_Position_Kneeling*Doing_Home_Repair*Located_Indoors</t>
  </si>
  <si>
    <t>Sitting_With_Movement*In_Position_Reclining/Slouching*Playing_With_Pets|Watching_TV/Movies*Located_Indoors</t>
  </si>
  <si>
    <t>Sitting_With_Movement*In_Position_Sitting*Eating/Dining*Holding_Solid_Food|Located_Outdoors</t>
  </si>
  <si>
    <t>Sitting_With_Movement*In_Position_Sitting*HIGH_LEVEL_BEHAVIOR_Unlabeled*In_Conversation|Legs_Uncrossed|Located_Indoors</t>
  </si>
  <si>
    <t>Puttering_Around*In_Position_Upright*Cooking/Prepping_Food|Doing_Common_Housework|Eating/Dining*Holding_Other_Object_Light|Located_Indoors</t>
  </si>
  <si>
    <t>Standing_With_Movement*In_Position_Upright*Cooking/Prepping_Food|Eating/Dining*Holding_Other_Object_Light|Holding_Solid_Food|Located_Indoors</t>
  </si>
  <si>
    <t>Puttering_Around*In_Position_Upright*HIGH_LEVEL_BEHAVIOR_Unlabeled*Holding_Drink|Holding_Other_Object_Light|Located_Indoors</t>
  </si>
  <si>
    <t>Puttering_Around*In_Position_Upright*Shopping_Non-Grocery*Located_Indoors|Texting/Browsing_Phone</t>
  </si>
  <si>
    <t>Sitting_With_Movement*In_Position_Sitting*Using_Computer/Screen*Holding_Other_Object_Light|Located_Indoors|Typing_Computer</t>
  </si>
  <si>
    <t>Standing_With_Movement*In_Position_Upright*In_Transit_Active|Riding_Elevator_Up*Holding_Other_Object_Light|Located_Indoors</t>
  </si>
  <si>
    <t>Kneeling_With_Movement*In_Position_Kneeling*Relaxing_Passive*Located_Indoors|Texting/Browsing_Phone</t>
  </si>
  <si>
    <t>Sitting_With_Movement*In_Position_Sitting*Eating/Dining|Using_Computer/Screen*Browsing_Computer|Located_Indoors|Texting/Browsing_Phone</t>
  </si>
  <si>
    <t>Sitting_With_Movement*In_Position_Sitting*In_Transit_Active|Using_Computer/Screen*Browsing_Computer|Located_Indoors</t>
  </si>
  <si>
    <t>Lying_With_Movement*Lying_On_Back*HIGH_LEVEL_BEHAVIOR_Unlabeled*Holding_Other_Object_Light|Located_Indoors</t>
  </si>
  <si>
    <t>Sitting_With_Movement*In_Position_Sitting*Relaxing_Passive*Located_Indoors|On_Phone_Call|Texting/Browsing_Phone</t>
  </si>
  <si>
    <t>Standing_With_Movement*In_Position_Upright*Cooking/Prepping_Food|Meeting_Social_Gathering_In_Person*In_Conversation|Located_Indoors</t>
  </si>
  <si>
    <t>Walking*In_Position_Upright*In_Transit_Active*Carrying_Bag_On_Shoulder/Back_Light|Holding_Other_Object_Light|Located_Indoors|Texting/Browsing_Phone</t>
  </si>
  <si>
    <t>Sitting_Still*In_Position_Sitting*In_Transit_Passive_Train/Bus/Plane*Holding_Bag/Briefcase_Hand_Light|Located_Indoors</t>
  </si>
  <si>
    <t>Puttering_Around*In_Position_Upright*Administering_Care_Child/Elder/Other_Adult|Packing/Unpacking_Something*Holding_Other_Object_Light|Located_Indoors</t>
  </si>
  <si>
    <t>Sitting_With_Movement*In_Position_Sitting*Eating/Dining*Legs_Crossed|Located_Indoors</t>
  </si>
  <si>
    <t>Sitting_With_Movement*In_Position_Sitting*Eating/Dining|Using_Computer/Screen*Located_Indoors|On_Video_Call/FaceTime</t>
  </si>
  <si>
    <t>Sitting_Still*In_Position_Sitting*Watching_TV/Movies*Legs_Crossed|Located_Indoors</t>
  </si>
  <si>
    <t>Sitting_With_Movement*In_Position_Reclining/Slouching*Watching_TV/Movies*Legs_Uncrossed|Located_Indoors</t>
  </si>
  <si>
    <t>Sitting_With_Movement*In_Position_Sitting*HLB_Other*Legs_Crossed|Located_Indoors</t>
  </si>
  <si>
    <t>Standing_With_Movement*In_Position_Upright*Grooming/Self_Care*Carrying_Bag_On_Shoulder/Back_Light|Located_Outdoors</t>
  </si>
  <si>
    <t>Walking*In_Position_Upright*In_Transit_Active*Carrying_Grocery_Bags_Light|Holding_Bag/Briefcase_Hand_Light</t>
  </si>
  <si>
    <t>Standing_With_Movement*In_Position_Upright*Doing_Laundry|Meeting_Virtual*Located_Indoors|On_Video_Call/FaceTime|Texting/Browsing_Phone</t>
  </si>
  <si>
    <t>Organizing_Shelf/Cabinet*In_Position_Upright*Cleaning|Doing_Dishes*Located_Indoors</t>
  </si>
  <si>
    <t>Sitting_Still*In_Position_Sitting*Using_Computer/Screen*Browsing_Computer|Located_Indoors|Texting/Browsing_Phone</t>
  </si>
  <si>
    <t>Sitting_With_Movement*In_Position_Sitting*Eating/Dining|Using_Computer/Screen*Holding_Solid_Food|Located_Indoors|Texting/Browsing_Phone</t>
  </si>
  <si>
    <t>Walking*In_Position_Upright*In_Transit_Active*Holding_Book/Reader|Located_Indoors</t>
  </si>
  <si>
    <t>Sitting_With_Movement*In_Position_Sitting*In_Bathroom*Holding_Other_Object_Light|Located_Indoors|Texting/Browsing_Phone</t>
  </si>
  <si>
    <t>Sitting_With_Movement*In_Position_Sitting*Eating/Dining|Watching_TV/Movies*Legs_Uncrossed|Located_Indoors</t>
  </si>
  <si>
    <t>Puttering_Around*In_Position_Upright*Shopping_Non-Grocery*Carrying_Bag_On_Shoulder/Back_Light|Holding_Drink|Located_Indoors</t>
  </si>
  <si>
    <t>Walking_Up_Stairs*In_Position_Upright*In_Transit_Active*Located_Outdoors</t>
  </si>
  <si>
    <t>Puttering_Around*In_Position_Upright*Cleaning*Carrying_Bag_On_Shoulder/Back_Light|Located_Indoors</t>
  </si>
  <si>
    <t>Sitting_With_Movement*In_Position_Sitting*Relaxing_Passive*CP_Too_Complex|Carrying_Bag_On_Shoulder/Back_Light</t>
  </si>
  <si>
    <t>Walking*In_Position_Upright*HIGH_LEVEL_BEHAVIOR_Unlabeled*Located_Outdoors|Texting/Browsing_Phone</t>
  </si>
  <si>
    <t>Standing_With_Movement*In_Position_Upright*Cooking/Prepping_Food|Meeting_Social_Gathering_In_Person*Holding_Other_Object_Light|In_Conversation|Located_Indoors</t>
  </si>
  <si>
    <t>Kneeling_With_Movement*In_Position_Kneeling*HIGH_LEVEL_BEHAVIOR_Unlabeled*Holding_Other_Object_Light|Located_Indoors</t>
  </si>
  <si>
    <t>Sitting_With_Movement*In_Position_Sitting*Doing_Common_Housework*Located_Indoors</t>
  </si>
  <si>
    <t>Sitting_With_Movement*In_Position_Reclining/Slouching*Working_Other*In_Conversation|Located_Indoors|On_Video_Call/FaceTime</t>
  </si>
  <si>
    <t>Sitting_With_Movement*In_Position_Sitting*In_Transit_Passive_Train/Bus/Plane|Meeting_Social_Gathering_In_Person*In_Conversation|Located_Indoors</t>
  </si>
  <si>
    <t>Sitting_With_Movement*In_Position_Reclining/Slouching*Meeting_Virtual|Using_Computer/Screen*Located_Indoors|Texting/Browsing_Phone</t>
  </si>
  <si>
    <t>Walking*In_Position_Upright*In_Transit_Active*Carrying_Bag_On_Shoulder/Back_Light|Carrying_Grocery_Bags_Light|Located_Indoors</t>
  </si>
  <si>
    <t>Standing_With_Movement*In_Position_Upright*Cooking/Prepping_Food|Meeting_Social_Gathering_In_Person*Holding_Other_Object_Light|Located_Indoors</t>
  </si>
  <si>
    <t>Puttering_Around*In_Position_Upright*Walking_Pet*Holding_Other_Object_Light|Located_Indoors</t>
  </si>
  <si>
    <t>Sitting_With_Movement*In_Position_Sitting*Eating/Dining|Using_Computer/Screen|Working_Other*Browsing_Computer|Holding_Solid_Food|Located_Indoors</t>
  </si>
  <si>
    <t>Sitting_With_Movement*In_Position_Sitting*Relaxing_Passive*In_Conversation|Located_Indoors|Texting/Browsing_Phone</t>
  </si>
  <si>
    <t>Sitting_With_Movement*In_Position_Sitting*Meeting_Virtual|Packing/Unpacking_Something*Located_Indoors|On_Video_Call/FaceTime</t>
  </si>
  <si>
    <t>Puttering_Around*In_Position_Upright*Loading/Unloading_Vehicle*Located_Outdoors</t>
  </si>
  <si>
    <t>Standing_With_Movement*In_Position_Upright*In_Transit_Passive_Train/Bus/Plane*Carrying_Bag_On_Shoulder/Back_Light|Holding_Other_Object_Light|Located_Outdoors</t>
  </si>
  <si>
    <t>Standing_With_Movement*In_Position_Upright*In_Transit_Active|Meeting_Social_Gathering_In_Person*In_Conversation|Located_Indoors</t>
  </si>
  <si>
    <t>Sitting_With_Movement*In_Position_Sitting*Cooking/Prepping_Food|Watching_TV/Movies*Holding_Other_Object_Light|Located_Indoors</t>
  </si>
  <si>
    <t>Lying_With_Movement*Posture_Video_Unavailable/Indecipherable*HLB_Video_Unavailable/Indecipherable*Located_Indoors</t>
  </si>
  <si>
    <t>Puttering_Around*In_Position_Upright*Meeting_Social_Gathering_In_Person*Located_Indoors|Texting/Browsing_Phone</t>
  </si>
  <si>
    <t>Walking*In_Position_Upright*Meeting_Social_Gathering_In_Person*Holding_Other_Object_Light|Located_Indoors</t>
  </si>
  <si>
    <t>Walking_Slow*In_Position_Upright*Meeting_Social_Gathering_In_Person*In_Conversation|Located_Indoors</t>
  </si>
  <si>
    <t>Sitting_With_Movement*In_Position_Sitting*Meeting_Formal_Gathering_In_Person*In_Conversation</t>
  </si>
  <si>
    <t>Puttering_Around*In_Position_Upright*Cooking/Prepping_Food|In_Transit_Active*Located_Indoors</t>
  </si>
  <si>
    <t>Puttering_Around*In_Position_Upright*Eating/Dining|Meeting_Social_Gathering_In_Person*Holding_Solid_Food|In_Conversation|Located_Indoors</t>
  </si>
  <si>
    <t>Sitting_With_Movement*In_Position_Sitting*Cooking/Prepping_Food|Watching_TV/Movies*Holding_Other_Object_Light|Located_Indoors|Texting/Browsing_Phone</t>
  </si>
  <si>
    <t>Standing_With_Movement*In_Position_Upright*Packing/Unpacking_Something*In_Conversation|Located_Indoors</t>
  </si>
  <si>
    <t>Standing_With_Movement*In_Position_Upright*HIGH_LEVEL_BEHAVIOR_Unlabeled*Located_Outdoors|On_Phone_Call</t>
  </si>
  <si>
    <t>Sitting_With_Movement*In_Position_Sitting*Eating/Dining*Legs_Crossed|Located_Indoors|Texting/Browsing_Phone</t>
  </si>
  <si>
    <t>Sitting_With_Movement*In_Position_Sitting*Working_Other*Holding_Book/Reader|Holding_Other_Object_Light|Located_Indoors</t>
  </si>
  <si>
    <t>Standing_Still*In_Position_Upright*Watching_TV/Movies*Located_Indoors</t>
  </si>
  <si>
    <t>Sitting_With_Movement*In_Position_Sitting*Using_Computer/Screen*Holding_Solid_Food|Located_Indoors</t>
  </si>
  <si>
    <t>Sitting_With_Movement*In_Position_Sitting*Meeting_Social_Gathering_In_Person*Located_Indoors|On_Video_Call/FaceTime</t>
  </si>
  <si>
    <t>Standing_With_Movement*In_Position_Upright*Meeting_Social_Gathering_In_Person*In_Conversation|Located_Outdoors|Texting/Browsing_Phone</t>
  </si>
  <si>
    <t>Washing_Hands*In_Position_Upright*HLB_Other*Located_Indoors</t>
  </si>
  <si>
    <t>Standing_With_Movement*In_Position_Upright*Shopping_Grocery*Carrying_Bag_On_Shoulder/Back_Light|Holding_Other_Object_Light|Located_Indoors</t>
  </si>
  <si>
    <t>Puttering_Around*In_Position_Upright*HIGH_LEVEL_BEHAVIOR_Unlabeled*Holding_Book/Reader|Located_Indoors</t>
  </si>
  <si>
    <t>Puttering_Around*In_Position_Upright*Walking_Pet*Holding_Other_Object_Light|Located_Outdoors</t>
  </si>
  <si>
    <t>Puttering_Around*In_Position_Upright*Cleaning|Doing_Common_Housework*Located_Indoors</t>
  </si>
  <si>
    <t>Sitting_With_Movement*In_Position_Sitting*Eating/Dining|In_Transit_Passive_Car|Meeting_Social_Gathering_In_Person*Holding_Other_Object_Light|Holding_Solid_Food|Located_Indoors|Texting/Browsing_Phone</t>
  </si>
  <si>
    <t>Standing_With_Movement*In_Position_Upright*Cooking/Prepping_Food*In_Conversation|Located_Indoors</t>
  </si>
  <si>
    <t>Sitting_With_Movement*In_Position_Sitting*Relaxing_Passive*Holding_Drink|Located_Indoors|Texting/Browsing_Phone</t>
  </si>
  <si>
    <t>Sitting_With_Movement*In_Position_Sitting*In_Transit_Passive_Train/Bus/Plane|Meeting_Social_Gathering_In_Person*In_Conversation|Located_Outdoors|Texting/Browsing_Phone</t>
  </si>
  <si>
    <t>Sitting_With_Movement*In_Position_Sitting*In_Transit_Active*Carrying_Bag_On_Shoulder/Back_Light|Located_Indoors|Texting/Browsing_Phone</t>
  </si>
  <si>
    <t>Standing_With_Movement*In_Position_Upright*Doing_Laundry|Watching_TV/Movies*Located_Indoors</t>
  </si>
  <si>
    <t>Standing_With_Movement*In_Position_Upright*Shopping_Grocery*In_Conversation|Located_Indoors</t>
  </si>
  <si>
    <t>Lying_With_Movement*Lying_On_Right_Side*HLB_Video_Unavailable/Indecipherable*Located_Indoors</t>
  </si>
  <si>
    <t>Sitting_With_Movement*In_Position_Sitting*Eating/Dining|Watching_TV/Movies*Holding_Drink|Legs_Uncrossed|Located_Outdoors</t>
  </si>
  <si>
    <t>Lying_With_Movement*Lying_On_Back*Using_Computer/Screen*Holding_Other_Object_Light|Located_Indoors|Texting/Browsing_Phone</t>
  </si>
  <si>
    <t>Puttering_Around*In_Position_Upright*Eating/Dining|Meeting_Social_Gathering_In_Person*Carrying_Grocery_Bags_Light|Holding_Other_Object_Light|In_Conversation|Located_Indoors</t>
  </si>
  <si>
    <t>Sitting_With_Movement*In_Position_Sitting*Meeting_Virtual*In_Conversation|Legs_Crossed|Located_Indoors|On_Video_Call/FaceTime</t>
  </si>
  <si>
    <t>Sitting_With_Movement*In_Position_Reclining/Slouching*Meeting_Social_Gathering_In_Person*In_Conversation|Located_Indoors|Texting/Browsing_Phone</t>
  </si>
  <si>
    <t>Puttering_Around*In_Position_Upright*Meeting_Social_Gathering_In_Person|Shopping_Grocery*In_Conversation|Located_Indoors</t>
  </si>
  <si>
    <t>Lying_With_Movement*Lying_On_Back*Eating/Dining|Relaxing_Passive|Watching_TV/Movies*Holding_Solid_Food|Located_Indoors</t>
  </si>
  <si>
    <t>Standing_With_Movement*In_Position_Upright*HLB_Other*Carrying_Bag_On_Shoulder/Back_Light|Located_Indoors</t>
  </si>
  <si>
    <t>Walking_Down_Stairs*In_Position_Upright*In_Transit_Active*Carrying_Bag_On_Shoulder/Back_Light|Located_Outdoors</t>
  </si>
  <si>
    <t>Sitting_With_Movement*In_Position_Reclining/Slouching*Using_Computer/Screen|Watching_TV/Movies*Holding_Other_Object_Light|In_Conversation|Located_Indoors</t>
  </si>
  <si>
    <t>Walking*In_Position_Upright*Shopping_Grocery*Carrying_Bag_On_Shoulder/Back_Light|Holding_Other_Object_Light|Located_Indoors</t>
  </si>
  <si>
    <t>Playing_Frisbee*In_Position_Upright*Doing_Laundry*Located_Indoors</t>
  </si>
  <si>
    <t>Puttering_Around*In_Position_Upright*Shopping_Grocery*Carrying_Bag_On_Shoulder/Back_Light|Located_Indoors</t>
  </si>
  <si>
    <t>Sitting_Still*In_Position_Sitting*Watching_TV/Movies*Legs_Uncrossed|Located_Indoors</t>
  </si>
  <si>
    <t>Sitting_With_Movement*In_Position_Sitting*Eating/Dining|Using_Computer/Screen|Watching_TV/Movies*Holding_Drink|Located_Indoors</t>
  </si>
  <si>
    <t>Standing_With_Movement*In_Position_Upright*Meeting_Social_Gathering_In_Person*Holding_Other_Object_Light|In_Conversation|Located_Outdoors</t>
  </si>
  <si>
    <t>Puttering_Around*In_Position_Upright*Cooking/Prepping_Food|In_Transit_Active*Holding_Other_Object_Light|Located_Indoors</t>
  </si>
  <si>
    <t>Standing_With_Movement*In_Position_Upright*Using_Computer/Screen|Working_Other*CP_Too_Complex</t>
  </si>
  <si>
    <t>Walking_Up_Stairs*In_Position_Upright*In_Transit_Active*Carrying_Bag_On_Shoulder/Back_Light|Located_Outdoors</t>
  </si>
  <si>
    <t>Puttering_Around*In_Position_Upright*HLB_Other*Carrying_Bag_On_Shoulder/Back_Light|Located_Indoors</t>
  </si>
  <si>
    <t>Sitting_With_Movement*In_Position_Sitting*In_Transit_Active*Located_Outdoors|Texting/Browsing_Phone</t>
  </si>
  <si>
    <t>Organizing_Shelf/Cabinet*In_Position_Upright*Cleaning*Holding_Other_Object_Light|Located_Indoors</t>
  </si>
  <si>
    <t>Puttering_Around*In_Position_Upright*Doing_Common_Housework_Light*Holding_Other_Object_Light</t>
  </si>
  <si>
    <t>Standing_With_Movement*In_Position_Upright*Doing_Alternative_Exercise/Therapy/Stretching*Located_Indoors</t>
  </si>
  <si>
    <t>Puttering_Around*In_Position_Upright*Working_Other*Holding_Book/Reader</t>
  </si>
  <si>
    <t>Standing_With_Movement*In_Position_Upright*HIGH_LEVEL_BEHAVIOR_Unlabeled*Holding_Other_Object_Light|In_Conversation|Located_Indoors|On_Video_Call/FaceTime</t>
  </si>
  <si>
    <t>Standing_With_Movement*In_Position_Upright*In_Transit_Active|Meeting_Social_Gathering_In_Person*Holding_Other_Object_Light|In_Conversation|Located_Indoors</t>
  </si>
  <si>
    <t>Sitting_With_Movement*In_Position_Sitting*Meeting_Virtual*In_Conversation|Located_Indoors|On_Video_Call/FaceTime|Texting/Browsing_Phone</t>
  </si>
  <si>
    <t>Sitting_With_Movement*In_Position_Sitting*Meeting_Social_Gathering_In_Person*In_Conversation|Legs_Crossed|Located_Outdoors</t>
  </si>
  <si>
    <t>Ironing*In_Position_Upright*Doing_Laundry*Located_Indoors</t>
  </si>
  <si>
    <t>Puttering_Around*In_Position_Upright*Cooking/Prepping_Food*Holding_Drink|Holding_Other_Object_Light|Located_Indoors</t>
  </si>
  <si>
    <t>Puttering_Around*In_Position_Upright*Administering_Care_Child/Elder/Other_Adult*Holding_Other_Object_Light|Located_Indoors</t>
  </si>
  <si>
    <t>Standing_With_Movement*In_Position_Upright*Meeting_Virtual*Holding_Other_Object_Light|In_Conversation|Located_Outdoors</t>
  </si>
  <si>
    <t>Puttering_Around*In_Position_Upright*In_Transit_Active*Located_Outdoors|Texting/Browsing_Phone</t>
  </si>
  <si>
    <t>Sitting_With_Movement*In_Position_Sitting*Eating/Dining|Meeting_Social_Gathering_In_Person*Holding_Solid_Food|In_Conversation|Located_Indoors|Texting/Browsing_Phone</t>
  </si>
  <si>
    <t>Walking*In_Position_Upright*In_Transit_Active*Holding_Solid_Food|Located_Indoors</t>
  </si>
  <si>
    <t>Standing_With_Movement*In_Position_Upright*HIGH_LEVEL_BEHAVIOR_Unlabeled*Located_Indoors|On_Phone_Call</t>
  </si>
  <si>
    <t>Standing_With_Movement*In_Position_Upright*In_Transit_Active|Riding_Elevator_Down*Located_Indoors|Texting/Browsing_Phone</t>
  </si>
  <si>
    <t>Puttering_Around*In_Position_Upright*Walking_Pet*In_Conversation|Located_Indoors</t>
  </si>
  <si>
    <t>Puttering_Around*In_Position_Upright*Doing_Common_Housework*CONTEXTUAL_PARAMETERS_Unlabeled</t>
  </si>
  <si>
    <t>Sitting_With_Movement*In_Position_Sitting*Relaxing_Passive|Using_Computer/Screen*Located_Indoors|Typing_Computer</t>
  </si>
  <si>
    <t>Standing_With_Movement*In_Position_Upright*HIGH_LEVEL_BEHAVIOR_Unlabeled*Carrying_Bag_On_Shoulder/Back_Light|Holding_Other_Object_Light|In_Conversation|Located_Indoors</t>
  </si>
  <si>
    <t>Puttering_Around*In_Position_Upright*Doing_Common_Housework*Located_Indoors|Texting/Browsing_Phone</t>
  </si>
  <si>
    <t>Sitting_Still*In_Position_Sitting*Relaxing_Passive*Legs_Crossed|Located_Indoors</t>
  </si>
  <si>
    <t>Sitting_With_Movement*In_Position_Sitting*Eating/Dining|Watching_TV/Movies*Holding_Drink|Holding_Solid_Food|Located_Indoors</t>
  </si>
  <si>
    <t>Sitting_With_Movement*In_Position_Sitting*Eating/Dining|Relaxing_Passive*Located_Indoors|Texting/Browsing_Phone</t>
  </si>
  <si>
    <t>Sitting_With_Movement*In_Position_Reclining/Slouching*Using_Computer/Screen*Browsing_Computer|Located_Indoors|Texting/Browsing_Phone</t>
  </si>
  <si>
    <t>Sitting_With_Movement*In_Position_Sitting*Meeting_Social_Gathering_In_Person|Watching_Lecture*CP_Video_Unavailable/Indecipherable|Located_Indoors</t>
  </si>
  <si>
    <t>Puttering_Around*In_Position_Upright*Doing_Common_Housework*Holding_Other_Object_Light|Located_Indoors|Significantly_Higher_Effort_Than_Normal</t>
  </si>
  <si>
    <t>Sitting_With_Movement*In_Position_Sitting*Relaxing_Passive*Holding_Book/Reader|Located_Indoors|Texting/Browsing_Phone</t>
  </si>
  <si>
    <t>Walking*In_Position_Upright*In_Transit_Active*Holding_Drink|Holding_Other_Object_Light|Located_Indoors</t>
  </si>
  <si>
    <t>Standing_With_Movement*In_Position_Upright*In_Transit_Passive_Train/Bus/Plane*Holding_Bag/Briefcase_Hand_Light|Located_Outdoors|Texting/Browsing_Phone</t>
  </si>
  <si>
    <t>Sweeping*In_Position_Upright*Cleaning|Doing_Common_Housework_Light*Holding_Other_Object_Light|Located_Indoors</t>
  </si>
  <si>
    <t>Puttering_Around*In_Position_Upright*In_Transit_Active|Relaxing_Passive*Holding_Other_Object_Light|Located_Indoors</t>
  </si>
  <si>
    <t>Standing_With_Movement*In_Position_Upright*In_Transit_Passive_Train/Bus/Plane*Carrying_Bag_On_Shoulder/Back_Light|Holding_Bag/Briefcase_Hand_Light|Located_Outdoors</t>
  </si>
  <si>
    <t>Sitting_With_Movement*In_Position_Reclining/Slouching*Doing_Laundry|Watching_TV/Movies*Holding_Book/Reader|In_Conversation|Located_Indoors</t>
  </si>
  <si>
    <t>Walking*In_Position_Upright*HIGH_LEVEL_BEHAVIOR_Unlabeled*Carrying_Bag_On_Shoulder/Back_Light|Located_Indoors|Texting/Browsing_Phone</t>
  </si>
  <si>
    <t>Lying_With_Movement*Lying_On_Back*HLB_Other*Located_Indoors|Texting/Browsing_Phone</t>
  </si>
  <si>
    <t>Sitting_With_Movement*In_Position_Sitting*Meeting_Social_Gathering_In_Person*Carrying_Bag_On_Shoulder/Back_Light|Holding_Solid_Food|In_Conversation|Located_Outdoors</t>
  </si>
  <si>
    <t>Puttering_Around*In_Position_Upright*Doing_Common_Housework|Meeting_Virtual*Located_Indoors|On_Video_Call/FaceTime</t>
  </si>
  <si>
    <t>Puttering_Around*In_Position_Upright*Meeting_Virtual*In_Conversation|Located_Indoors</t>
  </si>
  <si>
    <t>Walking*In_Position_Upright*Shopping_Non-Grocery*Carrying_Bag_On_Shoulder/Back_Light|Located_Indoors</t>
  </si>
  <si>
    <t>Walking*In_Position_Upright*In_Transit_Active*Carrying_Bag_On_Shoulder/Back_Heavy|Holding_Solid_Food|Located_Outdoors</t>
  </si>
  <si>
    <t>Lying_With_Movement*Lying_On_Right_Side*HIGH_LEVEL_BEHAVIOR_Unlabeled*Located_Indoors|On_Video_Call/FaceTime</t>
  </si>
  <si>
    <t>Standing_With_Movement*In_Position_Upright*HLB_Other|Meeting_Social_Gathering_In_Person*Holding_Solid_Food|In_Conversation|Located_Indoors</t>
  </si>
  <si>
    <t>Sitting_With_Movement*In_Position_Reclining/Slouching*Cooking/Prepping_Food|Watching_TV/Movies*Located_Indoors</t>
  </si>
  <si>
    <t>Puttering_Around*In_Position_Upright*Administering_Care_Child/Elder/Other_Adult*Located_Indoors</t>
  </si>
  <si>
    <t>Standing_With_Movement*In_Position_Upright*HIGH_LEVEL_BEHAVIOR_Unlabeled*Holding_Bag/Briefcase_Hand_Light|Holding_Other_Object_Light|Located_Indoors</t>
  </si>
  <si>
    <t>Walking*In_Position_Upright*Doing_Common_Housework*Located_Indoors</t>
  </si>
  <si>
    <t>Puttering_Around*In_Position_Upright*Meeting_Social_Gathering_In_Person*In_Conversation|Located_Indoors|Texting/Browsing_Phone</t>
  </si>
  <si>
    <t>Sitting_With_Movement*In_Position_Sitting*Dressing/Undressing|Meeting_Virtual*Holding_Other_Object_Light|Located_Indoors|On_Video_Call/FaceTime</t>
  </si>
  <si>
    <t>Puttering_Around*In_Position_Upright*Doing_Common_Housework|Meeting_Social_Gathering_In_Person*Holding_Other_Object_Light|In_Conversation|Located_Indoors</t>
  </si>
  <si>
    <t>Standing_With_Movement*In_Position_Upright*HIGH_LEVEL_BEHAVIOR_Unlabeled*Holding_Drink|Located_Indoors|Texting/Browsing_Phone</t>
  </si>
  <si>
    <t>Sitting_With_Movement*In_Position_Sitting*Eating/Dining*Holding_Solid_Food|Located_Indoors|On_Video_Call/FaceTime</t>
  </si>
  <si>
    <t>Sitting_With_Movement*In_Position_Sitting*Eating/Dining|Using_Computer/Screen|Watching_TV/Movies*Holding_Other_Object_Light|Legs_Crossed|Located_Indoors</t>
  </si>
  <si>
    <t>Lying_With_Movement*Lying_On_Right_Side*Watching_TV/Movies*Located_Indoors|Texting/Browsing_Phone</t>
  </si>
  <si>
    <t>Sitting_With_Movement*In_Position_Sitting*HLB_Video_Unavailable/Indecipherable|Using_Computer/Screen*Located_Indoors</t>
  </si>
  <si>
    <t>Walking*In_Position_Upright*HIGH_LEVEL_BEHAVIOR_Unlabeled*Holding_Other_Object_Light|Located_Outdoors|Texting/Browsing_Phone</t>
  </si>
  <si>
    <t>Sitting_With_Movement*In_Position_Sitting*In_Transit_Active*Located_Outdoors|On_Phone_Call</t>
  </si>
  <si>
    <t>Sitting_With_Movement*In_Position_Sitting*In_Transit_Passive_Car*In_Conversation|Located_Outdoors|On_Video_Call/FaceTime|Texting/Browsing_Phone</t>
  </si>
  <si>
    <t>Sitting_With_Movement*In_Position_Sitting*Working_Other*Handwriting|Holding_Other_Object_Light|Located_Indoors</t>
  </si>
  <si>
    <t>Sitting_With_Movement*In_Position_Sitting*Eating/Dining|Meeting_Virtual*Holding_Solid_Food|Located_Indoors|On_Video_Call/FaceTime|Texting/Browsing_Phone</t>
  </si>
  <si>
    <t>Walking*In_Position_Upright*In_Transit_Active|Meeting_Social_Gathering_In_Person*Holding_Drink|In_Conversation|Located_Outdoors</t>
  </si>
  <si>
    <t>Standing_With_Movement*In_Position_Upright*HLB_Other*Located_Indoors|Texting/Browsing_Phone</t>
  </si>
  <si>
    <t>Sitting_With_Movement*In_Position_Sitting*Eating/Dining|Using_Computer/Screen|Watching_TV/Movies*Browsing_Computer|Located_Indoors</t>
  </si>
  <si>
    <t>Walking_Slow*In_Position_Upright*Relaxing_Passive*Holding_Book/Reader|Located_Indoors</t>
  </si>
  <si>
    <t>Sitting_With_Movement*In_Position_Sitting*Eating/Dining|Meeting_Social_Gathering_In_Person*Holding_Solid_Food|In_Conversation|Located_Outdoors</t>
  </si>
  <si>
    <t>Sitting_With_Movement*In_Position_Sitting*Meeting_Social_Gathering_In_Person|Using_Computer/Screen*Located_Indoors|Typing_Computer</t>
  </si>
  <si>
    <t>Walking_Down_Stairs*In_Position_Upright*HIGH_LEVEL_BEHAVIOR_Unlabeled*Located_Indoors|Texting/Browsing_Phone</t>
  </si>
  <si>
    <t>Sitting_Still*In_Position_Sitting*Eating/Dining|Relaxing_Passive|Watching_TV/Movies*Located_Indoors|Texting/Browsing_Phone</t>
  </si>
  <si>
    <t>Sitting_With_Movement*In_Position_Reclining/Slouching*Eating/Dining*Holding_Other_Object_Light|Located_Indoors</t>
  </si>
  <si>
    <t>Sitting_With_Movement*In_Position_Sitting*HLB_Other*Holding_Other_Object_Light|Located_Outdoors</t>
  </si>
  <si>
    <t>Walking*In_Position_Upright*In_Transit_Active*Holding_Solid_Food|In_Conversation|Located_Outdoors</t>
  </si>
  <si>
    <t>Sitting_With_Movement*In_Position_Sitting*Eating/Dining|Meeting_Social_Gathering_In_Person|Watching_TV/Movies*Holding_Drink|In_Conversation|Located_Indoors</t>
  </si>
  <si>
    <t>Sitting_With_Movement*In_Position_Sitting*In_Bathroom*Located_Indoors|On_Video_Call/FaceTime</t>
  </si>
  <si>
    <t>Standing_With_Movement*In_Position_Upright*In_Transit_Active|Riding_Elevator_Up*Located_Indoors</t>
  </si>
  <si>
    <t>Lying_With_Movement*Lying_On_Left_Side*HIGH_LEVEL_BEHAVIOR_Unlabeled*Located_Indoors|On_Phone_Call</t>
  </si>
  <si>
    <t>Brushing_Teeth*In_Position_Upright*Grooming/Self_Care|In_Bathroom*Holding_Other_Object_Light|Located_Indoors</t>
  </si>
  <si>
    <t>Puttering_Around*In_Position_Upright*Doing_Common_Housework*Holding_Other_Object_Light|Located_Indoors|Texting/Browsing_Phone</t>
  </si>
  <si>
    <t>Lying_With_Movement*Lying_On_Back*Relaxing_Passive|Using_Computer/Screen*Browsing_Computer|Located_Indoors|Typing_Computer</t>
  </si>
  <si>
    <t>Standing_With_Movement*In_Position_Upright*Eating/Dining|Meeting_Social_Gathering_In_Person*Holding_Other_Object_Light|Holding_Solid_Food|In_Conversation|Located_Indoors</t>
  </si>
  <si>
    <t>Sitting_With_Movement*In_Position_Sitting*Grooming/Self_Care*Holding_Other_Object_Light|Located_Indoors</t>
  </si>
  <si>
    <t>Puttering_Around*In_Position_Upright*Cooking/Prepping_Food*Holding_Drink|Holding_Solid_Food|Located_Indoors</t>
  </si>
  <si>
    <t>Walking*In_Position_Upright*Eating/Dining|In_Transit_Active*Holding_Bag/Briefcase_Hand_Light|Located_Outdoors</t>
  </si>
  <si>
    <t>Sitting_With_Movement*In_Position_Sitting*Relaxing_Passive*Holding_Book/Reader|Holding_Drink</t>
  </si>
  <si>
    <t>Puttering_Around*In_Position_Upright*Shopping_Grocery*Carrying_Bag_On_Shoulder/Back_Heavy|Holding_Other_Object_Light|Located_Indoors</t>
  </si>
  <si>
    <t>Lying_With_Movement*Lying_On_Back*Playing_Videogame*Holding_Other_Object_Light|Located_Indoors</t>
  </si>
  <si>
    <t>Walking_Down_Stairs*In_Position_Upright*In_Transit_Active*Located_Indoors|Texting/Browsing_Phone</t>
  </si>
  <si>
    <t>Standing_With_Movement*In_Position_Upright*HIGH_LEVEL_BEHAVIOR_Unlabeled*Carrying_Bag_On_Shoulder/Back_Heavy|Holding_Other_Object_Light|In_Conversation|Located_Indoors</t>
  </si>
  <si>
    <t>Walking*In_Position_Upright*In_Transit_Active*Holding_Drink|In_Conversation|Located_Outdoors</t>
  </si>
  <si>
    <t>Sitting_With_Movement*In_Position_Sitting*HIGH_LEVEL_BEHAVIOR_Unlabeled*Holding_Other_Object_Light|In_Conversation|Located_Outdoors</t>
  </si>
  <si>
    <t>Standing_With_Movement*In_Position_Upright*HLB_Other*In_Conversation|Located_Indoors</t>
  </si>
  <si>
    <t>Puttering_Around*In_Position_Upright*Meeting_Social_Gathering_In_Person|Shopping_Grocery*Holding_Drink|Located_Indoors</t>
  </si>
  <si>
    <t>Sitting_With_Movement*In_Position_Sitting*Using_Computer/Screen|Watching_TV/Movies*Located_Indoors|Typing_Computer</t>
  </si>
  <si>
    <t>Standing_With_Movement*In_Position_Upright*In_Transit_Passive_Train/Bus/Plane|Meeting_Social_Gathering_In_Person*Carrying_Bag_On_Shoulder/Back_Light|In_Conversation</t>
  </si>
  <si>
    <t>Standing_With_Movement*In_Position_Upright*Riding_Elevator_Down*Holding_Other_Object_Light|Located_Indoors</t>
  </si>
  <si>
    <t>Puttering_Around*In_Position_Upright*Cooking/Prepping_Food|In_Transit_Active*Holding_Solid_Food|Located_Indoors</t>
  </si>
  <si>
    <t>Standing_With_Movement*In_Position_Upright*HLB_Video_Unavailable/Indecipherable*Located_Outdoors</t>
  </si>
  <si>
    <t>Puttering_Around*In_Position_Upright*HIGH_LEVEL_BEHAVIOR_Unlabeled*Holding_Other_Object_Light|Located_Indoors|On_Video_Call/FaceTime</t>
  </si>
  <si>
    <t>Sitting_With_Movement*In_Position_Reclining/Slouching*Meeting_Social_Gathering_In_Person*Located_Outdoors</t>
  </si>
  <si>
    <t>Standing_With_Movement*In_Position_Upright*Eating/Dining|HLB_Other*Holding_Other_Object_Light|Holding_Solid_Food|Located_Outdoors|Texting/Browsing_Phone</t>
  </si>
  <si>
    <t>Puttering_Around*In_Position_Upright*Doing_Common_Housework|Doing_Dishes*Located_Indoors</t>
  </si>
  <si>
    <t>Standing_With_Movement*In_Position_Upright*Shopping_Non-Grocery*Located_Indoors</t>
  </si>
  <si>
    <t>Sitting_With_Movement*In_Position_Sitting*Watching_TV/Movies*In_Conversation|Located_Indoors|Unsure</t>
  </si>
  <si>
    <t>Puttering_Around*In_Position_Upright*Playing_Sports/Games*In_Conversation|Located_Outdoors</t>
  </si>
  <si>
    <t>Standing_With_Movement*In_Position_Upright*Cooking/Prepping_Food*Holding_Drink|Located_Indoors</t>
  </si>
  <si>
    <t>Puttering_Around*In_Position_Upright*Administering_Care_Child/Elder/Other_Adult|Cooking/Prepping_Food*Holding_Other_Object_Light|Located_Indoors</t>
  </si>
  <si>
    <t>Kneeling_With_Movement*In_Position_Kneeling*HIGH_LEVEL_BEHAVIOR_Unlabeled*Holding_Other_Object_Light|Located_Indoors|Texting/Browsing_Phone</t>
  </si>
  <si>
    <t>Puttering_Around*In_Position_Upright*Dressing/Undressing*In_Conversation|Located_Indoors</t>
  </si>
  <si>
    <t>Sitting_With_Movement*In_Position_Sitting*Meeting_Virtual|Watching_Lecture*Located_Indoors|Texting/Browsing_Phone</t>
  </si>
  <si>
    <t>Walking_Slow*In_Position_Upright*HIGH_LEVEL_BEHAVIOR_Unlabeled*Located_Indoors</t>
  </si>
  <si>
    <t>Sitting_With_Movement*In_Position_Sitting*In_Transit_Driving_Car|Meeting_Social_Gathering_In_Person*Located_Outdoors</t>
  </si>
  <si>
    <t>Puttering_Around*In_Position_Upright*Doing_Common_Housework|Doing_Dishes*In_Conversation|Located_Indoors</t>
  </si>
  <si>
    <t>Lying_With_Movement*Lying_On_Back*Meeting_Virtual*Located_Indoors|On_Video_Call/FaceTime</t>
  </si>
  <si>
    <t>Sitting_With_Movement*In_Position_Reclining/Slouching*Meeting_Social_Gathering_In_Person|Relaxing_Passive|Watching_TV/Movies*In_Conversation|Located_Indoors</t>
  </si>
  <si>
    <t>Sitting_With_Movement*In_Position_Sitting*Meeting_Social_Gathering_In_Person|Watching_TV/Movies*Holding_Other_Object_Light|In_Conversation|Located_Indoors</t>
  </si>
  <si>
    <t>Sitting_With_Movement*In_Position_Reclining/Slouching*Meeting_Social_Gathering_In_Person|Watching_TV/Movies*Located_Indoors</t>
  </si>
  <si>
    <t>Sitting_With_Movement*In_Position_Sitting*Playing_Videogame*Legs_Crossed|Located_Indoors|Texting/Browsing_Phone</t>
  </si>
  <si>
    <t>Puttering_Around*In_Position_Upright*Cooking/Prepping_Food|Meeting_Social_Gathering_In_Person*Holding_Other_Object_Light|In_Conversation|Located_Outdoors</t>
  </si>
  <si>
    <t>Puttering_Around*In_Position_Upright*Cleaning|Doing_Dishes*Located_Indoors</t>
  </si>
  <si>
    <t>Sitting_With_Movement*In_Position_Sitting*Playing_Videogame|Watching_TV/Movies*Holding_Other_Object_Light|Located_Indoors</t>
  </si>
  <si>
    <t>Sitting_With_Movement*In_Position_Sitting*Meeting_Social_Gathering_In_Person*Holding_Other_Object_Light|Located_Outdoors</t>
  </si>
  <si>
    <t>Sitting_With_Movement*In_Position_Reclining/Slouching*Meeting_Virtual|Using_Computer/Screen*Located_Indoors</t>
  </si>
  <si>
    <t>Sitting_With_Movement*In_Position_Sitting*HIGH_LEVEL_BEHAVIOR_Unlabeled*Holding_Drink|Holding_Other_Object_Light|Texting/Browsing_Phone</t>
  </si>
  <si>
    <t>Sitting_With_Movement*In_Position_Sitting*Grooming/Self_Care*Holding_Other_Object_Light|Legs_Uncrossed|Located_Indoors</t>
  </si>
  <si>
    <t>Standing_With_Movement*In_Position_Upright*Riding_Elevator_Up*Holding_Other_Object_Light|Located_Indoors</t>
  </si>
  <si>
    <t>Sitting_With_Movement*In_Position_Sitting*HIGH_LEVEL_BEHAVIOR_Unlabeled*Located_Outdoors|On_Video_Call/FaceTime|Texting/Browsing_Phone</t>
  </si>
  <si>
    <t>Sitting_With_Movement*In_Position_Sitting*Working_Other*Located_Indoors</t>
  </si>
  <si>
    <t>Walking*In_Position_Upright*In_Transit_Active*Holding_Other_Object_Light|In_Conversation|Located_Indoors</t>
  </si>
  <si>
    <t>Standing_With_Movement*In_Position_Upright*Cleaning|Doing_Dishes*Located_Indoors</t>
  </si>
  <si>
    <t>Sitting_With_Movement*In_Position_Sitting*Eating/Dining|Meeting_Social_Gathering_In_Person|Watching_TV/Movies*Holding_Solid_Food|Located_Indoors</t>
  </si>
  <si>
    <t>Walking*In_Position_Upright*Eating/Dining|In_Transit_Active*Carrying_Bag_On_Shoulder/Back_Light|Holding_Solid_Food|Located_Outdoors</t>
  </si>
  <si>
    <t>Lying_With_Movement*Lying_On_Back*Relaxing_Passive*In_Conversation|Located_Indoors</t>
  </si>
  <si>
    <t>Standing_With_Movement*In_Position_Upright*In_Transit_Active|Riding_Elevator_Down*In_Conversation|Located_Indoors</t>
  </si>
  <si>
    <t>Doing_Resistance_Training_Other*In_Position_Sitting*Doing_Resistance_Training|Meeting_Social_Gathering_In_Person*Located_Indoors</t>
  </si>
  <si>
    <t>Sitting_With_Movement*In_Position_Sitting*Meeting_Virtual|Using_Computer/Screen*Browsing_Computer|Located_Indoors|On_Video_Call/FaceTime|Texting/Browsing_Phone</t>
  </si>
  <si>
    <t>Sitting_With_Movement*In_Position_Sitting*Meeting_Virtual|Using_Computer/Screen*Browsing_Computer|Located_Indoors|On_Video_Call/FaceTime|Typing_Computer</t>
  </si>
  <si>
    <t>Sitting_With_Movement*In_Position_Sitting*In_Transit_Passive_Car*In_Conversation|Located_Outdoors|On_Video_Call/FaceTime</t>
  </si>
  <si>
    <t>Sitting_With_Movement*In_Position_Reclining/Slouching*Using_Computer/Screen*Located_Indoors|On_Video_Call/FaceTime</t>
  </si>
  <si>
    <t>Sitting_With_Movement*In_Position_Sitting*Eating/Dining|In_Transit_Driving_Car*Holding_Solid_Food</t>
  </si>
  <si>
    <t>Puttering_Around*In_Position_Upright*Cooking/Prepping_Food|In_Transit_Active|Meeting_Social_Gathering_In_Person*In_Conversation|Located_Indoors</t>
  </si>
  <si>
    <t>Standing_With_Movement*In_Position_Upright*Doing_Home_Repair_Light*Located_Indoors</t>
  </si>
  <si>
    <t>Sitting_With_Movement*In_Position_Sitting*In_Transit_Passive_Car|Meeting_Social_Gathering_In_Person*Located_Outdoors|Texting/Browsing_Phone</t>
  </si>
  <si>
    <t>Puttering_Around*In_Position_Upright*HLB_Other*Carrying_Bag_On_Shoulder/Back_Light|Located_Outdoors|Texting/Browsing_Phone</t>
  </si>
  <si>
    <t>Puttering_Around*In_Position_Upright*HIGH_LEVEL_BEHAVIOR_Unlabeled*Holding_Solid_Food|Located_Indoors</t>
  </si>
  <si>
    <t>Sitting_With_Movement*In_Position_Sitting*Relaxing_Passive*In_Conversation|Located_Outdoors</t>
  </si>
  <si>
    <t>Sitting_With_Movement*In_Position_Sitting*Meeting_Social_Gathering_In_Person*Holding_Other_Object_Light|In_Conversation|Located_Outdoors</t>
  </si>
  <si>
    <t>Sitting_Still*In_Position_Sitting*Relaxing_Passive*Holding_Book/Reader|Located_Indoors</t>
  </si>
  <si>
    <t>Sitting_With_Movement*In_Position_Sitting*Eating/Dining|Watching_TV/Movies*Holding_Other_Object_Light|Located_Indoors|Texting/Browsing_Phone</t>
  </si>
  <si>
    <t>Puttering_Around*In_Position_Upright*Cooking/Prepping_Food|Doing_Common_Housework_Light*Holding_Other_Object_Light|Located_Indoors</t>
  </si>
  <si>
    <t>Walking*In_Position_Upright*HLB_Other|Meeting_Social_Gathering_In_Person*Holding_Drink|Holding_Solid_Food|Located_Outdoors</t>
  </si>
  <si>
    <t>Walking*In_Position_Upright*Doing_Common_Housework*Holding_Other_Object_Light|Located_Indoors</t>
  </si>
  <si>
    <t>Standing_With_Movement*In_Position_Upright*Working_Other*Holding_Other_Object_Light</t>
  </si>
  <si>
    <t>Puttering_Around*In_Position_Upright*Doing_Resistance_Training*Holding_Other_Object_Heavy|Located_Indoors</t>
  </si>
  <si>
    <t>Sitting_With_Movement*In_Position_Sitting*In_Transit_Passive_Train/Bus/Plane*Holding_Other_Object_Light|Legs_Crossed|Located_Outdoors|Texting/Browsing_Phone</t>
  </si>
  <si>
    <t>Lying_Still*Lying_On_Back*Relaxing_Passive|Watching_TV/Movies*Located_Indoors|Texting/Browsing_Phone</t>
  </si>
  <si>
    <t>Sitting_With_Movement*In_Position_Sitting*Administering_Care_Child/Elder/Other_Adult|Meeting_Social_Gathering_In_Person*In_Conversation|Located_Indoors</t>
  </si>
  <si>
    <t>Sitting_With_Movement*In_Position_Reclining/Slouching*Using_Computer/Screen*Browsing_Computer|In_Conversation|Located_Indoors</t>
  </si>
  <si>
    <t>Sitting_With_Movement*In_Position_Sitting*In_Transit_Passive_Train/Bus/Plane|Meeting_Social_Gathering_In_Person*Carrying_Bag_On_Shoulder/Back_Light|Legs_Crossed|Texting/Browsing_Phone</t>
  </si>
  <si>
    <t>Sitting_With_Movement*In_Position_Sitting*In_Transit_Active|Relaxing_Passive*Located_Outdoors</t>
  </si>
  <si>
    <t>Puttering_Around*In_Position_Upright*Working_Other*Holding_Other_Object_Light|Located_Indoors</t>
  </si>
  <si>
    <t>Sitting_With_Movement*In_Position_Reclining/Slouching*Using_Computer/Screen*Browsing_Computer|Located_Indoors|On_Phone_Call</t>
  </si>
  <si>
    <t>Lying_Still*Lying_On_Stomach*Watching_TV/Movies*Located_Indoors</t>
  </si>
  <si>
    <t>Standing_With_Movement*In_Position_Upright*HIGH_LEVEL_BEHAVIOR_Unlabeled*Holding_Other_Object_Light</t>
  </si>
  <si>
    <t>Walking*In_Position_Upright*In_Transit_Active*Holding_Drink|Holding_Solid_Food|Located_Outdoors</t>
  </si>
  <si>
    <t>Walking_Down_Stairs*In_Position_Upright*HIGH_LEVEL_BEHAVIOR_Unlabeled*Holding_Other_Object_Light|Located_Indoors</t>
  </si>
  <si>
    <t>Puttering_Around*In_Position_Upright*Cooking/Prepping_Food|Doing_Common_Housework_Light|In_Transit_Active*Holding_Other_Object_Light|Holding_Solid_Food|Located_Indoors</t>
  </si>
  <si>
    <t>Puttering_Around*In_Position_Upright*HIGH_LEVEL_BEHAVIOR_Unlabeled*Carrying_Bag_On_Shoulder/Back_Heavy|Located_Outdoors</t>
  </si>
  <si>
    <t>Standing_With_Movement*In_Position_Upright*Relaxing_Passive*Located_Outdoors</t>
  </si>
  <si>
    <t>Standing_With_Movement*In_Position_Upright*HLB_Other*Holding_Other_Object_Light|Located_Indoors|Texting/Browsing_Phone</t>
  </si>
  <si>
    <t>Sitting_With_Movement*In_Position_Sitting*Watching_TV/Movies*Legs_Uncrossed|Located_Outdoors</t>
  </si>
  <si>
    <t>Sitting_With_Movement*In_Position_Sitting*Doing_Resistance_Training|Exercising_Gym_Other*Located_Indoors|Texting/Browsing_Phone</t>
  </si>
  <si>
    <t>Sitting_With_Movement*In_Position_Sitting*Meeting_Formal_Gathering_In_Person|Working_Other*Located_Indoors</t>
  </si>
  <si>
    <t>Standing_With_Movement*In_Position_Upright*Doing_Dishes*Located_Indoors|On_Phone_Call</t>
  </si>
  <si>
    <t>Sitting_With_Movement*In_Position_Sitting*Meeting_Virtual|Using_Computer/Screen*Located_Indoors|On_Video_Call/FaceTime|Texting/Browsing_Phone</t>
  </si>
  <si>
    <t>Sitting_With_Movement*In_Position_Sitting*HIGH_LEVEL_BEHAVIOR_Unlabeled*Holding_Other_Object_Light|Legs_Uncrossed|Located_Indoors|Texting/Browsing_Phone</t>
  </si>
  <si>
    <t>Sitting_With_Movement*In_Position_Sitting*Eating/Dining|Relaxing_Passive*Holding_Other_Object_Light|Holding_Solid_Food|Legs_Uncrossed|Located_Indoors|Texting/Browsing_Phone</t>
  </si>
  <si>
    <t>Standing_With_Movement*In_Position_Upright*Dressing/Undressing|Meeting_Social_Gathering_In_Person*Holding_Other_Object_Light|Located_Indoors</t>
  </si>
  <si>
    <t>Sitting_With_Movement*In_Position_Sitting*In_Transit_Passive_Train/Bus/Plane|Meeting_Social_Gathering_In_Person*Carrying_Bag_On_Shoulder/Back_Light|In_Conversation|Legs_Crossed</t>
  </si>
  <si>
    <t>Puttering_Around*In_Position_Upright*Cleaning|Cooking/Prepping_Food|Doing_Common_Housework|Doing_Dishes|In_Transit_Active*Holding_Other_Object_Light|Holding_Solid_Food|Located_Indoors</t>
  </si>
  <si>
    <t>Puttering_Around*In_Position_Upright*HIGH_LEVEL_BEHAVIOR_Unlabeled*Carrying_Bag_On_Shoulder/Back_Heavy|In_Conversation|Located_Outdoors|Texting/Browsing_Phone</t>
  </si>
  <si>
    <t>Sitting_Still*In_Position_Sitting*In_Transit_Passive_Train/Bus/Plane*Carrying_Bag_On_Shoulder/Back_Heavy|Located_Outdoors|Texting/Browsing_Phone</t>
  </si>
  <si>
    <t>Walking*In_Position_Upright*In_Transit_Active*Carrying_Bag_On_Shoulder/Back_Light|Holding_Other_Object_Light|In_Conversation|Located_Outdoors</t>
  </si>
  <si>
    <t>Sitting_With_Movement*In_Position_Sitting*Playing_With_Pets*In_Conversation|Located_Indoors</t>
  </si>
  <si>
    <t>Sitting_With_Movement*In_Position_Sitting*Relaxing_Passive*Holding_Solid_Food|Located_Indoors|Texting/Browsing_Phone</t>
  </si>
  <si>
    <t>Sitting_With_Movement*In_Position_Sitting*In_Transit_Passive_Car*Holding_Other_Object_Light</t>
  </si>
  <si>
    <t>Puttering_Around*In_Position_Upright*Cleaning*In_Conversation|Located_Indoors</t>
  </si>
  <si>
    <t>Sitting_With_Movement*In_Position_Reclining/Slouching*Watching_TV/Movies*Holding_Drink|In_Conversation|Located_Indoors</t>
  </si>
  <si>
    <t>Sitting_With_Movement*In_Position_Sitting*In_Transit_Passive_Train/Bus/Plane*Holding_Bag/Briefcase_Hand_Light|Holding_Other_Object_Light|Located_Outdoors</t>
  </si>
  <si>
    <t>Standing_With_Movement*In_Position_Upright*HLB_Other|Meeting_Virtual*Located_Indoors</t>
  </si>
  <si>
    <t>Walking*In_Position_Upright*Shopping_Grocery*Carrying_Bag_On_Shoulder/Back_Light|Carrying_Grocery_Bags_Light|Located_Indoors</t>
  </si>
  <si>
    <t>Sitting_With_Movement*In_Position_Sitting*In_Transit_Driving_Car*Located_Indoors</t>
  </si>
  <si>
    <t>Lying_With_Movement*Lying_On_Back*Using_Computer/Screen|Watching_TV/Movies*Located_Indoors|Texting/Browsing_Phone</t>
  </si>
  <si>
    <t>Sitting_With_Movement*In_Position_Sitting*Playing_Sports/Games*Located_Indoors</t>
  </si>
  <si>
    <t>Lying_With_Movement*Lying_On_Back*HIGH_LEVEL_BEHAVIOR_Unlabeled*Located_Indoors|On_Phone_Call</t>
  </si>
  <si>
    <t>Standing_With_Movement*In_Position_Upright*Meeting_Social_Gathering_In_Person*In_Conversation|Located_Indoors|On_Phone_Call</t>
  </si>
  <si>
    <t>Sitting_With_Movement*In_Position_Sitting*Using_Computer/Screen|Watching_TV/Movies*CP_Other|Legs_Uncrossed|Located_Indoors</t>
  </si>
  <si>
    <t>Sitting_With_Movement*In_Position_Sitting*In_Transit_Passive_Train/Bus/Plane*Holding_Other_Object_Light</t>
  </si>
  <si>
    <t>Sitting_With_Movement*In_Position_Sitting*Eating/Dining|Relaxing_Passive*Located_Indoors</t>
  </si>
  <si>
    <t>Standing_With_Movement*In_Position_Upright*HLB_Other*Holding_Other_Object_Light|In_Conversation|Located_Indoors</t>
  </si>
  <si>
    <t>Standing_With_Movement*In_Position_Upright*Doing_Home_Repair*Located_Indoors</t>
  </si>
  <si>
    <t>Sitting_With_Movement*In_Position_Sitting*Eating/Dining|Meeting_Social_Gathering_In_Person*Holding_Drink|In_Conversation|Located_Outdoors</t>
  </si>
  <si>
    <t>Standing_With_Movement*In_Position_Upright*In_Transit_Active|Meeting_Social_Gathering_In_Person*In_Conversation|Located_Indoors|Texting/Browsing_Phone</t>
  </si>
  <si>
    <t>Sitting_Still*In_Position_Sitting*Using_Computer/Screen*Located_Indoors|Texting/Browsing_Phone</t>
  </si>
  <si>
    <t>Standing_With_Movement*In_Position_Upright*In_Transit_Active*Located_Outdoors|Texting/Browsing_Phone</t>
  </si>
  <si>
    <t>Puttering_Around*In_Position_Upright*Loading/Unloading_Vehicle*In_Conversation|Located_Outdoors</t>
  </si>
  <si>
    <t>Lying_With_Movement*Lying_On_Stomach*Playing_Videogame*Holding_Other_Object_Light|Located_Indoors|Texting/Browsing_Phone</t>
  </si>
  <si>
    <t>Sitting_With_Movement*In_Position_Sitting*In_Transit_Driving_Car*Holding_Other_Object_Light|Located_Outdoors</t>
  </si>
  <si>
    <t>Sitting_With_Movement*In_Position_Sitting*Playing_Videogame|Using_Computer/Screen|Watching_TV/Movies*Located_Indoors|Typing_Computer</t>
  </si>
  <si>
    <t>Sitting_With_Movement*In_Position_Sitting*Meeting_Social_Gathering_In_Person*Carrying_Bag_On_Shoulder/Back_Light|Holding_Drink|In_Conversation|Legs_Crossed|Located_Outdoors|Texting/Browsing_Phone</t>
  </si>
  <si>
    <t>Sitting_With_Movement*In_Position_Sitting*Meeting_Social_Gathering_In_Person|Watching_Lecture*Handwriting|Located_Indoors</t>
  </si>
  <si>
    <t>Sitting_With_Movement*In_Position_Sitting*Meeting_Social_Gathering_In_Person|Relaxing_Passive*Holding_Other_Object_Light|Located_Indoors|Texting/Browsing_Phone</t>
  </si>
  <si>
    <t>Standing_With_Movement*In_Position_Upright*Cooking/Prepping_Food*Holding_Solid_Food|In_Conversation|Located_Indoors</t>
  </si>
  <si>
    <t>Standing_With_Movement*In_Position_Upright*HIGH_LEVEL_BEHAVIOR_Unlabeled*Holding_Drink|Holding_Other_Object_Light|In_Conversation|Located_Outdoors</t>
  </si>
  <si>
    <t>Walking*In_Position_Upright*In_Transit_Active|Meeting_Social_Gathering_In_Person*Carrying_Bag_On_Shoulder/Back_Light|Located_Indoors</t>
  </si>
  <si>
    <t>Walking*In_Position_Upright*Working_Other*Located_Indoors</t>
  </si>
  <si>
    <t>Lying_With_Movement*Lying_On_Back*Eating/Dining|Watching_TV/Movies*Located_Indoors|Texting/Browsing_Phone</t>
  </si>
  <si>
    <t>Sitting_With_Movement*In_Position_Reclining/Slouching*Eating/Dining|Watching_TV/Movies*Holding_Solid_Food|Legs_Crossed|Located_Indoors</t>
  </si>
  <si>
    <t>Sitting_Still*In_Position_Reclining/Slouching*HIGH_LEVEL_BEHAVIOR_Unlabeled*In_Conversation|Located_Indoors|Texting/Browsing_Phone</t>
  </si>
  <si>
    <t>Sitting_With_Movement*In_Position_Sitting*In_Transit_Passive_Car*In_Conversation|Located_Outdoors|Texting/Browsing_Phone</t>
  </si>
  <si>
    <t>Standing_With_Movement*In_Position_Upright*Cooking/Prepping_Food*Holding_Other_Object_Light|Located_Indoors|Texting/Browsing_Phone</t>
  </si>
  <si>
    <t>Sitting_With_Movement*In_Position_Reclining/Slouching*Eating/Dining|Watching_TV/Movies*Holding_Other_Object_Light|Holding_Solid_Food|Located_Indoors|Texting/Browsing_Phone</t>
  </si>
  <si>
    <t>Standing_Still*In_Position_Upright*HLB_Other*Located_Indoors|Texting/Browsing_Phone</t>
  </si>
  <si>
    <t>Sitting_With_Movement*In_Position_Sitting*In_Transit_Passive_Train/Bus/Plane|Meeting_Social_Gathering_In_Person*Carrying_Bag_On_Shoulder/Back_Light|Located_Indoors</t>
  </si>
  <si>
    <t>Sitting_With_Movement*In_Position_Sitting*Eating/Dining*Holding_Other_Object_Light|Located_Indoors|On_Video_Call/FaceTime</t>
  </si>
  <si>
    <t>Sitting_With_Movement*In_Position_Sitting*HLB_Other*Carrying_Bag_On_Shoulder/Back_Light|Located_Outdoors</t>
  </si>
  <si>
    <t>Sitting_With_Movement*In_Position_Sitting*Meeting_Social_Gathering_In_Person*Carrying_Bag_On_Shoulder/Back_Light|In_Conversation|Located_Outdoors|Texting/Browsing_Phone</t>
  </si>
  <si>
    <t>Walking*In_Position_Upright*In_Transit_Active*Located_Indoors|Located_Outdoors</t>
  </si>
  <si>
    <t>Lying_With_Movement*Lying_On_Back*HIGH_LEVEL_BEHAVIOR_Unlabeled*In_Conversation|Located_Indoors</t>
  </si>
  <si>
    <t>Sitting_Still*In_Position_Sitting*In_Transit_Passive_Train/Bus/Plane*Located_Outdoors</t>
  </si>
  <si>
    <t>Standing_With_Movement*In_Position_Upright*Meeting_Social_Gathering_In_Person|Watching_TV/Movies*Holding_Other_Object_Light|In_Conversation|Located_Outdoors</t>
  </si>
  <si>
    <t>Walking_Up_Stairs*In_Position_Upright*HIGH_LEVEL_BEHAVIOR_Unlabeled*Holding_Other_Object_Light|Located_Indoors</t>
  </si>
  <si>
    <t>Sitting_With_Movement*In_Position_Reclining/Slouching*Working_Other*Located_Indoors</t>
  </si>
  <si>
    <t>Sitting_With_Movement*In_Position_Sitting*Meeting_Social_Gathering_In_Person|Using_Computer/Screen*Located_Indoors</t>
  </si>
  <si>
    <t>Lying_With_Movement*Lying_On_Back*Meeting_Social_Gathering_In_Person*In_Conversation|Located_Outdoors</t>
  </si>
  <si>
    <t>Sitting_With_Movement*In_Position_Sitting*Relaxing_Passive*Texting/Browsing_Phone</t>
  </si>
  <si>
    <t>Sitting_With_Movement*In_Position_Sitting*Meeting_Virtual|Using_Computer/Screen*In_Conversation|Legs_Uncrossed|Located_Indoors|On_Video_Call/FaceTime</t>
  </si>
  <si>
    <t>Sitting_With_Movement*In_Position_Sitting*Working_Other*CP_Video_Unavailable/Indecipherable|Located_Indoors</t>
  </si>
  <si>
    <t>Sitting_With_Movement*In_Position_Sitting*Eating/Dining*Handwriting|Located_Indoors</t>
  </si>
  <si>
    <t>Sitting_With_Movement*In_Position_Sitting*HLB_Video_Unavailable/Indecipherable*In_Conversation|Located_Indoors</t>
  </si>
  <si>
    <t>Walking*In_Position_Upright*In_Transit_Active*Carrying_Bag_On_Shoulder/Back_Heavy|Located_Indoors</t>
  </si>
  <si>
    <t>Walking*In_Position_Upright*In_Transit_Active*Carrying_Bag_On_Shoulder/Back_Light|Holding_Bag/Briefcase_Hand_Light|Located_Indoors</t>
  </si>
  <si>
    <t>Puttering_Around*In_Position_Upright*Cleaning|Doing_Common_Housework_Light|Meeting_Social_Gathering_In_Person*Holding_Other_Object_Light|In_Conversation|Located_Indoors</t>
  </si>
  <si>
    <t>Sitting_With_Movement*In_Position_Reclining/Slouching*Relaxing_Passive*Located_Indoors|On_Phone_Call|Texting/Browsing_Phone</t>
  </si>
  <si>
    <t>Walking*In_Position_Upright*In_Transit_Active*Carrying_Grocery_Bags_Light|Located_Indoors</t>
  </si>
  <si>
    <t>Puttering_Around*In_Position_Upright*Packing/Unpacking_Something*In_Conversation|Located_Indoors</t>
  </si>
  <si>
    <t>Sitting_With_Movement*In_Position_Sitting*Meeting_Formal_Gathering_In_Person*Holding_Other_Object_Light|In_Conversation|Located_Indoors</t>
  </si>
  <si>
    <t>Standing_With_Movement*In_Position_Upright*In_Transit_Active|Riding_Elevator_Down*Located_Indoors</t>
  </si>
  <si>
    <t>Sitting_With_Movement*In_Position_Sitting*Eating/Dining|Meeting_Social_Gathering_In_Person*In_Conversation|Legs_Crossed|Located_Outdoors</t>
  </si>
  <si>
    <t>Walking*In_Position_Upright*In_Transit_Passive_Train/Bus/Plane*Holding_Other_Object_Light|Located_Outdoors</t>
  </si>
  <si>
    <t>Standing_With_Movement*In_Position_Upright*Cooking/Prepping_Food|Watching_TV/Movies*Holding_Other_Object_Light|Located_Indoors</t>
  </si>
  <si>
    <t>Sitting_With_Movement*In_Position_Sitting*Eating/Dining|Meeting_Social_Gathering_In_Person|Relaxing_Passive|Watching_TV/Movies*Holding_Drink|Located_Indoors</t>
  </si>
  <si>
    <t>Sitting_With_Movement*In_Position_Sitting*Meeting_Virtual*Holding_Other_Object_Light|Located_Indoors|On_Video_Call/FaceTime|Texting/Browsing_Phone</t>
  </si>
  <si>
    <t>Putting_Clothes_Away*In_Position_Upright*Doing_Common_Housework|Doing_Laundry*Located_Indoors</t>
  </si>
  <si>
    <t>Standing_With_Movement*In_Position_Upright*Watching_TV/Movies*In_Conversation|Located_Indoors</t>
  </si>
  <si>
    <t>Sitting_With_Movement*In_Position_Sitting*Meeting_Virtual|Using_Computer/Screen*Browsing_Computer|Located_Indoors|On_Phone_Call|On_Video_Call/FaceTime</t>
  </si>
  <si>
    <t>Sitting_With_Movement*In_Position_Sitting*Watching_TV/Movies*Texting/Browsing_Phone</t>
  </si>
  <si>
    <t>Sitting_With_Movement*In_Position_Sitting*HIGH_LEVEL_BEHAVIOR_Unlabeled*Holding_Book/Reader|Located_Indoors|Texting/Browsing_Phone</t>
  </si>
  <si>
    <t>Sitting_With_Movement*In_Position_Sitting*Relaxing_Passive*Holding_Drink|In_Conversation|Legs_Crossed|Located_Indoors</t>
  </si>
  <si>
    <t>Sitting_With_Movement*In_Position_Reclining/Slouching*Relaxing_Passive|Watching_TV/Movies*Holding_Other_Object_Light|Located_Indoors</t>
  </si>
  <si>
    <t>Sitting_With_Movement*In_Position_Reclining/Slouching*Meeting_Virtual|Using_Computer/Screen*In_Conversation|Located_Indoors</t>
  </si>
  <si>
    <t>Sitting_With_Movement*In_Position_Sitting*Meeting_Virtual*Handwriting|Holding_Other_Object_Light|Located_Indoors|On_Video_Call/FaceTime</t>
  </si>
  <si>
    <t>Sitting_With_Movement*In_Position_Sitting*Relaxing_Passive*Holding_Drink|Located_Indoors</t>
  </si>
  <si>
    <t>Dry_Mopping*In_Position_Upright*Cleaning*Located_Indoors</t>
  </si>
  <si>
    <t>Walking_Up_Stairs*In_Position_Upright*In_Transit_Active*Carrying_Bag_On_Shoulder/Back_Light|Located_Indoors</t>
  </si>
  <si>
    <t>Standing_With_Movement*In_Position_Upright*Cooking/Prepping_Food*Holding_Other_Object_Light|In_Conversation|Located_Indoors</t>
  </si>
  <si>
    <t>Puttering_Around*In_Position_Upright*Doing_Common_Housework|Meeting_Social_Gathering_In_Person*In_Conversation|Located_Indoors</t>
  </si>
  <si>
    <t>Standing_With_Movement*In_Position_Upright*Working_Other*Browsing_Computer|Located_Indoors</t>
  </si>
  <si>
    <t>Standing_With_Movement*In_Position_Upright*HIGH_LEVEL_BEHAVIOR_Unlabeled*Holding_Drink|In_Conversation|Located_Indoors</t>
  </si>
  <si>
    <t>Puttering_Around*In_Position_Upright*Grooming/Self_Care|In_Bathroom*Located_Indoors</t>
  </si>
  <si>
    <t>Standing_With_Movement*In_Position_Upright*Doing_Common_Housework_Light*Located_Indoors|Texting/Browsing_Phone</t>
  </si>
  <si>
    <t>Lying_With_Movement*Lying_On_Right_Side*HIGH_LEVEL_BEHAVIOR_Unlabeled*Located_Indoors|On_Phone_Call|Texting/Browsing_Phone</t>
  </si>
  <si>
    <t>Standing_With_Movement*In_Position_Upright*Playing_Sports/Games*Located_Outdoors</t>
  </si>
  <si>
    <t>Doing_Resistance_Training_Other*In_Position_Upright*Doing_Resistance_Training|Meeting_Social_Gathering_In_Person*Located_Indoors</t>
  </si>
  <si>
    <t>Walking*In_Position_Upright*In_Transit_Active*Holding_Drink|Holding_Other_Object_Light|In_Conversation|Located_Outdoors</t>
  </si>
  <si>
    <t>Lying_With_Movement*Lying_On_Stomach*Meeting_Social_Gathering_In_Person*In_Conversation|Located_Indoors</t>
  </si>
  <si>
    <t>Standing_With_Movement*In_Position_Upright*Meeting_Social_Gathering_In_Person|Watching_TV/Movies*In_Conversation|Located_Indoors</t>
  </si>
  <si>
    <t>Standing_With_Movement*In_Position_Upright*HIGH_LEVEL_BEHAVIOR_Unlabeled*Holding_Other_Object_Light|Located_Outdoors|On_Phone_Call</t>
  </si>
  <si>
    <t>Sitting_With_Movement*In_Position_Sitting*Relaxing_Passive|Watching_TV/Movies*Legs_Uncrossed|Located_Indoors</t>
  </si>
  <si>
    <t>Standing_With_Movement*In_Position_Upright*Dressing/Undressing*In_Conversation|Located_Indoors</t>
  </si>
  <si>
    <t>Sitting_With_Movement*In_Position_Sitting*Eating/Dining|Relaxing_Passive|Watching_TV/Movies*Holding_Solid_Food|Located_Indoors</t>
  </si>
  <si>
    <t>Puttering_Around*In_Position_Upright*HLB_Video_Unavailable/Indecipherable*Located_Indoors|Texting/Browsing_Phone</t>
  </si>
  <si>
    <t>Kneeling_With_Movement*In_Position_Kneeling*Packing/Unpacking_Something*Holding_Other_Object_Light|Located_Indoors</t>
  </si>
  <si>
    <t>Sitting_With_Movement*In_Position_Sitting*Eating/Dining*Holding_Other_Object_Light|Located_Indoors|On_Video_Call/FaceTime|Texting/Browsing_Phone</t>
  </si>
  <si>
    <t>Sitting_With_Movement*In_Position_Reclining/Slouching*Meeting_Social_Gathering_In_Person|Watching_TV/Movies*Located_Indoors|Texting/Browsing_Phone</t>
  </si>
  <si>
    <t>Sitting_With_Movement*In_Position_Sitting*Meeting_Virtual*Located_Indoors|Texting/Browsing_Phone</t>
  </si>
  <si>
    <t>Puttering_Around*In_Position_Upright*In_Transit_Active|Shopping_Grocery*Located_Indoors</t>
  </si>
  <si>
    <t>Brushing/Combing/Tying_Hair*In_Position_Upright*Grooming/Self_Care*Holding_Other_Object_Light|Located_Indoors</t>
  </si>
  <si>
    <t>Standing_With_Movement*In_Position_Upright*Meeting_Social_Gathering_In_Person*Holding_Other_Object_Light|Located_Indoors|Texting/Browsing_Phone</t>
  </si>
  <si>
    <t>Folding_Clothes*In_Position_Sitting*Doing_Laundry*Located_Indoors</t>
  </si>
  <si>
    <t>Puttering_Around*In_Position_Upright*Walking_Pet*Located_Indoors</t>
  </si>
  <si>
    <t>Puttering_Around*In_Position_Upright*Meeting_Social_Gathering_In_Person|Shopping_Grocery*Holding_Other_Object_Light|In_Conversation|Located_Indoors</t>
  </si>
  <si>
    <t>Puttering_Around*In_Position_Upright*Playing_Sports/Games*Holding_Other_Object_Light|Located_Outdoors</t>
  </si>
  <si>
    <t>Walking*In_Position_Upright*Meeting_Social_Gathering_In_Person*Holding_Other_Object_Light|In_Conversation|Located_Outdoors</t>
  </si>
  <si>
    <t>Sitting_With_Movement*In_Position_Reclining/Slouching*Using_Computer/Screen*Holding_Other_Object_Light|Located_Indoors</t>
  </si>
  <si>
    <t>Puttering_Around*In_Position_Upright*Cleaning|Meeting_Social_Gathering_In_Person*Holding_Other_Object_Light|In_Conversation|Located_Indoors</t>
  </si>
  <si>
    <t>Sitting_With_Movement*In_Position_Sitting*Meeting_Social_Gathering_In_Person*In_Conversation|Located_Indoors|On_Video_Call/FaceTime|Texting/Browsing_Phone</t>
  </si>
  <si>
    <t>Walking*In_Position_Upright*Cooking/Prepping_Food*Located_Indoors</t>
  </si>
  <si>
    <t>Puttering_Around*In_Position_Upright*Shopping_Grocery*Holding_Other_Object_Light|Located_Indoors|Texting/Browsing_Phone</t>
  </si>
  <si>
    <t>Sitting_With_Movement*In_Position_Sitting*Watching_TV/Movies*Legs_Crossed|Located_Indoors</t>
  </si>
  <si>
    <t>Sitting_With_Movement*In_Position_Sitting*HLB_Other|Using_Computer/Screen*Located_Indoors|Texting/Browsing_Phone</t>
  </si>
  <si>
    <t>Puttering_Around*In_Position_Upright*In_Transit_Active*Carrying_Bag_On_Shoulder/Back_Light|Located_Outdoors</t>
  </si>
  <si>
    <t>Puttering_Around*In_Position_Upright*Cooking/Prepping_Food|Doing_Common_Housework|Meeting_Social_Gathering_In_Person*Holding_Other_Object_Light|Located_Indoors</t>
  </si>
  <si>
    <t>Sitting_With_Movement*In_Position_Sitting*Meeting_Social_Gathering_In_Person*Holding_Drink|Located_Indoors</t>
  </si>
  <si>
    <t>Walking*In_Position_Upright*In_Transit_Active*Holding_Bag/Briefcase_Hand_Light|In_Conversation</t>
  </si>
  <si>
    <t>Walking*In_Position_Upright*HIGH_LEVEL_BEHAVIOR_Unlabeled*Holding_Drink|Located_Outdoors</t>
  </si>
  <si>
    <t>Sitting_With_Movement*In_Position_Sitting*Using_Computer/Screen*In_Conversation|Located_Indoors|On_Video_Call/FaceTime|Texting/Browsing_Phone</t>
  </si>
  <si>
    <t>Puttering_Around*In_Position_Upright*Doing_Common_Housework|Using_Computer/Screen*Located_Indoors</t>
  </si>
  <si>
    <t>Sitting_With_Movement*In_Position_Sitting*Eating/Dining*CP_Video_Unavailable/Indecipherable|Located_Indoors</t>
  </si>
  <si>
    <t>Sitting_With_Movement*In_Position_Sitting*HLB_Video_Unavailable/Indecipherable*Holding_Book/Reader</t>
  </si>
  <si>
    <t>Sitting_With_Movement*In_Position_Reclining/Slouching*Relaxing_Passive*Legs_Crossed|Located_Indoors|Texting/Browsing_Phone</t>
  </si>
  <si>
    <t>Sitting_With_Movement*In_Position_Sitting*HIGH_LEVEL_BEHAVIOR_Unlabeled*Holding_Solid_Food|Located_Indoors</t>
  </si>
  <si>
    <t>Puttering_Around*In_Position_Upright*Eating/Dining|Meeting_Social_Gathering_In_Person|Watching_TV/Movies*In_Conversation|Located_Indoors</t>
  </si>
  <si>
    <t>Sitting_With_Movement*In_Position_Sitting*In_Transit_Passive_Train/Bus/Plane|Meeting_Social_Gathering_In_Person*Carrying_Bag_On_Shoulder/Back_Light|Legs_Crossed</t>
  </si>
  <si>
    <t>Sitting_With_Movement*In_Position_Reclining/Slouching*Eating/Dining|Watching_TV/Movies*Holding_Drink|In_Conversation|Located_Indoors</t>
  </si>
  <si>
    <t>Standing_With_Movement*In_Position_Upright*Doing_Resistance_Training*Located_Indoors|Texting/Browsing_Phone</t>
  </si>
  <si>
    <t>Sitting_With_Movement*In_Position_Sitting*Eating/Dining|In_Transit_Passive_Train/Bus/Plane*Holding_Other_Object_Light|Holding_Solid_Food|Located_Outdoors</t>
  </si>
  <si>
    <t>Sitting_With_Movement*In_Position_Sitting*HLB_Other|Relaxing_Passive*In_Conversation|Legs_Uncrossed|Located_Indoors|On_Video_Call/FaceTime|Texting/Browsing_Phone</t>
  </si>
  <si>
    <t>Sitting_With_Movement*In_Position_Sitting*Eating/Dining*Holding_Solid_Food|In_Conversation|Located_Indoors|Texting/Browsing_Phone</t>
  </si>
  <si>
    <t>Sitting_With_Movement*In_Position_Sitting*Eating/Dining|Relaxing_Passive|Watching_TV/Movies*Holding_Drink|Holding_Other_Object_Light|Located_Indoors</t>
  </si>
  <si>
    <t>Sitting_With_Movement*In_Position_Reclining/Slouching*Playing_Videogame|Watching_TV/Movies*Holding_Other_Object_Light|Located_Indoors|Texting/Browsing_Phone</t>
  </si>
  <si>
    <t>Puttering_Around*In_Position_Upright*In_Transit_Active|Meeting_Social_Gathering_In_Person*In_Conversation|Located_Indoors</t>
  </si>
  <si>
    <t>Sitting_With_Movement*In_Position_Sitting*Eating/Dining*Holding_Other_Object_Light|Holding_Solid_Food|Located_Indoors|Texting/Browsing_Phone</t>
  </si>
  <si>
    <t>Sitting_With_Movement*In_Position_Reclining/Slouching*Using_Computer/Screen*Browsing_Computer|Holding_Other_Object_Light|Located_Indoors|On_Video_Call/FaceTime|Texting/Browsing_Phone</t>
  </si>
  <si>
    <t>Sitting_With_Movement*In_Position_Sitting*Meeting_Social_Gathering_In_Person*In_Conversation|Located_Outdoors|Texting/Browsing_Phone</t>
  </si>
  <si>
    <t>Walking*In_Position_Upright*HIGH_LEVEL_BEHAVIOR_Unlabeled*In_Conversation|Located_Outdoors</t>
  </si>
  <si>
    <t>Puttering_Around*In_Position_Upright*Loading/Unloading_Vehicle*Holding_Other_Object_Light|Located_Outdoors</t>
  </si>
  <si>
    <t>Sitting_With_Movement*In_Position_Sitting*Meeting_Social_Gathering_In_Person*Holding_Drink|In_Conversation|Located_Outdoors</t>
  </si>
  <si>
    <t>Sitting_With_Movement*In_Position_Sitting*In_Transit_Driving_Car*Holding_Drink|Located_Outdoors</t>
  </si>
  <si>
    <t>Walking_Down_Stairs*In_Position_Upright*In_Transit_Active*Carrying_Bag_On_Shoulder/Back_Light|Located_Indoors</t>
  </si>
  <si>
    <t>Standing_With_Movement*In_Position_Upright*HIGH_LEVEL_BEHAVIOR_Unlabeled*Carrying_Bag_On_Shoulder/Back_Light|Located_Outdoors</t>
  </si>
  <si>
    <t>Sitting_With_Movement*In_Position_Sitting*Eating/Dining*In_Conversation|Located_Indoors|On_Video_Call/FaceTime</t>
  </si>
  <si>
    <t>Sitting_With_Movement*In_Position_Sitting*Eating/Dining|Using_Computer/Screen|Watching_TV/Movies*In_Conversation|Located_Indoors</t>
  </si>
  <si>
    <t>Sitting_With_Movement*In_Position_Sitting*Using_Computer/Screen*Holding_Drink|In_Conversation|Located_Indoors</t>
  </si>
  <si>
    <t>Sitting_With_Movement*In_Position_Reclining/Slouching*Meeting_Social_Gathering_In_Person|Watching_TV/Movies*Located_Indoors|Unsure</t>
  </si>
  <si>
    <t>Puttering_Around*In_Position_Upright*Shopping_Grocery*Located_Indoors|On_Video_Call/FaceTime</t>
  </si>
  <si>
    <t>Sitting_With_Movement*In_Position_Sitting*Meeting_Social_Gathering_In_Person|Using_Computer/Screen*Holding_Other_Object_Light|In_Conversation|Legs_Crossed|Located_Indoors</t>
  </si>
  <si>
    <t>Walking*In_Position_Upright*In_Transit_Active|Meeting_Social_Gathering_In_Person*Carrying_Grocery_Bags_Light|Holding_Drink|Holding_Other_Object_Light|Located_Outdoors</t>
  </si>
  <si>
    <t>Lying_With_Movement*Lying_On_Back*HIGH_LEVEL_BEHAVIOR_Unlabeled*Holding_Other_Object_Light|Located_Indoors|On_Video_Call/FaceTime</t>
  </si>
  <si>
    <t>Lying_With_Movement*Lying_On_Right_Side*Playing_Videogame|Relaxing_Passive*Located_Indoors</t>
  </si>
  <si>
    <t>Sitting_With_Movement*In_Position_Sitting*Meeting_Social_Gathering_In_Person*Holding_Drink|Holding_Other_Object_Light|Located_Indoors|Texting/Browsing_Phone</t>
  </si>
  <si>
    <t>Standing_With_Movement*In_Position_Upright*HIGH_LEVEL_BEHAVIOR_Unlabeled*In_Conversation|Located_Indoors|Texting/Browsing_Phone</t>
  </si>
  <si>
    <t>Lying_Still*Lying_On_Left_Side*Relaxing_Passive|Watching_TV/Movies*Located_Indoors</t>
  </si>
  <si>
    <t>Standing_With_Movement*In_Position_Upright*Meeting_Social_Gathering_In_Person*Located_Outdoors</t>
  </si>
  <si>
    <t>Washing_Hands*In_Position_Upright*Grooming/Self_Care*Located_Indoors</t>
  </si>
  <si>
    <t>Sitting_With_Movement*In_Position_Sitting*Meeting_Social_Gathering_In_Person|Working_Other*Handwriting|Holding_Other_Object_Light|In_Conversation|Located_Indoors</t>
  </si>
  <si>
    <t>Sitting_With_Movement*In_Position_Sitting*HIGH_LEVEL_BEHAVIOR_Unlabeled*Legs_Uncrossed|Located_Indoors|On_Phone_Call|Texting/Browsing_Phone</t>
  </si>
  <si>
    <t>Walking*In_Position_Upright*Cooking/Prepping_Food*Holding_Other_Object_Light|Located_Indoors</t>
  </si>
  <si>
    <t>Sitting_With_Movement*In_Position_Sitting*Eating/Dining|Using_Computer/Screen*Located_Indoors|Texting/Browsing_Phone</t>
  </si>
  <si>
    <t>Kneeling_With_Movement*In_Position_Kneeling*Meeting_Social_Gathering_In_Person*CP_Other|In_Conversation|Located_Indoors</t>
  </si>
  <si>
    <t>Sitting_With_Movement*In_Position_Sitting*Meeting_Social_Gathering_In_Person*Holding_Book/Reader|In_Conversation|Located_Indoors</t>
  </si>
  <si>
    <t>Lying_With_Movement*Lying_On_Back*Using_Computer/Screen*Located_Indoors|Texting/Browsing_Phone</t>
  </si>
  <si>
    <t>Sitting_With_Movement*In_Position_Sitting*Watching_TV/Movies*Holding_Solid_Food|Located_Indoors</t>
  </si>
  <si>
    <t>Walking*In_Position_Upright*Exercising_Gym_Other*In_Conversation|Located_Indoors</t>
  </si>
  <si>
    <t>Sitting_With_Movement*In_Position_Sitting*Cooking/Prepping_Food*Holding_Other_Object_Light|Located_Indoors</t>
  </si>
  <si>
    <t>Loading/Unloading_Washing_Machine/Dryer*In_Position_Upright*Doing_Laundry*Holding_Other_Object_Light|Located_Indoors</t>
  </si>
  <si>
    <t>Standing_With_Movement*In_Position_Upright*Riding_Elevator_Down*Located_Indoors</t>
  </si>
  <si>
    <t>Standing_With_Movement*In_Position_Upright*Grooming/Self_Care|In_Bathroom*Holding_Other_Object_Light|Located_Indoors</t>
  </si>
  <si>
    <t>Walking*In_Position_Upright*In_Transit_Active*Carrying_Bag_On_Shoulder/Back_Light|In_Conversation|Located_Outdoors</t>
  </si>
  <si>
    <t>Standing_With_Movement*In_Position_Upright*In_Transit_Active|Meeting_Social_Gathering_In_Person*In_Conversation|Located_Outdoors</t>
  </si>
  <si>
    <t>Walking*In_Position_Upright*In_Transit_Active*Holding_Bag/Briefcase_Hand_Light|Located_Indoors</t>
  </si>
  <si>
    <t>Sitting_With_Movement*In_Position_Reclining/Slouching*HIGH_LEVEL_BEHAVIOR_Unlabeled*Located_Indoors|On_Phone_Call</t>
  </si>
  <si>
    <t>Sitting_With_Movement*In_Position_Sitting*In_Transit_Passive_Train/Bus/Plane*Carrying_Bag_On_Shoulder/Back_Light|Located_Outdoors|On_Phone_Call</t>
  </si>
  <si>
    <t>Sitting_With_Movement*In_Position_Sitting*In_Transit_Active*Carrying_Bag_On_Shoulder/Back_Light|Located_Outdoors|Texting/Browsing_Phone</t>
  </si>
  <si>
    <t>Sitting_With_Movement*In_Position_Sitting*HLB_Other|Relaxing_Passive*In_Conversation|Legs_Uncrossed|Located_Indoors|On_Video_Call/FaceTime</t>
  </si>
  <si>
    <t>Sitting_With_Movement*In_Position_Reclining/Slouching*Eating/Dining|Watching_TV/Movies*Holding_Solid_Food|In_Conversation|Located_Indoors</t>
  </si>
  <si>
    <t>Puttering_Around*In_Position_Upright*Cleaning|Doing_Common_Housework*In_Conversation|Located_Indoors</t>
  </si>
  <si>
    <t>Sitting_With_Movement*In_Position_Sitting*Using_Computer/Screen|Watching_TV/Movies*Browsing_Computer|Legs_Uncrossed|Located_Indoors</t>
  </si>
  <si>
    <t>Sitting_With_Movement*In_Position_Sitting*Using_Computer/Screen|Working_Other*Located_Indoors|Texting/Browsing_Phone</t>
  </si>
  <si>
    <t>Sitting_Still*In_Position_Sitting*HIGH_LEVEL_BEHAVIOR_Unlabeled*Browsing_Computer|Located_Indoors</t>
  </si>
  <si>
    <t>Sitting_With_Movement*In_Position_Sitting*HLB_Other*Holding_Book/Reader|Located_Indoors</t>
  </si>
  <si>
    <t>Standing_With_Movement*In_Position_Upright*Meeting_Formal_Gathering_In_Person*In_Conversation|Located_Indoors</t>
  </si>
  <si>
    <t>Puttering_Around*In_Position_Upright*Dressing/Undressing*Holding_Other_Object_Light|Located_Indoors</t>
  </si>
  <si>
    <t>Puttering_Around*In_Position_Upright*Shopping_Non-Grocery*Carrying_Bag_On_Shoulder/Back_Light|Holding_Bag/Briefcase_Hand_Light|Holding_Other_Object_Light|Located_Indoors</t>
  </si>
  <si>
    <t>Sitting_With_Movement*In_Position_Reclining/Slouching*Eating/Dining|Watching_TV/Movies*Located_Indoors</t>
  </si>
  <si>
    <t>Sitting_Still*In_Position_Sitting*HLB_Video_Unavailable/Indecipherable|Watching_TV/Movies*Located_Indoors</t>
  </si>
  <si>
    <t>Puttering_Around*In_Position_Upright*Meeting_Social_Gathering_In_Person|Playing_Sports/Games*In_Conversation|Located_Outdoors</t>
  </si>
  <si>
    <t>Standing_With_Movement*In_Position_Upright*HIGH_LEVEL_BEHAVIOR_Unlabeled*Holding_Other_Object_Light|Located_Outdoors</t>
  </si>
  <si>
    <t>Walking*In_Position_Upright*In_Transit_Active*Holding_Other_Object_Light|Located_Outdoors|On_Video_Call/FaceTime</t>
  </si>
  <si>
    <t>Standing_With_Movement*In_Position_Upright*Meeting_Social_Gathering_In_Person*Carrying_Bag_On_Shoulder/Back_Light|Holding_Drink|In_Conversation|Located_Outdoors</t>
  </si>
  <si>
    <t>Standing_With_Movement*In_Position_Upright*Cleaning|Doing_Dishes|Meeting_Social_Gathering_In_Person*Holding_Other_Object_Light|In_Conversation|Located_Indoors</t>
  </si>
  <si>
    <t>Puttering_Around*In_Position_Upright*Cooking/Prepping_Food|Doing_Common_Housework|Meeting_Virtual*Located_Indoors|On_Video_Call/FaceTime</t>
  </si>
  <si>
    <t>Sitting_With_Movement*In_Position_Sitting*In_Transit_Passive_Train/Bus/Plane*CONTEXTUAL_PARAMETERS_Unlabeled</t>
  </si>
  <si>
    <t>Walking*In_Position_Upright*HIGH_LEVEL_BEHAVIOR_Unlabeled*Carrying_Bag_On_Shoulder/Back_Light|Located_Outdoors|Texting/Browsing_Phone</t>
  </si>
  <si>
    <t>Sitting_With_Movement*In_Position_Sitting*In_Transit_Passive_Train/Bus/Plane*Located_Indoors</t>
  </si>
  <si>
    <t>Doing_Resistance_Training_Other*In_Position_Sitting*Doing_Resistance_Training*Located_Indoors</t>
  </si>
  <si>
    <t>Sitting_With_Movement*In_Position_Reclining/Slouching*Using_Computer/Screen|Watching_TV/Movies*Browsing_Computer|Located_Indoors</t>
  </si>
  <si>
    <t>Puttering_Around*In_Position_Upright*Cooking/Prepping_Food|Watching_TV/Movies*Holding_Other_Object_Light|Located_Indoors</t>
  </si>
  <si>
    <t>Brushing/Combing/Tying_Hair*In_Position_Upright*Grooming/Self_Care|In_Bathroom*Located_Indoors</t>
  </si>
  <si>
    <t>Walking*In_Position_Upright*In_Transit_Active|Meeting_Social_Gathering_In_Person*Holding_Drink|Holding_Other_Object_Light|Located_Outdoors</t>
  </si>
  <si>
    <t>Standing_With_Movement*In_Position_Upright*Cooking/Prepping_Food|Doing_Dishes*Holding_Other_Object_Light|Located_Indoors</t>
  </si>
  <si>
    <t>Sitting_With_Movement*In_Position_Sitting*Eating/Dining|Playing_Videogame*Holding_Other_Object_Light|Located_Indoors</t>
  </si>
  <si>
    <t>Kneeling_With_Movement*In_Position_Kneeling*Playing_With_Pets*Located_Indoors</t>
  </si>
  <si>
    <t>Sitting_With_Movement*In_Position_Sitting*Doing_Alternative_Exercise/Therapy/Stretching|Watching_TV/Movies*Located_Indoors</t>
  </si>
  <si>
    <t>Lying_With_Movement*Lying_On_Right_Side*Relaxing_Passive*Holding_Other_Object_Light|Located_Indoors|Texting/Browsing_Phone</t>
  </si>
  <si>
    <t>Sitting_With_Movement*In_Position_Sitting*In_Transit_Passive_Car*Holding_Drink|Located_Outdoors</t>
  </si>
  <si>
    <t>Sitting_With_Movement*In_Position_Sitting*Playing_Videogame*Located_Indoors|On_Phone_Call</t>
  </si>
  <si>
    <t>Sitting_With_Movement*In_Position_Sitting*In_Transit_Passive_Car*Holding_Other_Object_Light|In_Conversation|Located_Outdoors</t>
  </si>
  <si>
    <t>Sitting_With_Movement*In_Position_Sitting*In_Transit_Driving_Car*Texting/Browsing_Phone</t>
  </si>
  <si>
    <t>Puttering_Around*In_Position_Upright*Watching_TV/Movies*Holding_Other_Object_Light|Located_Indoors</t>
  </si>
  <si>
    <t>Sitting_With_Movement*In_Position_Sitting*Relaxing_Passive*Located_Outdoors</t>
  </si>
  <si>
    <t>Standing_With_Movement*In_Position_Upright*HIGH_LEVEL_BEHAVIOR_Unlabeled*Holding_Other_Object_Light|In_Conversation|Located_Outdoors</t>
  </si>
  <si>
    <t>Puttering_Around*In_Position_Upright*Cleaning|Doing_Common_Housework*Holding_Other_Object_Light|Located_Indoors</t>
  </si>
  <si>
    <t>Kneeling_With_Movement*In_Position_Kneeling*HIGH_LEVEL_BEHAVIOR_Unlabeled*Located_Indoors</t>
  </si>
  <si>
    <t>Standing_With_Movement*In_Position_Upright*In_Transit_Active*Carrying_Bag_On_Shoulder/Back_Light|Located_Indoors|Texting/Browsing_Phone</t>
  </si>
  <si>
    <t>Standing_With_Movement*In_Position_Upright*Doing_Resistance_Training*Located_Indoors</t>
  </si>
  <si>
    <t>Walking*In_Position_Upright*Meeting_Social_Gathering_In_Person|Shopping_Grocery*In_Conversation|Located_Indoors</t>
  </si>
  <si>
    <t>Sitting_With_Movement*In_Position_Sitting*Meeting_Social_Gathering_In_Person*In_Conversation|Legs_Uncrossed|Located_Indoors</t>
  </si>
  <si>
    <t>Walking*In_Position_Upright*In_Transit_Passive_Train/Bus/Plane*Located_Outdoors</t>
  </si>
  <si>
    <t>Sitting_Still*In_Position_Sitting*In_Transit_Passive_Train/Bus/Plane*Located_Indoors</t>
  </si>
  <si>
    <t>Standing_With_Movement*In_Position_Upright*HIGH_LEVEL_BEHAVIOR_Unlabeled*Carrying_Bag_On_Shoulder/Back_Light|In_Conversation|Located_Outdoors</t>
  </si>
  <si>
    <t>Sitting_With_Movement*In_Position_Sitting*In_Transit_Passive_Car*CONTEXTUAL_PARAMETERS_Unlabeled</t>
  </si>
  <si>
    <t>Sitting_With_Movement*In_Position_Sitting*Meeting_Formal_Gathering_In_Person|Working_Other*Handwriting|Located_Indoors</t>
  </si>
  <si>
    <t>Sitting_With_Movement*In_Position_Sitting*Meeting_Virtual|Using_Computer/Screen*Holding_Other_Object_Light|In_Conversation|Located_Indoors|On_Video_Call/FaceTime</t>
  </si>
  <si>
    <t>Puttering_Around*In_Position_Upright*Doing_Common_Housework|Packing/Unpacking_Something*In_Conversation|Located_Indoors</t>
  </si>
  <si>
    <t>Sitting_With_Movement*In_Position_Sitting*In_Transit_Driving_Car*In_Conversation|Located_Outdoors|On_Video_Call/FaceTime</t>
  </si>
  <si>
    <t>Walking*In_Position_Upright*In_Transit_Passive_Train/Bus/Plane*Carrying_Bag_On_Shoulder/Back_Light|Located_Outdoors</t>
  </si>
  <si>
    <t>Sitting_With_Movement*In_Position_Sitting*Using_Computer/Screen*Legs_Crossed|Located_Indoors|Typing_Computer</t>
  </si>
  <si>
    <t>Puttering_Around*In_Position_Upright*Eating/Dining*Holding_Other_Object_Light|Located_Indoors</t>
  </si>
  <si>
    <t>Walking*In_Position_Upright*In_Transit_Active|Walking_Pet*Holding_Other_Object_Light|Located_Outdoors</t>
  </si>
  <si>
    <t>Standing_With_Movement*In_Position_Upright*Dancing|Meeting_Social_Gathering_In_Person*In_Conversation|Located_Indoors</t>
  </si>
  <si>
    <t>Sitting_With_Movement*In_Position_Sitting*Eating/Dining|Watching_TV/Movies*Holding_Drink|Holding_Other_Object_Light|Located_Indoors</t>
  </si>
  <si>
    <t>Lying_With_Movement*Lying_On_Left_Side*Using_Computer/Screen*In_Conversation|Located_Indoors</t>
  </si>
  <si>
    <t>Standing_With_Movement*In_Position_Upright*Cooking/Prepping_Food|Eating/Dining*Holding_Other_Object_Light|Located_Indoors</t>
  </si>
  <si>
    <t>Sitting_With_Movement*In_Position_Reclining/Slouching*HIGH_LEVEL_BEHAVIOR_Unlabeled*Holding_Drink|In_Conversation|Located_Indoors</t>
  </si>
  <si>
    <t>Sitting_With_Movement*In_Position_Sitting*Meeting_Social_Gathering_In_Person|Relaxing_Passive*Holding_Other_Object_Light|Located_Indoors</t>
  </si>
  <si>
    <t>Sitting_With_Movement*In_Position_Sitting*Relaxing_Passive*In_Conversation|Located_Indoors|On_Video_Call/FaceTime|Texting/Browsing_Phone</t>
  </si>
  <si>
    <t>Sitting_With_Movement*In_Position_Reclining/Slouching*Eating/Dining|Watching_TV/Movies*Holding_Drink|Holding_Solid_Food|Located_Indoors</t>
  </si>
  <si>
    <t>Sitting_With_Movement*In_Position_Reclining/Slouching*Using_Computer/Screen*Located_Indoors|Typing_Computer</t>
  </si>
  <si>
    <t>Walking*In_Position_Upright*In_Transit_Active*Carrying_Bag_On_Shoulder/Back_Light</t>
  </si>
  <si>
    <t>Walking*In_Position_Upright*Shopping_Grocery*Holding_Other_Object_Light|Located_Indoors</t>
  </si>
  <si>
    <t>Sitting_With_Movement*In_Position_Sitting*Meeting_Virtual|Using_Computer/Screen*Browsing_Computer|Holding_Other_Object_Light|In_Conversation|Located_Indoors</t>
  </si>
  <si>
    <t>Sitting_With_Movement*In_Position_Sitting*Doing_Laundry|Watching_TV/Movies*Holding_Book/Reader|In_Conversation|Located_Indoors</t>
  </si>
  <si>
    <t>Sitting_With_Movement*In_Position_Reclining/Slouching*Meeting_Social_Gathering_In_Person|Relaxing_Passive*Holding_Other_Object_Light|Located_Indoors|Texting/Browsing_Phone</t>
  </si>
  <si>
    <t>Standing_With_Movement*In_Position_Upright*Riding_Elevator_Up*Located_Indoors</t>
  </si>
  <si>
    <t>Sitting_With_Movement*In_Position_Sitting*Meeting_Social_Gathering_In_Person*Located_Outdoors</t>
  </si>
  <si>
    <t>Sitting_With_Movement*In_Position_Sitting*In_Transit_Active*Located_Indoors|Texting/Browsing_Phone</t>
  </si>
  <si>
    <t>Sitting_With_Movement*In_Position_Sitting*Using_Computer/Screen|Watching_TV/Movies*Holding_Other_Object_Light|Located_Indoors|Texting/Browsing_Phone</t>
  </si>
  <si>
    <t>Standing_With_Movement*In_Position_Upright*In_Transit_Active*Carrying_Bag_On_Shoulder/Back_Light|Located_Outdoors|Texting/Browsing_Phone</t>
  </si>
  <si>
    <t>Standing_With_Movement*In_Position_Upright*HLB_Other*Located_Indoors|On_Phone_Call</t>
  </si>
  <si>
    <t>Sitting_With_Movement*In_Position_Sitting*HIGH_LEVEL_BEHAVIOR_Unlabeled*Browsing_Computer|Located_Indoors</t>
  </si>
  <si>
    <t>Standing_With_Movement*In_Position_Upright*Riding_Elevator_Down*Located_Indoors|Texting/Browsing_Phone</t>
  </si>
  <si>
    <t>Standing_With_Movement*In_Position_Upright*Doing_Common_Housework|Doing_Dishes*Located_Indoors</t>
  </si>
  <si>
    <t>Sitting_With_Movement*In_Position_Sitting*Meeting_Virtual*Browsing_Computer|Located_Indoors|On_Video_Call/FaceTime</t>
  </si>
  <si>
    <t>Sitting_With_Movement*In_Position_Reclining/Slouching*Eating/Dining*Located_Indoors</t>
  </si>
  <si>
    <t>Walking*In_Position_Upright*Shopping_Non-Grocery*Located_Indoors</t>
  </si>
  <si>
    <t>Sitting_With_Movement*In_Position_Sitting*HIGH_LEVEL_BEHAVIOR_Unlabeled*Carrying_Bag_On_Shoulder/Back_Light|Holding_Other_Object_Light|Located_Indoors|Texting/Browsing_Phone</t>
  </si>
  <si>
    <t>Sitting_With_Movement*In_Position_Sitting*Using_Computer/Screen*Browsing_Computer|Holding_Solid_Food|Located_Indoors</t>
  </si>
  <si>
    <t>Standing_With_Movement*In_Position_Upright*Relaxing_Passive*Holding_Book/Reader|Located_Indoors</t>
  </si>
  <si>
    <t>Lying_With_Movement*Lying_On_Right_Side*Using_Computer/Screen*Browsing_Computer|Located_Indoors</t>
  </si>
  <si>
    <t>Walking*In_Position_Upright*In_Transit_Active|Meeting_Social_Gathering_In_Person*In_Conversation|Located_Outdoors|Texting/Browsing_Phone</t>
  </si>
  <si>
    <t>Sitting_With_Movement*In_Position_Sitting*Eating/Dining|Meeting_Social_Gathering_In_Person*Holding_Book/Reader|Located_Indoors</t>
  </si>
  <si>
    <t>Lying_With_Movement*Lying_On_Stomach*Relaxing_Passive|Watching_TV/Movies*Located_Indoors</t>
  </si>
  <si>
    <t>Standing_With_Movement*In_Position_Upright*In_Bathroom*Holding_Other_Object_Light|Located_Indoors</t>
  </si>
  <si>
    <t>Sitting_With_Movement*In_Position_Reclining/Slouching*Watching_TV/Movies*Legs_Crossed|Located_Indoors</t>
  </si>
  <si>
    <t>Sitting_With_Movement*In_Position_Sitting*HIGH_LEVEL_BEHAVIOR_Unlabeled*Carrying_Bag_On_Shoulder/Back_Light|Located_Outdoors|Texting/Browsing_Phone</t>
  </si>
  <si>
    <t>Standing_With_Movement*In_Position_Upright*Cleaning|Doing_Common_Housework_Light*Holding_Other_Object_Light|Located_Indoors</t>
  </si>
  <si>
    <t>Sitting_With_Movement*In_Position_Sitting*Meeting_Virtual|Using_Computer/Screen*In_Conversation|Legs_Uncrossed|Located_Indoors</t>
  </si>
  <si>
    <t>Lying_With_Movement*Lying_On_Back*Relaxing_Passive|Watching_TV/Movies*Holding_Other_Object_Light|Located_Indoors|Texting/Browsing_Phone</t>
  </si>
  <si>
    <t>Kneeling_With_Movement*In_Position_Kneeling*Meeting_Social_Gathering_In_Person*Holding_Other_Object_Light|Located_Indoors</t>
  </si>
  <si>
    <t>Sitting_With_Movement*In_Position_Sitting*HIGH_LEVEL_BEHAVIOR_Unlabeled*In_Conversation|Legs_Crossed|Located_Indoors</t>
  </si>
  <si>
    <t>Standing_With_Movement*In_Position_Upright*HIGH_LEVEL_BEHAVIOR_Unlabeled*Carrying_Bag_On_Shoulder/Back_Light|Located_Outdoors|Texting/Browsing_Phone</t>
  </si>
  <si>
    <t>Lying_With_Movement*Lying_On_Back*Relaxing_Passive|Using_Computer/Screen|Watching_TV/Movies*Legs_Crossed|Located_Indoors</t>
  </si>
  <si>
    <t>Walking*In_Position_Upright*HIGH_LEVEL_BEHAVIOR_Unlabeled*Holding_Other_Object_Light|In_Conversation|Located_Indoors</t>
  </si>
  <si>
    <t>Sitting_With_Movement*In_Position_Sitting*HIGH_LEVEL_BEHAVIOR_Unlabeled*Holding_Other_Object_Light|Located_Indoors|On_Video_Call/FaceTime</t>
  </si>
  <si>
    <t>Sitting_With_Movement*In_Position_Sitting*HLB_Video_Unavailable/Indecipherable*Holding_Other_Object_Light|Located_Indoors|Unsure</t>
  </si>
  <si>
    <t>Sitting_With_Movement*In_Position_Sitting*Eating/Dining*Located_Outdoors</t>
  </si>
  <si>
    <t>Lying_With_Movement*Lying_On_Back*Relaxing_Passive*In_Conversation|Located_Indoors|Texting/Browsing_Phone</t>
  </si>
  <si>
    <t>Sitting_With_Movement*In_Position_Sitting*Meeting_Social_Gathering_In_Person|Using_Computer/Screen|Working_Other*In_Conversation|Located_Indoors</t>
  </si>
  <si>
    <t>Lying_With_Movement*Lying_On_Back*Doing_Alternative_Exercise/Therapy/Stretching*Located_Indoors</t>
  </si>
  <si>
    <t>Sitting_With_Movement*In_Position_Sitting*Playing_With_Pets|Relaxing_Passive*Holding_Other_Object_Light|Located_Indoors</t>
  </si>
  <si>
    <t>Standing_With_Movement*In_Position_Upright*HIGH_LEVEL_BEHAVIOR_Unlabeled*Holding_Book/Reader|Located_Indoors</t>
  </si>
  <si>
    <t>Sitting_With_Movement*In_Position_Sitting*Meeting_Social_Gathering_In_Person|Using_Computer/Screen*Browsing_Computer|In_Conversation|Located_Indoors</t>
  </si>
  <si>
    <t>Sweeping*In_Position_Upright*Cleaning*Located_Indoors</t>
  </si>
  <si>
    <t>Sitting_With_Movement*In_Position_Sitting*Using_Computer/Screen|Watching_TV/Movies*Legs_Crossed|Located_Indoors</t>
  </si>
  <si>
    <t>Sitting_With_Movement*In_Position_Sitting*HIGH_LEVEL_BEHAVIOR_Unlabeled*Holding_Other_Object_Light|On_Video_Call/FaceTime|Texting/Browsing_Phone</t>
  </si>
  <si>
    <t>Sitting_With_Movement*In_Position_Sitting*Relaxing_Passive|Watching_TV/Movies*Holding_Other_Object_Light|Located_Indoors</t>
  </si>
  <si>
    <t>Standing_With_Movement*In_Position_Upright*Working_Other*Browsing_Computer|Holding_Other_Object_Light</t>
  </si>
  <si>
    <t>Sitting_With_Movement*In_Position_Sitting*Eating/Dining|Meeting_Social_Gathering_In_Person|Relaxing_Passive|Watching_TV/Movies*Holding_Drink|In_Conversation|Located_Indoors</t>
  </si>
  <si>
    <t>Puttering_Around*In_Position_Upright*Meeting_Social_Gathering_In_Person*Holding_Drink|In_Conversation|Located_Indoors</t>
  </si>
  <si>
    <t>Sitting_With_Movement*In_Position_Sitting*Playing_With_Children_Moderate*Located_Indoors</t>
  </si>
  <si>
    <t>Sitting_Still*In_Position_Sitting*HIGH_LEVEL_BEHAVIOR_Unlabeled*In_Conversation|Located_Indoors</t>
  </si>
  <si>
    <t>Standing_With_Movement*In_Position_Upright*HIGH_LEVEL_BEHAVIOR_Unlabeled*Holding_Other_Object_Light|Located_Outdoors|Texting/Browsing_Phone</t>
  </si>
  <si>
    <t>Sitting_With_Movement*In_Position_Sitting*Meeting_Social_Gathering_In_Person|Relaxing_Passive*In_Conversation|Located_Indoors|Texting/Browsing_Phone</t>
  </si>
  <si>
    <t>Puttering_Around*In_Position_Upright*HIGH_LEVEL_BEHAVIOR_Unlabeled*Holding_Other_Object_Light|In_Conversation|Located_Indoors|On_Video_Call/FaceTime</t>
  </si>
  <si>
    <t>Sitting_With_Movement*In_Position_Sitting*Watching_TV/Movies*Legs_Crossed|Located_Indoors|Texting/Browsing_Phone</t>
  </si>
  <si>
    <t>Sitting_With_Movement*In_Position_Sitting*Meeting_Social_Gathering_In_Person*In_Conversation|Legs_Crossed|Located_Outdoors|Texting/Browsing_Phone</t>
  </si>
  <si>
    <t>Sitting_With_Movement*In_Position_Sitting*Cleaning|Meeting_Social_Gathering_In_Person*In_Conversation|Located_Indoors</t>
  </si>
  <si>
    <t>Lying_With_Movement*Posture_Video_Unavailable/Indecipherable*Relaxing_Passive*Located_Indoors</t>
  </si>
  <si>
    <t>Lying_With_Movement*Lying_On_Stomach*HIGH_LEVEL_BEHAVIOR_Unlabeled*Holding_Other_Object_Light|Located_Indoors|Texting/Browsing_Phone</t>
  </si>
  <si>
    <t>Sitting_With_Movement*In_Position_Sitting*Meeting_Social_Gathering_In_Person|Playing_Videogame*Holding_Other_Object_Light|In_Conversation|Legs_Crossed|Located_Indoors</t>
  </si>
  <si>
    <t>Sitting_With_Movement*In_Position_Sitting*Eating/Dining|Using_Computer/Screen*Browsing_Computer|Legs_Uncrossed|Located_Indoors</t>
  </si>
  <si>
    <t>Lying_Still*Lying_On_Back*Relaxing_Passive|Watching_TV/Movies*Located_Indoors</t>
  </si>
  <si>
    <t>Brushing_Teeth*In_Position_Upright*Grooming/Self_Care|In_Bathroom*Located_Indoors</t>
  </si>
  <si>
    <t>Folding_Clothes*In_Position_Sitting*Doing_Laundry*Holding_Other_Object_Light|In_Conversation|Located_Indoors</t>
  </si>
  <si>
    <t>Puttering_Around*In_Position_Upright*Cooking/Prepping_Food|Doing_Common_Housework_Light*Holding_Other_Object_Light|Holding_Solid_Food|Located_Indoors</t>
  </si>
  <si>
    <t>Sitting_With_Movement*In_Position_Reclining/Slouching*Meeting_Social_Gathering_In_Person*Holding_Other_Object_Light|Located_Indoors|Texting/Browsing_Phone</t>
  </si>
  <si>
    <t>Puttering_Around*In_Position_Upright*Meeting_Social_Gathering_In_Person|Shopping_Grocery*Carrying_Bag_On_Shoulder/Back_Light|Holding_Other_Object_Light|In_Conversation|Located_Indoors</t>
  </si>
  <si>
    <t>Sitting_With_Movement*In_Position_Sitting*Meeting_Social_Gathering_In_Person|Watching_Lecture*Handwriting|Holding_Other_Object_Light|Located_Indoors</t>
  </si>
  <si>
    <t>Sitting_With_Movement*In_Position_Sitting*HLB_Other*Handwriting|Holding_Book/Reader|Holding_Other_Object_Light|Located_Indoors</t>
  </si>
  <si>
    <t>Sitting_With_Movement*In_Position_Sitting*Meeting_Social_Gathering_In_Person|Working_Other*Holding_Other_Object_Light|In_Conversation|Located_Indoors</t>
  </si>
  <si>
    <t>Sitting_With_Movement*In_Position_Sitting*Meeting_Social_Gathering_In_Person|Watching_Lecture*Located_Indoors</t>
  </si>
  <si>
    <t>Doing_Resistance_Training_Free_Weights*Lying_On_Back*Doing_Resistance_Training*Holding_Other_Object_Heavy|Located_Indoors</t>
  </si>
  <si>
    <t>Washing_Face*In_Position_Upright*Grooming/Self_Care*Located_Indoors</t>
  </si>
  <si>
    <t>Sitting_With_Movement*In_Position_Sitting*Meeting_Social_Gathering_In_Person*Carrying_Bag_On_Shoulder/Back_Light|In_Conversation|Located_Outdoors</t>
  </si>
  <si>
    <t>Puttering_Around*In_Position_Upright*Playing_Sports/Games*Holding_Other_Object_Light|In_Conversation|Located_Outdoors</t>
  </si>
  <si>
    <t>Sitting_With_Movement*In_Position_Sitting*Eating/Dining|Watching_TV/Movies*Browsing_Computer|Holding_Drink|Located_Indoors</t>
  </si>
  <si>
    <t>Puttering_Around*In_Position_Upright*Eating/Dining*Holding_Solid_Food|Located_Indoors</t>
  </si>
  <si>
    <t>Sitting_With_Movement*In_Position_Sitting*Playing_With_Pets*Located_Indoors</t>
  </si>
  <si>
    <t>Sitting_With_Movement*In_Position_Reclining/Slouching*Eating/Dining|Using_Computer/Screen*Holding_Other_Object_Light|Holding_Solid_Food|Located_Indoors</t>
  </si>
  <si>
    <t>Sitting_With_Movement*In_Position_Sitting*Meeting_Virtual*Holding_Book/Reader|Holding_Other_Object_Light|Located_Indoors|On_Video_Call/FaceTime</t>
  </si>
  <si>
    <t>Puttering_Around*In_Position_Upright*Working_Other*Located_Indoors|Texting/Browsing_Phone</t>
  </si>
  <si>
    <t>Standing_With_Movement*In_Position_Upright*In_Transit_Active*Carrying_Bag_On_Shoulder/Back_Light|Located_Indoors</t>
  </si>
  <si>
    <t>Sitting_With_Movement*In_Position_Sitting*Using_Computer/Screen*Browsing_Computer|In_Conversation|Located_Indoors|On_Phone_Call</t>
  </si>
  <si>
    <t>Sitting_With_Movement*In_Position_Sitting*HIGH_LEVEL_BEHAVIOR_Unlabeled*Carrying_Bag_On_Shoulder/Back_Light|Located_Indoors|Texting/Browsing_Phone</t>
  </si>
  <si>
    <t>Walking_Down_Stairs*In_Position_Upright*In_Transit_Active*Located_Outdoors</t>
  </si>
  <si>
    <t>Standing_With_Movement*In_Position_Upright*HIGH_LEVEL_BEHAVIOR_Unlabeled*Carrying_Bag_On_Shoulder/Back_Light|Holding_Other_Object_Light|Located_Indoors</t>
  </si>
  <si>
    <t>Sitting_With_Movement*In_Position_Sitting*Using_Computer/Screen*Handwriting|Located_Indoors|Typing_Computer</t>
  </si>
  <si>
    <t>Sitting_With_Movement*In_Position_Sitting*Using_Computer/Screen*Handwriting|Located_Indoors|Texting/Browsing_Phone</t>
  </si>
  <si>
    <t>Sitting_With_Movement*In_Position_Sitting*Relaxing_Passive*In_Conversation|Located_Outdoors|On_Phone_Call|Texting/Browsing_Phone</t>
  </si>
  <si>
    <t>Sitting_With_Movement*In_Position_Sitting*In_Transit_Passive_Train/Bus/Plane*Carrying_Bag_On_Shoulder/Back_Light|Legs_Crossed|Texting/Browsing_Phone</t>
  </si>
  <si>
    <t>Lying_With_Movement*Lying_On_Right_Side*HLB_Video_Unavailable/Indecipherable*CP_Video_Unavailable/Indecipherable|Located_Indoors</t>
  </si>
  <si>
    <t>Sitting_With_Movement*In_Position_Sitting*Eating/Dining|Watching_TV/Movies*In_Conversation|Located_Indoors</t>
  </si>
  <si>
    <t>Sitting_With_Movement*In_Position_Sitting*Using_Computer/Screen*In_Conversation|Located_Indoors|Typing_Computer</t>
  </si>
  <si>
    <t>Puttering_Around*In_Position_Upright*Cooking/Prepping_Food*Located_Indoors|On_Phone_Call</t>
  </si>
  <si>
    <t>Walking*In_Position_Upright*In_Transit_Active*Carrying_Bag_On_Shoulder/Back_Heavy|Holding_Other_Object_Light|Located_Outdoors</t>
  </si>
  <si>
    <t>Standing_With_Movement*In_Position_Upright*Meeting_Virtual*In_Conversation|Located_Indoors|On_Video_Call/FaceTime</t>
  </si>
  <si>
    <t>Sitting_With_Movement*In_Position_Sitting*Exercising_Gym_Other*Located_Indoors</t>
  </si>
  <si>
    <t>Sitting_With_Movement*In_Position_Sitting*Eating/Dining|Meeting_Social_Gathering_In_Person*Holding_Drink|Holding_Other_Object_Light|Holding_Solid_Food|In_Conversation|Located_Indoors</t>
  </si>
  <si>
    <t>Sitting_With_Movement*In_Position_Sitting*Eating/Dining|Relaxing_Passive|Watching_TV/Movies*Browsing_Computer|Located_Indoors|Texting/Browsing_Phone</t>
  </si>
  <si>
    <t>Lying_With_Movement*Lying_On_Back*HIGH_LEVEL_BEHAVIOR_Unlabeled*Holding_Other_Object_Light|Legs_Crossed|Located_Indoors|Texting/Browsing_Phone</t>
  </si>
  <si>
    <t>Lying_Still*Lying_On_Back*Watching_TV/Movies*Holding_Other_Object_Light|Located_Indoors</t>
  </si>
  <si>
    <t>Standing_With_Movement*In_Position_Upright*HLB_Other*Located_Outdoors|Texting/Browsing_Phone</t>
  </si>
  <si>
    <t>Sitting_With_Movement*In_Position_Sitting*Meeting_Social_Gathering_In_Person|Relaxing_Passive*Located_Indoors</t>
  </si>
  <si>
    <t>Sitting_With_Movement*In_Position_Sitting*Meeting_Virtual|Using_Computer/Screen*Browsing_Computer|Located_Indoors|Typing_Computer</t>
  </si>
  <si>
    <t>Puttering_Around*In_Position_Upright*Cleaning|Doing_Common_Housework_Light*Holding_Other_Object_Light|Located_Indoors</t>
  </si>
  <si>
    <t>Sitting_With_Movement*In_Position_Sitting*Working_Other*Handwriting|Holding_Other_Object_Light|Located_Indoors|On_Phone_Call</t>
  </si>
  <si>
    <t>Sitting_With_Movement*In_Position_Sitting*Relaxing_Passive|Using_Computer/Screen|Watching_TV/Movies*Located_Indoors</t>
  </si>
  <si>
    <t>Sitting_Still*In_Position_Sitting*HLB_Other*Located_Indoors|On_Phone_Call</t>
  </si>
  <si>
    <t>Puttering_Around*In_Position_Upright*Shopping_Grocery*Carrying_Bag_On_Shoulder/Back_Light|Carrying_Grocery_Bags_Light|Located_Indoors</t>
  </si>
  <si>
    <t>Lying_With_Movement*Lying_On_Left_Side*HIGH_LEVEL_BEHAVIOR_Unlabeled*Located_Indoors</t>
  </si>
  <si>
    <t>Sitting_With_Movement*In_Position_Sitting*Doing_Common_Housework_Light|Meeting_Social_Gathering_In_Person*Holding_Other_Object_Light|Located_Indoors</t>
  </si>
  <si>
    <t>Sitting_With_Movement*In_Position_Sitting*Using_Computer/Screen*Holding_Book/Reader|Located_Indoors|Texting/Browsing_Phone</t>
  </si>
  <si>
    <t>Sitting_With_Movement*In_Position_Sitting*Meeting_Social_Gathering_In_Person|Watching_Lecture*Holding_Other_Object_Light|Located_Indoors</t>
  </si>
  <si>
    <t>Sitting_With_Movement*In_Position_Reclining/Slouching*Using_Computer/Screen|Watching_TV/Movies*Legs_Crossed|Located_Indoors</t>
  </si>
  <si>
    <t>Sitting_With_Movement*In_Position_Sitting*Cooking/Prepping_Food*Located_Indoors|Texting/Browsing_Phone</t>
  </si>
  <si>
    <t>Sitting_With_Movement*In_Position_Sitting*Relaxing_Passive|Watching_TV/Movies*Texting/Browsing_Phone</t>
  </si>
  <si>
    <t>Sitting_With_Movement*In_Position_Sitting*Relaxing_Passive*Legs_Crossed|Located_Indoors</t>
  </si>
  <si>
    <t>Sitting_With_Movement*In_Position_Sitting*Using_Computer/Screen|Working_Other*Handwriting|Holding_Other_Object_Light|Located_Indoors</t>
  </si>
  <si>
    <t>Standing_With_Movement*In_Position_Upright*Eating/Dining*Located_Indoors</t>
  </si>
  <si>
    <t>Cycling_Active_Pedaling_Regular_Bicycle*In_Position_Sitting*Cycling_Regular_Bicycle|In_Transit_Active*Located_Outdoors</t>
  </si>
  <si>
    <t>Standing_With_Movement*In_Position_Upright*HIGH_LEVEL_BEHAVIOR_Unlabeled*Carrying_Bag_On_Shoulder/Back_Light|Located_Indoors|Texting/Browsing_Phone</t>
  </si>
  <si>
    <t>Standing_With_Movement*In_Position_Upright*HLB_Other*In_Conversation|Located_Outdoors</t>
  </si>
  <si>
    <t>Sitting_With_Movement*In_Position_Sitting*Watching_TV/Movies*Holding_Drink|In_Conversation|Located_Indoors</t>
  </si>
  <si>
    <t>Vacuuming*In_Position_Upright*Cleaning|Doing_Common_Housework_Light*Located_Indoors</t>
  </si>
  <si>
    <t>Standing_With_Movement*In_Position_Upright*HLB_Other*Carrying_Bag_On_Shoulder/Back_Light|Located_Outdoors|Texting/Browsing_Phone</t>
  </si>
  <si>
    <t>Walking*In_Position_Upright*HIGH_LEVEL_BEHAVIOR_Unlabeled*Holding_Other_Object_Light|Located_Indoors|Texting/Browsing_Phone</t>
  </si>
  <si>
    <t>Sitting_With_Movement*In_Position_Sitting*In_Transit_Passive_Train/Bus/Plane*Holding_Bag/Briefcase_Hand_Light|Located_Outdoors|Texting/Browsing_Phone</t>
  </si>
  <si>
    <t>Sitting_With_Movement*In_Position_Reclining/Slouching*HIGH_LEVEL_BEHAVIOR_Unlabeled*Located_Indoors|On_Video_Call/FaceTime</t>
  </si>
  <si>
    <t>Puttering_Around*In_Position_Upright*HLB_Other*Holding_Other_Object_Light|Located_Indoors</t>
  </si>
  <si>
    <t>Sitting_With_Movement*In_Position_Sitting*HLB_Video_Unavailable/Indecipherable*Located_Indoors|Unsure</t>
  </si>
  <si>
    <t>Sitting_With_Movement*In_Position_Sitting*In_Transit_Passive_Car*Holding_Other_Object_Light|Located_Outdoors</t>
  </si>
  <si>
    <t>Sitting_With_Movement*In_Position_Reclining/Slouching*Relaxing_Passive*Holding_Other_Object_Light|Located_Indoors|On_Video_Call/FaceTime</t>
  </si>
  <si>
    <t>Puttering_Around*In_Position_Upright*Doing_Laundry*Holding_Other_Object_Light|Located_Indoors</t>
  </si>
  <si>
    <t>Puttering_Around*In_Position_Upright*Doing_Laundry*Located_Indoors</t>
  </si>
  <si>
    <t>Puttering_Around*In_Position_Upright*Cooking/Prepping_Food|Meeting_Social_Gathering_In_Person*Holding_Solid_Food|Located_Indoors</t>
  </si>
  <si>
    <t>Sitting_With_Movement*In_Position_Sitting*Relaxing_Passive*Holding_Book/Reader|Legs_Uncrossed|Located_Indoors</t>
  </si>
  <si>
    <t>Sitting_With_Movement*In_Position_Sitting*Using_Computer/Screen*Texting/Browsing_Phone|Typing_Computer</t>
  </si>
  <si>
    <t>Standing_With_Movement*In_Position_Upright*Meeting_Social_Gathering_In_Person*Located_Indoors|Texting/Browsing_Phone</t>
  </si>
  <si>
    <t>Doing_Resistance_Training_Free_Weights*Posture_Too_Complex*Doing_Resistance_Training*Located_Indoors</t>
  </si>
  <si>
    <t>Lying_With_Movement*Lying_On_Back*Meeting_Social_Gathering_In_Person*Holding_Other_Object_Light|Located_Indoors|Texting/Browsing_Phone</t>
  </si>
  <si>
    <t>Puttering_Around*In_Position_Upright*Cleaning|Cooking/Prepping_Food*Located_Indoors</t>
  </si>
  <si>
    <t>Standing_With_Movement*In_Position_Upright*In_Transit_Active*Holding_Other_Object_Light|Located_Indoors</t>
  </si>
  <si>
    <t>Walking*In_Position_Upright*HIGH_LEVEL_BEHAVIOR_Unlabeled*Carrying_Bag_On_Shoulder/Back_Light|Holding_Other_Object_Light|Located_Indoors</t>
  </si>
  <si>
    <t>Sitting_With_Movement*In_Position_Sitting*Using_Computer/Screen*Holding_Other_Object_Light|Located_Indoors|Texting/Browsing_Phone|Typing_Computer</t>
  </si>
  <si>
    <t>Sitting_With_Movement*In_Position_Sitting*Eating/Dining|Watching_TV/Movies*Holding_Drink|Located_Indoors</t>
  </si>
  <si>
    <t>Standing_With_Movement*In_Position_Upright*HIGH_LEVEL_BEHAVIOR_Unlabeled*Handwriting|Located_Indoors</t>
  </si>
  <si>
    <t>Walking*In_Position_Upright*HIGH_LEVEL_BEHAVIOR_Unlabeled*Holding_Drink|Located_Indoors</t>
  </si>
  <si>
    <t>Walking*In_Position_Upright*Doing_Laundry*Holding_Other_Object_Light|Located_Indoors</t>
  </si>
  <si>
    <t>Sitting_With_Movement*In_Position_Sitting*HIGH_LEVEL_BEHAVIOR_Unlabeled*Holding_Other_Object_Light|Located_Indoors|On_Phone_Call</t>
  </si>
  <si>
    <t>Sitting_With_Movement*In_Position_Sitting*Doing_Laundry|Watching_TV/Movies*In_Conversation|Located_Indoors</t>
  </si>
  <si>
    <t>Sitting_With_Movement*In_Position_Sitting*Dressing/Undressing*Located_Indoors|Texting/Browsing_Phone</t>
  </si>
  <si>
    <t>Lying_Still*Lying_On_Back*Relaxing_Passive*Browsing_Computer|Located_Indoors</t>
  </si>
  <si>
    <t>Puttering_Around*In_Position_Upright*Cooking/Prepping_Food*Holding_Other_Object_Light|Located_Indoors|Texting/Browsing_Phone</t>
  </si>
  <si>
    <t>Sitting_With_Movement*In_Position_Sitting*Watching_Lecture*Browsing_Computer|Located_Indoors</t>
  </si>
  <si>
    <t>Brushing/Combing/Tying_Hair*In_Position_Sitting*Grooming/Self_Care|Meeting_Social_Gathering_In_Person*Holding_Other_Object_Light|In_Conversation|Located_Indoors</t>
  </si>
  <si>
    <t>Sitting_With_Movement*In_Position_Sitting*Exercising_Gym_Other*In_Conversation|Located_Indoors</t>
  </si>
  <si>
    <t>Standing_With_Movement*In_Position_Upright*Eating/Dining*Holding_Drink|Located_Indoors</t>
  </si>
  <si>
    <t>Puttering_Around*In_Position_Upright*Doing_Common_Housework_Light*Carrying_Bag_On_Shoulder/Back_Light|Located_Indoors</t>
  </si>
  <si>
    <t>Standing_With_Movement*In_Position_Upright*HIGH_LEVEL_BEHAVIOR_Unlabeled*Carrying_Bag_On_Shoulder/Back_Light|Located_Indoors</t>
  </si>
  <si>
    <t>Sitting_With_Movement*In_Position_Sitting*Meeting_Virtual*Holding_Other_Object_Light|Located_Indoors|On_Video_Call/FaceTime</t>
  </si>
  <si>
    <t>Loading/Unloading_Washing_Machine/Dryer*In_Position_Upright*Doing_Laundry*Located_Indoors</t>
  </si>
  <si>
    <t>Sitting_With_Movement*In_Position_Sitting*Relaxing_Passive|Watching_TV/Movies*Browsing_Computer|Located_Indoors</t>
  </si>
  <si>
    <t>Sitting_With_Movement*In_Position_Sitting*HIGH_LEVEL_BEHAVIOR_Unlabeled*Holding_Other_Object_Light|Located_Outdoors</t>
  </si>
  <si>
    <t>Walking*In_Position_Upright*Meeting_Social_Gathering_In_Person*Carrying_Bag_On_Shoulder/Back_Light|In_Conversation|Located_Outdoors</t>
  </si>
  <si>
    <t>Sitting_With_Movement*In_Position_Reclining/Slouching*Relaxing_Passive*In_Conversation|Located_Indoors|On_Video_Call/FaceTime</t>
  </si>
  <si>
    <t>Sitting_With_Movement*In_Position_Reclining/Slouching*Meeting_Social_Gathering_In_Person*CP_Video_Unavailable/Indecipherable|Located_Outdoors</t>
  </si>
  <si>
    <t>Sitting_With_Movement*In_Position_Sitting*HIGH_LEVEL_BEHAVIOR_Unlabeled*Holding_Other_Object_Light|Located_Outdoors|On_Phone_Call</t>
  </si>
  <si>
    <t>Sitting_With_Movement*In_Position_Sitting*HIGH_LEVEL_BEHAVIOR_Unlabeled*Legs_Crossed|Located_Indoors</t>
  </si>
  <si>
    <t>Sitting_With_Movement*In_Position_Sitting*Meeting_Social_Gathering_In_Person*Holding_Other_Object_Light|In_Conversation|Legs_Crossed|Located_Indoors</t>
  </si>
  <si>
    <t>Puttering_Around*In_Position_Upright*HIGH_LEVEL_BEHAVIOR_Unlabeled*Holding_Drink|Located_Indoors</t>
  </si>
  <si>
    <t>Standing_With_Movement*In_Position_Upright*Cooking/Prepping_Food*Located_Indoors|Texting/Browsing_Phone</t>
  </si>
  <si>
    <t>Puttering_Around*In_Position_Upright*Meeting_Social_Gathering_In_Person*Holding_Other_Object_Light|In_Conversation|Located_Indoors</t>
  </si>
  <si>
    <t>Sitting_With_Movement*In_Position_Sitting*Eating/Dining|Meeting_Social_Gathering_In_Person|Relaxing_Passive|Watching_TV/Movies*Located_Indoors</t>
  </si>
  <si>
    <t>Walking*In_Position_Upright*In_Transit_Active*Holding_Other_Object_Light|Located_Outdoors|On_Phone_Call</t>
  </si>
  <si>
    <t>Sitting_With_Movement*In_Position_Sitting*Relaxing_Passive*In_Conversation|Legs_Uncrossed|Located_Indoors|On_Video_Call/FaceTime|Texting/Browsing_Phone</t>
  </si>
  <si>
    <t>Puttering_Around*In_Position_Upright*Eating/Dining|Watching_TV/Movies*Located_Indoors</t>
  </si>
  <si>
    <t>Walking*In_Position_Upright*In_Transit_Active|Meeting_Social_Gathering_In_Person*Carrying_Grocery_Bags_Heavy|Located_Outdoors</t>
  </si>
  <si>
    <t>Sitting_With_Movement*In_Position_Sitting*Eating/Dining|Relaxing_Passive*Holding_Other_Object_Light|Holding_Solid_Food|Located_Indoors</t>
  </si>
  <si>
    <t>Sitting_With_Movement*In_Position_Sitting*Cooking/Prepping_Food|Playing_Videogame|Watching_TV/Movies*Holding_Other_Object_Light|Located_Indoors|Texting/Browsing_Phone</t>
  </si>
  <si>
    <t>Puttering_Around*In_Position_Upright*Cooking/Prepping_Food*Holding_Solid_Food|In_Conversation|Located_Indoors</t>
  </si>
  <si>
    <t>Sitting_With_Movement*In_Position_Sitting*HLB_Other*Legs_Crossed|Located_Indoors|Texting/Browsing_Phone</t>
  </si>
  <si>
    <t>Standing_With_Movement*In_Position_Upright*In_Transit_Active*In_Conversation|Located_Outdoors</t>
  </si>
  <si>
    <t>Sitting_With_Movement*In_Position_Reclining/Slouching*Using_Computer/Screen|Watching_TV/Movies*Holding_Other_Object_Light|Located_Indoors</t>
  </si>
  <si>
    <t>Sitting_With_Movement*In_Position_Sitting*Eating/Dining|Relaxing_Passive*Carrying_Bag_On_Shoulder/Back_Light|Holding_Solid_Food|In_Conversation</t>
  </si>
  <si>
    <t>Sitting_With_Movement*In_Position_Sitting*In_Transit_Passive_Train/Bus/Plane*Located_Outdoors|On_Phone_Call</t>
  </si>
  <si>
    <t>Sitting_With_Movement*In_Position_Reclining/Slouching*Using_Computer/Screen*Holding_Other_Object_Light|Located_Indoors|Texting/Browsing_Phone</t>
  </si>
  <si>
    <t>Puttering_Around*In_Position_Upright*Cooking/Prepping_Food|Doing_Common_Housework|Using_Computer/Screen*Holding_Other_Object_Light|Located_Indoors</t>
  </si>
  <si>
    <t>Sitting_With_Movement*In_Position_Sitting*In_Transit_Passive_Train/Bus/Plane|Meeting_Social_Gathering_In_Person*Carrying_Bag_On_Shoulder/Back_Light</t>
  </si>
  <si>
    <t>Lying_With_Movement*Lying_On_Back*Relaxing_Passive*In_Conversation|Located_Indoors|On_Video_Call/FaceTime</t>
  </si>
  <si>
    <t>Sitting_With_Movement*In_Position_Reclining/Slouching*Watching_TV/Movies*In_Conversation|Located_Indoors</t>
  </si>
  <si>
    <t>Sitting_With_Movement*In_Position_Reclining/Slouching*HIGH_LEVEL_BEHAVIOR_Unlabeled*In_Conversation|Located_Indoors|On_Video_Call/FaceTime|Texting/Browsing_Phone</t>
  </si>
  <si>
    <t>Puttering_Around*In_Position_Upright*Meeting_Social_Gathering_In_Person*Holding_Other_Object_Light|In_Conversation|Located_Outdoors</t>
  </si>
  <si>
    <t>Sitting_With_Movement*In_Position_Sitting*HLB_Other*Legs_Uncrossed|Located_Indoors</t>
  </si>
  <si>
    <t>Lying_With_Movement*Lying_On_Right_Side*HIGH_LEVEL_BEHAVIOR_Unlabeled*In_Conversation|Located_Indoors</t>
  </si>
  <si>
    <t>Sitting_With_Movement*In_Position_Sitting*In_Transit_Active*Carrying_Bag_On_Shoulder/Back_Light|Located_Outdoors</t>
  </si>
  <si>
    <t>Lying_With_Movement*Lying_On_Back*Relaxing_Passive|Using_Computer/Screen*Located_Indoors|Texting/Browsing_Phone</t>
  </si>
  <si>
    <t>Standing_With_Movement*In_Position_Upright*Meeting_Social_Gathering_In_Person*Holding_Other_Object_Light|Located_Indoors</t>
  </si>
  <si>
    <t>Doing_Resistance_Training_Other*Posture_Too_Complex*Doing_Resistance_Training*Located_Indoors</t>
  </si>
  <si>
    <t>Cycling_Active_Pedaling_Regular_Bicycle*In_Position_Sitting*Cycling_Regular_Bicycle*Located_Outdoors</t>
  </si>
  <si>
    <t>Walking*In_Position_Upright*In_Transit_Active*Holding_Other_Object_Light|Located_Indoors|Texting/Browsing_Phone</t>
  </si>
  <si>
    <t>Puttering_Around*In_Position_Upright*In_Transit_Active*Located_Indoors|Texting/Browsing_Phone</t>
  </si>
  <si>
    <t>Sitting_With_Movement*In_Position_Sitting*Using_Computer/Screen*Browsing_Computer|Legs_Uncrossed|Located_Indoors|Typing_Computer</t>
  </si>
  <si>
    <t>Puttering_Around*In_Position_Upright*Cooking/Prepping_Food*Holding_Drink|Located_Indoors</t>
  </si>
  <si>
    <t>Lying_With_Movement*Lying_On_Left_Side*Administering_Care_Child/Elder/Other_Adult*Located_Indoors</t>
  </si>
  <si>
    <t>Sitting_With_Movement*In_Position_Sitting*HIGH_LEVEL_BEHAVIOR_Unlabeled*In_Conversation|Located_Indoors|On_Phone_Call</t>
  </si>
  <si>
    <t>Standing_With_Movement*In_Position_Upright*Cleaning*Holding_Other_Object_Light|Located_Indoors</t>
  </si>
  <si>
    <t>Puttering_Around*In_Position_Upright*Cooking/Prepping_Food|Eating/Dining*Holding_Other_Object_Light|Located_Indoors</t>
  </si>
  <si>
    <t>Puttering_Around*In_Position_Upright*Doing_Common_Housework|Doing_Dishes*Holding_Other_Object_Light|Located_Indoors</t>
  </si>
  <si>
    <t>Standing_With_Movement*In_Position_Upright*Watching_TV/Movies*Holding_Other_Object_Light|Located_Indoors</t>
  </si>
  <si>
    <t>Sitting_With_Movement*In_Position_Reclining/Slouching*Using_Computer/Screen|Watching_TV/Movies*Located_Indoors|Texting/Browsing_Phone</t>
  </si>
  <si>
    <t>Sitting_Still*In_Position_Sitting*Using_Computer/Screen*Located_Indoors</t>
  </si>
  <si>
    <t>Sitting_With_Movement*In_Position_Sitting*Watching_Lecture*Handwriting|Located_Indoors</t>
  </si>
  <si>
    <t>Lying_With_Movement*Lying_On_Left_Side*HIGH_LEVEL_BEHAVIOR_Unlabeled*Located_Indoors|On_Video_Call/FaceTime</t>
  </si>
  <si>
    <t>Sitting_With_Movement*In_Position_Sitting*Relaxing_Passive|Using_Computer/Screen*Located_Indoors|Texting/Browsing_Phone|Typing_Computer</t>
  </si>
  <si>
    <t>Puttering_Around*In_Position_Upright*Cooking/Prepping_Food*Holding_Other_Object_Light|Holding_Solid_Food|In_Conversation|Located_Indoors</t>
  </si>
  <si>
    <t>Sitting_With_Movement*In_Position_Sitting*HIGH_LEVEL_BEHAVIOR_Unlabeled*In_Conversation|Located_Indoors|On_Video_Call/FaceTime|Texting/Browsing_Phone</t>
  </si>
  <si>
    <t>Sitting_With_Movement*In_Position_Sitting*In_Transit_Passive_Car|Playing_Videogame*Located_Outdoors|Texting/Browsing_Phone</t>
  </si>
  <si>
    <t>Brushing_Teeth*In_Position_Upright*Grooming/Self_Care*Located_Indoors</t>
  </si>
  <si>
    <t>Sitting_With_Movement*In_Position_Sitting*Eating/Dining|Relaxing_Passive|Using_Computer/Screen*Holding_Solid_Food|Located_Indoors</t>
  </si>
  <si>
    <t>Walking_Fast*In_Position_Upright*Exercising_Gym_Treadmill*Located_Indoors</t>
  </si>
  <si>
    <t>Sitting_With_Movement*In_Position_Sitting*Meeting_Social_Gathering_In_Person*Holding_Other_Object_Light|In_Conversation|Located_Indoors|Texting/Browsing_Phone</t>
  </si>
  <si>
    <t>Sitting_With_Movement*In_Position_Sitting*Meeting_Social_Gathering_In_Person|Using_Computer/Screen*Browsing_Computer|Located_Indoors|Typing_Computer</t>
  </si>
  <si>
    <t>Sitting_With_Movement*In_Position_Sitting*Playing_Videogame|Using_Computer/Screen*In_Conversation|Located_Indoors|On_Phone_Call</t>
  </si>
  <si>
    <t>Sitting_With_Movement*In_Position_Reclining/Slouching*Watching_TV/Movies*Handwriting|Holding_Book/Reader|Located_Indoors</t>
  </si>
  <si>
    <t>Standing_With_Movement*In_Position_Upright*Shopping_Grocery*Holding_Other_Object_Light|Located_Indoors</t>
  </si>
  <si>
    <t>Lying_With_Movement*Lying_On_Back*Eating/Dining*Located_Indoors</t>
  </si>
  <si>
    <t>Sitting_With_Movement*In_Position_Sitting*Meeting_Social_Gathering_In_Person*In_Conversation|Legs_Crossed|Located_Indoors|Texting/Browsing_Phone</t>
  </si>
  <si>
    <t>Sitting_With_Movement*In_Position_Sitting*Using_Computer/Screen*Holding_Other_Object_Light|In_Conversation|Located_Indoors|On_Video_Call/FaceTime</t>
  </si>
  <si>
    <t>Standing_With_Movement*In_Position_Upright*In_Transit_Active*In_Conversation|Located_Indoors</t>
  </si>
  <si>
    <t>Puttering_Around*In_Position_Upright*Meeting_Social_Gathering_In_Person*Holding_Other_Object_Heavy|Located_Indoors</t>
  </si>
  <si>
    <t>Puttering_Around*In_Position_Upright*Cooking/Prepping_Food|Meeting_Social_Gathering_In_Person*Holding_Other_Object_Light|In_Conversation|Located_Indoors</t>
  </si>
  <si>
    <t>Sitting_With_Movement*In_Position_Sitting*Eating/Dining|Meeting_Social_Gathering_In_Person|Relaxing_Passive|Using_Computer/Screen*Browsing_Computer|In_Conversation|Located_Indoors</t>
  </si>
  <si>
    <t>Puttering_Around*In_Position_Upright*HIGH_LEVEL_BEHAVIOR_Unlabeled*Holding_Other_Object_Light|In_Conversation|Located_Indoors</t>
  </si>
  <si>
    <t>Sitting_With_Movement*In_Position_Reclining/Slouching*HIGH_LEVEL_BEHAVIOR_Unlabeled*In_Conversation|Located_Indoors</t>
  </si>
  <si>
    <t>Sitting_With_Movement*In_Position_Sitting*Using_Computer/Screen|Watching_TV/Movies*Legs_Uncrossed|Located_Indoors</t>
  </si>
  <si>
    <t>Sitting_With_Movement*In_Position_Sitting*HIGH_LEVEL_BEHAVIOR_Unlabeled*Holding_Drink|Located_Indoors</t>
  </si>
  <si>
    <t>Sitting_With_Movement*In_Position_Sitting*Working_Other*Browsing_Computer</t>
  </si>
  <si>
    <t>Puttering_Around*In_Position_Upright*Doing_Common_Housework_Light|Packing/Unpacking_Something*Located_Indoors</t>
  </si>
  <si>
    <t>Walking*In_Position_Upright*Meeting_Social_Gathering_In_Person|Playing_Sports/Games*Located_Outdoors</t>
  </si>
  <si>
    <t>Sitting_With_Movement*In_Position_Sitting*Eating/Dining|Relaxing_Passive|Watching_TV/Movies*Located_Indoors</t>
  </si>
  <si>
    <t>Walking*In_Position_Upright*In_Transit_Active*Carrying_Bag_On_Shoulder/Back_Light|Carrying_Grocery_Bags_Light|Located_Outdoors</t>
  </si>
  <si>
    <t>Sitting_With_Movement*In_Position_Sitting*Flagged_Special_Circumstances*In_Conversation|Located_Indoors</t>
  </si>
  <si>
    <t>Sitting_With_Movement*In_Position_Reclining/Slouching*Playing_Videogame|Watching_TV/Movies*Located_Indoors|Texting/Browsing_Phone</t>
  </si>
  <si>
    <t>Lying_Still*Lying_On_Left_Side*Relaxing_Passive*Located_Indoors|Texting/Browsing_Phone</t>
  </si>
  <si>
    <t>Sitting_With_Movement*In_Position_Reclining/Slouching*Using_Computer/Screen*In_Conversation|Located_Indoors</t>
  </si>
  <si>
    <t>Standing_With_Movement*In_Position_Upright*HLB_Other*Carrying_Bag_On_Shoulder/Back_Light|Located_Outdoors</t>
  </si>
  <si>
    <t>Sitting_With_Movement*In_Position_Sitting*Eating/Dining|Relaxing_Passive|Using_Computer/Screen|Watching_TV/Movies*Browsing_Computer|Located_Indoors</t>
  </si>
  <si>
    <t>Sitting_With_Movement*In_Position_Sitting*Eating/Dining*Holding_Drink|Holding_Other_Object_Light|In_Conversation|Located_Indoors</t>
  </si>
  <si>
    <t>Sitting_With_Movement*In_Position_Sitting*Eating/Dining|Meeting_Social_Gathering_In_Person|Watching_TV/Movies*Holding_Other_Object_Light|In_Conversation|Located_Indoors</t>
  </si>
  <si>
    <t>Walking*In_Position_Upright*In_Transit_Active|Meeting_Social_Gathering_In_Person*Holding_Other_Object_Light|In_Conversation|Located_Indoors</t>
  </si>
  <si>
    <t>Standing_With_Movement*In_Position_Upright*Cooking/Prepping_Food*Holding_Solid_Food|Located_Indoors</t>
  </si>
  <si>
    <t>Sitting_Still*In_Position_Sitting*Meeting_Formal_Gathering_In_Person*In_Conversation|Located_Indoors</t>
  </si>
  <si>
    <t>Sitting_With_Movement*In_Position_Sitting*HLB_Other*CP_Video_Unavailable/Indecipherable|Located_Indoors</t>
  </si>
  <si>
    <t>Sitting_With_Movement*In_Position_Reclining/Slouching*Watching_TV/Movies*In_Conversation|Legs_Crossed|Located_Indoors</t>
  </si>
  <si>
    <t>Puttering_Around*In_Position_Upright*Meeting_Social_Gathering_In_Person|Shopping_Non-Grocery*Carrying_Grocery_Bags_Light|Holding_Other_Object_Light|In_Conversation|Located_Indoors</t>
  </si>
  <si>
    <t>Walking*In_Position_Upright*In_Transit_Active*Carrying_Bag_On_Shoulder/Back_Light|Holding_Drink|Located_Outdoors</t>
  </si>
  <si>
    <t>Sitting_With_Movement*In_Position_Sitting*In_Transit_Passive_Train/Bus/Plane*Holding_Bag/Briefcase_Hand_Light|Texting/Browsing_Phone</t>
  </si>
  <si>
    <t>Sitting_With_Movement*In_Position_Sitting*Doing_Alternative_Exercise/Therapy/Stretching*Located_Indoors</t>
  </si>
  <si>
    <t>Sitting_With_Movement*In_Position_Sitting*Using_Computer/Screen*Located_Indoors|On_Phone_Call</t>
  </si>
  <si>
    <t>Sitting_Still*In_Position_Sitting*Watching_TV/Movies*Holding_Other_Object_Light|Located_Indoors|Texting/Browsing_Phone</t>
  </si>
  <si>
    <t>Sitting_With_Movement*In_Position_Sitting*Meeting_Formal_Gathering_In_Person*In_Conversation|Located_Indoors|Texting/Browsing_Phone</t>
  </si>
  <si>
    <t>Lying_With_Movement*Lying_On_Stomach*HIGH_LEVEL_BEHAVIOR_Unlabeled*Holding_Book/Reader|Located_Indoors</t>
  </si>
  <si>
    <t>Sitting_With_Movement*In_Position_Sitting*In_Transit_Passive_Train/Bus/Plane|Meeting_Social_Gathering_In_Person*Carrying_Bag_On_Shoulder/Back_Light|Legs_Uncrossed</t>
  </si>
  <si>
    <t>Sitting_With_Movement*In_Position_Sitting*Using_Computer/Screen*Handwriting|Located_Indoors|Texting/Browsing_Phone|Typing_Computer</t>
  </si>
  <si>
    <t>Puttering_Around*In_Position_Upright*In_Bathroom*Located_Indoors</t>
  </si>
  <si>
    <t>Sitting_With_Movement*In_Position_Sitting*Doing_Resistance_Training*Located_Indoors</t>
  </si>
  <si>
    <t>Puttering_Around*In_Position_Upright*Shopping_Grocery*Carrying_Bag_On_Shoulder/Back_Light|Holding_Other_Object_Light|Located_Indoors</t>
  </si>
  <si>
    <t>Lying_With_Movement*Lying_On_Back*Meeting_Social_Gathering_In_Person*In_Conversation|Located_Indoors</t>
  </si>
  <si>
    <t>Sitting_With_Movement*In_Position_Sitting*Meeting_Social_Gathering_In_Person|Using_Computer/Screen*Holding_Other_Object_Light|In_Conversation|Located_Indoors</t>
  </si>
  <si>
    <t>Standing_With_Movement*In_Position_Upright*Eating/Dining|Watching_TV/Movies*Located_Indoors</t>
  </si>
  <si>
    <t>Puttering_Around*In_Position_Upright*Meeting_Social_Gathering_In_Person|Playing_Sports/Games*Located_Outdoors</t>
  </si>
  <si>
    <t>Doing_Resistance_Training_Other*In_Position_Upright*Doing_Resistance_Training*Located_Indoors</t>
  </si>
  <si>
    <t>Sitting_With_Movement*In_Position_Sitting*HLB_Other|Using_Computer/Screen*Located_Indoors</t>
  </si>
  <si>
    <t>Sitting_With_Movement*In_Position_Sitting*Meeting_Virtual|Watching_Lecture*Handwriting|Located_Indoors|Texting/Browsing_Phone</t>
  </si>
  <si>
    <t>Lying_With_Movement*Lying_On_Back*Using_Computer/Screen*Browsing_Computer|Holding_Other_Object_Light|Located_Indoors|Texting/Browsing_Phone</t>
  </si>
  <si>
    <t>Standing_With_Movement*In_Position_Upright*In_Transit_Passive_Train/Bus/Plane*Carrying_Bag_On_Shoulder/Back_Light|Holding_Bag/Briefcase_Hand_Light|Located_Indoors</t>
  </si>
  <si>
    <t>Puttering_Around*In_Position_Upright*Meeting_Social_Gathering_In_Person*In_Conversation|Located_Outdoors</t>
  </si>
  <si>
    <t>Sitting_With_Movement*In_Position_Sitting*Playing_Videogame|Using_Computer/Screen*Browsing_Computer|Located_Indoors</t>
  </si>
  <si>
    <t>Sitting_With_Movement*In_Position_Sitting*Eating/Dining|Using_Computer/Screen*Located_Indoors</t>
  </si>
  <si>
    <t>Sitting_With_Movement*In_Position_Sitting*Relaxing_Passive|Using_Computer/Screen*Browsing_Computer|Located_Indoors|Texting/Browsing_Phone</t>
  </si>
  <si>
    <t>Sitting_With_Movement*In_Position_Reclining/Slouching*Meeting_Virtual|Using_Computer/Screen*Browsing_Computer|Located_Indoors</t>
  </si>
  <si>
    <t>Puttering_Around*In_Position_Upright*Cleaning|Doing_Common_Housework_Light*Located_Indoors</t>
  </si>
  <si>
    <t>Sitting_With_Movement*In_Position_Sitting*Meeting_Virtual|Using_Computer/Screen*Legs_Uncrossed|Located_Indoors</t>
  </si>
  <si>
    <t>Standing_With_Movement*In_Position_Upright*In_Transit_Passive_Train/Bus/Plane*Located_Indoors</t>
  </si>
  <si>
    <t>Sitting_With_Movement*In_Position_Sitting*In_Transit_Passive_Train/Bus/Plane*Holding_Bag/Briefcase_Hand_Light|Located_Outdoors|Unsure</t>
  </si>
  <si>
    <t>Brushing_Teeth*In_Position_Upright*Grooming/Self_Care*Holding_Other_Object_Light|Located_Indoors</t>
  </si>
  <si>
    <t>Lying_With_Movement*Lying_On_Left_Side*Watching_TV/Movies*Located_Indoors|Texting/Browsing_Phone</t>
  </si>
  <si>
    <t>Walking_Up_Stairs*In_Position_Upright*In_Transit_Active*Located_Indoors</t>
  </si>
  <si>
    <t>Sitting_With_Movement*In_Position_Sitting*HIGH_LEVEL_BEHAVIOR_Unlabeled*In_Conversation|Located_Indoors|On_Video_Call/FaceTime</t>
  </si>
  <si>
    <t>Sitting_Still*In_Position_Sitting*HLB_Other*Located_Indoors|Texting/Browsing_Phone</t>
  </si>
  <si>
    <t>Lying_With_Movement*Lying_On_Right_Side*HIGH_LEVEL_BEHAVIOR_Unlabeled*Located_Indoors|On_Phone_Call</t>
  </si>
  <si>
    <t>Sitting_With_Movement*In_Position_Sitting*Using_Computer/Screen*Browsing_Computer|Holding_Drink|Located_Indoors</t>
  </si>
  <si>
    <t>Sitting_With_Movement*In_Position_Sitting*Eating/Dining|Using_Computer/Screen*Browsing_Computer|In_Conversation|Located_Indoors</t>
  </si>
  <si>
    <t>Vacuuming*In_Position_Upright*Cleaning|Doing_Common_Housework*Located_Indoors</t>
  </si>
  <si>
    <t>Sitting_With_Movement*In_Position_Sitting*In_Bathroom*Located_Indoors</t>
  </si>
  <si>
    <t>Lying_With_Movement*Lying_On_Right_Side*Relaxing_Passive|Watching_TV/Movies*Holding_Other_Object_Light|Located_Indoors</t>
  </si>
  <si>
    <t>Sitting_With_Movement*In_Position_Sitting*In_Transit_Active|In_Transit_Driving_Car*Located_Outdoors</t>
  </si>
  <si>
    <t>Walking*In_Position_Upright*In_Transit_Active|Meeting_Social_Gathering_In_Person*Carrying_Bag_On_Shoulder/Back_Light|Holding_Drink|In_Conversation|Located_Outdoors</t>
  </si>
  <si>
    <t>Sitting_With_Movement*In_Position_Sitting*Using_Computer/Screen*Holding_Drink|Located_Indoors</t>
  </si>
  <si>
    <t>Sitting_With_Movement*In_Position_Reclining/Slouching*Watching_TV/Movies*Holding_Other_Object_Light|Located_Indoors|Texting/Browsing_Phone</t>
  </si>
  <si>
    <t>Sitting_With_Movement*In_Position_Sitting*HLB_Other|Relaxing_Passive|Using_Computer/Screen*Legs_Uncrossed|Located_Indoors|Texting/Browsing_Phone</t>
  </si>
  <si>
    <t>Walking_Slow*In_Position_Upright*In_Transit_Active*Carrying_Bag_On_Shoulder/Back_Light|Located_Outdoors</t>
  </si>
  <si>
    <t>Puttering_Around*In_Position_Upright*Cooking/Prepping_Food|Doing_Common_Housework*Holding_Other_Object_Light|Located_Indoors</t>
  </si>
  <si>
    <t>Sitting_With_Movement*In_Position_Sitting*Relaxing_Passive|Watching_TV/Movies*Holding_Other_Object_Light|Located_Indoors|Texting/Browsing_Phone</t>
  </si>
  <si>
    <t>Lying_With_Movement*Posture_Other*Using_Computer/Screen*Browsing_Computer|Located_Indoors</t>
  </si>
  <si>
    <t>Walking*In_Position_Upright*In_Transit_Active*Holding_Other_Object_Light|In_Conversation|Located_Outdoors</t>
  </si>
  <si>
    <t>Sitting_With_Movement*In_Position_Sitting*Eating/Dining*Holding_Drink|Holding_Solid_Food|Located_Indoors</t>
  </si>
  <si>
    <t>Sitting_With_Movement*In_Position_Sitting*HIGH_LEVEL_BEHAVIOR_Unlabeled*Holding_Other_Object_Light|Located_Indoors|On_Phone_Call|Texting/Browsing_Phone</t>
  </si>
  <si>
    <t>Sitting_With_Movement*In_Position_Sitting*Relaxing_Passive*In_Conversation|Legs_Crossed|Located_Indoors</t>
  </si>
  <si>
    <t>Puttering_Around*In_Position_Upright*In_Transit_Active*Located_Outdoors</t>
  </si>
  <si>
    <t>Standing_With_Movement*In_Position_Upright*In_Transit_Active*Located_Indoors|Texting/Browsing_Phone</t>
  </si>
  <si>
    <t>Puttering_Around*In_Position_Upright*Watching_TV/Movies*Located_Indoors</t>
  </si>
  <si>
    <t>Sitting_With_Movement*In_Position_Reclining/Slouching*Eating/Dining|Watching_TV/Movies*Holding_Solid_Food|Located_Indoors</t>
  </si>
  <si>
    <t>Sitting_With_Movement*In_Position_Reclining/Slouching*HIGH_LEVEL_BEHAVIOR_Unlabeled*In_Conversation|Located_Indoors|Texting/Browsing_Phone</t>
  </si>
  <si>
    <t>Sitting_With_Movement*In_Position_Sitting*Playing_Videogame|Watching_TV/Movies*Located_Indoors|Texting/Browsing_Phone</t>
  </si>
  <si>
    <t>Walking*In_Position_Upright*Meeting_Social_Gathering_In_Person*In_Conversation|Located_Indoors</t>
  </si>
  <si>
    <t>Standing_With_Movement*In_Position_Upright*Exercising_Gym_Other*Holding_Other_Object_Light|Located_Indoors</t>
  </si>
  <si>
    <t>Standing_With_Movement*In_Position_Upright*Shopping_Grocery*Located_Indoors</t>
  </si>
  <si>
    <t>Folding_Clothes*In_Position_Upright*Doing_Laundry*Located_Indoors</t>
  </si>
  <si>
    <t>Sitting_With_Movement*In_Position_Sitting*HIGH_LEVEL_BEHAVIOR_Unlabeled*Holding_Other_Object_Light|In_Conversation|Located_Indoors|On_Video_Call/FaceTime</t>
  </si>
  <si>
    <t>Sitting_With_Movement*In_Position_Sitting*Eating/Dining*Holding_Drink|Located_Indoors|Texting/Browsing_Phone</t>
  </si>
  <si>
    <t>Sitting_With_Movement*In_Position_Sitting*Using_Computer/Screen*Legs_Crossed|Located_Indoors|Texting/Browsing_Phone</t>
  </si>
  <si>
    <t>Sitting_With_Movement*In_Position_Sitting*Meeting_Virtual*Holding_Other_Object_Light|In_Conversation|Located_Indoors|On_Video_Call/FaceTime</t>
  </si>
  <si>
    <t>Standing_With_Movement*In_Position_Upright*In_Transit_Active*Carrying_Bag_On_Shoulder/Back_Light|Holding_Other_Object_Light|Located_Outdoors</t>
  </si>
  <si>
    <t>Standing_With_Movement*In_Position_Upright*Exercising_Gym_Other*Located_Indoors</t>
  </si>
  <si>
    <t>Sitting_With_Movement*In_Position_Sitting*Relaxing_Passive*Holding_Other_Object_Light|Located_Outdoors|Texting/Browsing_Phone</t>
  </si>
  <si>
    <t>Walking_Down_Stairs*In_Position_Upright*In_Transit_Active*Located_Indoors</t>
  </si>
  <si>
    <t>Sitting_With_Movement*In_Position_Reclining/Slouching*Eating/Dining|Meeting_Social_Gathering_In_Person|Relaxing_Passive|Using_Computer/Screen|Watching_TV/Movies*Browsing_Computer|In_Conversation|Located_Indoors</t>
  </si>
  <si>
    <t>Sitting_With_Movement*In_Position_Sitting*Watching_TV/Movies*Holding_Book/Reader|Located_Indoors</t>
  </si>
  <si>
    <t>Puttering_Around*In_Position_Upright*Cleaning|Doing_Common_Housework|Meeting_Social_Gathering_In_Person*Holding_Other_Object_Light|In_Conversation|Located_Indoors</t>
  </si>
  <si>
    <t>Washing_Hands*In_Position_Upright*In_Bathroom*Located_Indoors</t>
  </si>
  <si>
    <t>Sitting_Still*In_Position_Sitting*Watching_TV/Movies*In_Conversation|Located_Indoors</t>
  </si>
  <si>
    <t>Sitting_Still*In_Position_Sitting*In_Transit_Passive_Car*Located_Outdoors</t>
  </si>
  <si>
    <t>Standing_With_Movement*In_Position_Upright*HIGH_LEVEL_BEHAVIOR_Unlabeled*Holding_Drink|Located_Indoors</t>
  </si>
  <si>
    <t>Sitting_With_Movement*In_Position_Sitting*Eating/Dining*Legs_Uncrossed|Located_Indoors</t>
  </si>
  <si>
    <t>Sitting_With_Movement*In_Position_Sitting*Working_Other*Handwriting|Located_Indoors|Texting/Browsing_Phone</t>
  </si>
  <si>
    <t>Sitting_With_Movement*In_Position_Sitting*Meeting_Social_Gathering_In_Person|Relaxing_Passive*Holding_Book/Reader|Located_Indoors</t>
  </si>
  <si>
    <t>Sitting_With_Movement*In_Position_Sitting*In_Transit_Passive_Car*Located_Indoors</t>
  </si>
  <si>
    <t>Standing_With_Movement*In_Position_Upright*HIGH_LEVEL_BEHAVIOR_Unlabeled*In_Conversation|Located_Outdoors</t>
  </si>
  <si>
    <t>Sitting_With_Movement*In_Position_Sitting*Using_Computer/Screen*Located_Indoors|On_Video_Call/FaceTime</t>
  </si>
  <si>
    <t>Standing_With_Movement*In_Position_Upright*Eating/Dining*Located_Indoors|Texting/Browsing_Phone</t>
  </si>
  <si>
    <t>Standing_With_Movement*In_Position_Upright*HLB_Other*Holding_Other_Object_Light|Located_Indoors</t>
  </si>
  <si>
    <t>Walking*In_Position_Upright*In_Transit_Active*Holding_Drink|Located_Indoors</t>
  </si>
  <si>
    <t>Lying_With_Movement*Lying_On_Left_Side*HIGH_LEVEL_BEHAVIOR_Unlabeled*Located_Indoors|Texting/Browsing_Phone</t>
  </si>
  <si>
    <t>Standing_With_Movement*In_Position_Upright*Grooming/Self_Care|In_Bathroom*Located_Indoors</t>
  </si>
  <si>
    <t>Sitting_With_Movement*In_Position_Sitting*Using_Computer/Screen*Typing_Computer</t>
  </si>
  <si>
    <t>Sitting_With_Movement*In_Position_Reclining/Slouching*Meeting_Social_Gathering_In_Person*In_Conversation|Located_Outdoors</t>
  </si>
  <si>
    <t>Sitting_With_Movement*In_Position_Reclining/Slouching*Relaxing_Passive*Holding_Book/Reader|Located_Indoors</t>
  </si>
  <si>
    <t>Standing_With_Movement*In_Position_Upright*Using_Computer/Screen*Located_Indoors</t>
  </si>
  <si>
    <t>Walking*In_Position_Upright*In_Transit_Active*Carrying_Bag_On_Shoulder/Back_Light|Located_Indoors|Texting/Browsing_Phone</t>
  </si>
  <si>
    <t>Sitting_With_Movement*In_Position_Sitting*Meeting_Virtual*Located_Indoors|On_Video_Call/FaceTime|Texting/Browsing_Phone</t>
  </si>
  <si>
    <t>Sitting_With_Movement*In_Position_Sitting*Relaxing_Passive|Using_Computer/Screen*Located_Indoors|Texting/Browsing_Phone</t>
  </si>
  <si>
    <t>Lying_With_Movement*Lying_On_Right_Side*Relaxing_Passive*Located_Indoors</t>
  </si>
  <si>
    <t>Standing_With_Movement*In_Position_Upright*HLB_Other*Holding_Other_Object_Light|Located_Outdoors</t>
  </si>
  <si>
    <t>Standing_With_Movement*In_Position_Upright*Eating/Dining*Holding_Other_Object_Light|Located_Indoors</t>
  </si>
  <si>
    <t>Lying_Still*Lying_On_Stomach*Relaxing_Passive|Watching_TV/Movies*Located_Indoors</t>
  </si>
  <si>
    <t>Sitting_With_Movement*In_Position_Sitting*In_Transit_Passive_Car*Holding_Other_Object_Light|Located_Outdoors|Texting/Browsing_Phone</t>
  </si>
  <si>
    <t>Sitting_With_Movement*In_Position_Sitting*Relaxing_Passive|Using_Computer/Screen*Browsing_Computer|Located_Indoors</t>
  </si>
  <si>
    <t>Walking*In_Position_Upright*In_Transit_Active*Carrying_Bag_On_Shoulder/Back_Light|Holding_Other_Object_Light|Located_Outdoors|Texting/Browsing_Phone</t>
  </si>
  <si>
    <t>Sitting_With_Movement*In_Position_Sitting*Eating/Dining|Meeting_Social_Gathering_In_Person|Using_Computer/Screen*Browsing_Computer|In_Conversation|Located_Indoors</t>
  </si>
  <si>
    <t>Walking*In_Position_Upright*HIGH_LEVEL_BEHAVIOR_Unlabeled*Carrying_Bag_On_Shoulder/Back_Light|Located_Outdoors</t>
  </si>
  <si>
    <t>Sitting_With_Movement*In_Position_Sitting*In_Transit_Passive_Train/Bus/Plane*Holding_Other_Object_Light|Located_Indoors|Texting/Browsing_Phone</t>
  </si>
  <si>
    <t>Lying_With_Movement*Lying_On_Stomach*Using_Computer/Screen*Browsing_Computer|Holding_Other_Object_Light|Located_Indoors</t>
  </si>
  <si>
    <t>Sitting_With_Movement*In_Position_Sitting*HIGH_LEVEL_BEHAVIOR_Unlabeled*In_Conversation|Located_Outdoors</t>
  </si>
  <si>
    <t>Walking*In_Position_Upright*In_Transit_Active|Meeting_Social_Gathering_In_Person*Carrying_Bag_On_Shoulder/Back_Light|Located_Outdoors</t>
  </si>
  <si>
    <t>Walking*In_Position_Upright*Meeting_Social_Gathering_In_Person*In_Conversation|Located_Outdoors</t>
  </si>
  <si>
    <t>Puttering_Around*In_Position_Upright*Cooking/Prepping_Food|Doing_Common_Housework*Located_Indoors</t>
  </si>
  <si>
    <t>Sitting_With_Movement*In_Position_Sitting*Eating/Dining|Meeting_Social_Gathering_In_Person|Using_Computer/Screen|Watching_TV/Movies*Located_Indoors</t>
  </si>
  <si>
    <t>Sitting_With_Movement*In_Position_Sitting*Eating/Dining|Using_Computer/Screen*Located_Indoors|Typing_Computer</t>
  </si>
  <si>
    <t>Sitting_With_Movement*In_Position_Sitting*Meeting_Social_Gathering_In_Person|Using_Computer/Screen*In_Conversation|Located_Indoors</t>
  </si>
  <si>
    <t>Standing_With_Movement*In_Position_Upright*Doing_Common_Housework|Doing_Dishes*Holding_Other_Object_Light|Located_Indoors</t>
  </si>
  <si>
    <t>Sitting_With_Movement*In_Position_Sitting*Eating/Dining*Holding_Other_Object_Light|Holding_Solid_Food|Located_Indoors</t>
  </si>
  <si>
    <t>Sitting_With_Movement*In_Position_Sitting*Working_Other*Browsing_Computer|Holding_Other_Object_Light</t>
  </si>
  <si>
    <t>Sitting_With_Movement*In_Position_Sitting*Meeting_Virtual*Handwriting|In_Conversation|Located_Indoors|On_Video_Call/FaceTime</t>
  </si>
  <si>
    <t>Standing_With_Movement*In_Position_Upright*HIGH_LEVEL_BEHAVIOR_Unlabeled*Located_Indoors|On_Video_Call/FaceTime</t>
  </si>
  <si>
    <t>Sitting_With_Movement*In_Position_Sitting*Eating/Dining|Watching_TV/Movies*Holding_Other_Object_Light|Holding_Solid_Food|Located_Indoors</t>
  </si>
  <si>
    <t>Puttering_Around*In_Position_Upright*Eating/Dining*Located_Indoors</t>
  </si>
  <si>
    <t>Lying_With_Movement*Lying_On_Left_Side*Meeting_Virtual|Using_Computer/Screen*Located_Indoors</t>
  </si>
  <si>
    <t>Sitting_With_Movement*In_Position_Sitting*In_Transit_Passive_Car*Holding_Other_Object_Light|In_Conversation|Located_Outdoors|Texting/Browsing_Phone</t>
  </si>
  <si>
    <t>Lying_With_Movement*Lying_On_Back*HIGH_LEVEL_BEHAVIOR_Unlabeled*Located_Indoors|On_Phone_Call|Texting/Browsing_Phone</t>
  </si>
  <si>
    <t>Standing_With_Movement*In_Position_Upright*Eating/Dining*Holding_Solid_Food|Located_Indoors</t>
  </si>
  <si>
    <t>Walking*In_Position_Upright*In_Transit_Active*Carrying_Bag_On_Shoulder/Back_Heavy|Located_Outdoors|Texting/Browsing_Phone</t>
  </si>
  <si>
    <t>Puttering_Around*In_Position_Upright*Cooking/Prepping_Food*Holding_Other_Object_Light|In_Conversation|Located_Indoors</t>
  </si>
  <si>
    <t>Sitting_With_Movement*In_Position_Sitting*Using_Computer/Screen*Browsing_Computer|In_Conversation|Located_Indoors|Texting/Browsing_Phone</t>
  </si>
  <si>
    <t>Standing_With_Movement*In_Position_Upright*Doing_Laundry*Holding_Other_Object_Light|Located_Indoors</t>
  </si>
  <si>
    <t>Sitting_With_Movement*In_Position_Sitting*Meeting_Social_Gathering_In_Person*Holding_Other_Object_Light|Located_Indoors</t>
  </si>
  <si>
    <t>Puttering_Around*In_Position_Upright*Packing/Unpacking_Something*Located_Indoors</t>
  </si>
  <si>
    <t>Sitting_With_Movement*In_Position_Sitting*Watching_TV/Movies*Holding_Book/Reader|Located_Indoors|Unsure</t>
  </si>
  <si>
    <t>Sitting_With_Movement*In_Position_Sitting*Using_Computer/Screen|Watching_TV/Movies*Browsing_Computer|Located_Indoors</t>
  </si>
  <si>
    <t>Sitting_With_Movement*In_Position_Sitting*HLB_Other*Holding_Other_Object_Light|Located_Indoors|Texting/Browsing_Phone</t>
  </si>
  <si>
    <t>Sitting_With_Movement*In_Position_Sitting*Cooking/Prepping_Food*Holding_Other_Object_Light|Located_Indoors|Texting/Browsing_Phone</t>
  </si>
  <si>
    <t>Walking*In_Position_Upright*HIGH_LEVEL_BEHAVIOR_Unlabeled*Holding_Other_Object_Light|Located_Outdoors</t>
  </si>
  <si>
    <t>Puttering_Around*In_Position_Upright*Playing_Sports/Games*Holding_Other_Object_Light|In_Conversation|Located_Indoors</t>
  </si>
  <si>
    <t>Sitting_With_Movement*In_Position_Sitting*Eating/Dining*Holding_Book/Reader|Located_Indoors</t>
  </si>
  <si>
    <t>Sitting_With_Movement*In_Position_Sitting*Meeting_Social_Gathering_In_Person|Using_Computer/Screen*Browsing_Computer|Located_Indoors</t>
  </si>
  <si>
    <t>Lying_With_Movement*Lying_On_Stomach*Using_Computer/Screen*In_Conversation|Located_Indoors</t>
  </si>
  <si>
    <t>Sitting_With_Movement*In_Position_Sitting*Doing_Resistance_Training*Located_Indoors|Texting/Browsing_Phone</t>
  </si>
  <si>
    <t>Standing_With_Movement*In_Position_Upright*Meeting_Social_Gathering_In_Person*In_Conversation|Located_Indoors|Texting/Browsing_Phone</t>
  </si>
  <si>
    <t>Standing_With_Movement*In_Position_Upright*Meeting_Social_Gathering_In_Person*Carrying_Bag_On_Shoulder/Back_Light|In_Conversation|Located_Outdoors</t>
  </si>
  <si>
    <t>Puttering_Around*In_Position_Upright*HIGH_LEVEL_BEHAVIOR_Unlabeled*Located_Indoors|On_Phone_Call</t>
  </si>
  <si>
    <t>Sitting_With_Movement*In_Position_Sitting*Using_Computer/Screen*Located_Indoors|Texting/Browsing_Phone|Typing_Computer</t>
  </si>
  <si>
    <t>Walking*In_Position_Upright*In_Transit_Active*Carrying_Grocery_Bags_Light|Located_Outdoors</t>
  </si>
  <si>
    <t>Sitting_With_Movement*In_Position_Sitting*Eating/Dining|Meeting_Social_Gathering_In_Person*Holding_Drink|Holding_Solid_Food|In_Conversation|Located_Indoors</t>
  </si>
  <si>
    <t>Puttering_Around*In_Position_Upright*HIGH_LEVEL_BEHAVIOR_Unlabeled*Holding_Other_Object_Light|Located_Outdoors</t>
  </si>
  <si>
    <t>Sitting_With_Movement*In_Position_Sitting*Eating/Dining*Browsing_Computer|Holding_Drink|Typing_Computer</t>
  </si>
  <si>
    <t>Sitting_Still*In_Position_Reclining/Slouching*Using_Computer/Screen*Located_Indoors</t>
  </si>
  <si>
    <t>Walking*In_Position_Upright*In_Transit_Active|Meeting_Social_Gathering_In_Person*Holding_Other_Object_Light|Located_Outdoors</t>
  </si>
  <si>
    <t>Lying_With_Movement*Lying_On_Back*Relaxing_Passive*Located_Indoors|On_Phone_Call</t>
  </si>
  <si>
    <t>Sitting_With_Movement*In_Position_Sitting*Relaxing_Passive|Watching_TV/Movies*Located_Indoors|Texting/Browsing_Phone</t>
  </si>
  <si>
    <t>Walking*In_Position_Upright*In_Transit_Active|Meeting_Social_Gathering_In_Person*In_Conversation|Located_Indoors</t>
  </si>
  <si>
    <t>Sitting_With_Movement*In_Position_Sitting*Meeting_Social_Gathering_In_Person*In_Conversation|Legs_Crossed|Located_Indoors</t>
  </si>
  <si>
    <t>Walking*In_Position_Upright*Shopping_Grocery*Located_Indoors</t>
  </si>
  <si>
    <t>Sitting_With_Movement*In_Position_Sitting*In_Transit_Passive_Train/Bus/Plane*Located_Indoors|Texting/Browsing_Phone</t>
  </si>
  <si>
    <t>Sitting_With_Movement*In_Position_Sitting*Cooking/Prepping_Food|Playing_Videogame*Holding_Other_Object_Light|Located_Indoors|Texting/Browsing_Phone</t>
  </si>
  <si>
    <t>Sitting_With_Movement*In_Position_Sitting*Packing/Unpacking_Something*Located_Indoors</t>
  </si>
  <si>
    <t>Sitting_With_Movement*In_Position_Sitting*Meeting_Social_Gathering_In_Person|Using_Computer/Screen*Browsing_Computer|Holding_Other_Object_Light|In_Conversation|Located_Indoors</t>
  </si>
  <si>
    <t>Lying_Still*Lying_On_Back*Sleeping|Watching_TV/Movies*Located_Indoors</t>
  </si>
  <si>
    <t>Walking*In_Position_Upright*In_Transit_Active*Holding_Other_Object_Light|Located_Outdoors|Texting/Browsing_Phone</t>
  </si>
  <si>
    <t>Sitting_With_Movement*In_Position_Sitting*In_Transit_Driving_Car*Legs_Uncrossed|Located_Outdoors</t>
  </si>
  <si>
    <t>Sitting_With_Movement*In_Position_Reclining/Slouching*Eating/Dining|Relaxing_Passive|Watching_TV/Movies*Located_Indoors</t>
  </si>
  <si>
    <t>Sitting_With_Movement*In_Position_Sitting*Playing_Videogame*Holding_Other_Object_Light|In_Conversation|Located_Indoors</t>
  </si>
  <si>
    <t>Sitting_With_Movement*In_Position_Reclining/Slouching*Meeting_Social_Gathering_In_Person*In_Conversation|Located_Indoors</t>
  </si>
  <si>
    <t>Sitting_With_Movement*In_Position_Sitting*Meeting_Social_Gathering_In_Person|Working_Other*Handwriting|Holding_Other_Object_Light|Located_Indoors|Texting/Browsing_Phone</t>
  </si>
  <si>
    <t>Puttering_Around*In_Position_Upright*Playing_Sports/Games*Located_Indoors</t>
  </si>
  <si>
    <t>Sitting_With_Movement*In_Position_Reclining/Slouching*Relaxing_Passive|Watching_TV/Movies*Holding_Other_Object_Light|Located_Indoors|Texting/Browsing_Phone</t>
  </si>
  <si>
    <t>Sitting_With_Movement*In_Position_Sitting*Relaxing_Passive*Located_Indoors|On_Video_Call/FaceTime</t>
  </si>
  <si>
    <t>Sitting_With_Movement*In_Position_Sitting*HIGH_LEVEL_BEHAVIOR_Unlabeled*Located_Indoors|On_Video_Call/FaceTime|Texting/Browsing_Phone</t>
  </si>
  <si>
    <t>Sitting_With_Movement*In_Position_Sitting*Eating/Dining*Holding_Solid_Food|In_Conversation|Located_Outdoors</t>
  </si>
  <si>
    <t>Standing_With_Movement*In_Position_Upright*Doing_Common_Housework*Located_Indoors</t>
  </si>
  <si>
    <t>Puttering_Around*In_Position_Upright*Doing_Home_Repair_Light|Meeting_Social_Gathering_In_Person*Holding_Other_Object_Light|In_Conversation|Located_Indoors</t>
  </si>
  <si>
    <t>Sitting_With_Movement*In_Position_Sitting*Working_Other*Holding_Other_Object_Light</t>
  </si>
  <si>
    <t>Lying_With_Movement*Lying_On_Right_Side*Playing_Videogame*Holding_Other_Object_Light|Located_Indoors|Texting/Browsing_Phone</t>
  </si>
  <si>
    <t>Sitting_With_Movement*In_Position_Sitting*Packing/Unpacking_Something*Holding_Other_Object_Light|Located_Indoors</t>
  </si>
  <si>
    <t>Lying_With_Movement*Lying_On_Stomach*HIGH_LEVEL_BEHAVIOR_Unlabeled*Located_Indoors|Texting/Browsing_Phone</t>
  </si>
  <si>
    <t>Lying_With_Movement*Lying_On_Stomach*HIGH_LEVEL_BEHAVIOR_Unlabeled*Located_Indoors</t>
  </si>
  <si>
    <t>Walking*In_Position_Upright*In_Transit_Active|Meeting_Social_Gathering_In_Person*Holding_Other_Object_Light|In_Conversation|Located_Outdoors</t>
  </si>
  <si>
    <t>Walking*In_Position_Upright*HIGH_LEVEL_BEHAVIOR_Unlabeled*Carrying_Bag_On_Shoulder/Back_Light|Located_Indoors</t>
  </si>
  <si>
    <t>Sitting_With_Movement*In_Position_Sitting*Meeting_Virtual|Using_Computer/Screen*Browsing_Computer|In_Conversation|Legs_Uncrossed|Located_Indoors</t>
  </si>
  <si>
    <t>Sitting_With_Movement*In_Position_Reclining/Slouching*Eating/Dining|Watching_TV/Movies*Holding_Other_Object_Light|Located_Indoors</t>
  </si>
  <si>
    <t>Sitting_With_Movement*In_Position_Sitting*Relaxing_Passive|Using_Computer/Screen|Watching_TV/Movies*Located_Indoors|Texting/Browsing_Phone</t>
  </si>
  <si>
    <t>Standing_With_Movement*In_Position_Upright*Cooking/Prepping_Food*Holding_Other_Object_Light|Holding_Solid_Food|Located_Indoors</t>
  </si>
  <si>
    <t>Standing_With_Movement*In_Position_Upright*Shopping_Non-Grocery*Carrying_Bag_On_Shoulder/Back_Light|Holding_Other_Object_Light|Located_Indoors</t>
  </si>
  <si>
    <t>Lying_With_Movement*Lying_On_Stomach*Relaxing_Passive*Holding_Other_Object_Light|Located_Indoors|Texting/Browsing_Phone</t>
  </si>
  <si>
    <t>Puttering_Around*In_Position_Upright*Cooking/Prepping_Food|Doing_Common_Housework*In_Conversation|Located_Indoors</t>
  </si>
  <si>
    <t>Sitting_With_Movement*In_Position_Sitting*Meeting_Virtual|Using_Computer/Screen*In_Conversation|Located_Indoors|On_Video_Call/FaceTime</t>
  </si>
  <si>
    <t>Sitting_With_Movement*In_Position_Sitting*Watching_TV/Movies*Holding_Other_Object_Light|In_Conversation|Located_Indoors</t>
  </si>
  <si>
    <t>Standing_With_Movement*In_Position_Upright*In_Transit_Active*Holding_Other_Object_Light|Located_Outdoors</t>
  </si>
  <si>
    <t>Sitting_With_Movement*In_Position_Sitting*Playing_Videogame*Located_Indoors|Texting/Browsing_Phone</t>
  </si>
  <si>
    <t>Standing_With_Movement*In_Position_Upright*HLB_Video_Unavailable/Indecipherable*Located_Indoors</t>
  </si>
  <si>
    <t>Sitting_With_Movement*In_Position_Sitting*In_Transit_Passive_Car|Meeting_Social_Gathering_In_Person*In_Conversation|Located_Outdoors</t>
  </si>
  <si>
    <t>Sitting_With_Movement*In_Position_Reclining/Slouching*Eating/Dining|Meeting_Social_Gathering_In_Person|Watching_TV/Movies*Located_Indoors</t>
  </si>
  <si>
    <t>Puttering_Around*In_Position_Upright*Doing_Resistance_Training*Located_Indoors</t>
  </si>
  <si>
    <t>Sitting_With_Movement*In_Position_Sitting*In_Transit_Active*Located_Outdoors</t>
  </si>
  <si>
    <t>Walking*In_Position_Upright*In_Transit_Active|Meeting_Social_Gathering_In_Person*Carrying_Bag_On_Shoulder/Back_Light|In_Conversation|Located_Outdoors</t>
  </si>
  <si>
    <t>Sitting_Still*In_Position_Sitting*Relaxing_Passive*Located_Indoors|Texting/Browsing_Phone</t>
  </si>
  <si>
    <t>Standing_With_Movement*In_Position_Upright*Doing_Laundry*Located_Indoors</t>
  </si>
  <si>
    <t>Sitting_With_Movement*In_Position_Sitting*In_Transit_Passive_Train/Bus/Plane*Texting/Browsing_Phone</t>
  </si>
  <si>
    <t>Sitting_With_Movement*In_Position_Sitting*Using_Computer/Screen|Working_Other*Holding_Other_Object_Light|Located_Indoors</t>
  </si>
  <si>
    <t>Sitting_With_Movement*In_Position_Reclining/Slouching*Meeting_Social_Gathering_In_Person*Holding_Drink|In_Conversation|Located_Outdoors</t>
  </si>
  <si>
    <t>Sitting_With_Movement*In_Position_Reclining/Slouching*Meeting_Social_Gathering_In_Person*Located_Indoors</t>
  </si>
  <si>
    <t>Lying_With_Movement*Posture_Video_Unavailable/Indecipherable*Relaxing_Passive|Watching_TV/Movies*Located_Indoors</t>
  </si>
  <si>
    <t>Standing_With_Movement*In_Position_Upright*In_Transit_Active*Carrying_Bag_On_Shoulder/Back_Light|In_Conversation|Located_Outdoors</t>
  </si>
  <si>
    <t>Sitting_Still*In_Position_Sitting*HLB_Other*Located_Indoors</t>
  </si>
  <si>
    <t>Sitting_With_Movement*In_Position_Sitting*Watching_Lecture*Located_Indoors</t>
  </si>
  <si>
    <t>Sitting_With_Movement*In_Position_Sitting*Eating/Dining*In_Conversation|Located_Outdoors|Texting/Browsing_Phone</t>
  </si>
  <si>
    <t>Puttering_Around*In_Position_Upright*In_Transit_Active*Holding_Other_Object_Light|Located_Indoors</t>
  </si>
  <si>
    <t>Sitting_With_Movement*In_Position_Sitting*Eating/Dining|Using_Computer/Screen*Browsing_Computer|Holding_Other_Object_Light|Located_Indoors</t>
  </si>
  <si>
    <t>Standing_With_Movement*In_Position_Upright*HLB_Other*Located_Indoors</t>
  </si>
  <si>
    <t>Puttering_Around*In_Position_Upright*HIGH_LEVEL_BEHAVIOR_Unlabeled*Holding_Other_Object_Light|Located_Indoors|Texting/Browsing_Phone</t>
  </si>
  <si>
    <t>Standing_With_Movement*In_Position_Upright*Grooming/Self_Care*Holding_Other_Object_Light|Located_Indoors</t>
  </si>
  <si>
    <t>Puttering_Around*In_Position_Upright*Cooking/Prepping_Food|Meeting_Social_Gathering_In_Person*Located_Indoors</t>
  </si>
  <si>
    <t>Puttering_Around*In_Position_Upright*Meeting_Social_Gathering_In_Person|Shopping_Grocery*Holding_Drink|Holding_Solid_Food|Located_Indoors</t>
  </si>
  <si>
    <t>Lying_With_Movement*Lying_On_Left_Side*Relaxing_Passive|Watching_TV/Movies*Located_Indoors|Texting/Browsing_Phone</t>
  </si>
  <si>
    <t>Standing_With_Movement*In_Position_Upright*In_Transit_Passive_Train/Bus/Plane*Located_Outdoors</t>
  </si>
  <si>
    <t>Puttering_Around*In_Position_Upright*HIGH_LEVEL_BEHAVIOR_Unlabeled*Carrying_Bag_On_Shoulder/Back_Light|Located_Indoors</t>
  </si>
  <si>
    <t>Walking*In_Position_Upright*In_Transit_Active*Holding_Bag/Briefcase_Hand_Light|Located_Outdoors</t>
  </si>
  <si>
    <t>Sitting_With_Movement*In_Position_Sitting*Eating/Dining|Using_Computer/Screen*Browsing_Computer|Located_Indoors|Typing_Computer</t>
  </si>
  <si>
    <t>Standing_With_Movement*In_Position_Upright*In_Transit_Passive_Train/Bus/Plane*Carrying_Bag_On_Shoulder/Back_Light|Located_Outdoors</t>
  </si>
  <si>
    <t>Sitting_With_Movement*In_Position_Sitting*Meeting_Virtual|Using_Computer/Screen*Browsing_Computer|In_Conversation|Located_Indoors|On_Video_Call/FaceTime</t>
  </si>
  <si>
    <t>Puttering_Around*In_Position_Upright*Shopping_Non-Grocery*Located_Indoors</t>
  </si>
  <si>
    <t>Standing_With_Movement*In_Position_Upright*Working_Other*Holding_Other_Object_Light|Located_Indoors</t>
  </si>
  <si>
    <t>Lying_Still*Lying_On_Back*Using_Computer/Screen*Located_Indoors</t>
  </si>
  <si>
    <t>Sitting_With_Movement*In_Position_Sitting*Meeting_Social_Gathering_In_Person|Working_Other*In_Conversation|Located_Indoors</t>
  </si>
  <si>
    <t>Walking*In_Position_Upright*HIGH_LEVEL_BEHAVIOR_Unlabeled*In_Conversation|Located_Indoors</t>
  </si>
  <si>
    <t>Sitting_With_Movement*In_Position_Sitting*HIGH_LEVEL_BEHAVIOR_Unlabeled*In_Conversation|Located_Indoors|Texting/Browsing_Phone</t>
  </si>
  <si>
    <t>Sitting_With_Movement*In_Position_Sitting*Working_Other*Handwriting|Located_Indoors</t>
  </si>
  <si>
    <t>Sitting_With_Movement*In_Position_Sitting*Watching_TV/Movies*Handwriting|Holding_Other_Object_Light|In_Conversation|Located_Indoors</t>
  </si>
  <si>
    <t>Lying_With_Movement*Posture_Video_Unavailable/Indecipherable*Relaxing_Passive*Located_Indoors|Texting/Browsing_Phone</t>
  </si>
  <si>
    <t>Sitting_With_Movement*In_Position_Sitting*Relaxing_Passive*Holding_Other_Object_Light|Legs_Uncrossed|Located_Indoors|Texting/Browsing_Phone</t>
  </si>
  <si>
    <t>Sitting_With_Movement*In_Position_Sitting*Eating/Dining|Using_Computer/Screen|Watching_TV/Movies*Browsing_Computer|Holding_Solid_Food|Located_Indoors</t>
  </si>
  <si>
    <t>Washing_Hands*In_Position_Upright*HIGH_LEVEL_BEHAVIOR_Unlabeled*Located_Indoors</t>
  </si>
  <si>
    <t>Puttering_Around*In_Position_Upright*Shopping_Grocery*Carrying_Bag_On_Shoulder/Back_Light|Located_Outdoors</t>
  </si>
  <si>
    <t>Puttering_Around*In_Position_Upright*Meeting_Social_Gathering_In_Person*Holding_Other_Object_Light|Located_Indoors</t>
  </si>
  <si>
    <t>Sitting_Still*In_Position_Sitting*Meeting_Social_Gathering_In_Person*In_Conversation|Located_Indoors</t>
  </si>
  <si>
    <t>Sitting_With_Movement*In_Position_Sitting*Using_Computer/Screen|Working_Other*Browsing_Computer|Located_Indoors|Typing_Computer</t>
  </si>
  <si>
    <t>Sitting_With_Movement*In_Position_Sitting*Eating/Dining*In_Conversation|Located_Indoors|Texting/Browsing_Phone</t>
  </si>
  <si>
    <t>Lying_With_Movement*Lying_On_Right_Side*Relaxing_Passive|Watching_TV/Movies*Located_Indoors|Texting/Browsing_Phone</t>
  </si>
  <si>
    <t>Sitting_With_Movement*In_Position_Sitting*Relaxing_Passive|Using_Computer/Screen*Browsing_Computer|Located_Indoors|Typing_Computer</t>
  </si>
  <si>
    <t>Sitting_With_Movement*In_Position_Sitting*In_Bathroom*Located_Indoors|Texting/Browsing_Phone</t>
  </si>
  <si>
    <t>Lying_With_Movement*Lying_On_Stomach*Relaxing_Passive|Using_Computer/Screen*Browsing_Computer|Located_Indoors</t>
  </si>
  <si>
    <t>Sitting_With_Movement*In_Position_Sitting*Eating/Dining|Meeting_Social_Gathering_In_Person*Located_Indoors|Texting/Browsing_Phone</t>
  </si>
  <si>
    <t>Sitting_With_Movement*In_Position_Sitting*Meeting_Formal_Gathering_In_Person|Working_Other*Holding_Other_Object_Light|Located_Indoors</t>
  </si>
  <si>
    <t>Lying_With_Movement*Lying_On_Stomach*HLB_Video_Unavailable/Indecipherable*Located_Indoors</t>
  </si>
  <si>
    <t>Puttering_Around*In_Position_Upright*Doing_Common_Housework*In_Conversation|Located_Indoors</t>
  </si>
  <si>
    <t>Walking*In_Position_Upright*Meeting_Social_Gathering_In_Person*Located_Indoors</t>
  </si>
  <si>
    <t>Sitting_With_Movement*In_Position_Sitting*Working_Other*Holding_Other_Object_Light|Located_Indoors</t>
  </si>
  <si>
    <t>Sitting_With_Movement*In_Position_Sitting*Using_Computer/Screen*Browsing_Computer|Holding_Other_Object_Light|In_Conversation|Located_Indoors|On_Video_Call/FaceTime</t>
  </si>
  <si>
    <t>Walking*In_Position_Upright*In_Transit_Active*Carrying_Bag_On_Shoulder/Back_Light|Holding_Bag/Briefcase_Hand_Light|Located_Outdoors</t>
  </si>
  <si>
    <t>Walking*In_Position_Upright*In_Transit_Active*Carrying_Bag_On_Shoulder/Back_Light|Holding_Other_Object_Light|Located_Indoors</t>
  </si>
  <si>
    <t>Sitting_With_Movement*In_Position_Reclining/Slouching*Relaxing_Passive*Holding_Other_Object_Light|Located_Indoors|Texting/Browsing_Phone</t>
  </si>
  <si>
    <t>Sitting_With_Movement*In_Position_Sitting*Using_Computer/Screen*Browsing_Computer</t>
  </si>
  <si>
    <t>Sitting_With_Movement*In_Position_Sitting*Relaxing_Passive*Holding_Book/Reader</t>
  </si>
  <si>
    <t>Sitting_With_Movement*In_Position_Sitting*Eating/Dining|Meeting_Social_Gathering_In_Person*Located_Indoors</t>
  </si>
  <si>
    <t>Sitting_With_Movement*In_Position_Sitting*HLB_Video_Unavailable/Indecipherable*Holding_Other_Object_Light|Located_Indoors</t>
  </si>
  <si>
    <t>Sitting_With_Movement*In_Position_Sitting*Relaxing_Passive*Legs_Crossed|Located_Indoors|Texting/Browsing_Phone</t>
  </si>
  <si>
    <t>Sitting_With_Movement*In_Position_Sitting*Dressing/Undressing*Holding_Other_Object_Light|Located_Indoors</t>
  </si>
  <si>
    <t>Sitting_With_Movement*In_Position_Sitting*Using_Computer/Screen|Working_Other*Located_Indoors</t>
  </si>
  <si>
    <t>Sitting_With_Movement*In_Position_Sitting*HIGH_LEVEL_BEHAVIOR_Unlabeled*CP_Video_Unavailable/Indecipherable|In_Conversation|Located_Indoors</t>
  </si>
  <si>
    <t>Sitting_With_Movement*In_Position_Sitting*In_Transit_Driving_Car*CONTEXTUAL_PARAMETERS_Unlabeled</t>
  </si>
  <si>
    <t>Standing_With_Movement*In_Position_Upright*Packing/Unpacking_Something*Located_Indoors</t>
  </si>
  <si>
    <t>Sitting_With_Movement*In_Position_Reclining/Slouching*Watching_TV/Movies*Located_Indoors|Texting/Browsing_Phone</t>
  </si>
  <si>
    <t>Lying_Still*Lying_On_Left_Side*Relaxing_Passive*Located_Indoors</t>
  </si>
  <si>
    <t>Sitting_With_Movement*In_Position_Sitting*Using_Computer/Screen*Legs_Crossed|Located_Indoors</t>
  </si>
  <si>
    <t>Sitting_With_Movement*In_Position_Sitting*Eating/Dining|Using_Computer/Screen*Holding_Other_Object_Light|Located_Indoors</t>
  </si>
  <si>
    <t>Sitting_With_Movement*In_Position_Reclining/Slouching*Meeting_Social_Gathering_In_Person|Relaxing_Passive|Watching_TV/Movies*Holding_Other_Object_Light|Located_Indoors</t>
  </si>
  <si>
    <t>Puttering_Around*In_Position_Upright*Doing_Dishes*Holding_Other_Object_Light|Located_Indoors</t>
  </si>
  <si>
    <t>Sitting_With_Movement*In_Position_Sitting*Eating/Dining|Meeting_Social_Gathering_In_Person*Holding_Other_Object_Light|Holding_Solid_Food|In_Conversation|Located_Indoors</t>
  </si>
  <si>
    <t>Lying_With_Movement*Lying_On_Stomach*Using_Computer/Screen|Watching_TV/Movies*Located_Indoors</t>
  </si>
  <si>
    <t>Sitting_With_Movement*In_Position_Reclining/Slouching*HIGH_LEVEL_BEHAVIOR_Unlabeled*Holding_Book/Reader|Located_Indoors</t>
  </si>
  <si>
    <t>Sitting_With_Movement*In_Position_Sitting*Eating/Dining|Meeting_Social_Gathering_In_Person*Holding_Other_Object_Light|Located_Indoors</t>
  </si>
  <si>
    <t>Standing_With_Movement*In_Position_Upright*In_Transit_Active*Located_Indoors</t>
  </si>
  <si>
    <t>Sitting_With_Movement*In_Position_Sitting*HIGH_LEVEL_BEHAVIOR_Unlabeled*Legs_Crossed|Located_Indoors|Texting/Browsing_Phone</t>
  </si>
  <si>
    <t>Sitting_With_Movement*In_Position_Sitting*HIGH_LEVEL_BEHAVIOR_Unlabeled*Holding_Other_Object_Light|Located_Outdoors|Texting/Browsing_Phone</t>
  </si>
  <si>
    <t>Lying_With_Movement*Lying_On_Right_Side*HIGH_LEVEL_BEHAVIOR_Unlabeled*Holding_Other_Object_Light|Located_Indoors|Texting/Browsing_Phone</t>
  </si>
  <si>
    <t>Lying_With_Movement*Lying_On_Right_Side*Relaxing_Passive|Using_Computer/Screen|Watching_TV/Movies*Located_Indoors</t>
  </si>
  <si>
    <t>Sitting_With_Movement*In_Position_Sitting*Eating/Dining*Holding_Other_Object_Light|Holding_Solid_Food|In_Conversation|Located_Indoors</t>
  </si>
  <si>
    <t>Standing_With_Movement*In_Position_Upright*Cleaning*Located_Indoors</t>
  </si>
  <si>
    <t>Puttering_Around*In_Position_Upright*Packing/Unpacking_Something*Holding_Other_Object_Light|Located_Indoors</t>
  </si>
  <si>
    <t>Walking*In_Position_Upright*In_Transit_Active|Walking_Pet*Located_Outdoors</t>
  </si>
  <si>
    <t>Sitting_With_Movement*In_Position_Sitting*HIGH_LEVEL_BEHAVIOR_Unlabeled*Holding_Other_Object_Light|Legs_Crossed|Located_Indoors|Texting/Browsing_Phone</t>
  </si>
  <si>
    <t>Sitting_With_Movement*In_Position_Reclining/Slouching*HIGH_LEVEL_BEHAVIOR_Unlabeled*In_Conversation|Located_Indoors|On_Video_Call/FaceTime</t>
  </si>
  <si>
    <t>Lying_With_Movement*Lying_On_Back*Meeting_Social_Gathering_In_Person|Using_Computer/Screen|Watching_TV/Movies*Located_Indoors</t>
  </si>
  <si>
    <t>Puttering_Around*In_Position_Upright*Cooking/Prepping_Food*Holding_Other_Object_Light|Holding_Solid_Food|Located_Indoors</t>
  </si>
  <si>
    <t>Walking*In_Position_Upright*HIGH_LEVEL_BEHAVIOR_Unlabeled*Located_Indoors|Texting/Browsing_Phone</t>
  </si>
  <si>
    <t>Sitting_With_Movement*In_Position_Sitting*HIGH_LEVEL_BEHAVIOR_Unlabeled*Legs_Uncrossed|Located_Indoors|Texting/Browsing_Phone</t>
  </si>
  <si>
    <t>Putting_Clothes_Away*In_Position_Upright*Doing_Laundry*Located_Indoors</t>
  </si>
  <si>
    <t>Sitting_With_Movement*In_Position_Sitting*Eating/Dining|Meeting_Social_Gathering_In_Person*Holding_Drink|In_Conversation|Located_Indoors</t>
  </si>
  <si>
    <t>Lying_With_Movement*Lying_On_Back*Playing_Videogame*Located_Indoors|Texting/Browsing_Phone</t>
  </si>
  <si>
    <t>Lying_With_Movement*Lying_On_Back*Watching_TV/Movies*Holding_Other_Object_Light|Located_Indoors</t>
  </si>
  <si>
    <t>Sitting_With_Movement*In_Position_Sitting*HIGH_LEVEL_BEHAVIOR_Unlabeled*Holding_Drink|In_Conversation|Located_Indoors</t>
  </si>
  <si>
    <t>Sitting_With_Movement*In_Position_Reclining/Slouching*Relaxing_Passive*Located_Indoors|Texting/Browsing_Phone</t>
  </si>
  <si>
    <t>Lying_With_Movement*Lying_On_Stomach*Relaxing_Passive*Located_Indoors|Texting/Browsing_Phone</t>
  </si>
  <si>
    <t>Walking*In_Position_Upright*In_Transit_Active*Holding_Drink|Located_Outdoors</t>
  </si>
  <si>
    <t>Sitting_With_Movement*In_Position_Sitting*Using_Computer/Screen*Legs_Uncrossed|Located_Indoors|Typing_Computer</t>
  </si>
  <si>
    <t>Sitting_With_Movement*In_Position_Sitting*In_Transit_Passive_Car|Meeting_Social_Gathering_In_Person*Located_Outdoors</t>
  </si>
  <si>
    <t>Sitting_With_Movement*In_Position_Sitting*Eating/Dining|Using_Computer/Screen*Browsing_Computer|Holding_Solid_Food|Located_Indoors</t>
  </si>
  <si>
    <t>Sitting_With_Movement*In_Position_Sitting*Using_Computer/Screen*Handwriting|Holding_Other_Object_Light|Located_Indoors</t>
  </si>
  <si>
    <t>Sitting_With_Movement*In_Position_Reclining/Slouching*Playing_With_Pets|Relaxing_Passive*Located_Indoors</t>
  </si>
  <si>
    <t>Walking*In_Position_Upright*Meeting_Social_Gathering_In_Person*Located_Outdoors</t>
  </si>
  <si>
    <t>Puttering_Around*In_Position_Upright*Cooking/Prepping_Food|Meeting_Social_Gathering_In_Person*In_Conversation|Located_Outdoors</t>
  </si>
  <si>
    <t>Standing_With_Movement*In_Position_Upright*HIGH_LEVEL_BEHAVIOR_Unlabeled*Located_Outdoors|Texting/Browsing_Phone</t>
  </si>
  <si>
    <t>Sitting_With_Movement*In_Position_Sitting*Eating/Dining|Relaxing_Passive|Using_Computer/Screen*Holding_Solid_Food|Located_Indoors|Typing_Computer</t>
  </si>
  <si>
    <t>Sitting_With_Movement*In_Position_Reclining/Slouching*Using_Computer/Screen|Watching_TV/Movies*Browsing_Computer|Holding_Other_Object_Light|Located_Indoors</t>
  </si>
  <si>
    <t>Lying_With_Movement*Lying_On_Stomach*Watching_TV/Movies*Located_Indoors</t>
  </si>
  <si>
    <t>Sitting_With_Movement*In_Position_Sitting*Meeting_Virtual|Using_Computer/Screen*Located_Indoors|On_Video_Call/FaceTime</t>
  </si>
  <si>
    <t>Puttering_Around*In_Position_Upright*Doing_Dishes*Located_Indoors</t>
  </si>
  <si>
    <t>Puttering_Around*In_Position_Upright*Cooking/Prepping_Food|Meeting_Social_Gathering_In_Person*Holding_Other_Object_Light|Located_Indoors</t>
  </si>
  <si>
    <t>Lying_With_Movement*Lying_On_Left_Side*Watching_TV/Movies*Holding_Other_Object_Light|Located_Indoors</t>
  </si>
  <si>
    <t>Sitting_With_Movement*In_Position_Sitting*HIGH_LEVEL_BEHAVIOR_Unlabeled*Browsing_Computer|Handwriting|Located_Indoors</t>
  </si>
  <si>
    <t>Sitting_Still*In_Position_Sitting*Meeting_Social_Gathering_In_Person*Located_Indoors</t>
  </si>
  <si>
    <t>Puttering_Around*In_Position_Upright*Playing_Sports/Games*Holding_Other_Object_Light|Located_Indoors</t>
  </si>
  <si>
    <t>Lying_Still*Posture_Video_Unavailable/Indecipherable*HLB_Video_Unavailable/Indecipherable*Located_Indoors</t>
  </si>
  <si>
    <t>Sitting_With_Movement*In_Position_Sitting*Relaxing_Passive*Holding_Other_Object_Light|Located_Indoors</t>
  </si>
  <si>
    <t>Sitting_With_Movement*In_Position_Sitting*Using_Computer/Screen*Browsing_Computer|Located_Indoors|On_Video_Call/FaceTime</t>
  </si>
  <si>
    <t>Sitting_With_Movement*In_Position_Reclining/Slouching*HLB_Video_Unavailable/Indecipherable*Located_Indoors</t>
  </si>
  <si>
    <t>Standing_With_Movement*In_Position_Upright*HIGH_LEVEL_BEHAVIOR_Unlabeled*Holding_Other_Object_Light|In_Conversation|Located_Indoors</t>
  </si>
  <si>
    <t>Sitting_With_Movement*In_Position_Sitting*HLB_Other*Handwriting|Holding_Other_Object_Light|Located_Indoors</t>
  </si>
  <si>
    <t>Sitting_With_Movement*In_Position_Sitting*Using_Computer/Screen|Working_Other*Browsing_Computer|Holding_Other_Object_Light|Located_Indoors</t>
  </si>
  <si>
    <t>Sitting_Still*In_Position_Sitting*Relaxing_Passive|Watching_TV/Movies*Located_Indoors</t>
  </si>
  <si>
    <t>Sitting_With_Movement*In_Position_Sitting*HLB_Other|Using_Computer/Screen*Handwriting|Located_Indoors</t>
  </si>
  <si>
    <t>Puttering_Around*In_Position_Upright*Cleaning|Doing_Common_Housework*Holding_Other_Object_Light|Located_Indoors|On_Video_Call/FaceTime</t>
  </si>
  <si>
    <t>Sitting_With_Movement*In_Position_Sitting*Using_Computer/Screen*Browsing_Computer|Located_Indoors|On_Phone_Call</t>
  </si>
  <si>
    <t>Sitting_With_Movement*In_Position_Sitting*In_Transit_Passive_Train/Bus/Plane*Holding_Bag/Briefcase_Hand_Light|Located_Outdoors</t>
  </si>
  <si>
    <t>Lying_With_Movement*Lying_On_Back*HIGH_LEVEL_BEHAVIOR_Unlabeled*Holding_Other_Object_Light|Located_Indoors|On_Phone_Call</t>
  </si>
  <si>
    <t>Sitting_With_Movement*In_Position_Sitting*HLB_Other|Using_Computer/Screen*Browsing_Computer|Located_Indoors</t>
  </si>
  <si>
    <t>Lying_With_Movement*Lying_On_Left_Side*Relaxing_Passive|Using_Computer/Screen*Browsing_Computer|Located_Indoors</t>
  </si>
  <si>
    <t>Sitting_With_Movement*In_Position_Sitting*In_Transit_Passive_Train/Bus/Plane*Holding_Other_Object_Light|Located_Outdoors</t>
  </si>
  <si>
    <t>Sitting_With_Movement*In_Position_Sitting*HIGH_LEVEL_BEHAVIOR_Unlabeled*Legs_Uncrossed|Located_Indoors</t>
  </si>
  <si>
    <t>Sitting_With_Movement*In_Position_Sitting*Meeting_Social_Gathering_In_Person|Working_Other*Handwriting|Holding_Other_Object_Light|Located_Indoors</t>
  </si>
  <si>
    <t>Lying_With_Movement*Lying_On_Back*HIGH_LEVEL_BEHAVIOR_Unlabeled*Texting/Browsing_Phone</t>
  </si>
  <si>
    <t>Sitting_With_Movement*In_Position_Sitting*Playing_Videogame*Holding_Other_Object_Light|Located_Indoors|Texting/Browsing_Phone</t>
  </si>
  <si>
    <t>Sitting_With_Movement*In_Position_Reclining/Slouching*Meeting_Social_Gathering_In_Person|Relaxing_Passive|Watching_TV/Movies*Located_Indoors</t>
  </si>
  <si>
    <t>Lying_With_Movement*Lying_On_Left_Side*Relaxing_Passive|Watching_TV/Movies*Located_Indoors</t>
  </si>
  <si>
    <t>Standing_With_Movement*In_Position_Upright*Doing_Common_Housework*Holding_Other_Object_Light|Located_Indoors</t>
  </si>
  <si>
    <t>Lying_With_Movement*Lying_On_Right_Side*HIGH_LEVEL_BEHAVIOR_Unlabeled*Located_Indoors</t>
  </si>
  <si>
    <t>Sitting_With_Movement*In_Position_Sitting*Meeting_Virtual*Located_Indoors|On_Video_Call/FaceTime</t>
  </si>
  <si>
    <t>Sitting_With_Movement*In_Position_Sitting*HIGH_LEVEL_BEHAVIOR_Unlabeled*Located_Outdoors</t>
  </si>
  <si>
    <t>Walking*In_Position_Upright*Walking_Pet*Holding_Other_Object_Light|Located_Outdoors</t>
  </si>
  <si>
    <t>Lying_With_Movement*Lying_On_Right_Side*Relaxing_Passive|Watching_TV/Movies*Located_Indoors</t>
  </si>
  <si>
    <t>Sitting_Still*In_Position_Reclining/Slouching*Relaxing_Passive|Watching_TV/Movies*Located_Indoors</t>
  </si>
  <si>
    <t>Sitting_With_Movement*In_Position_Reclining/Slouching*HIGH_LEVEL_BEHAVIOR_Unlabeled*Holding_Other_Object_Light|Located_Indoors|Texting/Browsing_Phone</t>
  </si>
  <si>
    <t>Lying_With_Movement*Lying_On_Back*Playing_Videogame*Holding_Other_Object_Light|Located_Indoors|Texting/Browsing_Phone</t>
  </si>
  <si>
    <t>Walking_Up_Stairs*In_Position_Upright*HIGH_LEVEL_BEHAVIOR_Unlabeled*Located_Indoors</t>
  </si>
  <si>
    <t>Sitting_With_Movement*In_Position_Sitting*Eating/Dining|Using_Computer/Screen|Watching_TV/Movies*Holding_Other_Object_Light|Located_Indoors</t>
  </si>
  <si>
    <t>Puttering_Around*In_Position_Upright*Shopping_Non-Grocery*Carrying_Bag_On_Shoulder/Back_Light|Holding_Other_Object_Light|Located_Indoors</t>
  </si>
  <si>
    <t>Lying_With_Movement*Posture_Video_Unavailable/Indecipherable*Relaxing_Passive*CP_Video_Unavailable/Indecipherable|Located_Indoors</t>
  </si>
  <si>
    <t>Sitting_With_Movement*In_Position_Sitting*Using_Computer/Screen|Working_Other*Browsing_Computer|Handwriting|Located_Indoors</t>
  </si>
  <si>
    <t>Sitting_With_Movement*In_Position_Sitting*Dressing/Undressing*Located_Indoors</t>
  </si>
  <si>
    <t>Sitting_With_Movement*In_Position_Sitting*Using_Computer/Screen*CP_Video_Unavailable/Indecipherable|Located_Indoors</t>
  </si>
  <si>
    <t>Puttering_Around*In_Position_Upright*Dressing/Undressing*Located_Indoors</t>
  </si>
  <si>
    <t>Lying_With_Movement*Lying_On_Back*Relaxing_Passive|Sleeping*Located_Indoors</t>
  </si>
  <si>
    <t>Puttering_Around*In_Position_Upright*Cooking/Prepping_Food*Holding_Solid_Food|Located_Indoors</t>
  </si>
  <si>
    <t>Sitting_With_Movement*In_Position_Sitting*Meeting_Social_Gathering_In_Person*In_Conversation|Located_Indoors|On_Phone_Call|Texting/Browsing_Phone</t>
  </si>
  <si>
    <t>Lying_With_Movement*Lying_On_Left_Side*HIGH_LEVEL_BEHAVIOR_Unlabeled*Holding_Other_Object_Light|Located_Indoors|Texting/Browsing_Phone</t>
  </si>
  <si>
    <t>Standing_With_Movement*In_Position_Upright*Doing_Common_Housework_Light*Located_Indoors</t>
  </si>
  <si>
    <t>Standing_With_Movement*In_Position_Upright*Working_Other*Located_Indoors</t>
  </si>
  <si>
    <t>Sitting_With_Movement*In_Position_Sitting*Relaxing_Passive*Located_Outdoors|Texting/Browsing_Phone</t>
  </si>
  <si>
    <t>Puttering_Around*In_Position_Upright*Doing_Common_Housework_Light|Meeting_Social_Gathering_In_Person*Holding_Other_Object_Light|Located_Indoors</t>
  </si>
  <si>
    <t>Standing_With_Movement*In_Position_Upright*In_Bathroom*Located_Indoors</t>
  </si>
  <si>
    <t>Sitting_With_Movement*In_Position_Sitting*Eating/Dining*Holding_Solid_Food|In_Conversation|Located_Indoors</t>
  </si>
  <si>
    <t>Standing_With_Movement*In_Position_Upright*In_Transit_Active*Located_Outdoors</t>
  </si>
  <si>
    <t>Standing_With_Movement*In_Position_Upright*Meeting_Social_Gathering_In_Person*Holding_Other_Object_Light|In_Conversation|Located_Indoors</t>
  </si>
  <si>
    <t>Puttering_Around*In_Position_Upright*Shopping_Non-Grocery*Carrying_Bag_On_Shoulder/Back_Light|In_Conversation|Located_Indoors</t>
  </si>
  <si>
    <t>Sitting_With_Movement*In_Position_Sitting*Meeting_Virtual|Watching_Lecture*Handwriting|Located_Indoors</t>
  </si>
  <si>
    <t>Standing_With_Movement*In_Position_Upright*Doing_Common_Housework_Light*Holding_Other_Object_Light|Located_Indoors</t>
  </si>
  <si>
    <t>Lying_With_Movement*Lying_On_Back*HLB_Video_Unavailable/Indecipherable*Located_Indoors</t>
  </si>
  <si>
    <t>Sitting_With_Movement*In_Position_Sitting*Meeting_Virtual*Located_Indoors</t>
  </si>
  <si>
    <t>Sitting_With_Movement*In_Position_Sitting*Eating/Dining|Meeting_Social_Gathering_In_Person|Watching_TV/Movies*Located_Indoors</t>
  </si>
  <si>
    <t>Puttering_Around*In_Position_Upright*Working_Other*Located_Indoors</t>
  </si>
  <si>
    <t>Standing_With_Movement*In_Position_Upright*Using_Computer/Screen*Located_Indoors|Texting/Browsing_Phone</t>
  </si>
  <si>
    <t>Puttering_Around*In_Position_Upright*Shopping_Non-Grocery*Holding_Other_Object_Light|Located_Indoors</t>
  </si>
  <si>
    <t>Sitting_With_Movement*In_Position_Sitting*Relaxing_Passive*Browsing_Computer</t>
  </si>
  <si>
    <t>Lying_Still*Lying_On_Right_Side*Watching_TV/Movies*Located_Indoors</t>
  </si>
  <si>
    <t>Puttering_Around*In_Position_Upright*Cleaning*Holding_Other_Object_Light|Located_Indoors</t>
  </si>
  <si>
    <t>Sitting_With_Movement*In_Position_Reclining/Slouching*Relaxing_Passive*Located_Indoors</t>
  </si>
  <si>
    <t>Puttering_Around*In_Position_Upright*HLB_Video_Unavailable/Indecipherable*Located_Indoors</t>
  </si>
  <si>
    <t>Sitting_With_Movement*In_Position_Reclining/Slouching*Watching_TV/Movies*Holding_Other_Object_Light|Located_Indoors</t>
  </si>
  <si>
    <t>Sitting_With_Movement*In_Position_Sitting*Eating/Dining|Meeting_Social_Gathering_In_Person*Holding_Other_Object_Light|Holding_Solid_Food|Located_Indoors|Texting/Browsing_Phone</t>
  </si>
  <si>
    <t>Folding_Clothes*In_Position_Upright*Doing_Laundry*Holding_Other_Object_Light|Located_Indoors</t>
  </si>
  <si>
    <t>Sitting_With_Movement*In_Position_Sitting*Eating/Dining*Holding_Drink|In_Conversation|Located_Indoors</t>
  </si>
  <si>
    <t>Standing_With_Movement*In_Position_Upright*Packing/Unpacking_Something*Holding_Other_Object_Light|Located_Indoors</t>
  </si>
  <si>
    <t>Lying_With_Movement*Lying_On_Back*HIGH_LEVEL_BEHAVIOR_Unlabeled*Located_Indoors|On_Video_Call/FaceTime|Texting/Browsing_Phone</t>
  </si>
  <si>
    <t>Sitting_With_Movement*In_Position_Sitting*Eating/Dining|Meeting_Social_Gathering_In_Person*Holding_Solid_Food|Located_Indoors</t>
  </si>
  <si>
    <t>Putting_Clothes_Away*In_Position_Upright*Doing_Laundry*Holding_Other_Object_Light|Located_Indoors</t>
  </si>
  <si>
    <t>Standing_With_Movement*In_Position_Upright*In_Transit_Active*Carrying_Bag_On_Shoulder/Back_Light|Located_Outdoors</t>
  </si>
  <si>
    <t>Standing_With_Movement*In_Position_Upright*Dressing/Undressing*Located_Indoors</t>
  </si>
  <si>
    <t>Sitting_With_Movement*In_Position_Reclining/Slouching*HIGH_LEVEL_BEHAVIOR_Unlabeled*Located_Indoors|On_Video_Call/FaceTime|Texting/Browsing_Phone</t>
  </si>
  <si>
    <t>Sitting_With_Movement*In_Position_Sitting*Eating/Dining|Using_Computer/Screen*Holding_Solid_Food|Located_Indoors</t>
  </si>
  <si>
    <t>Walking_Down_Stairs*In_Position_Upright*HIGH_LEVEL_BEHAVIOR_Unlabeled*Located_Indoors</t>
  </si>
  <si>
    <t>Walking*In_Position_Upright*In_Transit_Active|Meeting_Social_Gathering_In_Person*Located_Indoors</t>
  </si>
  <si>
    <t>Sitting_With_Movement*In_Position_Sitting*Playing_Videogame*Located_Indoors</t>
  </si>
  <si>
    <t>Puttering_Around*In_Position_Upright*Shopping_Grocery*Holding_Other_Object_Light|Located_Indoors</t>
  </si>
  <si>
    <t>Walking*In_Position_Upright*In_Transit_Active*In_Conversation|Located_Indoors</t>
  </si>
  <si>
    <t>Sitting_With_Movement*In_Position_Sitting*Using_Computer/Screen|Watching_TV/Movies*Located_Indoors|Texting/Browsing_Phone</t>
  </si>
  <si>
    <t>Sitting_With_Movement*In_Position_Sitting*Meeting_Virtual*Holding_Other_Object_Light|Located_Indoors</t>
  </si>
  <si>
    <t>Lying_With_Movement*Lying_On_Back*Using_Computer/Screen|Watching_TV/Movies*Holding_Other_Object_Light|Located_Indoors</t>
  </si>
  <si>
    <t>Sitting_Still*In_Position_Reclining/Slouching*HIGH_LEVEL_BEHAVIOR_Unlabeled*Located_Indoors</t>
  </si>
  <si>
    <t>Standing_With_Movement*In_Position_Upright*Grooming/Self_Care*Located_Indoors</t>
  </si>
  <si>
    <t>Puttering_Around*In_Position_Upright*Meeting_Social_Gathering_In_Person|Playing_Sports/Games*Holding_Other_Object_Light|Located_Outdoors</t>
  </si>
  <si>
    <t>Puttering_Around*In_Position_Upright*HLB_Other*Located_Indoors</t>
  </si>
  <si>
    <t>Lying_With_Movement*Lying_On_Back*Meeting_Social_Gathering_In_Person*Located_Indoors</t>
  </si>
  <si>
    <t>Sitting_With_Movement*In_Position_Sitting*In_Transit_Passive_Car*In_Conversation|Located_Outdoors</t>
  </si>
  <si>
    <t>Sitting_With_Movement*In_Position_Sitting*Watching_TV/Movies*Holding_Other_Object_Light|In_Conversation|Located_Indoors|Texting/Browsing_Phone</t>
  </si>
  <si>
    <t>Sitting_With_Movement*In_Position_Sitting*Relaxing_Passive*Holding_Book/Reader|Holding_Drink|Located_Indoors</t>
  </si>
  <si>
    <t>Puttering_Around*In_Position_Upright*Meeting_Social_Gathering_In_Person|Shopping_Non-Grocery*Holding_Other_Object_Light|Located_Indoors</t>
  </si>
  <si>
    <t>Sitting_With_Movement*In_Position_Sitting*Watching_TV/Movies*Holding_Drink|Located_Indoors</t>
  </si>
  <si>
    <t>Sitting_With_Movement*In_Position_Sitting*Relaxing_Passive*In_Conversation|Located_Indoors</t>
  </si>
  <si>
    <t>Sitting_With_Movement*In_Position_Sitting*Using_Computer/Screen|Watching_TV/Movies*In_Conversation|Located_Indoors</t>
  </si>
  <si>
    <t>Sitting_With_Movement*In_Position_Sitting*In_Transit_Driving_Car*Holding_Other_Object_Light|Located_Outdoors|Texting/Browsing_Phone</t>
  </si>
  <si>
    <t>Sitting_With_Movement*In_Position_Sitting*Eating/Dining|Meeting_Social_Gathering_In_Person*Holding_Drink|Holding_Solid_Food|Located_Indoors</t>
  </si>
  <si>
    <t>Puttering_Around*In_Position_Upright*Shopping_Grocery*Located_Indoors</t>
  </si>
  <si>
    <t>Sitting_With_Movement*In_Position_Sitting*Relaxing_Passive|Watching_TV/Movies*In_Conversation|Located_Indoors|On_Phone_Call</t>
  </si>
  <si>
    <t>Sitting_With_Movement*In_Position_Sitting*Meeting_Virtual|Using_Computer/Screen*In_Conversation|Located_Indoors</t>
  </si>
  <si>
    <t>Lying_Still*Posture_Video_Unavailable/Indecipherable*Sleeping*Located_Indoors</t>
  </si>
  <si>
    <t>Standing_With_Movement*In_Position_Upright*Dressing/Undressing*Holding_Other_Object_Light|Located_Indoors</t>
  </si>
  <si>
    <t>Sitting_With_Movement*In_Position_Sitting*Meeting_Social_Gathering_In_Person|Watching_TV/Movies*In_Conversation|Located_Indoors</t>
  </si>
  <si>
    <t>Standing_With_Movement*In_Position_Upright*Watching_TV/Movies*Located_Indoors</t>
  </si>
  <si>
    <t>Lying_With_Movement*Lying_On_Left_Side*Using_Computer/Screen|Watching_TV/Movies*Located_Indoors</t>
  </si>
  <si>
    <t>Standing_With_Movement*In_Position_Upright*Using_Computer/Screen*Browsing_Computer|Located_Indoors</t>
  </si>
  <si>
    <t>Lying_Still*Lying_On_Back*Relaxing_Passive*Located_Indoors|Texting/Browsing_Phone</t>
  </si>
  <si>
    <t>Sitting_With_Movement*In_Position_Sitting*Relaxing_Passive*Located_Indoors|On_Phone_Call</t>
  </si>
  <si>
    <t>Sitting_With_Movement*In_Position_Sitting*Meeting_Social_Gathering_In_Person*Handwriting|Holding_Other_Object_Light|Located_Indoors|Texting/Browsing_Phone</t>
  </si>
  <si>
    <t>Sitting_With_Movement*In_Position_Reclining/Slouching*HIGH_LEVEL_BEHAVIOR_Unlabeled*Located_Indoors</t>
  </si>
  <si>
    <t>Sitting_With_Movement*In_Position_Sitting*Using_Computer/Screen*Browsing_Computer|Legs_Crossed|Located_Indoors</t>
  </si>
  <si>
    <t>Sitting_With_Movement*In_Position_Sitting*Meeting_Social_Gathering_In_Person|Relaxing_Passive|Watching_TV/Movies*Located_Indoors</t>
  </si>
  <si>
    <t>Sitting_With_Movement*In_Position_Sitting*Eating/Dining|Relaxing_Passive*Holding_Other_Object_Light|Located_Indoors|Texting/Browsing_Phone</t>
  </si>
  <si>
    <t>Sitting_With_Movement*In_Position_Sitting*Meeting_Social_Gathering_In_Person|Watching_TV/Movies*CP_Video_Unavailable/Indecipherable|Located_Indoors</t>
  </si>
  <si>
    <t>Sitting_With_Movement*In_Position_Sitting*Using_Computer/Screen*Browsing_Computer|Located_Indoors|Texting/Browsing_Phone|Typing_Computer</t>
  </si>
  <si>
    <t>Sitting_Still*In_Position_Reclining/Slouching*Relaxing_Passive*Located_Indoors</t>
  </si>
  <si>
    <t>Sitting_With_Movement*In_Position_Sitting*Using_Computer/Screen*In_Conversation|Located_Indoors</t>
  </si>
  <si>
    <t>Lying_Still*Lying_On_Stomach*Sleeping*Located_Indoors</t>
  </si>
  <si>
    <t>Sitting_With_Movement*In_Position_Sitting*Eating/Dining|Meeting_Social_Gathering_In_Person*Holding_Solid_Food|In_Conversation|Located_Indoors</t>
  </si>
  <si>
    <t>Sitting_With_Movement*In_Position_Sitting*Meeting_Social_Gathering_In_Person*Holding_Drink|In_Conversation|Located_Indoors</t>
  </si>
  <si>
    <t>Sitting_With_Movement*In_Position_Reclining/Slouching*Using_Computer/Screen*Browsing_Computer|Holding_Other_Object_Light|Located_Indoors</t>
  </si>
  <si>
    <t>Puttering_Around*In_Position_Upright*Cleaning*Located_Indoors</t>
  </si>
  <si>
    <t>Sitting_With_Movement*In_Position_Sitting*Using_Computer/Screen*Holding_Other_Object_Light|Located_Indoors</t>
  </si>
  <si>
    <t>Sitting_With_Movement*In_Position_Sitting*Eating/Dining*Holding_Solid_Food|Located_Indoors|Texting/Browsing_Phone</t>
  </si>
  <si>
    <t>Sitting_With_Movement*In_Position_Sitting*Eating/Dining|Using_Computer/Screen*Browsing_Computer|Located_Indoors</t>
  </si>
  <si>
    <t>Sitting_With_Movement*In_Position_Sitting*HLB_Other|Relaxing_Passive*Located_Indoors</t>
  </si>
  <si>
    <t>Sitting_With_Movement*In_Position_Sitting*In_Transit_Driving_Car*In_Conversation|Located_Outdoors</t>
  </si>
  <si>
    <t>Puttering_Around*In_Position_Upright*Doing_Common_Housework_Light*Holding_Other_Object_Light|Located_Indoors</t>
  </si>
  <si>
    <t>Sitting_With_Movement*In_Position_Sitting*Using_Computer/Screen*In_Conversation|Located_Indoors|On_Video_Call/FaceTime</t>
  </si>
  <si>
    <t>Sitting_With_Movement*In_Position_Sitting*In_Transit_Passive_Train/Bus/Plane*Holding_Other_Object_Light|Located_Outdoors|Texting/Browsing_Phone</t>
  </si>
  <si>
    <t>Sitting_With_Movement*In_Position_Sitting*Using_Computer/Screen*Legs_Uncrossed|Located_Indoors</t>
  </si>
  <si>
    <t>Puttering_Around*In_Position_Upright*In_Transit_Active*Located_Indoors</t>
  </si>
  <si>
    <t>Sitting_With_Movement*In_Position_Sitting*HIGH_LEVEL_BEHAVIOR_Unlabeled*Browsing_Computer|Located_Indoors|Typing_Computer</t>
  </si>
  <si>
    <t>Walking*In_Position_Upright*In_Transit_Active|Meeting_Social_Gathering_In_Person*Located_Outdoors</t>
  </si>
  <si>
    <t>Sitting_With_Movement*In_Position_Reclining/Slouching*Relaxing_Passive|Using_Computer/Screen*Browsing_Computer|Located_Indoors</t>
  </si>
  <si>
    <t>Sitting_With_Movement*In_Position_Sitting*HIGH_LEVEL_BEHAVIOR_Unlabeled*Located_Indoors|On_Phone_Call|Texting/Browsing_Phone</t>
  </si>
  <si>
    <t>Sitting_With_Movement*In_Position_Sitting*Eating/Dining*Holding_Drink|Located_Indoors</t>
  </si>
  <si>
    <t>Lying_Still*Lying_On_Back*HIGH_LEVEL_BEHAVIOR_Unlabeled*Located_Indoors</t>
  </si>
  <si>
    <t>Walking*In_Position_Upright*In_Transit_Active*Carrying_Bag_On_Shoulder/Back_Light|Located_Outdoors|Texting/Browsing_Phone</t>
  </si>
  <si>
    <t>Sitting_With_Movement*In_Position_Sitting*HIGH_LEVEL_BEHAVIOR_Unlabeled*Handwriting|Located_Indoors|Texting/Browsing_Phone</t>
  </si>
  <si>
    <t>Lying_With_Movement*Lying_On_Left_Side*Relaxing_Passive*Located_Indoors</t>
  </si>
  <si>
    <t>Puttering_Around*In_Position_Upright*Cooking/Prepping_Food*Located_Indoors|Texting/Browsing_Phone</t>
  </si>
  <si>
    <t>Puttering_Around*In_Position_Upright*HIGH_LEVEL_BEHAVIOR_Unlabeled*In_Conversation|Located_Indoors</t>
  </si>
  <si>
    <t>Sitting_With_Movement*In_Position_Sitting*Eating/Dining|Watching_TV/Movies*Located_Indoors|Texting/Browsing_Phone</t>
  </si>
  <si>
    <t>Lying_With_Movement*Lying_On_Back*HIGH_LEVEL_BEHAVIOR_Unlabeled*Located_Indoors|On_Video_Call/FaceTime</t>
  </si>
  <si>
    <t>Sitting_With_Movement*In_Position_Sitting*Eating/Dining|Using_Computer/Screen|Watching_TV/Movies*Located_Indoors</t>
  </si>
  <si>
    <t>Sitting_With_Movement*In_Position_Sitting*In_Transit_Driving_Car|Meeting_Social_Gathering_In_Person*Located_Indoors</t>
  </si>
  <si>
    <t>Sitting_Still*In_Position_Sitting*HIGH_LEVEL_BEHAVIOR_Unlabeled*Located_Indoors</t>
  </si>
  <si>
    <t>Sitting_With_Movement*In_Position_Sitting*In_Transit_Passive_Car*Handwriting|Located_Outdoors|Texting/Browsing_Phone</t>
  </si>
  <si>
    <t>Sitting_Still*In_Position_Sitting*HIGH_LEVEL_BEHAVIOR_Unlabeled*Located_Indoors|Texting/Browsing_Phone</t>
  </si>
  <si>
    <t>Sitting_Still*In_Position_Sitting*Relaxing_Passive|Watching_TV/Movies*Located_Indoors|Texting/Browsing_Phone</t>
  </si>
  <si>
    <t>Puttering_Around*In_Position_Upright*HIGH_LEVEL_BEHAVIOR_Unlabeled*Located_Outdoors</t>
  </si>
  <si>
    <t>Sitting_With_Movement*In_Position_Sitting*Eating/Dining|Using_Computer/Screen|Watching_TV/Movies*Holding_Solid_Food|Located_Indoors</t>
  </si>
  <si>
    <t>Sitting_With_Movement*In_Position_Sitting*Relaxing_Passive*Holding_Book/Reader|Legs_Crossed|Located_Indoors</t>
  </si>
  <si>
    <t>Walking*In_Position_Upright*In_Transit_Active|Meeting_Social_Gathering_In_Person*In_Conversation|Located_Outdoors</t>
  </si>
  <si>
    <t>Lying_With_Movement*Lying_On_Back*Relaxing_Passive|Using_Computer/Screen|Watching_TV/Movies*Located_Indoors</t>
  </si>
  <si>
    <t>Lying_With_Movement*Lying_On_Back*Relaxing_Passive*Holding_Other_Object_Light|Located_Indoors|Texting/Browsing_Phone</t>
  </si>
  <si>
    <t>Standing_With_Movement*In_Position_Upright*HIGH_LEVEL_BEHAVIOR_Unlabeled*Holding_Other_Object_Light|Located_Indoors|Texting/Browsing_Phone</t>
  </si>
  <si>
    <t>Lying_With_Movement*Lying_On_Back*Relaxing_Passive|Watching_TV/Movies*Located_Indoors</t>
  </si>
  <si>
    <t>Sitting_With_Movement*In_Position_Sitting*Relaxing_Passive*Legs_Uncrossed|Located_Indoors|Texting/Browsing_Phone</t>
  </si>
  <si>
    <t>Standing_With_Movement*In_Position_Upright*Meeting_Social_Gathering_In_Person*In_Conversation|Located_Outdoors</t>
  </si>
  <si>
    <t>Sitting_With_Movement*In_Position_Sitting*HIGH_LEVEL_BEHAVIOR_Unlabeled*Browsing_Computer|Typing_Computer</t>
  </si>
  <si>
    <t>Walking*In_Position_Upright*Walking_Pet*Located_Outdoors</t>
  </si>
  <si>
    <t>Lying_With_Movement*Lying_On_Back*Relaxing_Passive|Watching_TV/Movies*Located_Indoors|Texting/Browsing_Phone</t>
  </si>
  <si>
    <t>Sitting_With_Movement*In_Position_Sitting*Eating/Dining|Meeting_Social_Gathering_In_Person*In_Conversation|Located_Outdoors</t>
  </si>
  <si>
    <t>Sitting_With_Movement*In_Position_Sitting*Meeting_Social_Gathering_In_Person|Using_Computer/Screen*Handwriting|In_Conversation|Located_Indoors</t>
  </si>
  <si>
    <t>Sitting_With_Movement*In_Position_Sitting*Playing_Videogame|Watching_TV/Movies*Holding_Other_Object_Light|Located_Indoors|Texting/Browsing_Phone</t>
  </si>
  <si>
    <t>Sitting_With_Movement*In_Position_Sitting*Relaxing_Passive*Holding_Book/Reader|Located_Indoors</t>
  </si>
  <si>
    <t>Lying_Still*Lying_On_Back*Watching_TV/Movies*Located_Indoors</t>
  </si>
  <si>
    <t>Sitting_With_Movement*In_Position_Sitting*HIGH_LEVEL_BEHAVIOR_Unlabeled*Holding_Other_Object_Light|In_Conversation|Located_Indoors|Texting/Browsing_Phone</t>
  </si>
  <si>
    <t>Sitting_With_Movement*In_Position_Sitting*Using_Computer/Screen|Working_Other*Browsing_Computer|Legs_Crossed|Located_Indoors</t>
  </si>
  <si>
    <t>Sitting_With_Movement*In_Position_Sitting*Using_Computer/Screen*Browsing_Computer|Handwriting|Located_Indoors</t>
  </si>
  <si>
    <t>Sitting_With_Movement*In_Position_Sitting*Using_Computer/Screen*Handwriting|Located_Indoors</t>
  </si>
  <si>
    <t>Sitting_With_Movement*In_Position_Sitting*Meeting_Virtual*In_Conversation|Located_Indoors</t>
  </si>
  <si>
    <t>Sitting_With_Movement*In_Position_Sitting*HIGH_LEVEL_BEHAVIOR_Unlabeled*Located_Outdoors|Texting/Browsing_Phone</t>
  </si>
  <si>
    <t>Standing_With_Movement*In_Position_Upright*Exercising_Gym_Other*In_Conversation|Located_Indoors</t>
  </si>
  <si>
    <t>Puttering_Around*In_Position_Upright*Cooking/Prepping_Food*In_Conversation|Located_Indoors</t>
  </si>
  <si>
    <t>Lying_With_Movement*Lying_On_Left_Side*Watching_TV/Movies*Located_Indoors</t>
  </si>
  <si>
    <t>Sitting_With_Movement*In_Position_Sitting*Eating/Dining|Meeting_Social_Gathering_In_Person*Holding_Other_Object_Light|In_Conversation|Located_Indoors</t>
  </si>
  <si>
    <t>Sitting_With_Movement*In_Position_Sitting*In_Transit_Passive_Train/Bus/Plane*Carrying_Bag_On_Shoulder/Back_Light|Located_Outdoors|Texting/Browsing_Phone</t>
  </si>
  <si>
    <t>Sitting_With_Movement*In_Position_Sitting*Eating/Dining|Watching_TV/Movies*Holding_Solid_Food|Located_Indoors</t>
  </si>
  <si>
    <t>Sitting_With_Movement*In_Position_Sitting*In_Transit_Driving_Car|Meeting_Social_Gathering_In_Person*In_Conversation|Located_Outdoors</t>
  </si>
  <si>
    <t>Sitting_With_Movement*In_Position_Sitting*Working_Other*Located_Indoors|Texting/Browsing_Phone</t>
  </si>
  <si>
    <t>Standing_With_Movement*In_Position_Upright*Meeting_Social_Gathering_In_Person*Located_Indoors</t>
  </si>
  <si>
    <t>Sitting_With_Movement*In_Position_Sitting*Meeting_Social_Gathering_In_Person|Watching_TV/Movies*Located_Indoors</t>
  </si>
  <si>
    <t>Walking*In_Position_Upright*In_Transit_Active*Located_Indoors|Texting/Browsing_Phone</t>
  </si>
  <si>
    <t>Sitting_With_Movement*In_Position_Sitting*Eating/Dining|Meeting_Social_Gathering_In_Person*In_Conversation|Located_Indoors|Texting/Browsing_Phone</t>
  </si>
  <si>
    <t>Sitting_With_Movement*In_Position_Sitting*Meeting_Social_Gathering_In_Person|Playing_Videogame*Holding_Other_Object_Light|In_Conversation|Located_Indoors</t>
  </si>
  <si>
    <t>Walking*In_Position_Upright*In_Transit_Active*Carrying_Bag_On_Shoulder/Back_Heavy|Located_Outdoors</t>
  </si>
  <si>
    <t>Sitting_With_Movement*In_Position_Sitting*Playing_Videogame*Holding_Other_Object_Light|Located_Indoors</t>
  </si>
  <si>
    <t>Sitting_With_Movement*In_Position_Sitting*Meeting_Social_Gathering_In_Person|Watching_TV/Movies*Located_Indoors|Texting/Browsing_Phone</t>
  </si>
  <si>
    <t>Sitting_With_Movement*In_Position_Sitting*Meeting_Virtual*In_Conversation|Located_Indoors|On_Video_Call/FaceTime</t>
  </si>
  <si>
    <t>Puttering_Around*In_Position_Upright*HIGH_LEVEL_BEHAVIOR_Unlabeled*Located_Indoors|Texting/Browsing_Phone</t>
  </si>
  <si>
    <t>Standing_With_Movement*In_Position_Upright*HIGH_LEVEL_BEHAVIOR_Unlabeled*Located_Outdoors</t>
  </si>
  <si>
    <t>Puttering_Around*In_Position_Upright*Cooking/Prepping_Food|Meeting_Social_Gathering_In_Person*In_Conversation|Located_Indoors</t>
  </si>
  <si>
    <t>Sitting_With_Movement*In_Position_Sitting*Using_Computer/Screen|Watching_TV/Movies*Holding_Other_Object_Light|Located_Indoors</t>
  </si>
  <si>
    <t>Sitting_With_Movement*In_Position_Sitting*Eating/Dining|Meeting_Social_Gathering_In_Person*In_Conversation|Located_Indoors</t>
  </si>
  <si>
    <t>Sitting_With_Movement*In_Position_Sitting*HLB_Other*Holding_Other_Object_Light|Located_Indoors</t>
  </si>
  <si>
    <t>Sitting_With_Movement*In_Position_Reclining/Slouching*Relaxing_Passive|Watching_TV/Movies*Located_Indoors|Texting/Browsing_Phone</t>
  </si>
  <si>
    <t>Sitting_With_Movement*In_Position_Sitting*HIGH_LEVEL_BEHAVIOR_Unlabeled*Holding_Other_Object_Light|In_Conversation|Located_Indoors</t>
  </si>
  <si>
    <t>Sitting_With_Movement*In_Position_Sitting*Eating/Dining|Relaxing_Passive|Watching_TV/Movies*Carrying_Bag_On_Shoulder/Back_Light|Holding_Drink|Holding_Solid_Food</t>
  </si>
  <si>
    <t>Lying_With_Movement*Lying_On_Right_Side*Watching_TV/Movies*Located_Indoors</t>
  </si>
  <si>
    <t>Sitting_With_Movement*In_Position_Sitting*Using_Computer/Screen*Browsing_Computer|Holding_Other_Object_Light|Located_Indoors</t>
  </si>
  <si>
    <t>Sitting_With_Movement*In_Position_Sitting*HLB_Other*In_Conversation|Located_Indoors</t>
  </si>
  <si>
    <t>Walking*In_Position_Upright*In_Transit_Active*Carrying_Bag_On_Shoulder/Back_Light|Holding_Other_Object_Light|Located_Outdoors</t>
  </si>
  <si>
    <t>Walking*In_Position_Upright*In_Transit_Active*Located_Outdoors|Texting/Browsing_Phone</t>
  </si>
  <si>
    <t>Sitting_With_Movement*In_Position_Sitting*In_Transit_Passive_Train/Bus/Plane*Carrying_Bag_On_Shoulder/Back_Light|Located_Outdoors</t>
  </si>
  <si>
    <t>Sitting_With_Movement*In_Position_Sitting*Meeting_Social_Gathering_In_Person*Holding_Other_Object_Light|In_Conversation|Located_Indoors</t>
  </si>
  <si>
    <t>Sitting_With_Movement*In_Position_Sitting*Eating/Dining*In_Conversation|Located_Indoors</t>
  </si>
  <si>
    <t>Walking*In_Position_Upright*HIGH_LEVEL_BEHAVIOR_Unlabeled*Located_Outdoors</t>
  </si>
  <si>
    <t>Lying_With_Movement*Lying_On_Back*Watching_TV/Movies*Located_Indoors|Texting/Browsing_Phone</t>
  </si>
  <si>
    <t>Lying_With_Movement*Lying_On_Left_Side*Relaxing_Passive*Located_Indoors|Texting/Browsing_Phone</t>
  </si>
  <si>
    <t>Sitting_With_Movement*In_Position_Reclining/Slouching*Using_Computer/Screen*Located_Indoors|Texting/Browsing_Phone</t>
  </si>
  <si>
    <t>Sitting_With_Movement*In_Position_Sitting*Eating/Dining*Holding_Other_Object_Light|In_Conversation|Located_Indoors</t>
  </si>
  <si>
    <t>Sitting_With_Movement*In_Position_Sitting*HLB_Video_Unavailable/Indecipherable*CP_Video_Unavailable/Indecipherable|Located_Indoors</t>
  </si>
  <si>
    <t>Sitting_With_Movement*In_Position_Sitting*Watching_TV/Movies*Holding_Other_Object_Light|Located_Indoors|Texting/Browsing_Phone</t>
  </si>
  <si>
    <t>Sitting_With_Movement*In_Position_Sitting*HIGH_LEVEL_BEHAVIOR_Unlabeled*Handwriting|Located_Indoors</t>
  </si>
  <si>
    <t>Puttering_Around*In_Position_Upright*Meeting_Social_Gathering_In_Person*Located_Indoors</t>
  </si>
  <si>
    <t>Walking*In_Position_Upright*In_Transit_Active*Carrying_Bag_On_Shoulder/Back_Light|Located_Indoors</t>
  </si>
  <si>
    <t>Sitting_With_Movement*In_Position_Sitting*Meeting_Social_Gathering_In_Person|Using_Computer/Screen*Browsing_Computer|In_Conversation|Located_Indoors|Typing_Computer</t>
  </si>
  <si>
    <t>Sitting_With_Movement*In_Position_Sitting*Meeting_Social_Gathering_In_Person|Using_Computer/Screen|Working_Other*Browsing_Computer|In_Conversation|Located_Indoors|Typing_Computer</t>
  </si>
  <si>
    <t>Sitting_With_Movement*In_Position_Sitting*Relaxing_Passive|Watching_TV/Movies*Browsing_Computer</t>
  </si>
  <si>
    <t>Sitting_With_Movement*In_Position_Sitting*Eating/Dining|Watching_TV/Movies*Holding_Other_Object_Light|Located_Indoors</t>
  </si>
  <si>
    <t>Sitting_With_Movement*In_Position_Sitting*Meeting_Social_Gathering_In_Person*Located_Indoors|Texting/Browsing_Phone</t>
  </si>
  <si>
    <t>Puttering_Around*In_Position_Upright*Meeting_Social_Gathering_In_Person*In_Conversation|Located_Indoors</t>
  </si>
  <si>
    <t>Sitting_With_Movement*In_Position_Sitting*Meeting_Virtual|Using_Computer/Screen*Browsing_Computer|Legs_Uncrossed|Located_Indoors</t>
  </si>
  <si>
    <t>Lying_With_Movement*Lying_On_Back*Using_Computer/Screen*Browsing_Computer|Located_Indoors</t>
  </si>
  <si>
    <t>Sitting_With_Movement*In_Position_Sitting*HIGH_LEVEL_BEHAVIOR_Unlabeled*Located_Indoors|On_Phone_Call</t>
  </si>
  <si>
    <t>Lying_With_Movement*Lying_On_Right_Side*Relaxing_Passive*Located_Indoors|Texting/Browsing_Phone</t>
  </si>
  <si>
    <t>Lying_With_Movement*Lying_On_Right_Side*Using_Computer/Screen|Watching_TV/Movies*Located_Indoors</t>
  </si>
  <si>
    <t>Walking*In_Position_Upright*HIGH_LEVEL_BEHAVIOR_Unlabeled*Holding_Other_Object_Light|Located_Indoors</t>
  </si>
  <si>
    <t>Sitting_With_Movement*In_Position_Sitting*In_Transit_Passive_Car|Meeting_Social_Gathering_In_Person*Located_Indoors</t>
  </si>
  <si>
    <t>Sitting_With_Movement*In_Position_Sitting*HLB_Other*Handwriting|Located_Indoors</t>
  </si>
  <si>
    <t>Sitting_With_Movement*In_Position_Sitting*Eating/Dining*In_Conversation|Located_Outdoors</t>
  </si>
  <si>
    <t>Walking*In_Position_Upright*In_Transit_Active*Holding_Other_Object_Light|Located_Indoors</t>
  </si>
  <si>
    <t>Sitting_With_Movement*In_Position_Reclining/Slouching*Relaxing_Passive|Watching_TV/Movies*Located_Indoors</t>
  </si>
  <si>
    <t>Sitting_With_Movement*In_Position_Sitting*HLB_Other*Located_Indoors</t>
  </si>
  <si>
    <t>Walking*In_Position_Upright*In_Transit_Active*In_Conversation|Located_Outdoors</t>
  </si>
  <si>
    <t>Sitting_With_Movement*In_Position_Sitting*Relaxing_Passive*Located_Indoors</t>
  </si>
  <si>
    <t>Sitting_With_Movement*In_Position_Sitting*Using_Computer/Screen*Browsing_Computer|In_Conversation|Located_Indoors|On_Video_Call/FaceTime</t>
  </si>
  <si>
    <t>Standing_With_Movement*In_Position_Upright*Doing_Dishes*Holding_Other_Object_Light|Located_Indoors</t>
  </si>
  <si>
    <t>Sitting_With_Movement*In_Position_Sitting*Meeting_Social_Gathering_In_Person*Holding_Other_Object_Light|Located_Indoors|Texting/Browsing_Phone</t>
  </si>
  <si>
    <t>Sitting_With_Movement*In_Position_Sitting*In_Transit_Passive_Train/Bus/Plane*Located_Outdoors|Texting/Browsing_Phone</t>
  </si>
  <si>
    <t>Puttering_Around*In_Position_Upright*Doing_Common_Housework*Holding_Other_Object_Light|Located_Indoors</t>
  </si>
  <si>
    <t>Sitting_With_Movement*In_Position_Sitting*HIGH_LEVEL_BEHAVIOR_Unlabeled*Handwriting|Holding_Other_Object_Light|Located_Indoors</t>
  </si>
  <si>
    <t>Sitting_With_Movement*In_Position_Sitting*Meeting_Social_Gathering_In_Person*In_Conversation|Located_Outdoors</t>
  </si>
  <si>
    <t>Sitting_With_Movement*In_Position_Sitting*HIGH_LEVEL_BEHAVIOR_Unlabeled*Located_Indoors|On_Video_Call/FaceTime</t>
  </si>
  <si>
    <t>Sitting_Still*In_Position_Sitting*Using_Computer/Screen*Browsing_Computer|Located_Indoors</t>
  </si>
  <si>
    <t>Sitting_With_Movement*In_Position_Sitting*In_Transit_Passive_Car*Located_Outdoors</t>
  </si>
  <si>
    <t>Standing_With_Movement*In_Position_Upright*Cooking/Prepping_Food*Located_Indoors</t>
  </si>
  <si>
    <t>Sitting_With_Movement*In_Position_Reclining/Slouching*HIGH_LEVEL_BEHAVIOR_Unlabeled*Located_Indoors|Texting/Browsing_Phone</t>
  </si>
  <si>
    <t>Sitting_With_Movement*In_Position_Sitting*Eating/Dining*Holding_Other_Object_Light|Located_Indoors|Texting/Browsing_Phone</t>
  </si>
  <si>
    <t>Sitting_With_Movement*In_Position_Sitting*Using_Computer/Screen|Working_Other*Browsing_Computer|Located_Indoors</t>
  </si>
  <si>
    <t>Lying_With_Movement*Lying_On_Back*HIGH_LEVEL_BEHAVIOR_Unlabeled*Holding_Other_Object_Light|Located_Indoors|Texting/Browsing_Phone</t>
  </si>
  <si>
    <t>Lying_With_Movement*Lying_On_Back*Using_Computer/Screen|Watching_TV/Movies*Located_Indoors</t>
  </si>
  <si>
    <t>Standing_With_Movement*In_Position_Upright*Doing_Dishes*Located_Indoors</t>
  </si>
  <si>
    <t>Lying_With_Movement*Lying_On_Right_Side*HIGH_LEVEL_BEHAVIOR_Unlabeled*Located_Indoors|Texting/Browsing_Phone</t>
  </si>
  <si>
    <t>Puttering_Around*In_Position_Upright*Doing_Common_Housework_Light*Located_Indoors</t>
  </si>
  <si>
    <t>Sitting_With_Movement*In_Position_Sitting*Meeting_Virtual|Using_Computer/Screen*Browsing_Computer|Located_Indoors</t>
  </si>
  <si>
    <t>Sitting_With_Movement*In_Position_Sitting*Using_Computer/Screen*Holding_Other_Object_Light|Located_Indoors|Texting/Browsing_Phone</t>
  </si>
  <si>
    <t>Sitting_With_Movement*In_Position_Sitting*In_Transit_Passive_Car*Located_Outdoors|Texting/Browsing_Phone</t>
  </si>
  <si>
    <t>Sitting_With_Movement*In_Position_Sitting*Playing_Videogame|Using_Computer/Screen*Located_Indoors</t>
  </si>
  <si>
    <t>Sitting_With_Movement*In_Position_Sitting*HLB_Other*Located_Indoors|Texting/Browsing_Phone</t>
  </si>
  <si>
    <t>Sitting_With_Movement*In_Position_Sitting*Using_Computer/Screen|Working_Other*Browsing_Computer|Handwriting|Holding_Other_Object_Light|Located_Indoors</t>
  </si>
  <si>
    <t>Lying_Still*Lying_On_Back*Relaxing_Passive*Located_Indoors</t>
  </si>
  <si>
    <t>Sitting_With_Movement*In_Position_Sitting*Meeting_Social_Gathering_In_Person*In_Conversation|Located_Indoors|Texting/Browsing_Phone</t>
  </si>
  <si>
    <t>Standing_With_Movement*In_Position_Upright*Meeting_Social_Gathering_In_Person*In_Conversation|Located_Indoors</t>
  </si>
  <si>
    <t>Sitting_With_Movement*In_Position_Sitting*Meeting_Formal_Gathering_In_Person*In_Conversation|Located_Indoors</t>
  </si>
  <si>
    <t>Sitting_With_Movement*In_Position_Reclining/Slouching*Watching_TV/Movies*Located_Indoors</t>
  </si>
  <si>
    <t>Sitting_With_Movement*In_Position_Reclining/Slouching*Using_Computer/Screen*Located_Indoors</t>
  </si>
  <si>
    <t>Lying_Still*Lying_On_Right_Side*Sleeping*Located_Indoors</t>
  </si>
  <si>
    <t>Sitting_With_Movement*In_Position_Sitting*Eating/Dining*Holding_Other_Object_Light|Located_Indoors</t>
  </si>
  <si>
    <t>Lying_With_Movement*Lying_On_Back*Watching_TV/Movies*Located_Indoors</t>
  </si>
  <si>
    <t>Standing_With_Movement*In_Position_Upright*HIGH_LEVEL_BEHAVIOR_Unlabeled*Holding_Other_Object_Light|Located_Indoors</t>
  </si>
  <si>
    <t>Sitting_With_Movement*In_Position_Sitting*Meeting_Virtual|Using_Computer/Screen*Browsing_Computer|Located_Indoors|On_Video_Call/FaceTime</t>
  </si>
  <si>
    <t>Sitting_Still*In_Position_Sitting*Relaxing_Passive*Located_Indoors</t>
  </si>
  <si>
    <t>Walking*In_Position_Upright*In_Transit_Active*Holding_Other_Object_Light|Located_Outdoors</t>
  </si>
  <si>
    <t>Sitting_With_Movement*In_Position_Sitting*HIGH_LEVEL_BEHAVIOR_Unlabeled*Holding_Book/Reader|Located_Indoors</t>
  </si>
  <si>
    <t>Sitting_With_Movement*In_Position_Sitting*Meeting_Social_Gathering_In_Person*Handwriting|Holding_Other_Object_Light|Located_Indoors</t>
  </si>
  <si>
    <t>Cycling_Active_Pedaling_Stationary_Bike*In_Position_Sitting*Exercising_Gym_Stationary_Bicycle*Located_Indoors</t>
  </si>
  <si>
    <t>Puttering_Around*In_Position_Upright*HIGH_LEVEL_BEHAVIOR_Unlabeled*Holding_Other_Object_Light|Located_Indoors</t>
  </si>
  <si>
    <t>Lying_With_Movement*Lying_On_Back*Sleeping*Located_Indoors</t>
  </si>
  <si>
    <t>Sitting_With_Movement*In_Position_Sitting*Playing_Videogame|Using_Computer/Screen*Located_Indoors|Typing_Computer</t>
  </si>
  <si>
    <t>Lying_With_Movement*Lying_On_Stomach*Using_Computer/Screen*Browsing_Computer|Located_Indoors</t>
  </si>
  <si>
    <t>Sitting_With_Movement*In_Position_Reclining/Slouching*Using_Computer/Screen|Watching_TV/Movies*Located_Indoors</t>
  </si>
  <si>
    <t>Sitting_With_Movement*In_Position_Sitting*Eating/Dining|Watching_TV/Movies*Located_Indoors</t>
  </si>
  <si>
    <t>Sitting_With_Movement*In_Position_Sitting*Using_Computer/Screen*Browsing_Computer|In_Conversation|Located_Indoors</t>
  </si>
  <si>
    <t>Sitting_With_Movement*In_Position_Sitting*Eating/Dining*Located_Indoors|Texting/Browsing_Phone</t>
  </si>
  <si>
    <t>Lying_Still*Lying_On_Left_Side*Sleeping*Located_Indoors</t>
  </si>
  <si>
    <t>Standing_With_Movement*In_Position_Upright*HIGH_LEVEL_BEHAVIOR_Unlabeled*Located_Indoors|Texting/Browsing_Phone</t>
  </si>
  <si>
    <t>Sitting_With_Movement*In_Position_Sitting*Relaxing_Passive|Watching_TV/Movies*Located_Indoors</t>
  </si>
  <si>
    <t>Sitting_With_Movement*In_Position_Sitting*Using_Computer/Screen*Browsing_Computer|Located_Indoors|Typing_Computer</t>
  </si>
  <si>
    <t>Standing_With_Movement*In_Position_Upright*HIGH_LEVEL_BEHAVIOR_Unlabeled*In_Conversation|Located_Indoors</t>
  </si>
  <si>
    <t>Sitting_With_Movement*In_Position_Sitting*Eating/Dining*Holding_Solid_Food|Located_Indoors</t>
  </si>
  <si>
    <t>Puttering_Around*In_Position_Upright*Doing_Common_Housework*Located_Indoors</t>
  </si>
  <si>
    <t>Sitting_With_Movement*In_Position_Sitting*Meeting_Virtual|Using_Computer/Screen*Located_Indoors</t>
  </si>
  <si>
    <t>Sitting_Still*In_Position_Sitting*Watching_TV/Movies*Located_Indoors</t>
  </si>
  <si>
    <t>Sitting_With_Movement*In_Position_Sitting*Watching_TV/Movies*Holding_Other_Object_Light|Located_Indoors</t>
  </si>
  <si>
    <t>Sitting_With_Movement*In_Position_Sitting*Using_Computer/Screen*Browsing_Computer|Legs_Uncrossed|Located_Indoors</t>
  </si>
  <si>
    <t>Sitting_With_Movement*In_Position_Sitting*Watching_TV/Movies*In_Conversation|Located_Indoors</t>
  </si>
  <si>
    <t>Sitting_With_Movement*In_Position_Sitting*Eating/Dining*Located_Indoors</t>
  </si>
  <si>
    <t>Sitting_With_Movement*In_Position_Reclining/Slouching*Using_Computer/Screen*Browsing_Computer|Located_Indoors</t>
  </si>
  <si>
    <t>Sitting_With_Movement*In_Position_Sitting*Meeting_Social_Gathering_In_Person*Located_Indoors</t>
  </si>
  <si>
    <t>Sitting_With_Movement*In_Position_Sitting*In_Transit_Driving_Car*Located_Outdoors|Texting/Browsing_Phone</t>
  </si>
  <si>
    <t>Sitting_With_Movement*In_Position_Sitting*Using_Computer/Screen*Browsing_Computer|Located_Indoors|Texting/Browsing_Phone</t>
  </si>
  <si>
    <t>Standing_With_Movement*In_Position_Upright*Cooking/Prepping_Food*Holding_Other_Object_Light|Located_Indoors</t>
  </si>
  <si>
    <t>Walking*In_Position_Upright*HIGH_LEVEL_BEHAVIOR_Unlabeled*Located_Indoors</t>
  </si>
  <si>
    <t>Sitting_With_Movement*In_Position_Sitting*In_Transit_Passive_Train/Bus/Plane*Located_Outdoors</t>
  </si>
  <si>
    <t>Lying_Still*Lying_On_Back*Sleeping*Located_Indoors</t>
  </si>
  <si>
    <t>Sitting_With_Movement*In_Position_Sitting*Relaxing_Passive*Holding_Other_Object_Light|Located_Indoors|Texting/Browsing_Phone</t>
  </si>
  <si>
    <t>Lying_With_Movement*Lying_On_Back*Relaxing_Passive*Located_Indoors</t>
  </si>
  <si>
    <t>Sitting_With_Movement*In_Position_Sitting*HIGH_LEVEL_BEHAVIOR_Unlabeled*Holding_Other_Object_Light|Located_Indoors</t>
  </si>
  <si>
    <t>Standing_With_Movement*In_Position_Upright*HIGH_LEVEL_BEHAVIOR_Unlabeled*Located_Indoors</t>
  </si>
  <si>
    <t>Lying_With_Movement*Lying_On_Back*HIGH_LEVEL_BEHAVIOR_Unlabeled*Located_Indoors</t>
  </si>
  <si>
    <t>Sitting_With_Movement*In_Position_Sitting*Relaxing_Passive*Located_Indoors|Texting/Browsing_Phone</t>
  </si>
  <si>
    <t>Lying_With_Movement*Lying_On_Back*HIGH_LEVEL_BEHAVIOR_Unlabeled*Located_Indoors|Texting/Browsing_Phone</t>
  </si>
  <si>
    <t>Walking*In_Position_Upright*In_Transit_Active*Located_Indoors</t>
  </si>
  <si>
    <t>Puttering_Around*In_Position_Upright*Cooking/Prepping_Food*Holding_Other_Object_Light|Located_Indoors</t>
  </si>
  <si>
    <t>Sitting_With_Movement*In_Position_Sitting*Watching_TV/Movies*Located_Indoors|Texting/Browsing_Phone</t>
  </si>
  <si>
    <t>Sitting_With_Movement*In_Position_Sitting*Using_Computer/Screen|Watching_TV/Movies*Located_Indoors</t>
  </si>
  <si>
    <t>Sitting_With_Movement*In_Position_Sitting*HLB_Video_Unavailable/Indecipherable*Located_Indoors</t>
  </si>
  <si>
    <t>Walking*In_Position_Upright*In_Transit_Active*Carrying_Bag_On_Shoulder/Back_Light|Located_Outdoors</t>
  </si>
  <si>
    <t>Sitting_With_Movement*In_Position_Sitting*Using_Computer/Screen*Located_Indoors|Texting/Browsing_Phone</t>
  </si>
  <si>
    <t>Sitting_With_Movement*In_Position_Sitting*Using_Computer/Screen*Located_Indoors|Typing_Computer</t>
  </si>
  <si>
    <t>Sitting_With_Movement*In_Position_Sitting*HIGH_LEVEL_BEHAVIOR_Unlabeled*Holding_Other_Object_Light|Located_Indoors|Texting/Browsing_Phone</t>
  </si>
  <si>
    <t>Lying_With_Movement*Lying_On_Back*Relaxing_Passive*Located_Indoors|Texting/Browsing_Phone</t>
  </si>
  <si>
    <t>Sitting_With_Movement*In_Position_Sitting*Meeting_Social_Gathering_In_Person*In_Conversation|Located_Indoors</t>
  </si>
  <si>
    <t>Puttering_Around*In_Position_Upright*Cooking/Prepping_Food*Located_Indoors</t>
  </si>
  <si>
    <t>Sitting_With_Movement*In_Position_Sitting*HIGH_LEVEL_BEHAVIOR_Unlabeled*In_Conversation|Located_Indoors</t>
  </si>
  <si>
    <t>Walking*In_Position_Upright*In_Transit_Active*Located_Outdoors</t>
  </si>
  <si>
    <t>Sitting_With_Movement*In_Position_Sitting*HIGH_LEVEL_BEHAVIOR_Unlabeled*Located_Indoors</t>
  </si>
  <si>
    <t>Puttering_Around*In_Position_Upright*HIGH_LEVEL_BEHAVIOR_Unlabeled*Located_Indoors</t>
  </si>
  <si>
    <t>Sitting_With_Movement*In_Position_Sitting*Using_Computer/Screen*Located_Indoors</t>
  </si>
  <si>
    <t>Sitting_With_Movement*In_Position_Sitting*In_Transit_Driving_Car*Located_Outdoors</t>
  </si>
  <si>
    <t>Sitting_With_Movement*In_Position_Sitting*Watching_TV/Movies*Located_Indoors</t>
  </si>
  <si>
    <t>Sitting_With_Movement*In_Position_Sitting*HIGH_LEVEL_BEHAVIOR_Unlabeled*Located_Indoors|Texting/Browsing_Phone</t>
  </si>
  <si>
    <t>Sitting_With_Movement*In_Position_Sitting*Using_Computer/Screen*Browsing_Computer|Located_Indoors</t>
  </si>
  <si>
    <t>Total_Time</t>
  </si>
  <si>
    <t>Dataset</t>
  </si>
  <si>
    <t>TOTAL_TIME</t>
  </si>
  <si>
    <t>AVG</t>
  </si>
  <si>
    <t>STD</t>
  </si>
  <si>
    <t>NO_PARTICIPANTS</t>
  </si>
  <si>
    <t>Standing, Grooming</t>
  </si>
  <si>
    <t>Getting (un)Dressed</t>
  </si>
  <si>
    <t>Household Chores</t>
  </si>
  <si>
    <t>Sitting, Drinking</t>
  </si>
  <si>
    <t>Standing, Talking</t>
  </si>
  <si>
    <t>Lying, Watching TV + Texting</t>
  </si>
  <si>
    <t>Sitting, Watching TV</t>
  </si>
  <si>
    <t>Sitting, On Phone</t>
  </si>
  <si>
    <t>Sitting, On Computer</t>
  </si>
  <si>
    <t>Driving</t>
  </si>
  <si>
    <t>Walking</t>
  </si>
  <si>
    <t>Cooking</t>
  </si>
  <si>
    <t>Lying, On Phone</t>
  </si>
  <si>
    <t xml:space="preserve">Walking, Carrying a Bag </t>
  </si>
  <si>
    <t>TOTAL_TIME_HR</t>
  </si>
  <si>
    <t>min</t>
  </si>
  <si>
    <t>max</t>
  </si>
  <si>
    <t>LABEL_PARSED</t>
  </si>
  <si>
    <t>LABEL_WHOLE</t>
  </si>
  <si>
    <t>TOTAL_TIME_MIN</t>
  </si>
  <si>
    <t>MIN</t>
  </si>
  <si>
    <t>MAX</t>
  </si>
  <si>
    <t>269.72 (209.58)</t>
  </si>
  <si>
    <t>125.77 (146.69)</t>
  </si>
  <si>
    <t>82.87 (73.47)</t>
  </si>
  <si>
    <t>222.60 (198.34)</t>
  </si>
  <si>
    <t>60.36 (46.68)</t>
  </si>
  <si>
    <t>56.22 (69.00)</t>
  </si>
  <si>
    <t>37.00 (38.11)</t>
  </si>
  <si>
    <t>47.62 (38.26)</t>
  </si>
  <si>
    <t>24.25 (17.54)</t>
  </si>
  <si>
    <t>10.48 (13.46)</t>
  </si>
  <si>
    <t>5.73 (11.71)</t>
  </si>
  <si>
    <t>5.39 (8.35)</t>
  </si>
  <si>
    <t>4.03 (4.59)</t>
  </si>
  <si>
    <t>3.87 (8.96)</t>
  </si>
  <si>
    <t>s</t>
  </si>
  <si>
    <t>TOTAL_TIME_min</t>
  </si>
  <si>
    <t>TOTAL_TIME_s</t>
  </si>
  <si>
    <t>Label (Parsed)</t>
  </si>
  <si>
    <t>Label (Raw)</t>
  </si>
  <si>
    <t>max_s</t>
  </si>
  <si>
    <t>AVG_s</t>
  </si>
  <si>
    <t>STD_s</t>
  </si>
  <si>
    <t>MAX_min</t>
  </si>
  <si>
    <t>MIN_min</t>
  </si>
  <si>
    <t>AVG_min</t>
  </si>
  <si>
    <t>STD_min</t>
  </si>
  <si>
    <t>TIME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</si>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</sst>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color rgb="FF000000"/>
      <name val="Aptos Narrow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33" borderId="0" xfId="0" applyFill="1"/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0" xfId="0" applyFont="1"/>
    <xf numFmtId="0" fontId="19" fillId="33" borderId="0" xfId="0" applyFont="1" applyFill="1"/>
    <xf numFmtId="0" fontId="0" fillId="0" borderId="12" xfId="0" applyBorder="1"/>
    <xf numFmtId="0" fontId="0" fillId="33" borderId="12" xfId="0" applyFill="1" applyBorder="1"/>
    <xf numFmtId="0" fontId="20" fillId="0" borderId="0" xfId="0" applyFont="1" applyAlignment="1">
      <alignment wrapText="1"/>
    </xf>
    <xf numFmtId="0" fontId="20" fillId="0" borderId="0" xfId="0" applyFont="1" applyAlignment="1">
      <alignment horizontal="center" vertical="top" wrapText="1"/>
    </xf>
    <xf numFmtId="0" fontId="20" fillId="33" borderId="0" xfId="0" applyFont="1" applyFill="1" applyAlignment="1">
      <alignment wrapText="1"/>
    </xf>
    <xf numFmtId="0" fontId="19" fillId="0" borderId="0" xfId="0" applyFont="1" applyAlignment="1">
      <alignment vertical="top"/>
    </xf>
    <xf numFmtId="0" fontId="2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19" fillId="0" borderId="0" xfId="0" applyFont="1" applyAlignment="1">
      <alignment horizontal="center" vertical="top"/>
    </xf>
    <xf numFmtId="0" fontId="19" fillId="33" borderId="0" xfId="0" applyFont="1" applyFill="1" applyAlignment="1">
      <alignment vertical="top"/>
    </xf>
    <xf numFmtId="0" fontId="0" fillId="0" borderId="0" xfId="0" applyAlignment="1">
      <alignment horizontal="center" vertical="top"/>
    </xf>
    <xf numFmtId="0" fontId="20" fillId="33" borderId="0" xfId="0" applyFont="1" applyFill="1" applyAlignment="1">
      <alignment vertical="top" wrapText="1"/>
    </xf>
    <xf numFmtId="0" fontId="0" fillId="33" borderId="0" xfId="0" applyFill="1" applyAlignment="1">
      <alignment vertical="top"/>
    </xf>
    <xf numFmtId="0" fontId="19" fillId="0" borderId="0" xfId="0" applyFont="1" applyAlignment="1">
      <alignment vertical="top" wrapText="1"/>
    </xf>
    <xf numFmtId="0" fontId="19" fillId="0" borderId="12" xfId="0" applyFont="1" applyBorder="1" applyAlignment="1">
      <alignment vertical="top"/>
    </xf>
    <xf numFmtId="0" fontId="0" fillId="0" borderId="12" xfId="0" applyBorder="1" applyAlignment="1">
      <alignment horizontal="center" vertical="top"/>
    </xf>
    <xf numFmtId="0" fontId="19" fillId="0" borderId="13" xfId="0" applyFont="1" applyBorder="1" applyAlignment="1">
      <alignment horizontal="center" vertical="top"/>
    </xf>
    <xf numFmtId="0" fontId="20" fillId="0" borderId="13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16" fillId="0" borderId="15" xfId="0" applyFont="1" applyBorder="1"/>
    <xf numFmtId="0" fontId="16" fillId="0" borderId="16" xfId="0" applyFont="1" applyBorder="1"/>
    <xf numFmtId="0" fontId="16" fillId="0" borderId="12" xfId="0" applyFont="1" applyBorder="1"/>
    <xf numFmtId="0" fontId="0" fillId="0" borderId="16" xfId="0" applyBorder="1"/>
    <xf numFmtId="0" fontId="0" fillId="0" borderId="15" xfId="0" applyBorder="1"/>
    <xf numFmtId="0" fontId="20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  <dxf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4C113-7DF0-0F45-90B2-7A4EF453776C}" name="Table1" displayName="Table1" ref="A1:M15" totalsRowShown="0" headerRowDxfId="15" dataDxfId="14" tableBorderDxfId="13">
  <autoFilter ref="A1:M15" xr:uid="{27C4C113-7DF0-0F45-90B2-7A4EF453776C}"/>
  <tableColumns count="13">
    <tableColumn id="1" xr3:uid="{7D2A58B0-2E47-2A49-8AF5-8303003A9677}" name="Label (Parsed)" dataDxfId="12"/>
    <tableColumn id="2" xr3:uid="{2389EEA7-32A2-2B4E-8442-B105A645FC8C}" name="Label (Raw)" dataDxfId="11"/>
    <tableColumn id="3" xr3:uid="{81AA7A3C-9167-5149-97DA-CF419C3C75B1}" name="TOTAL_TIME_s" dataDxfId="10"/>
    <tableColumn id="4" xr3:uid="{9145ACC0-864F-944B-A30F-36910BDE0418}" name="min" dataDxfId="9"/>
    <tableColumn id="5" xr3:uid="{E15F6BB2-132A-B245-982A-7BD004413571}" name="max_s" dataDxfId="8"/>
    <tableColumn id="6" xr3:uid="{CF7A2605-8BFA-0442-9B0F-58008C097C3E}" name="AVG_s" dataDxfId="7"/>
    <tableColumn id="7" xr3:uid="{8FFA7FAC-D7A8-E947-ABB6-42C33CD13414}" name="STD_s" dataDxfId="6"/>
    <tableColumn id="8" xr3:uid="{701007FB-BBA7-7B48-80F0-85620A1956C8}" name="NO_PARTICIPANTS" dataDxfId="5"/>
    <tableColumn id="9" xr3:uid="{59AE9D41-469A-1D4D-9EB2-0BFB3569BC0F}" name="TOTAL_TIME_min" dataDxfId="4">
      <calculatedColumnFormula>ROUND(C2/60, 2)</calculatedColumnFormula>
    </tableColumn>
    <tableColumn id="10" xr3:uid="{2DD76429-8ECA-3549-ADAF-EAC587549264}" name="MIN_min" dataDxfId="3">
      <calculatedColumnFormula>ROUND(D2/60, 2)</calculatedColumnFormula>
    </tableColumn>
    <tableColumn id="11" xr3:uid="{5B65E162-5BF4-3D4E-A091-A12BF00008DE}" name="MAX_min" dataDxfId="2">
      <calculatedColumnFormula>ROUND(E2/60, 2)</calculatedColumnFormula>
    </tableColumn>
    <tableColumn id="12" xr3:uid="{52707775-D2C0-6045-9A95-1560691C7CF4}" name="AVG_min" dataDxfId="1">
      <calculatedColumnFormula>ROUND(F2/60, 2)</calculatedColumnFormula>
    </tableColumn>
    <tableColumn id="13" xr3:uid="{1E288200-0471-6B4C-9B88-BD1EAF575167}" name="STD_min" dataDxfId="0">
      <calculatedColumnFormula>ROUND(G2/60, 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54FF-5A1F-774F-878C-03E014A81BFC}">
  <dimension ref="A1:GSR27"/>
  <sheetViews>
    <sheetView zoomScale="158" workbookViewId="0">
      <selection activeCell="GSS28" sqref="GSS28"/>
    </sheetView>
  </sheetViews>
  <sheetFormatPr baseColWidth="10" defaultColWidth="11" defaultRowHeight="15.75" customHeight="1" x14ac:dyDescent="0.2"/>
  <cols>
    <col min="1" max="1" width="7.83203125" style="7" customWidth="1"/>
    <col min="4991" max="4991" width="10.83203125"/>
    <col min="5034" max="5034" width="10.83203125"/>
    <col min="5043" max="5043" width="10.83203125"/>
    <col min="5070" max="5070" width="10.83203125"/>
  </cols>
  <sheetData>
    <row r="1" spans="1:5244" s="27" customFormat="1" x14ac:dyDescent="0.2">
      <c r="A1" s="28" t="s">
        <v>5242</v>
      </c>
      <c r="B1" s="27" t="s">
        <v>0</v>
      </c>
      <c r="C1" s="27" t="s">
        <v>1</v>
      </c>
      <c r="D1" s="27" t="s">
        <v>2</v>
      </c>
      <c r="E1" s="27" t="s">
        <v>3</v>
      </c>
      <c r="F1" s="27" t="s">
        <v>4</v>
      </c>
      <c r="G1" s="27" t="s">
        <v>5</v>
      </c>
      <c r="H1" s="27" t="s">
        <v>6</v>
      </c>
      <c r="I1" s="27" t="s">
        <v>7</v>
      </c>
      <c r="J1" s="27" t="s">
        <v>8</v>
      </c>
      <c r="K1" s="27" t="s">
        <v>9</v>
      </c>
      <c r="L1" s="27" t="s">
        <v>10</v>
      </c>
      <c r="M1" s="27" t="s">
        <v>11</v>
      </c>
      <c r="N1" s="27" t="s">
        <v>12</v>
      </c>
      <c r="O1" s="27" t="s">
        <v>13</v>
      </c>
      <c r="P1" s="27" t="s">
        <v>14</v>
      </c>
      <c r="Q1" s="27" t="s">
        <v>15</v>
      </c>
      <c r="R1" s="27" t="s">
        <v>16</v>
      </c>
      <c r="S1" s="27" t="s">
        <v>17</v>
      </c>
      <c r="T1" s="27" t="s">
        <v>18</v>
      </c>
      <c r="U1" s="27" t="s">
        <v>19</v>
      </c>
      <c r="V1" s="27" t="s">
        <v>20</v>
      </c>
      <c r="W1" s="27" t="s">
        <v>21</v>
      </c>
      <c r="X1" s="27" t="s">
        <v>22</v>
      </c>
      <c r="Y1" s="27" t="s">
        <v>23</v>
      </c>
      <c r="Z1" s="27" t="s">
        <v>24</v>
      </c>
      <c r="AA1" s="27" t="s">
        <v>25</v>
      </c>
      <c r="AB1" s="27" t="s">
        <v>26</v>
      </c>
      <c r="AC1" s="27" t="s">
        <v>27</v>
      </c>
      <c r="AD1" s="27" t="s">
        <v>28</v>
      </c>
      <c r="AE1" s="27" t="s">
        <v>29</v>
      </c>
      <c r="AF1" s="27" t="s">
        <v>30</v>
      </c>
      <c r="AG1" s="27" t="s">
        <v>31</v>
      </c>
      <c r="AH1" s="27" t="s">
        <v>32</v>
      </c>
      <c r="AI1" s="27" t="s">
        <v>33</v>
      </c>
      <c r="AJ1" s="27" t="s">
        <v>34</v>
      </c>
      <c r="AK1" s="27" t="s">
        <v>35</v>
      </c>
      <c r="AL1" s="27" t="s">
        <v>36</v>
      </c>
      <c r="AM1" s="27" t="s">
        <v>37</v>
      </c>
      <c r="AN1" s="27" t="s">
        <v>38</v>
      </c>
      <c r="AO1" s="27" t="s">
        <v>39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  <c r="BC1" s="27" t="s">
        <v>53</v>
      </c>
      <c r="BD1" s="27" t="s">
        <v>54</v>
      </c>
      <c r="BE1" s="27" t="s">
        <v>55</v>
      </c>
      <c r="BF1" s="27" t="s">
        <v>56</v>
      </c>
      <c r="BG1" s="27" t="s">
        <v>57</v>
      </c>
      <c r="BH1" s="27" t="s">
        <v>58</v>
      </c>
      <c r="BI1" s="27" t="s">
        <v>59</v>
      </c>
      <c r="BJ1" s="27" t="s">
        <v>60</v>
      </c>
      <c r="BK1" s="27" t="s">
        <v>61</v>
      </c>
      <c r="BL1" s="27" t="s">
        <v>62</v>
      </c>
      <c r="BM1" s="27" t="s">
        <v>63</v>
      </c>
      <c r="BN1" s="27" t="s">
        <v>64</v>
      </c>
      <c r="BO1" s="27" t="s">
        <v>65</v>
      </c>
      <c r="BP1" s="27" t="s">
        <v>66</v>
      </c>
      <c r="BQ1" s="27" t="s">
        <v>67</v>
      </c>
      <c r="BR1" s="27" t="s">
        <v>68</v>
      </c>
      <c r="BS1" s="27" t="s">
        <v>69</v>
      </c>
      <c r="BT1" s="27" t="s">
        <v>70</v>
      </c>
      <c r="BU1" s="27" t="s">
        <v>71</v>
      </c>
      <c r="BV1" s="27" t="s">
        <v>72</v>
      </c>
      <c r="BW1" s="27" t="s">
        <v>73</v>
      </c>
      <c r="BX1" s="27" t="s">
        <v>74</v>
      </c>
      <c r="BY1" s="27" t="s">
        <v>75</v>
      </c>
      <c r="BZ1" s="27" t="s">
        <v>76</v>
      </c>
      <c r="CA1" s="27" t="s">
        <v>77</v>
      </c>
      <c r="CB1" s="27" t="s">
        <v>78</v>
      </c>
      <c r="CC1" s="27" t="s">
        <v>79</v>
      </c>
      <c r="CD1" s="27" t="s">
        <v>80</v>
      </c>
      <c r="CE1" s="27" t="s">
        <v>81</v>
      </c>
      <c r="CF1" s="27" t="s">
        <v>82</v>
      </c>
      <c r="CG1" s="27" t="s">
        <v>83</v>
      </c>
      <c r="CH1" s="27" t="s">
        <v>84</v>
      </c>
      <c r="CI1" s="27" t="s">
        <v>85</v>
      </c>
      <c r="CJ1" s="27" t="s">
        <v>86</v>
      </c>
      <c r="CK1" s="27" t="s">
        <v>87</v>
      </c>
      <c r="CL1" s="27" t="s">
        <v>88</v>
      </c>
      <c r="CM1" s="27" t="s">
        <v>89</v>
      </c>
      <c r="CN1" s="27" t="s">
        <v>90</v>
      </c>
      <c r="CO1" s="27" t="s">
        <v>91</v>
      </c>
      <c r="CP1" s="27" t="s">
        <v>92</v>
      </c>
      <c r="CQ1" s="27" t="s">
        <v>93</v>
      </c>
      <c r="CR1" s="27" t="s">
        <v>94</v>
      </c>
      <c r="CS1" s="27" t="s">
        <v>95</v>
      </c>
      <c r="CT1" s="27" t="s">
        <v>96</v>
      </c>
      <c r="CU1" s="27" t="s">
        <v>97</v>
      </c>
      <c r="CV1" s="27" t="s">
        <v>98</v>
      </c>
      <c r="CW1" s="27" t="s">
        <v>99</v>
      </c>
      <c r="CX1" s="27" t="s">
        <v>100</v>
      </c>
      <c r="CY1" s="27" t="s">
        <v>101</v>
      </c>
      <c r="CZ1" s="27" t="s">
        <v>102</v>
      </c>
      <c r="DA1" s="27" t="s">
        <v>103</v>
      </c>
      <c r="DB1" s="27" t="s">
        <v>104</v>
      </c>
      <c r="DC1" s="27" t="s">
        <v>105</v>
      </c>
      <c r="DD1" s="27" t="s">
        <v>106</v>
      </c>
      <c r="DE1" s="27" t="s">
        <v>107</v>
      </c>
      <c r="DF1" s="27" t="s">
        <v>108</v>
      </c>
      <c r="DG1" s="27" t="s">
        <v>109</v>
      </c>
      <c r="DH1" s="27" t="s">
        <v>110</v>
      </c>
      <c r="DI1" s="27" t="s">
        <v>111</v>
      </c>
      <c r="DJ1" s="27" t="s">
        <v>112</v>
      </c>
      <c r="DK1" s="27" t="s">
        <v>113</v>
      </c>
      <c r="DL1" s="27" t="s">
        <v>114</v>
      </c>
      <c r="DM1" s="27" t="s">
        <v>115</v>
      </c>
      <c r="DN1" s="27" t="s">
        <v>116</v>
      </c>
      <c r="DO1" s="27" t="s">
        <v>117</v>
      </c>
      <c r="DP1" s="27" t="s">
        <v>118</v>
      </c>
      <c r="DQ1" s="27" t="s">
        <v>119</v>
      </c>
      <c r="DR1" s="27" t="s">
        <v>120</v>
      </c>
      <c r="DS1" s="27" t="s">
        <v>121</v>
      </c>
      <c r="DT1" s="27" t="s">
        <v>122</v>
      </c>
      <c r="DU1" s="27" t="s">
        <v>123</v>
      </c>
      <c r="DV1" s="27" t="s">
        <v>124</v>
      </c>
      <c r="DW1" s="27" t="s">
        <v>125</v>
      </c>
      <c r="DX1" s="27" t="s">
        <v>126</v>
      </c>
      <c r="DY1" s="27" t="s">
        <v>127</v>
      </c>
      <c r="DZ1" s="27" t="s">
        <v>128</v>
      </c>
      <c r="EA1" s="27" t="s">
        <v>129</v>
      </c>
      <c r="EB1" s="27" t="s">
        <v>130</v>
      </c>
      <c r="EC1" s="27" t="s">
        <v>131</v>
      </c>
      <c r="ED1" s="27" t="s">
        <v>132</v>
      </c>
      <c r="EE1" s="27" t="s">
        <v>133</v>
      </c>
      <c r="EF1" s="27" t="s">
        <v>134</v>
      </c>
      <c r="EG1" s="27" t="s">
        <v>135</v>
      </c>
      <c r="EH1" s="27" t="s">
        <v>136</v>
      </c>
      <c r="EI1" s="27" t="s">
        <v>137</v>
      </c>
      <c r="EJ1" s="27" t="s">
        <v>138</v>
      </c>
      <c r="EK1" s="27" t="s">
        <v>139</v>
      </c>
      <c r="EL1" s="27" t="s">
        <v>140</v>
      </c>
      <c r="EM1" s="27" t="s">
        <v>141</v>
      </c>
      <c r="EN1" s="27" t="s">
        <v>142</v>
      </c>
      <c r="EO1" s="27" t="s">
        <v>143</v>
      </c>
      <c r="EP1" s="27" t="s">
        <v>144</v>
      </c>
      <c r="EQ1" s="27" t="s">
        <v>145</v>
      </c>
      <c r="ER1" s="27" t="s">
        <v>146</v>
      </c>
      <c r="ES1" s="27" t="s">
        <v>147</v>
      </c>
      <c r="ET1" s="27" t="s">
        <v>148</v>
      </c>
      <c r="EU1" s="27" t="s">
        <v>149</v>
      </c>
      <c r="EV1" s="27" t="s">
        <v>150</v>
      </c>
      <c r="EW1" s="27" t="s">
        <v>151</v>
      </c>
      <c r="EX1" s="27" t="s">
        <v>152</v>
      </c>
      <c r="EY1" s="27" t="s">
        <v>153</v>
      </c>
      <c r="EZ1" s="27" t="s">
        <v>154</v>
      </c>
      <c r="FA1" s="27" t="s">
        <v>155</v>
      </c>
      <c r="FB1" s="27" t="s">
        <v>156</v>
      </c>
      <c r="FC1" s="27" t="s">
        <v>157</v>
      </c>
      <c r="FD1" s="27" t="s">
        <v>158</v>
      </c>
      <c r="FE1" s="27" t="s">
        <v>159</v>
      </c>
      <c r="FF1" s="27" t="s">
        <v>160</v>
      </c>
      <c r="FG1" s="27" t="s">
        <v>161</v>
      </c>
      <c r="FH1" s="27" t="s">
        <v>162</v>
      </c>
      <c r="FI1" s="27" t="s">
        <v>163</v>
      </c>
      <c r="FJ1" s="27" t="s">
        <v>164</v>
      </c>
      <c r="FK1" s="27" t="s">
        <v>165</v>
      </c>
      <c r="FL1" s="27" t="s">
        <v>166</v>
      </c>
      <c r="FM1" s="27" t="s">
        <v>167</v>
      </c>
      <c r="FN1" s="27" t="s">
        <v>168</v>
      </c>
      <c r="FO1" s="27" t="s">
        <v>169</v>
      </c>
      <c r="FP1" s="27" t="s">
        <v>170</v>
      </c>
      <c r="FQ1" s="27" t="s">
        <v>171</v>
      </c>
      <c r="FR1" s="27" t="s">
        <v>172</v>
      </c>
      <c r="FS1" s="27" t="s">
        <v>173</v>
      </c>
      <c r="FT1" s="27" t="s">
        <v>174</v>
      </c>
      <c r="FU1" s="27" t="s">
        <v>175</v>
      </c>
      <c r="FV1" s="27" t="s">
        <v>176</v>
      </c>
      <c r="FW1" s="27" t="s">
        <v>177</v>
      </c>
      <c r="FX1" s="27" t="s">
        <v>178</v>
      </c>
      <c r="FY1" s="27" t="s">
        <v>179</v>
      </c>
      <c r="FZ1" s="27" t="s">
        <v>180</v>
      </c>
      <c r="GA1" s="27" t="s">
        <v>181</v>
      </c>
      <c r="GB1" s="27" t="s">
        <v>182</v>
      </c>
      <c r="GC1" s="27" t="s">
        <v>183</v>
      </c>
      <c r="GD1" s="27" t="s">
        <v>184</v>
      </c>
      <c r="GE1" s="27" t="s">
        <v>185</v>
      </c>
      <c r="GF1" s="27" t="s">
        <v>186</v>
      </c>
      <c r="GG1" s="27" t="s">
        <v>187</v>
      </c>
      <c r="GH1" s="27" t="s">
        <v>188</v>
      </c>
      <c r="GI1" s="27" t="s">
        <v>189</v>
      </c>
      <c r="GJ1" s="27" t="s">
        <v>190</v>
      </c>
      <c r="GK1" s="27" t="s">
        <v>191</v>
      </c>
      <c r="GL1" s="27" t="s">
        <v>192</v>
      </c>
      <c r="GM1" s="27" t="s">
        <v>193</v>
      </c>
      <c r="GN1" s="27" t="s">
        <v>194</v>
      </c>
      <c r="GO1" s="27" t="s">
        <v>195</v>
      </c>
      <c r="GP1" s="27" t="s">
        <v>196</v>
      </c>
      <c r="GQ1" s="27" t="s">
        <v>197</v>
      </c>
      <c r="GR1" s="27" t="s">
        <v>198</v>
      </c>
      <c r="GS1" s="27" t="s">
        <v>199</v>
      </c>
      <c r="GT1" s="27" t="s">
        <v>200</v>
      </c>
      <c r="GU1" s="27" t="s">
        <v>201</v>
      </c>
      <c r="GV1" s="27" t="s">
        <v>202</v>
      </c>
      <c r="GW1" s="27" t="s">
        <v>203</v>
      </c>
      <c r="GX1" s="27" t="s">
        <v>204</v>
      </c>
      <c r="GY1" s="27" t="s">
        <v>205</v>
      </c>
      <c r="GZ1" s="27" t="s">
        <v>206</v>
      </c>
      <c r="HA1" s="27" t="s">
        <v>207</v>
      </c>
      <c r="HB1" s="27" t="s">
        <v>208</v>
      </c>
      <c r="HC1" s="27" t="s">
        <v>209</v>
      </c>
      <c r="HD1" s="27" t="s">
        <v>210</v>
      </c>
      <c r="HE1" s="27" t="s">
        <v>211</v>
      </c>
      <c r="HF1" s="27" t="s">
        <v>212</v>
      </c>
      <c r="HG1" s="27" t="s">
        <v>213</v>
      </c>
      <c r="HH1" s="27" t="s">
        <v>214</v>
      </c>
      <c r="HI1" s="27" t="s">
        <v>215</v>
      </c>
      <c r="HJ1" s="27" t="s">
        <v>216</v>
      </c>
      <c r="HK1" s="27" t="s">
        <v>217</v>
      </c>
      <c r="HL1" s="27" t="s">
        <v>218</v>
      </c>
      <c r="HM1" s="27" t="s">
        <v>219</v>
      </c>
      <c r="HN1" s="27" t="s">
        <v>220</v>
      </c>
      <c r="HO1" s="27" t="s">
        <v>221</v>
      </c>
      <c r="HP1" s="27" t="s">
        <v>222</v>
      </c>
      <c r="HQ1" s="27" t="s">
        <v>223</v>
      </c>
      <c r="HR1" s="27" t="s">
        <v>224</v>
      </c>
      <c r="HS1" s="27" t="s">
        <v>225</v>
      </c>
      <c r="HT1" s="27" t="s">
        <v>226</v>
      </c>
      <c r="HU1" s="27" t="s">
        <v>227</v>
      </c>
      <c r="HV1" s="27" t="s">
        <v>228</v>
      </c>
      <c r="HW1" s="27" t="s">
        <v>229</v>
      </c>
      <c r="HX1" s="27" t="s">
        <v>230</v>
      </c>
      <c r="HY1" s="27" t="s">
        <v>231</v>
      </c>
      <c r="HZ1" s="27" t="s">
        <v>232</v>
      </c>
      <c r="IA1" s="27" t="s">
        <v>233</v>
      </c>
      <c r="IB1" s="27" t="s">
        <v>234</v>
      </c>
      <c r="IC1" s="27" t="s">
        <v>235</v>
      </c>
      <c r="ID1" s="27" t="s">
        <v>236</v>
      </c>
      <c r="IE1" s="27" t="s">
        <v>237</v>
      </c>
      <c r="IF1" s="27" t="s">
        <v>238</v>
      </c>
      <c r="IG1" s="27" t="s">
        <v>239</v>
      </c>
      <c r="IH1" s="27" t="s">
        <v>240</v>
      </c>
      <c r="II1" s="27" t="s">
        <v>241</v>
      </c>
      <c r="IJ1" s="27" t="s">
        <v>242</v>
      </c>
      <c r="IK1" s="27" t="s">
        <v>243</v>
      </c>
      <c r="IL1" s="27" t="s">
        <v>244</v>
      </c>
      <c r="IM1" s="27" t="s">
        <v>245</v>
      </c>
      <c r="IN1" s="27" t="s">
        <v>246</v>
      </c>
      <c r="IO1" s="27" t="s">
        <v>247</v>
      </c>
      <c r="IP1" s="27" t="s">
        <v>248</v>
      </c>
      <c r="IQ1" s="27" t="s">
        <v>249</v>
      </c>
      <c r="IR1" s="27" t="s">
        <v>250</v>
      </c>
      <c r="IS1" s="27" t="s">
        <v>251</v>
      </c>
      <c r="IT1" s="27" t="s">
        <v>252</v>
      </c>
      <c r="IU1" s="27" t="s">
        <v>253</v>
      </c>
      <c r="IV1" s="27" t="s">
        <v>254</v>
      </c>
      <c r="IW1" s="27" t="s">
        <v>255</v>
      </c>
      <c r="IX1" s="27" t="s">
        <v>256</v>
      </c>
      <c r="IY1" s="27" t="s">
        <v>257</v>
      </c>
      <c r="IZ1" s="27" t="s">
        <v>258</v>
      </c>
      <c r="JA1" s="27" t="s">
        <v>259</v>
      </c>
      <c r="JB1" s="27" t="s">
        <v>260</v>
      </c>
      <c r="JC1" s="27" t="s">
        <v>261</v>
      </c>
      <c r="JD1" s="27" t="s">
        <v>262</v>
      </c>
      <c r="JE1" s="27" t="s">
        <v>263</v>
      </c>
      <c r="JF1" s="27" t="s">
        <v>264</v>
      </c>
      <c r="JG1" s="27" t="s">
        <v>265</v>
      </c>
      <c r="JH1" s="27" t="s">
        <v>266</v>
      </c>
      <c r="JI1" s="27" t="s">
        <v>267</v>
      </c>
      <c r="JJ1" s="27" t="s">
        <v>268</v>
      </c>
      <c r="JK1" s="27" t="s">
        <v>269</v>
      </c>
      <c r="JL1" s="27" t="s">
        <v>270</v>
      </c>
      <c r="JM1" s="27" t="s">
        <v>271</v>
      </c>
      <c r="JN1" s="27" t="s">
        <v>272</v>
      </c>
      <c r="JO1" s="27" t="s">
        <v>273</v>
      </c>
      <c r="JP1" s="27" t="s">
        <v>274</v>
      </c>
      <c r="JQ1" s="27" t="s">
        <v>275</v>
      </c>
      <c r="JR1" s="27" t="s">
        <v>276</v>
      </c>
      <c r="JS1" s="27" t="s">
        <v>277</v>
      </c>
      <c r="JT1" s="27" t="s">
        <v>278</v>
      </c>
      <c r="JU1" s="27" t="s">
        <v>279</v>
      </c>
      <c r="JV1" s="27" t="s">
        <v>280</v>
      </c>
      <c r="JW1" s="27" t="s">
        <v>281</v>
      </c>
      <c r="JX1" s="27" t="s">
        <v>282</v>
      </c>
      <c r="JY1" s="27" t="s">
        <v>283</v>
      </c>
      <c r="JZ1" s="27" t="s">
        <v>284</v>
      </c>
      <c r="KA1" s="27" t="s">
        <v>285</v>
      </c>
      <c r="KB1" s="27" t="s">
        <v>286</v>
      </c>
      <c r="KC1" s="27" t="s">
        <v>287</v>
      </c>
      <c r="KD1" s="27" t="s">
        <v>288</v>
      </c>
      <c r="KE1" s="27" t="s">
        <v>289</v>
      </c>
      <c r="KF1" s="27" t="s">
        <v>290</v>
      </c>
      <c r="KG1" s="27" t="s">
        <v>291</v>
      </c>
      <c r="KH1" s="27" t="s">
        <v>292</v>
      </c>
      <c r="KI1" s="27" t="s">
        <v>293</v>
      </c>
      <c r="KJ1" s="27" t="s">
        <v>294</v>
      </c>
      <c r="KK1" s="27" t="s">
        <v>295</v>
      </c>
      <c r="KL1" s="27" t="s">
        <v>296</v>
      </c>
      <c r="KM1" s="27" t="s">
        <v>297</v>
      </c>
      <c r="KN1" s="27" t="s">
        <v>298</v>
      </c>
      <c r="KO1" s="27" t="s">
        <v>299</v>
      </c>
      <c r="KP1" s="27" t="s">
        <v>300</v>
      </c>
      <c r="KQ1" s="27" t="s">
        <v>301</v>
      </c>
      <c r="KR1" s="27" t="s">
        <v>302</v>
      </c>
      <c r="KS1" s="27" t="s">
        <v>303</v>
      </c>
      <c r="KT1" s="27" t="s">
        <v>304</v>
      </c>
      <c r="KU1" s="27" t="s">
        <v>305</v>
      </c>
      <c r="KV1" s="27" t="s">
        <v>306</v>
      </c>
      <c r="KW1" s="27" t="s">
        <v>307</v>
      </c>
      <c r="KX1" s="27" t="s">
        <v>308</v>
      </c>
      <c r="KY1" s="27" t="s">
        <v>309</v>
      </c>
      <c r="KZ1" s="27" t="s">
        <v>310</v>
      </c>
      <c r="LA1" s="27" t="s">
        <v>311</v>
      </c>
      <c r="LB1" s="27" t="s">
        <v>312</v>
      </c>
      <c r="LC1" s="27" t="s">
        <v>313</v>
      </c>
      <c r="LD1" s="27" t="s">
        <v>314</v>
      </c>
      <c r="LE1" s="27" t="s">
        <v>315</v>
      </c>
      <c r="LF1" s="27" t="s">
        <v>316</v>
      </c>
      <c r="LG1" s="27" t="s">
        <v>317</v>
      </c>
      <c r="LH1" s="27" t="s">
        <v>318</v>
      </c>
      <c r="LI1" s="27" t="s">
        <v>319</v>
      </c>
      <c r="LJ1" s="27" t="s">
        <v>320</v>
      </c>
      <c r="LK1" s="27" t="s">
        <v>321</v>
      </c>
      <c r="LL1" s="27" t="s">
        <v>322</v>
      </c>
      <c r="LM1" s="27" t="s">
        <v>323</v>
      </c>
      <c r="LN1" s="27" t="s">
        <v>324</v>
      </c>
      <c r="LO1" s="27" t="s">
        <v>325</v>
      </c>
      <c r="LP1" s="27" t="s">
        <v>326</v>
      </c>
      <c r="LQ1" s="27" t="s">
        <v>327</v>
      </c>
      <c r="LR1" s="27" t="s">
        <v>328</v>
      </c>
      <c r="LS1" s="27" t="s">
        <v>329</v>
      </c>
      <c r="LT1" s="27" t="s">
        <v>330</v>
      </c>
      <c r="LU1" s="27" t="s">
        <v>331</v>
      </c>
      <c r="LV1" s="27" t="s">
        <v>332</v>
      </c>
      <c r="LW1" s="27" t="s">
        <v>333</v>
      </c>
      <c r="LX1" s="27" t="s">
        <v>334</v>
      </c>
      <c r="LY1" s="27" t="s">
        <v>335</v>
      </c>
      <c r="LZ1" s="27" t="s">
        <v>336</v>
      </c>
      <c r="MA1" s="27" t="s">
        <v>337</v>
      </c>
      <c r="MB1" s="27" t="s">
        <v>338</v>
      </c>
      <c r="MC1" s="27" t="s">
        <v>339</v>
      </c>
      <c r="MD1" s="27" t="s">
        <v>340</v>
      </c>
      <c r="ME1" s="27" t="s">
        <v>341</v>
      </c>
      <c r="MF1" s="27" t="s">
        <v>342</v>
      </c>
      <c r="MG1" s="27" t="s">
        <v>343</v>
      </c>
      <c r="MH1" s="27" t="s">
        <v>344</v>
      </c>
      <c r="MI1" s="27" t="s">
        <v>345</v>
      </c>
      <c r="MJ1" s="27" t="s">
        <v>346</v>
      </c>
      <c r="MK1" s="27" t="s">
        <v>347</v>
      </c>
      <c r="ML1" s="27" t="s">
        <v>348</v>
      </c>
      <c r="MM1" s="27" t="s">
        <v>349</v>
      </c>
      <c r="MN1" s="27" t="s">
        <v>350</v>
      </c>
      <c r="MO1" s="27" t="s">
        <v>351</v>
      </c>
      <c r="MP1" s="27" t="s">
        <v>352</v>
      </c>
      <c r="MQ1" s="27" t="s">
        <v>353</v>
      </c>
      <c r="MR1" s="27" t="s">
        <v>354</v>
      </c>
      <c r="MS1" s="27" t="s">
        <v>355</v>
      </c>
      <c r="MT1" s="27" t="s">
        <v>356</v>
      </c>
      <c r="MU1" s="27" t="s">
        <v>357</v>
      </c>
      <c r="MV1" s="27" t="s">
        <v>358</v>
      </c>
      <c r="MW1" s="27" t="s">
        <v>359</v>
      </c>
      <c r="MX1" s="27" t="s">
        <v>360</v>
      </c>
      <c r="MY1" s="27" t="s">
        <v>361</v>
      </c>
      <c r="MZ1" s="27" t="s">
        <v>362</v>
      </c>
      <c r="NA1" s="27" t="s">
        <v>363</v>
      </c>
      <c r="NB1" s="27" t="s">
        <v>364</v>
      </c>
      <c r="NC1" s="27" t="s">
        <v>365</v>
      </c>
      <c r="ND1" s="27" t="s">
        <v>366</v>
      </c>
      <c r="NE1" s="27" t="s">
        <v>367</v>
      </c>
      <c r="NF1" s="27" t="s">
        <v>368</v>
      </c>
      <c r="NG1" s="27" t="s">
        <v>369</v>
      </c>
      <c r="NH1" s="27" t="s">
        <v>370</v>
      </c>
      <c r="NI1" s="27" t="s">
        <v>371</v>
      </c>
      <c r="NJ1" s="27" t="s">
        <v>372</v>
      </c>
      <c r="NK1" s="27" t="s">
        <v>373</v>
      </c>
      <c r="NL1" s="27" t="s">
        <v>374</v>
      </c>
      <c r="NM1" s="27" t="s">
        <v>375</v>
      </c>
      <c r="NN1" s="27" t="s">
        <v>376</v>
      </c>
      <c r="NO1" s="27" t="s">
        <v>377</v>
      </c>
      <c r="NP1" s="27" t="s">
        <v>378</v>
      </c>
      <c r="NQ1" s="27" t="s">
        <v>379</v>
      </c>
      <c r="NR1" s="27" t="s">
        <v>380</v>
      </c>
      <c r="NS1" s="27" t="s">
        <v>381</v>
      </c>
      <c r="NT1" s="27" t="s">
        <v>382</v>
      </c>
      <c r="NU1" s="27" t="s">
        <v>383</v>
      </c>
      <c r="NV1" s="27" t="s">
        <v>384</v>
      </c>
      <c r="NW1" s="27" t="s">
        <v>385</v>
      </c>
      <c r="NX1" s="27" t="s">
        <v>386</v>
      </c>
      <c r="NY1" s="27" t="s">
        <v>387</v>
      </c>
      <c r="NZ1" s="27" t="s">
        <v>388</v>
      </c>
      <c r="OA1" s="27" t="s">
        <v>389</v>
      </c>
      <c r="OB1" s="27" t="s">
        <v>390</v>
      </c>
      <c r="OC1" s="27" t="s">
        <v>391</v>
      </c>
      <c r="OD1" s="27" t="s">
        <v>392</v>
      </c>
      <c r="OE1" s="27" t="s">
        <v>393</v>
      </c>
      <c r="OF1" s="27" t="s">
        <v>394</v>
      </c>
      <c r="OG1" s="27" t="s">
        <v>395</v>
      </c>
      <c r="OH1" s="27" t="s">
        <v>396</v>
      </c>
      <c r="OI1" s="27" t="s">
        <v>397</v>
      </c>
      <c r="OJ1" s="27" t="s">
        <v>398</v>
      </c>
      <c r="OK1" s="27" t="s">
        <v>399</v>
      </c>
      <c r="OL1" s="27" t="s">
        <v>400</v>
      </c>
      <c r="OM1" s="27" t="s">
        <v>401</v>
      </c>
      <c r="ON1" s="27" t="s">
        <v>402</v>
      </c>
      <c r="OO1" s="27" t="s">
        <v>403</v>
      </c>
      <c r="OP1" s="27" t="s">
        <v>404</v>
      </c>
      <c r="OQ1" s="27" t="s">
        <v>405</v>
      </c>
      <c r="OR1" s="27" t="s">
        <v>406</v>
      </c>
      <c r="OS1" s="27" t="s">
        <v>407</v>
      </c>
      <c r="OT1" s="27" t="s">
        <v>408</v>
      </c>
      <c r="OU1" s="27" t="s">
        <v>409</v>
      </c>
      <c r="OV1" s="27" t="s">
        <v>410</v>
      </c>
      <c r="OW1" s="27" t="s">
        <v>411</v>
      </c>
      <c r="OX1" s="27" t="s">
        <v>412</v>
      </c>
      <c r="OY1" s="27" t="s">
        <v>413</v>
      </c>
      <c r="OZ1" s="27" t="s">
        <v>414</v>
      </c>
      <c r="PA1" s="27" t="s">
        <v>415</v>
      </c>
      <c r="PB1" s="27" t="s">
        <v>416</v>
      </c>
      <c r="PC1" s="27" t="s">
        <v>417</v>
      </c>
      <c r="PD1" s="27" t="s">
        <v>418</v>
      </c>
      <c r="PE1" s="27" t="s">
        <v>419</v>
      </c>
      <c r="PF1" s="27" t="s">
        <v>420</v>
      </c>
      <c r="PG1" s="27" t="s">
        <v>421</v>
      </c>
      <c r="PH1" s="27" t="s">
        <v>422</v>
      </c>
      <c r="PI1" s="27" t="s">
        <v>423</v>
      </c>
      <c r="PJ1" s="27" t="s">
        <v>424</v>
      </c>
      <c r="PK1" s="27" t="s">
        <v>425</v>
      </c>
      <c r="PL1" s="27" t="s">
        <v>426</v>
      </c>
      <c r="PM1" s="27" t="s">
        <v>427</v>
      </c>
      <c r="PN1" s="27" t="s">
        <v>428</v>
      </c>
      <c r="PO1" s="27" t="s">
        <v>429</v>
      </c>
      <c r="PP1" s="27" t="s">
        <v>430</v>
      </c>
      <c r="PQ1" s="27" t="s">
        <v>431</v>
      </c>
      <c r="PR1" s="27" t="s">
        <v>432</v>
      </c>
      <c r="PS1" s="27" t="s">
        <v>433</v>
      </c>
      <c r="PT1" s="27" t="s">
        <v>434</v>
      </c>
      <c r="PU1" s="27" t="s">
        <v>435</v>
      </c>
      <c r="PV1" s="27" t="s">
        <v>436</v>
      </c>
      <c r="PW1" s="27" t="s">
        <v>437</v>
      </c>
      <c r="PX1" s="27" t="s">
        <v>438</v>
      </c>
      <c r="PY1" s="27" t="s">
        <v>439</v>
      </c>
      <c r="PZ1" s="27" t="s">
        <v>440</v>
      </c>
      <c r="QA1" s="27" t="s">
        <v>441</v>
      </c>
      <c r="QB1" s="27" t="s">
        <v>442</v>
      </c>
      <c r="QC1" s="27" t="s">
        <v>443</v>
      </c>
      <c r="QD1" s="27" t="s">
        <v>444</v>
      </c>
      <c r="QE1" s="27" t="s">
        <v>445</v>
      </c>
      <c r="QF1" s="27" t="s">
        <v>446</v>
      </c>
      <c r="QG1" s="27" t="s">
        <v>447</v>
      </c>
      <c r="QH1" s="27" t="s">
        <v>448</v>
      </c>
      <c r="QI1" s="27" t="s">
        <v>449</v>
      </c>
      <c r="QJ1" s="27" t="s">
        <v>450</v>
      </c>
      <c r="QK1" s="27" t="s">
        <v>451</v>
      </c>
      <c r="QL1" s="27" t="s">
        <v>452</v>
      </c>
      <c r="QM1" s="27" t="s">
        <v>453</v>
      </c>
      <c r="QN1" s="27" t="s">
        <v>454</v>
      </c>
      <c r="QO1" s="27" t="s">
        <v>455</v>
      </c>
      <c r="QP1" s="27" t="s">
        <v>456</v>
      </c>
      <c r="QQ1" s="27" t="s">
        <v>457</v>
      </c>
      <c r="QR1" s="27" t="s">
        <v>458</v>
      </c>
      <c r="QS1" s="27" t="s">
        <v>459</v>
      </c>
      <c r="QT1" s="27" t="s">
        <v>460</v>
      </c>
      <c r="QU1" s="27" t="s">
        <v>461</v>
      </c>
      <c r="QV1" s="27" t="s">
        <v>462</v>
      </c>
      <c r="QW1" s="27" t="s">
        <v>463</v>
      </c>
      <c r="QX1" s="27" t="s">
        <v>464</v>
      </c>
      <c r="QY1" s="27" t="s">
        <v>465</v>
      </c>
      <c r="QZ1" s="27" t="s">
        <v>466</v>
      </c>
      <c r="RA1" s="27" t="s">
        <v>467</v>
      </c>
      <c r="RB1" s="27" t="s">
        <v>468</v>
      </c>
      <c r="RC1" s="27" t="s">
        <v>469</v>
      </c>
      <c r="RD1" s="27" t="s">
        <v>470</v>
      </c>
      <c r="RE1" s="27" t="s">
        <v>471</v>
      </c>
      <c r="RF1" s="27" t="s">
        <v>472</v>
      </c>
      <c r="RG1" s="27" t="s">
        <v>473</v>
      </c>
      <c r="RH1" s="27" t="s">
        <v>474</v>
      </c>
      <c r="RI1" s="27" t="s">
        <v>475</v>
      </c>
      <c r="RJ1" s="27" t="s">
        <v>476</v>
      </c>
      <c r="RK1" s="27" t="s">
        <v>477</v>
      </c>
      <c r="RL1" s="27" t="s">
        <v>478</v>
      </c>
      <c r="RM1" s="27" t="s">
        <v>479</v>
      </c>
      <c r="RN1" s="27" t="s">
        <v>480</v>
      </c>
      <c r="RO1" s="27" t="s">
        <v>481</v>
      </c>
      <c r="RP1" s="27" t="s">
        <v>482</v>
      </c>
      <c r="RQ1" s="27" t="s">
        <v>483</v>
      </c>
      <c r="RR1" s="27" t="s">
        <v>484</v>
      </c>
      <c r="RS1" s="27" t="s">
        <v>485</v>
      </c>
      <c r="RT1" s="27" t="s">
        <v>486</v>
      </c>
      <c r="RU1" s="27" t="s">
        <v>487</v>
      </c>
      <c r="RV1" s="27" t="s">
        <v>488</v>
      </c>
      <c r="RW1" s="27" t="s">
        <v>489</v>
      </c>
      <c r="RX1" s="27" t="s">
        <v>490</v>
      </c>
      <c r="RY1" s="27" t="s">
        <v>491</v>
      </c>
      <c r="RZ1" s="27" t="s">
        <v>492</v>
      </c>
      <c r="SA1" s="27" t="s">
        <v>493</v>
      </c>
      <c r="SB1" s="27" t="s">
        <v>494</v>
      </c>
      <c r="SC1" s="27" t="s">
        <v>495</v>
      </c>
      <c r="SD1" s="27" t="s">
        <v>496</v>
      </c>
      <c r="SE1" s="27" t="s">
        <v>497</v>
      </c>
      <c r="SF1" s="27" t="s">
        <v>498</v>
      </c>
      <c r="SG1" s="27" t="s">
        <v>499</v>
      </c>
      <c r="SH1" s="27" t="s">
        <v>500</v>
      </c>
      <c r="SI1" s="27" t="s">
        <v>501</v>
      </c>
      <c r="SJ1" s="27" t="s">
        <v>502</v>
      </c>
      <c r="SK1" s="27" t="s">
        <v>503</v>
      </c>
      <c r="SL1" s="27" t="s">
        <v>504</v>
      </c>
      <c r="SM1" s="27" t="s">
        <v>505</v>
      </c>
      <c r="SN1" s="27" t="s">
        <v>506</v>
      </c>
      <c r="SO1" s="27" t="s">
        <v>507</v>
      </c>
      <c r="SP1" s="27" t="s">
        <v>508</v>
      </c>
      <c r="SQ1" s="27" t="s">
        <v>509</v>
      </c>
      <c r="SR1" s="27" t="s">
        <v>510</v>
      </c>
      <c r="SS1" s="27" t="s">
        <v>511</v>
      </c>
      <c r="ST1" s="27" t="s">
        <v>512</v>
      </c>
      <c r="SU1" s="27" t="s">
        <v>513</v>
      </c>
      <c r="SV1" s="27" t="s">
        <v>514</v>
      </c>
      <c r="SW1" s="27" t="s">
        <v>515</v>
      </c>
      <c r="SX1" s="27" t="s">
        <v>516</v>
      </c>
      <c r="SY1" s="27" t="s">
        <v>517</v>
      </c>
      <c r="SZ1" s="27" t="s">
        <v>518</v>
      </c>
      <c r="TA1" s="27" t="s">
        <v>519</v>
      </c>
      <c r="TB1" s="27" t="s">
        <v>520</v>
      </c>
      <c r="TC1" s="27" t="s">
        <v>521</v>
      </c>
      <c r="TD1" s="27" t="s">
        <v>522</v>
      </c>
      <c r="TE1" s="27" t="s">
        <v>523</v>
      </c>
      <c r="TF1" s="27" t="s">
        <v>524</v>
      </c>
      <c r="TG1" s="27" t="s">
        <v>525</v>
      </c>
      <c r="TH1" s="27" t="s">
        <v>526</v>
      </c>
      <c r="TI1" s="27" t="s">
        <v>527</v>
      </c>
      <c r="TJ1" s="27" t="s">
        <v>528</v>
      </c>
      <c r="TK1" s="27" t="s">
        <v>529</v>
      </c>
      <c r="TL1" s="27" t="s">
        <v>530</v>
      </c>
      <c r="TM1" s="27" t="s">
        <v>531</v>
      </c>
      <c r="TN1" s="27" t="s">
        <v>532</v>
      </c>
      <c r="TO1" s="27" t="s">
        <v>533</v>
      </c>
      <c r="TP1" s="27" t="s">
        <v>534</v>
      </c>
      <c r="TQ1" s="27" t="s">
        <v>535</v>
      </c>
      <c r="TR1" s="27" t="s">
        <v>536</v>
      </c>
      <c r="TS1" s="27" t="s">
        <v>537</v>
      </c>
      <c r="TT1" s="27" t="s">
        <v>538</v>
      </c>
      <c r="TU1" s="27" t="s">
        <v>539</v>
      </c>
      <c r="TV1" s="27" t="s">
        <v>540</v>
      </c>
      <c r="TW1" s="27" t="s">
        <v>541</v>
      </c>
      <c r="TX1" s="27" t="s">
        <v>542</v>
      </c>
      <c r="TY1" s="27" t="s">
        <v>543</v>
      </c>
      <c r="TZ1" s="27" t="s">
        <v>544</v>
      </c>
      <c r="UA1" s="27" t="s">
        <v>545</v>
      </c>
      <c r="UB1" s="27" t="s">
        <v>546</v>
      </c>
      <c r="UC1" s="27" t="s">
        <v>547</v>
      </c>
      <c r="UD1" s="27" t="s">
        <v>548</v>
      </c>
      <c r="UE1" s="27" t="s">
        <v>549</v>
      </c>
      <c r="UF1" s="27" t="s">
        <v>550</v>
      </c>
      <c r="UG1" s="27" t="s">
        <v>551</v>
      </c>
      <c r="UH1" s="27" t="s">
        <v>552</v>
      </c>
      <c r="UI1" s="27" t="s">
        <v>553</v>
      </c>
      <c r="UJ1" s="27" t="s">
        <v>554</v>
      </c>
      <c r="UK1" s="27" t="s">
        <v>555</v>
      </c>
      <c r="UL1" s="27" t="s">
        <v>556</v>
      </c>
      <c r="UM1" s="27" t="s">
        <v>557</v>
      </c>
      <c r="UN1" s="27" t="s">
        <v>558</v>
      </c>
      <c r="UO1" s="27" t="s">
        <v>559</v>
      </c>
      <c r="UP1" s="27" t="s">
        <v>560</v>
      </c>
      <c r="UQ1" s="27" t="s">
        <v>561</v>
      </c>
      <c r="UR1" s="27" t="s">
        <v>562</v>
      </c>
      <c r="US1" s="27" t="s">
        <v>563</v>
      </c>
      <c r="UT1" s="27" t="s">
        <v>564</v>
      </c>
      <c r="UU1" s="27" t="s">
        <v>565</v>
      </c>
      <c r="UV1" s="27" t="s">
        <v>566</v>
      </c>
      <c r="UW1" s="27" t="s">
        <v>567</v>
      </c>
      <c r="UX1" s="27" t="s">
        <v>568</v>
      </c>
      <c r="UY1" s="27" t="s">
        <v>569</v>
      </c>
      <c r="UZ1" s="27" t="s">
        <v>570</v>
      </c>
      <c r="VA1" s="27" t="s">
        <v>571</v>
      </c>
      <c r="VB1" s="27" t="s">
        <v>572</v>
      </c>
      <c r="VC1" s="27" t="s">
        <v>573</v>
      </c>
      <c r="VD1" s="27" t="s">
        <v>574</v>
      </c>
      <c r="VE1" s="27" t="s">
        <v>575</v>
      </c>
      <c r="VF1" s="27" t="s">
        <v>576</v>
      </c>
      <c r="VG1" s="27" t="s">
        <v>577</v>
      </c>
      <c r="VH1" s="27" t="s">
        <v>578</v>
      </c>
      <c r="VI1" s="27" t="s">
        <v>579</v>
      </c>
      <c r="VJ1" s="27" t="s">
        <v>580</v>
      </c>
      <c r="VK1" s="27" t="s">
        <v>581</v>
      </c>
      <c r="VL1" s="27" t="s">
        <v>582</v>
      </c>
      <c r="VM1" s="27" t="s">
        <v>583</v>
      </c>
      <c r="VN1" s="27" t="s">
        <v>584</v>
      </c>
      <c r="VO1" s="27" t="s">
        <v>585</v>
      </c>
      <c r="VP1" s="27" t="s">
        <v>586</v>
      </c>
      <c r="VQ1" s="27" t="s">
        <v>587</v>
      </c>
      <c r="VR1" s="27" t="s">
        <v>588</v>
      </c>
      <c r="VS1" s="27" t="s">
        <v>589</v>
      </c>
      <c r="VT1" s="27" t="s">
        <v>590</v>
      </c>
      <c r="VU1" s="27" t="s">
        <v>591</v>
      </c>
      <c r="VV1" s="27" t="s">
        <v>592</v>
      </c>
      <c r="VW1" s="27" t="s">
        <v>593</v>
      </c>
      <c r="VX1" s="27" t="s">
        <v>594</v>
      </c>
      <c r="VY1" s="27" t="s">
        <v>595</v>
      </c>
      <c r="VZ1" s="27" t="s">
        <v>596</v>
      </c>
      <c r="WA1" s="27" t="s">
        <v>597</v>
      </c>
      <c r="WB1" s="27" t="s">
        <v>598</v>
      </c>
      <c r="WC1" s="27" t="s">
        <v>599</v>
      </c>
      <c r="WD1" s="27" t="s">
        <v>600</v>
      </c>
      <c r="WE1" s="27" t="s">
        <v>601</v>
      </c>
      <c r="WF1" s="27" t="s">
        <v>602</v>
      </c>
      <c r="WG1" s="27" t="s">
        <v>603</v>
      </c>
      <c r="WH1" s="27" t="s">
        <v>604</v>
      </c>
      <c r="WI1" s="27" t="s">
        <v>605</v>
      </c>
      <c r="WJ1" s="27" t="s">
        <v>606</v>
      </c>
      <c r="WK1" s="27" t="s">
        <v>607</v>
      </c>
      <c r="WL1" s="27" t="s">
        <v>608</v>
      </c>
      <c r="WM1" s="27" t="s">
        <v>609</v>
      </c>
      <c r="WN1" s="27" t="s">
        <v>610</v>
      </c>
      <c r="WO1" s="27" t="s">
        <v>611</v>
      </c>
      <c r="WP1" s="27" t="s">
        <v>612</v>
      </c>
      <c r="WQ1" s="27" t="s">
        <v>613</v>
      </c>
      <c r="WR1" s="27" t="s">
        <v>614</v>
      </c>
      <c r="WS1" s="27" t="s">
        <v>615</v>
      </c>
      <c r="WT1" s="27" t="s">
        <v>616</v>
      </c>
      <c r="WU1" s="27" t="s">
        <v>617</v>
      </c>
      <c r="WV1" s="27" t="s">
        <v>618</v>
      </c>
      <c r="WW1" s="27" t="s">
        <v>619</v>
      </c>
      <c r="WX1" s="27" t="s">
        <v>620</v>
      </c>
      <c r="WY1" s="27" t="s">
        <v>621</v>
      </c>
      <c r="WZ1" s="27" t="s">
        <v>622</v>
      </c>
      <c r="XA1" s="27" t="s">
        <v>623</v>
      </c>
      <c r="XB1" s="27" t="s">
        <v>624</v>
      </c>
      <c r="XC1" s="27" t="s">
        <v>625</v>
      </c>
      <c r="XD1" s="27" t="s">
        <v>626</v>
      </c>
      <c r="XE1" s="27" t="s">
        <v>627</v>
      </c>
      <c r="XF1" s="27" t="s">
        <v>628</v>
      </c>
      <c r="XG1" s="27" t="s">
        <v>629</v>
      </c>
      <c r="XH1" s="27" t="s">
        <v>630</v>
      </c>
      <c r="XI1" s="27" t="s">
        <v>631</v>
      </c>
      <c r="XJ1" s="27" t="s">
        <v>632</v>
      </c>
      <c r="XK1" s="27" t="s">
        <v>633</v>
      </c>
      <c r="XL1" s="27" t="s">
        <v>634</v>
      </c>
      <c r="XM1" s="27" t="s">
        <v>635</v>
      </c>
      <c r="XN1" s="27" t="s">
        <v>636</v>
      </c>
      <c r="XO1" s="27" t="s">
        <v>637</v>
      </c>
      <c r="XP1" s="27" t="s">
        <v>638</v>
      </c>
      <c r="XQ1" s="27" t="s">
        <v>639</v>
      </c>
      <c r="XR1" s="27" t="s">
        <v>640</v>
      </c>
      <c r="XS1" s="27" t="s">
        <v>641</v>
      </c>
      <c r="XT1" s="27" t="s">
        <v>642</v>
      </c>
      <c r="XU1" s="27" t="s">
        <v>643</v>
      </c>
      <c r="XV1" s="27" t="s">
        <v>644</v>
      </c>
      <c r="XW1" s="27" t="s">
        <v>645</v>
      </c>
      <c r="XX1" s="27" t="s">
        <v>646</v>
      </c>
      <c r="XY1" s="27" t="s">
        <v>647</v>
      </c>
      <c r="XZ1" s="27" t="s">
        <v>648</v>
      </c>
      <c r="YA1" s="27" t="s">
        <v>649</v>
      </c>
      <c r="YB1" s="27" t="s">
        <v>650</v>
      </c>
      <c r="YC1" s="27" t="s">
        <v>651</v>
      </c>
      <c r="YD1" s="27" t="s">
        <v>652</v>
      </c>
      <c r="YE1" s="27" t="s">
        <v>653</v>
      </c>
      <c r="YF1" s="27" t="s">
        <v>654</v>
      </c>
      <c r="YG1" s="27" t="s">
        <v>655</v>
      </c>
      <c r="YH1" s="27" t="s">
        <v>656</v>
      </c>
      <c r="YI1" s="27" t="s">
        <v>657</v>
      </c>
      <c r="YJ1" s="27" t="s">
        <v>658</v>
      </c>
      <c r="YK1" s="27" t="s">
        <v>659</v>
      </c>
      <c r="YL1" s="27" t="s">
        <v>660</v>
      </c>
      <c r="YM1" s="27" t="s">
        <v>661</v>
      </c>
      <c r="YN1" s="27" t="s">
        <v>662</v>
      </c>
      <c r="YO1" s="27" t="s">
        <v>663</v>
      </c>
      <c r="YP1" s="27" t="s">
        <v>664</v>
      </c>
      <c r="YQ1" s="27" t="s">
        <v>665</v>
      </c>
      <c r="YR1" s="27" t="s">
        <v>666</v>
      </c>
      <c r="YS1" s="27" t="s">
        <v>667</v>
      </c>
      <c r="YT1" s="27" t="s">
        <v>668</v>
      </c>
      <c r="YU1" s="27" t="s">
        <v>669</v>
      </c>
      <c r="YV1" s="27" t="s">
        <v>670</v>
      </c>
      <c r="YW1" s="27" t="s">
        <v>671</v>
      </c>
      <c r="YX1" s="27" t="s">
        <v>672</v>
      </c>
      <c r="YY1" s="27" t="s">
        <v>673</v>
      </c>
      <c r="YZ1" s="27" t="s">
        <v>674</v>
      </c>
      <c r="ZA1" s="27" t="s">
        <v>675</v>
      </c>
      <c r="ZB1" s="27" t="s">
        <v>676</v>
      </c>
      <c r="ZC1" s="27" t="s">
        <v>677</v>
      </c>
      <c r="ZD1" s="27" t="s">
        <v>678</v>
      </c>
      <c r="ZE1" s="27" t="s">
        <v>679</v>
      </c>
      <c r="ZF1" s="27" t="s">
        <v>680</v>
      </c>
      <c r="ZG1" s="27" t="s">
        <v>681</v>
      </c>
      <c r="ZH1" s="27" t="s">
        <v>682</v>
      </c>
      <c r="ZI1" s="27" t="s">
        <v>683</v>
      </c>
      <c r="ZJ1" s="27" t="s">
        <v>684</v>
      </c>
      <c r="ZK1" s="27" t="s">
        <v>685</v>
      </c>
      <c r="ZL1" s="27" t="s">
        <v>686</v>
      </c>
      <c r="ZM1" s="27" t="s">
        <v>687</v>
      </c>
      <c r="ZN1" s="27" t="s">
        <v>688</v>
      </c>
      <c r="ZO1" s="27" t="s">
        <v>689</v>
      </c>
      <c r="ZP1" s="27" t="s">
        <v>690</v>
      </c>
      <c r="ZQ1" s="27" t="s">
        <v>691</v>
      </c>
      <c r="ZR1" s="27" t="s">
        <v>692</v>
      </c>
      <c r="ZS1" s="27" t="s">
        <v>693</v>
      </c>
      <c r="ZT1" s="27" t="s">
        <v>694</v>
      </c>
      <c r="ZU1" s="27" t="s">
        <v>695</v>
      </c>
      <c r="ZV1" s="27" t="s">
        <v>696</v>
      </c>
      <c r="ZW1" s="27" t="s">
        <v>697</v>
      </c>
      <c r="ZX1" s="27" t="s">
        <v>698</v>
      </c>
      <c r="ZY1" s="27" t="s">
        <v>699</v>
      </c>
      <c r="ZZ1" s="27" t="s">
        <v>700</v>
      </c>
      <c r="AAA1" s="27" t="s">
        <v>701</v>
      </c>
      <c r="AAB1" s="27" t="s">
        <v>702</v>
      </c>
      <c r="AAC1" s="27" t="s">
        <v>703</v>
      </c>
      <c r="AAD1" s="27" t="s">
        <v>704</v>
      </c>
      <c r="AAE1" s="27" t="s">
        <v>705</v>
      </c>
      <c r="AAF1" s="27" t="s">
        <v>706</v>
      </c>
      <c r="AAG1" s="27" t="s">
        <v>707</v>
      </c>
      <c r="AAH1" s="27" t="s">
        <v>708</v>
      </c>
      <c r="AAI1" s="27" t="s">
        <v>709</v>
      </c>
      <c r="AAJ1" s="27" t="s">
        <v>710</v>
      </c>
      <c r="AAK1" s="27" t="s">
        <v>711</v>
      </c>
      <c r="AAL1" s="27" t="s">
        <v>712</v>
      </c>
      <c r="AAM1" s="27" t="s">
        <v>713</v>
      </c>
      <c r="AAN1" s="27" t="s">
        <v>714</v>
      </c>
      <c r="AAO1" s="27" t="s">
        <v>715</v>
      </c>
      <c r="AAP1" s="27" t="s">
        <v>716</v>
      </c>
      <c r="AAQ1" s="27" t="s">
        <v>717</v>
      </c>
      <c r="AAR1" s="27" t="s">
        <v>718</v>
      </c>
      <c r="AAS1" s="27" t="s">
        <v>719</v>
      </c>
      <c r="AAT1" s="27" t="s">
        <v>720</v>
      </c>
      <c r="AAU1" s="27" t="s">
        <v>721</v>
      </c>
      <c r="AAV1" s="27" t="s">
        <v>722</v>
      </c>
      <c r="AAW1" s="27" t="s">
        <v>723</v>
      </c>
      <c r="AAX1" s="27" t="s">
        <v>724</v>
      </c>
      <c r="AAY1" s="27" t="s">
        <v>725</v>
      </c>
      <c r="AAZ1" s="27" t="s">
        <v>726</v>
      </c>
      <c r="ABA1" s="27" t="s">
        <v>727</v>
      </c>
      <c r="ABB1" s="27" t="s">
        <v>728</v>
      </c>
      <c r="ABC1" s="27" t="s">
        <v>729</v>
      </c>
      <c r="ABD1" s="27" t="s">
        <v>730</v>
      </c>
      <c r="ABE1" s="27" t="s">
        <v>731</v>
      </c>
      <c r="ABF1" s="27" t="s">
        <v>732</v>
      </c>
      <c r="ABG1" s="27" t="s">
        <v>733</v>
      </c>
      <c r="ABH1" s="27" t="s">
        <v>734</v>
      </c>
      <c r="ABI1" s="27" t="s">
        <v>735</v>
      </c>
      <c r="ABJ1" s="27" t="s">
        <v>736</v>
      </c>
      <c r="ABK1" s="27" t="s">
        <v>737</v>
      </c>
      <c r="ABL1" s="27" t="s">
        <v>738</v>
      </c>
      <c r="ABM1" s="27" t="s">
        <v>739</v>
      </c>
      <c r="ABN1" s="27" t="s">
        <v>740</v>
      </c>
      <c r="ABO1" s="27" t="s">
        <v>741</v>
      </c>
      <c r="ABP1" s="27" t="s">
        <v>742</v>
      </c>
      <c r="ABQ1" s="27" t="s">
        <v>743</v>
      </c>
      <c r="ABR1" s="27" t="s">
        <v>744</v>
      </c>
      <c r="ABS1" s="27" t="s">
        <v>745</v>
      </c>
      <c r="ABT1" s="27" t="s">
        <v>746</v>
      </c>
      <c r="ABU1" s="27" t="s">
        <v>747</v>
      </c>
      <c r="ABV1" s="27" t="s">
        <v>748</v>
      </c>
      <c r="ABW1" s="27" t="s">
        <v>749</v>
      </c>
      <c r="ABX1" s="27" t="s">
        <v>750</v>
      </c>
      <c r="ABY1" s="27" t="s">
        <v>751</v>
      </c>
      <c r="ABZ1" s="27" t="s">
        <v>752</v>
      </c>
      <c r="ACA1" s="27" t="s">
        <v>753</v>
      </c>
      <c r="ACB1" s="27" t="s">
        <v>754</v>
      </c>
      <c r="ACC1" s="27" t="s">
        <v>755</v>
      </c>
      <c r="ACD1" s="27" t="s">
        <v>756</v>
      </c>
      <c r="ACE1" s="27" t="s">
        <v>757</v>
      </c>
      <c r="ACF1" s="27" t="s">
        <v>758</v>
      </c>
      <c r="ACG1" s="27" t="s">
        <v>759</v>
      </c>
      <c r="ACH1" s="27" t="s">
        <v>760</v>
      </c>
      <c r="ACI1" s="27" t="s">
        <v>761</v>
      </c>
      <c r="ACJ1" s="27" t="s">
        <v>762</v>
      </c>
      <c r="ACK1" s="27" t="s">
        <v>763</v>
      </c>
      <c r="ACL1" s="27" t="s">
        <v>764</v>
      </c>
      <c r="ACM1" s="27" t="s">
        <v>765</v>
      </c>
      <c r="ACN1" s="27" t="s">
        <v>766</v>
      </c>
      <c r="ACO1" s="27" t="s">
        <v>767</v>
      </c>
      <c r="ACP1" s="27" t="s">
        <v>768</v>
      </c>
      <c r="ACQ1" s="27" t="s">
        <v>769</v>
      </c>
      <c r="ACR1" s="27" t="s">
        <v>770</v>
      </c>
      <c r="ACS1" s="27" t="s">
        <v>771</v>
      </c>
      <c r="ACT1" s="27" t="s">
        <v>772</v>
      </c>
      <c r="ACU1" s="27" t="s">
        <v>773</v>
      </c>
      <c r="ACV1" s="27" t="s">
        <v>774</v>
      </c>
      <c r="ACW1" s="27" t="s">
        <v>775</v>
      </c>
      <c r="ACX1" s="27" t="s">
        <v>776</v>
      </c>
      <c r="ACY1" s="27" t="s">
        <v>777</v>
      </c>
      <c r="ACZ1" s="27" t="s">
        <v>778</v>
      </c>
      <c r="ADA1" s="27" t="s">
        <v>779</v>
      </c>
      <c r="ADB1" s="27" t="s">
        <v>780</v>
      </c>
      <c r="ADC1" s="27" t="s">
        <v>781</v>
      </c>
      <c r="ADD1" s="27" t="s">
        <v>782</v>
      </c>
      <c r="ADE1" s="27" t="s">
        <v>783</v>
      </c>
      <c r="ADF1" s="27" t="s">
        <v>784</v>
      </c>
      <c r="ADG1" s="27" t="s">
        <v>785</v>
      </c>
      <c r="ADH1" s="27" t="s">
        <v>786</v>
      </c>
      <c r="ADI1" s="27" t="s">
        <v>787</v>
      </c>
      <c r="ADJ1" s="27" t="s">
        <v>788</v>
      </c>
      <c r="ADK1" s="27" t="s">
        <v>789</v>
      </c>
      <c r="ADL1" s="27" t="s">
        <v>790</v>
      </c>
      <c r="ADM1" s="27" t="s">
        <v>791</v>
      </c>
      <c r="ADN1" s="27" t="s">
        <v>792</v>
      </c>
      <c r="ADO1" s="27" t="s">
        <v>793</v>
      </c>
      <c r="ADP1" s="27" t="s">
        <v>794</v>
      </c>
      <c r="ADQ1" s="27" t="s">
        <v>795</v>
      </c>
      <c r="ADR1" s="27" t="s">
        <v>796</v>
      </c>
      <c r="ADS1" s="27" t="s">
        <v>797</v>
      </c>
      <c r="ADT1" s="27" t="s">
        <v>798</v>
      </c>
      <c r="ADU1" s="27" t="s">
        <v>799</v>
      </c>
      <c r="ADV1" s="27" t="s">
        <v>800</v>
      </c>
      <c r="ADW1" s="27" t="s">
        <v>801</v>
      </c>
      <c r="ADX1" s="27" t="s">
        <v>802</v>
      </c>
      <c r="ADY1" s="27" t="s">
        <v>803</v>
      </c>
      <c r="ADZ1" s="27" t="s">
        <v>804</v>
      </c>
      <c r="AEA1" s="27" t="s">
        <v>805</v>
      </c>
      <c r="AEB1" s="27" t="s">
        <v>806</v>
      </c>
      <c r="AEC1" s="27" t="s">
        <v>807</v>
      </c>
      <c r="AED1" s="27" t="s">
        <v>808</v>
      </c>
      <c r="AEE1" s="27" t="s">
        <v>809</v>
      </c>
      <c r="AEF1" s="27" t="s">
        <v>810</v>
      </c>
      <c r="AEG1" s="27" t="s">
        <v>811</v>
      </c>
      <c r="AEH1" s="27" t="s">
        <v>812</v>
      </c>
      <c r="AEI1" s="27" t="s">
        <v>813</v>
      </c>
      <c r="AEJ1" s="27" t="s">
        <v>814</v>
      </c>
      <c r="AEK1" s="27" t="s">
        <v>815</v>
      </c>
      <c r="AEL1" s="27" t="s">
        <v>816</v>
      </c>
      <c r="AEM1" s="27" t="s">
        <v>817</v>
      </c>
      <c r="AEN1" s="27" t="s">
        <v>818</v>
      </c>
      <c r="AEO1" s="27" t="s">
        <v>819</v>
      </c>
      <c r="AEP1" s="27" t="s">
        <v>820</v>
      </c>
      <c r="AEQ1" s="27" t="s">
        <v>821</v>
      </c>
      <c r="AER1" s="27" t="s">
        <v>822</v>
      </c>
      <c r="AES1" s="27" t="s">
        <v>823</v>
      </c>
      <c r="AET1" s="27" t="s">
        <v>824</v>
      </c>
      <c r="AEU1" s="27" t="s">
        <v>825</v>
      </c>
      <c r="AEV1" s="27" t="s">
        <v>826</v>
      </c>
      <c r="AEW1" s="27" t="s">
        <v>827</v>
      </c>
      <c r="AEX1" s="27" t="s">
        <v>828</v>
      </c>
      <c r="AEY1" s="27" t="s">
        <v>829</v>
      </c>
      <c r="AEZ1" s="27" t="s">
        <v>830</v>
      </c>
      <c r="AFA1" s="27" t="s">
        <v>831</v>
      </c>
      <c r="AFB1" s="27" t="s">
        <v>832</v>
      </c>
      <c r="AFC1" s="27" t="s">
        <v>833</v>
      </c>
      <c r="AFD1" s="27" t="s">
        <v>834</v>
      </c>
      <c r="AFE1" s="27" t="s">
        <v>835</v>
      </c>
      <c r="AFF1" s="27" t="s">
        <v>836</v>
      </c>
      <c r="AFG1" s="27" t="s">
        <v>837</v>
      </c>
      <c r="AFH1" s="27" t="s">
        <v>838</v>
      </c>
      <c r="AFI1" s="27" t="s">
        <v>839</v>
      </c>
      <c r="AFJ1" s="27" t="s">
        <v>840</v>
      </c>
      <c r="AFK1" s="27" t="s">
        <v>841</v>
      </c>
      <c r="AFL1" s="27" t="s">
        <v>842</v>
      </c>
      <c r="AFM1" s="27" t="s">
        <v>843</v>
      </c>
      <c r="AFN1" s="27" t="s">
        <v>844</v>
      </c>
      <c r="AFO1" s="27" t="s">
        <v>845</v>
      </c>
      <c r="AFP1" s="27" t="s">
        <v>846</v>
      </c>
      <c r="AFQ1" s="27" t="s">
        <v>847</v>
      </c>
      <c r="AFR1" s="27" t="s">
        <v>848</v>
      </c>
      <c r="AFS1" s="27" t="s">
        <v>849</v>
      </c>
      <c r="AFT1" s="27" t="s">
        <v>850</v>
      </c>
      <c r="AFU1" s="27" t="s">
        <v>851</v>
      </c>
      <c r="AFV1" s="27" t="s">
        <v>852</v>
      </c>
      <c r="AFW1" s="27" t="s">
        <v>853</v>
      </c>
      <c r="AFX1" s="27" t="s">
        <v>854</v>
      </c>
      <c r="AFY1" s="27" t="s">
        <v>855</v>
      </c>
      <c r="AFZ1" s="27" t="s">
        <v>856</v>
      </c>
      <c r="AGA1" s="27" t="s">
        <v>857</v>
      </c>
      <c r="AGB1" s="27" t="s">
        <v>858</v>
      </c>
      <c r="AGC1" s="27" t="s">
        <v>859</v>
      </c>
      <c r="AGD1" s="27" t="s">
        <v>860</v>
      </c>
      <c r="AGE1" s="27" t="s">
        <v>861</v>
      </c>
      <c r="AGF1" s="27" t="s">
        <v>862</v>
      </c>
      <c r="AGG1" s="27" t="s">
        <v>863</v>
      </c>
      <c r="AGH1" s="27" t="s">
        <v>864</v>
      </c>
      <c r="AGI1" s="27" t="s">
        <v>865</v>
      </c>
      <c r="AGJ1" s="27" t="s">
        <v>866</v>
      </c>
      <c r="AGK1" s="27" t="s">
        <v>867</v>
      </c>
      <c r="AGL1" s="27" t="s">
        <v>868</v>
      </c>
      <c r="AGM1" s="27" t="s">
        <v>869</v>
      </c>
      <c r="AGN1" s="27" t="s">
        <v>870</v>
      </c>
      <c r="AGO1" s="27" t="s">
        <v>871</v>
      </c>
      <c r="AGP1" s="27" t="s">
        <v>872</v>
      </c>
      <c r="AGQ1" s="27" t="s">
        <v>873</v>
      </c>
      <c r="AGR1" s="27" t="s">
        <v>874</v>
      </c>
      <c r="AGS1" s="27" t="s">
        <v>875</v>
      </c>
      <c r="AGT1" s="27" t="s">
        <v>876</v>
      </c>
      <c r="AGU1" s="27" t="s">
        <v>877</v>
      </c>
      <c r="AGV1" s="27" t="s">
        <v>878</v>
      </c>
      <c r="AGW1" s="27" t="s">
        <v>879</v>
      </c>
      <c r="AGX1" s="27" t="s">
        <v>880</v>
      </c>
      <c r="AGY1" s="27" t="s">
        <v>881</v>
      </c>
      <c r="AGZ1" s="27" t="s">
        <v>882</v>
      </c>
      <c r="AHA1" s="27" t="s">
        <v>883</v>
      </c>
      <c r="AHB1" s="27" t="s">
        <v>884</v>
      </c>
      <c r="AHC1" s="27" t="s">
        <v>885</v>
      </c>
      <c r="AHD1" s="27" t="s">
        <v>886</v>
      </c>
      <c r="AHE1" s="27" t="s">
        <v>887</v>
      </c>
      <c r="AHF1" s="27" t="s">
        <v>888</v>
      </c>
      <c r="AHG1" s="27" t="s">
        <v>889</v>
      </c>
      <c r="AHH1" s="27" t="s">
        <v>890</v>
      </c>
      <c r="AHI1" s="27" t="s">
        <v>891</v>
      </c>
      <c r="AHJ1" s="27" t="s">
        <v>892</v>
      </c>
      <c r="AHK1" s="27" t="s">
        <v>893</v>
      </c>
      <c r="AHL1" s="27" t="s">
        <v>894</v>
      </c>
      <c r="AHM1" s="27" t="s">
        <v>895</v>
      </c>
      <c r="AHN1" s="27" t="s">
        <v>896</v>
      </c>
      <c r="AHO1" s="27" t="s">
        <v>897</v>
      </c>
      <c r="AHP1" s="27" t="s">
        <v>898</v>
      </c>
      <c r="AHQ1" s="27" t="s">
        <v>899</v>
      </c>
      <c r="AHR1" s="27" t="s">
        <v>900</v>
      </c>
      <c r="AHS1" s="27" t="s">
        <v>901</v>
      </c>
      <c r="AHT1" s="27" t="s">
        <v>902</v>
      </c>
      <c r="AHU1" s="27" t="s">
        <v>903</v>
      </c>
      <c r="AHV1" s="27" t="s">
        <v>904</v>
      </c>
      <c r="AHW1" s="27" t="s">
        <v>905</v>
      </c>
      <c r="AHX1" s="27" t="s">
        <v>906</v>
      </c>
      <c r="AHY1" s="27" t="s">
        <v>907</v>
      </c>
      <c r="AHZ1" s="27" t="s">
        <v>908</v>
      </c>
      <c r="AIA1" s="27" t="s">
        <v>909</v>
      </c>
      <c r="AIB1" s="27" t="s">
        <v>910</v>
      </c>
      <c r="AIC1" s="27" t="s">
        <v>911</v>
      </c>
      <c r="AID1" s="27" t="s">
        <v>912</v>
      </c>
      <c r="AIE1" s="27" t="s">
        <v>913</v>
      </c>
      <c r="AIF1" s="27" t="s">
        <v>914</v>
      </c>
      <c r="AIG1" s="27" t="s">
        <v>915</v>
      </c>
      <c r="AIH1" s="27" t="s">
        <v>916</v>
      </c>
      <c r="AII1" s="27" t="s">
        <v>917</v>
      </c>
      <c r="AIJ1" s="27" t="s">
        <v>918</v>
      </c>
      <c r="AIK1" s="27" t="s">
        <v>919</v>
      </c>
      <c r="AIL1" s="27" t="s">
        <v>920</v>
      </c>
      <c r="AIM1" s="27" t="s">
        <v>921</v>
      </c>
      <c r="AIN1" s="27" t="s">
        <v>922</v>
      </c>
      <c r="AIO1" s="27" t="s">
        <v>923</v>
      </c>
      <c r="AIP1" s="27" t="s">
        <v>924</v>
      </c>
      <c r="AIQ1" s="27" t="s">
        <v>925</v>
      </c>
      <c r="AIR1" s="27" t="s">
        <v>926</v>
      </c>
      <c r="AIS1" s="27" t="s">
        <v>927</v>
      </c>
      <c r="AIT1" s="27" t="s">
        <v>928</v>
      </c>
      <c r="AIU1" s="27" t="s">
        <v>929</v>
      </c>
      <c r="AIV1" s="27" t="s">
        <v>930</v>
      </c>
      <c r="AIW1" s="27" t="s">
        <v>931</v>
      </c>
      <c r="AIX1" s="27" t="s">
        <v>932</v>
      </c>
      <c r="AIY1" s="27" t="s">
        <v>933</v>
      </c>
      <c r="AIZ1" s="27" t="s">
        <v>934</v>
      </c>
      <c r="AJA1" s="27" t="s">
        <v>935</v>
      </c>
      <c r="AJB1" s="27" t="s">
        <v>936</v>
      </c>
      <c r="AJC1" s="27" t="s">
        <v>937</v>
      </c>
      <c r="AJD1" s="27" t="s">
        <v>938</v>
      </c>
      <c r="AJE1" s="27" t="s">
        <v>939</v>
      </c>
      <c r="AJF1" s="27" t="s">
        <v>940</v>
      </c>
      <c r="AJG1" s="27" t="s">
        <v>941</v>
      </c>
      <c r="AJH1" s="27" t="s">
        <v>942</v>
      </c>
      <c r="AJI1" s="27" t="s">
        <v>943</v>
      </c>
      <c r="AJJ1" s="27" t="s">
        <v>944</v>
      </c>
      <c r="AJK1" s="27" t="s">
        <v>945</v>
      </c>
      <c r="AJL1" s="27" t="s">
        <v>946</v>
      </c>
      <c r="AJM1" s="27" t="s">
        <v>947</v>
      </c>
      <c r="AJN1" s="27" t="s">
        <v>948</v>
      </c>
      <c r="AJO1" s="27" t="s">
        <v>949</v>
      </c>
      <c r="AJP1" s="27" t="s">
        <v>950</v>
      </c>
      <c r="AJQ1" s="27" t="s">
        <v>951</v>
      </c>
      <c r="AJR1" s="27" t="s">
        <v>952</v>
      </c>
      <c r="AJS1" s="27" t="s">
        <v>953</v>
      </c>
      <c r="AJT1" s="27" t="s">
        <v>954</v>
      </c>
      <c r="AJU1" s="27" t="s">
        <v>955</v>
      </c>
      <c r="AJV1" s="27" t="s">
        <v>956</v>
      </c>
      <c r="AJW1" s="27" t="s">
        <v>957</v>
      </c>
      <c r="AJX1" s="27" t="s">
        <v>958</v>
      </c>
      <c r="AJY1" s="27" t="s">
        <v>959</v>
      </c>
      <c r="AJZ1" s="27" t="s">
        <v>960</v>
      </c>
      <c r="AKA1" s="27" t="s">
        <v>961</v>
      </c>
      <c r="AKB1" s="27" t="s">
        <v>962</v>
      </c>
      <c r="AKC1" s="27" t="s">
        <v>963</v>
      </c>
      <c r="AKD1" s="27" t="s">
        <v>964</v>
      </c>
      <c r="AKE1" s="27" t="s">
        <v>965</v>
      </c>
      <c r="AKF1" s="27" t="s">
        <v>966</v>
      </c>
      <c r="AKG1" s="27" t="s">
        <v>967</v>
      </c>
      <c r="AKH1" s="27" t="s">
        <v>968</v>
      </c>
      <c r="AKI1" s="27" t="s">
        <v>969</v>
      </c>
      <c r="AKJ1" s="27" t="s">
        <v>970</v>
      </c>
      <c r="AKK1" s="27" t="s">
        <v>971</v>
      </c>
      <c r="AKL1" s="27" t="s">
        <v>972</v>
      </c>
      <c r="AKM1" s="27" t="s">
        <v>973</v>
      </c>
      <c r="AKN1" s="27" t="s">
        <v>974</v>
      </c>
      <c r="AKO1" s="27" t="s">
        <v>975</v>
      </c>
      <c r="AKP1" s="27" t="s">
        <v>976</v>
      </c>
      <c r="AKQ1" s="27" t="s">
        <v>977</v>
      </c>
      <c r="AKR1" s="27" t="s">
        <v>978</v>
      </c>
      <c r="AKS1" s="27" t="s">
        <v>979</v>
      </c>
      <c r="AKT1" s="27" t="s">
        <v>980</v>
      </c>
      <c r="AKU1" s="27" t="s">
        <v>981</v>
      </c>
      <c r="AKV1" s="27" t="s">
        <v>982</v>
      </c>
      <c r="AKW1" s="27" t="s">
        <v>983</v>
      </c>
      <c r="AKX1" s="27" t="s">
        <v>984</v>
      </c>
      <c r="AKY1" s="27" t="s">
        <v>985</v>
      </c>
      <c r="AKZ1" s="27" t="s">
        <v>986</v>
      </c>
      <c r="ALA1" s="27" t="s">
        <v>987</v>
      </c>
      <c r="ALB1" s="27" t="s">
        <v>988</v>
      </c>
      <c r="ALC1" s="27" t="s">
        <v>989</v>
      </c>
      <c r="ALD1" s="27" t="s">
        <v>990</v>
      </c>
      <c r="ALE1" s="27" t="s">
        <v>991</v>
      </c>
      <c r="ALF1" s="27" t="s">
        <v>992</v>
      </c>
      <c r="ALG1" s="27" t="s">
        <v>993</v>
      </c>
      <c r="ALH1" s="27" t="s">
        <v>994</v>
      </c>
      <c r="ALI1" s="27" t="s">
        <v>995</v>
      </c>
      <c r="ALJ1" s="27" t="s">
        <v>996</v>
      </c>
      <c r="ALK1" s="27" t="s">
        <v>997</v>
      </c>
      <c r="ALL1" s="27" t="s">
        <v>998</v>
      </c>
      <c r="ALM1" s="27" t="s">
        <v>999</v>
      </c>
      <c r="ALN1" s="27" t="s">
        <v>1000</v>
      </c>
      <c r="ALO1" s="27" t="s">
        <v>1001</v>
      </c>
      <c r="ALP1" s="27" t="s">
        <v>1002</v>
      </c>
      <c r="ALQ1" s="27" t="s">
        <v>1003</v>
      </c>
      <c r="ALR1" s="27" t="s">
        <v>1004</v>
      </c>
      <c r="ALS1" s="27" t="s">
        <v>1005</v>
      </c>
      <c r="ALT1" s="27" t="s">
        <v>1006</v>
      </c>
      <c r="ALU1" s="27" t="s">
        <v>1007</v>
      </c>
      <c r="ALV1" s="27" t="s">
        <v>1008</v>
      </c>
      <c r="ALW1" s="27" t="s">
        <v>1009</v>
      </c>
      <c r="ALX1" s="27" t="s">
        <v>1010</v>
      </c>
      <c r="ALY1" s="27" t="s">
        <v>1011</v>
      </c>
      <c r="ALZ1" s="27" t="s">
        <v>1012</v>
      </c>
      <c r="AMA1" s="27" t="s">
        <v>1013</v>
      </c>
      <c r="AMB1" s="27" t="s">
        <v>1014</v>
      </c>
      <c r="AMC1" s="27" t="s">
        <v>1015</v>
      </c>
      <c r="AMD1" s="27" t="s">
        <v>1016</v>
      </c>
      <c r="AME1" s="27" t="s">
        <v>1017</v>
      </c>
      <c r="AMF1" s="27" t="s">
        <v>1018</v>
      </c>
      <c r="AMG1" s="27" t="s">
        <v>1019</v>
      </c>
      <c r="AMH1" s="27" t="s">
        <v>1020</v>
      </c>
      <c r="AMI1" s="27" t="s">
        <v>1021</v>
      </c>
      <c r="AMJ1" s="27" t="s">
        <v>1022</v>
      </c>
      <c r="AMK1" s="27" t="s">
        <v>1023</v>
      </c>
      <c r="AML1" s="27" t="s">
        <v>1024</v>
      </c>
      <c r="AMM1" s="27" t="s">
        <v>1025</v>
      </c>
      <c r="AMN1" s="27" t="s">
        <v>1026</v>
      </c>
      <c r="AMO1" s="27" t="s">
        <v>1027</v>
      </c>
      <c r="AMP1" s="27" t="s">
        <v>1028</v>
      </c>
      <c r="AMQ1" s="27" t="s">
        <v>1029</v>
      </c>
      <c r="AMR1" s="27" t="s">
        <v>1030</v>
      </c>
      <c r="AMS1" s="27" t="s">
        <v>1031</v>
      </c>
      <c r="AMT1" s="27" t="s">
        <v>1032</v>
      </c>
      <c r="AMU1" s="27" t="s">
        <v>1033</v>
      </c>
      <c r="AMV1" s="27" t="s">
        <v>1034</v>
      </c>
      <c r="AMW1" s="27" t="s">
        <v>1035</v>
      </c>
      <c r="AMX1" s="27" t="s">
        <v>1036</v>
      </c>
      <c r="AMY1" s="27" t="s">
        <v>1037</v>
      </c>
      <c r="AMZ1" s="27" t="s">
        <v>1038</v>
      </c>
      <c r="ANA1" s="27" t="s">
        <v>1039</v>
      </c>
      <c r="ANB1" s="27" t="s">
        <v>1040</v>
      </c>
      <c r="ANC1" s="27" t="s">
        <v>1041</v>
      </c>
      <c r="AND1" s="27" t="s">
        <v>1042</v>
      </c>
      <c r="ANE1" s="27" t="s">
        <v>1043</v>
      </c>
      <c r="ANF1" s="27" t="s">
        <v>1044</v>
      </c>
      <c r="ANG1" s="27" t="s">
        <v>1045</v>
      </c>
      <c r="ANH1" s="27" t="s">
        <v>1046</v>
      </c>
      <c r="ANI1" s="27" t="s">
        <v>1047</v>
      </c>
      <c r="ANJ1" s="27" t="s">
        <v>1048</v>
      </c>
      <c r="ANK1" s="27" t="s">
        <v>1049</v>
      </c>
      <c r="ANL1" s="27" t="s">
        <v>1050</v>
      </c>
      <c r="ANM1" s="27" t="s">
        <v>1051</v>
      </c>
      <c r="ANN1" s="27" t="s">
        <v>1052</v>
      </c>
      <c r="ANO1" s="27" t="s">
        <v>1053</v>
      </c>
      <c r="ANP1" s="27" t="s">
        <v>1054</v>
      </c>
      <c r="ANQ1" s="27" t="s">
        <v>1055</v>
      </c>
      <c r="ANR1" s="27" t="s">
        <v>1056</v>
      </c>
      <c r="ANS1" s="27" t="s">
        <v>1057</v>
      </c>
      <c r="ANT1" s="27" t="s">
        <v>1058</v>
      </c>
      <c r="ANU1" s="27" t="s">
        <v>1059</v>
      </c>
      <c r="ANV1" s="27" t="s">
        <v>1060</v>
      </c>
      <c r="ANW1" s="27" t="s">
        <v>1061</v>
      </c>
      <c r="ANX1" s="27" t="s">
        <v>1062</v>
      </c>
      <c r="ANY1" s="27" t="s">
        <v>1063</v>
      </c>
      <c r="ANZ1" s="27" t="s">
        <v>1064</v>
      </c>
      <c r="AOA1" s="27" t="s">
        <v>1065</v>
      </c>
      <c r="AOB1" s="27" t="s">
        <v>1066</v>
      </c>
      <c r="AOC1" s="27" t="s">
        <v>1067</v>
      </c>
      <c r="AOD1" s="27" t="s">
        <v>1068</v>
      </c>
      <c r="AOE1" s="27" t="s">
        <v>1069</v>
      </c>
      <c r="AOF1" s="27" t="s">
        <v>1070</v>
      </c>
      <c r="AOG1" s="27" t="s">
        <v>1071</v>
      </c>
      <c r="AOH1" s="27" t="s">
        <v>1072</v>
      </c>
      <c r="AOI1" s="27" t="s">
        <v>1073</v>
      </c>
      <c r="AOJ1" s="27" t="s">
        <v>1074</v>
      </c>
      <c r="AOK1" s="27" t="s">
        <v>1075</v>
      </c>
      <c r="AOL1" s="27" t="s">
        <v>1076</v>
      </c>
      <c r="AOM1" s="27" t="s">
        <v>1077</v>
      </c>
      <c r="AON1" s="27" t="s">
        <v>1078</v>
      </c>
      <c r="AOO1" s="27" t="s">
        <v>1079</v>
      </c>
      <c r="AOP1" s="27" t="s">
        <v>1080</v>
      </c>
      <c r="AOQ1" s="27" t="s">
        <v>1081</v>
      </c>
      <c r="AOR1" s="27" t="s">
        <v>1082</v>
      </c>
      <c r="AOS1" s="27" t="s">
        <v>1083</v>
      </c>
      <c r="AOT1" s="27" t="s">
        <v>1084</v>
      </c>
      <c r="AOU1" s="27" t="s">
        <v>1085</v>
      </c>
      <c r="AOV1" s="27" t="s">
        <v>1086</v>
      </c>
      <c r="AOW1" s="27" t="s">
        <v>1087</v>
      </c>
      <c r="AOX1" s="27" t="s">
        <v>1088</v>
      </c>
      <c r="AOY1" s="27" t="s">
        <v>1089</v>
      </c>
      <c r="AOZ1" s="27" t="s">
        <v>1090</v>
      </c>
      <c r="APA1" s="27" t="s">
        <v>1091</v>
      </c>
      <c r="APB1" s="27" t="s">
        <v>1092</v>
      </c>
      <c r="APC1" s="27" t="s">
        <v>1093</v>
      </c>
      <c r="APD1" s="27" t="s">
        <v>1094</v>
      </c>
      <c r="APE1" s="27" t="s">
        <v>1095</v>
      </c>
      <c r="APF1" s="27" t="s">
        <v>1096</v>
      </c>
      <c r="APG1" s="27" t="s">
        <v>1097</v>
      </c>
      <c r="APH1" s="27" t="s">
        <v>1098</v>
      </c>
      <c r="API1" s="27" t="s">
        <v>1099</v>
      </c>
      <c r="APJ1" s="27" t="s">
        <v>1100</v>
      </c>
      <c r="APK1" s="27" t="s">
        <v>1101</v>
      </c>
      <c r="APL1" s="27" t="s">
        <v>1102</v>
      </c>
      <c r="APM1" s="27" t="s">
        <v>1103</v>
      </c>
      <c r="APN1" s="27" t="s">
        <v>1104</v>
      </c>
      <c r="APO1" s="27" t="s">
        <v>1105</v>
      </c>
      <c r="APP1" s="27" t="s">
        <v>1106</v>
      </c>
      <c r="APQ1" s="27" t="s">
        <v>1107</v>
      </c>
      <c r="APR1" s="27" t="s">
        <v>1108</v>
      </c>
      <c r="APS1" s="27" t="s">
        <v>1109</v>
      </c>
      <c r="APT1" s="27" t="s">
        <v>1110</v>
      </c>
      <c r="APU1" s="27" t="s">
        <v>1111</v>
      </c>
      <c r="APV1" s="27" t="s">
        <v>1112</v>
      </c>
      <c r="APW1" s="27" t="s">
        <v>1113</v>
      </c>
      <c r="APX1" s="27" t="s">
        <v>1114</v>
      </c>
      <c r="APY1" s="27" t="s">
        <v>1115</v>
      </c>
      <c r="APZ1" s="27" t="s">
        <v>1116</v>
      </c>
      <c r="AQA1" s="27" t="s">
        <v>1117</v>
      </c>
      <c r="AQB1" s="27" t="s">
        <v>1118</v>
      </c>
      <c r="AQC1" s="27" t="s">
        <v>1119</v>
      </c>
      <c r="AQD1" s="27" t="s">
        <v>1120</v>
      </c>
      <c r="AQE1" s="27" t="s">
        <v>1121</v>
      </c>
      <c r="AQF1" s="27" t="s">
        <v>1122</v>
      </c>
      <c r="AQG1" s="27" t="s">
        <v>1123</v>
      </c>
      <c r="AQH1" s="27" t="s">
        <v>1124</v>
      </c>
      <c r="AQI1" s="27" t="s">
        <v>1125</v>
      </c>
      <c r="AQJ1" s="27" t="s">
        <v>1126</v>
      </c>
      <c r="AQK1" s="27" t="s">
        <v>1127</v>
      </c>
      <c r="AQL1" s="27" t="s">
        <v>1128</v>
      </c>
      <c r="AQM1" s="27" t="s">
        <v>1129</v>
      </c>
      <c r="AQN1" s="27" t="s">
        <v>1130</v>
      </c>
      <c r="AQO1" s="27" t="s">
        <v>1131</v>
      </c>
      <c r="AQP1" s="27" t="s">
        <v>1132</v>
      </c>
      <c r="AQQ1" s="27" t="s">
        <v>1133</v>
      </c>
      <c r="AQR1" s="27" t="s">
        <v>1134</v>
      </c>
      <c r="AQS1" s="27" t="s">
        <v>1135</v>
      </c>
      <c r="AQT1" s="27" t="s">
        <v>1136</v>
      </c>
      <c r="AQU1" s="27" t="s">
        <v>1137</v>
      </c>
      <c r="AQV1" s="27" t="s">
        <v>1138</v>
      </c>
      <c r="AQW1" s="27" t="s">
        <v>1139</v>
      </c>
      <c r="AQX1" s="27" t="s">
        <v>1140</v>
      </c>
      <c r="AQY1" s="27" t="s">
        <v>1141</v>
      </c>
      <c r="AQZ1" s="27" t="s">
        <v>1142</v>
      </c>
      <c r="ARA1" s="27" t="s">
        <v>1143</v>
      </c>
      <c r="ARB1" s="27" t="s">
        <v>1144</v>
      </c>
      <c r="ARC1" s="27" t="s">
        <v>1145</v>
      </c>
      <c r="ARD1" s="27" t="s">
        <v>1146</v>
      </c>
      <c r="ARE1" s="27" t="s">
        <v>1147</v>
      </c>
      <c r="ARF1" s="27" t="s">
        <v>1148</v>
      </c>
      <c r="ARG1" s="27" t="s">
        <v>1149</v>
      </c>
      <c r="ARH1" s="27" t="s">
        <v>1150</v>
      </c>
      <c r="ARI1" s="27" t="s">
        <v>1151</v>
      </c>
      <c r="ARJ1" s="27" t="s">
        <v>1152</v>
      </c>
      <c r="ARK1" s="27" t="s">
        <v>1153</v>
      </c>
      <c r="ARL1" s="27" t="s">
        <v>1154</v>
      </c>
      <c r="ARM1" s="27" t="s">
        <v>1155</v>
      </c>
      <c r="ARN1" s="27" t="s">
        <v>1156</v>
      </c>
      <c r="ARO1" s="27" t="s">
        <v>1157</v>
      </c>
      <c r="ARP1" s="27" t="s">
        <v>1158</v>
      </c>
      <c r="ARQ1" s="27" t="s">
        <v>1159</v>
      </c>
      <c r="ARR1" s="27" t="s">
        <v>1160</v>
      </c>
      <c r="ARS1" s="27" t="s">
        <v>1161</v>
      </c>
      <c r="ART1" s="27" t="s">
        <v>1162</v>
      </c>
      <c r="ARU1" s="27" t="s">
        <v>1163</v>
      </c>
      <c r="ARV1" s="27" t="s">
        <v>1164</v>
      </c>
      <c r="ARW1" s="27" t="s">
        <v>1165</v>
      </c>
      <c r="ARX1" s="27" t="s">
        <v>1166</v>
      </c>
      <c r="ARY1" s="27" t="s">
        <v>1167</v>
      </c>
      <c r="ARZ1" s="27" t="s">
        <v>1168</v>
      </c>
      <c r="ASA1" s="27" t="s">
        <v>1169</v>
      </c>
      <c r="ASB1" s="27" t="s">
        <v>1170</v>
      </c>
      <c r="ASC1" s="27" t="s">
        <v>1171</v>
      </c>
      <c r="ASD1" s="27" t="s">
        <v>1172</v>
      </c>
      <c r="ASE1" s="27" t="s">
        <v>1173</v>
      </c>
      <c r="ASF1" s="27" t="s">
        <v>1174</v>
      </c>
      <c r="ASG1" s="27" t="s">
        <v>1175</v>
      </c>
      <c r="ASH1" s="27" t="s">
        <v>1176</v>
      </c>
      <c r="ASI1" s="27" t="s">
        <v>1177</v>
      </c>
      <c r="ASJ1" s="27" t="s">
        <v>1178</v>
      </c>
      <c r="ASK1" s="27" t="s">
        <v>1179</v>
      </c>
      <c r="ASL1" s="27" t="s">
        <v>1180</v>
      </c>
      <c r="ASM1" s="27" t="s">
        <v>1181</v>
      </c>
      <c r="ASN1" s="27" t="s">
        <v>1182</v>
      </c>
      <c r="ASO1" s="27" t="s">
        <v>1183</v>
      </c>
      <c r="ASP1" s="27" t="s">
        <v>1184</v>
      </c>
      <c r="ASQ1" s="27" t="s">
        <v>1185</v>
      </c>
      <c r="ASR1" s="27" t="s">
        <v>1186</v>
      </c>
      <c r="ASS1" s="27" t="s">
        <v>1187</v>
      </c>
      <c r="AST1" s="27" t="s">
        <v>1188</v>
      </c>
      <c r="ASU1" s="27" t="s">
        <v>1189</v>
      </c>
      <c r="ASV1" s="27" t="s">
        <v>1190</v>
      </c>
      <c r="ASW1" s="27" t="s">
        <v>1191</v>
      </c>
      <c r="ASX1" s="27" t="s">
        <v>1192</v>
      </c>
      <c r="ASY1" s="27" t="s">
        <v>1193</v>
      </c>
      <c r="ASZ1" s="27" t="s">
        <v>1194</v>
      </c>
      <c r="ATA1" s="27" t="s">
        <v>1195</v>
      </c>
      <c r="ATB1" s="27" t="s">
        <v>1196</v>
      </c>
      <c r="ATC1" s="27" t="s">
        <v>1197</v>
      </c>
      <c r="ATD1" s="27" t="s">
        <v>1198</v>
      </c>
      <c r="ATE1" s="27" t="s">
        <v>1199</v>
      </c>
      <c r="ATF1" s="27" t="s">
        <v>1200</v>
      </c>
      <c r="ATG1" s="27" t="s">
        <v>1201</v>
      </c>
      <c r="ATH1" s="27" t="s">
        <v>1202</v>
      </c>
      <c r="ATI1" s="27" t="s">
        <v>1203</v>
      </c>
      <c r="ATJ1" s="27" t="s">
        <v>1204</v>
      </c>
      <c r="ATK1" s="27" t="s">
        <v>1205</v>
      </c>
      <c r="ATL1" s="27" t="s">
        <v>1206</v>
      </c>
      <c r="ATM1" s="27" t="s">
        <v>1207</v>
      </c>
      <c r="ATN1" s="27" t="s">
        <v>1208</v>
      </c>
      <c r="ATO1" s="27" t="s">
        <v>1209</v>
      </c>
      <c r="ATP1" s="27" t="s">
        <v>1210</v>
      </c>
      <c r="ATQ1" s="27" t="s">
        <v>1211</v>
      </c>
      <c r="ATR1" s="27" t="s">
        <v>1212</v>
      </c>
      <c r="ATS1" s="27" t="s">
        <v>1213</v>
      </c>
      <c r="ATT1" s="27" t="s">
        <v>1214</v>
      </c>
      <c r="ATU1" s="27" t="s">
        <v>1215</v>
      </c>
      <c r="ATV1" s="27" t="s">
        <v>1216</v>
      </c>
      <c r="ATW1" s="27" t="s">
        <v>1217</v>
      </c>
      <c r="ATX1" s="27" t="s">
        <v>1218</v>
      </c>
      <c r="ATY1" s="27" t="s">
        <v>1219</v>
      </c>
      <c r="ATZ1" s="27" t="s">
        <v>1220</v>
      </c>
      <c r="AUA1" s="27" t="s">
        <v>1221</v>
      </c>
      <c r="AUB1" s="27" t="s">
        <v>1222</v>
      </c>
      <c r="AUC1" s="27" t="s">
        <v>1223</v>
      </c>
      <c r="AUD1" s="27" t="s">
        <v>1224</v>
      </c>
      <c r="AUE1" s="27" t="s">
        <v>1225</v>
      </c>
      <c r="AUF1" s="27" t="s">
        <v>1226</v>
      </c>
      <c r="AUG1" s="27" t="s">
        <v>1227</v>
      </c>
      <c r="AUH1" s="27" t="s">
        <v>1228</v>
      </c>
      <c r="AUI1" s="27" t="s">
        <v>1229</v>
      </c>
      <c r="AUJ1" s="27" t="s">
        <v>1230</v>
      </c>
      <c r="AUK1" s="27" t="s">
        <v>1231</v>
      </c>
      <c r="AUL1" s="27" t="s">
        <v>1232</v>
      </c>
      <c r="AUM1" s="27" t="s">
        <v>1233</v>
      </c>
      <c r="AUN1" s="27" t="s">
        <v>1234</v>
      </c>
      <c r="AUO1" s="27" t="s">
        <v>1235</v>
      </c>
      <c r="AUP1" s="27" t="s">
        <v>1236</v>
      </c>
      <c r="AUQ1" s="27" t="s">
        <v>1237</v>
      </c>
      <c r="AUR1" s="27" t="s">
        <v>1238</v>
      </c>
      <c r="AUS1" s="27" t="s">
        <v>1239</v>
      </c>
      <c r="AUT1" s="27" t="s">
        <v>1240</v>
      </c>
      <c r="AUU1" s="27" t="s">
        <v>1241</v>
      </c>
      <c r="AUV1" s="27" t="s">
        <v>1242</v>
      </c>
      <c r="AUW1" s="27" t="s">
        <v>1243</v>
      </c>
      <c r="AUX1" s="27" t="s">
        <v>1244</v>
      </c>
      <c r="AUY1" s="27" t="s">
        <v>1245</v>
      </c>
      <c r="AUZ1" s="27" t="s">
        <v>1246</v>
      </c>
      <c r="AVA1" s="27" t="s">
        <v>1247</v>
      </c>
      <c r="AVB1" s="27" t="s">
        <v>1248</v>
      </c>
      <c r="AVC1" s="27" t="s">
        <v>1249</v>
      </c>
      <c r="AVD1" s="27" t="s">
        <v>1250</v>
      </c>
      <c r="AVE1" s="27" t="s">
        <v>1251</v>
      </c>
      <c r="AVF1" s="27" t="s">
        <v>1252</v>
      </c>
      <c r="AVG1" s="27" t="s">
        <v>1253</v>
      </c>
      <c r="AVH1" s="27" t="s">
        <v>1254</v>
      </c>
      <c r="AVI1" s="27" t="s">
        <v>1255</v>
      </c>
      <c r="AVJ1" s="27" t="s">
        <v>1256</v>
      </c>
      <c r="AVK1" s="27" t="s">
        <v>1257</v>
      </c>
      <c r="AVL1" s="27" t="s">
        <v>1258</v>
      </c>
      <c r="AVM1" s="27" t="s">
        <v>1259</v>
      </c>
      <c r="AVN1" s="27" t="s">
        <v>1260</v>
      </c>
      <c r="AVO1" s="27" t="s">
        <v>1261</v>
      </c>
      <c r="AVP1" s="27" t="s">
        <v>1262</v>
      </c>
      <c r="AVQ1" s="27" t="s">
        <v>1263</v>
      </c>
      <c r="AVR1" s="27" t="s">
        <v>1264</v>
      </c>
      <c r="AVS1" s="27" t="s">
        <v>1265</v>
      </c>
      <c r="AVT1" s="27" t="s">
        <v>1266</v>
      </c>
      <c r="AVU1" s="27" t="s">
        <v>1267</v>
      </c>
      <c r="AVV1" s="27" t="s">
        <v>1268</v>
      </c>
      <c r="AVW1" s="27" t="s">
        <v>1269</v>
      </c>
      <c r="AVX1" s="27" t="s">
        <v>1270</v>
      </c>
      <c r="AVY1" s="27" t="s">
        <v>1271</v>
      </c>
      <c r="AVZ1" s="27" t="s">
        <v>1272</v>
      </c>
      <c r="AWA1" s="27" t="s">
        <v>1273</v>
      </c>
      <c r="AWB1" s="27" t="s">
        <v>1274</v>
      </c>
      <c r="AWC1" s="27" t="s">
        <v>1275</v>
      </c>
      <c r="AWD1" s="27" t="s">
        <v>1276</v>
      </c>
      <c r="AWE1" s="27" t="s">
        <v>1277</v>
      </c>
      <c r="AWF1" s="27" t="s">
        <v>1278</v>
      </c>
      <c r="AWG1" s="27" t="s">
        <v>1279</v>
      </c>
      <c r="AWH1" s="27" t="s">
        <v>1280</v>
      </c>
      <c r="AWI1" s="27" t="s">
        <v>1281</v>
      </c>
      <c r="AWJ1" s="27" t="s">
        <v>1282</v>
      </c>
      <c r="AWK1" s="27" t="s">
        <v>1283</v>
      </c>
      <c r="AWL1" s="27" t="s">
        <v>1284</v>
      </c>
      <c r="AWM1" s="27" t="s">
        <v>1285</v>
      </c>
      <c r="AWN1" s="27" t="s">
        <v>1286</v>
      </c>
      <c r="AWO1" s="27" t="s">
        <v>1287</v>
      </c>
      <c r="AWP1" s="27" t="s">
        <v>1288</v>
      </c>
      <c r="AWQ1" s="27" t="s">
        <v>1289</v>
      </c>
      <c r="AWR1" s="27" t="s">
        <v>1290</v>
      </c>
      <c r="AWS1" s="27" t="s">
        <v>1291</v>
      </c>
      <c r="AWT1" s="27" t="s">
        <v>1292</v>
      </c>
      <c r="AWU1" s="27" t="s">
        <v>1293</v>
      </c>
      <c r="AWV1" s="27" t="s">
        <v>1294</v>
      </c>
      <c r="AWW1" s="27" t="s">
        <v>1295</v>
      </c>
      <c r="AWX1" s="27" t="s">
        <v>1296</v>
      </c>
      <c r="AWY1" s="27" t="s">
        <v>1297</v>
      </c>
      <c r="AWZ1" s="27" t="s">
        <v>1298</v>
      </c>
      <c r="AXA1" s="27" t="s">
        <v>1299</v>
      </c>
      <c r="AXB1" s="27" t="s">
        <v>1300</v>
      </c>
      <c r="AXC1" s="27" t="s">
        <v>1301</v>
      </c>
      <c r="AXD1" s="27" t="s">
        <v>1302</v>
      </c>
      <c r="AXE1" s="27" t="s">
        <v>1303</v>
      </c>
      <c r="AXF1" s="27" t="s">
        <v>1304</v>
      </c>
      <c r="AXG1" s="27" t="s">
        <v>1305</v>
      </c>
      <c r="AXH1" s="27" t="s">
        <v>1306</v>
      </c>
      <c r="AXI1" s="27" t="s">
        <v>1307</v>
      </c>
      <c r="AXJ1" s="27" t="s">
        <v>1308</v>
      </c>
      <c r="AXK1" s="27" t="s">
        <v>1309</v>
      </c>
      <c r="AXL1" s="27" t="s">
        <v>1310</v>
      </c>
      <c r="AXM1" s="27" t="s">
        <v>1311</v>
      </c>
      <c r="AXN1" s="27" t="s">
        <v>1312</v>
      </c>
      <c r="AXO1" s="27" t="s">
        <v>1313</v>
      </c>
      <c r="AXP1" s="27" t="s">
        <v>1314</v>
      </c>
      <c r="AXQ1" s="27" t="s">
        <v>1315</v>
      </c>
      <c r="AXR1" s="27" t="s">
        <v>1316</v>
      </c>
      <c r="AXS1" s="27" t="s">
        <v>1317</v>
      </c>
      <c r="AXT1" s="27" t="s">
        <v>1318</v>
      </c>
      <c r="AXU1" s="27" t="s">
        <v>1319</v>
      </c>
      <c r="AXV1" s="27" t="s">
        <v>1320</v>
      </c>
      <c r="AXW1" s="27" t="s">
        <v>1321</v>
      </c>
      <c r="AXX1" s="27" t="s">
        <v>1322</v>
      </c>
      <c r="AXY1" s="27" t="s">
        <v>1323</v>
      </c>
      <c r="AXZ1" s="27" t="s">
        <v>1324</v>
      </c>
      <c r="AYA1" s="27" t="s">
        <v>1325</v>
      </c>
      <c r="AYB1" s="27" t="s">
        <v>1326</v>
      </c>
      <c r="AYC1" s="27" t="s">
        <v>1327</v>
      </c>
      <c r="AYD1" s="27" t="s">
        <v>1328</v>
      </c>
      <c r="AYE1" s="27" t="s">
        <v>1329</v>
      </c>
      <c r="AYF1" s="27" t="s">
        <v>1330</v>
      </c>
      <c r="AYG1" s="27" t="s">
        <v>1331</v>
      </c>
      <c r="AYH1" s="27" t="s">
        <v>1332</v>
      </c>
      <c r="AYI1" s="27" t="s">
        <v>1333</v>
      </c>
      <c r="AYJ1" s="27" t="s">
        <v>1334</v>
      </c>
      <c r="AYK1" s="27" t="s">
        <v>1335</v>
      </c>
      <c r="AYL1" s="27" t="s">
        <v>1336</v>
      </c>
      <c r="AYM1" s="27" t="s">
        <v>1337</v>
      </c>
      <c r="AYN1" s="27" t="s">
        <v>1338</v>
      </c>
      <c r="AYO1" s="27" t="s">
        <v>1339</v>
      </c>
      <c r="AYP1" s="27" t="s">
        <v>1340</v>
      </c>
      <c r="AYQ1" s="27" t="s">
        <v>1341</v>
      </c>
      <c r="AYR1" s="27" t="s">
        <v>1342</v>
      </c>
      <c r="AYS1" s="27" t="s">
        <v>1343</v>
      </c>
      <c r="AYT1" s="27" t="s">
        <v>1344</v>
      </c>
      <c r="AYU1" s="27" t="s">
        <v>1345</v>
      </c>
      <c r="AYV1" s="27" t="s">
        <v>1346</v>
      </c>
      <c r="AYW1" s="27" t="s">
        <v>1347</v>
      </c>
      <c r="AYX1" s="27" t="s">
        <v>1348</v>
      </c>
      <c r="AYY1" s="27" t="s">
        <v>1349</v>
      </c>
      <c r="AYZ1" s="27" t="s">
        <v>1350</v>
      </c>
      <c r="AZA1" s="27" t="s">
        <v>1351</v>
      </c>
      <c r="AZB1" s="27" t="s">
        <v>1352</v>
      </c>
      <c r="AZC1" s="27" t="s">
        <v>1353</v>
      </c>
      <c r="AZD1" s="27" t="s">
        <v>1354</v>
      </c>
      <c r="AZE1" s="27" t="s">
        <v>1355</v>
      </c>
      <c r="AZF1" s="27" t="s">
        <v>1356</v>
      </c>
      <c r="AZG1" s="27" t="s">
        <v>1357</v>
      </c>
      <c r="AZH1" s="27" t="s">
        <v>1358</v>
      </c>
      <c r="AZI1" s="27" t="s">
        <v>1359</v>
      </c>
      <c r="AZJ1" s="27" t="s">
        <v>1360</v>
      </c>
      <c r="AZK1" s="27" t="s">
        <v>1361</v>
      </c>
      <c r="AZL1" s="27" t="s">
        <v>1362</v>
      </c>
      <c r="AZM1" s="27" t="s">
        <v>1363</v>
      </c>
      <c r="AZN1" s="27" t="s">
        <v>1364</v>
      </c>
      <c r="AZO1" s="27" t="s">
        <v>1365</v>
      </c>
      <c r="AZP1" s="27" t="s">
        <v>1366</v>
      </c>
      <c r="AZQ1" s="27" t="s">
        <v>1367</v>
      </c>
      <c r="AZR1" s="27" t="s">
        <v>1368</v>
      </c>
      <c r="AZS1" s="27" t="s">
        <v>1369</v>
      </c>
      <c r="AZT1" s="27" t="s">
        <v>1370</v>
      </c>
      <c r="AZU1" s="27" t="s">
        <v>1371</v>
      </c>
      <c r="AZV1" s="27" t="s">
        <v>1372</v>
      </c>
      <c r="AZW1" s="27" t="s">
        <v>1373</v>
      </c>
      <c r="AZX1" s="27" t="s">
        <v>1374</v>
      </c>
      <c r="AZY1" s="27" t="s">
        <v>1375</v>
      </c>
      <c r="AZZ1" s="27" t="s">
        <v>1376</v>
      </c>
      <c r="BAA1" s="27" t="s">
        <v>1377</v>
      </c>
      <c r="BAB1" s="27" t="s">
        <v>1378</v>
      </c>
      <c r="BAC1" s="27" t="s">
        <v>1379</v>
      </c>
      <c r="BAD1" s="27" t="s">
        <v>1380</v>
      </c>
      <c r="BAE1" s="27" t="s">
        <v>1381</v>
      </c>
      <c r="BAF1" s="27" t="s">
        <v>1382</v>
      </c>
      <c r="BAG1" s="27" t="s">
        <v>1383</v>
      </c>
      <c r="BAH1" s="27" t="s">
        <v>1384</v>
      </c>
      <c r="BAI1" s="27" t="s">
        <v>1385</v>
      </c>
      <c r="BAJ1" s="27" t="s">
        <v>1386</v>
      </c>
      <c r="BAK1" s="27" t="s">
        <v>1387</v>
      </c>
      <c r="BAL1" s="27" t="s">
        <v>1388</v>
      </c>
      <c r="BAM1" s="27" t="s">
        <v>1389</v>
      </c>
      <c r="BAN1" s="27" t="s">
        <v>1390</v>
      </c>
      <c r="BAO1" s="27" t="s">
        <v>1391</v>
      </c>
      <c r="BAP1" s="27" t="s">
        <v>1392</v>
      </c>
      <c r="BAQ1" s="27" t="s">
        <v>1393</v>
      </c>
      <c r="BAR1" s="27" t="s">
        <v>1394</v>
      </c>
      <c r="BAS1" s="27" t="s">
        <v>1395</v>
      </c>
      <c r="BAT1" s="27" t="s">
        <v>1396</v>
      </c>
      <c r="BAU1" s="27" t="s">
        <v>1397</v>
      </c>
      <c r="BAV1" s="27" t="s">
        <v>1398</v>
      </c>
      <c r="BAW1" s="27" t="s">
        <v>1399</v>
      </c>
      <c r="BAX1" s="27" t="s">
        <v>1400</v>
      </c>
      <c r="BAY1" s="27" t="s">
        <v>1401</v>
      </c>
      <c r="BAZ1" s="27" t="s">
        <v>1402</v>
      </c>
      <c r="BBA1" s="27" t="s">
        <v>1403</v>
      </c>
      <c r="BBB1" s="27" t="s">
        <v>1404</v>
      </c>
      <c r="BBC1" s="27" t="s">
        <v>1405</v>
      </c>
      <c r="BBD1" s="27" t="s">
        <v>1406</v>
      </c>
      <c r="BBE1" s="27" t="s">
        <v>1407</v>
      </c>
      <c r="BBF1" s="27" t="s">
        <v>1408</v>
      </c>
      <c r="BBG1" s="27" t="s">
        <v>1409</v>
      </c>
      <c r="BBH1" s="27" t="s">
        <v>1410</v>
      </c>
      <c r="BBI1" s="27" t="s">
        <v>1411</v>
      </c>
      <c r="BBJ1" s="27" t="s">
        <v>1412</v>
      </c>
      <c r="BBK1" s="27" t="s">
        <v>1413</v>
      </c>
      <c r="BBL1" s="27" t="s">
        <v>1414</v>
      </c>
      <c r="BBM1" s="27" t="s">
        <v>1415</v>
      </c>
      <c r="BBN1" s="27" t="s">
        <v>1416</v>
      </c>
      <c r="BBO1" s="27" t="s">
        <v>1417</v>
      </c>
      <c r="BBP1" s="27" t="s">
        <v>1418</v>
      </c>
      <c r="BBQ1" s="27" t="s">
        <v>1419</v>
      </c>
      <c r="BBR1" s="27" t="s">
        <v>1420</v>
      </c>
      <c r="BBS1" s="27" t="s">
        <v>1421</v>
      </c>
      <c r="BBT1" s="27" t="s">
        <v>1422</v>
      </c>
      <c r="BBU1" s="27" t="s">
        <v>1423</v>
      </c>
      <c r="BBV1" s="27" t="s">
        <v>1424</v>
      </c>
      <c r="BBW1" s="27" t="s">
        <v>1425</v>
      </c>
      <c r="BBX1" s="27" t="s">
        <v>1426</v>
      </c>
      <c r="BBY1" s="27" t="s">
        <v>1427</v>
      </c>
      <c r="BBZ1" s="27" t="s">
        <v>1428</v>
      </c>
      <c r="BCA1" s="27" t="s">
        <v>1429</v>
      </c>
      <c r="BCB1" s="27" t="s">
        <v>1430</v>
      </c>
      <c r="BCC1" s="27" t="s">
        <v>1431</v>
      </c>
      <c r="BCD1" s="27" t="s">
        <v>1432</v>
      </c>
      <c r="BCE1" s="27" t="s">
        <v>1433</v>
      </c>
      <c r="BCF1" s="27" t="s">
        <v>1434</v>
      </c>
      <c r="BCG1" s="27" t="s">
        <v>1435</v>
      </c>
      <c r="BCH1" s="27" t="s">
        <v>1436</v>
      </c>
      <c r="BCI1" s="27" t="s">
        <v>1437</v>
      </c>
      <c r="BCJ1" s="27" t="s">
        <v>1438</v>
      </c>
      <c r="BCK1" s="27" t="s">
        <v>1439</v>
      </c>
      <c r="BCL1" s="27" t="s">
        <v>1440</v>
      </c>
      <c r="BCM1" s="27" t="s">
        <v>1441</v>
      </c>
      <c r="BCN1" s="27" t="s">
        <v>1442</v>
      </c>
      <c r="BCO1" s="27" t="s">
        <v>1443</v>
      </c>
      <c r="BCP1" s="27" t="s">
        <v>1444</v>
      </c>
      <c r="BCQ1" s="27" t="s">
        <v>1445</v>
      </c>
      <c r="BCR1" s="27" t="s">
        <v>1446</v>
      </c>
      <c r="BCS1" s="27" t="s">
        <v>1447</v>
      </c>
      <c r="BCT1" s="27" t="s">
        <v>1448</v>
      </c>
      <c r="BCU1" s="27" t="s">
        <v>1449</v>
      </c>
      <c r="BCV1" s="27" t="s">
        <v>1450</v>
      </c>
      <c r="BCW1" s="27" t="s">
        <v>1451</v>
      </c>
      <c r="BCX1" s="27" t="s">
        <v>1452</v>
      </c>
      <c r="BCY1" s="27" t="s">
        <v>1453</v>
      </c>
      <c r="BCZ1" s="27" t="s">
        <v>1454</v>
      </c>
      <c r="BDA1" s="27" t="s">
        <v>1455</v>
      </c>
      <c r="BDB1" s="27" t="s">
        <v>1456</v>
      </c>
      <c r="BDC1" s="27" t="s">
        <v>1457</v>
      </c>
      <c r="BDD1" s="27" t="s">
        <v>1458</v>
      </c>
      <c r="BDE1" s="27" t="s">
        <v>1459</v>
      </c>
      <c r="BDF1" s="27" t="s">
        <v>1460</v>
      </c>
      <c r="BDG1" s="27" t="s">
        <v>1461</v>
      </c>
      <c r="BDH1" s="27" t="s">
        <v>1462</v>
      </c>
      <c r="BDI1" s="27" t="s">
        <v>1463</v>
      </c>
      <c r="BDJ1" s="27" t="s">
        <v>1464</v>
      </c>
      <c r="BDK1" s="27" t="s">
        <v>1465</v>
      </c>
      <c r="BDL1" s="27" t="s">
        <v>1466</v>
      </c>
      <c r="BDM1" s="27" t="s">
        <v>1467</v>
      </c>
      <c r="BDN1" s="27" t="s">
        <v>1468</v>
      </c>
      <c r="BDO1" s="27" t="s">
        <v>1469</v>
      </c>
      <c r="BDP1" s="27" t="s">
        <v>1470</v>
      </c>
      <c r="BDQ1" s="27" t="s">
        <v>1471</v>
      </c>
      <c r="BDR1" s="27" t="s">
        <v>1472</v>
      </c>
      <c r="BDS1" s="27" t="s">
        <v>1473</v>
      </c>
      <c r="BDT1" s="27" t="s">
        <v>1474</v>
      </c>
      <c r="BDU1" s="27" t="s">
        <v>1475</v>
      </c>
      <c r="BDV1" s="27" t="s">
        <v>1476</v>
      </c>
      <c r="BDW1" s="27" t="s">
        <v>1477</v>
      </c>
      <c r="BDX1" s="27" t="s">
        <v>1478</v>
      </c>
      <c r="BDY1" s="27" t="s">
        <v>1479</v>
      </c>
      <c r="BDZ1" s="27" t="s">
        <v>1480</v>
      </c>
      <c r="BEA1" s="27" t="s">
        <v>1481</v>
      </c>
      <c r="BEB1" s="27" t="s">
        <v>1482</v>
      </c>
      <c r="BEC1" s="27" t="s">
        <v>1483</v>
      </c>
      <c r="BED1" s="27" t="s">
        <v>1484</v>
      </c>
      <c r="BEE1" s="27" t="s">
        <v>1485</v>
      </c>
      <c r="BEF1" s="27" t="s">
        <v>1486</v>
      </c>
      <c r="BEG1" s="27" t="s">
        <v>1487</v>
      </c>
      <c r="BEH1" s="27" t="s">
        <v>1488</v>
      </c>
      <c r="BEI1" s="27" t="s">
        <v>1489</v>
      </c>
      <c r="BEJ1" s="27" t="s">
        <v>1490</v>
      </c>
      <c r="BEK1" s="27" t="s">
        <v>1491</v>
      </c>
      <c r="BEL1" s="27" t="s">
        <v>1492</v>
      </c>
      <c r="BEM1" s="27" t="s">
        <v>1493</v>
      </c>
      <c r="BEN1" s="27" t="s">
        <v>1494</v>
      </c>
      <c r="BEO1" s="27" t="s">
        <v>1495</v>
      </c>
      <c r="BEP1" s="27" t="s">
        <v>1496</v>
      </c>
      <c r="BEQ1" s="27" t="s">
        <v>1497</v>
      </c>
      <c r="BER1" s="27" t="s">
        <v>1498</v>
      </c>
      <c r="BES1" s="27" t="s">
        <v>1499</v>
      </c>
      <c r="BET1" s="27" t="s">
        <v>1500</v>
      </c>
      <c r="BEU1" s="27" t="s">
        <v>1501</v>
      </c>
      <c r="BEV1" s="27" t="s">
        <v>1502</v>
      </c>
      <c r="BEW1" s="27" t="s">
        <v>1503</v>
      </c>
      <c r="BEX1" s="27" t="s">
        <v>1504</v>
      </c>
      <c r="BEY1" s="27" t="s">
        <v>1505</v>
      </c>
      <c r="BEZ1" s="27" t="s">
        <v>1506</v>
      </c>
      <c r="BFA1" s="27" t="s">
        <v>1507</v>
      </c>
      <c r="BFB1" s="27" t="s">
        <v>1508</v>
      </c>
      <c r="BFC1" s="27" t="s">
        <v>1509</v>
      </c>
      <c r="BFD1" s="27" t="s">
        <v>1510</v>
      </c>
      <c r="BFE1" s="27" t="s">
        <v>1511</v>
      </c>
      <c r="BFF1" s="27" t="s">
        <v>1512</v>
      </c>
      <c r="BFG1" s="27" t="s">
        <v>1513</v>
      </c>
      <c r="BFH1" s="27" t="s">
        <v>1514</v>
      </c>
      <c r="BFI1" s="27" t="s">
        <v>1515</v>
      </c>
      <c r="BFJ1" s="27" t="s">
        <v>1516</v>
      </c>
      <c r="BFK1" s="27" t="s">
        <v>1517</v>
      </c>
      <c r="BFL1" s="27" t="s">
        <v>1518</v>
      </c>
      <c r="BFM1" s="27" t="s">
        <v>1519</v>
      </c>
      <c r="BFN1" s="27" t="s">
        <v>1520</v>
      </c>
      <c r="BFO1" s="27" t="s">
        <v>1521</v>
      </c>
      <c r="BFP1" s="27" t="s">
        <v>1522</v>
      </c>
      <c r="BFQ1" s="27" t="s">
        <v>1523</v>
      </c>
      <c r="BFR1" s="27" t="s">
        <v>1524</v>
      </c>
      <c r="BFS1" s="27" t="s">
        <v>1525</v>
      </c>
      <c r="BFT1" s="27" t="s">
        <v>1526</v>
      </c>
      <c r="BFU1" s="27" t="s">
        <v>1527</v>
      </c>
      <c r="BFV1" s="27" t="s">
        <v>1528</v>
      </c>
      <c r="BFW1" s="27" t="s">
        <v>1529</v>
      </c>
      <c r="BFX1" s="27" t="s">
        <v>1530</v>
      </c>
      <c r="BFY1" s="27" t="s">
        <v>1531</v>
      </c>
      <c r="BFZ1" s="27" t="s">
        <v>1532</v>
      </c>
      <c r="BGA1" s="27" t="s">
        <v>1533</v>
      </c>
      <c r="BGB1" s="27" t="s">
        <v>1534</v>
      </c>
      <c r="BGC1" s="27" t="s">
        <v>1535</v>
      </c>
      <c r="BGD1" s="27" t="s">
        <v>1536</v>
      </c>
      <c r="BGE1" s="27" t="s">
        <v>1537</v>
      </c>
      <c r="BGF1" s="27" t="s">
        <v>1538</v>
      </c>
      <c r="BGG1" s="27" t="s">
        <v>1539</v>
      </c>
      <c r="BGH1" s="27" t="s">
        <v>1540</v>
      </c>
      <c r="BGI1" s="27" t="s">
        <v>1541</v>
      </c>
      <c r="BGJ1" s="27" t="s">
        <v>1542</v>
      </c>
      <c r="BGK1" s="27" t="s">
        <v>1543</v>
      </c>
      <c r="BGL1" s="27" t="s">
        <v>1544</v>
      </c>
      <c r="BGM1" s="27" t="s">
        <v>1545</v>
      </c>
      <c r="BGN1" s="27" t="s">
        <v>1546</v>
      </c>
      <c r="BGO1" s="27" t="s">
        <v>1547</v>
      </c>
      <c r="BGP1" s="27" t="s">
        <v>1548</v>
      </c>
      <c r="BGQ1" s="27" t="s">
        <v>1549</v>
      </c>
      <c r="BGR1" s="27" t="s">
        <v>1550</v>
      </c>
      <c r="BGS1" s="27" t="s">
        <v>1551</v>
      </c>
      <c r="BGT1" s="27" t="s">
        <v>1552</v>
      </c>
      <c r="BGU1" s="27" t="s">
        <v>1553</v>
      </c>
      <c r="BGV1" s="27" t="s">
        <v>1554</v>
      </c>
      <c r="BGW1" s="27" t="s">
        <v>1555</v>
      </c>
      <c r="BGX1" s="27" t="s">
        <v>1556</v>
      </c>
      <c r="BGY1" s="27" t="s">
        <v>1557</v>
      </c>
      <c r="BGZ1" s="27" t="s">
        <v>1558</v>
      </c>
      <c r="BHA1" s="27" t="s">
        <v>1559</v>
      </c>
      <c r="BHB1" s="27" t="s">
        <v>1560</v>
      </c>
      <c r="BHC1" s="27" t="s">
        <v>1561</v>
      </c>
      <c r="BHD1" s="27" t="s">
        <v>1562</v>
      </c>
      <c r="BHE1" s="27" t="s">
        <v>1563</v>
      </c>
      <c r="BHF1" s="27" t="s">
        <v>1564</v>
      </c>
      <c r="BHG1" s="27" t="s">
        <v>1565</v>
      </c>
      <c r="BHH1" s="27" t="s">
        <v>1566</v>
      </c>
      <c r="BHI1" s="27" t="s">
        <v>1567</v>
      </c>
      <c r="BHJ1" s="27" t="s">
        <v>1568</v>
      </c>
      <c r="BHK1" s="27" t="s">
        <v>1569</v>
      </c>
      <c r="BHL1" s="27" t="s">
        <v>1570</v>
      </c>
      <c r="BHM1" s="27" t="s">
        <v>1571</v>
      </c>
      <c r="BHN1" s="27" t="s">
        <v>1572</v>
      </c>
      <c r="BHO1" s="27" t="s">
        <v>1573</v>
      </c>
      <c r="BHP1" s="27" t="s">
        <v>1574</v>
      </c>
      <c r="BHQ1" s="27" t="s">
        <v>1575</v>
      </c>
      <c r="BHR1" s="27" t="s">
        <v>1576</v>
      </c>
      <c r="BHS1" s="27" t="s">
        <v>1577</v>
      </c>
      <c r="BHT1" s="27" t="s">
        <v>1578</v>
      </c>
      <c r="BHU1" s="27" t="s">
        <v>1579</v>
      </c>
      <c r="BHV1" s="27" t="s">
        <v>1580</v>
      </c>
      <c r="BHW1" s="27" t="s">
        <v>1581</v>
      </c>
      <c r="BHX1" s="27" t="s">
        <v>1582</v>
      </c>
      <c r="BHY1" s="27" t="s">
        <v>1583</v>
      </c>
      <c r="BHZ1" s="27" t="s">
        <v>1584</v>
      </c>
      <c r="BIA1" s="27" t="s">
        <v>1585</v>
      </c>
      <c r="BIB1" s="27" t="s">
        <v>1586</v>
      </c>
      <c r="BIC1" s="27" t="s">
        <v>1587</v>
      </c>
      <c r="BID1" s="27" t="s">
        <v>1588</v>
      </c>
      <c r="BIE1" s="27" t="s">
        <v>1589</v>
      </c>
      <c r="BIF1" s="27" t="s">
        <v>1590</v>
      </c>
      <c r="BIG1" s="27" t="s">
        <v>1591</v>
      </c>
      <c r="BIH1" s="27" t="s">
        <v>1592</v>
      </c>
      <c r="BII1" s="27" t="s">
        <v>1593</v>
      </c>
      <c r="BIJ1" s="27" t="s">
        <v>1594</v>
      </c>
      <c r="BIK1" s="27" t="s">
        <v>1595</v>
      </c>
      <c r="BIL1" s="27" t="s">
        <v>1596</v>
      </c>
      <c r="BIM1" s="27" t="s">
        <v>1597</v>
      </c>
      <c r="BIN1" s="27" t="s">
        <v>1598</v>
      </c>
      <c r="BIO1" s="27" t="s">
        <v>1599</v>
      </c>
      <c r="BIP1" s="27" t="s">
        <v>1600</v>
      </c>
      <c r="BIQ1" s="27" t="s">
        <v>1601</v>
      </c>
      <c r="BIR1" s="27" t="s">
        <v>1602</v>
      </c>
      <c r="BIS1" s="27" t="s">
        <v>1603</v>
      </c>
      <c r="BIT1" s="27" t="s">
        <v>1604</v>
      </c>
      <c r="BIU1" s="27" t="s">
        <v>1605</v>
      </c>
      <c r="BIV1" s="27" t="s">
        <v>1606</v>
      </c>
      <c r="BIW1" s="27" t="s">
        <v>1607</v>
      </c>
      <c r="BIX1" s="27" t="s">
        <v>1608</v>
      </c>
      <c r="BIY1" s="27" t="s">
        <v>1609</v>
      </c>
      <c r="BIZ1" s="27" t="s">
        <v>1610</v>
      </c>
      <c r="BJA1" s="27" t="s">
        <v>1611</v>
      </c>
      <c r="BJB1" s="27" t="s">
        <v>1612</v>
      </c>
      <c r="BJC1" s="27" t="s">
        <v>1613</v>
      </c>
      <c r="BJD1" s="27" t="s">
        <v>1614</v>
      </c>
      <c r="BJE1" s="27" t="s">
        <v>1615</v>
      </c>
      <c r="BJF1" s="27" t="s">
        <v>1616</v>
      </c>
      <c r="BJG1" s="27" t="s">
        <v>1617</v>
      </c>
      <c r="BJH1" s="27" t="s">
        <v>1618</v>
      </c>
      <c r="BJI1" s="27" t="s">
        <v>1619</v>
      </c>
      <c r="BJJ1" s="27" t="s">
        <v>1620</v>
      </c>
      <c r="BJK1" s="27" t="s">
        <v>1621</v>
      </c>
      <c r="BJL1" s="27" t="s">
        <v>1622</v>
      </c>
      <c r="BJM1" s="27" t="s">
        <v>1623</v>
      </c>
      <c r="BJN1" s="27" t="s">
        <v>1624</v>
      </c>
      <c r="BJO1" s="27" t="s">
        <v>1625</v>
      </c>
      <c r="BJP1" s="27" t="s">
        <v>1626</v>
      </c>
      <c r="BJQ1" s="27" t="s">
        <v>1627</v>
      </c>
      <c r="BJR1" s="27" t="s">
        <v>1628</v>
      </c>
      <c r="BJS1" s="27" t="s">
        <v>1629</v>
      </c>
      <c r="BJT1" s="27" t="s">
        <v>1630</v>
      </c>
      <c r="BJU1" s="27" t="s">
        <v>1631</v>
      </c>
      <c r="BJV1" s="27" t="s">
        <v>1632</v>
      </c>
      <c r="BJW1" s="27" t="s">
        <v>1633</v>
      </c>
      <c r="BJX1" s="27" t="s">
        <v>1634</v>
      </c>
      <c r="BJY1" s="27" t="s">
        <v>1635</v>
      </c>
      <c r="BJZ1" s="27" t="s">
        <v>1636</v>
      </c>
      <c r="BKA1" s="27" t="s">
        <v>1637</v>
      </c>
      <c r="BKB1" s="27" t="s">
        <v>1638</v>
      </c>
      <c r="BKC1" s="27" t="s">
        <v>1639</v>
      </c>
      <c r="BKD1" s="27" t="s">
        <v>1640</v>
      </c>
      <c r="BKE1" s="27" t="s">
        <v>1641</v>
      </c>
      <c r="BKF1" s="27" t="s">
        <v>1642</v>
      </c>
      <c r="BKG1" s="27" t="s">
        <v>1643</v>
      </c>
      <c r="BKH1" s="27" t="s">
        <v>1644</v>
      </c>
      <c r="BKI1" s="27" t="s">
        <v>1645</v>
      </c>
      <c r="BKJ1" s="27" t="s">
        <v>1646</v>
      </c>
      <c r="BKK1" s="27" t="s">
        <v>1647</v>
      </c>
      <c r="BKL1" s="27" t="s">
        <v>1648</v>
      </c>
      <c r="BKM1" s="27" t="s">
        <v>1649</v>
      </c>
      <c r="BKN1" s="27" t="s">
        <v>1650</v>
      </c>
      <c r="BKO1" s="27" t="s">
        <v>1651</v>
      </c>
      <c r="BKP1" s="27" t="s">
        <v>1652</v>
      </c>
      <c r="BKQ1" s="27" t="s">
        <v>1653</v>
      </c>
      <c r="BKR1" s="27" t="s">
        <v>1654</v>
      </c>
      <c r="BKS1" s="27" t="s">
        <v>1655</v>
      </c>
      <c r="BKT1" s="27" t="s">
        <v>1656</v>
      </c>
      <c r="BKU1" s="27" t="s">
        <v>1657</v>
      </c>
      <c r="BKV1" s="27" t="s">
        <v>1658</v>
      </c>
      <c r="BKW1" s="27" t="s">
        <v>1659</v>
      </c>
      <c r="BKX1" s="27" t="s">
        <v>1660</v>
      </c>
      <c r="BKY1" s="27" t="s">
        <v>1661</v>
      </c>
      <c r="BKZ1" s="27" t="s">
        <v>1662</v>
      </c>
      <c r="BLA1" s="27" t="s">
        <v>1663</v>
      </c>
      <c r="BLB1" s="27" t="s">
        <v>1664</v>
      </c>
      <c r="BLC1" s="27" t="s">
        <v>1665</v>
      </c>
      <c r="BLD1" s="27" t="s">
        <v>1666</v>
      </c>
      <c r="BLE1" s="27" t="s">
        <v>1667</v>
      </c>
      <c r="BLF1" s="27" t="s">
        <v>1668</v>
      </c>
      <c r="BLG1" s="27" t="s">
        <v>1669</v>
      </c>
      <c r="BLH1" s="27" t="s">
        <v>1670</v>
      </c>
      <c r="BLI1" s="27" t="s">
        <v>1671</v>
      </c>
      <c r="BLJ1" s="27" t="s">
        <v>1672</v>
      </c>
      <c r="BLK1" s="27" t="s">
        <v>1673</v>
      </c>
      <c r="BLL1" s="27" t="s">
        <v>1674</v>
      </c>
      <c r="BLM1" s="27" t="s">
        <v>1675</v>
      </c>
      <c r="BLN1" s="27" t="s">
        <v>1676</v>
      </c>
      <c r="BLO1" s="27" t="s">
        <v>1677</v>
      </c>
      <c r="BLP1" s="27" t="s">
        <v>1678</v>
      </c>
      <c r="BLQ1" s="27" t="s">
        <v>1679</v>
      </c>
      <c r="BLR1" s="27" t="s">
        <v>1680</v>
      </c>
      <c r="BLS1" s="27" t="s">
        <v>1681</v>
      </c>
      <c r="BLT1" s="27" t="s">
        <v>1682</v>
      </c>
      <c r="BLU1" s="27" t="s">
        <v>1683</v>
      </c>
      <c r="BLV1" s="27" t="s">
        <v>1684</v>
      </c>
      <c r="BLW1" s="27" t="s">
        <v>1685</v>
      </c>
      <c r="BLX1" s="27" t="s">
        <v>1686</v>
      </c>
      <c r="BLY1" s="27" t="s">
        <v>1687</v>
      </c>
      <c r="BLZ1" s="27" t="s">
        <v>1688</v>
      </c>
      <c r="BMA1" s="27" t="s">
        <v>1689</v>
      </c>
      <c r="BMB1" s="27" t="s">
        <v>1690</v>
      </c>
      <c r="BMC1" s="27" t="s">
        <v>1691</v>
      </c>
      <c r="BMD1" s="27" t="s">
        <v>1692</v>
      </c>
      <c r="BME1" s="27" t="s">
        <v>1693</v>
      </c>
      <c r="BMF1" s="27" t="s">
        <v>1694</v>
      </c>
      <c r="BMG1" s="27" t="s">
        <v>1695</v>
      </c>
      <c r="BMH1" s="27" t="s">
        <v>1696</v>
      </c>
      <c r="BMI1" s="27" t="s">
        <v>1697</v>
      </c>
      <c r="BMJ1" s="27" t="s">
        <v>1698</v>
      </c>
      <c r="BMK1" s="27" t="s">
        <v>1699</v>
      </c>
      <c r="BML1" s="27" t="s">
        <v>1700</v>
      </c>
      <c r="BMM1" s="27" t="s">
        <v>1701</v>
      </c>
      <c r="BMN1" s="27" t="s">
        <v>1702</v>
      </c>
      <c r="BMO1" s="27" t="s">
        <v>1703</v>
      </c>
      <c r="BMP1" s="27" t="s">
        <v>1704</v>
      </c>
      <c r="BMQ1" s="27" t="s">
        <v>1705</v>
      </c>
      <c r="BMR1" s="27" t="s">
        <v>1706</v>
      </c>
      <c r="BMS1" s="27" t="s">
        <v>1707</v>
      </c>
      <c r="BMT1" s="27" t="s">
        <v>1708</v>
      </c>
      <c r="BMU1" s="27" t="s">
        <v>1709</v>
      </c>
      <c r="BMV1" s="27" t="s">
        <v>1710</v>
      </c>
      <c r="BMW1" s="27" t="s">
        <v>1711</v>
      </c>
      <c r="BMX1" s="27" t="s">
        <v>1712</v>
      </c>
      <c r="BMY1" s="27" t="s">
        <v>1713</v>
      </c>
      <c r="BMZ1" s="27" t="s">
        <v>1714</v>
      </c>
      <c r="BNA1" s="27" t="s">
        <v>1715</v>
      </c>
      <c r="BNB1" s="27" t="s">
        <v>1716</v>
      </c>
      <c r="BNC1" s="27" t="s">
        <v>1717</v>
      </c>
      <c r="BND1" s="27" t="s">
        <v>1718</v>
      </c>
      <c r="BNE1" s="27" t="s">
        <v>1719</v>
      </c>
      <c r="BNF1" s="27" t="s">
        <v>1720</v>
      </c>
      <c r="BNG1" s="27" t="s">
        <v>1721</v>
      </c>
      <c r="BNH1" s="27" t="s">
        <v>1722</v>
      </c>
      <c r="BNI1" s="27" t="s">
        <v>1723</v>
      </c>
      <c r="BNJ1" s="27" t="s">
        <v>1724</v>
      </c>
      <c r="BNK1" s="27" t="s">
        <v>1725</v>
      </c>
      <c r="BNL1" s="27" t="s">
        <v>1726</v>
      </c>
      <c r="BNM1" s="27" t="s">
        <v>1727</v>
      </c>
      <c r="BNN1" s="27" t="s">
        <v>1728</v>
      </c>
      <c r="BNO1" s="27" t="s">
        <v>1729</v>
      </c>
      <c r="BNP1" s="27" t="s">
        <v>1730</v>
      </c>
      <c r="BNQ1" s="27" t="s">
        <v>1731</v>
      </c>
      <c r="BNR1" s="27" t="s">
        <v>1732</v>
      </c>
      <c r="BNS1" s="27" t="s">
        <v>1733</v>
      </c>
      <c r="BNT1" s="27" t="s">
        <v>1734</v>
      </c>
      <c r="BNU1" s="27" t="s">
        <v>1735</v>
      </c>
      <c r="BNV1" s="27" t="s">
        <v>1736</v>
      </c>
      <c r="BNW1" s="27" t="s">
        <v>1737</v>
      </c>
      <c r="BNX1" s="27" t="s">
        <v>1738</v>
      </c>
      <c r="BNY1" s="27" t="s">
        <v>1739</v>
      </c>
      <c r="BNZ1" s="27" t="s">
        <v>1740</v>
      </c>
      <c r="BOA1" s="27" t="s">
        <v>1741</v>
      </c>
      <c r="BOB1" s="27" t="s">
        <v>1742</v>
      </c>
      <c r="BOC1" s="27" t="s">
        <v>1743</v>
      </c>
      <c r="BOD1" s="27" t="s">
        <v>1744</v>
      </c>
      <c r="BOE1" s="27" t="s">
        <v>1745</v>
      </c>
      <c r="BOF1" s="27" t="s">
        <v>1746</v>
      </c>
      <c r="BOG1" s="27" t="s">
        <v>1747</v>
      </c>
      <c r="BOH1" s="27" t="s">
        <v>1748</v>
      </c>
      <c r="BOI1" s="27" t="s">
        <v>1749</v>
      </c>
      <c r="BOJ1" s="27" t="s">
        <v>1750</v>
      </c>
      <c r="BOK1" s="27" t="s">
        <v>1751</v>
      </c>
      <c r="BOL1" s="27" t="s">
        <v>1752</v>
      </c>
      <c r="BOM1" s="27" t="s">
        <v>1753</v>
      </c>
      <c r="BON1" s="27" t="s">
        <v>1754</v>
      </c>
      <c r="BOO1" s="27" t="s">
        <v>1755</v>
      </c>
      <c r="BOP1" s="27" t="s">
        <v>1756</v>
      </c>
      <c r="BOQ1" s="27" t="s">
        <v>1757</v>
      </c>
      <c r="BOR1" s="27" t="s">
        <v>1758</v>
      </c>
      <c r="BOS1" s="27" t="s">
        <v>1759</v>
      </c>
      <c r="BOT1" s="27" t="s">
        <v>1760</v>
      </c>
      <c r="BOU1" s="27" t="s">
        <v>1761</v>
      </c>
      <c r="BOV1" s="27" t="s">
        <v>1762</v>
      </c>
      <c r="BOW1" s="27" t="s">
        <v>1763</v>
      </c>
      <c r="BOX1" s="27" t="s">
        <v>1764</v>
      </c>
      <c r="BOY1" s="27" t="s">
        <v>1765</v>
      </c>
      <c r="BOZ1" s="27" t="s">
        <v>1766</v>
      </c>
      <c r="BPA1" s="27" t="s">
        <v>1767</v>
      </c>
      <c r="BPB1" s="27" t="s">
        <v>1768</v>
      </c>
      <c r="BPC1" s="27" t="s">
        <v>1769</v>
      </c>
      <c r="BPD1" s="27" t="s">
        <v>1770</v>
      </c>
      <c r="BPE1" s="27" t="s">
        <v>1771</v>
      </c>
      <c r="BPF1" s="27" t="s">
        <v>1772</v>
      </c>
      <c r="BPG1" s="27" t="s">
        <v>1773</v>
      </c>
      <c r="BPH1" s="27" t="s">
        <v>1774</v>
      </c>
      <c r="BPI1" s="27" t="s">
        <v>1775</v>
      </c>
      <c r="BPJ1" s="27" t="s">
        <v>1776</v>
      </c>
      <c r="BPK1" s="27" t="s">
        <v>1777</v>
      </c>
      <c r="BPL1" s="27" t="s">
        <v>1778</v>
      </c>
      <c r="BPM1" s="27" t="s">
        <v>1779</v>
      </c>
      <c r="BPN1" s="27" t="s">
        <v>1780</v>
      </c>
      <c r="BPO1" s="27" t="s">
        <v>1781</v>
      </c>
      <c r="BPP1" s="27" t="s">
        <v>1782</v>
      </c>
      <c r="BPQ1" s="27" t="s">
        <v>1783</v>
      </c>
      <c r="BPR1" s="27" t="s">
        <v>1784</v>
      </c>
      <c r="BPS1" s="27" t="s">
        <v>1785</v>
      </c>
      <c r="BPT1" s="27" t="s">
        <v>1786</v>
      </c>
      <c r="BPU1" s="27" t="s">
        <v>1787</v>
      </c>
      <c r="BPV1" s="27" t="s">
        <v>1788</v>
      </c>
      <c r="BPW1" s="27" t="s">
        <v>1789</v>
      </c>
      <c r="BPX1" s="27" t="s">
        <v>1790</v>
      </c>
      <c r="BPY1" s="27" t="s">
        <v>1791</v>
      </c>
      <c r="BPZ1" s="27" t="s">
        <v>1792</v>
      </c>
      <c r="BQA1" s="27" t="s">
        <v>1793</v>
      </c>
      <c r="BQB1" s="27" t="s">
        <v>1794</v>
      </c>
      <c r="BQC1" s="27" t="s">
        <v>1795</v>
      </c>
      <c r="BQD1" s="27" t="s">
        <v>1796</v>
      </c>
      <c r="BQE1" s="27" t="s">
        <v>1797</v>
      </c>
      <c r="BQF1" s="27" t="s">
        <v>1798</v>
      </c>
      <c r="BQG1" s="27" t="s">
        <v>1799</v>
      </c>
      <c r="BQH1" s="27" t="s">
        <v>1800</v>
      </c>
      <c r="BQI1" s="27" t="s">
        <v>1801</v>
      </c>
      <c r="BQJ1" s="27" t="s">
        <v>1802</v>
      </c>
      <c r="BQK1" s="27" t="s">
        <v>1803</v>
      </c>
      <c r="BQL1" s="27" t="s">
        <v>1804</v>
      </c>
      <c r="BQM1" s="27" t="s">
        <v>1805</v>
      </c>
      <c r="BQN1" s="27" t="s">
        <v>1806</v>
      </c>
      <c r="BQO1" s="27" t="s">
        <v>1807</v>
      </c>
      <c r="BQP1" s="27" t="s">
        <v>1808</v>
      </c>
      <c r="BQQ1" s="27" t="s">
        <v>1809</v>
      </c>
      <c r="BQR1" s="27" t="s">
        <v>1810</v>
      </c>
      <c r="BQS1" s="27" t="s">
        <v>1811</v>
      </c>
      <c r="BQT1" s="27" t="s">
        <v>1812</v>
      </c>
      <c r="BQU1" s="27" t="s">
        <v>1813</v>
      </c>
      <c r="BQV1" s="27" t="s">
        <v>1814</v>
      </c>
      <c r="BQW1" s="27" t="s">
        <v>1815</v>
      </c>
      <c r="BQX1" s="27" t="s">
        <v>1816</v>
      </c>
      <c r="BQY1" s="27" t="s">
        <v>1817</v>
      </c>
      <c r="BQZ1" s="27" t="s">
        <v>1818</v>
      </c>
      <c r="BRA1" s="27" t="s">
        <v>1819</v>
      </c>
      <c r="BRB1" s="27" t="s">
        <v>1820</v>
      </c>
      <c r="BRC1" s="27" t="s">
        <v>1821</v>
      </c>
      <c r="BRD1" s="27" t="s">
        <v>1822</v>
      </c>
      <c r="BRE1" s="27" t="s">
        <v>1823</v>
      </c>
      <c r="BRF1" s="27" t="s">
        <v>1824</v>
      </c>
      <c r="BRG1" s="27" t="s">
        <v>1825</v>
      </c>
      <c r="BRH1" s="27" t="s">
        <v>1826</v>
      </c>
      <c r="BRI1" s="27" t="s">
        <v>1827</v>
      </c>
      <c r="BRJ1" s="27" t="s">
        <v>1828</v>
      </c>
      <c r="BRK1" s="27" t="s">
        <v>1829</v>
      </c>
      <c r="BRL1" s="27" t="s">
        <v>1830</v>
      </c>
      <c r="BRM1" s="27" t="s">
        <v>1831</v>
      </c>
      <c r="BRN1" s="27" t="s">
        <v>1832</v>
      </c>
      <c r="BRO1" s="27" t="s">
        <v>1833</v>
      </c>
      <c r="BRP1" s="27" t="s">
        <v>1834</v>
      </c>
      <c r="BRQ1" s="27" t="s">
        <v>1835</v>
      </c>
      <c r="BRR1" s="27" t="s">
        <v>1836</v>
      </c>
      <c r="BRS1" s="27" t="s">
        <v>1837</v>
      </c>
      <c r="BRT1" s="27" t="s">
        <v>1838</v>
      </c>
      <c r="BRU1" s="27" t="s">
        <v>1839</v>
      </c>
      <c r="BRV1" s="27" t="s">
        <v>1840</v>
      </c>
      <c r="BRW1" s="27" t="s">
        <v>1841</v>
      </c>
      <c r="BRX1" s="27" t="s">
        <v>1842</v>
      </c>
      <c r="BRY1" s="27" t="s">
        <v>1843</v>
      </c>
      <c r="BRZ1" s="27" t="s">
        <v>1844</v>
      </c>
      <c r="BSA1" s="27" t="s">
        <v>1845</v>
      </c>
      <c r="BSB1" s="27" t="s">
        <v>1846</v>
      </c>
      <c r="BSC1" s="27" t="s">
        <v>1847</v>
      </c>
      <c r="BSD1" s="27" t="s">
        <v>1848</v>
      </c>
      <c r="BSE1" s="27" t="s">
        <v>1849</v>
      </c>
      <c r="BSF1" s="27" t="s">
        <v>1850</v>
      </c>
      <c r="BSG1" s="27" t="s">
        <v>1851</v>
      </c>
      <c r="BSH1" s="27" t="s">
        <v>1852</v>
      </c>
      <c r="BSI1" s="27" t="s">
        <v>1853</v>
      </c>
      <c r="BSJ1" s="27" t="s">
        <v>1854</v>
      </c>
      <c r="BSK1" s="27" t="s">
        <v>1855</v>
      </c>
      <c r="BSL1" s="27" t="s">
        <v>1856</v>
      </c>
      <c r="BSM1" s="27" t="s">
        <v>1857</v>
      </c>
      <c r="BSN1" s="27" t="s">
        <v>1858</v>
      </c>
      <c r="BSO1" s="27" t="s">
        <v>1859</v>
      </c>
      <c r="BSP1" s="27" t="s">
        <v>1860</v>
      </c>
      <c r="BSQ1" s="27" t="s">
        <v>1861</v>
      </c>
      <c r="BSR1" s="27" t="s">
        <v>1862</v>
      </c>
      <c r="BSS1" s="27" t="s">
        <v>1863</v>
      </c>
      <c r="BST1" s="27" t="s">
        <v>1864</v>
      </c>
      <c r="BSU1" s="27" t="s">
        <v>1865</v>
      </c>
      <c r="BSV1" s="27" t="s">
        <v>1866</v>
      </c>
      <c r="BSW1" s="27" t="s">
        <v>1867</v>
      </c>
      <c r="BSX1" s="27" t="s">
        <v>1868</v>
      </c>
      <c r="BSY1" s="27" t="s">
        <v>1869</v>
      </c>
      <c r="BSZ1" s="27" t="s">
        <v>1870</v>
      </c>
      <c r="BTA1" s="27" t="s">
        <v>1871</v>
      </c>
      <c r="BTB1" s="27" t="s">
        <v>1872</v>
      </c>
      <c r="BTC1" s="27" t="s">
        <v>1873</v>
      </c>
      <c r="BTD1" s="27" t="s">
        <v>1874</v>
      </c>
      <c r="BTE1" s="27" t="s">
        <v>1875</v>
      </c>
      <c r="BTF1" s="27" t="s">
        <v>1876</v>
      </c>
      <c r="BTG1" s="27" t="s">
        <v>1877</v>
      </c>
      <c r="BTH1" s="27" t="s">
        <v>1878</v>
      </c>
      <c r="BTI1" s="27" t="s">
        <v>1879</v>
      </c>
      <c r="BTJ1" s="27" t="s">
        <v>1880</v>
      </c>
      <c r="BTK1" s="27" t="s">
        <v>1881</v>
      </c>
      <c r="BTL1" s="27" t="s">
        <v>1882</v>
      </c>
      <c r="BTM1" s="27" t="s">
        <v>1883</v>
      </c>
      <c r="BTN1" s="27" t="s">
        <v>1884</v>
      </c>
      <c r="BTO1" s="27" t="s">
        <v>1885</v>
      </c>
      <c r="BTP1" s="27" t="s">
        <v>1886</v>
      </c>
      <c r="BTQ1" s="27" t="s">
        <v>1887</v>
      </c>
      <c r="BTR1" s="27" t="s">
        <v>1888</v>
      </c>
      <c r="BTS1" s="27" t="s">
        <v>1889</v>
      </c>
      <c r="BTT1" s="27" t="s">
        <v>1890</v>
      </c>
      <c r="BTU1" s="27" t="s">
        <v>1891</v>
      </c>
      <c r="BTV1" s="27" t="s">
        <v>1892</v>
      </c>
      <c r="BTW1" s="27" t="s">
        <v>1893</v>
      </c>
      <c r="BTX1" s="27" t="s">
        <v>1894</v>
      </c>
      <c r="BTY1" s="27" t="s">
        <v>1895</v>
      </c>
      <c r="BTZ1" s="27" t="s">
        <v>1896</v>
      </c>
      <c r="BUA1" s="27" t="s">
        <v>1897</v>
      </c>
      <c r="BUB1" s="27" t="s">
        <v>1898</v>
      </c>
      <c r="BUC1" s="27" t="s">
        <v>1899</v>
      </c>
      <c r="BUD1" s="27" t="s">
        <v>1900</v>
      </c>
      <c r="BUE1" s="27" t="s">
        <v>1901</v>
      </c>
      <c r="BUF1" s="27" t="s">
        <v>1902</v>
      </c>
      <c r="BUG1" s="27" t="s">
        <v>1903</v>
      </c>
      <c r="BUH1" s="27" t="s">
        <v>1904</v>
      </c>
      <c r="BUI1" s="27" t="s">
        <v>1905</v>
      </c>
      <c r="BUJ1" s="27" t="s">
        <v>1906</v>
      </c>
      <c r="BUK1" s="27" t="s">
        <v>1907</v>
      </c>
      <c r="BUL1" s="27" t="s">
        <v>1908</v>
      </c>
      <c r="BUM1" s="27" t="s">
        <v>1909</v>
      </c>
      <c r="BUN1" s="27" t="s">
        <v>1910</v>
      </c>
      <c r="BUO1" s="27" t="s">
        <v>1911</v>
      </c>
      <c r="BUP1" s="27" t="s">
        <v>1912</v>
      </c>
      <c r="BUQ1" s="27" t="s">
        <v>1913</v>
      </c>
      <c r="BUR1" s="27" t="s">
        <v>1914</v>
      </c>
      <c r="BUS1" s="27" t="s">
        <v>1915</v>
      </c>
      <c r="BUT1" s="27" t="s">
        <v>1916</v>
      </c>
      <c r="BUU1" s="27" t="s">
        <v>1917</v>
      </c>
      <c r="BUV1" s="27" t="s">
        <v>1918</v>
      </c>
      <c r="BUW1" s="27" t="s">
        <v>1919</v>
      </c>
      <c r="BUX1" s="27" t="s">
        <v>1920</v>
      </c>
      <c r="BUY1" s="27" t="s">
        <v>1921</v>
      </c>
      <c r="BUZ1" s="27" t="s">
        <v>1922</v>
      </c>
      <c r="BVA1" s="27" t="s">
        <v>1923</v>
      </c>
      <c r="BVB1" s="27" t="s">
        <v>1924</v>
      </c>
      <c r="BVC1" s="27" t="s">
        <v>1925</v>
      </c>
      <c r="BVD1" s="27" t="s">
        <v>1926</v>
      </c>
      <c r="BVE1" s="27" t="s">
        <v>1927</v>
      </c>
      <c r="BVF1" s="27" t="s">
        <v>1928</v>
      </c>
      <c r="BVG1" s="27" t="s">
        <v>1929</v>
      </c>
      <c r="BVH1" s="27" t="s">
        <v>1930</v>
      </c>
      <c r="BVI1" s="27" t="s">
        <v>1931</v>
      </c>
      <c r="BVJ1" s="27" t="s">
        <v>1932</v>
      </c>
      <c r="BVK1" s="27" t="s">
        <v>1933</v>
      </c>
      <c r="BVL1" s="27" t="s">
        <v>1934</v>
      </c>
      <c r="BVM1" s="27" t="s">
        <v>1935</v>
      </c>
      <c r="BVN1" s="27" t="s">
        <v>1936</v>
      </c>
      <c r="BVO1" s="27" t="s">
        <v>1937</v>
      </c>
      <c r="BVP1" s="27" t="s">
        <v>1938</v>
      </c>
      <c r="BVQ1" s="27" t="s">
        <v>1939</v>
      </c>
      <c r="BVR1" s="27" t="s">
        <v>1940</v>
      </c>
      <c r="BVS1" s="27" t="s">
        <v>1941</v>
      </c>
      <c r="BVT1" s="27" t="s">
        <v>1942</v>
      </c>
      <c r="BVU1" s="27" t="s">
        <v>1943</v>
      </c>
      <c r="BVV1" s="27" t="s">
        <v>1944</v>
      </c>
      <c r="BVW1" s="27" t="s">
        <v>1945</v>
      </c>
      <c r="BVX1" s="27" t="s">
        <v>1946</v>
      </c>
      <c r="BVY1" s="27" t="s">
        <v>1947</v>
      </c>
      <c r="BVZ1" s="27" t="s">
        <v>1948</v>
      </c>
      <c r="BWA1" s="27" t="s">
        <v>1949</v>
      </c>
      <c r="BWB1" s="27" t="s">
        <v>1950</v>
      </c>
      <c r="BWC1" s="27" t="s">
        <v>1951</v>
      </c>
      <c r="BWD1" s="27" t="s">
        <v>1952</v>
      </c>
      <c r="BWE1" s="27" t="s">
        <v>1953</v>
      </c>
      <c r="BWF1" s="27" t="s">
        <v>1954</v>
      </c>
      <c r="BWG1" s="27" t="s">
        <v>1955</v>
      </c>
      <c r="BWH1" s="27" t="s">
        <v>1956</v>
      </c>
      <c r="BWI1" s="27" t="s">
        <v>1957</v>
      </c>
      <c r="BWJ1" s="27" t="s">
        <v>1958</v>
      </c>
      <c r="BWK1" s="27" t="s">
        <v>1959</v>
      </c>
      <c r="BWL1" s="27" t="s">
        <v>1960</v>
      </c>
      <c r="BWM1" s="27" t="s">
        <v>1961</v>
      </c>
      <c r="BWN1" s="27" t="s">
        <v>1962</v>
      </c>
      <c r="BWO1" s="27" t="s">
        <v>1963</v>
      </c>
      <c r="BWP1" s="27" t="s">
        <v>1964</v>
      </c>
      <c r="BWQ1" s="27" t="s">
        <v>1965</v>
      </c>
      <c r="BWR1" s="27" t="s">
        <v>1966</v>
      </c>
      <c r="BWS1" s="27" t="s">
        <v>1967</v>
      </c>
      <c r="BWT1" s="27" t="s">
        <v>1968</v>
      </c>
      <c r="BWU1" s="27" t="s">
        <v>1969</v>
      </c>
      <c r="BWV1" s="27" t="s">
        <v>1970</v>
      </c>
      <c r="BWW1" s="27" t="s">
        <v>1971</v>
      </c>
      <c r="BWX1" s="27" t="s">
        <v>1972</v>
      </c>
      <c r="BWY1" s="27" t="s">
        <v>1973</v>
      </c>
      <c r="BWZ1" s="27" t="s">
        <v>1974</v>
      </c>
      <c r="BXA1" s="27" t="s">
        <v>1975</v>
      </c>
      <c r="BXB1" s="27" t="s">
        <v>1976</v>
      </c>
      <c r="BXC1" s="27" t="s">
        <v>1977</v>
      </c>
      <c r="BXD1" s="27" t="s">
        <v>1978</v>
      </c>
      <c r="BXE1" s="27" t="s">
        <v>1979</v>
      </c>
      <c r="BXF1" s="27" t="s">
        <v>1980</v>
      </c>
      <c r="BXG1" s="27" t="s">
        <v>1981</v>
      </c>
      <c r="BXH1" s="27" t="s">
        <v>1982</v>
      </c>
      <c r="BXI1" s="27" t="s">
        <v>1983</v>
      </c>
      <c r="BXJ1" s="27" t="s">
        <v>1984</v>
      </c>
      <c r="BXK1" s="27" t="s">
        <v>1985</v>
      </c>
      <c r="BXL1" s="27" t="s">
        <v>1986</v>
      </c>
      <c r="BXM1" s="27" t="s">
        <v>1987</v>
      </c>
      <c r="BXN1" s="27" t="s">
        <v>1988</v>
      </c>
      <c r="BXO1" s="27" t="s">
        <v>1989</v>
      </c>
      <c r="BXP1" s="27" t="s">
        <v>1990</v>
      </c>
      <c r="BXQ1" s="27" t="s">
        <v>1991</v>
      </c>
      <c r="BXR1" s="27" t="s">
        <v>1992</v>
      </c>
      <c r="BXS1" s="27" t="s">
        <v>1993</v>
      </c>
      <c r="BXT1" s="27" t="s">
        <v>1994</v>
      </c>
      <c r="BXU1" s="27" t="s">
        <v>1995</v>
      </c>
      <c r="BXV1" s="27" t="s">
        <v>1996</v>
      </c>
      <c r="BXW1" s="27" t="s">
        <v>1997</v>
      </c>
      <c r="BXX1" s="27" t="s">
        <v>1998</v>
      </c>
      <c r="BXY1" s="27" t="s">
        <v>1999</v>
      </c>
      <c r="BXZ1" s="27" t="s">
        <v>2000</v>
      </c>
      <c r="BYA1" s="27" t="s">
        <v>2001</v>
      </c>
      <c r="BYB1" s="27" t="s">
        <v>2002</v>
      </c>
      <c r="BYC1" s="27" t="s">
        <v>2003</v>
      </c>
      <c r="BYD1" s="27" t="s">
        <v>2004</v>
      </c>
      <c r="BYE1" s="27" t="s">
        <v>2005</v>
      </c>
      <c r="BYF1" s="27" t="s">
        <v>2006</v>
      </c>
      <c r="BYG1" s="27" t="s">
        <v>2007</v>
      </c>
      <c r="BYH1" s="27" t="s">
        <v>2008</v>
      </c>
      <c r="BYI1" s="27" t="s">
        <v>2009</v>
      </c>
      <c r="BYJ1" s="27" t="s">
        <v>2010</v>
      </c>
      <c r="BYK1" s="27" t="s">
        <v>2011</v>
      </c>
      <c r="BYL1" s="27" t="s">
        <v>2012</v>
      </c>
      <c r="BYM1" s="27" t="s">
        <v>2013</v>
      </c>
      <c r="BYN1" s="27" t="s">
        <v>2014</v>
      </c>
      <c r="BYO1" s="27" t="s">
        <v>2015</v>
      </c>
      <c r="BYP1" s="27" t="s">
        <v>2016</v>
      </c>
      <c r="BYQ1" s="27" t="s">
        <v>2017</v>
      </c>
      <c r="BYR1" s="27" t="s">
        <v>2018</v>
      </c>
      <c r="BYS1" s="27" t="s">
        <v>2019</v>
      </c>
      <c r="BYT1" s="27" t="s">
        <v>2020</v>
      </c>
      <c r="BYU1" s="27" t="s">
        <v>2021</v>
      </c>
      <c r="BYV1" s="27" t="s">
        <v>2022</v>
      </c>
      <c r="BYW1" s="27" t="s">
        <v>2023</v>
      </c>
      <c r="BYX1" s="27" t="s">
        <v>2024</v>
      </c>
      <c r="BYY1" s="27" t="s">
        <v>2025</v>
      </c>
      <c r="BYZ1" s="27" t="s">
        <v>2026</v>
      </c>
      <c r="BZA1" s="27" t="s">
        <v>2027</v>
      </c>
      <c r="BZB1" s="27" t="s">
        <v>2028</v>
      </c>
      <c r="BZC1" s="27" t="s">
        <v>2029</v>
      </c>
      <c r="BZD1" s="27" t="s">
        <v>2030</v>
      </c>
      <c r="BZE1" s="27" t="s">
        <v>2031</v>
      </c>
      <c r="BZF1" s="27" t="s">
        <v>2032</v>
      </c>
      <c r="BZG1" s="27" t="s">
        <v>2033</v>
      </c>
      <c r="BZH1" s="27" t="s">
        <v>2034</v>
      </c>
      <c r="BZI1" s="27" t="s">
        <v>2035</v>
      </c>
      <c r="BZJ1" s="27" t="s">
        <v>2036</v>
      </c>
      <c r="BZK1" s="27" t="s">
        <v>2037</v>
      </c>
      <c r="BZL1" s="27" t="s">
        <v>2038</v>
      </c>
      <c r="BZM1" s="27" t="s">
        <v>2039</v>
      </c>
      <c r="BZN1" s="27" t="s">
        <v>2040</v>
      </c>
      <c r="BZO1" s="27" t="s">
        <v>2041</v>
      </c>
      <c r="BZP1" s="27" t="s">
        <v>2042</v>
      </c>
      <c r="BZQ1" s="27" t="s">
        <v>2043</v>
      </c>
      <c r="BZR1" s="27" t="s">
        <v>2044</v>
      </c>
      <c r="BZS1" s="27" t="s">
        <v>2045</v>
      </c>
      <c r="BZT1" s="27" t="s">
        <v>2046</v>
      </c>
      <c r="BZU1" s="27" t="s">
        <v>2047</v>
      </c>
      <c r="BZV1" s="27" t="s">
        <v>2048</v>
      </c>
      <c r="BZW1" s="27" t="s">
        <v>2049</v>
      </c>
      <c r="BZX1" s="27" t="s">
        <v>2050</v>
      </c>
      <c r="BZY1" s="27" t="s">
        <v>2051</v>
      </c>
      <c r="BZZ1" s="27" t="s">
        <v>2052</v>
      </c>
      <c r="CAA1" s="27" t="s">
        <v>2053</v>
      </c>
      <c r="CAB1" s="27" t="s">
        <v>2054</v>
      </c>
      <c r="CAC1" s="27" t="s">
        <v>2055</v>
      </c>
      <c r="CAD1" s="27" t="s">
        <v>2056</v>
      </c>
      <c r="CAE1" s="27" t="s">
        <v>2057</v>
      </c>
      <c r="CAF1" s="27" t="s">
        <v>2058</v>
      </c>
      <c r="CAG1" s="27" t="s">
        <v>2059</v>
      </c>
      <c r="CAH1" s="27" t="s">
        <v>2060</v>
      </c>
      <c r="CAI1" s="27" t="s">
        <v>2061</v>
      </c>
      <c r="CAJ1" s="27" t="s">
        <v>2062</v>
      </c>
      <c r="CAK1" s="27" t="s">
        <v>2063</v>
      </c>
      <c r="CAL1" s="27" t="s">
        <v>2064</v>
      </c>
      <c r="CAM1" s="27" t="s">
        <v>2065</v>
      </c>
      <c r="CAN1" s="27" t="s">
        <v>2066</v>
      </c>
      <c r="CAO1" s="27" t="s">
        <v>2067</v>
      </c>
      <c r="CAP1" s="27" t="s">
        <v>2068</v>
      </c>
      <c r="CAQ1" s="27" t="s">
        <v>2069</v>
      </c>
      <c r="CAR1" s="27" t="s">
        <v>2070</v>
      </c>
      <c r="CAS1" s="27" t="s">
        <v>2071</v>
      </c>
      <c r="CAT1" s="27" t="s">
        <v>2072</v>
      </c>
      <c r="CAU1" s="27" t="s">
        <v>2073</v>
      </c>
      <c r="CAV1" s="27" t="s">
        <v>2074</v>
      </c>
      <c r="CAW1" s="27" t="s">
        <v>2075</v>
      </c>
      <c r="CAX1" s="27" t="s">
        <v>2076</v>
      </c>
      <c r="CAY1" s="27" t="s">
        <v>2077</v>
      </c>
      <c r="CAZ1" s="27" t="s">
        <v>2078</v>
      </c>
      <c r="CBA1" s="27" t="s">
        <v>2079</v>
      </c>
      <c r="CBB1" s="27" t="s">
        <v>2080</v>
      </c>
      <c r="CBC1" s="27" t="s">
        <v>2081</v>
      </c>
      <c r="CBD1" s="27" t="s">
        <v>2082</v>
      </c>
      <c r="CBE1" s="27" t="s">
        <v>2083</v>
      </c>
      <c r="CBF1" s="27" t="s">
        <v>2084</v>
      </c>
      <c r="CBG1" s="27" t="s">
        <v>2085</v>
      </c>
      <c r="CBH1" s="27" t="s">
        <v>2086</v>
      </c>
      <c r="CBI1" s="27" t="s">
        <v>2087</v>
      </c>
      <c r="CBJ1" s="27" t="s">
        <v>2088</v>
      </c>
      <c r="CBK1" s="27" t="s">
        <v>2089</v>
      </c>
      <c r="CBL1" s="27" t="s">
        <v>2090</v>
      </c>
      <c r="CBM1" s="27" t="s">
        <v>2091</v>
      </c>
      <c r="CBN1" s="27" t="s">
        <v>2092</v>
      </c>
      <c r="CBO1" s="27" t="s">
        <v>2093</v>
      </c>
      <c r="CBP1" s="27" t="s">
        <v>2094</v>
      </c>
      <c r="CBQ1" s="27" t="s">
        <v>2095</v>
      </c>
      <c r="CBR1" s="27" t="s">
        <v>2096</v>
      </c>
      <c r="CBS1" s="27" t="s">
        <v>2097</v>
      </c>
      <c r="CBT1" s="27" t="s">
        <v>2098</v>
      </c>
      <c r="CBU1" s="27" t="s">
        <v>2099</v>
      </c>
      <c r="CBV1" s="27" t="s">
        <v>2100</v>
      </c>
      <c r="CBW1" s="27" t="s">
        <v>2101</v>
      </c>
      <c r="CBX1" s="27" t="s">
        <v>2102</v>
      </c>
      <c r="CBY1" s="27" t="s">
        <v>2103</v>
      </c>
      <c r="CBZ1" s="27" t="s">
        <v>2104</v>
      </c>
      <c r="CCA1" s="27" t="s">
        <v>2105</v>
      </c>
      <c r="CCB1" s="27" t="s">
        <v>2106</v>
      </c>
      <c r="CCC1" s="27" t="s">
        <v>2107</v>
      </c>
      <c r="CCD1" s="27" t="s">
        <v>2108</v>
      </c>
      <c r="CCE1" s="27" t="s">
        <v>2109</v>
      </c>
      <c r="CCF1" s="27" t="s">
        <v>2110</v>
      </c>
      <c r="CCG1" s="27" t="s">
        <v>2111</v>
      </c>
      <c r="CCH1" s="27" t="s">
        <v>2112</v>
      </c>
      <c r="CCI1" s="27" t="s">
        <v>2113</v>
      </c>
      <c r="CCJ1" s="27" t="s">
        <v>2114</v>
      </c>
      <c r="CCK1" s="27" t="s">
        <v>2115</v>
      </c>
      <c r="CCL1" s="27" t="s">
        <v>2116</v>
      </c>
      <c r="CCM1" s="27" t="s">
        <v>2117</v>
      </c>
      <c r="CCN1" s="27" t="s">
        <v>2118</v>
      </c>
      <c r="CCO1" s="27" t="s">
        <v>2119</v>
      </c>
      <c r="CCP1" s="27" t="s">
        <v>2120</v>
      </c>
      <c r="CCQ1" s="27" t="s">
        <v>2121</v>
      </c>
      <c r="CCR1" s="27" t="s">
        <v>2122</v>
      </c>
      <c r="CCS1" s="27" t="s">
        <v>2123</v>
      </c>
      <c r="CCT1" s="27" t="s">
        <v>2124</v>
      </c>
      <c r="CCU1" s="27" t="s">
        <v>2125</v>
      </c>
      <c r="CCV1" s="27" t="s">
        <v>2126</v>
      </c>
      <c r="CCW1" s="27" t="s">
        <v>2127</v>
      </c>
      <c r="CCX1" s="27" t="s">
        <v>2128</v>
      </c>
      <c r="CCY1" s="27" t="s">
        <v>2129</v>
      </c>
      <c r="CCZ1" s="27" t="s">
        <v>2130</v>
      </c>
      <c r="CDA1" s="27" t="s">
        <v>2131</v>
      </c>
      <c r="CDB1" s="27" t="s">
        <v>2132</v>
      </c>
      <c r="CDC1" s="27" t="s">
        <v>2133</v>
      </c>
      <c r="CDD1" s="27" t="s">
        <v>2134</v>
      </c>
      <c r="CDE1" s="27" t="s">
        <v>2135</v>
      </c>
      <c r="CDF1" s="27" t="s">
        <v>2136</v>
      </c>
      <c r="CDG1" s="27" t="s">
        <v>2137</v>
      </c>
      <c r="CDH1" s="27" t="s">
        <v>2138</v>
      </c>
      <c r="CDI1" s="27" t="s">
        <v>2139</v>
      </c>
      <c r="CDJ1" s="27" t="s">
        <v>2140</v>
      </c>
      <c r="CDK1" s="27" t="s">
        <v>2141</v>
      </c>
      <c r="CDL1" s="27" t="s">
        <v>2142</v>
      </c>
      <c r="CDM1" s="27" t="s">
        <v>2143</v>
      </c>
      <c r="CDN1" s="27" t="s">
        <v>2144</v>
      </c>
      <c r="CDO1" s="27" t="s">
        <v>2145</v>
      </c>
      <c r="CDP1" s="27" t="s">
        <v>2146</v>
      </c>
      <c r="CDQ1" s="27" t="s">
        <v>2147</v>
      </c>
      <c r="CDR1" s="27" t="s">
        <v>2148</v>
      </c>
      <c r="CDS1" s="27" t="s">
        <v>2149</v>
      </c>
      <c r="CDT1" s="27" t="s">
        <v>2150</v>
      </c>
      <c r="CDU1" s="27" t="s">
        <v>2151</v>
      </c>
      <c r="CDV1" s="27" t="s">
        <v>2152</v>
      </c>
      <c r="CDW1" s="27" t="s">
        <v>2153</v>
      </c>
      <c r="CDX1" s="27" t="s">
        <v>2154</v>
      </c>
      <c r="CDY1" s="27" t="s">
        <v>2155</v>
      </c>
      <c r="CDZ1" s="27" t="s">
        <v>2156</v>
      </c>
      <c r="CEA1" s="27" t="s">
        <v>2157</v>
      </c>
      <c r="CEB1" s="27" t="s">
        <v>2158</v>
      </c>
      <c r="CEC1" s="27" t="s">
        <v>2159</v>
      </c>
      <c r="CED1" s="27" t="s">
        <v>2160</v>
      </c>
      <c r="CEE1" s="27" t="s">
        <v>2161</v>
      </c>
      <c r="CEF1" s="27" t="s">
        <v>2162</v>
      </c>
      <c r="CEG1" s="27" t="s">
        <v>2163</v>
      </c>
      <c r="CEH1" s="27" t="s">
        <v>2164</v>
      </c>
      <c r="CEI1" s="27" t="s">
        <v>2165</v>
      </c>
      <c r="CEJ1" s="27" t="s">
        <v>2166</v>
      </c>
      <c r="CEK1" s="27" t="s">
        <v>2167</v>
      </c>
      <c r="CEL1" s="27" t="s">
        <v>2168</v>
      </c>
      <c r="CEM1" s="27" t="s">
        <v>2169</v>
      </c>
      <c r="CEN1" s="27" t="s">
        <v>2170</v>
      </c>
      <c r="CEO1" s="27" t="s">
        <v>2171</v>
      </c>
      <c r="CEP1" s="27" t="s">
        <v>2172</v>
      </c>
      <c r="CEQ1" s="27" t="s">
        <v>2173</v>
      </c>
      <c r="CER1" s="27" t="s">
        <v>2174</v>
      </c>
      <c r="CES1" s="27" t="s">
        <v>2175</v>
      </c>
      <c r="CET1" s="27" t="s">
        <v>2176</v>
      </c>
      <c r="CEU1" s="27" t="s">
        <v>2177</v>
      </c>
      <c r="CEV1" s="27" t="s">
        <v>2178</v>
      </c>
      <c r="CEW1" s="27" t="s">
        <v>2179</v>
      </c>
      <c r="CEX1" s="27" t="s">
        <v>2180</v>
      </c>
      <c r="CEY1" s="27" t="s">
        <v>2181</v>
      </c>
      <c r="CEZ1" s="27" t="s">
        <v>2182</v>
      </c>
      <c r="CFA1" s="27" t="s">
        <v>2183</v>
      </c>
      <c r="CFB1" s="27" t="s">
        <v>2184</v>
      </c>
      <c r="CFC1" s="27" t="s">
        <v>2185</v>
      </c>
      <c r="CFD1" s="27" t="s">
        <v>2186</v>
      </c>
      <c r="CFE1" s="27" t="s">
        <v>2187</v>
      </c>
      <c r="CFF1" s="27" t="s">
        <v>2188</v>
      </c>
      <c r="CFG1" s="27" t="s">
        <v>2189</v>
      </c>
      <c r="CFH1" s="27" t="s">
        <v>2190</v>
      </c>
      <c r="CFI1" s="27" t="s">
        <v>2191</v>
      </c>
      <c r="CFJ1" s="27" t="s">
        <v>2192</v>
      </c>
      <c r="CFK1" s="27" t="s">
        <v>2193</v>
      </c>
      <c r="CFL1" s="27" t="s">
        <v>2194</v>
      </c>
      <c r="CFM1" s="27" t="s">
        <v>2195</v>
      </c>
      <c r="CFN1" s="27" t="s">
        <v>2196</v>
      </c>
      <c r="CFO1" s="27" t="s">
        <v>2197</v>
      </c>
      <c r="CFP1" s="27" t="s">
        <v>2198</v>
      </c>
      <c r="CFQ1" s="27" t="s">
        <v>2199</v>
      </c>
      <c r="CFR1" s="27" t="s">
        <v>2200</v>
      </c>
      <c r="CFS1" s="27" t="s">
        <v>2201</v>
      </c>
      <c r="CFT1" s="27" t="s">
        <v>2202</v>
      </c>
      <c r="CFU1" s="27" t="s">
        <v>2203</v>
      </c>
      <c r="CFV1" s="27" t="s">
        <v>2204</v>
      </c>
      <c r="CFW1" s="27" t="s">
        <v>2205</v>
      </c>
      <c r="CFX1" s="27" t="s">
        <v>2206</v>
      </c>
      <c r="CFY1" s="27" t="s">
        <v>2207</v>
      </c>
      <c r="CFZ1" s="27" t="s">
        <v>2208</v>
      </c>
      <c r="CGA1" s="27" t="s">
        <v>2209</v>
      </c>
      <c r="CGB1" s="27" t="s">
        <v>2210</v>
      </c>
      <c r="CGC1" s="27" t="s">
        <v>2211</v>
      </c>
      <c r="CGD1" s="27" t="s">
        <v>2212</v>
      </c>
      <c r="CGE1" s="27" t="s">
        <v>2213</v>
      </c>
      <c r="CGF1" s="27" t="s">
        <v>2214</v>
      </c>
      <c r="CGG1" s="27" t="s">
        <v>2215</v>
      </c>
      <c r="CGH1" s="27" t="s">
        <v>2216</v>
      </c>
      <c r="CGI1" s="27" t="s">
        <v>2217</v>
      </c>
      <c r="CGJ1" s="27" t="s">
        <v>2218</v>
      </c>
      <c r="CGK1" s="27" t="s">
        <v>2219</v>
      </c>
      <c r="CGL1" s="27" t="s">
        <v>2220</v>
      </c>
      <c r="CGM1" s="27" t="s">
        <v>2221</v>
      </c>
      <c r="CGN1" s="27" t="s">
        <v>2222</v>
      </c>
      <c r="CGO1" s="27" t="s">
        <v>2223</v>
      </c>
      <c r="CGP1" s="27" t="s">
        <v>2224</v>
      </c>
      <c r="CGQ1" s="27" t="s">
        <v>2225</v>
      </c>
      <c r="CGR1" s="27" t="s">
        <v>2226</v>
      </c>
      <c r="CGS1" s="27" t="s">
        <v>2227</v>
      </c>
      <c r="CGT1" s="27" t="s">
        <v>2228</v>
      </c>
      <c r="CGU1" s="27" t="s">
        <v>2229</v>
      </c>
      <c r="CGV1" s="27" t="s">
        <v>2230</v>
      </c>
      <c r="CGW1" s="27" t="s">
        <v>2231</v>
      </c>
      <c r="CGX1" s="27" t="s">
        <v>2232</v>
      </c>
      <c r="CGY1" s="27" t="s">
        <v>2233</v>
      </c>
      <c r="CGZ1" s="27" t="s">
        <v>2234</v>
      </c>
      <c r="CHA1" s="27" t="s">
        <v>2235</v>
      </c>
      <c r="CHB1" s="27" t="s">
        <v>2236</v>
      </c>
      <c r="CHC1" s="27" t="s">
        <v>2237</v>
      </c>
      <c r="CHD1" s="27" t="s">
        <v>2238</v>
      </c>
      <c r="CHE1" s="27" t="s">
        <v>2239</v>
      </c>
      <c r="CHF1" s="27" t="s">
        <v>2240</v>
      </c>
      <c r="CHG1" s="27" t="s">
        <v>2241</v>
      </c>
      <c r="CHH1" s="27" t="s">
        <v>2242</v>
      </c>
      <c r="CHI1" s="27" t="s">
        <v>2243</v>
      </c>
      <c r="CHJ1" s="27" t="s">
        <v>2244</v>
      </c>
      <c r="CHK1" s="27" t="s">
        <v>2245</v>
      </c>
      <c r="CHL1" s="27" t="s">
        <v>2246</v>
      </c>
      <c r="CHM1" s="27" t="s">
        <v>2247</v>
      </c>
      <c r="CHN1" s="27" t="s">
        <v>2248</v>
      </c>
      <c r="CHO1" s="27" t="s">
        <v>2249</v>
      </c>
      <c r="CHP1" s="27" t="s">
        <v>2250</v>
      </c>
      <c r="CHQ1" s="27" t="s">
        <v>2251</v>
      </c>
      <c r="CHR1" s="27" t="s">
        <v>2252</v>
      </c>
      <c r="CHS1" s="27" t="s">
        <v>2253</v>
      </c>
      <c r="CHT1" s="27" t="s">
        <v>2254</v>
      </c>
      <c r="CHU1" s="27" t="s">
        <v>2255</v>
      </c>
      <c r="CHV1" s="27" t="s">
        <v>2256</v>
      </c>
      <c r="CHW1" s="27" t="s">
        <v>2257</v>
      </c>
      <c r="CHX1" s="27" t="s">
        <v>2258</v>
      </c>
      <c r="CHY1" s="27" t="s">
        <v>2259</v>
      </c>
      <c r="CHZ1" s="27" t="s">
        <v>2260</v>
      </c>
      <c r="CIA1" s="27" t="s">
        <v>2261</v>
      </c>
      <c r="CIB1" s="27" t="s">
        <v>2262</v>
      </c>
      <c r="CIC1" s="27" t="s">
        <v>2263</v>
      </c>
      <c r="CID1" s="27" t="s">
        <v>2264</v>
      </c>
      <c r="CIE1" s="27" t="s">
        <v>2265</v>
      </c>
      <c r="CIF1" s="27" t="s">
        <v>2266</v>
      </c>
      <c r="CIG1" s="27" t="s">
        <v>2267</v>
      </c>
      <c r="CIH1" s="27" t="s">
        <v>2268</v>
      </c>
      <c r="CII1" s="27" t="s">
        <v>2269</v>
      </c>
      <c r="CIJ1" s="27" t="s">
        <v>2270</v>
      </c>
      <c r="CIK1" s="27" t="s">
        <v>2271</v>
      </c>
      <c r="CIL1" s="27" t="s">
        <v>2272</v>
      </c>
      <c r="CIM1" s="27" t="s">
        <v>2273</v>
      </c>
      <c r="CIN1" s="27" t="s">
        <v>2274</v>
      </c>
      <c r="CIO1" s="27" t="s">
        <v>2275</v>
      </c>
      <c r="CIP1" s="27" t="s">
        <v>2276</v>
      </c>
      <c r="CIQ1" s="27" t="s">
        <v>2277</v>
      </c>
      <c r="CIR1" s="27" t="s">
        <v>2278</v>
      </c>
      <c r="CIS1" s="27" t="s">
        <v>2279</v>
      </c>
      <c r="CIT1" s="27" t="s">
        <v>2280</v>
      </c>
      <c r="CIU1" s="27" t="s">
        <v>2281</v>
      </c>
      <c r="CIV1" s="27" t="s">
        <v>2282</v>
      </c>
      <c r="CIW1" s="27" t="s">
        <v>2283</v>
      </c>
      <c r="CIX1" s="27" t="s">
        <v>2284</v>
      </c>
      <c r="CIY1" s="27" t="s">
        <v>2285</v>
      </c>
      <c r="CIZ1" s="27" t="s">
        <v>2286</v>
      </c>
      <c r="CJA1" s="27" t="s">
        <v>2287</v>
      </c>
      <c r="CJB1" s="27" t="s">
        <v>2288</v>
      </c>
      <c r="CJC1" s="27" t="s">
        <v>2289</v>
      </c>
      <c r="CJD1" s="27" t="s">
        <v>2290</v>
      </c>
      <c r="CJE1" s="27" t="s">
        <v>2291</v>
      </c>
      <c r="CJF1" s="27" t="s">
        <v>2292</v>
      </c>
      <c r="CJG1" s="27" t="s">
        <v>2293</v>
      </c>
      <c r="CJH1" s="27" t="s">
        <v>2294</v>
      </c>
      <c r="CJI1" s="27" t="s">
        <v>2295</v>
      </c>
      <c r="CJJ1" s="27" t="s">
        <v>2296</v>
      </c>
      <c r="CJK1" s="27" t="s">
        <v>2297</v>
      </c>
      <c r="CJL1" s="27" t="s">
        <v>2298</v>
      </c>
      <c r="CJM1" s="27" t="s">
        <v>2299</v>
      </c>
      <c r="CJN1" s="27" t="s">
        <v>2300</v>
      </c>
      <c r="CJO1" s="27" t="s">
        <v>2301</v>
      </c>
      <c r="CJP1" s="27" t="s">
        <v>2302</v>
      </c>
      <c r="CJQ1" s="27" t="s">
        <v>2303</v>
      </c>
      <c r="CJR1" s="27" t="s">
        <v>2304</v>
      </c>
      <c r="CJS1" s="27" t="s">
        <v>2305</v>
      </c>
      <c r="CJT1" s="27" t="s">
        <v>2306</v>
      </c>
      <c r="CJU1" s="27" t="s">
        <v>2307</v>
      </c>
      <c r="CJV1" s="27" t="s">
        <v>2308</v>
      </c>
      <c r="CJW1" s="27" t="s">
        <v>2309</v>
      </c>
      <c r="CJX1" s="27" t="s">
        <v>2310</v>
      </c>
      <c r="CJY1" s="27" t="s">
        <v>2311</v>
      </c>
      <c r="CJZ1" s="27" t="s">
        <v>2312</v>
      </c>
      <c r="CKA1" s="27" t="s">
        <v>2313</v>
      </c>
      <c r="CKB1" s="27" t="s">
        <v>2314</v>
      </c>
      <c r="CKC1" s="27" t="s">
        <v>2315</v>
      </c>
      <c r="CKD1" s="27" t="s">
        <v>2316</v>
      </c>
      <c r="CKE1" s="27" t="s">
        <v>2317</v>
      </c>
      <c r="CKF1" s="27" t="s">
        <v>2318</v>
      </c>
      <c r="CKG1" s="27" t="s">
        <v>2319</v>
      </c>
      <c r="CKH1" s="27" t="s">
        <v>2320</v>
      </c>
      <c r="CKI1" s="27" t="s">
        <v>2321</v>
      </c>
      <c r="CKJ1" s="27" t="s">
        <v>2322</v>
      </c>
      <c r="CKK1" s="27" t="s">
        <v>2323</v>
      </c>
      <c r="CKL1" s="27" t="s">
        <v>2324</v>
      </c>
      <c r="CKM1" s="27" t="s">
        <v>2325</v>
      </c>
      <c r="CKN1" s="27" t="s">
        <v>2326</v>
      </c>
      <c r="CKO1" s="27" t="s">
        <v>2327</v>
      </c>
      <c r="CKP1" s="27" t="s">
        <v>2328</v>
      </c>
      <c r="CKQ1" s="27" t="s">
        <v>2329</v>
      </c>
      <c r="CKR1" s="27" t="s">
        <v>2330</v>
      </c>
      <c r="CKS1" s="27" t="s">
        <v>2331</v>
      </c>
      <c r="CKT1" s="27" t="s">
        <v>2332</v>
      </c>
      <c r="CKU1" s="27" t="s">
        <v>2333</v>
      </c>
      <c r="CKV1" s="27" t="s">
        <v>2334</v>
      </c>
      <c r="CKW1" s="27" t="s">
        <v>2335</v>
      </c>
      <c r="CKX1" s="27" t="s">
        <v>2336</v>
      </c>
      <c r="CKY1" s="27" t="s">
        <v>2337</v>
      </c>
      <c r="CKZ1" s="27" t="s">
        <v>2338</v>
      </c>
      <c r="CLA1" s="27" t="s">
        <v>2339</v>
      </c>
      <c r="CLB1" s="27" t="s">
        <v>2340</v>
      </c>
      <c r="CLC1" s="27" t="s">
        <v>2341</v>
      </c>
      <c r="CLD1" s="27" t="s">
        <v>2342</v>
      </c>
      <c r="CLE1" s="27" t="s">
        <v>2343</v>
      </c>
      <c r="CLF1" s="27" t="s">
        <v>2344</v>
      </c>
      <c r="CLG1" s="27" t="s">
        <v>2345</v>
      </c>
      <c r="CLH1" s="27" t="s">
        <v>2346</v>
      </c>
      <c r="CLI1" s="27" t="s">
        <v>2347</v>
      </c>
      <c r="CLJ1" s="27" t="s">
        <v>2348</v>
      </c>
      <c r="CLK1" s="27" t="s">
        <v>2349</v>
      </c>
      <c r="CLL1" s="27" t="s">
        <v>2350</v>
      </c>
      <c r="CLM1" s="27" t="s">
        <v>2351</v>
      </c>
      <c r="CLN1" s="27" t="s">
        <v>2352</v>
      </c>
      <c r="CLO1" s="27" t="s">
        <v>2353</v>
      </c>
      <c r="CLP1" s="27" t="s">
        <v>2354</v>
      </c>
      <c r="CLQ1" s="27" t="s">
        <v>2355</v>
      </c>
      <c r="CLR1" s="27" t="s">
        <v>2356</v>
      </c>
      <c r="CLS1" s="27" t="s">
        <v>2357</v>
      </c>
      <c r="CLT1" s="27" t="s">
        <v>2358</v>
      </c>
      <c r="CLU1" s="27" t="s">
        <v>2359</v>
      </c>
      <c r="CLV1" s="27" t="s">
        <v>2360</v>
      </c>
      <c r="CLW1" s="27" t="s">
        <v>2361</v>
      </c>
      <c r="CLX1" s="27" t="s">
        <v>2362</v>
      </c>
      <c r="CLY1" s="27" t="s">
        <v>2363</v>
      </c>
      <c r="CLZ1" s="27" t="s">
        <v>2364</v>
      </c>
      <c r="CMA1" s="27" t="s">
        <v>2365</v>
      </c>
      <c r="CMB1" s="27" t="s">
        <v>2366</v>
      </c>
      <c r="CMC1" s="27" t="s">
        <v>2367</v>
      </c>
      <c r="CMD1" s="27" t="s">
        <v>2368</v>
      </c>
      <c r="CME1" s="27" t="s">
        <v>2369</v>
      </c>
      <c r="CMF1" s="27" t="s">
        <v>2370</v>
      </c>
      <c r="CMG1" s="27" t="s">
        <v>2371</v>
      </c>
      <c r="CMH1" s="27" t="s">
        <v>2372</v>
      </c>
      <c r="CMI1" s="27" t="s">
        <v>2373</v>
      </c>
      <c r="CMJ1" s="27" t="s">
        <v>2374</v>
      </c>
      <c r="CMK1" s="27" t="s">
        <v>2375</v>
      </c>
      <c r="CML1" s="27" t="s">
        <v>2376</v>
      </c>
      <c r="CMM1" s="27" t="s">
        <v>2377</v>
      </c>
      <c r="CMN1" s="27" t="s">
        <v>2378</v>
      </c>
      <c r="CMO1" s="27" t="s">
        <v>2379</v>
      </c>
      <c r="CMP1" s="27" t="s">
        <v>2380</v>
      </c>
      <c r="CMQ1" s="27" t="s">
        <v>2381</v>
      </c>
      <c r="CMR1" s="27" t="s">
        <v>2382</v>
      </c>
      <c r="CMS1" s="27" t="s">
        <v>2383</v>
      </c>
      <c r="CMT1" s="27" t="s">
        <v>2384</v>
      </c>
      <c r="CMU1" s="27" t="s">
        <v>2385</v>
      </c>
      <c r="CMV1" s="27" t="s">
        <v>2386</v>
      </c>
      <c r="CMW1" s="27" t="s">
        <v>2387</v>
      </c>
      <c r="CMX1" s="27" t="s">
        <v>2388</v>
      </c>
      <c r="CMY1" s="27" t="s">
        <v>2389</v>
      </c>
      <c r="CMZ1" s="27" t="s">
        <v>2390</v>
      </c>
      <c r="CNA1" s="27" t="s">
        <v>2391</v>
      </c>
      <c r="CNB1" s="27" t="s">
        <v>2392</v>
      </c>
      <c r="CNC1" s="27" t="s">
        <v>2393</v>
      </c>
      <c r="CND1" s="27" t="s">
        <v>2394</v>
      </c>
      <c r="CNE1" s="27" t="s">
        <v>2395</v>
      </c>
      <c r="CNF1" s="27" t="s">
        <v>2396</v>
      </c>
      <c r="CNG1" s="27" t="s">
        <v>2397</v>
      </c>
      <c r="CNH1" s="27" t="s">
        <v>2398</v>
      </c>
      <c r="CNI1" s="27" t="s">
        <v>2399</v>
      </c>
      <c r="CNJ1" s="27" t="s">
        <v>2400</v>
      </c>
      <c r="CNK1" s="27" t="s">
        <v>2401</v>
      </c>
      <c r="CNL1" s="27" t="s">
        <v>2402</v>
      </c>
      <c r="CNM1" s="27" t="s">
        <v>2403</v>
      </c>
      <c r="CNN1" s="27" t="s">
        <v>2404</v>
      </c>
      <c r="CNO1" s="27" t="s">
        <v>2405</v>
      </c>
      <c r="CNP1" s="27" t="s">
        <v>2406</v>
      </c>
      <c r="CNQ1" s="27" t="s">
        <v>2407</v>
      </c>
      <c r="CNR1" s="27" t="s">
        <v>2408</v>
      </c>
      <c r="CNS1" s="27" t="s">
        <v>2409</v>
      </c>
      <c r="CNT1" s="27" t="s">
        <v>2410</v>
      </c>
      <c r="CNU1" s="27" t="s">
        <v>2411</v>
      </c>
      <c r="CNV1" s="27" t="s">
        <v>2412</v>
      </c>
      <c r="CNW1" s="27" t="s">
        <v>2413</v>
      </c>
      <c r="CNX1" s="27" t="s">
        <v>2414</v>
      </c>
      <c r="CNY1" s="27" t="s">
        <v>2415</v>
      </c>
      <c r="CNZ1" s="27" t="s">
        <v>2416</v>
      </c>
      <c r="COA1" s="27" t="s">
        <v>2417</v>
      </c>
      <c r="COB1" s="27" t="s">
        <v>2418</v>
      </c>
      <c r="COC1" s="27" t="s">
        <v>2419</v>
      </c>
      <c r="COD1" s="27" t="s">
        <v>2420</v>
      </c>
      <c r="COE1" s="27" t="s">
        <v>2421</v>
      </c>
      <c r="COF1" s="27" t="s">
        <v>2422</v>
      </c>
      <c r="COG1" s="27" t="s">
        <v>2423</v>
      </c>
      <c r="COH1" s="27" t="s">
        <v>2424</v>
      </c>
      <c r="COI1" s="27" t="s">
        <v>2425</v>
      </c>
      <c r="COJ1" s="27" t="s">
        <v>2426</v>
      </c>
      <c r="COK1" s="27" t="s">
        <v>2427</v>
      </c>
      <c r="COL1" s="27" t="s">
        <v>2428</v>
      </c>
      <c r="COM1" s="27" t="s">
        <v>2429</v>
      </c>
      <c r="CON1" s="27" t="s">
        <v>2430</v>
      </c>
      <c r="COO1" s="27" t="s">
        <v>2431</v>
      </c>
      <c r="COP1" s="27" t="s">
        <v>2432</v>
      </c>
      <c r="COQ1" s="27" t="s">
        <v>2433</v>
      </c>
      <c r="COR1" s="27" t="s">
        <v>2434</v>
      </c>
      <c r="COS1" s="27" t="s">
        <v>2435</v>
      </c>
      <c r="COT1" s="27" t="s">
        <v>2436</v>
      </c>
      <c r="COU1" s="27" t="s">
        <v>2437</v>
      </c>
      <c r="COV1" s="27" t="s">
        <v>2438</v>
      </c>
      <c r="COW1" s="27" t="s">
        <v>2439</v>
      </c>
      <c r="COX1" s="27" t="s">
        <v>2440</v>
      </c>
      <c r="COY1" s="27" t="s">
        <v>2441</v>
      </c>
      <c r="COZ1" s="27" t="s">
        <v>2442</v>
      </c>
      <c r="CPA1" s="27" t="s">
        <v>2443</v>
      </c>
      <c r="CPB1" s="27" t="s">
        <v>2444</v>
      </c>
      <c r="CPC1" s="27" t="s">
        <v>2445</v>
      </c>
      <c r="CPD1" s="27" t="s">
        <v>2446</v>
      </c>
      <c r="CPE1" s="27" t="s">
        <v>2447</v>
      </c>
      <c r="CPF1" s="27" t="s">
        <v>2448</v>
      </c>
      <c r="CPG1" s="27" t="s">
        <v>2449</v>
      </c>
      <c r="CPH1" s="27" t="s">
        <v>2450</v>
      </c>
      <c r="CPI1" s="27" t="s">
        <v>2451</v>
      </c>
      <c r="CPJ1" s="27" t="s">
        <v>2452</v>
      </c>
      <c r="CPK1" s="27" t="s">
        <v>2453</v>
      </c>
      <c r="CPL1" s="27" t="s">
        <v>2454</v>
      </c>
      <c r="CPM1" s="27" t="s">
        <v>2455</v>
      </c>
      <c r="CPN1" s="27" t="s">
        <v>2456</v>
      </c>
      <c r="CPO1" s="27" t="s">
        <v>2457</v>
      </c>
      <c r="CPP1" s="27" t="s">
        <v>2458</v>
      </c>
      <c r="CPQ1" s="27" t="s">
        <v>2459</v>
      </c>
      <c r="CPR1" s="27" t="s">
        <v>2460</v>
      </c>
      <c r="CPS1" s="27" t="s">
        <v>2461</v>
      </c>
      <c r="CPT1" s="27" t="s">
        <v>2462</v>
      </c>
      <c r="CPU1" s="27" t="s">
        <v>2463</v>
      </c>
      <c r="CPV1" s="27" t="s">
        <v>2464</v>
      </c>
      <c r="CPW1" s="27" t="s">
        <v>2465</v>
      </c>
      <c r="CPX1" s="27" t="s">
        <v>2466</v>
      </c>
      <c r="CPY1" s="27" t="s">
        <v>2467</v>
      </c>
      <c r="CPZ1" s="27" t="s">
        <v>2468</v>
      </c>
      <c r="CQA1" s="27" t="s">
        <v>2469</v>
      </c>
      <c r="CQB1" s="27" t="s">
        <v>2470</v>
      </c>
      <c r="CQC1" s="27" t="s">
        <v>2471</v>
      </c>
      <c r="CQD1" s="27" t="s">
        <v>2472</v>
      </c>
      <c r="CQE1" s="27" t="s">
        <v>2473</v>
      </c>
      <c r="CQF1" s="27" t="s">
        <v>2474</v>
      </c>
      <c r="CQG1" s="27" t="s">
        <v>2475</v>
      </c>
      <c r="CQH1" s="27" t="s">
        <v>2476</v>
      </c>
      <c r="CQI1" s="27" t="s">
        <v>2477</v>
      </c>
      <c r="CQJ1" s="27" t="s">
        <v>2478</v>
      </c>
      <c r="CQK1" s="27" t="s">
        <v>2479</v>
      </c>
      <c r="CQL1" s="27" t="s">
        <v>2480</v>
      </c>
      <c r="CQM1" s="27" t="s">
        <v>2481</v>
      </c>
      <c r="CQN1" s="27" t="s">
        <v>2482</v>
      </c>
      <c r="CQO1" s="27" t="s">
        <v>2483</v>
      </c>
      <c r="CQP1" s="27" t="s">
        <v>2484</v>
      </c>
      <c r="CQQ1" s="27" t="s">
        <v>2485</v>
      </c>
      <c r="CQR1" s="27" t="s">
        <v>2486</v>
      </c>
      <c r="CQS1" s="27" t="s">
        <v>2487</v>
      </c>
      <c r="CQT1" s="27" t="s">
        <v>2488</v>
      </c>
      <c r="CQU1" s="27" t="s">
        <v>2489</v>
      </c>
      <c r="CQV1" s="27" t="s">
        <v>2490</v>
      </c>
      <c r="CQW1" s="27" t="s">
        <v>2491</v>
      </c>
      <c r="CQX1" s="27" t="s">
        <v>2492</v>
      </c>
      <c r="CQY1" s="27" t="s">
        <v>2493</v>
      </c>
      <c r="CQZ1" s="27" t="s">
        <v>2494</v>
      </c>
      <c r="CRA1" s="27" t="s">
        <v>2495</v>
      </c>
      <c r="CRB1" s="27" t="s">
        <v>2496</v>
      </c>
      <c r="CRC1" s="27" t="s">
        <v>2497</v>
      </c>
      <c r="CRD1" s="27" t="s">
        <v>2498</v>
      </c>
      <c r="CRE1" s="27" t="s">
        <v>2499</v>
      </c>
      <c r="CRF1" s="27" t="s">
        <v>2500</v>
      </c>
      <c r="CRG1" s="27" t="s">
        <v>2501</v>
      </c>
      <c r="CRH1" s="27" t="s">
        <v>2502</v>
      </c>
      <c r="CRI1" s="27" t="s">
        <v>2503</v>
      </c>
      <c r="CRJ1" s="27" t="s">
        <v>2504</v>
      </c>
      <c r="CRK1" s="27" t="s">
        <v>2505</v>
      </c>
      <c r="CRL1" s="27" t="s">
        <v>2506</v>
      </c>
      <c r="CRM1" s="27" t="s">
        <v>2507</v>
      </c>
      <c r="CRN1" s="27" t="s">
        <v>2508</v>
      </c>
      <c r="CRO1" s="27" t="s">
        <v>2509</v>
      </c>
      <c r="CRP1" s="27" t="s">
        <v>2510</v>
      </c>
      <c r="CRQ1" s="27" t="s">
        <v>2511</v>
      </c>
      <c r="CRR1" s="27" t="s">
        <v>2512</v>
      </c>
      <c r="CRS1" s="27" t="s">
        <v>2513</v>
      </c>
      <c r="CRT1" s="27" t="s">
        <v>2514</v>
      </c>
      <c r="CRU1" s="27" t="s">
        <v>2515</v>
      </c>
      <c r="CRV1" s="27" t="s">
        <v>2516</v>
      </c>
      <c r="CRW1" s="27" t="s">
        <v>2517</v>
      </c>
      <c r="CRX1" s="27" t="s">
        <v>2518</v>
      </c>
      <c r="CRY1" s="27" t="s">
        <v>2519</v>
      </c>
      <c r="CRZ1" s="27" t="s">
        <v>2520</v>
      </c>
      <c r="CSA1" s="27" t="s">
        <v>2521</v>
      </c>
      <c r="CSB1" s="27" t="s">
        <v>2522</v>
      </c>
      <c r="CSC1" s="27" t="s">
        <v>2523</v>
      </c>
      <c r="CSD1" s="27" t="s">
        <v>2524</v>
      </c>
      <c r="CSE1" s="27" t="s">
        <v>2525</v>
      </c>
      <c r="CSF1" s="27" t="s">
        <v>2526</v>
      </c>
      <c r="CSG1" s="27" t="s">
        <v>2527</v>
      </c>
      <c r="CSH1" s="27" t="s">
        <v>2528</v>
      </c>
      <c r="CSI1" s="27" t="s">
        <v>2529</v>
      </c>
      <c r="CSJ1" s="27" t="s">
        <v>2530</v>
      </c>
      <c r="CSK1" s="27" t="s">
        <v>2531</v>
      </c>
      <c r="CSL1" s="27" t="s">
        <v>2532</v>
      </c>
      <c r="CSM1" s="27" t="s">
        <v>2533</v>
      </c>
      <c r="CSN1" s="27" t="s">
        <v>2534</v>
      </c>
      <c r="CSO1" s="27" t="s">
        <v>2535</v>
      </c>
      <c r="CSP1" s="27" t="s">
        <v>2536</v>
      </c>
      <c r="CSQ1" s="27" t="s">
        <v>2537</v>
      </c>
      <c r="CSR1" s="27" t="s">
        <v>2538</v>
      </c>
      <c r="CSS1" s="27" t="s">
        <v>2539</v>
      </c>
      <c r="CST1" s="27" t="s">
        <v>2540</v>
      </c>
      <c r="CSU1" s="27" t="s">
        <v>2541</v>
      </c>
      <c r="CSV1" s="27" t="s">
        <v>2542</v>
      </c>
      <c r="CSW1" s="27" t="s">
        <v>2543</v>
      </c>
      <c r="CSX1" s="27" t="s">
        <v>2544</v>
      </c>
      <c r="CSY1" s="27" t="s">
        <v>2545</v>
      </c>
      <c r="CSZ1" s="27" t="s">
        <v>2546</v>
      </c>
      <c r="CTA1" s="27" t="s">
        <v>2547</v>
      </c>
      <c r="CTB1" s="27" t="s">
        <v>2548</v>
      </c>
      <c r="CTC1" s="27" t="s">
        <v>2549</v>
      </c>
      <c r="CTD1" s="27" t="s">
        <v>2550</v>
      </c>
      <c r="CTE1" s="27" t="s">
        <v>2551</v>
      </c>
      <c r="CTF1" s="27" t="s">
        <v>2552</v>
      </c>
      <c r="CTG1" s="27" t="s">
        <v>2553</v>
      </c>
      <c r="CTH1" s="27" t="s">
        <v>2554</v>
      </c>
      <c r="CTI1" s="27" t="s">
        <v>2555</v>
      </c>
      <c r="CTJ1" s="27" t="s">
        <v>2556</v>
      </c>
      <c r="CTK1" s="27" t="s">
        <v>2557</v>
      </c>
      <c r="CTL1" s="27" t="s">
        <v>2558</v>
      </c>
      <c r="CTM1" s="27" t="s">
        <v>2559</v>
      </c>
      <c r="CTN1" s="27" t="s">
        <v>2560</v>
      </c>
      <c r="CTO1" s="27" t="s">
        <v>2561</v>
      </c>
      <c r="CTP1" s="27" t="s">
        <v>2562</v>
      </c>
      <c r="CTQ1" s="27" t="s">
        <v>2563</v>
      </c>
      <c r="CTR1" s="27" t="s">
        <v>2564</v>
      </c>
      <c r="CTS1" s="27" t="s">
        <v>2565</v>
      </c>
      <c r="CTT1" s="27" t="s">
        <v>2566</v>
      </c>
      <c r="CTU1" s="27" t="s">
        <v>2567</v>
      </c>
      <c r="CTV1" s="27" t="s">
        <v>2568</v>
      </c>
      <c r="CTW1" s="27" t="s">
        <v>2569</v>
      </c>
      <c r="CTX1" s="27" t="s">
        <v>2570</v>
      </c>
      <c r="CTY1" s="27" t="s">
        <v>2571</v>
      </c>
      <c r="CTZ1" s="27" t="s">
        <v>2572</v>
      </c>
      <c r="CUA1" s="27" t="s">
        <v>2573</v>
      </c>
      <c r="CUB1" s="27" t="s">
        <v>2574</v>
      </c>
      <c r="CUC1" s="27" t="s">
        <v>2575</v>
      </c>
      <c r="CUD1" s="27" t="s">
        <v>2576</v>
      </c>
      <c r="CUE1" s="27" t="s">
        <v>2577</v>
      </c>
      <c r="CUF1" s="27" t="s">
        <v>2578</v>
      </c>
      <c r="CUG1" s="27" t="s">
        <v>2579</v>
      </c>
      <c r="CUH1" s="27" t="s">
        <v>2580</v>
      </c>
      <c r="CUI1" s="27" t="s">
        <v>2581</v>
      </c>
      <c r="CUJ1" s="27" t="s">
        <v>2582</v>
      </c>
      <c r="CUK1" s="27" t="s">
        <v>2583</v>
      </c>
      <c r="CUL1" s="27" t="s">
        <v>2584</v>
      </c>
      <c r="CUM1" s="27" t="s">
        <v>2585</v>
      </c>
      <c r="CUN1" s="27" t="s">
        <v>2586</v>
      </c>
      <c r="CUO1" s="27" t="s">
        <v>2587</v>
      </c>
      <c r="CUP1" s="27" t="s">
        <v>2588</v>
      </c>
      <c r="CUQ1" s="27" t="s">
        <v>2589</v>
      </c>
      <c r="CUR1" s="27" t="s">
        <v>2590</v>
      </c>
      <c r="CUS1" s="27" t="s">
        <v>2591</v>
      </c>
      <c r="CUT1" s="27" t="s">
        <v>2592</v>
      </c>
      <c r="CUU1" s="27" t="s">
        <v>2593</v>
      </c>
      <c r="CUV1" s="27" t="s">
        <v>2594</v>
      </c>
      <c r="CUW1" s="27" t="s">
        <v>2595</v>
      </c>
      <c r="CUX1" s="27" t="s">
        <v>2596</v>
      </c>
      <c r="CUY1" s="27" t="s">
        <v>2597</v>
      </c>
      <c r="CUZ1" s="27" t="s">
        <v>2598</v>
      </c>
      <c r="CVA1" s="27" t="s">
        <v>2599</v>
      </c>
      <c r="CVB1" s="27" t="s">
        <v>2600</v>
      </c>
      <c r="CVC1" s="27" t="s">
        <v>2601</v>
      </c>
      <c r="CVD1" s="27" t="s">
        <v>2602</v>
      </c>
      <c r="CVE1" s="27" t="s">
        <v>2603</v>
      </c>
      <c r="CVF1" s="27" t="s">
        <v>2604</v>
      </c>
      <c r="CVG1" s="27" t="s">
        <v>2605</v>
      </c>
      <c r="CVH1" s="27" t="s">
        <v>2606</v>
      </c>
      <c r="CVI1" s="27" t="s">
        <v>2607</v>
      </c>
      <c r="CVJ1" s="27" t="s">
        <v>2608</v>
      </c>
      <c r="CVK1" s="27" t="s">
        <v>2609</v>
      </c>
      <c r="CVL1" s="27" t="s">
        <v>2610</v>
      </c>
      <c r="CVM1" s="27" t="s">
        <v>2611</v>
      </c>
      <c r="CVN1" s="27" t="s">
        <v>2612</v>
      </c>
      <c r="CVO1" s="27" t="s">
        <v>2613</v>
      </c>
      <c r="CVP1" s="27" t="s">
        <v>2614</v>
      </c>
      <c r="CVQ1" s="27" t="s">
        <v>2615</v>
      </c>
      <c r="CVR1" s="27" t="s">
        <v>2616</v>
      </c>
      <c r="CVS1" s="27" t="s">
        <v>2617</v>
      </c>
      <c r="CVT1" s="27" t="s">
        <v>2618</v>
      </c>
      <c r="CVU1" s="27" t="s">
        <v>2619</v>
      </c>
      <c r="CVV1" s="27" t="s">
        <v>2620</v>
      </c>
      <c r="CVW1" s="27" t="s">
        <v>2621</v>
      </c>
      <c r="CVX1" s="27" t="s">
        <v>2622</v>
      </c>
      <c r="CVY1" s="27" t="s">
        <v>2623</v>
      </c>
      <c r="CVZ1" s="27" t="s">
        <v>2624</v>
      </c>
      <c r="CWA1" s="27" t="s">
        <v>2625</v>
      </c>
      <c r="CWB1" s="27" t="s">
        <v>2626</v>
      </c>
      <c r="CWC1" s="27" t="s">
        <v>2627</v>
      </c>
      <c r="CWD1" s="27" t="s">
        <v>2628</v>
      </c>
      <c r="CWE1" s="27" t="s">
        <v>2629</v>
      </c>
      <c r="CWF1" s="27" t="s">
        <v>2630</v>
      </c>
      <c r="CWG1" s="27" t="s">
        <v>2631</v>
      </c>
      <c r="CWH1" s="27" t="s">
        <v>2632</v>
      </c>
      <c r="CWI1" s="27" t="s">
        <v>2633</v>
      </c>
      <c r="CWJ1" s="27" t="s">
        <v>2634</v>
      </c>
      <c r="CWK1" s="27" t="s">
        <v>2635</v>
      </c>
      <c r="CWL1" s="27" t="s">
        <v>2636</v>
      </c>
      <c r="CWM1" s="27" t="s">
        <v>2637</v>
      </c>
      <c r="CWN1" s="27" t="s">
        <v>2638</v>
      </c>
      <c r="CWO1" s="27" t="s">
        <v>2639</v>
      </c>
      <c r="CWP1" s="27" t="s">
        <v>2640</v>
      </c>
      <c r="CWQ1" s="27" t="s">
        <v>2641</v>
      </c>
      <c r="CWR1" s="27" t="s">
        <v>2642</v>
      </c>
      <c r="CWS1" s="27" t="s">
        <v>2643</v>
      </c>
      <c r="CWT1" s="27" t="s">
        <v>2644</v>
      </c>
      <c r="CWU1" s="27" t="s">
        <v>2645</v>
      </c>
      <c r="CWV1" s="27" t="s">
        <v>2646</v>
      </c>
      <c r="CWW1" s="27" t="s">
        <v>2647</v>
      </c>
      <c r="CWX1" s="27" t="s">
        <v>2648</v>
      </c>
      <c r="CWY1" s="27" t="s">
        <v>2649</v>
      </c>
      <c r="CWZ1" s="27" t="s">
        <v>2650</v>
      </c>
      <c r="CXA1" s="27" t="s">
        <v>2651</v>
      </c>
      <c r="CXB1" s="27" t="s">
        <v>2652</v>
      </c>
      <c r="CXC1" s="27" t="s">
        <v>2653</v>
      </c>
      <c r="CXD1" s="27" t="s">
        <v>2654</v>
      </c>
      <c r="CXE1" s="27" t="s">
        <v>2655</v>
      </c>
      <c r="CXF1" s="27" t="s">
        <v>2656</v>
      </c>
      <c r="CXG1" s="27" t="s">
        <v>2657</v>
      </c>
      <c r="CXH1" s="27" t="s">
        <v>2658</v>
      </c>
      <c r="CXI1" s="27" t="s">
        <v>2659</v>
      </c>
      <c r="CXJ1" s="27" t="s">
        <v>2660</v>
      </c>
      <c r="CXK1" s="27" t="s">
        <v>2661</v>
      </c>
      <c r="CXL1" s="27" t="s">
        <v>2662</v>
      </c>
      <c r="CXM1" s="27" t="s">
        <v>2663</v>
      </c>
      <c r="CXN1" s="27" t="s">
        <v>2664</v>
      </c>
      <c r="CXO1" s="27" t="s">
        <v>2665</v>
      </c>
      <c r="CXP1" s="27" t="s">
        <v>2666</v>
      </c>
      <c r="CXQ1" s="27" t="s">
        <v>2667</v>
      </c>
      <c r="CXR1" s="27" t="s">
        <v>2668</v>
      </c>
      <c r="CXS1" s="27" t="s">
        <v>2669</v>
      </c>
      <c r="CXT1" s="27" t="s">
        <v>2670</v>
      </c>
      <c r="CXU1" s="27" t="s">
        <v>2671</v>
      </c>
      <c r="CXV1" s="27" t="s">
        <v>2672</v>
      </c>
      <c r="CXW1" s="27" t="s">
        <v>2673</v>
      </c>
      <c r="CXX1" s="27" t="s">
        <v>2674</v>
      </c>
      <c r="CXY1" s="27" t="s">
        <v>2675</v>
      </c>
      <c r="CXZ1" s="27" t="s">
        <v>2676</v>
      </c>
      <c r="CYA1" s="27" t="s">
        <v>2677</v>
      </c>
      <c r="CYB1" s="27" t="s">
        <v>2678</v>
      </c>
      <c r="CYC1" s="27" t="s">
        <v>2679</v>
      </c>
      <c r="CYD1" s="27" t="s">
        <v>2680</v>
      </c>
      <c r="CYE1" s="27" t="s">
        <v>2681</v>
      </c>
      <c r="CYF1" s="27" t="s">
        <v>2682</v>
      </c>
      <c r="CYG1" s="27" t="s">
        <v>2683</v>
      </c>
      <c r="CYH1" s="27" t="s">
        <v>2684</v>
      </c>
      <c r="CYI1" s="27" t="s">
        <v>2685</v>
      </c>
      <c r="CYJ1" s="27" t="s">
        <v>2686</v>
      </c>
      <c r="CYK1" s="27" t="s">
        <v>2687</v>
      </c>
      <c r="CYL1" s="27" t="s">
        <v>2688</v>
      </c>
      <c r="CYM1" s="27" t="s">
        <v>2689</v>
      </c>
      <c r="CYN1" s="27" t="s">
        <v>2690</v>
      </c>
      <c r="CYO1" s="27" t="s">
        <v>2691</v>
      </c>
      <c r="CYP1" s="27" t="s">
        <v>2692</v>
      </c>
      <c r="CYQ1" s="27" t="s">
        <v>2693</v>
      </c>
      <c r="CYR1" s="27" t="s">
        <v>2694</v>
      </c>
      <c r="CYS1" s="27" t="s">
        <v>2695</v>
      </c>
      <c r="CYT1" s="27" t="s">
        <v>2696</v>
      </c>
      <c r="CYU1" s="27" t="s">
        <v>2697</v>
      </c>
      <c r="CYV1" s="27" t="s">
        <v>2698</v>
      </c>
      <c r="CYW1" s="27" t="s">
        <v>2699</v>
      </c>
      <c r="CYX1" s="27" t="s">
        <v>2700</v>
      </c>
      <c r="CYY1" s="27" t="s">
        <v>2701</v>
      </c>
      <c r="CYZ1" s="27" t="s">
        <v>2702</v>
      </c>
      <c r="CZA1" s="27" t="s">
        <v>2703</v>
      </c>
      <c r="CZB1" s="27" t="s">
        <v>2704</v>
      </c>
      <c r="CZC1" s="27" t="s">
        <v>2705</v>
      </c>
      <c r="CZD1" s="27" t="s">
        <v>2706</v>
      </c>
      <c r="CZE1" s="27" t="s">
        <v>2707</v>
      </c>
      <c r="CZF1" s="27" t="s">
        <v>2708</v>
      </c>
      <c r="CZG1" s="27" t="s">
        <v>2709</v>
      </c>
      <c r="CZH1" s="27" t="s">
        <v>2710</v>
      </c>
      <c r="CZI1" s="27" t="s">
        <v>2711</v>
      </c>
      <c r="CZJ1" s="27" t="s">
        <v>2712</v>
      </c>
      <c r="CZK1" s="27" t="s">
        <v>2713</v>
      </c>
      <c r="CZL1" s="27" t="s">
        <v>2714</v>
      </c>
      <c r="CZM1" s="27" t="s">
        <v>2715</v>
      </c>
      <c r="CZN1" s="27" t="s">
        <v>2716</v>
      </c>
      <c r="CZO1" s="27" t="s">
        <v>2717</v>
      </c>
      <c r="CZP1" s="27" t="s">
        <v>2718</v>
      </c>
      <c r="CZQ1" s="27" t="s">
        <v>2719</v>
      </c>
      <c r="CZR1" s="27" t="s">
        <v>2720</v>
      </c>
      <c r="CZS1" s="27" t="s">
        <v>2721</v>
      </c>
      <c r="CZT1" s="27" t="s">
        <v>2722</v>
      </c>
      <c r="CZU1" s="27" t="s">
        <v>2723</v>
      </c>
      <c r="CZV1" s="27" t="s">
        <v>2724</v>
      </c>
      <c r="CZW1" s="27" t="s">
        <v>2725</v>
      </c>
      <c r="CZX1" s="27" t="s">
        <v>2726</v>
      </c>
      <c r="CZY1" s="27" t="s">
        <v>2727</v>
      </c>
      <c r="CZZ1" s="27" t="s">
        <v>2728</v>
      </c>
      <c r="DAA1" s="27" t="s">
        <v>2729</v>
      </c>
      <c r="DAB1" s="27" t="s">
        <v>2730</v>
      </c>
      <c r="DAC1" s="27" t="s">
        <v>2731</v>
      </c>
      <c r="DAD1" s="27" t="s">
        <v>2732</v>
      </c>
      <c r="DAE1" s="27" t="s">
        <v>2733</v>
      </c>
      <c r="DAF1" s="27" t="s">
        <v>2734</v>
      </c>
      <c r="DAG1" s="27" t="s">
        <v>2735</v>
      </c>
      <c r="DAH1" s="27" t="s">
        <v>2736</v>
      </c>
      <c r="DAI1" s="27" t="s">
        <v>2737</v>
      </c>
      <c r="DAJ1" s="27" t="s">
        <v>2738</v>
      </c>
      <c r="DAK1" s="27" t="s">
        <v>2739</v>
      </c>
      <c r="DAL1" s="27" t="s">
        <v>2740</v>
      </c>
      <c r="DAM1" s="27" t="s">
        <v>2741</v>
      </c>
      <c r="DAN1" s="27" t="s">
        <v>2742</v>
      </c>
      <c r="DAO1" s="27" t="s">
        <v>2743</v>
      </c>
      <c r="DAP1" s="27" t="s">
        <v>2744</v>
      </c>
      <c r="DAQ1" s="27" t="s">
        <v>2745</v>
      </c>
      <c r="DAR1" s="27" t="s">
        <v>2746</v>
      </c>
      <c r="DAS1" s="27" t="s">
        <v>2747</v>
      </c>
      <c r="DAT1" s="27" t="s">
        <v>2748</v>
      </c>
      <c r="DAU1" s="27" t="s">
        <v>2749</v>
      </c>
      <c r="DAV1" s="27" t="s">
        <v>2750</v>
      </c>
      <c r="DAW1" s="27" t="s">
        <v>2751</v>
      </c>
      <c r="DAX1" s="27" t="s">
        <v>2752</v>
      </c>
      <c r="DAY1" s="27" t="s">
        <v>2753</v>
      </c>
      <c r="DAZ1" s="27" t="s">
        <v>2754</v>
      </c>
      <c r="DBA1" s="27" t="s">
        <v>2755</v>
      </c>
      <c r="DBB1" s="27" t="s">
        <v>2756</v>
      </c>
      <c r="DBC1" s="27" t="s">
        <v>2757</v>
      </c>
      <c r="DBD1" s="27" t="s">
        <v>2758</v>
      </c>
      <c r="DBE1" s="27" t="s">
        <v>2759</v>
      </c>
      <c r="DBF1" s="27" t="s">
        <v>2760</v>
      </c>
      <c r="DBG1" s="27" t="s">
        <v>2761</v>
      </c>
      <c r="DBH1" s="27" t="s">
        <v>2762</v>
      </c>
      <c r="DBI1" s="27" t="s">
        <v>2763</v>
      </c>
      <c r="DBJ1" s="27" t="s">
        <v>2764</v>
      </c>
      <c r="DBK1" s="27" t="s">
        <v>2765</v>
      </c>
      <c r="DBL1" s="27" t="s">
        <v>2766</v>
      </c>
      <c r="DBM1" s="27" t="s">
        <v>2767</v>
      </c>
      <c r="DBN1" s="27" t="s">
        <v>2768</v>
      </c>
      <c r="DBO1" s="27" t="s">
        <v>2769</v>
      </c>
      <c r="DBP1" s="27" t="s">
        <v>2770</v>
      </c>
      <c r="DBQ1" s="27" t="s">
        <v>2771</v>
      </c>
      <c r="DBR1" s="27" t="s">
        <v>2772</v>
      </c>
      <c r="DBS1" s="27" t="s">
        <v>2773</v>
      </c>
      <c r="DBT1" s="27" t="s">
        <v>2774</v>
      </c>
      <c r="DBU1" s="27" t="s">
        <v>2775</v>
      </c>
      <c r="DBV1" s="27" t="s">
        <v>2776</v>
      </c>
      <c r="DBW1" s="27" t="s">
        <v>2777</v>
      </c>
      <c r="DBX1" s="27" t="s">
        <v>2778</v>
      </c>
      <c r="DBY1" s="27" t="s">
        <v>2779</v>
      </c>
      <c r="DBZ1" s="27" t="s">
        <v>2780</v>
      </c>
      <c r="DCA1" s="27" t="s">
        <v>2781</v>
      </c>
      <c r="DCB1" s="27" t="s">
        <v>2782</v>
      </c>
      <c r="DCC1" s="27" t="s">
        <v>2783</v>
      </c>
      <c r="DCD1" s="27" t="s">
        <v>2784</v>
      </c>
      <c r="DCE1" s="27" t="s">
        <v>2785</v>
      </c>
      <c r="DCF1" s="27" t="s">
        <v>2786</v>
      </c>
      <c r="DCG1" s="27" t="s">
        <v>2787</v>
      </c>
      <c r="DCH1" s="27" t="s">
        <v>2788</v>
      </c>
      <c r="DCI1" s="27" t="s">
        <v>2789</v>
      </c>
      <c r="DCJ1" s="27" t="s">
        <v>2790</v>
      </c>
      <c r="DCK1" s="27" t="s">
        <v>2791</v>
      </c>
      <c r="DCL1" s="27" t="s">
        <v>2792</v>
      </c>
      <c r="DCM1" s="27" t="s">
        <v>2793</v>
      </c>
      <c r="DCN1" s="27" t="s">
        <v>2794</v>
      </c>
      <c r="DCO1" s="27" t="s">
        <v>2795</v>
      </c>
      <c r="DCP1" s="27" t="s">
        <v>2796</v>
      </c>
      <c r="DCQ1" s="27" t="s">
        <v>2797</v>
      </c>
      <c r="DCR1" s="27" t="s">
        <v>2798</v>
      </c>
      <c r="DCS1" s="27" t="s">
        <v>2799</v>
      </c>
      <c r="DCT1" s="27" t="s">
        <v>2800</v>
      </c>
      <c r="DCU1" s="27" t="s">
        <v>2801</v>
      </c>
      <c r="DCV1" s="27" t="s">
        <v>2802</v>
      </c>
      <c r="DCW1" s="27" t="s">
        <v>2803</v>
      </c>
      <c r="DCX1" s="27" t="s">
        <v>2804</v>
      </c>
      <c r="DCY1" s="27" t="s">
        <v>2805</v>
      </c>
      <c r="DCZ1" s="27" t="s">
        <v>2806</v>
      </c>
      <c r="DDA1" s="27" t="s">
        <v>2807</v>
      </c>
      <c r="DDB1" s="27" t="s">
        <v>2808</v>
      </c>
      <c r="DDC1" s="27" t="s">
        <v>2809</v>
      </c>
      <c r="DDD1" s="27" t="s">
        <v>2810</v>
      </c>
      <c r="DDE1" s="27" t="s">
        <v>2811</v>
      </c>
      <c r="DDF1" s="27" t="s">
        <v>2812</v>
      </c>
      <c r="DDG1" s="27" t="s">
        <v>2813</v>
      </c>
      <c r="DDH1" s="27" t="s">
        <v>2814</v>
      </c>
      <c r="DDI1" s="27" t="s">
        <v>2815</v>
      </c>
      <c r="DDJ1" s="27" t="s">
        <v>2816</v>
      </c>
      <c r="DDK1" s="27" t="s">
        <v>2817</v>
      </c>
      <c r="DDL1" s="27" t="s">
        <v>2818</v>
      </c>
      <c r="DDM1" s="27" t="s">
        <v>2819</v>
      </c>
      <c r="DDN1" s="27" t="s">
        <v>2820</v>
      </c>
      <c r="DDO1" s="27" t="s">
        <v>2821</v>
      </c>
      <c r="DDP1" s="27" t="s">
        <v>2822</v>
      </c>
      <c r="DDQ1" s="27" t="s">
        <v>2823</v>
      </c>
      <c r="DDR1" s="27" t="s">
        <v>2824</v>
      </c>
      <c r="DDS1" s="27" t="s">
        <v>2825</v>
      </c>
      <c r="DDT1" s="27" t="s">
        <v>2826</v>
      </c>
      <c r="DDU1" s="27" t="s">
        <v>2827</v>
      </c>
      <c r="DDV1" s="27" t="s">
        <v>2828</v>
      </c>
      <c r="DDW1" s="27" t="s">
        <v>2829</v>
      </c>
      <c r="DDX1" s="27" t="s">
        <v>2830</v>
      </c>
      <c r="DDY1" s="27" t="s">
        <v>2831</v>
      </c>
      <c r="DDZ1" s="27" t="s">
        <v>2832</v>
      </c>
      <c r="DEA1" s="27" t="s">
        <v>2833</v>
      </c>
      <c r="DEB1" s="27" t="s">
        <v>2834</v>
      </c>
      <c r="DEC1" s="27" t="s">
        <v>2835</v>
      </c>
      <c r="DED1" s="27" t="s">
        <v>2836</v>
      </c>
      <c r="DEE1" s="27" t="s">
        <v>2837</v>
      </c>
      <c r="DEF1" s="27" t="s">
        <v>2838</v>
      </c>
      <c r="DEG1" s="27" t="s">
        <v>2839</v>
      </c>
      <c r="DEH1" s="27" t="s">
        <v>2840</v>
      </c>
      <c r="DEI1" s="27" t="s">
        <v>2841</v>
      </c>
      <c r="DEJ1" s="27" t="s">
        <v>2842</v>
      </c>
      <c r="DEK1" s="27" t="s">
        <v>2843</v>
      </c>
      <c r="DEL1" s="27" t="s">
        <v>2844</v>
      </c>
      <c r="DEM1" s="27" t="s">
        <v>2845</v>
      </c>
      <c r="DEN1" s="27" t="s">
        <v>2846</v>
      </c>
      <c r="DEO1" s="27" t="s">
        <v>2847</v>
      </c>
      <c r="DEP1" s="27" t="s">
        <v>2848</v>
      </c>
      <c r="DEQ1" s="27" t="s">
        <v>2849</v>
      </c>
      <c r="DER1" s="27" t="s">
        <v>2850</v>
      </c>
      <c r="DES1" s="27" t="s">
        <v>2851</v>
      </c>
      <c r="DET1" s="27" t="s">
        <v>2852</v>
      </c>
      <c r="DEU1" s="27" t="s">
        <v>2853</v>
      </c>
      <c r="DEV1" s="27" t="s">
        <v>2854</v>
      </c>
      <c r="DEW1" s="27" t="s">
        <v>2855</v>
      </c>
      <c r="DEX1" s="27" t="s">
        <v>2856</v>
      </c>
      <c r="DEY1" s="27" t="s">
        <v>2857</v>
      </c>
      <c r="DEZ1" s="27" t="s">
        <v>2858</v>
      </c>
      <c r="DFA1" s="27" t="s">
        <v>2859</v>
      </c>
      <c r="DFB1" s="27" t="s">
        <v>2860</v>
      </c>
      <c r="DFC1" s="27" t="s">
        <v>2861</v>
      </c>
      <c r="DFD1" s="27" t="s">
        <v>2862</v>
      </c>
      <c r="DFE1" s="27" t="s">
        <v>2863</v>
      </c>
      <c r="DFF1" s="27" t="s">
        <v>2864</v>
      </c>
      <c r="DFG1" s="27" t="s">
        <v>2865</v>
      </c>
      <c r="DFH1" s="27" t="s">
        <v>2866</v>
      </c>
      <c r="DFI1" s="27" t="s">
        <v>2867</v>
      </c>
      <c r="DFJ1" s="27" t="s">
        <v>2868</v>
      </c>
      <c r="DFK1" s="27" t="s">
        <v>2869</v>
      </c>
      <c r="DFL1" s="27" t="s">
        <v>2870</v>
      </c>
      <c r="DFM1" s="27" t="s">
        <v>2871</v>
      </c>
      <c r="DFN1" s="27" t="s">
        <v>2872</v>
      </c>
      <c r="DFO1" s="27" t="s">
        <v>2873</v>
      </c>
      <c r="DFP1" s="27" t="s">
        <v>2874</v>
      </c>
      <c r="DFQ1" s="27" t="s">
        <v>2875</v>
      </c>
      <c r="DFR1" s="27" t="s">
        <v>2876</v>
      </c>
      <c r="DFS1" s="27" t="s">
        <v>2877</v>
      </c>
      <c r="DFT1" s="27" t="s">
        <v>2878</v>
      </c>
      <c r="DFU1" s="27" t="s">
        <v>2879</v>
      </c>
      <c r="DFV1" s="27" t="s">
        <v>2880</v>
      </c>
      <c r="DFW1" s="27" t="s">
        <v>2881</v>
      </c>
      <c r="DFX1" s="27" t="s">
        <v>2882</v>
      </c>
      <c r="DFY1" s="27" t="s">
        <v>2883</v>
      </c>
      <c r="DFZ1" s="27" t="s">
        <v>2884</v>
      </c>
      <c r="DGA1" s="27" t="s">
        <v>2885</v>
      </c>
      <c r="DGB1" s="27" t="s">
        <v>2886</v>
      </c>
      <c r="DGC1" s="27" t="s">
        <v>2887</v>
      </c>
      <c r="DGD1" s="27" t="s">
        <v>2888</v>
      </c>
      <c r="DGE1" s="27" t="s">
        <v>2889</v>
      </c>
      <c r="DGF1" s="27" t="s">
        <v>2890</v>
      </c>
      <c r="DGG1" s="27" t="s">
        <v>2891</v>
      </c>
      <c r="DGH1" s="27" t="s">
        <v>2892</v>
      </c>
      <c r="DGI1" s="27" t="s">
        <v>2893</v>
      </c>
      <c r="DGJ1" s="27" t="s">
        <v>2894</v>
      </c>
      <c r="DGK1" s="27" t="s">
        <v>2895</v>
      </c>
      <c r="DGL1" s="27" t="s">
        <v>2896</v>
      </c>
      <c r="DGM1" s="27" t="s">
        <v>2897</v>
      </c>
      <c r="DGN1" s="27" t="s">
        <v>2898</v>
      </c>
      <c r="DGO1" s="27" t="s">
        <v>2899</v>
      </c>
      <c r="DGP1" s="27" t="s">
        <v>2900</v>
      </c>
      <c r="DGQ1" s="27" t="s">
        <v>2901</v>
      </c>
      <c r="DGR1" s="27" t="s">
        <v>2902</v>
      </c>
      <c r="DGS1" s="27" t="s">
        <v>2903</v>
      </c>
      <c r="DGT1" s="27" t="s">
        <v>2904</v>
      </c>
      <c r="DGU1" s="27" t="s">
        <v>2905</v>
      </c>
      <c r="DGV1" s="27" t="s">
        <v>2906</v>
      </c>
      <c r="DGW1" s="27" t="s">
        <v>2907</v>
      </c>
      <c r="DGX1" s="27" t="s">
        <v>2908</v>
      </c>
      <c r="DGY1" s="27" t="s">
        <v>2909</v>
      </c>
      <c r="DGZ1" s="27" t="s">
        <v>2910</v>
      </c>
      <c r="DHA1" s="27" t="s">
        <v>2911</v>
      </c>
      <c r="DHB1" s="27" t="s">
        <v>2912</v>
      </c>
      <c r="DHC1" s="27" t="s">
        <v>2913</v>
      </c>
      <c r="DHD1" s="27" t="s">
        <v>2914</v>
      </c>
      <c r="DHE1" s="27" t="s">
        <v>2915</v>
      </c>
      <c r="DHF1" s="27" t="s">
        <v>2916</v>
      </c>
      <c r="DHG1" s="27" t="s">
        <v>2917</v>
      </c>
      <c r="DHH1" s="27" t="s">
        <v>2918</v>
      </c>
      <c r="DHI1" s="27" t="s">
        <v>2919</v>
      </c>
      <c r="DHJ1" s="27" t="s">
        <v>2920</v>
      </c>
      <c r="DHK1" s="27" t="s">
        <v>2921</v>
      </c>
      <c r="DHL1" s="27" t="s">
        <v>2922</v>
      </c>
      <c r="DHM1" s="27" t="s">
        <v>2923</v>
      </c>
      <c r="DHN1" s="27" t="s">
        <v>2924</v>
      </c>
      <c r="DHO1" s="27" t="s">
        <v>2925</v>
      </c>
      <c r="DHP1" s="27" t="s">
        <v>2926</v>
      </c>
      <c r="DHQ1" s="27" t="s">
        <v>2927</v>
      </c>
      <c r="DHR1" s="27" t="s">
        <v>2928</v>
      </c>
      <c r="DHS1" s="27" t="s">
        <v>2929</v>
      </c>
      <c r="DHT1" s="27" t="s">
        <v>2930</v>
      </c>
      <c r="DHU1" s="27" t="s">
        <v>2931</v>
      </c>
      <c r="DHV1" s="27" t="s">
        <v>2932</v>
      </c>
      <c r="DHW1" s="27" t="s">
        <v>2933</v>
      </c>
      <c r="DHX1" s="27" t="s">
        <v>2934</v>
      </c>
      <c r="DHY1" s="27" t="s">
        <v>2935</v>
      </c>
      <c r="DHZ1" s="27" t="s">
        <v>2936</v>
      </c>
      <c r="DIA1" s="27" t="s">
        <v>2937</v>
      </c>
      <c r="DIB1" s="27" t="s">
        <v>2938</v>
      </c>
      <c r="DIC1" s="27" t="s">
        <v>2939</v>
      </c>
      <c r="DID1" s="27" t="s">
        <v>2940</v>
      </c>
      <c r="DIE1" s="27" t="s">
        <v>2941</v>
      </c>
      <c r="DIF1" s="27" t="s">
        <v>2942</v>
      </c>
      <c r="DIG1" s="27" t="s">
        <v>2943</v>
      </c>
      <c r="DIH1" s="27" t="s">
        <v>2944</v>
      </c>
      <c r="DII1" s="27" t="s">
        <v>2945</v>
      </c>
      <c r="DIJ1" s="27" t="s">
        <v>2946</v>
      </c>
      <c r="DIK1" s="27" t="s">
        <v>2947</v>
      </c>
      <c r="DIL1" s="27" t="s">
        <v>2948</v>
      </c>
      <c r="DIM1" s="27" t="s">
        <v>2949</v>
      </c>
      <c r="DIN1" s="27" t="s">
        <v>2950</v>
      </c>
      <c r="DIO1" s="27" t="s">
        <v>2951</v>
      </c>
      <c r="DIP1" s="27" t="s">
        <v>2952</v>
      </c>
      <c r="DIQ1" s="27" t="s">
        <v>2953</v>
      </c>
      <c r="DIR1" s="27" t="s">
        <v>2954</v>
      </c>
      <c r="DIS1" s="27" t="s">
        <v>2955</v>
      </c>
      <c r="DIT1" s="27" t="s">
        <v>2956</v>
      </c>
      <c r="DIU1" s="27" t="s">
        <v>2957</v>
      </c>
      <c r="DIV1" s="27" t="s">
        <v>2958</v>
      </c>
      <c r="DIW1" s="27" t="s">
        <v>2959</v>
      </c>
      <c r="DIX1" s="27" t="s">
        <v>2960</v>
      </c>
      <c r="DIY1" s="27" t="s">
        <v>2961</v>
      </c>
      <c r="DIZ1" s="27" t="s">
        <v>2962</v>
      </c>
      <c r="DJA1" s="27" t="s">
        <v>2963</v>
      </c>
      <c r="DJB1" s="27" t="s">
        <v>2964</v>
      </c>
      <c r="DJC1" s="27" t="s">
        <v>2965</v>
      </c>
      <c r="DJD1" s="27" t="s">
        <v>2966</v>
      </c>
      <c r="DJE1" s="27" t="s">
        <v>2967</v>
      </c>
      <c r="DJF1" s="27" t="s">
        <v>2968</v>
      </c>
      <c r="DJG1" s="27" t="s">
        <v>2969</v>
      </c>
      <c r="DJH1" s="27" t="s">
        <v>2970</v>
      </c>
      <c r="DJI1" s="27" t="s">
        <v>2971</v>
      </c>
      <c r="DJJ1" s="27" t="s">
        <v>2972</v>
      </c>
      <c r="DJK1" s="27" t="s">
        <v>2973</v>
      </c>
      <c r="DJL1" s="27" t="s">
        <v>2974</v>
      </c>
      <c r="DJM1" s="27" t="s">
        <v>2975</v>
      </c>
      <c r="DJN1" s="27" t="s">
        <v>2976</v>
      </c>
      <c r="DJO1" s="27" t="s">
        <v>2977</v>
      </c>
      <c r="DJP1" s="27" t="s">
        <v>2978</v>
      </c>
      <c r="DJQ1" s="27" t="s">
        <v>2979</v>
      </c>
      <c r="DJR1" s="27" t="s">
        <v>2980</v>
      </c>
      <c r="DJS1" s="27" t="s">
        <v>2981</v>
      </c>
      <c r="DJT1" s="27" t="s">
        <v>2982</v>
      </c>
      <c r="DJU1" s="27" t="s">
        <v>2983</v>
      </c>
      <c r="DJV1" s="27" t="s">
        <v>2984</v>
      </c>
      <c r="DJW1" s="27" t="s">
        <v>2985</v>
      </c>
      <c r="DJX1" s="27" t="s">
        <v>2986</v>
      </c>
      <c r="DJY1" s="27" t="s">
        <v>2987</v>
      </c>
      <c r="DJZ1" s="27" t="s">
        <v>2988</v>
      </c>
      <c r="DKA1" s="27" t="s">
        <v>2989</v>
      </c>
      <c r="DKB1" s="27" t="s">
        <v>2990</v>
      </c>
      <c r="DKC1" s="27" t="s">
        <v>2991</v>
      </c>
      <c r="DKD1" s="27" t="s">
        <v>2992</v>
      </c>
      <c r="DKE1" s="27" t="s">
        <v>2993</v>
      </c>
      <c r="DKF1" s="27" t="s">
        <v>2994</v>
      </c>
      <c r="DKG1" s="27" t="s">
        <v>2995</v>
      </c>
      <c r="DKH1" s="27" t="s">
        <v>2996</v>
      </c>
      <c r="DKI1" s="27" t="s">
        <v>2997</v>
      </c>
      <c r="DKJ1" s="27" t="s">
        <v>2998</v>
      </c>
      <c r="DKK1" s="27" t="s">
        <v>2999</v>
      </c>
      <c r="DKL1" s="27" t="s">
        <v>3000</v>
      </c>
      <c r="DKM1" s="27" t="s">
        <v>3001</v>
      </c>
      <c r="DKN1" s="27" t="s">
        <v>3002</v>
      </c>
      <c r="DKO1" s="27" t="s">
        <v>3003</v>
      </c>
      <c r="DKP1" s="27" t="s">
        <v>3004</v>
      </c>
      <c r="DKQ1" s="27" t="s">
        <v>3005</v>
      </c>
      <c r="DKR1" s="27" t="s">
        <v>3006</v>
      </c>
      <c r="DKS1" s="27" t="s">
        <v>3007</v>
      </c>
      <c r="DKT1" s="27" t="s">
        <v>3008</v>
      </c>
      <c r="DKU1" s="27" t="s">
        <v>3009</v>
      </c>
      <c r="DKV1" s="27" t="s">
        <v>3010</v>
      </c>
      <c r="DKW1" s="27" t="s">
        <v>3011</v>
      </c>
      <c r="DKX1" s="27" t="s">
        <v>3012</v>
      </c>
      <c r="DKY1" s="27" t="s">
        <v>3013</v>
      </c>
      <c r="DKZ1" s="27" t="s">
        <v>3014</v>
      </c>
      <c r="DLA1" s="27" t="s">
        <v>3015</v>
      </c>
      <c r="DLB1" s="27" t="s">
        <v>3016</v>
      </c>
      <c r="DLC1" s="27" t="s">
        <v>3017</v>
      </c>
      <c r="DLD1" s="27" t="s">
        <v>3018</v>
      </c>
      <c r="DLE1" s="27" t="s">
        <v>3019</v>
      </c>
      <c r="DLF1" s="27" t="s">
        <v>3020</v>
      </c>
      <c r="DLG1" s="27" t="s">
        <v>3021</v>
      </c>
      <c r="DLH1" s="27" t="s">
        <v>3022</v>
      </c>
      <c r="DLI1" s="27" t="s">
        <v>3023</v>
      </c>
      <c r="DLJ1" s="27" t="s">
        <v>3024</v>
      </c>
      <c r="DLK1" s="27" t="s">
        <v>3025</v>
      </c>
      <c r="DLL1" s="27" t="s">
        <v>3026</v>
      </c>
      <c r="DLM1" s="27" t="s">
        <v>3027</v>
      </c>
      <c r="DLN1" s="27" t="s">
        <v>3028</v>
      </c>
      <c r="DLO1" s="27" t="s">
        <v>3029</v>
      </c>
      <c r="DLP1" s="27" t="s">
        <v>3030</v>
      </c>
      <c r="DLQ1" s="27" t="s">
        <v>3031</v>
      </c>
      <c r="DLR1" s="27" t="s">
        <v>3032</v>
      </c>
      <c r="DLS1" s="27" t="s">
        <v>3033</v>
      </c>
      <c r="DLT1" s="27" t="s">
        <v>3034</v>
      </c>
      <c r="DLU1" s="27" t="s">
        <v>3035</v>
      </c>
      <c r="DLV1" s="27" t="s">
        <v>3036</v>
      </c>
      <c r="DLW1" s="27" t="s">
        <v>3037</v>
      </c>
      <c r="DLX1" s="27" t="s">
        <v>3038</v>
      </c>
      <c r="DLY1" s="27" t="s">
        <v>3039</v>
      </c>
      <c r="DLZ1" s="27" t="s">
        <v>3040</v>
      </c>
      <c r="DMA1" s="27" t="s">
        <v>3041</v>
      </c>
      <c r="DMB1" s="27" t="s">
        <v>3042</v>
      </c>
      <c r="DMC1" s="27" t="s">
        <v>3043</v>
      </c>
      <c r="DMD1" s="27" t="s">
        <v>3044</v>
      </c>
      <c r="DME1" s="27" t="s">
        <v>3045</v>
      </c>
      <c r="DMF1" s="27" t="s">
        <v>3046</v>
      </c>
      <c r="DMG1" s="27" t="s">
        <v>3047</v>
      </c>
      <c r="DMH1" s="27" t="s">
        <v>3048</v>
      </c>
      <c r="DMI1" s="27" t="s">
        <v>3049</v>
      </c>
      <c r="DMJ1" s="27" t="s">
        <v>3050</v>
      </c>
      <c r="DMK1" s="27" t="s">
        <v>3051</v>
      </c>
      <c r="DML1" s="27" t="s">
        <v>3052</v>
      </c>
      <c r="DMM1" s="27" t="s">
        <v>3053</v>
      </c>
      <c r="DMN1" s="27" t="s">
        <v>3054</v>
      </c>
      <c r="DMO1" s="27" t="s">
        <v>3055</v>
      </c>
      <c r="DMP1" s="27" t="s">
        <v>3056</v>
      </c>
      <c r="DMQ1" s="27" t="s">
        <v>3057</v>
      </c>
      <c r="DMR1" s="27" t="s">
        <v>3058</v>
      </c>
      <c r="DMS1" s="27" t="s">
        <v>3059</v>
      </c>
      <c r="DMT1" s="27" t="s">
        <v>3060</v>
      </c>
      <c r="DMU1" s="27" t="s">
        <v>3061</v>
      </c>
      <c r="DMV1" s="27" t="s">
        <v>3062</v>
      </c>
      <c r="DMW1" s="27" t="s">
        <v>3063</v>
      </c>
      <c r="DMX1" s="27" t="s">
        <v>3064</v>
      </c>
      <c r="DMY1" s="27" t="s">
        <v>3065</v>
      </c>
      <c r="DMZ1" s="27" t="s">
        <v>3066</v>
      </c>
      <c r="DNA1" s="27" t="s">
        <v>3067</v>
      </c>
      <c r="DNB1" s="27" t="s">
        <v>3068</v>
      </c>
      <c r="DNC1" s="27" t="s">
        <v>3069</v>
      </c>
      <c r="DND1" s="27" t="s">
        <v>3070</v>
      </c>
      <c r="DNE1" s="27" t="s">
        <v>3071</v>
      </c>
      <c r="DNF1" s="27" t="s">
        <v>3072</v>
      </c>
      <c r="DNG1" s="27" t="s">
        <v>3073</v>
      </c>
      <c r="DNH1" s="27" t="s">
        <v>3074</v>
      </c>
      <c r="DNI1" s="27" t="s">
        <v>3075</v>
      </c>
      <c r="DNJ1" s="27" t="s">
        <v>3076</v>
      </c>
      <c r="DNK1" s="27" t="s">
        <v>3077</v>
      </c>
      <c r="DNL1" s="27" t="s">
        <v>3078</v>
      </c>
      <c r="DNM1" s="27" t="s">
        <v>3079</v>
      </c>
      <c r="DNN1" s="27" t="s">
        <v>3080</v>
      </c>
      <c r="DNO1" s="27" t="s">
        <v>3081</v>
      </c>
      <c r="DNP1" s="27" t="s">
        <v>3082</v>
      </c>
      <c r="DNQ1" s="27" t="s">
        <v>3083</v>
      </c>
      <c r="DNR1" s="27" t="s">
        <v>3084</v>
      </c>
      <c r="DNS1" s="27" t="s">
        <v>3085</v>
      </c>
      <c r="DNT1" s="27" t="s">
        <v>3086</v>
      </c>
      <c r="DNU1" s="27" t="s">
        <v>3087</v>
      </c>
      <c r="DNV1" s="27" t="s">
        <v>3088</v>
      </c>
      <c r="DNW1" s="27" t="s">
        <v>3089</v>
      </c>
      <c r="DNX1" s="27" t="s">
        <v>3090</v>
      </c>
      <c r="DNY1" s="27" t="s">
        <v>3091</v>
      </c>
      <c r="DNZ1" s="27" t="s">
        <v>3092</v>
      </c>
      <c r="DOA1" s="27" t="s">
        <v>3093</v>
      </c>
      <c r="DOB1" s="27" t="s">
        <v>3094</v>
      </c>
      <c r="DOC1" s="27" t="s">
        <v>3095</v>
      </c>
      <c r="DOD1" s="27" t="s">
        <v>3096</v>
      </c>
      <c r="DOE1" s="27" t="s">
        <v>3097</v>
      </c>
      <c r="DOF1" s="27" t="s">
        <v>3098</v>
      </c>
      <c r="DOG1" s="27" t="s">
        <v>3099</v>
      </c>
      <c r="DOH1" s="27" t="s">
        <v>3100</v>
      </c>
      <c r="DOI1" s="27" t="s">
        <v>3101</v>
      </c>
      <c r="DOJ1" s="27" t="s">
        <v>3102</v>
      </c>
      <c r="DOK1" s="27" t="s">
        <v>3103</v>
      </c>
      <c r="DOL1" s="27" t="s">
        <v>3104</v>
      </c>
      <c r="DOM1" s="27" t="s">
        <v>3105</v>
      </c>
      <c r="DON1" s="27" t="s">
        <v>3106</v>
      </c>
      <c r="DOO1" s="27" t="s">
        <v>3107</v>
      </c>
      <c r="DOP1" s="27" t="s">
        <v>3108</v>
      </c>
      <c r="DOQ1" s="27" t="s">
        <v>3109</v>
      </c>
      <c r="DOR1" s="27" t="s">
        <v>3110</v>
      </c>
      <c r="DOS1" s="27" t="s">
        <v>3111</v>
      </c>
      <c r="DOT1" s="27" t="s">
        <v>3112</v>
      </c>
      <c r="DOU1" s="27" t="s">
        <v>3113</v>
      </c>
      <c r="DOV1" s="27" t="s">
        <v>3114</v>
      </c>
      <c r="DOW1" s="27" t="s">
        <v>3115</v>
      </c>
      <c r="DOX1" s="27" t="s">
        <v>3116</v>
      </c>
      <c r="DOY1" s="27" t="s">
        <v>3117</v>
      </c>
      <c r="DOZ1" s="27" t="s">
        <v>3118</v>
      </c>
      <c r="DPA1" s="27" t="s">
        <v>3119</v>
      </c>
      <c r="DPB1" s="27" t="s">
        <v>3120</v>
      </c>
      <c r="DPC1" s="27" t="s">
        <v>3121</v>
      </c>
      <c r="DPD1" s="27" t="s">
        <v>3122</v>
      </c>
      <c r="DPE1" s="27" t="s">
        <v>3123</v>
      </c>
      <c r="DPF1" s="27" t="s">
        <v>3124</v>
      </c>
      <c r="DPG1" s="27" t="s">
        <v>3125</v>
      </c>
      <c r="DPH1" s="27" t="s">
        <v>3126</v>
      </c>
      <c r="DPI1" s="27" t="s">
        <v>3127</v>
      </c>
      <c r="DPJ1" s="27" t="s">
        <v>3128</v>
      </c>
      <c r="DPK1" s="27" t="s">
        <v>3129</v>
      </c>
      <c r="DPL1" s="27" t="s">
        <v>3130</v>
      </c>
      <c r="DPM1" s="27" t="s">
        <v>3131</v>
      </c>
      <c r="DPN1" s="27" t="s">
        <v>3132</v>
      </c>
      <c r="DPO1" s="27" t="s">
        <v>3133</v>
      </c>
      <c r="DPP1" s="27" t="s">
        <v>3134</v>
      </c>
      <c r="DPQ1" s="27" t="s">
        <v>3135</v>
      </c>
      <c r="DPR1" s="27" t="s">
        <v>3136</v>
      </c>
      <c r="DPS1" s="27" t="s">
        <v>3137</v>
      </c>
      <c r="DPT1" s="27" t="s">
        <v>3138</v>
      </c>
      <c r="DPU1" s="27" t="s">
        <v>3139</v>
      </c>
      <c r="DPV1" s="27" t="s">
        <v>3140</v>
      </c>
      <c r="DPW1" s="27" t="s">
        <v>3141</v>
      </c>
      <c r="DPX1" s="27" t="s">
        <v>3142</v>
      </c>
      <c r="DPY1" s="27" t="s">
        <v>3143</v>
      </c>
      <c r="DPZ1" s="27" t="s">
        <v>3144</v>
      </c>
      <c r="DQA1" s="27" t="s">
        <v>3145</v>
      </c>
      <c r="DQB1" s="27" t="s">
        <v>3146</v>
      </c>
      <c r="DQC1" s="27" t="s">
        <v>3147</v>
      </c>
      <c r="DQD1" s="27" t="s">
        <v>3148</v>
      </c>
      <c r="DQE1" s="27" t="s">
        <v>3149</v>
      </c>
      <c r="DQF1" s="27" t="s">
        <v>3150</v>
      </c>
      <c r="DQG1" s="27" t="s">
        <v>3151</v>
      </c>
      <c r="DQH1" s="27" t="s">
        <v>3152</v>
      </c>
      <c r="DQI1" s="27" t="s">
        <v>3153</v>
      </c>
      <c r="DQJ1" s="27" t="s">
        <v>3154</v>
      </c>
      <c r="DQK1" s="27" t="s">
        <v>3155</v>
      </c>
      <c r="DQL1" s="27" t="s">
        <v>3156</v>
      </c>
      <c r="DQM1" s="27" t="s">
        <v>3157</v>
      </c>
      <c r="DQN1" s="27" t="s">
        <v>3158</v>
      </c>
      <c r="DQO1" s="27" t="s">
        <v>3159</v>
      </c>
      <c r="DQP1" s="27" t="s">
        <v>3160</v>
      </c>
      <c r="DQQ1" s="27" t="s">
        <v>3161</v>
      </c>
      <c r="DQR1" s="27" t="s">
        <v>3162</v>
      </c>
      <c r="DQS1" s="27" t="s">
        <v>3163</v>
      </c>
      <c r="DQT1" s="27" t="s">
        <v>3164</v>
      </c>
      <c r="DQU1" s="27" t="s">
        <v>3165</v>
      </c>
      <c r="DQV1" s="27" t="s">
        <v>3166</v>
      </c>
      <c r="DQW1" s="27" t="s">
        <v>3167</v>
      </c>
      <c r="DQX1" s="27" t="s">
        <v>3168</v>
      </c>
      <c r="DQY1" s="27" t="s">
        <v>3169</v>
      </c>
      <c r="DQZ1" s="27" t="s">
        <v>3170</v>
      </c>
      <c r="DRA1" s="27" t="s">
        <v>3171</v>
      </c>
      <c r="DRB1" s="27" t="s">
        <v>3172</v>
      </c>
      <c r="DRC1" s="27" t="s">
        <v>3173</v>
      </c>
      <c r="DRD1" s="27" t="s">
        <v>3174</v>
      </c>
      <c r="DRE1" s="27" t="s">
        <v>3175</v>
      </c>
      <c r="DRF1" s="27" t="s">
        <v>3176</v>
      </c>
      <c r="DRG1" s="27" t="s">
        <v>3177</v>
      </c>
      <c r="DRH1" s="27" t="s">
        <v>3178</v>
      </c>
      <c r="DRI1" s="27" t="s">
        <v>3179</v>
      </c>
      <c r="DRJ1" s="27" t="s">
        <v>3180</v>
      </c>
      <c r="DRK1" s="27" t="s">
        <v>3181</v>
      </c>
      <c r="DRL1" s="27" t="s">
        <v>3182</v>
      </c>
      <c r="DRM1" s="27" t="s">
        <v>3183</v>
      </c>
      <c r="DRN1" s="27" t="s">
        <v>3184</v>
      </c>
      <c r="DRO1" s="27" t="s">
        <v>3185</v>
      </c>
      <c r="DRP1" s="27" t="s">
        <v>3186</v>
      </c>
      <c r="DRQ1" s="27" t="s">
        <v>3187</v>
      </c>
      <c r="DRR1" s="27" t="s">
        <v>3188</v>
      </c>
      <c r="DRS1" s="27" t="s">
        <v>3189</v>
      </c>
      <c r="DRT1" s="27" t="s">
        <v>3190</v>
      </c>
      <c r="DRU1" s="27" t="s">
        <v>3191</v>
      </c>
      <c r="DRV1" s="27" t="s">
        <v>3192</v>
      </c>
      <c r="DRW1" s="27" t="s">
        <v>3193</v>
      </c>
      <c r="DRX1" s="27" t="s">
        <v>3194</v>
      </c>
      <c r="DRY1" s="27" t="s">
        <v>3195</v>
      </c>
      <c r="DRZ1" s="27" t="s">
        <v>3196</v>
      </c>
      <c r="DSA1" s="27" t="s">
        <v>3197</v>
      </c>
      <c r="DSB1" s="27" t="s">
        <v>3198</v>
      </c>
      <c r="DSC1" s="27" t="s">
        <v>3199</v>
      </c>
      <c r="DSD1" s="27" t="s">
        <v>3200</v>
      </c>
      <c r="DSE1" s="27" t="s">
        <v>3201</v>
      </c>
      <c r="DSF1" s="27" t="s">
        <v>3202</v>
      </c>
      <c r="DSG1" s="27" t="s">
        <v>3203</v>
      </c>
      <c r="DSH1" s="27" t="s">
        <v>3204</v>
      </c>
      <c r="DSI1" s="27" t="s">
        <v>3205</v>
      </c>
      <c r="DSJ1" s="27" t="s">
        <v>3206</v>
      </c>
      <c r="DSK1" s="27" t="s">
        <v>3207</v>
      </c>
      <c r="DSL1" s="27" t="s">
        <v>3208</v>
      </c>
      <c r="DSM1" s="27" t="s">
        <v>3209</v>
      </c>
      <c r="DSN1" s="27" t="s">
        <v>3210</v>
      </c>
      <c r="DSO1" s="27" t="s">
        <v>3211</v>
      </c>
      <c r="DSP1" s="27" t="s">
        <v>3212</v>
      </c>
      <c r="DSQ1" s="27" t="s">
        <v>3213</v>
      </c>
      <c r="DSR1" s="27" t="s">
        <v>3214</v>
      </c>
      <c r="DSS1" s="27" t="s">
        <v>3215</v>
      </c>
      <c r="DST1" s="27" t="s">
        <v>3216</v>
      </c>
      <c r="DSU1" s="27" t="s">
        <v>3217</v>
      </c>
      <c r="DSV1" s="27" t="s">
        <v>3218</v>
      </c>
      <c r="DSW1" s="27" t="s">
        <v>3219</v>
      </c>
      <c r="DSX1" s="27" t="s">
        <v>3220</v>
      </c>
      <c r="DSY1" s="27" t="s">
        <v>3221</v>
      </c>
      <c r="DSZ1" s="27" t="s">
        <v>3222</v>
      </c>
      <c r="DTA1" s="27" t="s">
        <v>3223</v>
      </c>
      <c r="DTB1" s="27" t="s">
        <v>3224</v>
      </c>
      <c r="DTC1" s="27" t="s">
        <v>3225</v>
      </c>
      <c r="DTD1" s="27" t="s">
        <v>3226</v>
      </c>
      <c r="DTE1" s="27" t="s">
        <v>3227</v>
      </c>
      <c r="DTF1" s="27" t="s">
        <v>3228</v>
      </c>
      <c r="DTG1" s="27" t="s">
        <v>3229</v>
      </c>
      <c r="DTH1" s="27" t="s">
        <v>3230</v>
      </c>
      <c r="DTI1" s="27" t="s">
        <v>3231</v>
      </c>
      <c r="DTJ1" s="27" t="s">
        <v>3232</v>
      </c>
      <c r="DTK1" s="27" t="s">
        <v>3233</v>
      </c>
      <c r="DTL1" s="27" t="s">
        <v>3234</v>
      </c>
      <c r="DTM1" s="27" t="s">
        <v>3235</v>
      </c>
      <c r="DTN1" s="27" t="s">
        <v>3236</v>
      </c>
      <c r="DTO1" s="27" t="s">
        <v>3237</v>
      </c>
      <c r="DTP1" s="27" t="s">
        <v>3238</v>
      </c>
      <c r="DTQ1" s="27" t="s">
        <v>3239</v>
      </c>
      <c r="DTR1" s="27" t="s">
        <v>3240</v>
      </c>
      <c r="DTS1" s="27" t="s">
        <v>3241</v>
      </c>
      <c r="DTT1" s="27" t="s">
        <v>3242</v>
      </c>
      <c r="DTU1" s="27" t="s">
        <v>3243</v>
      </c>
      <c r="DTV1" s="27" t="s">
        <v>3244</v>
      </c>
      <c r="DTW1" s="27" t="s">
        <v>3245</v>
      </c>
      <c r="DTX1" s="27" t="s">
        <v>3246</v>
      </c>
      <c r="DTY1" s="27" t="s">
        <v>3247</v>
      </c>
      <c r="DTZ1" s="27" t="s">
        <v>3248</v>
      </c>
      <c r="DUA1" s="27" t="s">
        <v>3249</v>
      </c>
      <c r="DUB1" s="27" t="s">
        <v>3250</v>
      </c>
      <c r="DUC1" s="27" t="s">
        <v>3251</v>
      </c>
      <c r="DUD1" s="27" t="s">
        <v>3252</v>
      </c>
      <c r="DUE1" s="27" t="s">
        <v>3253</v>
      </c>
      <c r="DUF1" s="27" t="s">
        <v>3254</v>
      </c>
      <c r="DUG1" s="27" t="s">
        <v>3255</v>
      </c>
      <c r="DUH1" s="27" t="s">
        <v>3256</v>
      </c>
      <c r="DUI1" s="27" t="s">
        <v>3257</v>
      </c>
      <c r="DUJ1" s="27" t="s">
        <v>3258</v>
      </c>
      <c r="DUK1" s="27" t="s">
        <v>3259</v>
      </c>
      <c r="DUL1" s="27" t="s">
        <v>3260</v>
      </c>
      <c r="DUM1" s="27" t="s">
        <v>3261</v>
      </c>
      <c r="DUN1" s="27" t="s">
        <v>3262</v>
      </c>
      <c r="DUO1" s="27" t="s">
        <v>3263</v>
      </c>
      <c r="DUP1" s="27" t="s">
        <v>3264</v>
      </c>
      <c r="DUQ1" s="27" t="s">
        <v>3265</v>
      </c>
      <c r="DUR1" s="27" t="s">
        <v>3266</v>
      </c>
      <c r="DUS1" s="27" t="s">
        <v>3267</v>
      </c>
      <c r="DUT1" s="27" t="s">
        <v>3268</v>
      </c>
      <c r="DUU1" s="27" t="s">
        <v>3269</v>
      </c>
      <c r="DUV1" s="27" t="s">
        <v>3270</v>
      </c>
      <c r="DUW1" s="27" t="s">
        <v>3271</v>
      </c>
      <c r="DUX1" s="27" t="s">
        <v>3272</v>
      </c>
      <c r="DUY1" s="27" t="s">
        <v>3273</v>
      </c>
      <c r="DUZ1" s="27" t="s">
        <v>3274</v>
      </c>
      <c r="DVA1" s="27" t="s">
        <v>3275</v>
      </c>
      <c r="DVB1" s="27" t="s">
        <v>3276</v>
      </c>
      <c r="DVC1" s="27" t="s">
        <v>3277</v>
      </c>
      <c r="DVD1" s="27" t="s">
        <v>3278</v>
      </c>
      <c r="DVE1" s="27" t="s">
        <v>3279</v>
      </c>
      <c r="DVF1" s="27" t="s">
        <v>3280</v>
      </c>
      <c r="DVG1" s="27" t="s">
        <v>3281</v>
      </c>
      <c r="DVH1" s="27" t="s">
        <v>3282</v>
      </c>
      <c r="DVI1" s="27" t="s">
        <v>3283</v>
      </c>
      <c r="DVJ1" s="27" t="s">
        <v>3284</v>
      </c>
      <c r="DVK1" s="27" t="s">
        <v>3285</v>
      </c>
      <c r="DVL1" s="27" t="s">
        <v>3286</v>
      </c>
      <c r="DVM1" s="27" t="s">
        <v>3287</v>
      </c>
      <c r="DVN1" s="27" t="s">
        <v>3288</v>
      </c>
      <c r="DVO1" s="27" t="s">
        <v>3289</v>
      </c>
      <c r="DVP1" s="27" t="s">
        <v>3290</v>
      </c>
      <c r="DVQ1" s="27" t="s">
        <v>3291</v>
      </c>
      <c r="DVR1" s="27" t="s">
        <v>3292</v>
      </c>
      <c r="DVS1" s="27" t="s">
        <v>3293</v>
      </c>
      <c r="DVT1" s="27" t="s">
        <v>3294</v>
      </c>
      <c r="DVU1" s="27" t="s">
        <v>3295</v>
      </c>
      <c r="DVV1" s="27" t="s">
        <v>3296</v>
      </c>
      <c r="DVW1" s="27" t="s">
        <v>3297</v>
      </c>
      <c r="DVX1" s="27" t="s">
        <v>3298</v>
      </c>
      <c r="DVY1" s="27" t="s">
        <v>3299</v>
      </c>
      <c r="DVZ1" s="27" t="s">
        <v>3300</v>
      </c>
      <c r="DWA1" s="27" t="s">
        <v>3301</v>
      </c>
      <c r="DWB1" s="27" t="s">
        <v>3302</v>
      </c>
      <c r="DWC1" s="27" t="s">
        <v>3303</v>
      </c>
      <c r="DWD1" s="27" t="s">
        <v>3304</v>
      </c>
      <c r="DWE1" s="27" t="s">
        <v>3305</v>
      </c>
      <c r="DWF1" s="27" t="s">
        <v>3306</v>
      </c>
      <c r="DWG1" s="27" t="s">
        <v>3307</v>
      </c>
      <c r="DWH1" s="27" t="s">
        <v>3308</v>
      </c>
      <c r="DWI1" s="27" t="s">
        <v>3309</v>
      </c>
      <c r="DWJ1" s="27" t="s">
        <v>3310</v>
      </c>
      <c r="DWK1" s="27" t="s">
        <v>3311</v>
      </c>
      <c r="DWL1" s="27" t="s">
        <v>3312</v>
      </c>
      <c r="DWM1" s="27" t="s">
        <v>3313</v>
      </c>
      <c r="DWN1" s="27" t="s">
        <v>3314</v>
      </c>
      <c r="DWO1" s="27" t="s">
        <v>3315</v>
      </c>
      <c r="DWP1" s="27" t="s">
        <v>3316</v>
      </c>
      <c r="DWQ1" s="27" t="s">
        <v>3317</v>
      </c>
      <c r="DWR1" s="27" t="s">
        <v>3318</v>
      </c>
      <c r="DWS1" s="27" t="s">
        <v>3319</v>
      </c>
      <c r="DWT1" s="27" t="s">
        <v>3320</v>
      </c>
      <c r="DWU1" s="27" t="s">
        <v>3321</v>
      </c>
      <c r="DWV1" s="27" t="s">
        <v>3322</v>
      </c>
      <c r="DWW1" s="27" t="s">
        <v>3323</v>
      </c>
      <c r="DWX1" s="27" t="s">
        <v>3324</v>
      </c>
      <c r="DWY1" s="27" t="s">
        <v>3325</v>
      </c>
      <c r="DWZ1" s="27" t="s">
        <v>3326</v>
      </c>
      <c r="DXA1" s="27" t="s">
        <v>3327</v>
      </c>
      <c r="DXB1" s="27" t="s">
        <v>3328</v>
      </c>
      <c r="DXC1" s="27" t="s">
        <v>3329</v>
      </c>
      <c r="DXD1" s="27" t="s">
        <v>3330</v>
      </c>
      <c r="DXE1" s="27" t="s">
        <v>3331</v>
      </c>
      <c r="DXF1" s="27" t="s">
        <v>3332</v>
      </c>
      <c r="DXG1" s="27" t="s">
        <v>3333</v>
      </c>
      <c r="DXH1" s="27" t="s">
        <v>3334</v>
      </c>
      <c r="DXI1" s="27" t="s">
        <v>3335</v>
      </c>
      <c r="DXJ1" s="27" t="s">
        <v>3336</v>
      </c>
      <c r="DXK1" s="27" t="s">
        <v>3337</v>
      </c>
      <c r="DXL1" s="27" t="s">
        <v>3338</v>
      </c>
      <c r="DXM1" s="27" t="s">
        <v>3339</v>
      </c>
      <c r="DXN1" s="27" t="s">
        <v>3340</v>
      </c>
      <c r="DXO1" s="27" t="s">
        <v>3341</v>
      </c>
      <c r="DXP1" s="27" t="s">
        <v>3342</v>
      </c>
      <c r="DXQ1" s="27" t="s">
        <v>3343</v>
      </c>
      <c r="DXR1" s="27" t="s">
        <v>3344</v>
      </c>
      <c r="DXS1" s="27" t="s">
        <v>3345</v>
      </c>
      <c r="DXT1" s="27" t="s">
        <v>3346</v>
      </c>
      <c r="DXU1" s="27" t="s">
        <v>3347</v>
      </c>
      <c r="DXV1" s="27" t="s">
        <v>3348</v>
      </c>
      <c r="DXW1" s="27" t="s">
        <v>3349</v>
      </c>
      <c r="DXX1" s="27" t="s">
        <v>3350</v>
      </c>
      <c r="DXY1" s="27" t="s">
        <v>3351</v>
      </c>
      <c r="DXZ1" s="27" t="s">
        <v>3352</v>
      </c>
      <c r="DYA1" s="27" t="s">
        <v>3353</v>
      </c>
      <c r="DYB1" s="27" t="s">
        <v>3354</v>
      </c>
      <c r="DYC1" s="27" t="s">
        <v>3355</v>
      </c>
      <c r="DYD1" s="27" t="s">
        <v>3356</v>
      </c>
      <c r="DYE1" s="27" t="s">
        <v>3357</v>
      </c>
      <c r="DYF1" s="27" t="s">
        <v>3358</v>
      </c>
      <c r="DYG1" s="27" t="s">
        <v>3359</v>
      </c>
      <c r="DYH1" s="27" t="s">
        <v>3360</v>
      </c>
      <c r="DYI1" s="27" t="s">
        <v>3361</v>
      </c>
      <c r="DYJ1" s="27" t="s">
        <v>3362</v>
      </c>
      <c r="DYK1" s="27" t="s">
        <v>3363</v>
      </c>
      <c r="DYL1" s="27" t="s">
        <v>3364</v>
      </c>
      <c r="DYM1" s="27" t="s">
        <v>3365</v>
      </c>
      <c r="DYN1" s="27" t="s">
        <v>3366</v>
      </c>
      <c r="DYO1" s="27" t="s">
        <v>3367</v>
      </c>
      <c r="DYP1" s="27" t="s">
        <v>3368</v>
      </c>
      <c r="DYQ1" s="27" t="s">
        <v>3369</v>
      </c>
      <c r="DYR1" s="27" t="s">
        <v>3370</v>
      </c>
      <c r="DYS1" s="27" t="s">
        <v>3371</v>
      </c>
      <c r="DYT1" s="27" t="s">
        <v>3372</v>
      </c>
      <c r="DYU1" s="27" t="s">
        <v>3373</v>
      </c>
      <c r="DYV1" s="27" t="s">
        <v>3374</v>
      </c>
      <c r="DYW1" s="27" t="s">
        <v>3375</v>
      </c>
      <c r="DYX1" s="27" t="s">
        <v>3376</v>
      </c>
      <c r="DYY1" s="27" t="s">
        <v>3377</v>
      </c>
      <c r="DYZ1" s="27" t="s">
        <v>3378</v>
      </c>
      <c r="DZA1" s="27" t="s">
        <v>3379</v>
      </c>
      <c r="DZB1" s="27" t="s">
        <v>3380</v>
      </c>
      <c r="DZC1" s="27" t="s">
        <v>3381</v>
      </c>
      <c r="DZD1" s="27" t="s">
        <v>3382</v>
      </c>
      <c r="DZE1" s="27" t="s">
        <v>3383</v>
      </c>
      <c r="DZF1" s="27" t="s">
        <v>3384</v>
      </c>
      <c r="DZG1" s="27" t="s">
        <v>3385</v>
      </c>
      <c r="DZH1" s="27" t="s">
        <v>3386</v>
      </c>
      <c r="DZI1" s="27" t="s">
        <v>3387</v>
      </c>
      <c r="DZJ1" s="27" t="s">
        <v>3388</v>
      </c>
      <c r="DZK1" s="27" t="s">
        <v>3389</v>
      </c>
      <c r="DZL1" s="27" t="s">
        <v>3390</v>
      </c>
      <c r="DZM1" s="27" t="s">
        <v>3391</v>
      </c>
      <c r="DZN1" s="27" t="s">
        <v>3392</v>
      </c>
      <c r="DZO1" s="27" t="s">
        <v>3393</v>
      </c>
      <c r="DZP1" s="27" t="s">
        <v>3394</v>
      </c>
      <c r="DZQ1" s="27" t="s">
        <v>3395</v>
      </c>
      <c r="DZR1" s="27" t="s">
        <v>3396</v>
      </c>
      <c r="DZS1" s="27" t="s">
        <v>3397</v>
      </c>
      <c r="DZT1" s="27" t="s">
        <v>3398</v>
      </c>
      <c r="DZU1" s="27" t="s">
        <v>3399</v>
      </c>
      <c r="DZV1" s="27" t="s">
        <v>3400</v>
      </c>
      <c r="DZW1" s="27" t="s">
        <v>3401</v>
      </c>
      <c r="DZX1" s="27" t="s">
        <v>3402</v>
      </c>
      <c r="DZY1" s="27" t="s">
        <v>3403</v>
      </c>
      <c r="DZZ1" s="27" t="s">
        <v>3404</v>
      </c>
      <c r="EAA1" s="27" t="s">
        <v>3405</v>
      </c>
      <c r="EAB1" s="27" t="s">
        <v>3406</v>
      </c>
      <c r="EAC1" s="27" t="s">
        <v>3407</v>
      </c>
      <c r="EAD1" s="27" t="s">
        <v>3408</v>
      </c>
      <c r="EAE1" s="27" t="s">
        <v>3409</v>
      </c>
      <c r="EAF1" s="27" t="s">
        <v>3410</v>
      </c>
      <c r="EAG1" s="27" t="s">
        <v>3411</v>
      </c>
      <c r="EAH1" s="27" t="s">
        <v>3412</v>
      </c>
      <c r="EAI1" s="27" t="s">
        <v>3413</v>
      </c>
      <c r="EAJ1" s="27" t="s">
        <v>3414</v>
      </c>
      <c r="EAK1" s="27" t="s">
        <v>3415</v>
      </c>
      <c r="EAL1" s="27" t="s">
        <v>3416</v>
      </c>
      <c r="EAM1" s="27" t="s">
        <v>3417</v>
      </c>
      <c r="EAN1" s="27" t="s">
        <v>3418</v>
      </c>
      <c r="EAO1" s="27" t="s">
        <v>3419</v>
      </c>
      <c r="EAP1" s="27" t="s">
        <v>3420</v>
      </c>
      <c r="EAQ1" s="27" t="s">
        <v>3421</v>
      </c>
      <c r="EAR1" s="27" t="s">
        <v>3422</v>
      </c>
      <c r="EAS1" s="27" t="s">
        <v>3423</v>
      </c>
      <c r="EAT1" s="27" t="s">
        <v>3424</v>
      </c>
      <c r="EAU1" s="27" t="s">
        <v>3425</v>
      </c>
      <c r="EAV1" s="27" t="s">
        <v>3426</v>
      </c>
      <c r="EAW1" s="27" t="s">
        <v>3427</v>
      </c>
      <c r="EAX1" s="27" t="s">
        <v>3428</v>
      </c>
      <c r="EAY1" s="27" t="s">
        <v>3429</v>
      </c>
      <c r="EAZ1" s="27" t="s">
        <v>3430</v>
      </c>
      <c r="EBA1" s="27" t="s">
        <v>3431</v>
      </c>
      <c r="EBB1" s="27" t="s">
        <v>3432</v>
      </c>
      <c r="EBC1" s="27" t="s">
        <v>3433</v>
      </c>
      <c r="EBD1" s="27" t="s">
        <v>3434</v>
      </c>
      <c r="EBE1" s="27" t="s">
        <v>3435</v>
      </c>
      <c r="EBF1" s="27" t="s">
        <v>3436</v>
      </c>
      <c r="EBG1" s="27" t="s">
        <v>3437</v>
      </c>
      <c r="EBH1" s="27" t="s">
        <v>3438</v>
      </c>
      <c r="EBI1" s="27" t="s">
        <v>3439</v>
      </c>
      <c r="EBJ1" s="27" t="s">
        <v>3440</v>
      </c>
      <c r="EBK1" s="27" t="s">
        <v>3441</v>
      </c>
      <c r="EBL1" s="27" t="s">
        <v>3442</v>
      </c>
      <c r="EBM1" s="27" t="s">
        <v>3443</v>
      </c>
      <c r="EBN1" s="27" t="s">
        <v>3444</v>
      </c>
      <c r="EBO1" s="27" t="s">
        <v>3445</v>
      </c>
      <c r="EBP1" s="27" t="s">
        <v>3446</v>
      </c>
      <c r="EBQ1" s="27" t="s">
        <v>3447</v>
      </c>
      <c r="EBR1" s="27" t="s">
        <v>3448</v>
      </c>
      <c r="EBS1" s="27" t="s">
        <v>3449</v>
      </c>
      <c r="EBT1" s="27" t="s">
        <v>3450</v>
      </c>
      <c r="EBU1" s="27" t="s">
        <v>3451</v>
      </c>
      <c r="EBV1" s="27" t="s">
        <v>3452</v>
      </c>
      <c r="EBW1" s="27" t="s">
        <v>3453</v>
      </c>
      <c r="EBX1" s="27" t="s">
        <v>3454</v>
      </c>
      <c r="EBY1" s="27" t="s">
        <v>3455</v>
      </c>
      <c r="EBZ1" s="27" t="s">
        <v>3456</v>
      </c>
      <c r="ECA1" s="27" t="s">
        <v>3457</v>
      </c>
      <c r="ECB1" s="27" t="s">
        <v>3458</v>
      </c>
      <c r="ECC1" s="27" t="s">
        <v>3459</v>
      </c>
      <c r="ECD1" s="27" t="s">
        <v>3460</v>
      </c>
      <c r="ECE1" s="27" t="s">
        <v>3461</v>
      </c>
      <c r="ECF1" s="27" t="s">
        <v>3462</v>
      </c>
      <c r="ECG1" s="27" t="s">
        <v>3463</v>
      </c>
      <c r="ECH1" s="27" t="s">
        <v>3464</v>
      </c>
      <c r="ECI1" s="27" t="s">
        <v>3465</v>
      </c>
      <c r="ECJ1" s="27" t="s">
        <v>3466</v>
      </c>
      <c r="ECK1" s="27" t="s">
        <v>3467</v>
      </c>
      <c r="ECL1" s="27" t="s">
        <v>3468</v>
      </c>
      <c r="ECM1" s="27" t="s">
        <v>3469</v>
      </c>
      <c r="ECN1" s="27" t="s">
        <v>3470</v>
      </c>
      <c r="ECO1" s="27" t="s">
        <v>3471</v>
      </c>
      <c r="ECP1" s="27" t="s">
        <v>3472</v>
      </c>
      <c r="ECQ1" s="27" t="s">
        <v>3473</v>
      </c>
      <c r="ECR1" s="27" t="s">
        <v>3474</v>
      </c>
      <c r="ECS1" s="27" t="s">
        <v>3475</v>
      </c>
      <c r="ECT1" s="27" t="s">
        <v>3476</v>
      </c>
      <c r="ECU1" s="27" t="s">
        <v>3477</v>
      </c>
      <c r="ECV1" s="27" t="s">
        <v>3478</v>
      </c>
      <c r="ECW1" s="27" t="s">
        <v>3479</v>
      </c>
      <c r="ECX1" s="27" t="s">
        <v>3480</v>
      </c>
      <c r="ECY1" s="27" t="s">
        <v>3481</v>
      </c>
      <c r="ECZ1" s="27" t="s">
        <v>3482</v>
      </c>
      <c r="EDA1" s="27" t="s">
        <v>3483</v>
      </c>
      <c r="EDB1" s="27" t="s">
        <v>3484</v>
      </c>
      <c r="EDC1" s="27" t="s">
        <v>3485</v>
      </c>
      <c r="EDD1" s="27" t="s">
        <v>3486</v>
      </c>
      <c r="EDE1" s="27" t="s">
        <v>3487</v>
      </c>
      <c r="EDF1" s="27" t="s">
        <v>3488</v>
      </c>
      <c r="EDG1" s="27" t="s">
        <v>3489</v>
      </c>
      <c r="EDH1" s="27" t="s">
        <v>3490</v>
      </c>
      <c r="EDI1" s="27" t="s">
        <v>3491</v>
      </c>
      <c r="EDJ1" s="27" t="s">
        <v>3492</v>
      </c>
      <c r="EDK1" s="27" t="s">
        <v>3493</v>
      </c>
      <c r="EDL1" s="27" t="s">
        <v>3494</v>
      </c>
      <c r="EDM1" s="27" t="s">
        <v>3495</v>
      </c>
      <c r="EDN1" s="27" t="s">
        <v>3496</v>
      </c>
      <c r="EDO1" s="27" t="s">
        <v>3497</v>
      </c>
      <c r="EDP1" s="27" t="s">
        <v>3498</v>
      </c>
      <c r="EDQ1" s="27" t="s">
        <v>3499</v>
      </c>
      <c r="EDR1" s="27" t="s">
        <v>3500</v>
      </c>
      <c r="EDS1" s="27" t="s">
        <v>3501</v>
      </c>
      <c r="EDT1" s="27" t="s">
        <v>3502</v>
      </c>
      <c r="EDU1" s="27" t="s">
        <v>3503</v>
      </c>
      <c r="EDV1" s="27" t="s">
        <v>3504</v>
      </c>
      <c r="EDW1" s="27" t="s">
        <v>3505</v>
      </c>
      <c r="EDX1" s="27" t="s">
        <v>3506</v>
      </c>
      <c r="EDY1" s="27" t="s">
        <v>3507</v>
      </c>
      <c r="EDZ1" s="27" t="s">
        <v>3508</v>
      </c>
      <c r="EEA1" s="27" t="s">
        <v>3509</v>
      </c>
      <c r="EEB1" s="27" t="s">
        <v>3510</v>
      </c>
      <c r="EEC1" s="27" t="s">
        <v>3511</v>
      </c>
      <c r="EED1" s="27" t="s">
        <v>3512</v>
      </c>
      <c r="EEE1" s="27" t="s">
        <v>3513</v>
      </c>
      <c r="EEF1" s="27" t="s">
        <v>3514</v>
      </c>
      <c r="EEG1" s="27" t="s">
        <v>3515</v>
      </c>
      <c r="EEH1" s="27" t="s">
        <v>3516</v>
      </c>
      <c r="EEI1" s="27" t="s">
        <v>3517</v>
      </c>
      <c r="EEJ1" s="27" t="s">
        <v>3518</v>
      </c>
      <c r="EEK1" s="27" t="s">
        <v>3519</v>
      </c>
      <c r="EEL1" s="27" t="s">
        <v>3520</v>
      </c>
      <c r="EEM1" s="27" t="s">
        <v>3521</v>
      </c>
      <c r="EEN1" s="27" t="s">
        <v>3522</v>
      </c>
      <c r="EEO1" s="27" t="s">
        <v>3523</v>
      </c>
      <c r="EEP1" s="27" t="s">
        <v>3524</v>
      </c>
      <c r="EEQ1" s="27" t="s">
        <v>3525</v>
      </c>
      <c r="EER1" s="27" t="s">
        <v>3526</v>
      </c>
      <c r="EES1" s="27" t="s">
        <v>3527</v>
      </c>
      <c r="EET1" s="27" t="s">
        <v>3528</v>
      </c>
      <c r="EEU1" s="27" t="s">
        <v>3529</v>
      </c>
      <c r="EEV1" s="27" t="s">
        <v>3530</v>
      </c>
      <c r="EEW1" s="27" t="s">
        <v>3531</v>
      </c>
      <c r="EEX1" s="27" t="s">
        <v>3532</v>
      </c>
      <c r="EEY1" s="27" t="s">
        <v>3533</v>
      </c>
      <c r="EEZ1" s="27" t="s">
        <v>3534</v>
      </c>
      <c r="EFA1" s="27" t="s">
        <v>3535</v>
      </c>
      <c r="EFB1" s="27" t="s">
        <v>3536</v>
      </c>
      <c r="EFC1" s="27" t="s">
        <v>3537</v>
      </c>
      <c r="EFD1" s="27" t="s">
        <v>3538</v>
      </c>
      <c r="EFE1" s="27" t="s">
        <v>3539</v>
      </c>
      <c r="EFF1" s="27" t="s">
        <v>3540</v>
      </c>
      <c r="EFG1" s="27" t="s">
        <v>3541</v>
      </c>
      <c r="EFH1" s="27" t="s">
        <v>3542</v>
      </c>
      <c r="EFI1" s="27" t="s">
        <v>3543</v>
      </c>
      <c r="EFJ1" s="27" t="s">
        <v>3544</v>
      </c>
      <c r="EFK1" s="27" t="s">
        <v>3545</v>
      </c>
      <c r="EFL1" s="27" t="s">
        <v>3546</v>
      </c>
      <c r="EFM1" s="27" t="s">
        <v>3547</v>
      </c>
      <c r="EFN1" s="27" t="s">
        <v>3548</v>
      </c>
      <c r="EFO1" s="27" t="s">
        <v>3549</v>
      </c>
      <c r="EFP1" s="27" t="s">
        <v>3550</v>
      </c>
      <c r="EFQ1" s="27" t="s">
        <v>3551</v>
      </c>
      <c r="EFR1" s="27" t="s">
        <v>3552</v>
      </c>
      <c r="EFS1" s="27" t="s">
        <v>3553</v>
      </c>
      <c r="EFT1" s="27" t="s">
        <v>3554</v>
      </c>
      <c r="EFU1" s="27" t="s">
        <v>3555</v>
      </c>
      <c r="EFV1" s="27" t="s">
        <v>3556</v>
      </c>
      <c r="EFW1" s="27" t="s">
        <v>3557</v>
      </c>
      <c r="EFX1" s="27" t="s">
        <v>3558</v>
      </c>
      <c r="EFY1" s="27" t="s">
        <v>3559</v>
      </c>
      <c r="EFZ1" s="27" t="s">
        <v>3560</v>
      </c>
      <c r="EGA1" s="27" t="s">
        <v>3561</v>
      </c>
      <c r="EGB1" s="27" t="s">
        <v>3562</v>
      </c>
      <c r="EGC1" s="27" t="s">
        <v>3563</v>
      </c>
      <c r="EGD1" s="27" t="s">
        <v>3564</v>
      </c>
      <c r="EGE1" s="27" t="s">
        <v>3565</v>
      </c>
      <c r="EGF1" s="27" t="s">
        <v>3566</v>
      </c>
      <c r="EGG1" s="27" t="s">
        <v>3567</v>
      </c>
      <c r="EGH1" s="27" t="s">
        <v>3568</v>
      </c>
      <c r="EGI1" s="27" t="s">
        <v>3569</v>
      </c>
      <c r="EGJ1" s="27" t="s">
        <v>3570</v>
      </c>
      <c r="EGK1" s="27" t="s">
        <v>3571</v>
      </c>
      <c r="EGL1" s="27" t="s">
        <v>3572</v>
      </c>
      <c r="EGM1" s="27" t="s">
        <v>3573</v>
      </c>
      <c r="EGN1" s="27" t="s">
        <v>3574</v>
      </c>
      <c r="EGO1" s="27" t="s">
        <v>3575</v>
      </c>
      <c r="EGP1" s="27" t="s">
        <v>3576</v>
      </c>
      <c r="EGQ1" s="27" t="s">
        <v>3577</v>
      </c>
      <c r="EGR1" s="27" t="s">
        <v>3578</v>
      </c>
      <c r="EGS1" s="27" t="s">
        <v>3579</v>
      </c>
      <c r="EGT1" s="27" t="s">
        <v>3580</v>
      </c>
      <c r="EGU1" s="27" t="s">
        <v>3581</v>
      </c>
      <c r="EGV1" s="27" t="s">
        <v>3582</v>
      </c>
      <c r="EGW1" s="27" t="s">
        <v>3583</v>
      </c>
      <c r="EGX1" s="27" t="s">
        <v>3584</v>
      </c>
      <c r="EGY1" s="27" t="s">
        <v>3585</v>
      </c>
      <c r="EGZ1" s="27" t="s">
        <v>3586</v>
      </c>
      <c r="EHA1" s="27" t="s">
        <v>3587</v>
      </c>
      <c r="EHB1" s="27" t="s">
        <v>3588</v>
      </c>
      <c r="EHC1" s="27" t="s">
        <v>3589</v>
      </c>
      <c r="EHD1" s="27" t="s">
        <v>3590</v>
      </c>
      <c r="EHE1" s="27" t="s">
        <v>3591</v>
      </c>
      <c r="EHF1" s="27" t="s">
        <v>3592</v>
      </c>
      <c r="EHG1" s="27" t="s">
        <v>3593</v>
      </c>
      <c r="EHH1" s="27" t="s">
        <v>3594</v>
      </c>
      <c r="EHI1" s="27" t="s">
        <v>3595</v>
      </c>
      <c r="EHJ1" s="27" t="s">
        <v>3596</v>
      </c>
      <c r="EHK1" s="27" t="s">
        <v>3597</v>
      </c>
      <c r="EHL1" s="27" t="s">
        <v>3598</v>
      </c>
      <c r="EHM1" s="27" t="s">
        <v>3599</v>
      </c>
      <c r="EHN1" s="27" t="s">
        <v>3600</v>
      </c>
      <c r="EHO1" s="27" t="s">
        <v>3601</v>
      </c>
      <c r="EHP1" s="27" t="s">
        <v>3602</v>
      </c>
      <c r="EHQ1" s="27" t="s">
        <v>3603</v>
      </c>
      <c r="EHR1" s="27" t="s">
        <v>3604</v>
      </c>
      <c r="EHS1" s="27" t="s">
        <v>3605</v>
      </c>
      <c r="EHT1" s="27" t="s">
        <v>3606</v>
      </c>
      <c r="EHU1" s="27" t="s">
        <v>3607</v>
      </c>
      <c r="EHV1" s="27" t="s">
        <v>3608</v>
      </c>
      <c r="EHW1" s="27" t="s">
        <v>3609</v>
      </c>
      <c r="EHX1" s="27" t="s">
        <v>3610</v>
      </c>
      <c r="EHY1" s="27" t="s">
        <v>3611</v>
      </c>
      <c r="EHZ1" s="27" t="s">
        <v>3612</v>
      </c>
      <c r="EIA1" s="27" t="s">
        <v>3613</v>
      </c>
      <c r="EIB1" s="27" t="s">
        <v>3614</v>
      </c>
      <c r="EIC1" s="27" t="s">
        <v>3615</v>
      </c>
      <c r="EID1" s="27" t="s">
        <v>3616</v>
      </c>
      <c r="EIE1" s="27" t="s">
        <v>3617</v>
      </c>
      <c r="EIF1" s="27" t="s">
        <v>3618</v>
      </c>
      <c r="EIG1" s="27" t="s">
        <v>3619</v>
      </c>
      <c r="EIH1" s="27" t="s">
        <v>3620</v>
      </c>
      <c r="EII1" s="27" t="s">
        <v>3621</v>
      </c>
      <c r="EIJ1" s="27" t="s">
        <v>3622</v>
      </c>
      <c r="EIK1" s="27" t="s">
        <v>3623</v>
      </c>
      <c r="EIL1" s="27" t="s">
        <v>3624</v>
      </c>
      <c r="EIM1" s="27" t="s">
        <v>3625</v>
      </c>
      <c r="EIN1" s="27" t="s">
        <v>3626</v>
      </c>
      <c r="EIO1" s="27" t="s">
        <v>3627</v>
      </c>
      <c r="EIP1" s="27" t="s">
        <v>3628</v>
      </c>
      <c r="EIQ1" s="27" t="s">
        <v>3629</v>
      </c>
      <c r="EIR1" s="27" t="s">
        <v>3630</v>
      </c>
      <c r="EIS1" s="27" t="s">
        <v>3631</v>
      </c>
      <c r="EIT1" s="27" t="s">
        <v>3632</v>
      </c>
      <c r="EIU1" s="27" t="s">
        <v>3633</v>
      </c>
      <c r="EIV1" s="27" t="s">
        <v>3634</v>
      </c>
      <c r="EIW1" s="27" t="s">
        <v>3635</v>
      </c>
      <c r="EIX1" s="27" t="s">
        <v>3636</v>
      </c>
      <c r="EIY1" s="27" t="s">
        <v>3637</v>
      </c>
      <c r="EIZ1" s="27" t="s">
        <v>3638</v>
      </c>
      <c r="EJA1" s="27" t="s">
        <v>3639</v>
      </c>
      <c r="EJB1" s="27" t="s">
        <v>3640</v>
      </c>
      <c r="EJC1" s="27" t="s">
        <v>3641</v>
      </c>
      <c r="EJD1" s="27" t="s">
        <v>3642</v>
      </c>
      <c r="EJE1" s="27" t="s">
        <v>3643</v>
      </c>
      <c r="EJF1" s="27" t="s">
        <v>3644</v>
      </c>
      <c r="EJG1" s="27" t="s">
        <v>3645</v>
      </c>
      <c r="EJH1" s="27" t="s">
        <v>3646</v>
      </c>
      <c r="EJI1" s="27" t="s">
        <v>3647</v>
      </c>
      <c r="EJJ1" s="27" t="s">
        <v>3648</v>
      </c>
      <c r="EJK1" s="27" t="s">
        <v>3649</v>
      </c>
      <c r="EJL1" s="27" t="s">
        <v>3650</v>
      </c>
      <c r="EJM1" s="27" t="s">
        <v>3651</v>
      </c>
      <c r="EJN1" s="27" t="s">
        <v>3652</v>
      </c>
      <c r="EJO1" s="27" t="s">
        <v>3653</v>
      </c>
      <c r="EJP1" s="27" t="s">
        <v>3654</v>
      </c>
      <c r="EJQ1" s="27" t="s">
        <v>3655</v>
      </c>
      <c r="EJR1" s="27" t="s">
        <v>3656</v>
      </c>
      <c r="EJS1" s="27" t="s">
        <v>3657</v>
      </c>
      <c r="EJT1" s="27" t="s">
        <v>3658</v>
      </c>
      <c r="EJU1" s="27" t="s">
        <v>3659</v>
      </c>
      <c r="EJV1" s="27" t="s">
        <v>3660</v>
      </c>
      <c r="EJW1" s="27" t="s">
        <v>3661</v>
      </c>
      <c r="EJX1" s="27" t="s">
        <v>3662</v>
      </c>
      <c r="EJY1" s="27" t="s">
        <v>3663</v>
      </c>
      <c r="EJZ1" s="27" t="s">
        <v>3664</v>
      </c>
      <c r="EKA1" s="27" t="s">
        <v>3665</v>
      </c>
      <c r="EKB1" s="27" t="s">
        <v>3666</v>
      </c>
      <c r="EKC1" s="27" t="s">
        <v>3667</v>
      </c>
      <c r="EKD1" s="27" t="s">
        <v>3668</v>
      </c>
      <c r="EKE1" s="27" t="s">
        <v>3669</v>
      </c>
      <c r="EKF1" s="27" t="s">
        <v>3670</v>
      </c>
      <c r="EKG1" s="27" t="s">
        <v>3671</v>
      </c>
      <c r="EKH1" s="27" t="s">
        <v>3672</v>
      </c>
      <c r="EKI1" s="27" t="s">
        <v>3673</v>
      </c>
      <c r="EKJ1" s="27" t="s">
        <v>3674</v>
      </c>
      <c r="EKK1" s="27" t="s">
        <v>3675</v>
      </c>
      <c r="EKL1" s="27" t="s">
        <v>3676</v>
      </c>
      <c r="EKM1" s="27" t="s">
        <v>3677</v>
      </c>
      <c r="EKN1" s="27" t="s">
        <v>3678</v>
      </c>
      <c r="EKO1" s="27" t="s">
        <v>3679</v>
      </c>
      <c r="EKP1" s="27" t="s">
        <v>3680</v>
      </c>
      <c r="EKQ1" s="27" t="s">
        <v>3681</v>
      </c>
      <c r="EKR1" s="27" t="s">
        <v>3682</v>
      </c>
      <c r="EKS1" s="27" t="s">
        <v>3683</v>
      </c>
      <c r="EKT1" s="27" t="s">
        <v>3684</v>
      </c>
      <c r="EKU1" s="27" t="s">
        <v>3685</v>
      </c>
      <c r="EKV1" s="27" t="s">
        <v>3686</v>
      </c>
      <c r="EKW1" s="27" t="s">
        <v>3687</v>
      </c>
      <c r="EKX1" s="27" t="s">
        <v>3688</v>
      </c>
      <c r="EKY1" s="27" t="s">
        <v>3689</v>
      </c>
      <c r="EKZ1" s="27" t="s">
        <v>3690</v>
      </c>
      <c r="ELA1" s="27" t="s">
        <v>3691</v>
      </c>
      <c r="ELB1" s="27" t="s">
        <v>3692</v>
      </c>
      <c r="ELC1" s="27" t="s">
        <v>3693</v>
      </c>
      <c r="ELD1" s="27" t="s">
        <v>3694</v>
      </c>
      <c r="ELE1" s="27" t="s">
        <v>3695</v>
      </c>
      <c r="ELF1" s="27" t="s">
        <v>3696</v>
      </c>
      <c r="ELG1" s="27" t="s">
        <v>3697</v>
      </c>
      <c r="ELH1" s="27" t="s">
        <v>3698</v>
      </c>
      <c r="ELI1" s="27" t="s">
        <v>3699</v>
      </c>
      <c r="ELJ1" s="27" t="s">
        <v>3700</v>
      </c>
      <c r="ELK1" s="27" t="s">
        <v>3701</v>
      </c>
      <c r="ELL1" s="27" t="s">
        <v>3702</v>
      </c>
      <c r="ELM1" s="27" t="s">
        <v>3703</v>
      </c>
      <c r="ELN1" s="27" t="s">
        <v>3704</v>
      </c>
      <c r="ELO1" s="27" t="s">
        <v>3705</v>
      </c>
      <c r="ELP1" s="27" t="s">
        <v>3706</v>
      </c>
      <c r="ELQ1" s="27" t="s">
        <v>3707</v>
      </c>
      <c r="ELR1" s="27" t="s">
        <v>3708</v>
      </c>
      <c r="ELS1" s="27" t="s">
        <v>3709</v>
      </c>
      <c r="ELT1" s="27" t="s">
        <v>3710</v>
      </c>
      <c r="ELU1" s="27" t="s">
        <v>3711</v>
      </c>
      <c r="ELV1" s="27" t="s">
        <v>3712</v>
      </c>
      <c r="ELW1" s="27" t="s">
        <v>3713</v>
      </c>
      <c r="ELX1" s="27" t="s">
        <v>3714</v>
      </c>
      <c r="ELY1" s="27" t="s">
        <v>3715</v>
      </c>
      <c r="ELZ1" s="27" t="s">
        <v>3716</v>
      </c>
      <c r="EMA1" s="27" t="s">
        <v>3717</v>
      </c>
      <c r="EMB1" s="27" t="s">
        <v>3718</v>
      </c>
      <c r="EMC1" s="27" t="s">
        <v>3719</v>
      </c>
      <c r="EMD1" s="27" t="s">
        <v>3720</v>
      </c>
      <c r="EME1" s="27" t="s">
        <v>3721</v>
      </c>
      <c r="EMF1" s="27" t="s">
        <v>3722</v>
      </c>
      <c r="EMG1" s="27" t="s">
        <v>3723</v>
      </c>
      <c r="EMH1" s="27" t="s">
        <v>3724</v>
      </c>
      <c r="EMI1" s="27" t="s">
        <v>3725</v>
      </c>
      <c r="EMJ1" s="27" t="s">
        <v>3726</v>
      </c>
      <c r="EMK1" s="27" t="s">
        <v>3727</v>
      </c>
      <c r="EML1" s="27" t="s">
        <v>3728</v>
      </c>
      <c r="EMM1" s="27" t="s">
        <v>3729</v>
      </c>
      <c r="EMN1" s="27" t="s">
        <v>3730</v>
      </c>
      <c r="EMO1" s="27" t="s">
        <v>3731</v>
      </c>
      <c r="EMP1" s="27" t="s">
        <v>3732</v>
      </c>
      <c r="EMQ1" s="27" t="s">
        <v>3733</v>
      </c>
      <c r="EMR1" s="27" t="s">
        <v>3734</v>
      </c>
      <c r="EMS1" s="27" t="s">
        <v>3735</v>
      </c>
      <c r="EMT1" s="27" t="s">
        <v>3736</v>
      </c>
      <c r="EMU1" s="27" t="s">
        <v>3737</v>
      </c>
      <c r="EMV1" s="27" t="s">
        <v>3738</v>
      </c>
      <c r="EMW1" s="27" t="s">
        <v>3739</v>
      </c>
      <c r="EMX1" s="27" t="s">
        <v>3740</v>
      </c>
      <c r="EMY1" s="27" t="s">
        <v>3741</v>
      </c>
      <c r="EMZ1" s="27" t="s">
        <v>3742</v>
      </c>
      <c r="ENA1" s="27" t="s">
        <v>3743</v>
      </c>
      <c r="ENB1" s="27" t="s">
        <v>3744</v>
      </c>
      <c r="ENC1" s="27" t="s">
        <v>3745</v>
      </c>
      <c r="END1" s="27" t="s">
        <v>3746</v>
      </c>
      <c r="ENE1" s="27" t="s">
        <v>3747</v>
      </c>
      <c r="ENF1" s="27" t="s">
        <v>3748</v>
      </c>
      <c r="ENG1" s="27" t="s">
        <v>3749</v>
      </c>
      <c r="ENH1" s="27" t="s">
        <v>3750</v>
      </c>
      <c r="ENI1" s="27" t="s">
        <v>3751</v>
      </c>
      <c r="ENJ1" s="27" t="s">
        <v>3752</v>
      </c>
      <c r="ENK1" s="27" t="s">
        <v>3753</v>
      </c>
      <c r="ENL1" s="27" t="s">
        <v>3754</v>
      </c>
      <c r="ENM1" s="27" t="s">
        <v>3755</v>
      </c>
      <c r="ENN1" s="27" t="s">
        <v>3756</v>
      </c>
      <c r="ENO1" s="27" t="s">
        <v>3757</v>
      </c>
      <c r="ENP1" s="27" t="s">
        <v>3758</v>
      </c>
      <c r="ENQ1" s="27" t="s">
        <v>3759</v>
      </c>
      <c r="ENR1" s="27" t="s">
        <v>3760</v>
      </c>
      <c r="ENS1" s="27" t="s">
        <v>3761</v>
      </c>
      <c r="ENT1" s="27" t="s">
        <v>3762</v>
      </c>
      <c r="ENU1" s="27" t="s">
        <v>3763</v>
      </c>
      <c r="ENV1" s="27" t="s">
        <v>3764</v>
      </c>
      <c r="ENW1" s="27" t="s">
        <v>3765</v>
      </c>
      <c r="ENX1" s="27" t="s">
        <v>3766</v>
      </c>
      <c r="ENY1" s="27" t="s">
        <v>3767</v>
      </c>
      <c r="ENZ1" s="27" t="s">
        <v>3768</v>
      </c>
      <c r="EOA1" s="27" t="s">
        <v>3769</v>
      </c>
      <c r="EOB1" s="27" t="s">
        <v>3770</v>
      </c>
      <c r="EOC1" s="27" t="s">
        <v>3771</v>
      </c>
      <c r="EOD1" s="27" t="s">
        <v>3772</v>
      </c>
      <c r="EOE1" s="27" t="s">
        <v>3773</v>
      </c>
      <c r="EOF1" s="27" t="s">
        <v>3774</v>
      </c>
      <c r="EOG1" s="27" t="s">
        <v>3775</v>
      </c>
      <c r="EOH1" s="27" t="s">
        <v>3776</v>
      </c>
      <c r="EOI1" s="27" t="s">
        <v>3777</v>
      </c>
      <c r="EOJ1" s="27" t="s">
        <v>3778</v>
      </c>
      <c r="EOK1" s="27" t="s">
        <v>3779</v>
      </c>
      <c r="EOL1" s="27" t="s">
        <v>3780</v>
      </c>
      <c r="EOM1" s="27" t="s">
        <v>3781</v>
      </c>
      <c r="EON1" s="27" t="s">
        <v>3782</v>
      </c>
      <c r="EOO1" s="27" t="s">
        <v>3783</v>
      </c>
      <c r="EOP1" s="27" t="s">
        <v>3784</v>
      </c>
      <c r="EOQ1" s="27" t="s">
        <v>3785</v>
      </c>
      <c r="EOR1" s="27" t="s">
        <v>3786</v>
      </c>
      <c r="EOS1" s="27" t="s">
        <v>3787</v>
      </c>
      <c r="EOT1" s="27" t="s">
        <v>3788</v>
      </c>
      <c r="EOU1" s="27" t="s">
        <v>3789</v>
      </c>
      <c r="EOV1" s="27" t="s">
        <v>3790</v>
      </c>
      <c r="EOW1" s="27" t="s">
        <v>3791</v>
      </c>
      <c r="EOX1" s="27" t="s">
        <v>3792</v>
      </c>
      <c r="EOY1" s="27" t="s">
        <v>3793</v>
      </c>
      <c r="EOZ1" s="27" t="s">
        <v>3794</v>
      </c>
      <c r="EPA1" s="27" t="s">
        <v>3795</v>
      </c>
      <c r="EPB1" s="27" t="s">
        <v>3796</v>
      </c>
      <c r="EPC1" s="27" t="s">
        <v>3797</v>
      </c>
      <c r="EPD1" s="27" t="s">
        <v>3798</v>
      </c>
      <c r="EPE1" s="27" t="s">
        <v>3799</v>
      </c>
      <c r="EPF1" s="27" t="s">
        <v>3800</v>
      </c>
      <c r="EPG1" s="27" t="s">
        <v>3801</v>
      </c>
      <c r="EPH1" s="27" t="s">
        <v>3802</v>
      </c>
      <c r="EPI1" s="27" t="s">
        <v>3803</v>
      </c>
      <c r="EPJ1" s="27" t="s">
        <v>3804</v>
      </c>
      <c r="EPK1" s="27" t="s">
        <v>3805</v>
      </c>
      <c r="EPL1" s="27" t="s">
        <v>3806</v>
      </c>
      <c r="EPM1" s="27" t="s">
        <v>3807</v>
      </c>
      <c r="EPN1" s="27" t="s">
        <v>3808</v>
      </c>
      <c r="EPO1" s="27" t="s">
        <v>3809</v>
      </c>
      <c r="EPP1" s="27" t="s">
        <v>3810</v>
      </c>
      <c r="EPQ1" s="27" t="s">
        <v>3811</v>
      </c>
      <c r="EPR1" s="27" t="s">
        <v>3812</v>
      </c>
      <c r="EPS1" s="27" t="s">
        <v>3813</v>
      </c>
      <c r="EPT1" s="27" t="s">
        <v>3814</v>
      </c>
      <c r="EPU1" s="27" t="s">
        <v>3815</v>
      </c>
      <c r="EPV1" s="27" t="s">
        <v>3816</v>
      </c>
      <c r="EPW1" s="27" t="s">
        <v>3817</v>
      </c>
      <c r="EPX1" s="27" t="s">
        <v>3818</v>
      </c>
      <c r="EPY1" s="27" t="s">
        <v>3819</v>
      </c>
      <c r="EPZ1" s="27" t="s">
        <v>3820</v>
      </c>
      <c r="EQA1" s="27" t="s">
        <v>3821</v>
      </c>
      <c r="EQB1" s="27" t="s">
        <v>3822</v>
      </c>
      <c r="EQC1" s="27" t="s">
        <v>3823</v>
      </c>
      <c r="EQD1" s="27" t="s">
        <v>3824</v>
      </c>
      <c r="EQE1" s="27" t="s">
        <v>3825</v>
      </c>
      <c r="EQF1" s="27" t="s">
        <v>3826</v>
      </c>
      <c r="EQG1" s="27" t="s">
        <v>3827</v>
      </c>
      <c r="EQH1" s="27" t="s">
        <v>3828</v>
      </c>
      <c r="EQI1" s="27" t="s">
        <v>3829</v>
      </c>
      <c r="EQJ1" s="27" t="s">
        <v>3830</v>
      </c>
      <c r="EQK1" s="27" t="s">
        <v>3831</v>
      </c>
      <c r="EQL1" s="27" t="s">
        <v>3832</v>
      </c>
      <c r="EQM1" s="27" t="s">
        <v>3833</v>
      </c>
      <c r="EQN1" s="27" t="s">
        <v>3834</v>
      </c>
      <c r="EQO1" s="27" t="s">
        <v>3835</v>
      </c>
      <c r="EQP1" s="27" t="s">
        <v>3836</v>
      </c>
      <c r="EQQ1" s="27" t="s">
        <v>3837</v>
      </c>
      <c r="EQR1" s="27" t="s">
        <v>3838</v>
      </c>
      <c r="EQS1" s="27" t="s">
        <v>3839</v>
      </c>
      <c r="EQT1" s="27" t="s">
        <v>3840</v>
      </c>
      <c r="EQU1" s="27" t="s">
        <v>3841</v>
      </c>
      <c r="EQV1" s="27" t="s">
        <v>3842</v>
      </c>
      <c r="EQW1" s="27" t="s">
        <v>3843</v>
      </c>
      <c r="EQX1" s="27" t="s">
        <v>3844</v>
      </c>
      <c r="EQY1" s="27" t="s">
        <v>3845</v>
      </c>
      <c r="EQZ1" s="27" t="s">
        <v>3846</v>
      </c>
      <c r="ERA1" s="27" t="s">
        <v>3847</v>
      </c>
      <c r="ERB1" s="27" t="s">
        <v>3848</v>
      </c>
      <c r="ERC1" s="27" t="s">
        <v>3849</v>
      </c>
      <c r="ERD1" s="27" t="s">
        <v>3850</v>
      </c>
      <c r="ERE1" s="27" t="s">
        <v>3851</v>
      </c>
      <c r="ERF1" s="27" t="s">
        <v>3852</v>
      </c>
      <c r="ERG1" s="27" t="s">
        <v>3853</v>
      </c>
      <c r="ERH1" s="27" t="s">
        <v>3854</v>
      </c>
      <c r="ERI1" s="27" t="s">
        <v>3855</v>
      </c>
      <c r="ERJ1" s="27" t="s">
        <v>3856</v>
      </c>
      <c r="ERK1" s="27" t="s">
        <v>3857</v>
      </c>
      <c r="ERL1" s="27" t="s">
        <v>3858</v>
      </c>
      <c r="ERM1" s="27" t="s">
        <v>3859</v>
      </c>
      <c r="ERN1" s="27" t="s">
        <v>3860</v>
      </c>
      <c r="ERO1" s="27" t="s">
        <v>3861</v>
      </c>
      <c r="ERP1" s="27" t="s">
        <v>3862</v>
      </c>
      <c r="ERQ1" s="27" t="s">
        <v>3863</v>
      </c>
      <c r="ERR1" s="27" t="s">
        <v>3864</v>
      </c>
      <c r="ERS1" s="27" t="s">
        <v>3865</v>
      </c>
      <c r="ERT1" s="27" t="s">
        <v>3866</v>
      </c>
      <c r="ERU1" s="27" t="s">
        <v>3867</v>
      </c>
      <c r="ERV1" s="27" t="s">
        <v>3868</v>
      </c>
      <c r="ERW1" s="27" t="s">
        <v>3869</v>
      </c>
      <c r="ERX1" s="27" t="s">
        <v>3870</v>
      </c>
      <c r="ERY1" s="27" t="s">
        <v>3871</v>
      </c>
      <c r="ERZ1" s="27" t="s">
        <v>3872</v>
      </c>
      <c r="ESA1" s="27" t="s">
        <v>3873</v>
      </c>
      <c r="ESB1" s="27" t="s">
        <v>3874</v>
      </c>
      <c r="ESC1" s="27" t="s">
        <v>3875</v>
      </c>
      <c r="ESD1" s="27" t="s">
        <v>3876</v>
      </c>
      <c r="ESE1" s="27" t="s">
        <v>3877</v>
      </c>
      <c r="ESF1" s="27" t="s">
        <v>3878</v>
      </c>
      <c r="ESG1" s="27" t="s">
        <v>3879</v>
      </c>
      <c r="ESH1" s="27" t="s">
        <v>3880</v>
      </c>
      <c r="ESI1" s="27" t="s">
        <v>3881</v>
      </c>
      <c r="ESJ1" s="27" t="s">
        <v>3882</v>
      </c>
      <c r="ESK1" s="27" t="s">
        <v>3883</v>
      </c>
      <c r="ESL1" s="27" t="s">
        <v>3884</v>
      </c>
      <c r="ESM1" s="27" t="s">
        <v>3885</v>
      </c>
      <c r="ESN1" s="27" t="s">
        <v>3886</v>
      </c>
      <c r="ESO1" s="27" t="s">
        <v>3887</v>
      </c>
      <c r="ESP1" s="27" t="s">
        <v>3888</v>
      </c>
      <c r="ESQ1" s="27" t="s">
        <v>3889</v>
      </c>
      <c r="ESR1" s="27" t="s">
        <v>3890</v>
      </c>
      <c r="ESS1" s="27" t="s">
        <v>3891</v>
      </c>
      <c r="EST1" s="27" t="s">
        <v>3892</v>
      </c>
      <c r="ESU1" s="27" t="s">
        <v>3893</v>
      </c>
      <c r="ESV1" s="27" t="s">
        <v>3894</v>
      </c>
      <c r="ESW1" s="27" t="s">
        <v>3895</v>
      </c>
      <c r="ESX1" s="27" t="s">
        <v>3896</v>
      </c>
      <c r="ESY1" s="27" t="s">
        <v>3897</v>
      </c>
      <c r="ESZ1" s="27" t="s">
        <v>3898</v>
      </c>
      <c r="ETA1" s="27" t="s">
        <v>3899</v>
      </c>
      <c r="ETB1" s="27" t="s">
        <v>3900</v>
      </c>
      <c r="ETC1" s="27" t="s">
        <v>3901</v>
      </c>
      <c r="ETD1" s="27" t="s">
        <v>3902</v>
      </c>
      <c r="ETE1" s="27" t="s">
        <v>3903</v>
      </c>
      <c r="ETF1" s="27" t="s">
        <v>3904</v>
      </c>
      <c r="ETG1" s="27" t="s">
        <v>3905</v>
      </c>
      <c r="ETH1" s="27" t="s">
        <v>3906</v>
      </c>
      <c r="ETI1" s="27" t="s">
        <v>3907</v>
      </c>
      <c r="ETJ1" s="27" t="s">
        <v>3908</v>
      </c>
      <c r="ETK1" s="27" t="s">
        <v>3909</v>
      </c>
      <c r="ETL1" s="27" t="s">
        <v>3910</v>
      </c>
      <c r="ETM1" s="27" t="s">
        <v>3911</v>
      </c>
      <c r="ETN1" s="27" t="s">
        <v>3912</v>
      </c>
      <c r="ETO1" s="27" t="s">
        <v>3913</v>
      </c>
      <c r="ETP1" s="27" t="s">
        <v>3914</v>
      </c>
      <c r="ETQ1" s="27" t="s">
        <v>3915</v>
      </c>
      <c r="ETR1" s="27" t="s">
        <v>3916</v>
      </c>
      <c r="ETS1" s="27" t="s">
        <v>3917</v>
      </c>
      <c r="ETT1" s="27" t="s">
        <v>3918</v>
      </c>
      <c r="ETU1" s="27" t="s">
        <v>3919</v>
      </c>
      <c r="ETV1" s="27" t="s">
        <v>3920</v>
      </c>
      <c r="ETW1" s="27" t="s">
        <v>3921</v>
      </c>
      <c r="ETX1" s="27" t="s">
        <v>3922</v>
      </c>
      <c r="ETY1" s="27" t="s">
        <v>3923</v>
      </c>
      <c r="ETZ1" s="27" t="s">
        <v>3924</v>
      </c>
      <c r="EUA1" s="27" t="s">
        <v>3925</v>
      </c>
      <c r="EUB1" s="27" t="s">
        <v>3926</v>
      </c>
      <c r="EUC1" s="27" t="s">
        <v>3927</v>
      </c>
      <c r="EUD1" s="27" t="s">
        <v>3928</v>
      </c>
      <c r="EUE1" s="27" t="s">
        <v>3929</v>
      </c>
      <c r="EUF1" s="27" t="s">
        <v>3930</v>
      </c>
      <c r="EUG1" s="27" t="s">
        <v>3931</v>
      </c>
      <c r="EUH1" s="27" t="s">
        <v>3932</v>
      </c>
      <c r="EUI1" s="27" t="s">
        <v>3933</v>
      </c>
      <c r="EUJ1" s="27" t="s">
        <v>3934</v>
      </c>
      <c r="EUK1" s="27" t="s">
        <v>3935</v>
      </c>
      <c r="EUL1" s="27" t="s">
        <v>3936</v>
      </c>
      <c r="EUM1" s="27" t="s">
        <v>3937</v>
      </c>
      <c r="EUN1" s="27" t="s">
        <v>3938</v>
      </c>
      <c r="EUO1" s="27" t="s">
        <v>3939</v>
      </c>
      <c r="EUP1" s="27" t="s">
        <v>3940</v>
      </c>
      <c r="EUQ1" s="27" t="s">
        <v>3941</v>
      </c>
      <c r="EUR1" s="27" t="s">
        <v>3942</v>
      </c>
      <c r="EUS1" s="27" t="s">
        <v>3943</v>
      </c>
      <c r="EUT1" s="27" t="s">
        <v>3944</v>
      </c>
      <c r="EUU1" s="27" t="s">
        <v>3945</v>
      </c>
      <c r="EUV1" s="27" t="s">
        <v>3946</v>
      </c>
      <c r="EUW1" s="27" t="s">
        <v>3947</v>
      </c>
      <c r="EUX1" s="27" t="s">
        <v>3948</v>
      </c>
      <c r="EUY1" s="27" t="s">
        <v>3949</v>
      </c>
      <c r="EUZ1" s="27" t="s">
        <v>3950</v>
      </c>
      <c r="EVA1" s="27" t="s">
        <v>3951</v>
      </c>
      <c r="EVB1" s="27" t="s">
        <v>3952</v>
      </c>
      <c r="EVC1" s="27" t="s">
        <v>3953</v>
      </c>
      <c r="EVD1" s="27" t="s">
        <v>3954</v>
      </c>
      <c r="EVE1" s="27" t="s">
        <v>3955</v>
      </c>
      <c r="EVF1" s="27" t="s">
        <v>3956</v>
      </c>
      <c r="EVG1" s="27" t="s">
        <v>3957</v>
      </c>
      <c r="EVH1" s="27" t="s">
        <v>3958</v>
      </c>
      <c r="EVI1" s="27" t="s">
        <v>3959</v>
      </c>
      <c r="EVJ1" s="27" t="s">
        <v>3960</v>
      </c>
      <c r="EVK1" s="27" t="s">
        <v>3961</v>
      </c>
      <c r="EVL1" s="27" t="s">
        <v>3962</v>
      </c>
      <c r="EVM1" s="27" t="s">
        <v>3963</v>
      </c>
      <c r="EVN1" s="27" t="s">
        <v>3964</v>
      </c>
      <c r="EVO1" s="27" t="s">
        <v>3965</v>
      </c>
      <c r="EVP1" s="27" t="s">
        <v>3966</v>
      </c>
      <c r="EVQ1" s="27" t="s">
        <v>3967</v>
      </c>
      <c r="EVR1" s="27" t="s">
        <v>3968</v>
      </c>
      <c r="EVS1" s="27" t="s">
        <v>3969</v>
      </c>
      <c r="EVT1" s="27" t="s">
        <v>3970</v>
      </c>
      <c r="EVU1" s="27" t="s">
        <v>3971</v>
      </c>
      <c r="EVV1" s="27" t="s">
        <v>3972</v>
      </c>
      <c r="EVW1" s="27" t="s">
        <v>3973</v>
      </c>
      <c r="EVX1" s="27" t="s">
        <v>3974</v>
      </c>
      <c r="EVY1" s="27" t="s">
        <v>3975</v>
      </c>
      <c r="EVZ1" s="27" t="s">
        <v>3976</v>
      </c>
      <c r="EWA1" s="27" t="s">
        <v>3977</v>
      </c>
      <c r="EWB1" s="27" t="s">
        <v>3978</v>
      </c>
      <c r="EWC1" s="27" t="s">
        <v>3979</v>
      </c>
      <c r="EWD1" s="27" t="s">
        <v>3980</v>
      </c>
      <c r="EWE1" s="27" t="s">
        <v>3981</v>
      </c>
      <c r="EWF1" s="27" t="s">
        <v>3982</v>
      </c>
      <c r="EWG1" s="27" t="s">
        <v>3983</v>
      </c>
      <c r="EWH1" s="27" t="s">
        <v>3984</v>
      </c>
      <c r="EWI1" s="27" t="s">
        <v>3985</v>
      </c>
      <c r="EWJ1" s="27" t="s">
        <v>3986</v>
      </c>
      <c r="EWK1" s="27" t="s">
        <v>3987</v>
      </c>
      <c r="EWL1" s="27" t="s">
        <v>3988</v>
      </c>
      <c r="EWM1" s="27" t="s">
        <v>3989</v>
      </c>
      <c r="EWN1" s="27" t="s">
        <v>3990</v>
      </c>
      <c r="EWO1" s="27" t="s">
        <v>3991</v>
      </c>
      <c r="EWP1" s="27" t="s">
        <v>3992</v>
      </c>
      <c r="EWQ1" s="27" t="s">
        <v>3993</v>
      </c>
      <c r="EWR1" s="27" t="s">
        <v>3994</v>
      </c>
      <c r="EWS1" s="27" t="s">
        <v>3995</v>
      </c>
      <c r="EWT1" s="27" t="s">
        <v>3996</v>
      </c>
      <c r="EWU1" s="27" t="s">
        <v>3997</v>
      </c>
      <c r="EWV1" s="27" t="s">
        <v>3998</v>
      </c>
      <c r="EWW1" s="27" t="s">
        <v>3999</v>
      </c>
      <c r="EWX1" s="27" t="s">
        <v>4000</v>
      </c>
      <c r="EWY1" s="27" t="s">
        <v>4001</v>
      </c>
      <c r="EWZ1" s="27" t="s">
        <v>4002</v>
      </c>
      <c r="EXA1" s="27" t="s">
        <v>4003</v>
      </c>
      <c r="EXB1" s="27" t="s">
        <v>4004</v>
      </c>
      <c r="EXC1" s="27" t="s">
        <v>4005</v>
      </c>
      <c r="EXD1" s="27" t="s">
        <v>4006</v>
      </c>
      <c r="EXE1" s="27" t="s">
        <v>4007</v>
      </c>
      <c r="EXF1" s="27" t="s">
        <v>4008</v>
      </c>
      <c r="EXG1" s="27" t="s">
        <v>4009</v>
      </c>
      <c r="EXH1" s="27" t="s">
        <v>4010</v>
      </c>
      <c r="EXI1" s="27" t="s">
        <v>4011</v>
      </c>
      <c r="EXJ1" s="27" t="s">
        <v>4012</v>
      </c>
      <c r="EXK1" s="27" t="s">
        <v>4013</v>
      </c>
      <c r="EXL1" s="27" t="s">
        <v>4014</v>
      </c>
      <c r="EXM1" s="27" t="s">
        <v>4015</v>
      </c>
      <c r="EXN1" s="27" t="s">
        <v>4016</v>
      </c>
      <c r="EXO1" s="27" t="s">
        <v>4017</v>
      </c>
      <c r="EXP1" s="27" t="s">
        <v>4018</v>
      </c>
      <c r="EXQ1" s="27" t="s">
        <v>4019</v>
      </c>
      <c r="EXR1" s="27" t="s">
        <v>4020</v>
      </c>
      <c r="EXS1" s="27" t="s">
        <v>4021</v>
      </c>
      <c r="EXT1" s="27" t="s">
        <v>4022</v>
      </c>
      <c r="EXU1" s="27" t="s">
        <v>4023</v>
      </c>
      <c r="EXV1" s="27" t="s">
        <v>4024</v>
      </c>
      <c r="EXW1" s="27" t="s">
        <v>4025</v>
      </c>
      <c r="EXX1" s="27" t="s">
        <v>4026</v>
      </c>
      <c r="EXY1" s="27" t="s">
        <v>4027</v>
      </c>
      <c r="EXZ1" s="27" t="s">
        <v>4028</v>
      </c>
      <c r="EYA1" s="27" t="s">
        <v>4029</v>
      </c>
      <c r="EYB1" s="27" t="s">
        <v>4030</v>
      </c>
      <c r="EYC1" s="27" t="s">
        <v>4031</v>
      </c>
      <c r="EYD1" s="27" t="s">
        <v>4032</v>
      </c>
      <c r="EYE1" s="27" t="s">
        <v>4033</v>
      </c>
      <c r="EYF1" s="27" t="s">
        <v>4034</v>
      </c>
      <c r="EYG1" s="27" t="s">
        <v>4035</v>
      </c>
      <c r="EYH1" s="27" t="s">
        <v>4036</v>
      </c>
      <c r="EYI1" s="27" t="s">
        <v>4037</v>
      </c>
      <c r="EYJ1" s="27" t="s">
        <v>4038</v>
      </c>
      <c r="EYK1" s="27" t="s">
        <v>4039</v>
      </c>
      <c r="EYL1" s="27" t="s">
        <v>4040</v>
      </c>
      <c r="EYM1" s="27" t="s">
        <v>4041</v>
      </c>
      <c r="EYN1" s="27" t="s">
        <v>4042</v>
      </c>
      <c r="EYO1" s="27" t="s">
        <v>4043</v>
      </c>
      <c r="EYP1" s="27" t="s">
        <v>4044</v>
      </c>
      <c r="EYQ1" s="27" t="s">
        <v>4045</v>
      </c>
      <c r="EYR1" s="27" t="s">
        <v>4046</v>
      </c>
      <c r="EYS1" s="27" t="s">
        <v>4047</v>
      </c>
      <c r="EYT1" s="27" t="s">
        <v>4048</v>
      </c>
      <c r="EYU1" s="27" t="s">
        <v>4049</v>
      </c>
      <c r="EYV1" s="27" t="s">
        <v>4050</v>
      </c>
      <c r="EYW1" s="27" t="s">
        <v>4051</v>
      </c>
      <c r="EYX1" s="27" t="s">
        <v>4052</v>
      </c>
      <c r="EYY1" s="27" t="s">
        <v>4053</v>
      </c>
      <c r="EYZ1" s="27" t="s">
        <v>4054</v>
      </c>
      <c r="EZA1" s="27" t="s">
        <v>4055</v>
      </c>
      <c r="EZB1" s="27" t="s">
        <v>4056</v>
      </c>
      <c r="EZC1" s="27" t="s">
        <v>4057</v>
      </c>
      <c r="EZD1" s="27" t="s">
        <v>4058</v>
      </c>
      <c r="EZE1" s="27" t="s">
        <v>4059</v>
      </c>
      <c r="EZF1" s="27" t="s">
        <v>4060</v>
      </c>
      <c r="EZG1" s="27" t="s">
        <v>4061</v>
      </c>
      <c r="EZH1" s="27" t="s">
        <v>4062</v>
      </c>
      <c r="EZI1" s="27" t="s">
        <v>4063</v>
      </c>
      <c r="EZJ1" s="27" t="s">
        <v>4064</v>
      </c>
      <c r="EZK1" s="27" t="s">
        <v>4065</v>
      </c>
      <c r="EZL1" s="27" t="s">
        <v>4066</v>
      </c>
      <c r="EZM1" s="27" t="s">
        <v>4067</v>
      </c>
      <c r="EZN1" s="27" t="s">
        <v>4068</v>
      </c>
      <c r="EZO1" s="27" t="s">
        <v>4069</v>
      </c>
      <c r="EZP1" s="27" t="s">
        <v>4070</v>
      </c>
      <c r="EZQ1" s="27" t="s">
        <v>4071</v>
      </c>
      <c r="EZR1" s="27" t="s">
        <v>4072</v>
      </c>
      <c r="EZS1" s="27" t="s">
        <v>4073</v>
      </c>
      <c r="EZT1" s="27" t="s">
        <v>4074</v>
      </c>
      <c r="EZU1" s="27" t="s">
        <v>4075</v>
      </c>
      <c r="EZV1" s="27" t="s">
        <v>4076</v>
      </c>
      <c r="EZW1" s="27" t="s">
        <v>4077</v>
      </c>
      <c r="EZX1" s="27" t="s">
        <v>4078</v>
      </c>
      <c r="EZY1" s="27" t="s">
        <v>4079</v>
      </c>
      <c r="EZZ1" s="27" t="s">
        <v>4080</v>
      </c>
      <c r="FAA1" s="27" t="s">
        <v>4081</v>
      </c>
      <c r="FAB1" s="27" t="s">
        <v>4082</v>
      </c>
      <c r="FAC1" s="27" t="s">
        <v>4083</v>
      </c>
      <c r="FAD1" s="27" t="s">
        <v>4084</v>
      </c>
      <c r="FAE1" s="27" t="s">
        <v>4085</v>
      </c>
      <c r="FAF1" s="27" t="s">
        <v>4086</v>
      </c>
      <c r="FAG1" s="27" t="s">
        <v>4087</v>
      </c>
      <c r="FAH1" s="27" t="s">
        <v>4088</v>
      </c>
      <c r="FAI1" s="27" t="s">
        <v>4089</v>
      </c>
      <c r="FAJ1" s="27" t="s">
        <v>4090</v>
      </c>
      <c r="FAK1" s="27" t="s">
        <v>4091</v>
      </c>
      <c r="FAL1" s="27" t="s">
        <v>4092</v>
      </c>
      <c r="FAM1" s="27" t="s">
        <v>4093</v>
      </c>
      <c r="FAN1" s="27" t="s">
        <v>4094</v>
      </c>
      <c r="FAO1" s="27" t="s">
        <v>4095</v>
      </c>
      <c r="FAP1" s="27" t="s">
        <v>4096</v>
      </c>
      <c r="FAQ1" s="27" t="s">
        <v>4097</v>
      </c>
      <c r="FAR1" s="27" t="s">
        <v>4098</v>
      </c>
      <c r="FAS1" s="27" t="s">
        <v>4099</v>
      </c>
      <c r="FAT1" s="27" t="s">
        <v>4100</v>
      </c>
      <c r="FAU1" s="27" t="s">
        <v>4101</v>
      </c>
      <c r="FAV1" s="27" t="s">
        <v>4102</v>
      </c>
      <c r="FAW1" s="27" t="s">
        <v>4103</v>
      </c>
      <c r="FAX1" s="27" t="s">
        <v>4104</v>
      </c>
      <c r="FAY1" s="27" t="s">
        <v>4105</v>
      </c>
      <c r="FAZ1" s="27" t="s">
        <v>4106</v>
      </c>
      <c r="FBA1" s="27" t="s">
        <v>4107</v>
      </c>
      <c r="FBB1" s="27" t="s">
        <v>4108</v>
      </c>
      <c r="FBC1" s="27" t="s">
        <v>4109</v>
      </c>
      <c r="FBD1" s="27" t="s">
        <v>4110</v>
      </c>
      <c r="FBE1" s="27" t="s">
        <v>4111</v>
      </c>
      <c r="FBF1" s="27" t="s">
        <v>4112</v>
      </c>
      <c r="FBG1" s="27" t="s">
        <v>4113</v>
      </c>
      <c r="FBH1" s="27" t="s">
        <v>4114</v>
      </c>
      <c r="FBI1" s="27" t="s">
        <v>4115</v>
      </c>
      <c r="FBJ1" s="27" t="s">
        <v>4116</v>
      </c>
      <c r="FBK1" s="27" t="s">
        <v>4117</v>
      </c>
      <c r="FBL1" s="27" t="s">
        <v>4118</v>
      </c>
      <c r="FBM1" s="27" t="s">
        <v>4119</v>
      </c>
      <c r="FBN1" s="27" t="s">
        <v>4120</v>
      </c>
      <c r="FBO1" s="27" t="s">
        <v>4121</v>
      </c>
      <c r="FBP1" s="27" t="s">
        <v>4122</v>
      </c>
      <c r="FBQ1" s="27" t="s">
        <v>4123</v>
      </c>
      <c r="FBR1" s="27" t="s">
        <v>4124</v>
      </c>
      <c r="FBS1" s="27" t="s">
        <v>4125</v>
      </c>
      <c r="FBT1" s="27" t="s">
        <v>4126</v>
      </c>
      <c r="FBU1" s="27" t="s">
        <v>4127</v>
      </c>
      <c r="FBV1" s="27" t="s">
        <v>4128</v>
      </c>
      <c r="FBW1" s="27" t="s">
        <v>4129</v>
      </c>
      <c r="FBX1" s="27" t="s">
        <v>4130</v>
      </c>
      <c r="FBY1" s="27" t="s">
        <v>4131</v>
      </c>
      <c r="FBZ1" s="27" t="s">
        <v>4132</v>
      </c>
      <c r="FCA1" s="27" t="s">
        <v>4133</v>
      </c>
      <c r="FCB1" s="27" t="s">
        <v>4134</v>
      </c>
      <c r="FCC1" s="27" t="s">
        <v>4135</v>
      </c>
      <c r="FCD1" s="27" t="s">
        <v>4136</v>
      </c>
      <c r="FCE1" s="27" t="s">
        <v>4137</v>
      </c>
      <c r="FCF1" s="27" t="s">
        <v>4138</v>
      </c>
      <c r="FCG1" s="27" t="s">
        <v>4139</v>
      </c>
      <c r="FCH1" s="27" t="s">
        <v>4140</v>
      </c>
      <c r="FCI1" s="27" t="s">
        <v>4141</v>
      </c>
      <c r="FCJ1" s="27" t="s">
        <v>4142</v>
      </c>
      <c r="FCK1" s="27" t="s">
        <v>4143</v>
      </c>
      <c r="FCL1" s="27" t="s">
        <v>4144</v>
      </c>
      <c r="FCM1" s="27" t="s">
        <v>4145</v>
      </c>
      <c r="FCN1" s="27" t="s">
        <v>4146</v>
      </c>
      <c r="FCO1" s="27" t="s">
        <v>4147</v>
      </c>
      <c r="FCP1" s="27" t="s">
        <v>4148</v>
      </c>
      <c r="FCQ1" s="27" t="s">
        <v>4149</v>
      </c>
      <c r="FCR1" s="27" t="s">
        <v>4150</v>
      </c>
      <c r="FCS1" s="27" t="s">
        <v>4151</v>
      </c>
      <c r="FCT1" s="27" t="s">
        <v>4152</v>
      </c>
      <c r="FCU1" s="27" t="s">
        <v>4153</v>
      </c>
      <c r="FCV1" s="27" t="s">
        <v>4154</v>
      </c>
      <c r="FCW1" s="27" t="s">
        <v>4155</v>
      </c>
      <c r="FCX1" s="27" t="s">
        <v>4156</v>
      </c>
      <c r="FCY1" s="27" t="s">
        <v>4157</v>
      </c>
      <c r="FCZ1" s="27" t="s">
        <v>4158</v>
      </c>
      <c r="FDA1" s="27" t="s">
        <v>4159</v>
      </c>
      <c r="FDB1" s="27" t="s">
        <v>4160</v>
      </c>
      <c r="FDC1" s="27" t="s">
        <v>4161</v>
      </c>
      <c r="FDD1" s="27" t="s">
        <v>4162</v>
      </c>
      <c r="FDE1" s="27" t="s">
        <v>4163</v>
      </c>
      <c r="FDF1" s="27" t="s">
        <v>4164</v>
      </c>
      <c r="FDG1" s="27" t="s">
        <v>4165</v>
      </c>
      <c r="FDH1" s="27" t="s">
        <v>4166</v>
      </c>
      <c r="FDI1" s="27" t="s">
        <v>4167</v>
      </c>
      <c r="FDJ1" s="27" t="s">
        <v>4168</v>
      </c>
      <c r="FDK1" s="27" t="s">
        <v>4169</v>
      </c>
      <c r="FDL1" s="27" t="s">
        <v>4170</v>
      </c>
      <c r="FDM1" s="27" t="s">
        <v>4171</v>
      </c>
      <c r="FDN1" s="27" t="s">
        <v>4172</v>
      </c>
      <c r="FDO1" s="27" t="s">
        <v>4173</v>
      </c>
      <c r="FDP1" s="27" t="s">
        <v>4174</v>
      </c>
      <c r="FDQ1" s="27" t="s">
        <v>4175</v>
      </c>
      <c r="FDR1" s="27" t="s">
        <v>4176</v>
      </c>
      <c r="FDS1" s="27" t="s">
        <v>4177</v>
      </c>
      <c r="FDT1" s="27" t="s">
        <v>4178</v>
      </c>
      <c r="FDU1" s="27" t="s">
        <v>4179</v>
      </c>
      <c r="FDV1" s="27" t="s">
        <v>4180</v>
      </c>
      <c r="FDW1" s="27" t="s">
        <v>4181</v>
      </c>
      <c r="FDX1" s="27" t="s">
        <v>4182</v>
      </c>
      <c r="FDY1" s="27" t="s">
        <v>4183</v>
      </c>
      <c r="FDZ1" s="27" t="s">
        <v>4184</v>
      </c>
      <c r="FEA1" s="27" t="s">
        <v>4185</v>
      </c>
      <c r="FEB1" s="27" t="s">
        <v>4186</v>
      </c>
      <c r="FEC1" s="27" t="s">
        <v>4187</v>
      </c>
      <c r="FED1" s="27" t="s">
        <v>4188</v>
      </c>
      <c r="FEE1" s="27" t="s">
        <v>4189</v>
      </c>
      <c r="FEF1" s="27" t="s">
        <v>4190</v>
      </c>
      <c r="FEG1" s="27" t="s">
        <v>4191</v>
      </c>
      <c r="FEH1" s="27" t="s">
        <v>4192</v>
      </c>
      <c r="FEI1" s="27" t="s">
        <v>4193</v>
      </c>
      <c r="FEJ1" s="27" t="s">
        <v>4194</v>
      </c>
      <c r="FEK1" s="27" t="s">
        <v>4195</v>
      </c>
      <c r="FEL1" s="27" t="s">
        <v>4196</v>
      </c>
      <c r="FEM1" s="27" t="s">
        <v>4197</v>
      </c>
      <c r="FEN1" s="27" t="s">
        <v>4198</v>
      </c>
      <c r="FEO1" s="27" t="s">
        <v>4199</v>
      </c>
      <c r="FEP1" s="27" t="s">
        <v>4200</v>
      </c>
      <c r="FEQ1" s="27" t="s">
        <v>4201</v>
      </c>
      <c r="FER1" s="27" t="s">
        <v>4202</v>
      </c>
      <c r="FES1" s="27" t="s">
        <v>4203</v>
      </c>
      <c r="FET1" s="27" t="s">
        <v>4204</v>
      </c>
      <c r="FEU1" s="27" t="s">
        <v>4205</v>
      </c>
      <c r="FEV1" s="27" t="s">
        <v>4206</v>
      </c>
      <c r="FEW1" s="27" t="s">
        <v>4207</v>
      </c>
      <c r="FEX1" s="27" t="s">
        <v>4208</v>
      </c>
      <c r="FEY1" s="27" t="s">
        <v>4209</v>
      </c>
      <c r="FEZ1" s="27" t="s">
        <v>4210</v>
      </c>
      <c r="FFA1" s="27" t="s">
        <v>4211</v>
      </c>
      <c r="FFB1" s="27" t="s">
        <v>4212</v>
      </c>
      <c r="FFC1" s="27" t="s">
        <v>4213</v>
      </c>
      <c r="FFD1" s="27" t="s">
        <v>4214</v>
      </c>
      <c r="FFE1" s="27" t="s">
        <v>4215</v>
      </c>
      <c r="FFF1" s="27" t="s">
        <v>4216</v>
      </c>
      <c r="FFG1" s="27" t="s">
        <v>4217</v>
      </c>
      <c r="FFH1" s="27" t="s">
        <v>4218</v>
      </c>
      <c r="FFI1" s="27" t="s">
        <v>4219</v>
      </c>
      <c r="FFJ1" s="27" t="s">
        <v>4220</v>
      </c>
      <c r="FFK1" s="27" t="s">
        <v>4221</v>
      </c>
      <c r="FFL1" s="27" t="s">
        <v>4222</v>
      </c>
      <c r="FFM1" s="27" t="s">
        <v>4223</v>
      </c>
      <c r="FFN1" s="27" t="s">
        <v>4224</v>
      </c>
      <c r="FFO1" s="27" t="s">
        <v>4225</v>
      </c>
      <c r="FFP1" s="27" t="s">
        <v>4226</v>
      </c>
      <c r="FFQ1" s="27" t="s">
        <v>4227</v>
      </c>
      <c r="FFR1" s="27" t="s">
        <v>4228</v>
      </c>
      <c r="FFS1" s="27" t="s">
        <v>4229</v>
      </c>
      <c r="FFT1" s="27" t="s">
        <v>4230</v>
      </c>
      <c r="FFU1" s="27" t="s">
        <v>4231</v>
      </c>
      <c r="FFV1" s="27" t="s">
        <v>4232</v>
      </c>
      <c r="FFW1" s="27" t="s">
        <v>4233</v>
      </c>
      <c r="FFX1" s="27" t="s">
        <v>4234</v>
      </c>
      <c r="FFY1" s="27" t="s">
        <v>4235</v>
      </c>
      <c r="FFZ1" s="27" t="s">
        <v>4236</v>
      </c>
      <c r="FGA1" s="27" t="s">
        <v>4237</v>
      </c>
      <c r="FGB1" s="27" t="s">
        <v>4238</v>
      </c>
      <c r="FGC1" s="27" t="s">
        <v>4239</v>
      </c>
      <c r="FGD1" s="27" t="s">
        <v>4240</v>
      </c>
      <c r="FGE1" s="27" t="s">
        <v>4241</v>
      </c>
      <c r="FGF1" s="27" t="s">
        <v>4242</v>
      </c>
      <c r="FGG1" s="27" t="s">
        <v>4243</v>
      </c>
      <c r="FGH1" s="27" t="s">
        <v>4244</v>
      </c>
      <c r="FGI1" s="27" t="s">
        <v>4245</v>
      </c>
      <c r="FGJ1" s="27" t="s">
        <v>4246</v>
      </c>
      <c r="FGK1" s="27" t="s">
        <v>4247</v>
      </c>
      <c r="FGL1" s="27" t="s">
        <v>4248</v>
      </c>
      <c r="FGM1" s="27" t="s">
        <v>4249</v>
      </c>
      <c r="FGN1" s="27" t="s">
        <v>4250</v>
      </c>
      <c r="FGO1" s="27" t="s">
        <v>4251</v>
      </c>
      <c r="FGP1" s="27" t="s">
        <v>4252</v>
      </c>
      <c r="FGQ1" s="27" t="s">
        <v>4253</v>
      </c>
      <c r="FGR1" s="27" t="s">
        <v>4254</v>
      </c>
      <c r="FGS1" s="27" t="s">
        <v>4255</v>
      </c>
      <c r="FGT1" s="27" t="s">
        <v>4256</v>
      </c>
      <c r="FGU1" s="27" t="s">
        <v>4257</v>
      </c>
      <c r="FGV1" s="27" t="s">
        <v>4258</v>
      </c>
      <c r="FGW1" s="27" t="s">
        <v>4259</v>
      </c>
      <c r="FGX1" s="27" t="s">
        <v>4260</v>
      </c>
      <c r="FGY1" s="27" t="s">
        <v>4261</v>
      </c>
      <c r="FGZ1" s="27" t="s">
        <v>4262</v>
      </c>
      <c r="FHA1" s="27" t="s">
        <v>4263</v>
      </c>
      <c r="FHB1" s="27" t="s">
        <v>4264</v>
      </c>
      <c r="FHC1" s="27" t="s">
        <v>4265</v>
      </c>
      <c r="FHD1" s="27" t="s">
        <v>4266</v>
      </c>
      <c r="FHE1" s="27" t="s">
        <v>4267</v>
      </c>
      <c r="FHF1" s="27" t="s">
        <v>4268</v>
      </c>
      <c r="FHG1" s="27" t="s">
        <v>4269</v>
      </c>
      <c r="FHH1" s="27" t="s">
        <v>4270</v>
      </c>
      <c r="FHI1" s="27" t="s">
        <v>4271</v>
      </c>
      <c r="FHJ1" s="27" t="s">
        <v>4272</v>
      </c>
      <c r="FHK1" s="27" t="s">
        <v>4273</v>
      </c>
      <c r="FHL1" s="27" t="s">
        <v>4274</v>
      </c>
      <c r="FHM1" s="27" t="s">
        <v>4275</v>
      </c>
      <c r="FHN1" s="27" t="s">
        <v>4276</v>
      </c>
      <c r="FHO1" s="27" t="s">
        <v>4277</v>
      </c>
      <c r="FHP1" s="27" t="s">
        <v>4278</v>
      </c>
      <c r="FHQ1" s="27" t="s">
        <v>4279</v>
      </c>
      <c r="FHR1" s="27" t="s">
        <v>4280</v>
      </c>
      <c r="FHS1" s="27" t="s">
        <v>4281</v>
      </c>
      <c r="FHT1" s="27" t="s">
        <v>4282</v>
      </c>
      <c r="FHU1" s="27" t="s">
        <v>4283</v>
      </c>
      <c r="FHV1" s="27" t="s">
        <v>4284</v>
      </c>
      <c r="FHW1" s="27" t="s">
        <v>4285</v>
      </c>
      <c r="FHX1" s="27" t="s">
        <v>4286</v>
      </c>
      <c r="FHY1" s="27" t="s">
        <v>4287</v>
      </c>
      <c r="FHZ1" s="27" t="s">
        <v>4288</v>
      </c>
      <c r="FIA1" s="27" t="s">
        <v>4289</v>
      </c>
      <c r="FIB1" s="27" t="s">
        <v>4290</v>
      </c>
      <c r="FIC1" s="27" t="s">
        <v>4291</v>
      </c>
      <c r="FID1" s="27" t="s">
        <v>4292</v>
      </c>
      <c r="FIE1" s="27" t="s">
        <v>4293</v>
      </c>
      <c r="FIF1" s="27" t="s">
        <v>4294</v>
      </c>
      <c r="FIG1" s="27" t="s">
        <v>4295</v>
      </c>
      <c r="FIH1" s="27" t="s">
        <v>4296</v>
      </c>
      <c r="FII1" s="27" t="s">
        <v>4297</v>
      </c>
      <c r="FIJ1" s="27" t="s">
        <v>4298</v>
      </c>
      <c r="FIK1" s="27" t="s">
        <v>4299</v>
      </c>
      <c r="FIL1" s="27" t="s">
        <v>4300</v>
      </c>
      <c r="FIM1" s="27" t="s">
        <v>4301</v>
      </c>
      <c r="FIN1" s="27" t="s">
        <v>4302</v>
      </c>
      <c r="FIO1" s="27" t="s">
        <v>4303</v>
      </c>
      <c r="FIP1" s="27" t="s">
        <v>4304</v>
      </c>
      <c r="FIQ1" s="27" t="s">
        <v>4305</v>
      </c>
      <c r="FIR1" s="27" t="s">
        <v>4306</v>
      </c>
      <c r="FIS1" s="27" t="s">
        <v>4307</v>
      </c>
      <c r="FIT1" s="27" t="s">
        <v>4308</v>
      </c>
      <c r="FIU1" s="27" t="s">
        <v>4309</v>
      </c>
      <c r="FIV1" s="27" t="s">
        <v>4310</v>
      </c>
      <c r="FIW1" s="27" t="s">
        <v>4311</v>
      </c>
      <c r="FIX1" s="27" t="s">
        <v>4312</v>
      </c>
      <c r="FIY1" s="27" t="s">
        <v>4313</v>
      </c>
      <c r="FIZ1" s="27" t="s">
        <v>4314</v>
      </c>
      <c r="FJA1" s="27" t="s">
        <v>4315</v>
      </c>
      <c r="FJB1" s="27" t="s">
        <v>4316</v>
      </c>
      <c r="FJC1" s="27" t="s">
        <v>4317</v>
      </c>
      <c r="FJD1" s="27" t="s">
        <v>4318</v>
      </c>
      <c r="FJE1" s="27" t="s">
        <v>4319</v>
      </c>
      <c r="FJF1" s="27" t="s">
        <v>4320</v>
      </c>
      <c r="FJG1" s="27" t="s">
        <v>4321</v>
      </c>
      <c r="FJH1" s="27" t="s">
        <v>4322</v>
      </c>
      <c r="FJI1" s="27" t="s">
        <v>4323</v>
      </c>
      <c r="FJJ1" s="27" t="s">
        <v>4324</v>
      </c>
      <c r="FJK1" s="27" t="s">
        <v>4325</v>
      </c>
      <c r="FJL1" s="27" t="s">
        <v>4326</v>
      </c>
      <c r="FJM1" s="27" t="s">
        <v>4327</v>
      </c>
      <c r="FJN1" s="27" t="s">
        <v>4328</v>
      </c>
      <c r="FJO1" s="27" t="s">
        <v>4329</v>
      </c>
      <c r="FJP1" s="27" t="s">
        <v>4330</v>
      </c>
      <c r="FJQ1" s="27" t="s">
        <v>4331</v>
      </c>
      <c r="FJR1" s="27" t="s">
        <v>4332</v>
      </c>
      <c r="FJS1" s="27" t="s">
        <v>4333</v>
      </c>
      <c r="FJT1" s="27" t="s">
        <v>4334</v>
      </c>
      <c r="FJU1" s="27" t="s">
        <v>4335</v>
      </c>
      <c r="FJV1" s="27" t="s">
        <v>4336</v>
      </c>
      <c r="FJW1" s="27" t="s">
        <v>4337</v>
      </c>
      <c r="FJX1" s="27" t="s">
        <v>4338</v>
      </c>
      <c r="FJY1" s="27" t="s">
        <v>4339</v>
      </c>
      <c r="FJZ1" s="27" t="s">
        <v>4340</v>
      </c>
      <c r="FKA1" s="27" t="s">
        <v>4341</v>
      </c>
      <c r="FKB1" s="27" t="s">
        <v>4342</v>
      </c>
      <c r="FKC1" s="27" t="s">
        <v>4343</v>
      </c>
      <c r="FKD1" s="27" t="s">
        <v>4344</v>
      </c>
      <c r="FKE1" s="27" t="s">
        <v>4345</v>
      </c>
      <c r="FKF1" s="27" t="s">
        <v>4346</v>
      </c>
      <c r="FKG1" s="27" t="s">
        <v>4347</v>
      </c>
      <c r="FKH1" s="27" t="s">
        <v>4348</v>
      </c>
      <c r="FKI1" s="27" t="s">
        <v>4349</v>
      </c>
      <c r="FKJ1" s="27" t="s">
        <v>4350</v>
      </c>
      <c r="FKK1" s="27" t="s">
        <v>4351</v>
      </c>
      <c r="FKL1" s="27" t="s">
        <v>4352</v>
      </c>
      <c r="FKM1" s="27" t="s">
        <v>4353</v>
      </c>
      <c r="FKN1" s="27" t="s">
        <v>4354</v>
      </c>
      <c r="FKO1" s="27" t="s">
        <v>4355</v>
      </c>
      <c r="FKP1" s="27" t="s">
        <v>4356</v>
      </c>
      <c r="FKQ1" s="27" t="s">
        <v>4357</v>
      </c>
      <c r="FKR1" s="27" t="s">
        <v>4358</v>
      </c>
      <c r="FKS1" s="27" t="s">
        <v>4359</v>
      </c>
      <c r="FKT1" s="27" t="s">
        <v>4360</v>
      </c>
      <c r="FKU1" s="27" t="s">
        <v>4361</v>
      </c>
      <c r="FKV1" s="27" t="s">
        <v>4362</v>
      </c>
      <c r="FKW1" s="27" t="s">
        <v>4363</v>
      </c>
      <c r="FKX1" s="27" t="s">
        <v>4364</v>
      </c>
      <c r="FKY1" s="27" t="s">
        <v>4365</v>
      </c>
      <c r="FKZ1" s="27" t="s">
        <v>4366</v>
      </c>
      <c r="FLA1" s="27" t="s">
        <v>4367</v>
      </c>
      <c r="FLB1" s="27" t="s">
        <v>4368</v>
      </c>
      <c r="FLC1" s="27" t="s">
        <v>4369</v>
      </c>
      <c r="FLD1" s="27" t="s">
        <v>4370</v>
      </c>
      <c r="FLE1" s="27" t="s">
        <v>4371</v>
      </c>
      <c r="FLF1" s="27" t="s">
        <v>4372</v>
      </c>
      <c r="FLG1" s="27" t="s">
        <v>4373</v>
      </c>
      <c r="FLH1" s="27" t="s">
        <v>4374</v>
      </c>
      <c r="FLI1" s="27" t="s">
        <v>4375</v>
      </c>
      <c r="FLJ1" s="27" t="s">
        <v>4376</v>
      </c>
      <c r="FLK1" s="27" t="s">
        <v>4377</v>
      </c>
      <c r="FLL1" s="27" t="s">
        <v>4378</v>
      </c>
      <c r="FLM1" s="27" t="s">
        <v>4379</v>
      </c>
      <c r="FLN1" s="27" t="s">
        <v>4380</v>
      </c>
      <c r="FLO1" s="27" t="s">
        <v>4381</v>
      </c>
      <c r="FLP1" s="27" t="s">
        <v>4382</v>
      </c>
      <c r="FLQ1" s="27" t="s">
        <v>4383</v>
      </c>
      <c r="FLR1" s="27" t="s">
        <v>4384</v>
      </c>
      <c r="FLS1" s="27" t="s">
        <v>4385</v>
      </c>
      <c r="FLT1" s="27" t="s">
        <v>4386</v>
      </c>
      <c r="FLU1" s="27" t="s">
        <v>4387</v>
      </c>
      <c r="FLV1" s="27" t="s">
        <v>4388</v>
      </c>
      <c r="FLW1" s="27" t="s">
        <v>4389</v>
      </c>
      <c r="FLX1" s="27" t="s">
        <v>4390</v>
      </c>
      <c r="FLY1" s="27" t="s">
        <v>4391</v>
      </c>
      <c r="FLZ1" s="27" t="s">
        <v>4392</v>
      </c>
      <c r="FMA1" s="27" t="s">
        <v>4393</v>
      </c>
      <c r="FMB1" s="27" t="s">
        <v>4394</v>
      </c>
      <c r="FMC1" s="27" t="s">
        <v>4395</v>
      </c>
      <c r="FMD1" s="27" t="s">
        <v>4396</v>
      </c>
      <c r="FME1" s="27" t="s">
        <v>4397</v>
      </c>
      <c r="FMF1" s="27" t="s">
        <v>4398</v>
      </c>
      <c r="FMG1" s="27" t="s">
        <v>4399</v>
      </c>
      <c r="FMH1" s="27" t="s">
        <v>4400</v>
      </c>
      <c r="FMI1" s="27" t="s">
        <v>4401</v>
      </c>
      <c r="FMJ1" s="27" t="s">
        <v>4402</v>
      </c>
      <c r="FMK1" s="27" t="s">
        <v>4403</v>
      </c>
      <c r="FML1" s="27" t="s">
        <v>4404</v>
      </c>
      <c r="FMM1" s="27" t="s">
        <v>4405</v>
      </c>
      <c r="FMN1" s="27" t="s">
        <v>4406</v>
      </c>
      <c r="FMO1" s="27" t="s">
        <v>4407</v>
      </c>
      <c r="FMP1" s="27" t="s">
        <v>4408</v>
      </c>
      <c r="FMQ1" s="27" t="s">
        <v>4409</v>
      </c>
      <c r="FMR1" s="27" t="s">
        <v>4410</v>
      </c>
      <c r="FMS1" s="27" t="s">
        <v>4411</v>
      </c>
      <c r="FMT1" s="27" t="s">
        <v>4412</v>
      </c>
      <c r="FMU1" s="27" t="s">
        <v>4413</v>
      </c>
      <c r="FMV1" s="27" t="s">
        <v>4414</v>
      </c>
      <c r="FMW1" s="27" t="s">
        <v>4415</v>
      </c>
      <c r="FMX1" s="27" t="s">
        <v>4416</v>
      </c>
      <c r="FMY1" s="27" t="s">
        <v>4417</v>
      </c>
      <c r="FMZ1" s="27" t="s">
        <v>4418</v>
      </c>
      <c r="FNA1" s="27" t="s">
        <v>4419</v>
      </c>
      <c r="FNB1" s="27" t="s">
        <v>4420</v>
      </c>
      <c r="FNC1" s="27" t="s">
        <v>4421</v>
      </c>
      <c r="FND1" s="27" t="s">
        <v>4422</v>
      </c>
      <c r="FNE1" s="27" t="s">
        <v>4423</v>
      </c>
      <c r="FNF1" s="27" t="s">
        <v>4424</v>
      </c>
      <c r="FNG1" s="27" t="s">
        <v>4425</v>
      </c>
      <c r="FNH1" s="27" t="s">
        <v>4426</v>
      </c>
      <c r="FNI1" s="27" t="s">
        <v>4427</v>
      </c>
      <c r="FNJ1" s="27" t="s">
        <v>4428</v>
      </c>
      <c r="FNK1" s="27" t="s">
        <v>4429</v>
      </c>
      <c r="FNL1" s="27" t="s">
        <v>4430</v>
      </c>
      <c r="FNM1" s="27" t="s">
        <v>4431</v>
      </c>
      <c r="FNN1" s="27" t="s">
        <v>4432</v>
      </c>
      <c r="FNO1" s="27" t="s">
        <v>4433</v>
      </c>
      <c r="FNP1" s="27" t="s">
        <v>4434</v>
      </c>
      <c r="FNQ1" s="27" t="s">
        <v>4435</v>
      </c>
      <c r="FNR1" s="27" t="s">
        <v>4436</v>
      </c>
      <c r="FNS1" s="27" t="s">
        <v>4437</v>
      </c>
      <c r="FNT1" s="27" t="s">
        <v>4438</v>
      </c>
      <c r="FNU1" s="27" t="s">
        <v>4439</v>
      </c>
      <c r="FNV1" s="27" t="s">
        <v>4440</v>
      </c>
      <c r="FNW1" s="27" t="s">
        <v>4441</v>
      </c>
      <c r="FNX1" s="27" t="s">
        <v>4442</v>
      </c>
      <c r="FNY1" s="27" t="s">
        <v>4443</v>
      </c>
      <c r="FNZ1" s="27" t="s">
        <v>4444</v>
      </c>
      <c r="FOA1" s="27" t="s">
        <v>4445</v>
      </c>
      <c r="FOB1" s="27" t="s">
        <v>4446</v>
      </c>
      <c r="FOC1" s="27" t="s">
        <v>4447</v>
      </c>
      <c r="FOD1" s="27" t="s">
        <v>4448</v>
      </c>
      <c r="FOE1" s="27" t="s">
        <v>4449</v>
      </c>
      <c r="FOF1" s="27" t="s">
        <v>4450</v>
      </c>
      <c r="FOG1" s="27" t="s">
        <v>4451</v>
      </c>
      <c r="FOH1" s="27" t="s">
        <v>4452</v>
      </c>
      <c r="FOI1" s="27" t="s">
        <v>4453</v>
      </c>
      <c r="FOJ1" s="27" t="s">
        <v>4454</v>
      </c>
      <c r="FOK1" s="27" t="s">
        <v>4455</v>
      </c>
      <c r="FOL1" s="27" t="s">
        <v>4456</v>
      </c>
      <c r="FOM1" s="27" t="s">
        <v>4457</v>
      </c>
      <c r="FON1" s="27" t="s">
        <v>4458</v>
      </c>
      <c r="FOO1" s="27" t="s">
        <v>4459</v>
      </c>
      <c r="FOP1" s="27" t="s">
        <v>4460</v>
      </c>
      <c r="FOQ1" s="27" t="s">
        <v>4461</v>
      </c>
      <c r="FOR1" s="27" t="s">
        <v>4462</v>
      </c>
      <c r="FOS1" s="27" t="s">
        <v>4463</v>
      </c>
      <c r="FOT1" s="27" t="s">
        <v>4464</v>
      </c>
      <c r="FOU1" s="27" t="s">
        <v>4465</v>
      </c>
      <c r="FOV1" s="27" t="s">
        <v>4466</v>
      </c>
      <c r="FOW1" s="27" t="s">
        <v>4467</v>
      </c>
      <c r="FOX1" s="27" t="s">
        <v>4468</v>
      </c>
      <c r="FOY1" s="27" t="s">
        <v>4469</v>
      </c>
      <c r="FOZ1" s="27" t="s">
        <v>4470</v>
      </c>
      <c r="FPA1" s="27" t="s">
        <v>4471</v>
      </c>
      <c r="FPB1" s="27" t="s">
        <v>4472</v>
      </c>
      <c r="FPC1" s="27" t="s">
        <v>4473</v>
      </c>
      <c r="FPD1" s="27" t="s">
        <v>4474</v>
      </c>
      <c r="FPE1" s="27" t="s">
        <v>4475</v>
      </c>
      <c r="FPF1" s="27" t="s">
        <v>4476</v>
      </c>
      <c r="FPG1" s="27" t="s">
        <v>4477</v>
      </c>
      <c r="FPH1" s="27" t="s">
        <v>4478</v>
      </c>
      <c r="FPI1" s="27" t="s">
        <v>4479</v>
      </c>
      <c r="FPJ1" s="27" t="s">
        <v>4480</v>
      </c>
      <c r="FPK1" s="27" t="s">
        <v>4481</v>
      </c>
      <c r="FPL1" s="27" t="s">
        <v>4482</v>
      </c>
      <c r="FPM1" s="27" t="s">
        <v>4483</v>
      </c>
      <c r="FPN1" s="27" t="s">
        <v>4484</v>
      </c>
      <c r="FPO1" s="27" t="s">
        <v>4485</v>
      </c>
      <c r="FPP1" s="27" t="s">
        <v>4486</v>
      </c>
      <c r="FPQ1" s="27" t="s">
        <v>4487</v>
      </c>
      <c r="FPR1" s="27" t="s">
        <v>4488</v>
      </c>
      <c r="FPS1" s="27" t="s">
        <v>4489</v>
      </c>
      <c r="FPT1" s="27" t="s">
        <v>4490</v>
      </c>
      <c r="FPU1" s="27" t="s">
        <v>4491</v>
      </c>
      <c r="FPV1" s="27" t="s">
        <v>4492</v>
      </c>
      <c r="FPW1" s="27" t="s">
        <v>4493</v>
      </c>
      <c r="FPX1" s="27" t="s">
        <v>4494</v>
      </c>
      <c r="FPY1" s="27" t="s">
        <v>4495</v>
      </c>
      <c r="FPZ1" s="27" t="s">
        <v>4496</v>
      </c>
      <c r="FQA1" s="27" t="s">
        <v>4497</v>
      </c>
      <c r="FQB1" s="27" t="s">
        <v>4498</v>
      </c>
      <c r="FQC1" s="27" t="s">
        <v>4499</v>
      </c>
      <c r="FQD1" s="27" t="s">
        <v>4500</v>
      </c>
      <c r="FQE1" s="27" t="s">
        <v>4501</v>
      </c>
      <c r="FQF1" s="27" t="s">
        <v>4502</v>
      </c>
      <c r="FQG1" s="27" t="s">
        <v>4503</v>
      </c>
      <c r="FQH1" s="27" t="s">
        <v>4504</v>
      </c>
      <c r="FQI1" s="27" t="s">
        <v>4505</v>
      </c>
      <c r="FQJ1" s="27" t="s">
        <v>4506</v>
      </c>
      <c r="FQK1" s="27" t="s">
        <v>4507</v>
      </c>
      <c r="FQL1" s="27" t="s">
        <v>4508</v>
      </c>
      <c r="FQM1" s="27" t="s">
        <v>4509</v>
      </c>
      <c r="FQN1" s="27" t="s">
        <v>4510</v>
      </c>
      <c r="FQO1" s="27" t="s">
        <v>4511</v>
      </c>
      <c r="FQP1" s="27" t="s">
        <v>4512</v>
      </c>
      <c r="FQQ1" s="27" t="s">
        <v>4513</v>
      </c>
      <c r="FQR1" s="27" t="s">
        <v>4514</v>
      </c>
      <c r="FQS1" s="27" t="s">
        <v>4515</v>
      </c>
      <c r="FQT1" s="27" t="s">
        <v>4516</v>
      </c>
      <c r="FQU1" s="27" t="s">
        <v>4517</v>
      </c>
      <c r="FQV1" s="27" t="s">
        <v>4518</v>
      </c>
      <c r="FQW1" s="27" t="s">
        <v>4519</v>
      </c>
      <c r="FQX1" s="27" t="s">
        <v>4520</v>
      </c>
      <c r="FQY1" s="27" t="s">
        <v>4521</v>
      </c>
      <c r="FQZ1" s="27" t="s">
        <v>4522</v>
      </c>
      <c r="FRA1" s="27" t="s">
        <v>4523</v>
      </c>
      <c r="FRB1" s="27" t="s">
        <v>4524</v>
      </c>
      <c r="FRC1" s="27" t="s">
        <v>4525</v>
      </c>
      <c r="FRD1" s="27" t="s">
        <v>4526</v>
      </c>
      <c r="FRE1" s="27" t="s">
        <v>4527</v>
      </c>
      <c r="FRF1" s="27" t="s">
        <v>4528</v>
      </c>
      <c r="FRG1" s="27" t="s">
        <v>4529</v>
      </c>
      <c r="FRH1" s="27" t="s">
        <v>4530</v>
      </c>
      <c r="FRI1" s="27" t="s">
        <v>4531</v>
      </c>
      <c r="FRJ1" s="27" t="s">
        <v>4532</v>
      </c>
      <c r="FRK1" s="27" t="s">
        <v>4533</v>
      </c>
      <c r="FRL1" s="27" t="s">
        <v>4534</v>
      </c>
      <c r="FRM1" s="27" t="s">
        <v>4535</v>
      </c>
      <c r="FRN1" s="27" t="s">
        <v>4536</v>
      </c>
      <c r="FRO1" s="27" t="s">
        <v>4537</v>
      </c>
      <c r="FRP1" s="27" t="s">
        <v>4538</v>
      </c>
      <c r="FRQ1" s="27" t="s">
        <v>4539</v>
      </c>
      <c r="FRR1" s="27" t="s">
        <v>4540</v>
      </c>
      <c r="FRS1" s="27" t="s">
        <v>4541</v>
      </c>
      <c r="FRT1" s="27" t="s">
        <v>4542</v>
      </c>
      <c r="FRU1" s="27" t="s">
        <v>4543</v>
      </c>
      <c r="FRV1" s="27" t="s">
        <v>4544</v>
      </c>
      <c r="FRW1" s="27" t="s">
        <v>4545</v>
      </c>
      <c r="FRX1" s="27" t="s">
        <v>4546</v>
      </c>
      <c r="FRY1" s="27" t="s">
        <v>4547</v>
      </c>
      <c r="FRZ1" s="27" t="s">
        <v>4548</v>
      </c>
      <c r="FSA1" s="27" t="s">
        <v>4549</v>
      </c>
      <c r="FSB1" s="27" t="s">
        <v>4550</v>
      </c>
      <c r="FSC1" s="27" t="s">
        <v>4551</v>
      </c>
      <c r="FSD1" s="27" t="s">
        <v>4552</v>
      </c>
      <c r="FSE1" s="27" t="s">
        <v>4553</v>
      </c>
      <c r="FSF1" s="27" t="s">
        <v>4554</v>
      </c>
      <c r="FSG1" s="27" t="s">
        <v>4555</v>
      </c>
      <c r="FSH1" s="27" t="s">
        <v>4556</v>
      </c>
      <c r="FSI1" s="27" t="s">
        <v>4557</v>
      </c>
      <c r="FSJ1" s="27" t="s">
        <v>4558</v>
      </c>
      <c r="FSK1" s="27" t="s">
        <v>4559</v>
      </c>
      <c r="FSL1" s="27" t="s">
        <v>4560</v>
      </c>
      <c r="FSM1" s="27" t="s">
        <v>4561</v>
      </c>
      <c r="FSN1" s="27" t="s">
        <v>4562</v>
      </c>
      <c r="FSO1" s="27" t="s">
        <v>4563</v>
      </c>
      <c r="FSP1" s="27" t="s">
        <v>4564</v>
      </c>
      <c r="FSQ1" s="27" t="s">
        <v>4565</v>
      </c>
      <c r="FSR1" s="27" t="s">
        <v>4566</v>
      </c>
      <c r="FSS1" s="27" t="s">
        <v>4567</v>
      </c>
      <c r="FST1" s="27" t="s">
        <v>4568</v>
      </c>
      <c r="FSU1" s="27" t="s">
        <v>4569</v>
      </c>
      <c r="FSV1" s="27" t="s">
        <v>4570</v>
      </c>
      <c r="FSW1" s="27" t="s">
        <v>4571</v>
      </c>
      <c r="FSX1" s="27" t="s">
        <v>4572</v>
      </c>
      <c r="FSY1" s="27" t="s">
        <v>4573</v>
      </c>
      <c r="FSZ1" s="27" t="s">
        <v>4574</v>
      </c>
      <c r="FTA1" s="27" t="s">
        <v>4575</v>
      </c>
      <c r="FTB1" s="27" t="s">
        <v>4576</v>
      </c>
      <c r="FTC1" s="27" t="s">
        <v>4577</v>
      </c>
      <c r="FTD1" s="27" t="s">
        <v>4578</v>
      </c>
      <c r="FTE1" s="27" t="s">
        <v>4579</v>
      </c>
      <c r="FTF1" s="27" t="s">
        <v>4580</v>
      </c>
      <c r="FTG1" s="27" t="s">
        <v>4581</v>
      </c>
      <c r="FTH1" s="27" t="s">
        <v>4582</v>
      </c>
      <c r="FTI1" s="27" t="s">
        <v>4583</v>
      </c>
      <c r="FTJ1" s="27" t="s">
        <v>4584</v>
      </c>
      <c r="FTK1" s="27" t="s">
        <v>4585</v>
      </c>
      <c r="FTL1" s="27" t="s">
        <v>4586</v>
      </c>
      <c r="FTM1" s="27" t="s">
        <v>4587</v>
      </c>
      <c r="FTN1" s="27" t="s">
        <v>4588</v>
      </c>
      <c r="FTO1" s="27" t="s">
        <v>4589</v>
      </c>
      <c r="FTP1" s="27" t="s">
        <v>4590</v>
      </c>
      <c r="FTQ1" s="27" t="s">
        <v>4591</v>
      </c>
      <c r="FTR1" s="27" t="s">
        <v>4592</v>
      </c>
      <c r="FTS1" s="27" t="s">
        <v>4593</v>
      </c>
      <c r="FTT1" s="27" t="s">
        <v>4594</v>
      </c>
      <c r="FTU1" s="27" t="s">
        <v>4595</v>
      </c>
      <c r="FTV1" s="27" t="s">
        <v>4596</v>
      </c>
      <c r="FTW1" s="27" t="s">
        <v>4597</v>
      </c>
      <c r="FTX1" s="27" t="s">
        <v>4598</v>
      </c>
      <c r="FTY1" s="27" t="s">
        <v>4599</v>
      </c>
      <c r="FTZ1" s="27" t="s">
        <v>4600</v>
      </c>
      <c r="FUA1" s="27" t="s">
        <v>4601</v>
      </c>
      <c r="FUB1" s="27" t="s">
        <v>4602</v>
      </c>
      <c r="FUC1" s="27" t="s">
        <v>4603</v>
      </c>
      <c r="FUD1" s="27" t="s">
        <v>4604</v>
      </c>
      <c r="FUE1" s="27" t="s">
        <v>4605</v>
      </c>
      <c r="FUF1" s="27" t="s">
        <v>4606</v>
      </c>
      <c r="FUG1" s="27" t="s">
        <v>4607</v>
      </c>
      <c r="FUH1" s="27" t="s">
        <v>4608</v>
      </c>
      <c r="FUI1" s="27" t="s">
        <v>4609</v>
      </c>
      <c r="FUJ1" s="27" t="s">
        <v>4610</v>
      </c>
      <c r="FUK1" s="27" t="s">
        <v>4611</v>
      </c>
      <c r="FUL1" s="27" t="s">
        <v>4612</v>
      </c>
      <c r="FUM1" s="27" t="s">
        <v>4613</v>
      </c>
      <c r="FUN1" s="27" t="s">
        <v>4614</v>
      </c>
      <c r="FUO1" s="27" t="s">
        <v>4615</v>
      </c>
      <c r="FUP1" s="27" t="s">
        <v>4616</v>
      </c>
      <c r="FUQ1" s="27" t="s">
        <v>4617</v>
      </c>
      <c r="FUR1" s="27" t="s">
        <v>4618</v>
      </c>
      <c r="FUS1" s="27" t="s">
        <v>4619</v>
      </c>
      <c r="FUT1" s="27" t="s">
        <v>4620</v>
      </c>
      <c r="FUU1" s="27" t="s">
        <v>4621</v>
      </c>
      <c r="FUV1" s="27" t="s">
        <v>4622</v>
      </c>
      <c r="FUW1" s="27" t="s">
        <v>4623</v>
      </c>
      <c r="FUX1" s="27" t="s">
        <v>4624</v>
      </c>
      <c r="FUY1" s="27" t="s">
        <v>4625</v>
      </c>
      <c r="FUZ1" s="27" t="s">
        <v>4626</v>
      </c>
      <c r="FVA1" s="27" t="s">
        <v>4627</v>
      </c>
      <c r="FVB1" s="27" t="s">
        <v>4628</v>
      </c>
      <c r="FVC1" s="27" t="s">
        <v>4629</v>
      </c>
      <c r="FVD1" s="27" t="s">
        <v>4630</v>
      </c>
      <c r="FVE1" s="27" t="s">
        <v>4631</v>
      </c>
      <c r="FVF1" s="27" t="s">
        <v>4632</v>
      </c>
      <c r="FVG1" s="27" t="s">
        <v>4633</v>
      </c>
      <c r="FVH1" s="27" t="s">
        <v>4634</v>
      </c>
      <c r="FVI1" s="27" t="s">
        <v>4635</v>
      </c>
      <c r="FVJ1" s="27" t="s">
        <v>4636</v>
      </c>
      <c r="FVK1" s="27" t="s">
        <v>4637</v>
      </c>
      <c r="FVL1" s="27" t="s">
        <v>4638</v>
      </c>
      <c r="FVM1" s="27" t="s">
        <v>4639</v>
      </c>
      <c r="FVN1" s="27" t="s">
        <v>4640</v>
      </c>
      <c r="FVO1" s="27" t="s">
        <v>4641</v>
      </c>
      <c r="FVP1" s="27" t="s">
        <v>4642</v>
      </c>
      <c r="FVQ1" s="27" t="s">
        <v>4643</v>
      </c>
      <c r="FVR1" s="27" t="s">
        <v>4644</v>
      </c>
      <c r="FVS1" s="27" t="s">
        <v>4645</v>
      </c>
      <c r="FVT1" s="27" t="s">
        <v>4646</v>
      </c>
      <c r="FVU1" s="27" t="s">
        <v>4647</v>
      </c>
      <c r="FVV1" s="27" t="s">
        <v>4648</v>
      </c>
      <c r="FVW1" s="27" t="s">
        <v>4649</v>
      </c>
      <c r="FVX1" s="27" t="s">
        <v>4650</v>
      </c>
      <c r="FVY1" s="27" t="s">
        <v>4651</v>
      </c>
      <c r="FVZ1" s="27" t="s">
        <v>4652</v>
      </c>
      <c r="FWB1" s="27" t="s">
        <v>4653</v>
      </c>
      <c r="FWC1" s="27" t="s">
        <v>4654</v>
      </c>
      <c r="FWD1" s="27" t="s">
        <v>4655</v>
      </c>
      <c r="FWE1" s="27" t="s">
        <v>4656</v>
      </c>
      <c r="FWF1" s="27" t="s">
        <v>4657</v>
      </c>
      <c r="FWG1" s="27" t="s">
        <v>4658</v>
      </c>
      <c r="FWH1" s="27" t="s">
        <v>4659</v>
      </c>
      <c r="FWI1" s="27" t="s">
        <v>4660</v>
      </c>
      <c r="FWJ1" s="27" t="s">
        <v>4661</v>
      </c>
      <c r="FWK1" s="27" t="s">
        <v>4662</v>
      </c>
      <c r="FWL1" s="27" t="s">
        <v>4663</v>
      </c>
      <c r="FWM1" s="27" t="s">
        <v>4664</v>
      </c>
      <c r="FWN1" s="27" t="s">
        <v>4665</v>
      </c>
      <c r="FWO1" s="27" t="s">
        <v>4666</v>
      </c>
      <c r="FWP1" s="27" t="s">
        <v>4667</v>
      </c>
      <c r="FWQ1" s="27" t="s">
        <v>4668</v>
      </c>
      <c r="FWR1" s="27" t="s">
        <v>4669</v>
      </c>
      <c r="FWS1" s="27" t="s">
        <v>4670</v>
      </c>
      <c r="FWT1" s="27" t="s">
        <v>4671</v>
      </c>
      <c r="FWU1" s="27" t="s">
        <v>4672</v>
      </c>
      <c r="FWV1" s="27" t="s">
        <v>4673</v>
      </c>
      <c r="FWW1" s="27" t="s">
        <v>4674</v>
      </c>
      <c r="FWX1" s="27" t="s">
        <v>4675</v>
      </c>
      <c r="FWY1" s="27" t="s">
        <v>4676</v>
      </c>
      <c r="FWZ1" s="27" t="s">
        <v>4677</v>
      </c>
      <c r="FXA1" s="27" t="s">
        <v>4678</v>
      </c>
      <c r="FXB1" s="27" t="s">
        <v>4679</v>
      </c>
      <c r="FXC1" s="27" t="s">
        <v>4680</v>
      </c>
      <c r="FXD1" s="27" t="s">
        <v>4681</v>
      </c>
      <c r="FXE1" s="27" t="s">
        <v>4682</v>
      </c>
      <c r="FXF1" s="27" t="s">
        <v>4683</v>
      </c>
      <c r="FXG1" s="27" t="s">
        <v>4684</v>
      </c>
      <c r="FXH1" s="27" t="s">
        <v>4685</v>
      </c>
      <c r="FXI1" s="27" t="s">
        <v>4686</v>
      </c>
      <c r="FXJ1" s="27" t="s">
        <v>4687</v>
      </c>
      <c r="FXK1" s="27" t="s">
        <v>4688</v>
      </c>
      <c r="FXL1" s="27" t="s">
        <v>4689</v>
      </c>
      <c r="FXM1" s="27" t="s">
        <v>4690</v>
      </c>
      <c r="FXN1" s="27" t="s">
        <v>4691</v>
      </c>
      <c r="FXO1" s="27" t="s">
        <v>4692</v>
      </c>
      <c r="FXP1" s="27" t="s">
        <v>4693</v>
      </c>
      <c r="FXQ1" s="27" t="s">
        <v>4694</v>
      </c>
      <c r="FXR1" s="27" t="s">
        <v>4695</v>
      </c>
      <c r="FXS1" s="27" t="s">
        <v>4696</v>
      </c>
      <c r="FXT1" s="27" t="s">
        <v>4697</v>
      </c>
      <c r="FXU1" s="27" t="s">
        <v>4698</v>
      </c>
      <c r="FXV1" s="27" t="s">
        <v>4699</v>
      </c>
      <c r="FXW1" s="27" t="s">
        <v>4700</v>
      </c>
      <c r="FXX1" s="27" t="s">
        <v>4701</v>
      </c>
      <c r="FXY1" s="27" t="s">
        <v>4702</v>
      </c>
      <c r="FXZ1" s="27" t="s">
        <v>4703</v>
      </c>
      <c r="FYA1" s="27" t="s">
        <v>4704</v>
      </c>
      <c r="FYB1" s="27" t="s">
        <v>4705</v>
      </c>
      <c r="FYC1" s="27" t="s">
        <v>4706</v>
      </c>
      <c r="FYD1" s="27" t="s">
        <v>4707</v>
      </c>
      <c r="FYE1" s="27" t="s">
        <v>4708</v>
      </c>
      <c r="FYF1" s="27" t="s">
        <v>4709</v>
      </c>
      <c r="FYG1" s="27" t="s">
        <v>4710</v>
      </c>
      <c r="FYH1" s="27" t="s">
        <v>4711</v>
      </c>
      <c r="FYI1" s="27" t="s">
        <v>4712</v>
      </c>
      <c r="FYJ1" s="27" t="s">
        <v>4713</v>
      </c>
      <c r="FYK1" s="27" t="s">
        <v>4714</v>
      </c>
      <c r="FYL1" s="27" t="s">
        <v>4715</v>
      </c>
      <c r="FYM1" s="27" t="s">
        <v>4716</v>
      </c>
      <c r="FYN1" s="27" t="s">
        <v>4717</v>
      </c>
      <c r="FYO1" s="27" t="s">
        <v>4718</v>
      </c>
      <c r="FYP1" s="27" t="s">
        <v>4719</v>
      </c>
      <c r="FYQ1" s="27" t="s">
        <v>4720</v>
      </c>
      <c r="FYR1" s="27" t="s">
        <v>4721</v>
      </c>
      <c r="FYS1" s="27" t="s">
        <v>4722</v>
      </c>
      <c r="FYT1" s="27" t="s">
        <v>4723</v>
      </c>
      <c r="FYU1" s="27" t="s">
        <v>4724</v>
      </c>
      <c r="FYV1" s="27" t="s">
        <v>4725</v>
      </c>
      <c r="FYW1" s="27" t="s">
        <v>4726</v>
      </c>
      <c r="FYX1" s="27" t="s">
        <v>4727</v>
      </c>
      <c r="FYY1" s="27" t="s">
        <v>4728</v>
      </c>
      <c r="FYZ1" s="27" t="s">
        <v>4729</v>
      </c>
      <c r="FZA1" s="27" t="s">
        <v>4730</v>
      </c>
      <c r="FZB1" s="27" t="s">
        <v>4731</v>
      </c>
      <c r="FZC1" s="27" t="s">
        <v>4732</v>
      </c>
      <c r="FZD1" s="27" t="s">
        <v>4733</v>
      </c>
      <c r="FZE1" s="27" t="s">
        <v>4734</v>
      </c>
      <c r="FZF1" s="27" t="s">
        <v>4735</v>
      </c>
      <c r="FZG1" s="27" t="s">
        <v>4736</v>
      </c>
      <c r="FZH1" s="27" t="s">
        <v>4737</v>
      </c>
      <c r="FZI1" s="27" t="s">
        <v>4738</v>
      </c>
      <c r="FZJ1" s="27" t="s">
        <v>4739</v>
      </c>
      <c r="FZK1" s="27" t="s">
        <v>4740</v>
      </c>
      <c r="FZL1" s="27" t="s">
        <v>4741</v>
      </c>
      <c r="FZM1" s="27" t="s">
        <v>4742</v>
      </c>
      <c r="FZN1" s="27" t="s">
        <v>4743</v>
      </c>
      <c r="FZO1" s="27" t="s">
        <v>4744</v>
      </c>
      <c r="FZP1" s="27" t="s">
        <v>4745</v>
      </c>
      <c r="FZQ1" s="27" t="s">
        <v>4746</v>
      </c>
      <c r="FZR1" s="27" t="s">
        <v>4747</v>
      </c>
      <c r="FZS1" s="27" t="s">
        <v>4748</v>
      </c>
      <c r="FZT1" s="27" t="s">
        <v>4749</v>
      </c>
      <c r="FZU1" s="27" t="s">
        <v>4750</v>
      </c>
      <c r="FZV1" s="27" t="s">
        <v>4751</v>
      </c>
      <c r="FZW1" s="27" t="s">
        <v>4752</v>
      </c>
      <c r="FZX1" s="27" t="s">
        <v>4753</v>
      </c>
      <c r="FZY1" s="27" t="s">
        <v>4754</v>
      </c>
      <c r="FZZ1" s="27" t="s">
        <v>4755</v>
      </c>
      <c r="GAA1" s="27" t="s">
        <v>4756</v>
      </c>
      <c r="GAB1" s="27" t="s">
        <v>4757</v>
      </c>
      <c r="GAC1" s="27" t="s">
        <v>4758</v>
      </c>
      <c r="GAD1" s="27" t="s">
        <v>4759</v>
      </c>
      <c r="GAE1" s="27" t="s">
        <v>4760</v>
      </c>
      <c r="GAF1" s="27" t="s">
        <v>4761</v>
      </c>
      <c r="GAG1" s="27" t="s">
        <v>4762</v>
      </c>
      <c r="GAH1" s="27" t="s">
        <v>4763</v>
      </c>
      <c r="GAI1" s="27" t="s">
        <v>4764</v>
      </c>
      <c r="GAJ1" s="27" t="s">
        <v>4765</v>
      </c>
      <c r="GAK1" s="27" t="s">
        <v>4766</v>
      </c>
      <c r="GAL1" s="27" t="s">
        <v>4767</v>
      </c>
      <c r="GAM1" s="27" t="s">
        <v>4768</v>
      </c>
      <c r="GAN1" s="27" t="s">
        <v>4769</v>
      </c>
      <c r="GAO1" s="27" t="s">
        <v>4770</v>
      </c>
      <c r="GAP1" s="27" t="s">
        <v>4771</v>
      </c>
      <c r="GAQ1" s="27" t="s">
        <v>4772</v>
      </c>
      <c r="GAR1" s="27" t="s">
        <v>4773</v>
      </c>
      <c r="GAS1" s="27" t="s">
        <v>4774</v>
      </c>
      <c r="GAT1" s="27" t="s">
        <v>4775</v>
      </c>
      <c r="GAU1" s="27" t="s">
        <v>4776</v>
      </c>
      <c r="GAV1" s="27" t="s">
        <v>4777</v>
      </c>
      <c r="GAW1" s="27" t="s">
        <v>4778</v>
      </c>
      <c r="GAX1" s="27" t="s">
        <v>4779</v>
      </c>
      <c r="GAY1" s="27" t="s">
        <v>4780</v>
      </c>
      <c r="GAZ1" s="27" t="s">
        <v>4781</v>
      </c>
      <c r="GBA1" s="27" t="s">
        <v>4782</v>
      </c>
      <c r="GBB1" s="27" t="s">
        <v>4783</v>
      </c>
      <c r="GBC1" s="27" t="s">
        <v>4784</v>
      </c>
      <c r="GBD1" s="27" t="s">
        <v>4785</v>
      </c>
      <c r="GBE1" s="27" t="s">
        <v>4786</v>
      </c>
      <c r="GBF1" s="27" t="s">
        <v>4787</v>
      </c>
      <c r="GBG1" s="27" t="s">
        <v>4788</v>
      </c>
      <c r="GBH1" s="27" t="s">
        <v>4789</v>
      </c>
      <c r="GBI1" s="27" t="s">
        <v>4790</v>
      </c>
      <c r="GBJ1" s="27" t="s">
        <v>4791</v>
      </c>
      <c r="GBK1" s="27" t="s">
        <v>4792</v>
      </c>
      <c r="GBL1" s="27" t="s">
        <v>4793</v>
      </c>
      <c r="GBM1" s="27" t="s">
        <v>4794</v>
      </c>
      <c r="GBN1" s="27" t="s">
        <v>4795</v>
      </c>
      <c r="GBO1" s="27" t="s">
        <v>4796</v>
      </c>
      <c r="GBP1" s="27" t="s">
        <v>4797</v>
      </c>
      <c r="GBQ1" s="27" t="s">
        <v>4798</v>
      </c>
      <c r="GBR1" s="27" t="s">
        <v>4799</v>
      </c>
      <c r="GBS1" s="27" t="s">
        <v>4800</v>
      </c>
      <c r="GBT1" s="27" t="s">
        <v>4801</v>
      </c>
      <c r="GBU1" s="27" t="s">
        <v>4802</v>
      </c>
      <c r="GBV1" s="27" t="s">
        <v>4803</v>
      </c>
      <c r="GBW1" s="27" t="s">
        <v>4804</v>
      </c>
      <c r="GBX1" s="27" t="s">
        <v>4805</v>
      </c>
      <c r="GBY1" s="27" t="s">
        <v>4806</v>
      </c>
      <c r="GBZ1" s="27" t="s">
        <v>4807</v>
      </c>
      <c r="GCA1" s="27" t="s">
        <v>4808</v>
      </c>
      <c r="GCB1" s="27" t="s">
        <v>4809</v>
      </c>
      <c r="GCC1" s="27" t="s">
        <v>4810</v>
      </c>
      <c r="GCD1" s="27" t="s">
        <v>4811</v>
      </c>
      <c r="GCE1" s="27" t="s">
        <v>4812</v>
      </c>
      <c r="GCF1" s="27" t="s">
        <v>4813</v>
      </c>
      <c r="GCG1" s="27" t="s">
        <v>4814</v>
      </c>
      <c r="GCH1" s="27" t="s">
        <v>4815</v>
      </c>
      <c r="GCI1" s="27" t="s">
        <v>4816</v>
      </c>
      <c r="GCJ1" s="27" t="s">
        <v>4817</v>
      </c>
      <c r="GCK1" s="27" t="s">
        <v>4818</v>
      </c>
      <c r="GCL1" s="27" t="s">
        <v>4819</v>
      </c>
      <c r="GCM1" s="27" t="s">
        <v>4820</v>
      </c>
      <c r="GCN1" s="27" t="s">
        <v>4821</v>
      </c>
      <c r="GCO1" s="27" t="s">
        <v>4822</v>
      </c>
      <c r="GCP1" s="27" t="s">
        <v>4823</v>
      </c>
      <c r="GCQ1" s="27" t="s">
        <v>4824</v>
      </c>
      <c r="GCR1" s="27" t="s">
        <v>4825</v>
      </c>
      <c r="GCS1" s="27" t="s">
        <v>4826</v>
      </c>
      <c r="GCT1" s="27" t="s">
        <v>4827</v>
      </c>
      <c r="GCU1" s="27" t="s">
        <v>4828</v>
      </c>
      <c r="GCV1" s="27" t="s">
        <v>4829</v>
      </c>
      <c r="GCW1" s="27" t="s">
        <v>4830</v>
      </c>
      <c r="GCX1" s="27" t="s">
        <v>4831</v>
      </c>
      <c r="GCY1" s="27" t="s">
        <v>4832</v>
      </c>
      <c r="GCZ1" s="27" t="s">
        <v>4833</v>
      </c>
      <c r="GDA1" s="27" t="s">
        <v>4834</v>
      </c>
      <c r="GDB1" s="27" t="s">
        <v>4835</v>
      </c>
      <c r="GDC1" s="27" t="s">
        <v>4836</v>
      </c>
      <c r="GDD1" s="27" t="s">
        <v>4837</v>
      </c>
      <c r="GDE1" s="27" t="s">
        <v>4838</v>
      </c>
      <c r="GDF1" s="27" t="s">
        <v>4839</v>
      </c>
      <c r="GDG1" s="27" t="s">
        <v>4840</v>
      </c>
      <c r="GDH1" s="27" t="s">
        <v>4841</v>
      </c>
      <c r="GDI1" s="27" t="s">
        <v>4842</v>
      </c>
      <c r="GDJ1" s="27" t="s">
        <v>4843</v>
      </c>
      <c r="GDK1" s="27" t="s">
        <v>4844</v>
      </c>
      <c r="GDL1" s="27" t="s">
        <v>4845</v>
      </c>
      <c r="GDM1" s="27" t="s">
        <v>4846</v>
      </c>
      <c r="GDN1" s="27" t="s">
        <v>4847</v>
      </c>
      <c r="GDO1" s="27" t="s">
        <v>4848</v>
      </c>
      <c r="GDP1" s="27" t="s">
        <v>4849</v>
      </c>
      <c r="GDQ1" s="27" t="s">
        <v>4850</v>
      </c>
      <c r="GDR1" s="27" t="s">
        <v>4851</v>
      </c>
      <c r="GDS1" s="27" t="s">
        <v>4852</v>
      </c>
      <c r="GDT1" s="27" t="s">
        <v>4853</v>
      </c>
      <c r="GDU1" s="27" t="s">
        <v>4854</v>
      </c>
      <c r="GDV1" s="27" t="s">
        <v>4855</v>
      </c>
      <c r="GDW1" s="27" t="s">
        <v>4856</v>
      </c>
      <c r="GDX1" s="27" t="s">
        <v>4857</v>
      </c>
      <c r="GDY1" s="27" t="s">
        <v>4858</v>
      </c>
      <c r="GDZ1" s="27" t="s">
        <v>4859</v>
      </c>
      <c r="GEA1" s="27" t="s">
        <v>4860</v>
      </c>
      <c r="GEB1" s="27" t="s">
        <v>4861</v>
      </c>
      <c r="GEC1" s="27" t="s">
        <v>4862</v>
      </c>
      <c r="GED1" s="27" t="s">
        <v>4863</v>
      </c>
      <c r="GEE1" s="27" t="s">
        <v>4864</v>
      </c>
      <c r="GEF1" s="27" t="s">
        <v>4865</v>
      </c>
      <c r="GEG1" s="27" t="s">
        <v>4866</v>
      </c>
      <c r="GEH1" s="27" t="s">
        <v>4867</v>
      </c>
      <c r="GEI1" s="27" t="s">
        <v>4868</v>
      </c>
      <c r="GEJ1" s="27" t="s">
        <v>4869</v>
      </c>
      <c r="GEK1" s="27" t="s">
        <v>4870</v>
      </c>
      <c r="GEL1" s="27" t="s">
        <v>4871</v>
      </c>
      <c r="GEM1" s="27" t="s">
        <v>4872</v>
      </c>
      <c r="GEN1" s="27" t="s">
        <v>4873</v>
      </c>
      <c r="GEO1" s="27" t="s">
        <v>4874</v>
      </c>
      <c r="GEP1" s="27" t="s">
        <v>4875</v>
      </c>
      <c r="GEQ1" s="27" t="s">
        <v>4876</v>
      </c>
      <c r="GER1" s="27" t="s">
        <v>4877</v>
      </c>
      <c r="GES1" s="27" t="s">
        <v>4878</v>
      </c>
      <c r="GET1" s="27" t="s">
        <v>4879</v>
      </c>
      <c r="GEU1" s="27" t="s">
        <v>4880</v>
      </c>
      <c r="GEV1" s="27" t="s">
        <v>4881</v>
      </c>
      <c r="GEW1" s="27" t="s">
        <v>4882</v>
      </c>
      <c r="GEX1" s="27" t="s">
        <v>4883</v>
      </c>
      <c r="GEY1" s="27" t="s">
        <v>4884</v>
      </c>
      <c r="GEZ1" s="27" t="s">
        <v>4885</v>
      </c>
      <c r="GFA1" s="27" t="s">
        <v>4886</v>
      </c>
      <c r="GFB1" s="27" t="s">
        <v>4887</v>
      </c>
      <c r="GFC1" s="27" t="s">
        <v>4888</v>
      </c>
      <c r="GFD1" s="27" t="s">
        <v>4889</v>
      </c>
      <c r="GFE1" s="27" t="s">
        <v>4890</v>
      </c>
      <c r="GFF1" s="27" t="s">
        <v>4891</v>
      </c>
      <c r="GFG1" s="27" t="s">
        <v>4892</v>
      </c>
      <c r="GFH1" s="27" t="s">
        <v>4893</v>
      </c>
      <c r="GFI1" s="27" t="s">
        <v>4894</v>
      </c>
      <c r="GFJ1" s="27" t="s">
        <v>4895</v>
      </c>
      <c r="GFK1" s="27" t="s">
        <v>4896</v>
      </c>
      <c r="GFL1" s="27" t="s">
        <v>4897</v>
      </c>
      <c r="GFM1" s="27" t="s">
        <v>4898</v>
      </c>
      <c r="GFN1" s="27" t="s">
        <v>4899</v>
      </c>
      <c r="GFO1" s="27" t="s">
        <v>4900</v>
      </c>
      <c r="GFP1" s="27" t="s">
        <v>4901</v>
      </c>
      <c r="GFQ1" s="27" t="s">
        <v>4902</v>
      </c>
      <c r="GFR1" s="27" t="s">
        <v>4903</v>
      </c>
      <c r="GFS1" s="27" t="s">
        <v>4904</v>
      </c>
      <c r="GFT1" s="27" t="s">
        <v>4905</v>
      </c>
      <c r="GFU1" s="27" t="s">
        <v>4906</v>
      </c>
      <c r="GFV1" s="27" t="s">
        <v>4907</v>
      </c>
      <c r="GFW1" s="27" t="s">
        <v>4908</v>
      </c>
      <c r="GFX1" s="27" t="s">
        <v>4909</v>
      </c>
      <c r="GFY1" s="27" t="s">
        <v>4910</v>
      </c>
      <c r="GFZ1" s="27" t="s">
        <v>4911</v>
      </c>
      <c r="GGA1" s="27" t="s">
        <v>4912</v>
      </c>
      <c r="GGB1" s="27" t="s">
        <v>4913</v>
      </c>
      <c r="GGC1" s="27" t="s">
        <v>4914</v>
      </c>
      <c r="GGD1" s="27" t="s">
        <v>4915</v>
      </c>
      <c r="GGE1" s="27" t="s">
        <v>4916</v>
      </c>
      <c r="GGF1" s="27" t="s">
        <v>4917</v>
      </c>
      <c r="GGG1" s="27" t="s">
        <v>4918</v>
      </c>
      <c r="GGH1" s="27" t="s">
        <v>4919</v>
      </c>
      <c r="GGI1" s="27" t="s">
        <v>4920</v>
      </c>
      <c r="GGJ1" s="27" t="s">
        <v>4921</v>
      </c>
      <c r="GGK1" s="27" t="s">
        <v>4922</v>
      </c>
      <c r="GGL1" s="27" t="s">
        <v>4923</v>
      </c>
      <c r="GGM1" s="27" t="s">
        <v>4924</v>
      </c>
      <c r="GGN1" s="27" t="s">
        <v>4925</v>
      </c>
      <c r="GGO1" s="27" t="s">
        <v>4926</v>
      </c>
      <c r="GGP1" s="27" t="s">
        <v>4927</v>
      </c>
      <c r="GGQ1" s="27" t="s">
        <v>4928</v>
      </c>
      <c r="GGR1" s="27" t="s">
        <v>4929</v>
      </c>
      <c r="GGS1" s="27" t="s">
        <v>4930</v>
      </c>
      <c r="GGT1" s="27" t="s">
        <v>4931</v>
      </c>
      <c r="GGU1" s="27" t="s">
        <v>4932</v>
      </c>
      <c r="GGV1" s="27" t="s">
        <v>4933</v>
      </c>
      <c r="GGW1" s="27" t="s">
        <v>4934</v>
      </c>
      <c r="GGX1" s="27" t="s">
        <v>4935</v>
      </c>
      <c r="GGY1" s="27" t="s">
        <v>4936</v>
      </c>
      <c r="GGZ1" s="27" t="s">
        <v>4937</v>
      </c>
      <c r="GHA1" s="27" t="s">
        <v>4938</v>
      </c>
      <c r="GHB1" s="27" t="s">
        <v>4939</v>
      </c>
      <c r="GHC1" s="27" t="s">
        <v>4940</v>
      </c>
      <c r="GHD1" s="27" t="s">
        <v>4941</v>
      </c>
      <c r="GHE1" s="27" t="s">
        <v>4942</v>
      </c>
      <c r="GHF1" s="27" t="s">
        <v>4943</v>
      </c>
      <c r="GHG1" s="27" t="s">
        <v>4944</v>
      </c>
      <c r="GHH1" s="27" t="s">
        <v>4945</v>
      </c>
      <c r="GHI1" s="27" t="s">
        <v>4946</v>
      </c>
      <c r="GHJ1" s="27" t="s">
        <v>4947</v>
      </c>
      <c r="GHK1" s="27" t="s">
        <v>4948</v>
      </c>
      <c r="GHL1" s="27" t="s">
        <v>4949</v>
      </c>
      <c r="GHM1" s="27" t="s">
        <v>4950</v>
      </c>
      <c r="GHN1" s="27" t="s">
        <v>4951</v>
      </c>
      <c r="GHO1" s="27" t="s">
        <v>4952</v>
      </c>
      <c r="GHP1" s="27" t="s">
        <v>4953</v>
      </c>
      <c r="GHQ1" s="27" t="s">
        <v>4954</v>
      </c>
      <c r="GHR1" s="27" t="s">
        <v>4955</v>
      </c>
      <c r="GHS1" s="27" t="s">
        <v>4956</v>
      </c>
      <c r="GHT1" s="27" t="s">
        <v>4957</v>
      </c>
      <c r="GHU1" s="27" t="s">
        <v>4958</v>
      </c>
      <c r="GHV1" s="27" t="s">
        <v>4959</v>
      </c>
      <c r="GHW1" s="27" t="s">
        <v>4960</v>
      </c>
      <c r="GHX1" s="27" t="s">
        <v>4961</v>
      </c>
      <c r="GHY1" s="27" t="s">
        <v>4962</v>
      </c>
      <c r="GHZ1" s="27" t="s">
        <v>4963</v>
      </c>
      <c r="GIA1" s="27" t="s">
        <v>4964</v>
      </c>
      <c r="GIB1" s="27" t="s">
        <v>4965</v>
      </c>
      <c r="GIC1" s="27" t="s">
        <v>4966</v>
      </c>
      <c r="GID1" s="27" t="s">
        <v>4967</v>
      </c>
      <c r="GIE1" s="27" t="s">
        <v>4968</v>
      </c>
      <c r="GIF1" s="27" t="s">
        <v>4969</v>
      </c>
      <c r="GIG1" s="27" t="s">
        <v>4970</v>
      </c>
      <c r="GIH1" s="27" t="s">
        <v>4971</v>
      </c>
      <c r="GII1" s="27" t="s">
        <v>4972</v>
      </c>
      <c r="GIJ1" s="27" t="s">
        <v>4973</v>
      </c>
      <c r="GIK1" s="27" t="s">
        <v>4974</v>
      </c>
      <c r="GIL1" s="27" t="s">
        <v>4975</v>
      </c>
      <c r="GIM1" s="27" t="s">
        <v>4976</v>
      </c>
      <c r="GIN1" s="27" t="s">
        <v>4977</v>
      </c>
      <c r="GIO1" s="27" t="s">
        <v>4978</v>
      </c>
      <c r="GIP1" s="27" t="s">
        <v>4979</v>
      </c>
      <c r="GIQ1" s="27" t="s">
        <v>4980</v>
      </c>
      <c r="GIR1" s="27" t="s">
        <v>4981</v>
      </c>
      <c r="GIS1" s="27" t="s">
        <v>4982</v>
      </c>
      <c r="GIT1" s="27" t="s">
        <v>4983</v>
      </c>
      <c r="GIU1" s="27" t="s">
        <v>4984</v>
      </c>
      <c r="GIV1" s="27" t="s">
        <v>4985</v>
      </c>
      <c r="GIW1" s="27" t="s">
        <v>4986</v>
      </c>
      <c r="GIX1" s="27" t="s">
        <v>4987</v>
      </c>
      <c r="GIY1" s="27" t="s">
        <v>4988</v>
      </c>
      <c r="GIZ1" s="27" t="s">
        <v>4989</v>
      </c>
      <c r="GJA1" s="27" t="s">
        <v>4990</v>
      </c>
      <c r="GJB1" s="27" t="s">
        <v>4991</v>
      </c>
      <c r="GJC1" s="27" t="s">
        <v>4992</v>
      </c>
      <c r="GJD1" s="27" t="s">
        <v>4993</v>
      </c>
      <c r="GJE1" s="27" t="s">
        <v>4994</v>
      </c>
      <c r="GJF1" s="27" t="s">
        <v>4995</v>
      </c>
      <c r="GJG1" s="27" t="s">
        <v>4996</v>
      </c>
      <c r="GJH1" s="27" t="s">
        <v>4997</v>
      </c>
      <c r="GJI1" s="27" t="s">
        <v>4998</v>
      </c>
      <c r="GJJ1" s="27" t="s">
        <v>4999</v>
      </c>
      <c r="GJK1" s="27" t="s">
        <v>5000</v>
      </c>
      <c r="GJL1" s="27" t="s">
        <v>5001</v>
      </c>
      <c r="GJM1" s="27" t="s">
        <v>5002</v>
      </c>
      <c r="GJN1" s="27" t="s">
        <v>5003</v>
      </c>
      <c r="GJO1" s="27" t="s">
        <v>5004</v>
      </c>
      <c r="GJP1" s="27" t="s">
        <v>5005</v>
      </c>
      <c r="GJQ1" s="27" t="s">
        <v>5006</v>
      </c>
      <c r="GJR1" s="27" t="s">
        <v>5007</v>
      </c>
      <c r="GJS1" s="27" t="s">
        <v>5008</v>
      </c>
      <c r="GJT1" s="27" t="s">
        <v>5009</v>
      </c>
      <c r="GJU1" s="27" t="s">
        <v>5010</v>
      </c>
      <c r="GJV1" s="27" t="s">
        <v>5011</v>
      </c>
      <c r="GJW1" s="27" t="s">
        <v>5012</v>
      </c>
      <c r="GJX1" s="27" t="s">
        <v>5013</v>
      </c>
      <c r="GJY1" s="27" t="s">
        <v>5014</v>
      </c>
      <c r="GJZ1" s="27" t="s">
        <v>5015</v>
      </c>
      <c r="GKA1" s="27" t="s">
        <v>5016</v>
      </c>
      <c r="GKB1" s="27" t="s">
        <v>5017</v>
      </c>
      <c r="GKC1" s="27" t="s">
        <v>5018</v>
      </c>
      <c r="GKD1" s="27" t="s">
        <v>5019</v>
      </c>
      <c r="GKE1" s="27" t="s">
        <v>5020</v>
      </c>
      <c r="GKF1" s="27" t="s">
        <v>5021</v>
      </c>
      <c r="GKG1" s="27" t="s">
        <v>5022</v>
      </c>
      <c r="GKH1" s="27" t="s">
        <v>5023</v>
      </c>
      <c r="GKI1" s="27" t="s">
        <v>5024</v>
      </c>
      <c r="GKJ1" s="27" t="s">
        <v>5025</v>
      </c>
      <c r="GKK1" s="27" t="s">
        <v>5026</v>
      </c>
      <c r="GKL1" s="27" t="s">
        <v>5027</v>
      </c>
      <c r="GKM1" s="27" t="s">
        <v>5028</v>
      </c>
      <c r="GKN1" s="27" t="s">
        <v>5029</v>
      </c>
      <c r="GKO1" s="27" t="s">
        <v>5030</v>
      </c>
      <c r="GKP1" s="27" t="s">
        <v>5031</v>
      </c>
      <c r="GKQ1" s="27" t="s">
        <v>5032</v>
      </c>
      <c r="GKR1" s="27" t="s">
        <v>5033</v>
      </c>
      <c r="GKS1" s="27" t="s">
        <v>5034</v>
      </c>
      <c r="GKT1" s="27" t="s">
        <v>5035</v>
      </c>
      <c r="GKU1" s="27" t="s">
        <v>5036</v>
      </c>
      <c r="GKV1" s="27" t="s">
        <v>5037</v>
      </c>
      <c r="GKW1" s="27" t="s">
        <v>5038</v>
      </c>
      <c r="GKX1" s="27" t="s">
        <v>5039</v>
      </c>
      <c r="GKY1" s="27" t="s">
        <v>5040</v>
      </c>
      <c r="GKZ1" s="27" t="s">
        <v>5041</v>
      </c>
      <c r="GLA1" s="27" t="s">
        <v>5042</v>
      </c>
      <c r="GLB1" s="27" t="s">
        <v>5043</v>
      </c>
      <c r="GLC1" s="27" t="s">
        <v>5044</v>
      </c>
      <c r="GLD1" s="27" t="s">
        <v>5045</v>
      </c>
      <c r="GLE1" s="27" t="s">
        <v>5046</v>
      </c>
      <c r="GLF1" s="27" t="s">
        <v>5047</v>
      </c>
      <c r="GLG1" s="27" t="s">
        <v>5048</v>
      </c>
      <c r="GLH1" s="27" t="s">
        <v>5049</v>
      </c>
      <c r="GLI1" s="27" t="s">
        <v>5050</v>
      </c>
      <c r="GLJ1" s="27" t="s">
        <v>5051</v>
      </c>
      <c r="GLK1" s="27" t="s">
        <v>5052</v>
      </c>
      <c r="GLL1" s="27" t="s">
        <v>5053</v>
      </c>
      <c r="GLM1" s="27" t="s">
        <v>5054</v>
      </c>
      <c r="GLN1" s="27" t="s">
        <v>5055</v>
      </c>
      <c r="GLO1" s="27" t="s">
        <v>5056</v>
      </c>
      <c r="GLP1" s="27" t="s">
        <v>5057</v>
      </c>
      <c r="GLQ1" s="27" t="s">
        <v>5058</v>
      </c>
      <c r="GLR1" s="27" t="s">
        <v>5059</v>
      </c>
      <c r="GLS1" s="27" t="s">
        <v>5060</v>
      </c>
      <c r="GLT1" s="27" t="s">
        <v>5061</v>
      </c>
      <c r="GLU1" s="27" t="s">
        <v>5062</v>
      </c>
      <c r="GLV1" s="27" t="s">
        <v>5063</v>
      </c>
      <c r="GLW1" s="27" t="s">
        <v>5064</v>
      </c>
      <c r="GLX1" s="27" t="s">
        <v>5065</v>
      </c>
      <c r="GLY1" s="27" t="s">
        <v>5066</v>
      </c>
      <c r="GLZ1" s="27" t="s">
        <v>5067</v>
      </c>
      <c r="GMA1" s="27" t="s">
        <v>5068</v>
      </c>
      <c r="GMB1" s="27" t="s">
        <v>5069</v>
      </c>
      <c r="GMC1" s="27" t="s">
        <v>5070</v>
      </c>
      <c r="GMD1" s="27" t="s">
        <v>5071</v>
      </c>
      <c r="GME1" s="27" t="s">
        <v>5072</v>
      </c>
      <c r="GMF1" s="27" t="s">
        <v>5073</v>
      </c>
      <c r="GMG1" s="27" t="s">
        <v>5074</v>
      </c>
      <c r="GMH1" s="27" t="s">
        <v>5075</v>
      </c>
      <c r="GMI1" s="27" t="s">
        <v>5076</v>
      </c>
      <c r="GMJ1" s="27" t="s">
        <v>5077</v>
      </c>
      <c r="GMK1" s="27" t="s">
        <v>5078</v>
      </c>
      <c r="GML1" s="27" t="s">
        <v>5079</v>
      </c>
      <c r="GMM1" s="27" t="s">
        <v>5080</v>
      </c>
      <c r="GMN1" s="27" t="s">
        <v>5081</v>
      </c>
      <c r="GMO1" s="27" t="s">
        <v>5082</v>
      </c>
      <c r="GMP1" s="27" t="s">
        <v>5083</v>
      </c>
      <c r="GMQ1" s="27" t="s">
        <v>5084</v>
      </c>
      <c r="GMR1" s="27" t="s">
        <v>5085</v>
      </c>
      <c r="GMS1" s="27" t="s">
        <v>5086</v>
      </c>
      <c r="GMT1" s="27" t="s">
        <v>5087</v>
      </c>
      <c r="GMU1" s="27" t="s">
        <v>5088</v>
      </c>
      <c r="GMV1" s="27" t="s">
        <v>5089</v>
      </c>
      <c r="GMW1" s="27" t="s">
        <v>5090</v>
      </c>
      <c r="GMX1" s="27" t="s">
        <v>5091</v>
      </c>
      <c r="GMY1" s="27" t="s">
        <v>5092</v>
      </c>
      <c r="GMZ1" s="27" t="s">
        <v>5093</v>
      </c>
      <c r="GNA1" s="27" t="s">
        <v>5094</v>
      </c>
      <c r="GNB1" s="27" t="s">
        <v>5095</v>
      </c>
      <c r="GNC1" s="27" t="s">
        <v>5096</v>
      </c>
      <c r="GND1" s="27" t="s">
        <v>5097</v>
      </c>
      <c r="GNE1" s="27" t="s">
        <v>5098</v>
      </c>
      <c r="GNF1" s="27" t="s">
        <v>5099</v>
      </c>
      <c r="GNG1" s="27" t="s">
        <v>5100</v>
      </c>
      <c r="GNH1" s="27" t="s">
        <v>5101</v>
      </c>
      <c r="GNI1" s="27" t="s">
        <v>5102</v>
      </c>
      <c r="GNJ1" s="27" t="s">
        <v>5103</v>
      </c>
      <c r="GNK1" s="27" t="s">
        <v>5104</v>
      </c>
      <c r="GNL1" s="27" t="s">
        <v>5105</v>
      </c>
      <c r="GNM1" s="27" t="s">
        <v>5106</v>
      </c>
      <c r="GNN1" s="27" t="s">
        <v>5107</v>
      </c>
      <c r="GNO1" s="27" t="s">
        <v>5108</v>
      </c>
      <c r="GNP1" s="27" t="s">
        <v>5109</v>
      </c>
      <c r="GNQ1" s="27" t="s">
        <v>5110</v>
      </c>
      <c r="GNR1" s="27" t="s">
        <v>5111</v>
      </c>
      <c r="GNS1" s="27" t="s">
        <v>5112</v>
      </c>
      <c r="GNT1" s="27" t="s">
        <v>5113</v>
      </c>
      <c r="GNU1" s="27" t="s">
        <v>5114</v>
      </c>
      <c r="GNV1" s="27" t="s">
        <v>5115</v>
      </c>
      <c r="GNW1" s="27" t="s">
        <v>5116</v>
      </c>
      <c r="GNX1" s="27" t="s">
        <v>5117</v>
      </c>
      <c r="GNY1" s="27" t="s">
        <v>5118</v>
      </c>
      <c r="GNZ1" s="27" t="s">
        <v>5119</v>
      </c>
      <c r="GOA1" s="27" t="s">
        <v>5120</v>
      </c>
      <c r="GOB1" s="27" t="s">
        <v>5121</v>
      </c>
      <c r="GOC1" s="27" t="s">
        <v>5122</v>
      </c>
      <c r="GOD1" s="27" t="s">
        <v>5123</v>
      </c>
      <c r="GOE1" s="27" t="s">
        <v>5124</v>
      </c>
      <c r="GOF1" s="27" t="s">
        <v>5125</v>
      </c>
      <c r="GOG1" s="27" t="s">
        <v>5126</v>
      </c>
      <c r="GOH1" s="27" t="s">
        <v>5127</v>
      </c>
      <c r="GOI1" s="27" t="s">
        <v>5128</v>
      </c>
      <c r="GOJ1" s="27" t="s">
        <v>5129</v>
      </c>
      <c r="GOK1" s="27" t="s">
        <v>5130</v>
      </c>
      <c r="GOL1" s="27" t="s">
        <v>5131</v>
      </c>
      <c r="GOM1" s="27" t="s">
        <v>5132</v>
      </c>
      <c r="GON1" s="27" t="s">
        <v>5133</v>
      </c>
      <c r="GOO1" s="27" t="s">
        <v>5134</v>
      </c>
      <c r="GOP1" s="27" t="s">
        <v>5135</v>
      </c>
      <c r="GOQ1" s="27" t="s">
        <v>5136</v>
      </c>
      <c r="GOR1" s="27" t="s">
        <v>5137</v>
      </c>
      <c r="GOS1" s="27" t="s">
        <v>5138</v>
      </c>
      <c r="GOT1" s="27" t="s">
        <v>5139</v>
      </c>
      <c r="GOU1" s="27" t="s">
        <v>5140</v>
      </c>
      <c r="GOV1" s="27" t="s">
        <v>5141</v>
      </c>
      <c r="GOW1" s="27" t="s">
        <v>5142</v>
      </c>
      <c r="GOX1" s="27" t="s">
        <v>5143</v>
      </c>
      <c r="GOY1" s="27" t="s">
        <v>5144</v>
      </c>
      <c r="GOZ1" s="27" t="s">
        <v>5145</v>
      </c>
      <c r="GPA1" s="27" t="s">
        <v>5146</v>
      </c>
      <c r="GPB1" s="27" t="s">
        <v>5147</v>
      </c>
      <c r="GPC1" s="27" t="s">
        <v>5148</v>
      </c>
      <c r="GPD1" s="27" t="s">
        <v>5149</v>
      </c>
      <c r="GPE1" s="27" t="s">
        <v>5150</v>
      </c>
      <c r="GPF1" s="27" t="s">
        <v>5151</v>
      </c>
      <c r="GPG1" s="27" t="s">
        <v>5152</v>
      </c>
      <c r="GPH1" s="27" t="s">
        <v>5153</v>
      </c>
      <c r="GPI1" s="27" t="s">
        <v>5154</v>
      </c>
      <c r="GPJ1" s="27" t="s">
        <v>5155</v>
      </c>
      <c r="GPK1" s="27" t="s">
        <v>5156</v>
      </c>
      <c r="GPL1" s="27" t="s">
        <v>5157</v>
      </c>
      <c r="GPM1" s="27" t="s">
        <v>5158</v>
      </c>
      <c r="GPN1" s="27" t="s">
        <v>5159</v>
      </c>
      <c r="GPO1" s="27" t="s">
        <v>5160</v>
      </c>
      <c r="GPP1" s="27" t="s">
        <v>5161</v>
      </c>
      <c r="GPQ1" s="27" t="s">
        <v>5162</v>
      </c>
      <c r="GPR1" s="27" t="s">
        <v>5163</v>
      </c>
      <c r="GPS1" s="27" t="s">
        <v>5164</v>
      </c>
      <c r="GPT1" s="27" t="s">
        <v>5165</v>
      </c>
      <c r="GPU1" s="27" t="s">
        <v>5166</v>
      </c>
      <c r="GPV1" s="27" t="s">
        <v>5167</v>
      </c>
      <c r="GPW1" s="27" t="s">
        <v>5168</v>
      </c>
      <c r="GPX1" s="27" t="s">
        <v>5169</v>
      </c>
      <c r="GPY1" s="27" t="s">
        <v>5170</v>
      </c>
      <c r="GPZ1" s="27" t="s">
        <v>5171</v>
      </c>
      <c r="GQA1" s="27" t="s">
        <v>5172</v>
      </c>
      <c r="GQB1" s="27" t="s">
        <v>5173</v>
      </c>
      <c r="GQC1" s="27" t="s">
        <v>5174</v>
      </c>
      <c r="GQD1" s="27" t="s">
        <v>5175</v>
      </c>
      <c r="GQE1" s="27" t="s">
        <v>5176</v>
      </c>
      <c r="GQF1" s="27" t="s">
        <v>5177</v>
      </c>
      <c r="GQG1" s="27" t="s">
        <v>5178</v>
      </c>
      <c r="GQH1" s="27" t="s">
        <v>5179</v>
      </c>
      <c r="GQI1" s="27" t="s">
        <v>5180</v>
      </c>
      <c r="GQJ1" s="27" t="s">
        <v>5181</v>
      </c>
      <c r="GQK1" s="27" t="s">
        <v>5182</v>
      </c>
      <c r="GQL1" s="27" t="s">
        <v>5183</v>
      </c>
      <c r="GQM1" s="27" t="s">
        <v>5184</v>
      </c>
      <c r="GQN1" s="27" t="s">
        <v>5185</v>
      </c>
      <c r="GQO1" s="27" t="s">
        <v>5186</v>
      </c>
      <c r="GQP1" s="27" t="s">
        <v>5187</v>
      </c>
      <c r="GQQ1" s="27" t="s">
        <v>5188</v>
      </c>
      <c r="GQR1" s="27" t="s">
        <v>5189</v>
      </c>
      <c r="GQS1" s="27" t="s">
        <v>5190</v>
      </c>
      <c r="GQT1" s="27" t="s">
        <v>5191</v>
      </c>
      <c r="GQU1" s="27" t="s">
        <v>5192</v>
      </c>
      <c r="GQV1" s="27" t="s">
        <v>5193</v>
      </c>
      <c r="GQW1" s="27" t="s">
        <v>5194</v>
      </c>
      <c r="GQX1" s="27" t="s">
        <v>5195</v>
      </c>
      <c r="GQY1" s="27" t="s">
        <v>5196</v>
      </c>
      <c r="GQZ1" s="27" t="s">
        <v>5197</v>
      </c>
      <c r="GRA1" s="27" t="s">
        <v>5198</v>
      </c>
      <c r="GRB1" s="27" t="s">
        <v>5199</v>
      </c>
      <c r="GRC1" s="27" t="s">
        <v>5200</v>
      </c>
      <c r="GRD1" s="27" t="s">
        <v>5201</v>
      </c>
      <c r="GRE1" s="27" t="s">
        <v>5202</v>
      </c>
      <c r="GRF1" s="27" t="s">
        <v>5203</v>
      </c>
      <c r="GRG1" s="27" t="s">
        <v>5204</v>
      </c>
      <c r="GRH1" s="27" t="s">
        <v>5205</v>
      </c>
      <c r="GRI1" s="27" t="s">
        <v>5206</v>
      </c>
      <c r="GRJ1" s="27" t="s">
        <v>5207</v>
      </c>
      <c r="GRK1" s="27" t="s">
        <v>5208</v>
      </c>
      <c r="GRL1" s="27" t="s">
        <v>5209</v>
      </c>
      <c r="GRM1" s="27" t="s">
        <v>5210</v>
      </c>
      <c r="GRN1" s="27" t="s">
        <v>5211</v>
      </c>
      <c r="GRO1" s="27" t="s">
        <v>5212</v>
      </c>
      <c r="GRP1" s="27" t="s">
        <v>5213</v>
      </c>
      <c r="GRQ1" s="27" t="s">
        <v>5214</v>
      </c>
      <c r="GRR1" s="27" t="s">
        <v>5215</v>
      </c>
      <c r="GRS1" s="27" t="s">
        <v>5216</v>
      </c>
      <c r="GRT1" s="27" t="s">
        <v>5217</v>
      </c>
      <c r="GRU1" s="27" t="s">
        <v>5218</v>
      </c>
      <c r="GRV1" s="27" t="s">
        <v>5219</v>
      </c>
      <c r="GRW1" s="27" t="s">
        <v>5220</v>
      </c>
      <c r="GRX1" s="27" t="s">
        <v>5221</v>
      </c>
      <c r="GRY1" s="27" t="s">
        <v>5222</v>
      </c>
      <c r="GRZ1" s="27" t="s">
        <v>5223</v>
      </c>
      <c r="GSA1" s="27" t="s">
        <v>5224</v>
      </c>
      <c r="GSB1" s="27" t="s">
        <v>5225</v>
      </c>
      <c r="GSC1" s="27" t="s">
        <v>5226</v>
      </c>
      <c r="GSD1" s="27" t="s">
        <v>5227</v>
      </c>
      <c r="GSE1" s="27" t="s">
        <v>5228</v>
      </c>
      <c r="GSF1" s="27" t="s">
        <v>5229</v>
      </c>
      <c r="GSG1" s="27" t="s">
        <v>5230</v>
      </c>
      <c r="GSH1" s="27" t="s">
        <v>5231</v>
      </c>
      <c r="GSI1" s="27" t="s">
        <v>5232</v>
      </c>
      <c r="GSJ1" s="27" t="s">
        <v>5233</v>
      </c>
      <c r="GSK1" s="27" t="s">
        <v>5234</v>
      </c>
      <c r="GSL1" s="27" t="s">
        <v>5235</v>
      </c>
      <c r="GSM1" s="27" t="s">
        <v>5236</v>
      </c>
      <c r="GSN1" s="27" t="s">
        <v>5237</v>
      </c>
      <c r="GSO1" s="27" t="s">
        <v>5238</v>
      </c>
      <c r="GSP1" s="27" t="s">
        <v>5239</v>
      </c>
      <c r="GSQ1" s="27" t="s">
        <v>5240</v>
      </c>
      <c r="GSR1" s="27" t="s">
        <v>5241</v>
      </c>
    </row>
    <row r="2" spans="1:5244" x14ac:dyDescent="0.2">
      <c r="A2" s="7">
        <v>10</v>
      </c>
      <c r="B2">
        <v>0</v>
      </c>
      <c r="C2">
        <v>2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4</v>
      </c>
      <c r="AB2">
        <v>4</v>
      </c>
      <c r="AC2">
        <v>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5</v>
      </c>
      <c r="BI2">
        <v>5</v>
      </c>
      <c r="BJ2">
        <v>5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6</v>
      </c>
      <c r="CU2">
        <v>6</v>
      </c>
      <c r="CV2">
        <v>6</v>
      </c>
      <c r="CW2">
        <v>6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7</v>
      </c>
      <c r="FK2">
        <v>7</v>
      </c>
      <c r="FL2">
        <v>7</v>
      </c>
      <c r="FM2">
        <v>7</v>
      </c>
      <c r="FN2">
        <v>7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8</v>
      </c>
      <c r="HV2">
        <v>8</v>
      </c>
      <c r="HW2">
        <v>8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9</v>
      </c>
      <c r="JV2">
        <v>9</v>
      </c>
      <c r="JW2">
        <v>9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10</v>
      </c>
      <c r="LR2">
        <v>10</v>
      </c>
      <c r="LS2">
        <v>10</v>
      </c>
      <c r="LT2">
        <v>10</v>
      </c>
      <c r="LU2">
        <v>10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11</v>
      </c>
      <c r="NV2">
        <v>11</v>
      </c>
      <c r="NW2">
        <v>11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12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15</v>
      </c>
      <c r="WV2">
        <v>15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16</v>
      </c>
      <c r="YX2">
        <v>16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17</v>
      </c>
      <c r="AAT2">
        <v>17</v>
      </c>
      <c r="AAU2">
        <v>17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16</v>
      </c>
      <c r="ACM2">
        <v>18</v>
      </c>
      <c r="ACN2">
        <v>18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17</v>
      </c>
      <c r="AES2">
        <v>19</v>
      </c>
      <c r="AET2">
        <v>19</v>
      </c>
      <c r="AEU2">
        <v>19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20</v>
      </c>
      <c r="AHA2">
        <v>12</v>
      </c>
      <c r="AHB2">
        <v>20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21</v>
      </c>
      <c r="AJC2">
        <v>21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22</v>
      </c>
      <c r="ALA2">
        <v>22</v>
      </c>
      <c r="ALB2">
        <v>22</v>
      </c>
      <c r="ALC2">
        <v>7</v>
      </c>
      <c r="ALD2">
        <v>22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23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7</v>
      </c>
      <c r="AOQ2">
        <v>24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9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26</v>
      </c>
      <c r="ASA2">
        <v>26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27</v>
      </c>
      <c r="ATJ2">
        <v>20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28</v>
      </c>
      <c r="AUY2">
        <v>28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29</v>
      </c>
      <c r="AWJ2">
        <v>29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30</v>
      </c>
      <c r="AXT2">
        <v>30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15</v>
      </c>
      <c r="AYW2">
        <v>31</v>
      </c>
      <c r="AYX2">
        <v>31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31.99</v>
      </c>
      <c r="AZZ2">
        <v>0</v>
      </c>
      <c r="BAA2">
        <v>0</v>
      </c>
      <c r="BAB2">
        <v>0</v>
      </c>
      <c r="BAC2">
        <v>0</v>
      </c>
      <c r="BAD2">
        <v>13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33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34</v>
      </c>
      <c r="BDF2">
        <v>34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35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37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39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16</v>
      </c>
      <c r="BLF2">
        <v>40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20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6</v>
      </c>
      <c r="BNB2">
        <v>42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43</v>
      </c>
      <c r="BOH2">
        <v>18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44</v>
      </c>
      <c r="BPI2">
        <v>44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46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48</v>
      </c>
      <c r="BSY2">
        <v>48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48.99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50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19</v>
      </c>
      <c r="BXN2">
        <v>27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29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7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59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60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24</v>
      </c>
      <c r="CDQ2">
        <v>62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37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59</v>
      </c>
      <c r="CGQ2">
        <v>66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51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45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18</v>
      </c>
      <c r="CLU2">
        <v>74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42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78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30.99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79.989999999999995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82</v>
      </c>
      <c r="CPS2">
        <v>0</v>
      </c>
      <c r="CPT2">
        <v>0</v>
      </c>
      <c r="CPU2">
        <v>0</v>
      </c>
      <c r="CPV2">
        <v>83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58.99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85</v>
      </c>
      <c r="CQT2">
        <v>0</v>
      </c>
      <c r="CQU2">
        <v>0</v>
      </c>
      <c r="CQV2">
        <v>0</v>
      </c>
      <c r="CQW2">
        <v>0</v>
      </c>
      <c r="CQX2">
        <v>25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14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60.99</v>
      </c>
      <c r="CSG2">
        <v>0</v>
      </c>
      <c r="CSH2">
        <v>68</v>
      </c>
      <c r="CSI2">
        <v>89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47</v>
      </c>
      <c r="CSZ2">
        <v>25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90.99</v>
      </c>
      <c r="CTH2">
        <v>0</v>
      </c>
      <c r="CTI2">
        <v>0</v>
      </c>
      <c r="CTJ2">
        <v>0</v>
      </c>
      <c r="CTK2">
        <v>0</v>
      </c>
      <c r="CTL2">
        <v>41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39</v>
      </c>
      <c r="CTV2">
        <v>34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27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97</v>
      </c>
      <c r="CVV2">
        <v>27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9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101.98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49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104.99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107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27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2</v>
      </c>
      <c r="DDA2">
        <v>0</v>
      </c>
      <c r="DDB2">
        <v>0</v>
      </c>
      <c r="DDC2">
        <v>0</v>
      </c>
      <c r="DDD2">
        <v>0</v>
      </c>
      <c r="DDE2">
        <v>116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118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120.99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62</v>
      </c>
      <c r="DFU2">
        <v>0</v>
      </c>
      <c r="DFV2">
        <v>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29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8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137.99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139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23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40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55</v>
      </c>
      <c r="DNN2">
        <v>0</v>
      </c>
      <c r="DNO2">
        <v>0</v>
      </c>
      <c r="DNP2">
        <v>0</v>
      </c>
      <c r="DNQ2">
        <v>0</v>
      </c>
      <c r="DNR2">
        <v>150.99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0</v>
      </c>
      <c r="DPP2">
        <v>0</v>
      </c>
      <c r="DPQ2">
        <v>159</v>
      </c>
      <c r="DPR2">
        <v>0</v>
      </c>
      <c r="DPS2">
        <v>0</v>
      </c>
      <c r="DPT2">
        <v>0</v>
      </c>
      <c r="DPU2">
        <v>160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127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4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21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69.989999999999995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133.99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21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145</v>
      </c>
      <c r="DUN2">
        <v>0</v>
      </c>
      <c r="DUO2">
        <v>0</v>
      </c>
      <c r="DUP2">
        <v>184.99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199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202</v>
      </c>
      <c r="DXE2">
        <v>0</v>
      </c>
      <c r="DXF2">
        <v>0</v>
      </c>
      <c r="DXG2">
        <v>0</v>
      </c>
      <c r="DXH2">
        <v>170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24.99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151.99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221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125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111</v>
      </c>
      <c r="EBC2">
        <v>79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11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234.98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25</v>
      </c>
      <c r="ECC2">
        <v>0</v>
      </c>
      <c r="ECD2">
        <v>48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241.99</v>
      </c>
      <c r="ECN2">
        <v>12</v>
      </c>
      <c r="ECO2">
        <v>0</v>
      </c>
      <c r="ECP2">
        <v>0</v>
      </c>
      <c r="ECQ2">
        <v>0</v>
      </c>
      <c r="ECR2">
        <v>0</v>
      </c>
      <c r="ECS2">
        <v>231.99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250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4</v>
      </c>
      <c r="EDS2">
        <v>0</v>
      </c>
      <c r="EDT2">
        <v>0</v>
      </c>
      <c r="EDU2">
        <v>0</v>
      </c>
      <c r="EDV2">
        <v>0</v>
      </c>
      <c r="EDW2">
        <v>54</v>
      </c>
      <c r="EDX2">
        <v>0</v>
      </c>
      <c r="EDY2">
        <v>0</v>
      </c>
      <c r="EDZ2">
        <v>0</v>
      </c>
      <c r="EEA2">
        <v>0</v>
      </c>
      <c r="EEB2">
        <v>256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122</v>
      </c>
      <c r="EEI2">
        <v>258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153</v>
      </c>
      <c r="EFW2">
        <v>0</v>
      </c>
      <c r="EFX2">
        <v>0</v>
      </c>
      <c r="EFY2">
        <v>38</v>
      </c>
      <c r="EFZ2">
        <v>0</v>
      </c>
      <c r="EGA2">
        <v>0</v>
      </c>
      <c r="EGB2">
        <v>270</v>
      </c>
      <c r="EGC2">
        <v>0</v>
      </c>
      <c r="EGD2">
        <v>0</v>
      </c>
      <c r="EGE2">
        <v>0</v>
      </c>
      <c r="EGF2">
        <v>0</v>
      </c>
      <c r="EGG2">
        <v>273</v>
      </c>
      <c r="EGH2">
        <v>0</v>
      </c>
      <c r="EGI2">
        <v>0</v>
      </c>
      <c r="EGJ2">
        <v>0</v>
      </c>
      <c r="EGK2">
        <v>273.99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19</v>
      </c>
      <c r="EHC2">
        <v>0</v>
      </c>
      <c r="EHD2">
        <v>0</v>
      </c>
      <c r="EHE2">
        <v>0</v>
      </c>
      <c r="EHF2">
        <v>0</v>
      </c>
      <c r="EHG2">
        <v>74</v>
      </c>
      <c r="EHH2">
        <v>0</v>
      </c>
      <c r="EHI2">
        <v>0</v>
      </c>
      <c r="EHJ2">
        <v>0</v>
      </c>
      <c r="EHK2">
        <v>0</v>
      </c>
      <c r="EHL2">
        <v>101</v>
      </c>
      <c r="EHM2">
        <v>0</v>
      </c>
      <c r="EHN2">
        <v>0</v>
      </c>
      <c r="EHO2">
        <v>0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0</v>
      </c>
      <c r="EIB2">
        <v>0</v>
      </c>
      <c r="EIC2">
        <v>0</v>
      </c>
      <c r="EID2">
        <v>0</v>
      </c>
      <c r="EIE2">
        <v>0</v>
      </c>
      <c r="EIF2">
        <v>0</v>
      </c>
      <c r="EIG2">
        <v>0</v>
      </c>
      <c r="EIH2">
        <v>0</v>
      </c>
      <c r="EII2">
        <v>0</v>
      </c>
      <c r="EIJ2">
        <v>0</v>
      </c>
      <c r="EIK2">
        <v>0</v>
      </c>
      <c r="EIL2">
        <v>0</v>
      </c>
      <c r="EIM2">
        <v>0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51.99</v>
      </c>
      <c r="EIU2">
        <v>0</v>
      </c>
      <c r="EIV2">
        <v>0</v>
      </c>
      <c r="EIW2">
        <v>0</v>
      </c>
      <c r="EIX2">
        <v>0</v>
      </c>
      <c r="EIY2">
        <v>0</v>
      </c>
      <c r="EIZ2">
        <v>0</v>
      </c>
      <c r="EJA2">
        <v>8</v>
      </c>
      <c r="EJB2">
        <v>0</v>
      </c>
      <c r="EJC2">
        <v>0</v>
      </c>
      <c r="EJD2">
        <v>0</v>
      </c>
      <c r="EJE2">
        <v>0</v>
      </c>
      <c r="EJF2">
        <v>0</v>
      </c>
      <c r="EJG2">
        <v>0</v>
      </c>
      <c r="EJH2">
        <v>0</v>
      </c>
      <c r="EJI2">
        <v>0</v>
      </c>
      <c r="EJJ2">
        <v>0</v>
      </c>
      <c r="EJK2">
        <v>0</v>
      </c>
      <c r="EJL2">
        <v>0</v>
      </c>
      <c r="EJM2">
        <v>0</v>
      </c>
      <c r="EJN2">
        <v>0</v>
      </c>
      <c r="EJO2">
        <v>0</v>
      </c>
      <c r="EJP2">
        <v>310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0</v>
      </c>
      <c r="EJX2">
        <v>0</v>
      </c>
      <c r="EJY2">
        <v>0</v>
      </c>
      <c r="EJZ2">
        <v>0</v>
      </c>
      <c r="EKA2">
        <v>0</v>
      </c>
      <c r="EKB2">
        <v>0</v>
      </c>
      <c r="EKC2">
        <v>0</v>
      </c>
      <c r="EKD2">
        <v>0</v>
      </c>
      <c r="EKE2">
        <v>0</v>
      </c>
      <c r="EKF2">
        <v>0</v>
      </c>
      <c r="EKG2">
        <v>0</v>
      </c>
      <c r="EKH2">
        <v>0</v>
      </c>
      <c r="EKI2">
        <v>0</v>
      </c>
      <c r="EKJ2">
        <v>318.99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0</v>
      </c>
      <c r="EKV2">
        <v>0</v>
      </c>
      <c r="EKW2">
        <v>0</v>
      </c>
      <c r="EKX2">
        <v>209</v>
      </c>
      <c r="EKY2">
        <v>0</v>
      </c>
      <c r="EKZ2">
        <v>0</v>
      </c>
      <c r="ELA2">
        <v>0</v>
      </c>
      <c r="ELB2">
        <v>0</v>
      </c>
      <c r="ELC2">
        <v>0</v>
      </c>
      <c r="ELD2">
        <v>0</v>
      </c>
      <c r="ELE2">
        <v>0</v>
      </c>
      <c r="ELF2">
        <v>0</v>
      </c>
      <c r="ELG2">
        <v>0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330</v>
      </c>
      <c r="ELP2">
        <v>0</v>
      </c>
      <c r="ELQ2">
        <v>286.98</v>
      </c>
      <c r="ELR2">
        <v>0</v>
      </c>
      <c r="ELS2">
        <v>0</v>
      </c>
      <c r="ELT2">
        <v>0</v>
      </c>
      <c r="ELU2">
        <v>0</v>
      </c>
      <c r="ELV2">
        <v>0</v>
      </c>
      <c r="ELW2">
        <v>56</v>
      </c>
      <c r="ELX2">
        <v>0</v>
      </c>
      <c r="ELY2">
        <v>0</v>
      </c>
      <c r="ELZ2">
        <v>0</v>
      </c>
      <c r="EMA2">
        <v>0</v>
      </c>
      <c r="EMB2">
        <v>0</v>
      </c>
      <c r="EMC2">
        <v>0</v>
      </c>
      <c r="EMD2">
        <v>0</v>
      </c>
      <c r="EME2">
        <v>0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46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0</v>
      </c>
      <c r="EMS2">
        <v>0</v>
      </c>
      <c r="EMT2">
        <v>0</v>
      </c>
      <c r="EMU2">
        <v>0</v>
      </c>
      <c r="EMV2">
        <v>0</v>
      </c>
      <c r="EMW2">
        <v>0</v>
      </c>
      <c r="EMX2">
        <v>0</v>
      </c>
      <c r="EMY2">
        <v>0</v>
      </c>
      <c r="EMZ2">
        <v>0</v>
      </c>
      <c r="ENA2">
        <v>0</v>
      </c>
      <c r="ENB2">
        <v>0</v>
      </c>
      <c r="ENC2">
        <v>0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0</v>
      </c>
      <c r="ENQ2">
        <v>0</v>
      </c>
      <c r="ENR2">
        <v>0</v>
      </c>
      <c r="ENS2">
        <v>0</v>
      </c>
      <c r="ENT2">
        <v>0</v>
      </c>
      <c r="ENU2">
        <v>0</v>
      </c>
      <c r="ENV2">
        <v>0</v>
      </c>
      <c r="ENW2">
        <v>0</v>
      </c>
      <c r="ENX2">
        <v>0</v>
      </c>
      <c r="ENY2">
        <v>0</v>
      </c>
      <c r="ENZ2">
        <v>0</v>
      </c>
      <c r="EOA2">
        <v>0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0</v>
      </c>
      <c r="EON2">
        <v>0</v>
      </c>
      <c r="EOO2">
        <v>0</v>
      </c>
      <c r="EOP2">
        <v>0</v>
      </c>
      <c r="EOQ2">
        <v>0</v>
      </c>
      <c r="EOR2">
        <v>0</v>
      </c>
      <c r="EOS2">
        <v>0</v>
      </c>
      <c r="EOT2">
        <v>0</v>
      </c>
      <c r="EOU2">
        <v>0</v>
      </c>
      <c r="EOV2">
        <v>374.99</v>
      </c>
      <c r="EOW2">
        <v>9</v>
      </c>
      <c r="EOX2">
        <v>0</v>
      </c>
      <c r="EOY2">
        <v>196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0</v>
      </c>
      <c r="EPL2">
        <v>0</v>
      </c>
      <c r="EPM2">
        <v>0</v>
      </c>
      <c r="EPN2">
        <v>60.99</v>
      </c>
      <c r="EPO2">
        <v>0</v>
      </c>
      <c r="EPP2">
        <v>0</v>
      </c>
      <c r="EPQ2">
        <v>0</v>
      </c>
      <c r="EPR2">
        <v>0</v>
      </c>
      <c r="EPS2">
        <v>0</v>
      </c>
      <c r="EPT2">
        <v>0</v>
      </c>
      <c r="EPU2">
        <v>0</v>
      </c>
      <c r="EPV2">
        <v>386.99</v>
      </c>
      <c r="EPW2">
        <v>0</v>
      </c>
      <c r="EPX2">
        <v>0</v>
      </c>
      <c r="EPY2">
        <v>0</v>
      </c>
      <c r="EPZ2">
        <v>331</v>
      </c>
      <c r="EQA2">
        <v>0</v>
      </c>
      <c r="EQB2">
        <v>0</v>
      </c>
      <c r="EQC2">
        <v>0</v>
      </c>
      <c r="EQD2">
        <v>389.99</v>
      </c>
      <c r="EQE2">
        <v>0</v>
      </c>
      <c r="EQF2">
        <v>0</v>
      </c>
      <c r="EQG2">
        <v>0</v>
      </c>
      <c r="EQH2">
        <v>0</v>
      </c>
      <c r="EQI2">
        <v>0</v>
      </c>
      <c r="EQJ2">
        <v>0</v>
      </c>
      <c r="EQK2">
        <v>11</v>
      </c>
      <c r="EQL2">
        <v>0</v>
      </c>
      <c r="EQM2">
        <v>0</v>
      </c>
      <c r="EQN2">
        <v>0</v>
      </c>
      <c r="EQO2">
        <v>0</v>
      </c>
      <c r="EQP2">
        <v>0</v>
      </c>
      <c r="EQQ2">
        <v>0</v>
      </c>
      <c r="EQR2">
        <v>0</v>
      </c>
      <c r="EQS2">
        <v>0</v>
      </c>
      <c r="EQT2">
        <v>0</v>
      </c>
      <c r="EQU2">
        <v>0</v>
      </c>
      <c r="EQV2">
        <v>0</v>
      </c>
      <c r="EQW2">
        <v>326.99</v>
      </c>
      <c r="EQX2">
        <v>0</v>
      </c>
      <c r="EQY2">
        <v>0</v>
      </c>
      <c r="EQZ2">
        <v>0</v>
      </c>
      <c r="ERA2">
        <v>121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0</v>
      </c>
      <c r="ERH2">
        <v>0</v>
      </c>
      <c r="ERI2">
        <v>0</v>
      </c>
      <c r="ERJ2">
        <v>0</v>
      </c>
      <c r="ERK2">
        <v>0</v>
      </c>
      <c r="ERL2">
        <v>0</v>
      </c>
      <c r="ERM2">
        <v>258.99</v>
      </c>
      <c r="ERN2">
        <v>0</v>
      </c>
      <c r="ERO2">
        <v>0</v>
      </c>
      <c r="ERP2">
        <v>0</v>
      </c>
      <c r="ERQ2">
        <v>0</v>
      </c>
      <c r="ERR2">
        <v>0</v>
      </c>
      <c r="ERS2">
        <v>0</v>
      </c>
      <c r="ERT2">
        <v>0</v>
      </c>
      <c r="ERU2">
        <v>362.99</v>
      </c>
      <c r="ERV2">
        <v>0</v>
      </c>
      <c r="ERW2">
        <v>0</v>
      </c>
      <c r="ERX2">
        <v>258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0</v>
      </c>
      <c r="ESF2">
        <v>0</v>
      </c>
      <c r="ESG2">
        <v>0</v>
      </c>
      <c r="ESH2">
        <v>0</v>
      </c>
      <c r="ESI2">
        <v>0</v>
      </c>
      <c r="ESJ2">
        <v>0</v>
      </c>
      <c r="ESK2">
        <v>0</v>
      </c>
      <c r="ESL2">
        <v>0</v>
      </c>
      <c r="ESM2">
        <v>0</v>
      </c>
      <c r="ESN2">
        <v>0</v>
      </c>
      <c r="ESO2">
        <v>0</v>
      </c>
      <c r="ESP2">
        <v>0</v>
      </c>
      <c r="ESQ2">
        <v>0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11</v>
      </c>
      <c r="ETA2">
        <v>428</v>
      </c>
      <c r="ETB2">
        <v>0</v>
      </c>
      <c r="ETC2">
        <v>0</v>
      </c>
      <c r="ETD2">
        <v>0</v>
      </c>
      <c r="ETE2">
        <v>0</v>
      </c>
      <c r="ETF2">
        <v>0</v>
      </c>
      <c r="ETG2">
        <v>0</v>
      </c>
      <c r="ETH2">
        <v>0</v>
      </c>
      <c r="ETI2">
        <v>0</v>
      </c>
      <c r="ETJ2">
        <v>0</v>
      </c>
      <c r="ETK2">
        <v>435.98</v>
      </c>
      <c r="ETL2">
        <v>0</v>
      </c>
      <c r="ETM2">
        <v>0</v>
      </c>
      <c r="ETN2">
        <v>0</v>
      </c>
      <c r="ETO2">
        <v>0</v>
      </c>
      <c r="ETP2">
        <v>0</v>
      </c>
      <c r="ETQ2">
        <v>0</v>
      </c>
      <c r="ETR2">
        <v>13</v>
      </c>
      <c r="ETS2">
        <v>0</v>
      </c>
      <c r="ETT2">
        <v>440.99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0</v>
      </c>
      <c r="EUB2">
        <v>0</v>
      </c>
      <c r="EUC2">
        <v>0</v>
      </c>
      <c r="EUD2">
        <v>0</v>
      </c>
      <c r="EUE2">
        <v>0</v>
      </c>
      <c r="EUF2">
        <v>0</v>
      </c>
      <c r="EUG2">
        <v>0</v>
      </c>
      <c r="EUH2">
        <v>446.99</v>
      </c>
      <c r="EUI2">
        <v>0</v>
      </c>
      <c r="EUJ2">
        <v>0</v>
      </c>
      <c r="EUK2">
        <v>0</v>
      </c>
      <c r="EUL2">
        <v>0</v>
      </c>
      <c r="EUM2">
        <v>0</v>
      </c>
      <c r="EUN2">
        <v>0</v>
      </c>
      <c r="EUO2">
        <v>0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0</v>
      </c>
      <c r="EUX2">
        <v>4</v>
      </c>
      <c r="EUY2">
        <v>0</v>
      </c>
      <c r="EUZ2">
        <v>0</v>
      </c>
      <c r="EVA2">
        <v>0</v>
      </c>
      <c r="EVB2">
        <v>0</v>
      </c>
      <c r="EVC2">
        <v>0</v>
      </c>
      <c r="EVD2">
        <v>0</v>
      </c>
      <c r="EVE2">
        <v>0</v>
      </c>
      <c r="EVF2">
        <v>407</v>
      </c>
      <c r="EVG2">
        <v>0</v>
      </c>
      <c r="EVH2">
        <v>0</v>
      </c>
      <c r="EVI2">
        <v>0</v>
      </c>
      <c r="EVJ2">
        <v>0</v>
      </c>
      <c r="EVK2">
        <v>0</v>
      </c>
      <c r="EVL2">
        <v>0</v>
      </c>
      <c r="EVM2">
        <v>167.99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0</v>
      </c>
      <c r="EVX2">
        <v>0</v>
      </c>
      <c r="EVY2">
        <v>0</v>
      </c>
      <c r="EVZ2">
        <v>0</v>
      </c>
      <c r="EWA2">
        <v>0</v>
      </c>
      <c r="EWB2">
        <v>0</v>
      </c>
      <c r="EWC2">
        <v>0</v>
      </c>
      <c r="EWD2">
        <v>0</v>
      </c>
      <c r="EWE2">
        <v>0</v>
      </c>
      <c r="EWF2">
        <v>0</v>
      </c>
      <c r="EWG2">
        <v>0</v>
      </c>
      <c r="EWH2">
        <v>0</v>
      </c>
      <c r="EWI2">
        <v>0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291</v>
      </c>
      <c r="EWP2">
        <v>0</v>
      </c>
      <c r="EWQ2">
        <v>0</v>
      </c>
      <c r="EWR2">
        <v>0</v>
      </c>
      <c r="EWS2">
        <v>18.989999999999998</v>
      </c>
      <c r="EWT2">
        <v>0</v>
      </c>
      <c r="EWU2">
        <v>491.98</v>
      </c>
      <c r="EWV2">
        <v>0</v>
      </c>
      <c r="EWW2">
        <v>0</v>
      </c>
      <c r="EWX2">
        <v>0</v>
      </c>
      <c r="EWY2">
        <v>0</v>
      </c>
      <c r="EWZ2">
        <v>0</v>
      </c>
      <c r="EXA2">
        <v>0</v>
      </c>
      <c r="EXB2">
        <v>0</v>
      </c>
      <c r="EXC2">
        <v>8</v>
      </c>
      <c r="EXD2">
        <v>0</v>
      </c>
      <c r="EXE2">
        <v>0</v>
      </c>
      <c r="EXF2">
        <v>0</v>
      </c>
      <c r="EXG2">
        <v>0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460</v>
      </c>
      <c r="EXR2">
        <v>0</v>
      </c>
      <c r="EXS2">
        <v>0</v>
      </c>
      <c r="EXT2">
        <v>0</v>
      </c>
      <c r="EXU2">
        <v>0</v>
      </c>
      <c r="EXV2">
        <v>0</v>
      </c>
      <c r="EXW2">
        <v>0</v>
      </c>
      <c r="EXX2">
        <v>0</v>
      </c>
      <c r="EXY2">
        <v>0</v>
      </c>
      <c r="EXZ2">
        <v>0</v>
      </c>
      <c r="EYA2">
        <v>56</v>
      </c>
      <c r="EYB2">
        <v>0</v>
      </c>
      <c r="EYC2">
        <v>0</v>
      </c>
      <c r="EYD2">
        <v>0</v>
      </c>
      <c r="EYE2">
        <v>0</v>
      </c>
      <c r="EYF2">
        <v>0</v>
      </c>
      <c r="EYG2">
        <v>522.96</v>
      </c>
      <c r="EYH2">
        <v>0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11</v>
      </c>
      <c r="EYQ2">
        <v>0</v>
      </c>
      <c r="EYR2">
        <v>0</v>
      </c>
      <c r="EYS2">
        <v>0</v>
      </c>
      <c r="EYT2">
        <v>0</v>
      </c>
      <c r="EYU2">
        <v>0</v>
      </c>
      <c r="EYV2">
        <v>0</v>
      </c>
      <c r="EYW2">
        <v>0</v>
      </c>
      <c r="EYX2">
        <v>0</v>
      </c>
      <c r="EYY2">
        <v>0</v>
      </c>
      <c r="EYZ2">
        <v>0</v>
      </c>
      <c r="EZA2">
        <v>0</v>
      </c>
      <c r="EZB2">
        <v>0</v>
      </c>
      <c r="EZC2">
        <v>0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13</v>
      </c>
      <c r="EZJ2">
        <v>0</v>
      </c>
      <c r="EZK2">
        <v>5</v>
      </c>
      <c r="EZL2">
        <v>0</v>
      </c>
      <c r="EZM2">
        <v>0</v>
      </c>
      <c r="EZN2">
        <v>0</v>
      </c>
      <c r="EZO2">
        <v>88</v>
      </c>
      <c r="EZP2">
        <v>0</v>
      </c>
      <c r="EZQ2">
        <v>0</v>
      </c>
      <c r="EZR2">
        <v>0</v>
      </c>
      <c r="EZS2">
        <v>0</v>
      </c>
      <c r="EZT2">
        <v>20</v>
      </c>
      <c r="EZU2">
        <v>0</v>
      </c>
      <c r="EZV2">
        <v>0</v>
      </c>
      <c r="EZW2">
        <v>0</v>
      </c>
      <c r="EZX2">
        <v>0</v>
      </c>
      <c r="EZY2">
        <v>0</v>
      </c>
      <c r="EZZ2">
        <v>0</v>
      </c>
      <c r="FAA2">
        <v>0</v>
      </c>
      <c r="FAB2">
        <v>0</v>
      </c>
      <c r="FAC2">
        <v>557.99</v>
      </c>
      <c r="FAD2">
        <v>0</v>
      </c>
      <c r="FAE2">
        <v>0</v>
      </c>
      <c r="FAF2">
        <v>560.97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0</v>
      </c>
      <c r="FAN2">
        <v>0</v>
      </c>
      <c r="FAO2">
        <v>0</v>
      </c>
      <c r="FAP2">
        <v>0</v>
      </c>
      <c r="FAQ2">
        <v>0</v>
      </c>
      <c r="FAR2">
        <v>0</v>
      </c>
      <c r="FAS2">
        <v>0</v>
      </c>
      <c r="FAT2">
        <v>0</v>
      </c>
      <c r="FAU2">
        <v>0</v>
      </c>
      <c r="FAV2">
        <v>0</v>
      </c>
      <c r="FAW2">
        <v>0</v>
      </c>
      <c r="FAX2">
        <v>0</v>
      </c>
      <c r="FAY2">
        <v>0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0</v>
      </c>
      <c r="FBL2">
        <v>0</v>
      </c>
      <c r="FBM2">
        <v>0</v>
      </c>
      <c r="FBN2">
        <v>104</v>
      </c>
      <c r="FBO2">
        <v>0</v>
      </c>
      <c r="FBP2">
        <v>0</v>
      </c>
      <c r="FBQ2">
        <v>0</v>
      </c>
      <c r="FBR2">
        <v>0</v>
      </c>
      <c r="FBS2">
        <v>0</v>
      </c>
      <c r="FBT2">
        <v>0</v>
      </c>
      <c r="FBU2">
        <v>0</v>
      </c>
      <c r="FBV2">
        <v>0</v>
      </c>
      <c r="FBW2">
        <v>0</v>
      </c>
      <c r="FBX2">
        <v>0</v>
      </c>
      <c r="FBY2">
        <v>7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67.989999999999995</v>
      </c>
      <c r="FCI2">
        <v>0</v>
      </c>
      <c r="FCJ2">
        <v>0</v>
      </c>
      <c r="FCK2">
        <v>0</v>
      </c>
      <c r="FCL2">
        <v>0</v>
      </c>
      <c r="FCM2">
        <v>0</v>
      </c>
      <c r="FCN2">
        <v>0</v>
      </c>
      <c r="FCO2">
        <v>0</v>
      </c>
      <c r="FCP2">
        <v>0</v>
      </c>
      <c r="FCQ2">
        <v>0</v>
      </c>
      <c r="FCR2">
        <v>0</v>
      </c>
      <c r="FCS2">
        <v>0</v>
      </c>
      <c r="FCT2">
        <v>0</v>
      </c>
      <c r="FCU2">
        <v>0</v>
      </c>
      <c r="FCV2">
        <v>0</v>
      </c>
      <c r="FCW2">
        <v>632.95000000000005</v>
      </c>
      <c r="FCX2">
        <v>0</v>
      </c>
      <c r="FCY2">
        <v>0</v>
      </c>
      <c r="FCZ2">
        <v>635.96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10</v>
      </c>
      <c r="FDG2">
        <v>0</v>
      </c>
      <c r="FDH2">
        <v>0</v>
      </c>
      <c r="FDI2">
        <v>0</v>
      </c>
      <c r="FDJ2">
        <v>0</v>
      </c>
      <c r="FDK2">
        <v>0</v>
      </c>
      <c r="FDL2">
        <v>261.99</v>
      </c>
      <c r="FDM2">
        <v>0</v>
      </c>
      <c r="FDN2">
        <v>0</v>
      </c>
      <c r="FDO2">
        <v>0</v>
      </c>
      <c r="FDP2">
        <v>0</v>
      </c>
      <c r="FDQ2">
        <v>0</v>
      </c>
      <c r="FDR2">
        <v>0</v>
      </c>
      <c r="FDS2">
        <v>0</v>
      </c>
      <c r="FDT2">
        <v>0</v>
      </c>
      <c r="FDU2">
        <v>4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0</v>
      </c>
      <c r="FEE2">
        <v>0</v>
      </c>
      <c r="FEF2">
        <v>669.96</v>
      </c>
      <c r="FEG2">
        <v>0</v>
      </c>
      <c r="FEH2">
        <v>0</v>
      </c>
      <c r="FEI2">
        <v>0</v>
      </c>
      <c r="FEJ2">
        <v>0</v>
      </c>
      <c r="FEK2">
        <v>0</v>
      </c>
      <c r="FEL2">
        <v>0</v>
      </c>
      <c r="FEM2">
        <v>30</v>
      </c>
      <c r="FEN2">
        <v>0</v>
      </c>
      <c r="FEO2">
        <v>346</v>
      </c>
      <c r="FEP2">
        <v>0</v>
      </c>
      <c r="FEQ2">
        <v>0</v>
      </c>
      <c r="FER2">
        <v>0</v>
      </c>
      <c r="FES2">
        <v>0</v>
      </c>
      <c r="FET2">
        <v>0</v>
      </c>
      <c r="FEU2">
        <v>0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0</v>
      </c>
      <c r="FFD2">
        <v>0</v>
      </c>
      <c r="FFE2">
        <v>0</v>
      </c>
      <c r="FFF2">
        <v>0</v>
      </c>
      <c r="FFG2">
        <v>0</v>
      </c>
      <c r="FFH2">
        <v>0</v>
      </c>
      <c r="FFI2">
        <v>0</v>
      </c>
      <c r="FFJ2">
        <v>0</v>
      </c>
      <c r="FFK2">
        <v>0</v>
      </c>
      <c r="FFL2">
        <v>0</v>
      </c>
      <c r="FFM2">
        <v>0</v>
      </c>
      <c r="FFN2">
        <v>0</v>
      </c>
      <c r="FFO2">
        <v>0</v>
      </c>
      <c r="FFP2">
        <v>0</v>
      </c>
      <c r="FFQ2">
        <v>0</v>
      </c>
      <c r="FFR2">
        <v>0</v>
      </c>
      <c r="FFS2">
        <v>0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0</v>
      </c>
      <c r="FGB2">
        <v>0</v>
      </c>
      <c r="FGC2">
        <v>0</v>
      </c>
      <c r="FGD2">
        <v>0</v>
      </c>
      <c r="FGE2">
        <v>0</v>
      </c>
      <c r="FGF2">
        <v>0</v>
      </c>
      <c r="FGG2">
        <v>0</v>
      </c>
      <c r="FGH2">
        <v>0</v>
      </c>
      <c r="FGI2">
        <v>0</v>
      </c>
      <c r="FGJ2">
        <v>0</v>
      </c>
      <c r="FGK2">
        <v>6</v>
      </c>
      <c r="FGL2">
        <v>0</v>
      </c>
      <c r="FGM2">
        <v>0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0</v>
      </c>
      <c r="FHA2">
        <v>0</v>
      </c>
      <c r="FHB2">
        <v>0</v>
      </c>
      <c r="FHC2">
        <v>0</v>
      </c>
      <c r="FHD2">
        <v>0</v>
      </c>
      <c r="FHE2">
        <v>0</v>
      </c>
      <c r="FHF2">
        <v>0</v>
      </c>
      <c r="FHG2">
        <v>0</v>
      </c>
      <c r="FHH2">
        <v>0</v>
      </c>
      <c r="FHI2">
        <v>0</v>
      </c>
      <c r="FHJ2">
        <v>0</v>
      </c>
      <c r="FHK2">
        <v>0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0</v>
      </c>
      <c r="FHX2">
        <v>0</v>
      </c>
      <c r="FHY2">
        <v>0</v>
      </c>
      <c r="FHZ2">
        <v>0</v>
      </c>
      <c r="FIA2">
        <v>0</v>
      </c>
      <c r="FIB2">
        <v>0</v>
      </c>
      <c r="FIC2">
        <v>0</v>
      </c>
      <c r="FID2">
        <v>754.94</v>
      </c>
      <c r="FIE2">
        <v>0</v>
      </c>
      <c r="FIF2">
        <v>0</v>
      </c>
      <c r="FIG2">
        <v>0</v>
      </c>
      <c r="FIH2">
        <v>0</v>
      </c>
      <c r="FII2">
        <v>0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56</v>
      </c>
      <c r="FIP2">
        <v>0</v>
      </c>
      <c r="FIQ2">
        <v>0</v>
      </c>
      <c r="FIR2">
        <v>0</v>
      </c>
      <c r="FIS2">
        <v>0</v>
      </c>
      <c r="FIT2">
        <v>5</v>
      </c>
      <c r="FIU2">
        <v>0</v>
      </c>
      <c r="FIV2">
        <v>0</v>
      </c>
      <c r="FIW2">
        <v>0</v>
      </c>
      <c r="FIX2">
        <v>0</v>
      </c>
      <c r="FIY2">
        <v>0</v>
      </c>
      <c r="FIZ2">
        <v>0</v>
      </c>
      <c r="FJA2">
        <v>0</v>
      </c>
      <c r="FJB2">
        <v>0</v>
      </c>
      <c r="FJC2">
        <v>0</v>
      </c>
      <c r="FJD2">
        <v>0</v>
      </c>
      <c r="FJE2">
        <v>0</v>
      </c>
      <c r="FJF2">
        <v>0</v>
      </c>
      <c r="FJG2">
        <v>0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0</v>
      </c>
      <c r="FJT2">
        <v>25</v>
      </c>
      <c r="FJU2">
        <v>0</v>
      </c>
      <c r="FJV2">
        <v>0</v>
      </c>
      <c r="FJW2">
        <v>0</v>
      </c>
      <c r="FJX2">
        <v>0</v>
      </c>
      <c r="FJY2">
        <v>849.98</v>
      </c>
      <c r="FJZ2">
        <v>0</v>
      </c>
      <c r="FKA2">
        <v>0</v>
      </c>
      <c r="FKB2">
        <v>0</v>
      </c>
      <c r="FKC2">
        <v>0</v>
      </c>
      <c r="FKD2">
        <v>0</v>
      </c>
      <c r="FKE2">
        <v>0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877.98</v>
      </c>
      <c r="FKR2">
        <v>0</v>
      </c>
      <c r="FKS2">
        <v>0</v>
      </c>
      <c r="FKT2">
        <v>147</v>
      </c>
      <c r="FKU2">
        <v>0</v>
      </c>
      <c r="FKV2">
        <v>0</v>
      </c>
      <c r="FKW2">
        <v>21</v>
      </c>
      <c r="FKX2">
        <v>0</v>
      </c>
      <c r="FKY2">
        <v>0</v>
      </c>
      <c r="FKZ2">
        <v>0</v>
      </c>
      <c r="FLA2">
        <v>0</v>
      </c>
      <c r="FLB2">
        <v>0</v>
      </c>
      <c r="FLC2">
        <v>0</v>
      </c>
      <c r="FLD2">
        <v>0</v>
      </c>
      <c r="FLE2">
        <v>622.96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0</v>
      </c>
      <c r="FLP2">
        <v>0</v>
      </c>
      <c r="FLQ2">
        <v>0</v>
      </c>
      <c r="FLR2">
        <v>0</v>
      </c>
      <c r="FLS2">
        <v>551.99</v>
      </c>
      <c r="FLT2">
        <v>0</v>
      </c>
      <c r="FLU2">
        <v>0</v>
      </c>
      <c r="FLV2">
        <v>0</v>
      </c>
      <c r="FLW2">
        <v>0</v>
      </c>
      <c r="FLX2">
        <v>0</v>
      </c>
      <c r="FLY2">
        <v>0</v>
      </c>
      <c r="FLZ2">
        <v>0</v>
      </c>
      <c r="FMA2">
        <v>0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0</v>
      </c>
      <c r="FMN2">
        <v>0</v>
      </c>
      <c r="FMO2">
        <v>242.99</v>
      </c>
      <c r="FMP2">
        <v>476</v>
      </c>
      <c r="FMQ2">
        <v>0</v>
      </c>
      <c r="FMR2">
        <v>0</v>
      </c>
      <c r="FMS2">
        <v>0</v>
      </c>
      <c r="FMT2">
        <v>0</v>
      </c>
      <c r="FMU2">
        <v>0</v>
      </c>
      <c r="FMV2">
        <v>0</v>
      </c>
      <c r="FMW2">
        <v>0</v>
      </c>
      <c r="FMX2">
        <v>0</v>
      </c>
      <c r="FMY2">
        <v>0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0</v>
      </c>
      <c r="FNL2">
        <v>0</v>
      </c>
      <c r="FNM2">
        <v>0</v>
      </c>
      <c r="FNN2">
        <v>0</v>
      </c>
      <c r="FNO2">
        <v>0</v>
      </c>
      <c r="FNP2">
        <v>1003.94</v>
      </c>
      <c r="FNQ2">
        <v>20</v>
      </c>
      <c r="FNR2">
        <v>0</v>
      </c>
      <c r="FNS2">
        <v>0</v>
      </c>
      <c r="FNT2">
        <v>0</v>
      </c>
      <c r="FNU2">
        <v>0</v>
      </c>
      <c r="FNV2">
        <v>0</v>
      </c>
      <c r="FNW2">
        <v>0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1012.96</v>
      </c>
      <c r="FOD2">
        <v>0</v>
      </c>
      <c r="FOE2">
        <v>125</v>
      </c>
      <c r="FOF2">
        <v>0</v>
      </c>
      <c r="FOG2">
        <v>0</v>
      </c>
      <c r="FOH2">
        <v>0</v>
      </c>
      <c r="FOI2">
        <v>0</v>
      </c>
      <c r="FOJ2">
        <v>1034.97</v>
      </c>
      <c r="FOK2">
        <v>0</v>
      </c>
      <c r="FOL2">
        <v>0</v>
      </c>
      <c r="FOM2">
        <v>0</v>
      </c>
      <c r="FON2">
        <v>0</v>
      </c>
      <c r="FOO2">
        <v>390</v>
      </c>
      <c r="FOP2">
        <v>0</v>
      </c>
      <c r="FOQ2">
        <v>0</v>
      </c>
      <c r="FOR2">
        <v>0</v>
      </c>
      <c r="FOS2">
        <v>31</v>
      </c>
      <c r="FOT2">
        <v>76.989999999999995</v>
      </c>
      <c r="FOU2">
        <v>0</v>
      </c>
      <c r="FOV2">
        <v>1066</v>
      </c>
      <c r="FOW2">
        <v>0</v>
      </c>
      <c r="FOX2">
        <v>0</v>
      </c>
      <c r="FOY2">
        <v>0</v>
      </c>
      <c r="FOZ2">
        <v>0</v>
      </c>
      <c r="FPA2">
        <v>179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61</v>
      </c>
      <c r="FPH2">
        <v>7</v>
      </c>
      <c r="FPI2">
        <v>0</v>
      </c>
      <c r="FPJ2">
        <v>0</v>
      </c>
      <c r="FPK2">
        <v>0</v>
      </c>
      <c r="FPL2">
        <v>0</v>
      </c>
      <c r="FPM2">
        <v>0</v>
      </c>
      <c r="FPN2">
        <v>0</v>
      </c>
      <c r="FPO2">
        <v>0</v>
      </c>
      <c r="FPP2">
        <v>0</v>
      </c>
      <c r="FPQ2">
        <v>167</v>
      </c>
      <c r="FPR2">
        <v>0</v>
      </c>
      <c r="FPS2">
        <v>26</v>
      </c>
      <c r="FPT2">
        <v>0</v>
      </c>
      <c r="FPU2">
        <v>369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127.99</v>
      </c>
      <c r="FQE2">
        <v>193</v>
      </c>
      <c r="FQF2">
        <v>0</v>
      </c>
      <c r="FQG2">
        <v>0</v>
      </c>
      <c r="FQH2">
        <v>0</v>
      </c>
      <c r="FQI2">
        <v>0</v>
      </c>
      <c r="FQJ2">
        <v>0</v>
      </c>
      <c r="FQK2">
        <v>0</v>
      </c>
      <c r="FQL2">
        <v>0</v>
      </c>
      <c r="FQM2">
        <v>0</v>
      </c>
      <c r="FQN2">
        <v>0</v>
      </c>
      <c r="FQO2">
        <v>1163.97</v>
      </c>
      <c r="FQP2">
        <v>0</v>
      </c>
      <c r="FQQ2">
        <v>0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0</v>
      </c>
      <c r="FRE2">
        <v>0</v>
      </c>
      <c r="FRF2">
        <v>0</v>
      </c>
      <c r="FRG2">
        <v>0</v>
      </c>
      <c r="FRH2">
        <v>0</v>
      </c>
      <c r="FRI2">
        <v>0</v>
      </c>
      <c r="FRJ2">
        <v>1046.96</v>
      </c>
      <c r="FRK2">
        <v>125.98</v>
      </c>
      <c r="FRL2">
        <v>0</v>
      </c>
      <c r="FRM2">
        <v>21</v>
      </c>
      <c r="FRN2">
        <v>8</v>
      </c>
      <c r="FRO2">
        <v>0</v>
      </c>
      <c r="FRP2">
        <v>0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250.99</v>
      </c>
      <c r="FSA2">
        <v>0</v>
      </c>
      <c r="FSB2">
        <v>0</v>
      </c>
      <c r="FSC2">
        <v>0</v>
      </c>
      <c r="FSD2">
        <v>0</v>
      </c>
      <c r="FSE2">
        <v>0</v>
      </c>
      <c r="FSF2">
        <v>0</v>
      </c>
      <c r="FSG2">
        <v>0</v>
      </c>
      <c r="FSH2">
        <v>0</v>
      </c>
      <c r="FSI2">
        <v>0</v>
      </c>
      <c r="FSJ2">
        <v>0</v>
      </c>
      <c r="FSK2">
        <v>0</v>
      </c>
      <c r="FSL2">
        <v>0</v>
      </c>
      <c r="FSM2">
        <v>0</v>
      </c>
      <c r="FSN2">
        <v>0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1336.95</v>
      </c>
      <c r="FSU2">
        <v>0</v>
      </c>
      <c r="FSV2">
        <v>0</v>
      </c>
      <c r="FSW2">
        <v>0</v>
      </c>
      <c r="FSX2">
        <v>0</v>
      </c>
      <c r="FSY2">
        <v>0</v>
      </c>
      <c r="FSZ2">
        <v>0</v>
      </c>
      <c r="FTA2">
        <v>0</v>
      </c>
      <c r="FTB2">
        <v>0</v>
      </c>
      <c r="FTC2">
        <v>0</v>
      </c>
      <c r="FTD2">
        <v>0</v>
      </c>
      <c r="FTE2">
        <v>0</v>
      </c>
      <c r="FTF2">
        <v>0</v>
      </c>
      <c r="FTG2">
        <v>38</v>
      </c>
      <c r="FTH2">
        <v>0</v>
      </c>
      <c r="FTI2">
        <v>1054.98</v>
      </c>
      <c r="FTJ2">
        <v>0</v>
      </c>
      <c r="FTK2">
        <v>0</v>
      </c>
      <c r="FTL2">
        <v>0</v>
      </c>
      <c r="FTM2">
        <v>0</v>
      </c>
      <c r="FTN2">
        <v>0</v>
      </c>
      <c r="FTO2">
        <v>48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0</v>
      </c>
      <c r="FTY2">
        <v>0</v>
      </c>
      <c r="FTZ2">
        <v>21</v>
      </c>
      <c r="FUA2">
        <v>0</v>
      </c>
      <c r="FUB2">
        <v>0</v>
      </c>
      <c r="FUC2">
        <v>3.99</v>
      </c>
      <c r="FUD2">
        <v>0</v>
      </c>
      <c r="FUE2">
        <v>0</v>
      </c>
      <c r="FUF2">
        <v>0</v>
      </c>
      <c r="FUG2">
        <v>0</v>
      </c>
      <c r="FUH2">
        <v>0</v>
      </c>
      <c r="FUI2">
        <v>228</v>
      </c>
      <c r="FUJ2">
        <v>0</v>
      </c>
      <c r="FUK2">
        <v>0</v>
      </c>
      <c r="FUL2">
        <v>786.99</v>
      </c>
      <c r="FUM2">
        <v>1444.95</v>
      </c>
      <c r="FUN2">
        <v>0</v>
      </c>
      <c r="FUO2">
        <v>0</v>
      </c>
      <c r="FUP2">
        <v>0</v>
      </c>
      <c r="FUQ2">
        <v>0</v>
      </c>
      <c r="FUR2">
        <v>5.99</v>
      </c>
      <c r="FUS2">
        <v>0</v>
      </c>
      <c r="FUT2">
        <v>0</v>
      </c>
      <c r="FUU2">
        <v>0</v>
      </c>
      <c r="FUV2">
        <v>113.99</v>
      </c>
      <c r="FUW2">
        <v>0</v>
      </c>
      <c r="FUX2">
        <v>0</v>
      </c>
      <c r="FUY2">
        <v>0</v>
      </c>
      <c r="FUZ2">
        <v>0</v>
      </c>
      <c r="FVA2">
        <v>0</v>
      </c>
      <c r="FVB2">
        <v>0</v>
      </c>
      <c r="FVC2">
        <v>10</v>
      </c>
      <c r="FVD2">
        <v>0</v>
      </c>
      <c r="FVE2">
        <v>0</v>
      </c>
      <c r="FVF2">
        <v>0</v>
      </c>
      <c r="FVG2">
        <v>0</v>
      </c>
      <c r="FVH2">
        <v>0</v>
      </c>
      <c r="FVI2">
        <v>0</v>
      </c>
      <c r="FVJ2">
        <v>0</v>
      </c>
      <c r="FVK2">
        <v>998.96</v>
      </c>
      <c r="FVL2">
        <v>0</v>
      </c>
      <c r="FVM2">
        <v>1480.98</v>
      </c>
      <c r="FVN2">
        <v>17</v>
      </c>
      <c r="FVO2">
        <v>0</v>
      </c>
      <c r="FVP2">
        <v>147.99</v>
      </c>
      <c r="FVQ2">
        <v>0</v>
      </c>
      <c r="FVR2">
        <v>0</v>
      </c>
      <c r="FVS2">
        <v>0</v>
      </c>
      <c r="FVT2">
        <v>0</v>
      </c>
      <c r="FVU2">
        <v>0</v>
      </c>
      <c r="FVV2">
        <v>0</v>
      </c>
      <c r="FVW2">
        <v>633</v>
      </c>
      <c r="FVX2">
        <v>0</v>
      </c>
      <c r="FVY2">
        <v>0</v>
      </c>
      <c r="FVZ2">
        <v>91</v>
      </c>
      <c r="FWB2">
        <v>0</v>
      </c>
      <c r="FWC2">
        <v>0</v>
      </c>
      <c r="FWD2">
        <v>0</v>
      </c>
      <c r="FWE2">
        <v>0</v>
      </c>
      <c r="FWF2">
        <v>6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137</v>
      </c>
      <c r="FWN2">
        <v>637</v>
      </c>
      <c r="FWO2">
        <v>0</v>
      </c>
      <c r="FWP2">
        <v>0</v>
      </c>
      <c r="FWQ2">
        <v>0</v>
      </c>
      <c r="FWR2">
        <v>0</v>
      </c>
      <c r="FWS2">
        <v>0</v>
      </c>
      <c r="FWT2">
        <v>0</v>
      </c>
      <c r="FWU2">
        <v>502.98</v>
      </c>
      <c r="FWV2">
        <v>0</v>
      </c>
      <c r="FWW2">
        <v>0</v>
      </c>
      <c r="FWX2">
        <v>0</v>
      </c>
      <c r="FWY2">
        <v>1665.98</v>
      </c>
      <c r="FWZ2">
        <v>0</v>
      </c>
      <c r="FXA2">
        <v>0</v>
      </c>
      <c r="FXB2">
        <v>152</v>
      </c>
      <c r="FXC2">
        <v>0</v>
      </c>
      <c r="FXD2">
        <v>0</v>
      </c>
      <c r="FXE2">
        <v>0</v>
      </c>
      <c r="FXF2">
        <v>0</v>
      </c>
      <c r="FXG2">
        <v>0</v>
      </c>
      <c r="FXH2">
        <v>253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0</v>
      </c>
      <c r="FXP2">
        <v>0</v>
      </c>
      <c r="FXQ2">
        <v>0</v>
      </c>
      <c r="FXR2">
        <v>0</v>
      </c>
      <c r="FXS2">
        <v>0</v>
      </c>
      <c r="FXT2">
        <v>0</v>
      </c>
      <c r="FXU2">
        <v>0</v>
      </c>
      <c r="FXV2">
        <v>0</v>
      </c>
      <c r="FXW2">
        <v>0</v>
      </c>
      <c r="FXX2">
        <v>0</v>
      </c>
      <c r="FXY2">
        <v>0</v>
      </c>
      <c r="FXZ2">
        <v>0</v>
      </c>
      <c r="FYA2">
        <v>0</v>
      </c>
      <c r="FYB2">
        <v>0</v>
      </c>
      <c r="FYC2">
        <v>0</v>
      </c>
      <c r="FYD2">
        <v>212.99</v>
      </c>
      <c r="FYE2">
        <v>0</v>
      </c>
      <c r="FYF2">
        <v>0</v>
      </c>
      <c r="FYG2">
        <v>0</v>
      </c>
      <c r="FYH2">
        <v>586.98</v>
      </c>
      <c r="FYI2">
        <v>0</v>
      </c>
      <c r="FYJ2">
        <v>0</v>
      </c>
      <c r="FYK2">
        <v>0</v>
      </c>
      <c r="FYL2">
        <v>0</v>
      </c>
      <c r="FYM2">
        <v>0</v>
      </c>
      <c r="FYN2">
        <v>152</v>
      </c>
      <c r="FYO2">
        <v>0</v>
      </c>
      <c r="FYP2">
        <v>0</v>
      </c>
      <c r="FYQ2">
        <v>0</v>
      </c>
      <c r="FYR2">
        <v>0</v>
      </c>
      <c r="FYS2">
        <v>0</v>
      </c>
      <c r="FYT2">
        <v>0</v>
      </c>
      <c r="FYU2">
        <v>435.96</v>
      </c>
      <c r="FYV2">
        <v>0</v>
      </c>
      <c r="FYW2">
        <v>0</v>
      </c>
      <c r="FYX2">
        <v>0</v>
      </c>
      <c r="FYY2">
        <v>0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0</v>
      </c>
      <c r="FZL2">
        <v>0</v>
      </c>
      <c r="FZM2">
        <v>0</v>
      </c>
      <c r="FZN2">
        <v>0</v>
      </c>
      <c r="FZO2">
        <v>0</v>
      </c>
      <c r="FZP2">
        <v>295.99</v>
      </c>
      <c r="FZQ2">
        <v>0</v>
      </c>
      <c r="FZR2">
        <v>0</v>
      </c>
      <c r="FZS2">
        <v>0</v>
      </c>
      <c r="FZT2">
        <v>0</v>
      </c>
      <c r="FZU2">
        <v>0</v>
      </c>
      <c r="FZV2">
        <v>0</v>
      </c>
      <c r="FZW2">
        <v>0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29</v>
      </c>
      <c r="GAE2">
        <v>0</v>
      </c>
      <c r="GAF2">
        <v>0</v>
      </c>
      <c r="GAG2">
        <v>0</v>
      </c>
      <c r="GAH2">
        <v>0</v>
      </c>
      <c r="GAI2">
        <v>0</v>
      </c>
      <c r="GAJ2">
        <v>0</v>
      </c>
      <c r="GAK2">
        <v>0</v>
      </c>
      <c r="GAL2">
        <v>43</v>
      </c>
      <c r="GAM2">
        <v>2004.91</v>
      </c>
      <c r="GAN2">
        <v>0</v>
      </c>
      <c r="GAO2">
        <v>0</v>
      </c>
      <c r="GAP2">
        <v>0</v>
      </c>
      <c r="GAQ2">
        <v>0</v>
      </c>
      <c r="GAR2">
        <v>0</v>
      </c>
      <c r="GAS2">
        <v>0</v>
      </c>
      <c r="GAT2">
        <v>0</v>
      </c>
      <c r="GAU2">
        <v>0</v>
      </c>
      <c r="GAV2">
        <v>3</v>
      </c>
      <c r="GAW2">
        <v>0</v>
      </c>
      <c r="GAX2">
        <v>66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107</v>
      </c>
      <c r="GBF2">
        <v>0</v>
      </c>
      <c r="GBG2">
        <v>0</v>
      </c>
      <c r="GBH2">
        <v>0</v>
      </c>
      <c r="GBI2">
        <v>0</v>
      </c>
      <c r="GBJ2">
        <v>0</v>
      </c>
      <c r="GBK2">
        <v>0</v>
      </c>
      <c r="GBL2">
        <v>0</v>
      </c>
      <c r="GBM2">
        <v>0</v>
      </c>
      <c r="GBN2">
        <v>0</v>
      </c>
      <c r="GBO2">
        <v>0</v>
      </c>
      <c r="GBP2">
        <v>0</v>
      </c>
      <c r="GBQ2">
        <v>725.97</v>
      </c>
      <c r="GBR2">
        <v>0</v>
      </c>
      <c r="GBS2">
        <v>0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686.98</v>
      </c>
      <c r="GCC2">
        <v>0</v>
      </c>
      <c r="GCD2">
        <v>0</v>
      </c>
      <c r="GCE2">
        <v>0</v>
      </c>
      <c r="GCF2">
        <v>0</v>
      </c>
      <c r="GCG2">
        <v>0</v>
      </c>
      <c r="GCH2">
        <v>17</v>
      </c>
      <c r="GCI2">
        <v>0</v>
      </c>
      <c r="GCJ2">
        <v>0</v>
      </c>
      <c r="GCK2">
        <v>0</v>
      </c>
      <c r="GCL2">
        <v>0</v>
      </c>
      <c r="GCM2">
        <v>0</v>
      </c>
      <c r="GCN2">
        <v>526.97</v>
      </c>
      <c r="GCO2">
        <v>0</v>
      </c>
      <c r="GCP2">
        <v>0</v>
      </c>
      <c r="GCQ2">
        <v>0</v>
      </c>
      <c r="GCR2">
        <v>0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0</v>
      </c>
      <c r="GDE2">
        <v>0</v>
      </c>
      <c r="GDF2">
        <v>0</v>
      </c>
      <c r="GDG2">
        <v>0</v>
      </c>
      <c r="GDH2">
        <v>2157.9499999999998</v>
      </c>
      <c r="GDI2">
        <v>0</v>
      </c>
      <c r="GDJ2">
        <v>0</v>
      </c>
      <c r="GDK2">
        <v>0</v>
      </c>
      <c r="GDL2">
        <v>0</v>
      </c>
      <c r="GDM2">
        <v>0</v>
      </c>
      <c r="GDN2">
        <v>0</v>
      </c>
      <c r="GDO2">
        <v>0</v>
      </c>
      <c r="GDP2">
        <v>0</v>
      </c>
      <c r="GDQ2">
        <v>666.99</v>
      </c>
      <c r="GDR2">
        <v>0</v>
      </c>
      <c r="GDS2">
        <v>0</v>
      </c>
      <c r="GDT2">
        <v>1199</v>
      </c>
      <c r="GDU2">
        <v>0</v>
      </c>
      <c r="GDV2">
        <v>0</v>
      </c>
      <c r="GDW2">
        <v>70</v>
      </c>
      <c r="GDX2">
        <v>0</v>
      </c>
      <c r="GDY2">
        <v>0</v>
      </c>
      <c r="GDZ2">
        <v>0</v>
      </c>
      <c r="GEA2">
        <v>0</v>
      </c>
      <c r="GEB2">
        <v>0</v>
      </c>
      <c r="GEC2">
        <v>206.97</v>
      </c>
      <c r="GED2">
        <v>0</v>
      </c>
      <c r="GEE2">
        <v>0</v>
      </c>
      <c r="GEF2">
        <v>0</v>
      </c>
      <c r="GEG2">
        <v>0</v>
      </c>
      <c r="GEH2">
        <v>395</v>
      </c>
      <c r="GEI2">
        <v>11</v>
      </c>
      <c r="GEJ2">
        <v>0</v>
      </c>
      <c r="GEK2">
        <v>0</v>
      </c>
      <c r="GEL2">
        <v>0</v>
      </c>
      <c r="GEM2">
        <v>0</v>
      </c>
      <c r="GEN2">
        <v>0</v>
      </c>
      <c r="GEO2">
        <v>14</v>
      </c>
      <c r="GEP2">
        <v>0</v>
      </c>
      <c r="GEQ2">
        <v>643.97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2317.94</v>
      </c>
      <c r="GEZ2">
        <v>0</v>
      </c>
      <c r="GFA2">
        <v>810.98</v>
      </c>
      <c r="GFB2">
        <v>0</v>
      </c>
      <c r="GFC2">
        <v>0</v>
      </c>
      <c r="GFD2">
        <v>0</v>
      </c>
      <c r="GFE2">
        <v>0</v>
      </c>
      <c r="GFF2">
        <v>0</v>
      </c>
      <c r="GFG2">
        <v>0</v>
      </c>
      <c r="GFH2">
        <v>0</v>
      </c>
      <c r="GFI2">
        <v>0</v>
      </c>
      <c r="GFJ2">
        <v>711.98</v>
      </c>
      <c r="GFK2">
        <v>424.99</v>
      </c>
      <c r="GFL2">
        <v>0</v>
      </c>
      <c r="GFM2">
        <v>0</v>
      </c>
      <c r="GFN2">
        <v>0</v>
      </c>
      <c r="GFO2">
        <v>0</v>
      </c>
      <c r="GFP2">
        <v>0</v>
      </c>
      <c r="GFQ2">
        <v>0</v>
      </c>
      <c r="GFR2">
        <v>0</v>
      </c>
      <c r="GFS2">
        <v>0</v>
      </c>
      <c r="GFT2">
        <v>0</v>
      </c>
      <c r="GFU2">
        <v>50.99</v>
      </c>
      <c r="GFV2">
        <v>0</v>
      </c>
      <c r="GFW2">
        <v>0</v>
      </c>
      <c r="GFX2">
        <v>0</v>
      </c>
      <c r="GFY2">
        <v>0</v>
      </c>
      <c r="GFZ2">
        <v>0</v>
      </c>
      <c r="GGA2">
        <v>0</v>
      </c>
      <c r="GGB2">
        <v>0</v>
      </c>
      <c r="GGC2">
        <v>0</v>
      </c>
      <c r="GGD2">
        <v>74.989999999999995</v>
      </c>
      <c r="GGE2">
        <v>0</v>
      </c>
      <c r="GGF2">
        <v>0</v>
      </c>
      <c r="GGG2">
        <v>0</v>
      </c>
      <c r="GGH2">
        <v>0</v>
      </c>
      <c r="GGI2">
        <v>0</v>
      </c>
      <c r="GGJ2">
        <v>0</v>
      </c>
      <c r="GGK2">
        <v>0</v>
      </c>
      <c r="GGL2">
        <v>0</v>
      </c>
      <c r="GGM2">
        <v>0</v>
      </c>
      <c r="GGN2">
        <v>0</v>
      </c>
      <c r="GGO2">
        <v>0</v>
      </c>
      <c r="GGP2">
        <v>26</v>
      </c>
      <c r="GGQ2">
        <v>1627.98</v>
      </c>
      <c r="GGR2">
        <v>0</v>
      </c>
      <c r="GGS2">
        <v>0</v>
      </c>
      <c r="GGT2">
        <v>0</v>
      </c>
      <c r="GGU2">
        <v>0</v>
      </c>
      <c r="GGV2">
        <v>49</v>
      </c>
      <c r="GGW2">
        <v>0</v>
      </c>
      <c r="GGX2">
        <v>0</v>
      </c>
      <c r="GGY2">
        <v>0</v>
      </c>
      <c r="GGZ2">
        <v>0</v>
      </c>
      <c r="GHA2">
        <v>82.99</v>
      </c>
      <c r="GHB2">
        <v>0</v>
      </c>
      <c r="GHC2">
        <v>276</v>
      </c>
      <c r="GHD2">
        <v>0</v>
      </c>
      <c r="GHE2">
        <v>39</v>
      </c>
      <c r="GHF2">
        <v>0</v>
      </c>
      <c r="GHG2">
        <v>0</v>
      </c>
      <c r="GHH2">
        <v>793.98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13</v>
      </c>
      <c r="GHO2">
        <v>0</v>
      </c>
      <c r="GHP2">
        <v>0</v>
      </c>
      <c r="GHQ2">
        <v>0</v>
      </c>
      <c r="GHR2">
        <v>57</v>
      </c>
      <c r="GHS2">
        <v>0</v>
      </c>
      <c r="GHT2">
        <v>1470.01</v>
      </c>
      <c r="GHU2">
        <v>0</v>
      </c>
      <c r="GHV2">
        <v>0</v>
      </c>
      <c r="GHW2">
        <v>390.99</v>
      </c>
      <c r="GHX2">
        <v>0</v>
      </c>
      <c r="GHY2">
        <v>0</v>
      </c>
      <c r="GHZ2">
        <v>411</v>
      </c>
      <c r="GIA2">
        <v>83</v>
      </c>
      <c r="GIB2">
        <v>379.99</v>
      </c>
      <c r="GIC2">
        <v>17.989999999999998</v>
      </c>
      <c r="GID2">
        <v>0</v>
      </c>
      <c r="GIE2">
        <v>0</v>
      </c>
      <c r="GIF2">
        <v>0</v>
      </c>
      <c r="GIG2">
        <v>0</v>
      </c>
      <c r="GIH2">
        <v>0</v>
      </c>
      <c r="GII2">
        <v>0</v>
      </c>
      <c r="GIJ2">
        <v>0</v>
      </c>
      <c r="GIK2">
        <v>0</v>
      </c>
      <c r="GIL2">
        <v>30</v>
      </c>
      <c r="GIM2">
        <v>135.99</v>
      </c>
      <c r="GIN2">
        <v>0</v>
      </c>
      <c r="GIO2">
        <v>40.99</v>
      </c>
      <c r="GIP2">
        <v>69</v>
      </c>
      <c r="GIQ2">
        <v>0</v>
      </c>
      <c r="GIR2">
        <v>0</v>
      </c>
      <c r="GIS2">
        <v>0</v>
      </c>
      <c r="GIT2">
        <v>0</v>
      </c>
      <c r="GIU2">
        <v>0</v>
      </c>
      <c r="GIV2">
        <v>0</v>
      </c>
      <c r="GIW2">
        <v>0</v>
      </c>
      <c r="GIX2">
        <v>0</v>
      </c>
      <c r="GIY2">
        <v>0</v>
      </c>
      <c r="GIZ2">
        <v>0</v>
      </c>
      <c r="GJA2">
        <v>2640.96</v>
      </c>
      <c r="GJB2">
        <v>0</v>
      </c>
      <c r="GJC2">
        <v>0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24</v>
      </c>
      <c r="GJM2">
        <v>0</v>
      </c>
      <c r="GJN2">
        <v>0</v>
      </c>
      <c r="GJO2">
        <v>0</v>
      </c>
      <c r="GJP2">
        <v>0</v>
      </c>
      <c r="GJQ2">
        <v>0</v>
      </c>
      <c r="GJR2">
        <v>29</v>
      </c>
      <c r="GJS2">
        <v>0</v>
      </c>
      <c r="GJT2">
        <v>360.98</v>
      </c>
      <c r="GJU2">
        <v>0</v>
      </c>
      <c r="GJV2">
        <v>0</v>
      </c>
      <c r="GJW2">
        <v>0</v>
      </c>
      <c r="GJX2">
        <v>0</v>
      </c>
      <c r="GJY2">
        <v>127.99</v>
      </c>
      <c r="GJZ2">
        <v>0</v>
      </c>
      <c r="GKA2">
        <v>0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2305.94</v>
      </c>
      <c r="GKK2">
        <v>38</v>
      </c>
      <c r="GKL2">
        <v>0</v>
      </c>
      <c r="GKM2">
        <v>0</v>
      </c>
      <c r="GKN2">
        <v>0</v>
      </c>
      <c r="GKO2">
        <v>0</v>
      </c>
      <c r="GKP2">
        <v>310.99</v>
      </c>
      <c r="GKQ2">
        <v>0</v>
      </c>
      <c r="GKR2">
        <v>0</v>
      </c>
      <c r="GKS2">
        <v>3667.96</v>
      </c>
      <c r="GKT2">
        <v>0</v>
      </c>
      <c r="GKU2">
        <v>0</v>
      </c>
      <c r="GKV2">
        <v>0</v>
      </c>
      <c r="GKW2">
        <v>0</v>
      </c>
      <c r="GKX2">
        <v>0</v>
      </c>
      <c r="GKY2">
        <v>39</v>
      </c>
      <c r="GKZ2">
        <v>0</v>
      </c>
      <c r="GLA2">
        <v>0</v>
      </c>
      <c r="GLB2">
        <v>0</v>
      </c>
      <c r="GLC2">
        <v>0</v>
      </c>
      <c r="GLD2">
        <v>94.99</v>
      </c>
      <c r="GLE2">
        <v>19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0</v>
      </c>
      <c r="GLL2">
        <v>0</v>
      </c>
      <c r="GLM2">
        <v>0</v>
      </c>
      <c r="GLN2">
        <v>0</v>
      </c>
      <c r="GLO2">
        <v>0</v>
      </c>
      <c r="GLP2">
        <v>0</v>
      </c>
      <c r="GLQ2">
        <v>0</v>
      </c>
      <c r="GLR2">
        <v>0</v>
      </c>
      <c r="GLS2">
        <v>0</v>
      </c>
      <c r="GLT2">
        <v>0</v>
      </c>
      <c r="GLU2">
        <v>1465.94</v>
      </c>
      <c r="GLV2">
        <v>0</v>
      </c>
      <c r="GLW2">
        <v>0</v>
      </c>
      <c r="GLX2">
        <v>0</v>
      </c>
      <c r="GLY2">
        <v>5706.79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0</v>
      </c>
      <c r="GMH2">
        <v>0</v>
      </c>
      <c r="GMI2">
        <v>0</v>
      </c>
      <c r="GMJ2">
        <v>0</v>
      </c>
      <c r="GMK2">
        <v>0</v>
      </c>
      <c r="GML2">
        <v>0</v>
      </c>
      <c r="GMM2">
        <v>0</v>
      </c>
      <c r="GMN2">
        <v>0</v>
      </c>
      <c r="GMO2">
        <v>0</v>
      </c>
      <c r="GMP2">
        <v>0</v>
      </c>
      <c r="GMQ2">
        <v>784.98</v>
      </c>
      <c r="GMR2">
        <v>0</v>
      </c>
      <c r="GMS2">
        <v>0</v>
      </c>
      <c r="GMT2">
        <v>0</v>
      </c>
      <c r="GMU2">
        <v>0</v>
      </c>
      <c r="GMV2">
        <v>0</v>
      </c>
      <c r="GMW2">
        <v>0</v>
      </c>
      <c r="GMX2">
        <v>0</v>
      </c>
      <c r="GMY2">
        <v>264</v>
      </c>
      <c r="GMZ2">
        <v>0</v>
      </c>
      <c r="GNA2">
        <v>0</v>
      </c>
      <c r="GNB2">
        <v>0</v>
      </c>
      <c r="GNC2">
        <v>58</v>
      </c>
      <c r="GND2">
        <v>0</v>
      </c>
      <c r="GNE2">
        <v>0</v>
      </c>
      <c r="GNF2">
        <v>0</v>
      </c>
      <c r="GNG2">
        <v>0</v>
      </c>
      <c r="GNH2">
        <v>503.99</v>
      </c>
      <c r="GNI2">
        <v>0</v>
      </c>
      <c r="GNJ2">
        <v>0</v>
      </c>
      <c r="GNK2">
        <v>0</v>
      </c>
      <c r="GNL2">
        <v>0</v>
      </c>
      <c r="GNM2">
        <v>10</v>
      </c>
      <c r="GNN2">
        <v>5431.78</v>
      </c>
      <c r="GNO2">
        <v>0</v>
      </c>
      <c r="GNP2">
        <v>0</v>
      </c>
      <c r="GNQ2">
        <v>0</v>
      </c>
      <c r="GNR2">
        <v>0</v>
      </c>
      <c r="GNS2">
        <v>2091.91</v>
      </c>
      <c r="GNT2">
        <v>982.96</v>
      </c>
      <c r="GNU2">
        <v>0</v>
      </c>
      <c r="GNV2">
        <v>0</v>
      </c>
      <c r="GNW2">
        <v>0</v>
      </c>
      <c r="GNX2">
        <v>0</v>
      </c>
      <c r="GNY2">
        <v>497</v>
      </c>
      <c r="GNZ2">
        <v>0</v>
      </c>
      <c r="GOA2">
        <v>0</v>
      </c>
      <c r="GOB2">
        <v>0</v>
      </c>
      <c r="GOC2">
        <v>100</v>
      </c>
      <c r="GOD2">
        <v>0</v>
      </c>
      <c r="GOE2">
        <v>0</v>
      </c>
      <c r="GOF2">
        <v>0</v>
      </c>
      <c r="GOG2">
        <v>0</v>
      </c>
      <c r="GOH2">
        <v>0</v>
      </c>
      <c r="GOI2">
        <v>0</v>
      </c>
      <c r="GOJ2">
        <v>8896.7099999999991</v>
      </c>
      <c r="GOK2">
        <v>0</v>
      </c>
      <c r="GOL2">
        <v>1985.01</v>
      </c>
      <c r="GOM2">
        <v>0</v>
      </c>
      <c r="GON2">
        <v>0</v>
      </c>
      <c r="GOO2">
        <v>113</v>
      </c>
      <c r="GOP2">
        <v>0</v>
      </c>
      <c r="GOQ2">
        <v>0</v>
      </c>
      <c r="GOR2">
        <v>0</v>
      </c>
      <c r="GOS2">
        <v>2</v>
      </c>
      <c r="GOT2">
        <v>0</v>
      </c>
      <c r="GOU2">
        <v>448.99</v>
      </c>
      <c r="GOV2">
        <v>0</v>
      </c>
      <c r="GOW2">
        <v>0</v>
      </c>
      <c r="GOX2">
        <v>0</v>
      </c>
      <c r="GOY2">
        <v>408.99</v>
      </c>
      <c r="GOZ2">
        <v>0</v>
      </c>
      <c r="GPA2">
        <v>0</v>
      </c>
      <c r="GPB2">
        <v>0</v>
      </c>
      <c r="GPC2">
        <v>0</v>
      </c>
      <c r="GPD2">
        <v>0</v>
      </c>
      <c r="GPE2">
        <v>0</v>
      </c>
      <c r="GPF2">
        <v>0</v>
      </c>
      <c r="GPG2">
        <v>0</v>
      </c>
      <c r="GPH2">
        <v>1957.9</v>
      </c>
      <c r="GPI2">
        <v>197.99</v>
      </c>
      <c r="GPJ2">
        <v>0</v>
      </c>
      <c r="GPK2">
        <v>0</v>
      </c>
      <c r="GPL2">
        <v>0</v>
      </c>
      <c r="GPM2">
        <v>0</v>
      </c>
      <c r="GPN2">
        <v>1044.96</v>
      </c>
      <c r="GPO2">
        <v>0</v>
      </c>
      <c r="GPP2">
        <v>7824.74</v>
      </c>
      <c r="GPQ2">
        <v>10586.65</v>
      </c>
      <c r="GPR2">
        <v>0</v>
      </c>
      <c r="GPS2">
        <v>0</v>
      </c>
      <c r="GPT2">
        <v>0</v>
      </c>
      <c r="GPU2">
        <v>1296.95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0</v>
      </c>
      <c r="GQB2">
        <v>0</v>
      </c>
      <c r="GQC2">
        <v>0</v>
      </c>
      <c r="GQD2">
        <v>197</v>
      </c>
      <c r="GQE2">
        <v>0</v>
      </c>
      <c r="GQF2">
        <v>57</v>
      </c>
      <c r="GQG2">
        <v>12437.58</v>
      </c>
      <c r="GQH2">
        <v>0</v>
      </c>
      <c r="GQI2">
        <v>542.98</v>
      </c>
      <c r="GQJ2">
        <v>327.98</v>
      </c>
      <c r="GQK2">
        <v>0</v>
      </c>
      <c r="GQL2">
        <v>12367.64</v>
      </c>
      <c r="GQM2">
        <v>178.99</v>
      </c>
      <c r="GQN2">
        <v>0</v>
      </c>
      <c r="GQO2">
        <v>0</v>
      </c>
      <c r="GQP2">
        <v>0</v>
      </c>
      <c r="GQQ2">
        <v>0</v>
      </c>
      <c r="GQR2">
        <v>3486.94</v>
      </c>
      <c r="GQS2">
        <v>85</v>
      </c>
      <c r="GQT2">
        <v>0</v>
      </c>
      <c r="GQU2">
        <v>0</v>
      </c>
      <c r="GQV2">
        <v>369</v>
      </c>
      <c r="GQW2">
        <v>0</v>
      </c>
      <c r="GQX2">
        <v>7999.6</v>
      </c>
      <c r="GQY2">
        <v>1036.8699999999999</v>
      </c>
      <c r="GQZ2">
        <v>0</v>
      </c>
      <c r="GRA2">
        <v>987.92</v>
      </c>
      <c r="GRB2">
        <v>19378.5</v>
      </c>
      <c r="GRC2">
        <v>0</v>
      </c>
      <c r="GRD2">
        <v>0</v>
      </c>
      <c r="GRE2">
        <v>18497.34</v>
      </c>
      <c r="GRF2">
        <v>0</v>
      </c>
      <c r="GRG2">
        <v>6020.68</v>
      </c>
      <c r="GRH2">
        <v>0</v>
      </c>
      <c r="GRI2">
        <v>0</v>
      </c>
      <c r="GRJ2">
        <v>0</v>
      </c>
      <c r="GRK2">
        <v>153.99</v>
      </c>
      <c r="GRL2">
        <v>104</v>
      </c>
      <c r="GRM2">
        <v>3245.88</v>
      </c>
      <c r="GRN2">
        <v>0</v>
      </c>
      <c r="GRO2">
        <v>0</v>
      </c>
      <c r="GRP2">
        <v>0</v>
      </c>
      <c r="GRQ2">
        <v>664.98</v>
      </c>
      <c r="GRR2">
        <v>0</v>
      </c>
      <c r="GRS2">
        <v>2431.9</v>
      </c>
      <c r="GRT2">
        <v>0</v>
      </c>
      <c r="GRU2">
        <v>379.99</v>
      </c>
      <c r="GRV2">
        <v>0</v>
      </c>
      <c r="GRW2">
        <v>38</v>
      </c>
      <c r="GRX2">
        <v>110.99</v>
      </c>
      <c r="GRY2">
        <v>0</v>
      </c>
      <c r="GRZ2">
        <v>0</v>
      </c>
      <c r="GSA2">
        <v>7322.72</v>
      </c>
      <c r="GSB2">
        <v>2656.94</v>
      </c>
      <c r="GSC2">
        <v>1068.97</v>
      </c>
      <c r="GSD2">
        <v>13218.51</v>
      </c>
      <c r="GSE2">
        <v>0</v>
      </c>
      <c r="GSF2">
        <v>244.99</v>
      </c>
      <c r="GSG2">
        <v>2908.89</v>
      </c>
      <c r="GSH2">
        <v>15496.34</v>
      </c>
      <c r="GSI2">
        <v>3480.35</v>
      </c>
      <c r="GSJ2">
        <v>1144.96</v>
      </c>
      <c r="GSK2">
        <v>6847.65</v>
      </c>
      <c r="GSL2">
        <v>5532.73</v>
      </c>
      <c r="GSM2">
        <v>29603.38</v>
      </c>
      <c r="GSN2">
        <v>3487.84</v>
      </c>
      <c r="GSO2">
        <v>1800.96</v>
      </c>
      <c r="GSP2">
        <v>88</v>
      </c>
      <c r="GSQ2">
        <v>50942.26</v>
      </c>
      <c r="GSR2">
        <v>369177.12</v>
      </c>
    </row>
    <row r="3" spans="1:5244" x14ac:dyDescent="0.2">
      <c r="A3" s="7">
        <v>36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</v>
      </c>
      <c r="N3">
        <v>3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4</v>
      </c>
      <c r="AE3">
        <v>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5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6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6.99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7</v>
      </c>
      <c r="FP3">
        <v>7</v>
      </c>
      <c r="FQ3">
        <v>7</v>
      </c>
      <c r="FR3">
        <v>7</v>
      </c>
      <c r="FS3">
        <v>7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8</v>
      </c>
      <c r="HY3">
        <v>8</v>
      </c>
      <c r="HZ3">
        <v>8</v>
      </c>
      <c r="IA3">
        <v>8</v>
      </c>
      <c r="IB3">
        <v>8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9</v>
      </c>
      <c r="JY3">
        <v>9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10</v>
      </c>
      <c r="LW3">
        <v>10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11</v>
      </c>
      <c r="NY3">
        <v>11</v>
      </c>
      <c r="NZ3">
        <v>11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12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9</v>
      </c>
      <c r="UR3">
        <v>14</v>
      </c>
      <c r="US3">
        <v>14</v>
      </c>
      <c r="UT3">
        <v>14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15</v>
      </c>
      <c r="WX3">
        <v>15</v>
      </c>
      <c r="WY3">
        <v>15</v>
      </c>
      <c r="WZ3">
        <v>15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16</v>
      </c>
      <c r="YZ3">
        <v>16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17</v>
      </c>
      <c r="AAW3">
        <v>17</v>
      </c>
      <c r="AAX3">
        <v>17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2</v>
      </c>
      <c r="ACM3">
        <v>0</v>
      </c>
      <c r="ACN3">
        <v>0</v>
      </c>
      <c r="ACO3">
        <v>18</v>
      </c>
      <c r="ACP3">
        <v>9</v>
      </c>
      <c r="ACQ3">
        <v>18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2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20</v>
      </c>
      <c r="AHD3">
        <v>20</v>
      </c>
      <c r="AHE3">
        <v>20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21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23</v>
      </c>
      <c r="ANF3">
        <v>23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24</v>
      </c>
      <c r="AOS3">
        <v>24</v>
      </c>
      <c r="AOT3">
        <v>24</v>
      </c>
      <c r="AOU3">
        <v>24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4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26</v>
      </c>
      <c r="ASC3">
        <v>26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27</v>
      </c>
      <c r="ATL3">
        <v>4</v>
      </c>
      <c r="ATM3">
        <v>27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28</v>
      </c>
      <c r="AVA3">
        <v>28</v>
      </c>
      <c r="AVB3">
        <v>28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6</v>
      </c>
      <c r="AXQ3">
        <v>0</v>
      </c>
      <c r="AXR3">
        <v>0</v>
      </c>
      <c r="AXS3">
        <v>0</v>
      </c>
      <c r="AXT3">
        <v>0</v>
      </c>
      <c r="AXU3">
        <v>24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30.01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10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14</v>
      </c>
      <c r="BAF3">
        <v>32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33</v>
      </c>
      <c r="BBS3">
        <v>29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10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7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41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43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34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15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46.99</v>
      </c>
      <c r="BSB3">
        <v>0</v>
      </c>
      <c r="BSC3">
        <v>0</v>
      </c>
      <c r="BSD3">
        <v>0</v>
      </c>
      <c r="BSE3">
        <v>13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23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39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53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12</v>
      </c>
      <c r="BYC3">
        <v>0</v>
      </c>
      <c r="BYD3">
        <v>0</v>
      </c>
      <c r="BYE3">
        <v>20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54.99</v>
      </c>
      <c r="BYT3">
        <v>0</v>
      </c>
      <c r="BYU3">
        <v>0</v>
      </c>
      <c r="BYV3">
        <v>0</v>
      </c>
      <c r="BYW3">
        <v>0</v>
      </c>
      <c r="BYX3">
        <v>30</v>
      </c>
      <c r="BYY3">
        <v>6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13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19</v>
      </c>
      <c r="CAE3">
        <v>0</v>
      </c>
      <c r="CAF3">
        <v>0</v>
      </c>
      <c r="CAG3">
        <v>57</v>
      </c>
      <c r="CAH3">
        <v>33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52</v>
      </c>
      <c r="CAZ3">
        <v>58</v>
      </c>
      <c r="CBA3">
        <v>39</v>
      </c>
      <c r="CBB3">
        <v>58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16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59</v>
      </c>
      <c r="CBV3">
        <v>22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12</v>
      </c>
      <c r="CCI3">
        <v>60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6</v>
      </c>
      <c r="CCW3">
        <v>0</v>
      </c>
      <c r="CCX3">
        <v>0</v>
      </c>
      <c r="CCY3">
        <v>0</v>
      </c>
      <c r="CCZ3">
        <v>0</v>
      </c>
      <c r="CDA3">
        <v>4</v>
      </c>
      <c r="CDB3">
        <v>26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61.01</v>
      </c>
      <c r="CDN3">
        <v>0</v>
      </c>
      <c r="CDO3">
        <v>0</v>
      </c>
      <c r="CDP3">
        <v>0</v>
      </c>
      <c r="CDQ3">
        <v>0</v>
      </c>
      <c r="CDR3">
        <v>30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63</v>
      </c>
      <c r="CEF3">
        <v>63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5</v>
      </c>
      <c r="CFW3">
        <v>65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67.989999999999995</v>
      </c>
      <c r="CHY3">
        <v>0</v>
      </c>
      <c r="CHZ3">
        <v>0</v>
      </c>
      <c r="CIA3">
        <v>0</v>
      </c>
      <c r="CIB3">
        <v>0</v>
      </c>
      <c r="CIC3">
        <v>21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15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36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20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75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76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29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13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43</v>
      </c>
      <c r="CPF3">
        <v>0</v>
      </c>
      <c r="CPG3">
        <v>0</v>
      </c>
      <c r="CPH3">
        <v>81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81.99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84.99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57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33</v>
      </c>
      <c r="CRA3">
        <v>16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38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88</v>
      </c>
      <c r="CRX3">
        <v>7</v>
      </c>
      <c r="CRY3">
        <v>88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85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77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47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75</v>
      </c>
      <c r="CVX3">
        <v>0</v>
      </c>
      <c r="CVY3">
        <v>0</v>
      </c>
      <c r="CVZ3">
        <v>0</v>
      </c>
      <c r="CWA3">
        <v>0</v>
      </c>
      <c r="CWB3">
        <v>0</v>
      </c>
      <c r="CWC3">
        <v>0</v>
      </c>
      <c r="CWD3">
        <v>0</v>
      </c>
      <c r="CWE3">
        <v>0</v>
      </c>
      <c r="CWF3">
        <v>0</v>
      </c>
      <c r="CWG3">
        <v>0</v>
      </c>
      <c r="CWH3">
        <v>0</v>
      </c>
      <c r="CWI3">
        <v>98</v>
      </c>
      <c r="CWJ3">
        <v>0</v>
      </c>
      <c r="CWK3">
        <v>0</v>
      </c>
      <c r="CWL3">
        <v>0</v>
      </c>
      <c r="CWM3">
        <v>0</v>
      </c>
      <c r="CWN3">
        <v>0</v>
      </c>
      <c r="CWO3">
        <v>0</v>
      </c>
      <c r="CWP3">
        <v>0</v>
      </c>
      <c r="CWQ3">
        <v>0</v>
      </c>
      <c r="CWR3">
        <v>0</v>
      </c>
      <c r="CWS3">
        <v>0</v>
      </c>
      <c r="CWT3">
        <v>0</v>
      </c>
      <c r="CWU3">
        <v>0</v>
      </c>
      <c r="CWV3">
        <v>0</v>
      </c>
      <c r="CWW3">
        <v>0</v>
      </c>
      <c r="CWX3">
        <v>0</v>
      </c>
      <c r="CWY3">
        <v>0</v>
      </c>
      <c r="CWZ3">
        <v>91</v>
      </c>
      <c r="CXA3">
        <v>100</v>
      </c>
      <c r="CXB3">
        <v>0</v>
      </c>
      <c r="CXC3">
        <v>0</v>
      </c>
      <c r="CXD3">
        <v>0</v>
      </c>
      <c r="CXE3">
        <v>0</v>
      </c>
      <c r="CXF3">
        <v>0</v>
      </c>
      <c r="CXG3">
        <v>0</v>
      </c>
      <c r="CXH3">
        <v>0</v>
      </c>
      <c r="CXI3">
        <v>0</v>
      </c>
      <c r="CXJ3">
        <v>0</v>
      </c>
      <c r="CXK3">
        <v>0</v>
      </c>
      <c r="CXL3">
        <v>0</v>
      </c>
      <c r="CXM3">
        <v>0</v>
      </c>
      <c r="CXN3">
        <v>101</v>
      </c>
      <c r="CXO3">
        <v>0</v>
      </c>
      <c r="CXP3">
        <v>0</v>
      </c>
      <c r="CXQ3">
        <v>0</v>
      </c>
      <c r="CXR3">
        <v>0</v>
      </c>
      <c r="CXS3">
        <v>0</v>
      </c>
      <c r="CXT3">
        <v>0</v>
      </c>
      <c r="CXU3">
        <v>0</v>
      </c>
      <c r="CXV3">
        <v>0</v>
      </c>
      <c r="CXW3">
        <v>0</v>
      </c>
      <c r="CXX3">
        <v>0</v>
      </c>
      <c r="CXY3">
        <v>28</v>
      </c>
      <c r="CXZ3">
        <v>0</v>
      </c>
      <c r="CYA3">
        <v>0</v>
      </c>
      <c r="CYB3">
        <v>0</v>
      </c>
      <c r="CYC3">
        <v>0</v>
      </c>
      <c r="CYD3">
        <v>0</v>
      </c>
      <c r="CYE3">
        <v>0</v>
      </c>
      <c r="CYF3">
        <v>0</v>
      </c>
      <c r="CYG3">
        <v>0</v>
      </c>
      <c r="CYH3">
        <v>0</v>
      </c>
      <c r="CYI3">
        <v>0</v>
      </c>
      <c r="CYJ3">
        <v>0</v>
      </c>
      <c r="CYK3">
        <v>0</v>
      </c>
      <c r="CYL3">
        <v>0</v>
      </c>
      <c r="CYM3">
        <v>0</v>
      </c>
      <c r="CYN3">
        <v>0</v>
      </c>
      <c r="CYO3">
        <v>0</v>
      </c>
      <c r="CYP3">
        <v>0</v>
      </c>
      <c r="CYQ3">
        <v>0</v>
      </c>
      <c r="CYR3">
        <v>0</v>
      </c>
      <c r="CYS3">
        <v>0</v>
      </c>
      <c r="CYT3">
        <v>104</v>
      </c>
      <c r="CYU3">
        <v>96</v>
      </c>
      <c r="CYV3">
        <v>0</v>
      </c>
      <c r="CYW3">
        <v>0</v>
      </c>
      <c r="CYX3">
        <v>0</v>
      </c>
      <c r="CYY3">
        <v>0</v>
      </c>
      <c r="CYZ3">
        <v>0</v>
      </c>
      <c r="CZA3">
        <v>0</v>
      </c>
      <c r="CZB3">
        <v>0</v>
      </c>
      <c r="CZC3">
        <v>0</v>
      </c>
      <c r="CZD3">
        <v>0</v>
      </c>
      <c r="CZE3">
        <v>0</v>
      </c>
      <c r="CZF3">
        <v>50</v>
      </c>
      <c r="CZG3">
        <v>0</v>
      </c>
      <c r="CZH3">
        <v>0</v>
      </c>
      <c r="CZI3">
        <v>0</v>
      </c>
      <c r="CZJ3">
        <v>0</v>
      </c>
      <c r="CZK3">
        <v>0</v>
      </c>
      <c r="CZL3">
        <v>0</v>
      </c>
      <c r="CZM3">
        <v>0</v>
      </c>
      <c r="CZN3">
        <v>0</v>
      </c>
      <c r="CZO3">
        <v>0</v>
      </c>
      <c r="CZP3">
        <v>6</v>
      </c>
      <c r="CZQ3">
        <v>0</v>
      </c>
      <c r="CZR3">
        <v>0</v>
      </c>
      <c r="CZS3">
        <v>0</v>
      </c>
      <c r="CZT3">
        <v>0</v>
      </c>
      <c r="CZU3">
        <v>0</v>
      </c>
      <c r="CZV3">
        <v>0</v>
      </c>
      <c r="CZW3">
        <v>0</v>
      </c>
      <c r="CZX3">
        <v>0</v>
      </c>
      <c r="CZY3">
        <v>0</v>
      </c>
      <c r="CZZ3">
        <v>0</v>
      </c>
      <c r="DAA3">
        <v>0</v>
      </c>
      <c r="DAB3">
        <v>0</v>
      </c>
      <c r="DAC3">
        <v>0</v>
      </c>
      <c r="DAD3">
        <v>0</v>
      </c>
      <c r="DAE3">
        <v>0</v>
      </c>
      <c r="DAF3">
        <v>0</v>
      </c>
      <c r="DAG3">
        <v>0</v>
      </c>
      <c r="DAH3">
        <v>0</v>
      </c>
      <c r="DAI3">
        <v>0</v>
      </c>
      <c r="DAJ3">
        <v>0</v>
      </c>
      <c r="DAK3">
        <v>0</v>
      </c>
      <c r="DAL3">
        <v>0</v>
      </c>
      <c r="DAM3">
        <v>0</v>
      </c>
      <c r="DAN3">
        <v>0</v>
      </c>
      <c r="DAO3">
        <v>0</v>
      </c>
      <c r="DAP3">
        <v>0</v>
      </c>
      <c r="DAQ3">
        <v>0</v>
      </c>
      <c r="DAR3">
        <v>0</v>
      </c>
      <c r="DAS3">
        <v>0</v>
      </c>
      <c r="DAT3">
        <v>0</v>
      </c>
      <c r="DAU3">
        <v>0</v>
      </c>
      <c r="DAV3">
        <v>109</v>
      </c>
      <c r="DAW3">
        <v>0</v>
      </c>
      <c r="DAX3">
        <v>0</v>
      </c>
      <c r="DAY3">
        <v>0</v>
      </c>
      <c r="DAZ3">
        <v>0</v>
      </c>
      <c r="DBA3">
        <v>0</v>
      </c>
      <c r="DBB3">
        <v>49.99</v>
      </c>
      <c r="DBC3">
        <v>0</v>
      </c>
      <c r="DBD3">
        <v>0</v>
      </c>
      <c r="DBE3">
        <v>0</v>
      </c>
      <c r="DBF3">
        <v>7</v>
      </c>
      <c r="DBG3">
        <v>0</v>
      </c>
      <c r="DBH3">
        <v>0</v>
      </c>
      <c r="DBI3">
        <v>0</v>
      </c>
      <c r="DBJ3">
        <v>0</v>
      </c>
      <c r="DBK3">
        <v>0</v>
      </c>
      <c r="DBL3">
        <v>0</v>
      </c>
      <c r="DBM3">
        <v>0</v>
      </c>
      <c r="DBN3">
        <v>0</v>
      </c>
      <c r="DBO3">
        <v>0</v>
      </c>
      <c r="DBP3">
        <v>0</v>
      </c>
      <c r="DBQ3">
        <v>0</v>
      </c>
      <c r="DBR3">
        <v>0</v>
      </c>
      <c r="DBS3">
        <v>0</v>
      </c>
      <c r="DBT3">
        <v>0</v>
      </c>
      <c r="DBU3">
        <v>0</v>
      </c>
      <c r="DBV3">
        <v>21.99</v>
      </c>
      <c r="DBW3">
        <v>0</v>
      </c>
      <c r="DBX3">
        <v>0</v>
      </c>
      <c r="DBY3">
        <v>0</v>
      </c>
      <c r="DBZ3">
        <v>0</v>
      </c>
      <c r="DCA3">
        <v>0</v>
      </c>
      <c r="DCB3">
        <v>0</v>
      </c>
      <c r="DCC3">
        <v>0</v>
      </c>
      <c r="DCD3">
        <v>0</v>
      </c>
      <c r="DCE3">
        <v>112.99</v>
      </c>
      <c r="DCF3">
        <v>0</v>
      </c>
      <c r="DCG3">
        <v>113</v>
      </c>
      <c r="DCH3">
        <v>113</v>
      </c>
      <c r="DCI3">
        <v>0</v>
      </c>
      <c r="DCJ3">
        <v>0</v>
      </c>
      <c r="DCK3">
        <v>0</v>
      </c>
      <c r="DCL3">
        <v>0</v>
      </c>
      <c r="DCM3">
        <v>0</v>
      </c>
      <c r="DCN3">
        <v>0</v>
      </c>
      <c r="DCO3">
        <v>0</v>
      </c>
      <c r="DCP3">
        <v>0</v>
      </c>
      <c r="DCQ3">
        <v>0</v>
      </c>
      <c r="DCR3">
        <v>0</v>
      </c>
      <c r="DCS3">
        <v>0</v>
      </c>
      <c r="DCT3">
        <v>0</v>
      </c>
      <c r="DCU3">
        <v>0</v>
      </c>
      <c r="DCV3">
        <v>0</v>
      </c>
      <c r="DCW3">
        <v>0</v>
      </c>
      <c r="DCX3">
        <v>0</v>
      </c>
      <c r="DCY3">
        <v>0</v>
      </c>
      <c r="DCZ3">
        <v>0</v>
      </c>
      <c r="DDA3">
        <v>0</v>
      </c>
      <c r="DDB3">
        <v>0</v>
      </c>
      <c r="DDC3">
        <v>0</v>
      </c>
      <c r="DDD3">
        <v>0</v>
      </c>
      <c r="DDE3">
        <v>0</v>
      </c>
      <c r="DDF3">
        <v>3</v>
      </c>
      <c r="DDG3">
        <v>0</v>
      </c>
      <c r="DDH3">
        <v>0</v>
      </c>
      <c r="DDI3">
        <v>0</v>
      </c>
      <c r="DDJ3">
        <v>0</v>
      </c>
      <c r="DDK3">
        <v>0</v>
      </c>
      <c r="DDL3">
        <v>0</v>
      </c>
      <c r="DDM3">
        <v>0</v>
      </c>
      <c r="DDN3">
        <v>0</v>
      </c>
      <c r="DDO3">
        <v>0</v>
      </c>
      <c r="DDP3">
        <v>0</v>
      </c>
      <c r="DDQ3">
        <v>0</v>
      </c>
      <c r="DDR3">
        <v>0</v>
      </c>
      <c r="DDS3">
        <v>0</v>
      </c>
      <c r="DDT3">
        <v>0</v>
      </c>
      <c r="DDU3">
        <v>0</v>
      </c>
      <c r="DDV3">
        <v>0</v>
      </c>
      <c r="DDW3">
        <v>0</v>
      </c>
      <c r="DDX3">
        <v>118</v>
      </c>
      <c r="DDY3">
        <v>25</v>
      </c>
      <c r="DDZ3">
        <v>118</v>
      </c>
      <c r="DEA3">
        <v>0</v>
      </c>
      <c r="DEB3">
        <v>0</v>
      </c>
      <c r="DEC3">
        <v>0</v>
      </c>
      <c r="DED3">
        <v>0</v>
      </c>
      <c r="DEE3">
        <v>0</v>
      </c>
      <c r="DEF3">
        <v>0</v>
      </c>
      <c r="DEG3">
        <v>0</v>
      </c>
      <c r="DEH3">
        <v>0</v>
      </c>
      <c r="DEI3">
        <v>0</v>
      </c>
      <c r="DEJ3">
        <v>0</v>
      </c>
      <c r="DEK3">
        <v>0</v>
      </c>
      <c r="DEL3">
        <v>0</v>
      </c>
      <c r="DEM3">
        <v>0</v>
      </c>
      <c r="DEN3">
        <v>0</v>
      </c>
      <c r="DEO3">
        <v>64</v>
      </c>
      <c r="DEP3">
        <v>0</v>
      </c>
      <c r="DEQ3">
        <v>0</v>
      </c>
      <c r="DER3">
        <v>0</v>
      </c>
      <c r="DES3">
        <v>0</v>
      </c>
      <c r="DET3">
        <v>0</v>
      </c>
      <c r="DEU3">
        <v>0</v>
      </c>
      <c r="DEV3">
        <v>0</v>
      </c>
      <c r="DEW3">
        <v>0</v>
      </c>
      <c r="DEX3">
        <v>0</v>
      </c>
      <c r="DEY3">
        <v>0</v>
      </c>
      <c r="DEZ3">
        <v>0</v>
      </c>
      <c r="DFA3">
        <v>0</v>
      </c>
      <c r="DFB3">
        <v>0</v>
      </c>
      <c r="DFC3">
        <v>0</v>
      </c>
      <c r="DFD3">
        <v>0</v>
      </c>
      <c r="DFE3">
        <v>0</v>
      </c>
      <c r="DFF3">
        <v>0</v>
      </c>
      <c r="DFG3">
        <v>0</v>
      </c>
      <c r="DFH3">
        <v>0</v>
      </c>
      <c r="DFI3">
        <v>0</v>
      </c>
      <c r="DFJ3">
        <v>0</v>
      </c>
      <c r="DFK3">
        <v>0</v>
      </c>
      <c r="DFL3">
        <v>0</v>
      </c>
      <c r="DFM3">
        <v>0</v>
      </c>
      <c r="DFN3">
        <v>0</v>
      </c>
      <c r="DFO3">
        <v>0</v>
      </c>
      <c r="DFP3">
        <v>0</v>
      </c>
      <c r="DFQ3">
        <v>0</v>
      </c>
      <c r="DFR3">
        <v>0</v>
      </c>
      <c r="DFS3">
        <v>0</v>
      </c>
      <c r="DFT3">
        <v>0</v>
      </c>
      <c r="DFU3">
        <v>0</v>
      </c>
      <c r="DFV3">
        <v>0</v>
      </c>
      <c r="DFW3">
        <v>0</v>
      </c>
      <c r="DFX3">
        <v>0</v>
      </c>
      <c r="DFY3">
        <v>0</v>
      </c>
      <c r="DFZ3">
        <v>0</v>
      </c>
      <c r="DGA3">
        <v>0</v>
      </c>
      <c r="DGB3">
        <v>0</v>
      </c>
      <c r="DGC3">
        <v>17</v>
      </c>
      <c r="DGD3">
        <v>0</v>
      </c>
      <c r="DGE3">
        <v>0</v>
      </c>
      <c r="DGF3">
        <v>0</v>
      </c>
      <c r="DGG3">
        <v>0</v>
      </c>
      <c r="DGH3">
        <v>0</v>
      </c>
      <c r="DGI3">
        <v>0</v>
      </c>
      <c r="DGJ3">
        <v>0</v>
      </c>
      <c r="DGK3">
        <v>0</v>
      </c>
      <c r="DGL3">
        <v>44</v>
      </c>
      <c r="DGM3">
        <v>0</v>
      </c>
      <c r="DGN3">
        <v>0</v>
      </c>
      <c r="DGO3">
        <v>0</v>
      </c>
      <c r="DGP3">
        <v>0</v>
      </c>
      <c r="DGQ3">
        <v>0</v>
      </c>
      <c r="DGR3">
        <v>0</v>
      </c>
      <c r="DGS3">
        <v>0</v>
      </c>
      <c r="DGT3">
        <v>0</v>
      </c>
      <c r="DGU3">
        <v>0</v>
      </c>
      <c r="DGV3">
        <v>0</v>
      </c>
      <c r="DGW3">
        <v>0</v>
      </c>
      <c r="DGX3">
        <v>0</v>
      </c>
      <c r="DGY3">
        <v>0</v>
      </c>
      <c r="DGZ3">
        <v>0</v>
      </c>
      <c r="DHA3">
        <v>0</v>
      </c>
      <c r="DHB3">
        <v>0</v>
      </c>
      <c r="DHC3">
        <v>0</v>
      </c>
      <c r="DHD3">
        <v>0</v>
      </c>
      <c r="DHE3">
        <v>0</v>
      </c>
      <c r="DHF3">
        <v>0</v>
      </c>
      <c r="DHG3">
        <v>0</v>
      </c>
      <c r="DHH3">
        <v>0</v>
      </c>
      <c r="DHI3">
        <v>0</v>
      </c>
      <c r="DHJ3">
        <v>0</v>
      </c>
      <c r="DHK3">
        <v>0</v>
      </c>
      <c r="DHL3">
        <v>0</v>
      </c>
      <c r="DHM3">
        <v>0</v>
      </c>
      <c r="DHN3">
        <v>53</v>
      </c>
      <c r="DHO3">
        <v>0</v>
      </c>
      <c r="DHP3">
        <v>0</v>
      </c>
      <c r="DHQ3">
        <v>0</v>
      </c>
      <c r="DHR3">
        <v>0</v>
      </c>
      <c r="DHS3">
        <v>0</v>
      </c>
      <c r="DHT3">
        <v>0</v>
      </c>
      <c r="DHU3">
        <v>0</v>
      </c>
      <c r="DHV3">
        <v>0</v>
      </c>
      <c r="DHW3">
        <v>0</v>
      </c>
      <c r="DHX3">
        <v>18</v>
      </c>
      <c r="DHY3">
        <v>0</v>
      </c>
      <c r="DHZ3">
        <v>0</v>
      </c>
      <c r="DIA3">
        <v>0</v>
      </c>
      <c r="DIB3">
        <v>0</v>
      </c>
      <c r="DIC3">
        <v>0</v>
      </c>
      <c r="DID3">
        <v>0</v>
      </c>
      <c r="DIE3">
        <v>0</v>
      </c>
      <c r="DIF3">
        <v>0</v>
      </c>
      <c r="DIG3">
        <v>0</v>
      </c>
      <c r="DIH3">
        <v>0</v>
      </c>
      <c r="DII3">
        <v>0</v>
      </c>
      <c r="DIJ3">
        <v>24</v>
      </c>
      <c r="DIK3">
        <v>0</v>
      </c>
      <c r="DIL3">
        <v>0</v>
      </c>
      <c r="DIM3">
        <v>0</v>
      </c>
      <c r="DIN3">
        <v>0</v>
      </c>
      <c r="DIO3">
        <v>0</v>
      </c>
      <c r="DIP3">
        <v>0</v>
      </c>
      <c r="DIQ3">
        <v>0</v>
      </c>
      <c r="DIR3">
        <v>0</v>
      </c>
      <c r="DIS3">
        <v>0</v>
      </c>
      <c r="DIT3">
        <v>0</v>
      </c>
      <c r="DIU3">
        <v>0</v>
      </c>
      <c r="DIV3">
        <v>0</v>
      </c>
      <c r="DIW3">
        <v>0</v>
      </c>
      <c r="DIX3">
        <v>0</v>
      </c>
      <c r="DIY3">
        <v>0</v>
      </c>
      <c r="DIZ3">
        <v>133</v>
      </c>
      <c r="DJA3">
        <v>0</v>
      </c>
      <c r="DJB3">
        <v>0</v>
      </c>
      <c r="DJC3">
        <v>0</v>
      </c>
      <c r="DJD3">
        <v>0</v>
      </c>
      <c r="DJE3">
        <v>0</v>
      </c>
      <c r="DJF3">
        <v>0</v>
      </c>
      <c r="DJG3">
        <v>0</v>
      </c>
      <c r="DJH3">
        <v>0</v>
      </c>
      <c r="DJI3">
        <v>0</v>
      </c>
      <c r="DJJ3">
        <v>0</v>
      </c>
      <c r="DJK3">
        <v>0</v>
      </c>
      <c r="DJL3">
        <v>0</v>
      </c>
      <c r="DJM3">
        <v>0</v>
      </c>
      <c r="DJN3">
        <v>0</v>
      </c>
      <c r="DJO3">
        <v>0</v>
      </c>
      <c r="DJP3">
        <v>0</v>
      </c>
      <c r="DJQ3">
        <v>0</v>
      </c>
      <c r="DJR3">
        <v>0</v>
      </c>
      <c r="DJS3">
        <v>0</v>
      </c>
      <c r="DJT3">
        <v>0</v>
      </c>
      <c r="DJU3">
        <v>0</v>
      </c>
      <c r="DJV3">
        <v>0</v>
      </c>
      <c r="DJW3">
        <v>0</v>
      </c>
      <c r="DJX3">
        <v>0</v>
      </c>
      <c r="DJY3">
        <v>0</v>
      </c>
      <c r="DJZ3">
        <v>0</v>
      </c>
      <c r="DKA3">
        <v>136.01</v>
      </c>
      <c r="DKB3">
        <v>0</v>
      </c>
      <c r="DKC3">
        <v>0</v>
      </c>
      <c r="DKD3">
        <v>0</v>
      </c>
      <c r="DKE3">
        <v>0</v>
      </c>
      <c r="DKF3">
        <v>0</v>
      </c>
      <c r="DKG3">
        <v>0</v>
      </c>
      <c r="DKH3">
        <v>0</v>
      </c>
      <c r="DKI3">
        <v>0</v>
      </c>
      <c r="DKJ3">
        <v>0</v>
      </c>
      <c r="DKK3">
        <v>0</v>
      </c>
      <c r="DKL3">
        <v>0</v>
      </c>
      <c r="DKM3">
        <v>0</v>
      </c>
      <c r="DKN3">
        <v>0</v>
      </c>
      <c r="DKO3">
        <v>0</v>
      </c>
      <c r="DKP3">
        <v>0</v>
      </c>
      <c r="DKQ3">
        <v>0</v>
      </c>
      <c r="DKR3">
        <v>0</v>
      </c>
      <c r="DKS3">
        <v>0</v>
      </c>
      <c r="DKT3">
        <v>48</v>
      </c>
      <c r="DKU3">
        <v>0</v>
      </c>
      <c r="DKV3">
        <v>0</v>
      </c>
      <c r="DKW3">
        <v>0</v>
      </c>
      <c r="DKX3">
        <v>0</v>
      </c>
      <c r="DKY3">
        <v>0</v>
      </c>
      <c r="DKZ3">
        <v>0</v>
      </c>
      <c r="DLA3">
        <v>0</v>
      </c>
      <c r="DLB3">
        <v>0</v>
      </c>
      <c r="DLC3">
        <v>0</v>
      </c>
      <c r="DLD3">
        <v>0</v>
      </c>
      <c r="DLE3">
        <v>0</v>
      </c>
      <c r="DLF3">
        <v>0</v>
      </c>
      <c r="DLG3">
        <v>0</v>
      </c>
      <c r="DLH3">
        <v>0</v>
      </c>
      <c r="DLI3">
        <v>0</v>
      </c>
      <c r="DLJ3">
        <v>22.99</v>
      </c>
      <c r="DLK3">
        <v>0</v>
      </c>
      <c r="DLL3">
        <v>0</v>
      </c>
      <c r="DLM3">
        <v>0</v>
      </c>
      <c r="DLN3">
        <v>0</v>
      </c>
      <c r="DLO3">
        <v>11</v>
      </c>
      <c r="DLP3">
        <v>0</v>
      </c>
      <c r="DLQ3">
        <v>0</v>
      </c>
      <c r="DLR3">
        <v>0</v>
      </c>
      <c r="DLS3">
        <v>0</v>
      </c>
      <c r="DLT3">
        <v>0</v>
      </c>
      <c r="DLU3">
        <v>0</v>
      </c>
      <c r="DLV3">
        <v>0</v>
      </c>
      <c r="DLW3">
        <v>0</v>
      </c>
      <c r="DLX3">
        <v>0</v>
      </c>
      <c r="DLY3">
        <v>0</v>
      </c>
      <c r="DLZ3">
        <v>0</v>
      </c>
      <c r="DMA3">
        <v>145</v>
      </c>
      <c r="DMB3">
        <v>0</v>
      </c>
      <c r="DMC3">
        <v>27</v>
      </c>
      <c r="DMD3">
        <v>0</v>
      </c>
      <c r="DME3">
        <v>0</v>
      </c>
      <c r="DMF3">
        <v>0</v>
      </c>
      <c r="DMG3">
        <v>0</v>
      </c>
      <c r="DMH3">
        <v>0</v>
      </c>
      <c r="DMI3">
        <v>0</v>
      </c>
      <c r="DMJ3">
        <v>0</v>
      </c>
      <c r="DMK3">
        <v>0</v>
      </c>
      <c r="DML3">
        <v>0</v>
      </c>
      <c r="DMM3">
        <v>0</v>
      </c>
      <c r="DMN3">
        <v>62</v>
      </c>
      <c r="DMO3">
        <v>0</v>
      </c>
      <c r="DMP3">
        <v>0</v>
      </c>
      <c r="DMQ3">
        <v>0</v>
      </c>
      <c r="DMR3">
        <v>0</v>
      </c>
      <c r="DMS3">
        <v>0</v>
      </c>
      <c r="DMT3">
        <v>148</v>
      </c>
      <c r="DMU3">
        <v>0</v>
      </c>
      <c r="DMV3">
        <v>0</v>
      </c>
      <c r="DMW3">
        <v>0</v>
      </c>
      <c r="DMX3">
        <v>0</v>
      </c>
      <c r="DMY3">
        <v>0</v>
      </c>
      <c r="DMZ3">
        <v>0</v>
      </c>
      <c r="DNA3">
        <v>0</v>
      </c>
      <c r="DNB3">
        <v>0</v>
      </c>
      <c r="DNC3">
        <v>0</v>
      </c>
      <c r="DND3">
        <v>0</v>
      </c>
      <c r="DNE3">
        <v>0</v>
      </c>
      <c r="DNF3">
        <v>0</v>
      </c>
      <c r="DNG3">
        <v>0</v>
      </c>
      <c r="DNH3">
        <v>0</v>
      </c>
      <c r="DNI3">
        <v>0</v>
      </c>
      <c r="DNJ3">
        <v>129.99</v>
      </c>
      <c r="DNK3">
        <v>0</v>
      </c>
      <c r="DNL3">
        <v>0</v>
      </c>
      <c r="DNM3">
        <v>0</v>
      </c>
      <c r="DNN3">
        <v>0</v>
      </c>
      <c r="DNO3">
        <v>0</v>
      </c>
      <c r="DNP3">
        <v>0</v>
      </c>
      <c r="DNQ3">
        <v>0</v>
      </c>
      <c r="DNR3">
        <v>0</v>
      </c>
      <c r="DNS3">
        <v>22</v>
      </c>
      <c r="DNT3">
        <v>0</v>
      </c>
      <c r="DNU3">
        <v>0</v>
      </c>
      <c r="DNV3">
        <v>0</v>
      </c>
      <c r="DNW3">
        <v>0</v>
      </c>
      <c r="DNX3">
        <v>0</v>
      </c>
      <c r="DNY3">
        <v>0</v>
      </c>
      <c r="DNZ3">
        <v>0</v>
      </c>
      <c r="DOA3">
        <v>0</v>
      </c>
      <c r="DOB3">
        <v>0</v>
      </c>
      <c r="DOC3">
        <v>0</v>
      </c>
      <c r="DOD3">
        <v>0</v>
      </c>
      <c r="DOE3">
        <v>0</v>
      </c>
      <c r="DOF3">
        <v>0</v>
      </c>
      <c r="DOG3">
        <v>0</v>
      </c>
      <c r="DOH3">
        <v>0</v>
      </c>
      <c r="DOI3">
        <v>0</v>
      </c>
      <c r="DOJ3">
        <v>0</v>
      </c>
      <c r="DOK3">
        <v>0</v>
      </c>
      <c r="DOL3">
        <v>0</v>
      </c>
      <c r="DOM3">
        <v>0</v>
      </c>
      <c r="DON3">
        <v>0</v>
      </c>
      <c r="DOO3">
        <v>0</v>
      </c>
      <c r="DOP3">
        <v>0</v>
      </c>
      <c r="DOQ3">
        <v>0</v>
      </c>
      <c r="DOR3">
        <v>0</v>
      </c>
      <c r="DOS3">
        <v>0</v>
      </c>
      <c r="DOT3">
        <v>90</v>
      </c>
      <c r="DOU3">
        <v>0</v>
      </c>
      <c r="DOV3">
        <v>0</v>
      </c>
      <c r="DOW3">
        <v>0</v>
      </c>
      <c r="DOX3">
        <v>0</v>
      </c>
      <c r="DOY3">
        <v>0</v>
      </c>
      <c r="DOZ3">
        <v>0</v>
      </c>
      <c r="DPA3">
        <v>0</v>
      </c>
      <c r="DPB3">
        <v>0</v>
      </c>
      <c r="DPC3">
        <v>0</v>
      </c>
      <c r="DPD3">
        <v>0</v>
      </c>
      <c r="DPE3">
        <v>0</v>
      </c>
      <c r="DPF3">
        <v>0</v>
      </c>
      <c r="DPG3">
        <v>0</v>
      </c>
      <c r="DPH3">
        <v>0</v>
      </c>
      <c r="DPI3">
        <v>0</v>
      </c>
      <c r="DPJ3">
        <v>0</v>
      </c>
      <c r="DPK3">
        <v>93.99</v>
      </c>
      <c r="DPL3">
        <v>0</v>
      </c>
      <c r="DPM3">
        <v>0</v>
      </c>
      <c r="DPN3">
        <v>0</v>
      </c>
      <c r="DPO3">
        <v>0</v>
      </c>
      <c r="DPP3">
        <v>0</v>
      </c>
      <c r="DPQ3">
        <v>0</v>
      </c>
      <c r="DPR3">
        <v>0</v>
      </c>
      <c r="DPS3">
        <v>0</v>
      </c>
      <c r="DPT3">
        <v>0</v>
      </c>
      <c r="DPU3">
        <v>0</v>
      </c>
      <c r="DPV3">
        <v>0</v>
      </c>
      <c r="DPW3">
        <v>0</v>
      </c>
      <c r="DPX3">
        <v>161</v>
      </c>
      <c r="DPY3">
        <v>0</v>
      </c>
      <c r="DPZ3">
        <v>0</v>
      </c>
      <c r="DQA3">
        <v>0</v>
      </c>
      <c r="DQB3">
        <v>0</v>
      </c>
      <c r="DQC3">
        <v>161.99</v>
      </c>
      <c r="DQD3">
        <v>0</v>
      </c>
      <c r="DQE3">
        <v>0</v>
      </c>
      <c r="DQF3">
        <v>0</v>
      </c>
      <c r="DQG3">
        <v>0</v>
      </c>
      <c r="DQH3">
        <v>0</v>
      </c>
      <c r="DQI3">
        <v>163</v>
      </c>
      <c r="DQJ3">
        <v>163</v>
      </c>
      <c r="DQK3">
        <v>163.99</v>
      </c>
      <c r="DQL3">
        <v>0</v>
      </c>
      <c r="DQM3">
        <v>45</v>
      </c>
      <c r="DQN3">
        <v>0</v>
      </c>
      <c r="DQO3">
        <v>0</v>
      </c>
      <c r="DQP3">
        <v>31</v>
      </c>
      <c r="DQQ3">
        <v>0</v>
      </c>
      <c r="DQR3">
        <v>0</v>
      </c>
      <c r="DQS3">
        <v>0</v>
      </c>
      <c r="DQT3">
        <v>0</v>
      </c>
      <c r="DQU3">
        <v>0</v>
      </c>
      <c r="DQV3">
        <v>0</v>
      </c>
      <c r="DQW3">
        <v>0</v>
      </c>
      <c r="DQX3">
        <v>53</v>
      </c>
      <c r="DQY3">
        <v>0</v>
      </c>
      <c r="DQZ3">
        <v>0</v>
      </c>
      <c r="DRA3">
        <v>0</v>
      </c>
      <c r="DRB3">
        <v>0</v>
      </c>
      <c r="DRC3">
        <v>0</v>
      </c>
      <c r="DRD3">
        <v>0</v>
      </c>
      <c r="DRE3">
        <v>0</v>
      </c>
      <c r="DRF3">
        <v>0</v>
      </c>
      <c r="DRG3">
        <v>0</v>
      </c>
      <c r="DRH3">
        <v>0</v>
      </c>
      <c r="DRI3">
        <v>0</v>
      </c>
      <c r="DRJ3">
        <v>0</v>
      </c>
      <c r="DRK3">
        <v>0</v>
      </c>
      <c r="DRL3">
        <v>0</v>
      </c>
      <c r="DRM3">
        <v>0</v>
      </c>
      <c r="DRN3">
        <v>0</v>
      </c>
      <c r="DRO3">
        <v>0</v>
      </c>
      <c r="DRP3">
        <v>0</v>
      </c>
      <c r="DRQ3">
        <v>0</v>
      </c>
      <c r="DRR3">
        <v>170</v>
      </c>
      <c r="DRS3">
        <v>0</v>
      </c>
      <c r="DRT3">
        <v>0</v>
      </c>
      <c r="DRU3">
        <v>0</v>
      </c>
      <c r="DRV3">
        <v>0</v>
      </c>
      <c r="DRW3">
        <v>11</v>
      </c>
      <c r="DRX3">
        <v>0</v>
      </c>
      <c r="DRY3">
        <v>0</v>
      </c>
      <c r="DRZ3">
        <v>0</v>
      </c>
      <c r="DSA3">
        <v>128.01</v>
      </c>
      <c r="DSB3">
        <v>0</v>
      </c>
      <c r="DSC3">
        <v>0</v>
      </c>
      <c r="DSD3">
        <v>173</v>
      </c>
      <c r="DSE3">
        <v>0</v>
      </c>
      <c r="DSF3">
        <v>0</v>
      </c>
      <c r="DSG3">
        <v>0</v>
      </c>
      <c r="DSH3">
        <v>0</v>
      </c>
      <c r="DSI3">
        <v>0</v>
      </c>
      <c r="DSJ3">
        <v>0</v>
      </c>
      <c r="DSK3">
        <v>0</v>
      </c>
      <c r="DSL3">
        <v>0</v>
      </c>
      <c r="DSM3">
        <v>0</v>
      </c>
      <c r="DSN3">
        <v>0</v>
      </c>
      <c r="DSO3">
        <v>0</v>
      </c>
      <c r="DSP3">
        <v>0</v>
      </c>
      <c r="DSQ3">
        <v>0</v>
      </c>
      <c r="DSR3">
        <v>0</v>
      </c>
      <c r="DSS3">
        <v>0</v>
      </c>
      <c r="DST3">
        <v>0</v>
      </c>
      <c r="DSU3">
        <v>0</v>
      </c>
      <c r="DSV3">
        <v>0</v>
      </c>
      <c r="DSW3">
        <v>0</v>
      </c>
      <c r="DSX3">
        <v>0</v>
      </c>
      <c r="DSY3">
        <v>0</v>
      </c>
      <c r="DSZ3">
        <v>175.99</v>
      </c>
      <c r="DTA3">
        <v>0</v>
      </c>
      <c r="DTB3">
        <v>0</v>
      </c>
      <c r="DTC3">
        <v>0</v>
      </c>
      <c r="DTD3">
        <v>0</v>
      </c>
      <c r="DTE3">
        <v>0</v>
      </c>
      <c r="DTF3">
        <v>0</v>
      </c>
      <c r="DTG3">
        <v>0</v>
      </c>
      <c r="DTH3">
        <v>0</v>
      </c>
      <c r="DTI3">
        <v>0</v>
      </c>
      <c r="DTJ3">
        <v>0</v>
      </c>
      <c r="DTK3">
        <v>0</v>
      </c>
      <c r="DTL3">
        <v>34</v>
      </c>
      <c r="DTM3">
        <v>0</v>
      </c>
      <c r="DTN3">
        <v>0</v>
      </c>
      <c r="DTO3">
        <v>0</v>
      </c>
      <c r="DTP3">
        <v>0</v>
      </c>
      <c r="DTQ3">
        <v>0</v>
      </c>
      <c r="DTR3">
        <v>0</v>
      </c>
      <c r="DTS3">
        <v>0</v>
      </c>
      <c r="DTT3">
        <v>0</v>
      </c>
      <c r="DTU3">
        <v>0</v>
      </c>
      <c r="DTV3">
        <v>0</v>
      </c>
      <c r="DTW3">
        <v>0</v>
      </c>
      <c r="DTX3">
        <v>0</v>
      </c>
      <c r="DTY3">
        <v>0</v>
      </c>
      <c r="DTZ3">
        <v>0</v>
      </c>
      <c r="DUA3">
        <v>0</v>
      </c>
      <c r="DUB3">
        <v>0</v>
      </c>
      <c r="DUC3">
        <v>0</v>
      </c>
      <c r="DUD3">
        <v>0</v>
      </c>
      <c r="DUE3">
        <v>67</v>
      </c>
      <c r="DUF3">
        <v>0</v>
      </c>
      <c r="DUG3">
        <v>0</v>
      </c>
      <c r="DUH3">
        <v>0</v>
      </c>
      <c r="DUI3">
        <v>10</v>
      </c>
      <c r="DUJ3">
        <v>0</v>
      </c>
      <c r="DUK3">
        <v>0</v>
      </c>
      <c r="DUL3">
        <v>0</v>
      </c>
      <c r="DUM3">
        <v>39</v>
      </c>
      <c r="DUN3">
        <v>0</v>
      </c>
      <c r="DUO3">
        <v>0</v>
      </c>
      <c r="DUP3">
        <v>0</v>
      </c>
      <c r="DUQ3">
        <v>0</v>
      </c>
      <c r="DUR3">
        <v>0</v>
      </c>
      <c r="DUS3">
        <v>0</v>
      </c>
      <c r="DUT3">
        <v>0</v>
      </c>
      <c r="DUU3">
        <v>13.99</v>
      </c>
      <c r="DUV3">
        <v>0</v>
      </c>
      <c r="DUW3">
        <v>0</v>
      </c>
      <c r="DUX3">
        <v>0</v>
      </c>
      <c r="DUY3">
        <v>0</v>
      </c>
      <c r="DUZ3">
        <v>0</v>
      </c>
      <c r="DVA3">
        <v>0</v>
      </c>
      <c r="DVB3">
        <v>0</v>
      </c>
      <c r="DVC3">
        <v>0</v>
      </c>
      <c r="DVD3">
        <v>0</v>
      </c>
      <c r="DVE3">
        <v>0</v>
      </c>
      <c r="DVF3">
        <v>0</v>
      </c>
      <c r="DVG3">
        <v>0</v>
      </c>
      <c r="DVH3">
        <v>0</v>
      </c>
      <c r="DVI3">
        <v>0</v>
      </c>
      <c r="DVJ3">
        <v>0</v>
      </c>
      <c r="DVK3">
        <v>0</v>
      </c>
      <c r="DVL3">
        <v>0</v>
      </c>
      <c r="DVM3">
        <v>0</v>
      </c>
      <c r="DVN3">
        <v>0</v>
      </c>
      <c r="DVO3">
        <v>0</v>
      </c>
      <c r="DVP3">
        <v>0</v>
      </c>
      <c r="DVQ3">
        <v>191.99</v>
      </c>
      <c r="DVR3">
        <v>0</v>
      </c>
      <c r="DVS3">
        <v>0</v>
      </c>
      <c r="DVT3">
        <v>0</v>
      </c>
      <c r="DVU3">
        <v>0</v>
      </c>
      <c r="DVV3">
        <v>0</v>
      </c>
      <c r="DVW3">
        <v>0</v>
      </c>
      <c r="DVX3">
        <v>0</v>
      </c>
      <c r="DVY3">
        <v>0</v>
      </c>
      <c r="DVZ3">
        <v>0</v>
      </c>
      <c r="DWA3">
        <v>0</v>
      </c>
      <c r="DWB3">
        <v>0</v>
      </c>
      <c r="DWC3">
        <v>0</v>
      </c>
      <c r="DWD3">
        <v>0</v>
      </c>
      <c r="DWE3">
        <v>0</v>
      </c>
      <c r="DWF3">
        <v>0</v>
      </c>
      <c r="DWG3">
        <v>0</v>
      </c>
      <c r="DWH3">
        <v>0</v>
      </c>
      <c r="DWI3">
        <v>0</v>
      </c>
      <c r="DWJ3">
        <v>0</v>
      </c>
      <c r="DWK3">
        <v>0</v>
      </c>
      <c r="DWL3">
        <v>0</v>
      </c>
      <c r="DWM3">
        <v>0</v>
      </c>
      <c r="DWN3">
        <v>0</v>
      </c>
      <c r="DWO3">
        <v>0</v>
      </c>
      <c r="DWP3">
        <v>0</v>
      </c>
      <c r="DWQ3">
        <v>0</v>
      </c>
      <c r="DWR3">
        <v>0</v>
      </c>
      <c r="DWS3">
        <v>0</v>
      </c>
      <c r="DWT3">
        <v>34</v>
      </c>
      <c r="DWU3">
        <v>96</v>
      </c>
      <c r="DWV3">
        <v>0</v>
      </c>
      <c r="DWW3">
        <v>0</v>
      </c>
      <c r="DWX3">
        <v>0</v>
      </c>
      <c r="DWY3">
        <v>0</v>
      </c>
      <c r="DWZ3">
        <v>0</v>
      </c>
      <c r="DXA3">
        <v>0</v>
      </c>
      <c r="DXB3">
        <v>0</v>
      </c>
      <c r="DXC3">
        <v>0</v>
      </c>
      <c r="DXD3">
        <v>0</v>
      </c>
      <c r="DXE3">
        <v>0</v>
      </c>
      <c r="DXF3">
        <v>0</v>
      </c>
      <c r="DXG3">
        <v>0</v>
      </c>
      <c r="DXH3">
        <v>0</v>
      </c>
      <c r="DXI3">
        <v>0</v>
      </c>
      <c r="DXJ3">
        <v>0</v>
      </c>
      <c r="DXK3">
        <v>0</v>
      </c>
      <c r="DXL3">
        <v>0</v>
      </c>
      <c r="DXM3">
        <v>62</v>
      </c>
      <c r="DXN3">
        <v>0</v>
      </c>
      <c r="DXO3">
        <v>0</v>
      </c>
      <c r="DXP3">
        <v>0</v>
      </c>
      <c r="DXQ3">
        <v>0</v>
      </c>
      <c r="DXR3">
        <v>29</v>
      </c>
      <c r="DXS3">
        <v>0</v>
      </c>
      <c r="DXT3">
        <v>0</v>
      </c>
      <c r="DXU3">
        <v>0</v>
      </c>
      <c r="DXV3">
        <v>0</v>
      </c>
      <c r="DXW3">
        <v>0</v>
      </c>
      <c r="DXX3">
        <v>0</v>
      </c>
      <c r="DXY3">
        <v>0</v>
      </c>
      <c r="DXZ3">
        <v>29</v>
      </c>
      <c r="DYA3">
        <v>0</v>
      </c>
      <c r="DYB3">
        <v>0</v>
      </c>
      <c r="DYC3">
        <v>0</v>
      </c>
      <c r="DYD3">
        <v>0</v>
      </c>
      <c r="DYE3">
        <v>0</v>
      </c>
      <c r="DYF3">
        <v>0</v>
      </c>
      <c r="DYG3">
        <v>5</v>
      </c>
      <c r="DYH3">
        <v>0</v>
      </c>
      <c r="DYI3">
        <v>0</v>
      </c>
      <c r="DYJ3">
        <v>0</v>
      </c>
      <c r="DYK3">
        <v>22</v>
      </c>
      <c r="DYL3">
        <v>0</v>
      </c>
      <c r="DYM3">
        <v>0</v>
      </c>
      <c r="DYN3">
        <v>0</v>
      </c>
      <c r="DYO3">
        <v>0</v>
      </c>
      <c r="DYP3">
        <v>0</v>
      </c>
      <c r="DYQ3">
        <v>0</v>
      </c>
      <c r="DYR3">
        <v>0</v>
      </c>
      <c r="DYS3">
        <v>0</v>
      </c>
      <c r="DYT3">
        <v>0</v>
      </c>
      <c r="DYU3">
        <v>0</v>
      </c>
      <c r="DYV3">
        <v>0</v>
      </c>
      <c r="DYW3">
        <v>0</v>
      </c>
      <c r="DYX3">
        <v>0</v>
      </c>
      <c r="DYY3">
        <v>0</v>
      </c>
      <c r="DYZ3">
        <v>0</v>
      </c>
      <c r="DZA3">
        <v>0</v>
      </c>
      <c r="DZB3">
        <v>0</v>
      </c>
      <c r="DZC3">
        <v>0</v>
      </c>
      <c r="DZD3">
        <v>0</v>
      </c>
      <c r="DZE3">
        <v>0</v>
      </c>
      <c r="DZF3">
        <v>23</v>
      </c>
      <c r="DZG3">
        <v>0</v>
      </c>
      <c r="DZH3">
        <v>14</v>
      </c>
      <c r="DZI3">
        <v>0</v>
      </c>
      <c r="DZJ3">
        <v>0</v>
      </c>
      <c r="DZK3">
        <v>0</v>
      </c>
      <c r="DZL3">
        <v>0</v>
      </c>
      <c r="DZM3">
        <v>0</v>
      </c>
      <c r="DZN3">
        <v>0</v>
      </c>
      <c r="DZO3">
        <v>0</v>
      </c>
      <c r="DZP3">
        <v>0</v>
      </c>
      <c r="DZQ3">
        <v>0</v>
      </c>
      <c r="DZR3">
        <v>0</v>
      </c>
      <c r="DZS3">
        <v>0</v>
      </c>
      <c r="DZT3">
        <v>0</v>
      </c>
      <c r="DZU3">
        <v>0</v>
      </c>
      <c r="DZV3">
        <v>0</v>
      </c>
      <c r="DZW3">
        <v>0</v>
      </c>
      <c r="DZX3">
        <v>0</v>
      </c>
      <c r="DZY3">
        <v>0</v>
      </c>
      <c r="DZZ3">
        <v>0</v>
      </c>
      <c r="EAA3">
        <v>0</v>
      </c>
      <c r="EAB3">
        <v>52</v>
      </c>
      <c r="EAC3">
        <v>0</v>
      </c>
      <c r="EAD3">
        <v>0</v>
      </c>
      <c r="EAE3">
        <v>0</v>
      </c>
      <c r="EAF3">
        <v>0</v>
      </c>
      <c r="EAG3">
        <v>0</v>
      </c>
      <c r="EAH3">
        <v>0</v>
      </c>
      <c r="EAI3">
        <v>0</v>
      </c>
      <c r="EAJ3">
        <v>0</v>
      </c>
      <c r="EAK3">
        <v>0</v>
      </c>
      <c r="EAL3">
        <v>0</v>
      </c>
      <c r="EAM3">
        <v>0</v>
      </c>
      <c r="EAN3">
        <v>0</v>
      </c>
      <c r="EAO3">
        <v>0</v>
      </c>
      <c r="EAP3">
        <v>0</v>
      </c>
      <c r="EAQ3">
        <v>0</v>
      </c>
      <c r="EAR3">
        <v>0</v>
      </c>
      <c r="EAS3">
        <v>0</v>
      </c>
      <c r="EAT3">
        <v>0</v>
      </c>
      <c r="EAU3">
        <v>0</v>
      </c>
      <c r="EAV3">
        <v>0</v>
      </c>
      <c r="EAW3">
        <v>0</v>
      </c>
      <c r="EAX3">
        <v>0</v>
      </c>
      <c r="EAY3">
        <v>0</v>
      </c>
      <c r="EAZ3">
        <v>0</v>
      </c>
      <c r="EBA3">
        <v>0</v>
      </c>
      <c r="EBB3">
        <v>0</v>
      </c>
      <c r="EBC3">
        <v>0</v>
      </c>
      <c r="EBD3">
        <v>0</v>
      </c>
      <c r="EBE3">
        <v>0</v>
      </c>
      <c r="EBF3">
        <v>0</v>
      </c>
      <c r="EBG3">
        <v>0</v>
      </c>
      <c r="EBH3">
        <v>0</v>
      </c>
      <c r="EBI3">
        <v>0</v>
      </c>
      <c r="EBJ3">
        <v>0</v>
      </c>
      <c r="EBK3">
        <v>0</v>
      </c>
      <c r="EBL3">
        <v>0</v>
      </c>
      <c r="EBM3">
        <v>0</v>
      </c>
      <c r="EBN3">
        <v>0</v>
      </c>
      <c r="EBO3">
        <v>0</v>
      </c>
      <c r="EBP3">
        <v>0</v>
      </c>
      <c r="EBQ3">
        <v>0</v>
      </c>
      <c r="EBR3">
        <v>0</v>
      </c>
      <c r="EBS3">
        <v>0</v>
      </c>
      <c r="EBT3">
        <v>0</v>
      </c>
      <c r="EBU3">
        <v>0</v>
      </c>
      <c r="EBV3">
        <v>0</v>
      </c>
      <c r="EBW3">
        <v>0</v>
      </c>
      <c r="EBX3">
        <v>0</v>
      </c>
      <c r="EBY3">
        <v>0</v>
      </c>
      <c r="EBZ3">
        <v>0</v>
      </c>
      <c r="ECA3">
        <v>0</v>
      </c>
      <c r="ECB3">
        <v>0</v>
      </c>
      <c r="ECC3">
        <v>0</v>
      </c>
      <c r="ECD3">
        <v>0</v>
      </c>
      <c r="ECE3">
        <v>0</v>
      </c>
      <c r="ECF3">
        <v>0</v>
      </c>
      <c r="ECG3">
        <v>0</v>
      </c>
      <c r="ECH3">
        <v>241</v>
      </c>
      <c r="ECI3">
        <v>0</v>
      </c>
      <c r="ECJ3">
        <v>0</v>
      </c>
      <c r="ECK3">
        <v>0</v>
      </c>
      <c r="ECL3">
        <v>0</v>
      </c>
      <c r="ECM3">
        <v>0</v>
      </c>
      <c r="ECN3">
        <v>159</v>
      </c>
      <c r="ECO3">
        <v>242.99</v>
      </c>
      <c r="ECP3">
        <v>0</v>
      </c>
      <c r="ECQ3">
        <v>0</v>
      </c>
      <c r="ECR3">
        <v>0</v>
      </c>
      <c r="ECS3">
        <v>0</v>
      </c>
      <c r="ECT3">
        <v>0</v>
      </c>
      <c r="ECU3">
        <v>0</v>
      </c>
      <c r="ECV3">
        <v>0</v>
      </c>
      <c r="ECW3">
        <v>0</v>
      </c>
      <c r="ECX3">
        <v>0</v>
      </c>
      <c r="ECY3">
        <v>0</v>
      </c>
      <c r="ECZ3">
        <v>0</v>
      </c>
      <c r="EDA3">
        <v>0</v>
      </c>
      <c r="EDB3">
        <v>0</v>
      </c>
      <c r="EDC3">
        <v>0</v>
      </c>
      <c r="EDD3">
        <v>0</v>
      </c>
      <c r="EDE3">
        <v>0</v>
      </c>
      <c r="EDF3">
        <v>0</v>
      </c>
      <c r="EDG3">
        <v>0</v>
      </c>
      <c r="EDH3">
        <v>0</v>
      </c>
      <c r="EDI3">
        <v>0</v>
      </c>
      <c r="EDJ3">
        <v>0</v>
      </c>
      <c r="EDK3">
        <v>0</v>
      </c>
      <c r="EDL3">
        <v>17</v>
      </c>
      <c r="EDM3">
        <v>15</v>
      </c>
      <c r="EDN3">
        <v>0</v>
      </c>
      <c r="EDO3">
        <v>0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0</v>
      </c>
      <c r="EDW3">
        <v>0</v>
      </c>
      <c r="EDX3">
        <v>0</v>
      </c>
      <c r="EDY3">
        <v>0</v>
      </c>
      <c r="EDZ3">
        <v>0</v>
      </c>
      <c r="EEA3">
        <v>0</v>
      </c>
      <c r="EEB3">
        <v>0</v>
      </c>
      <c r="EEC3">
        <v>0</v>
      </c>
      <c r="EED3">
        <v>0</v>
      </c>
      <c r="EEE3">
        <v>142</v>
      </c>
      <c r="EEF3">
        <v>0</v>
      </c>
      <c r="EEG3">
        <v>0</v>
      </c>
      <c r="EEH3">
        <v>0</v>
      </c>
      <c r="EEI3">
        <v>0</v>
      </c>
      <c r="EEJ3">
        <v>0</v>
      </c>
      <c r="EEK3">
        <v>0</v>
      </c>
      <c r="EEL3">
        <v>0</v>
      </c>
      <c r="EEM3">
        <v>0</v>
      </c>
      <c r="EEN3">
        <v>0</v>
      </c>
      <c r="EEO3">
        <v>0</v>
      </c>
      <c r="EEP3">
        <v>0</v>
      </c>
      <c r="EEQ3">
        <v>0</v>
      </c>
      <c r="EER3">
        <v>0</v>
      </c>
      <c r="EES3">
        <v>0</v>
      </c>
      <c r="EET3">
        <v>0</v>
      </c>
      <c r="EEU3">
        <v>0</v>
      </c>
      <c r="EEV3">
        <v>261.99</v>
      </c>
      <c r="EEW3">
        <v>0</v>
      </c>
      <c r="EEX3">
        <v>0</v>
      </c>
      <c r="EEY3">
        <v>0</v>
      </c>
      <c r="EEZ3">
        <v>0</v>
      </c>
      <c r="EFA3">
        <v>0</v>
      </c>
      <c r="EFB3">
        <v>0</v>
      </c>
      <c r="EFC3">
        <v>0</v>
      </c>
      <c r="EFD3">
        <v>0</v>
      </c>
      <c r="EFE3">
        <v>0</v>
      </c>
      <c r="EFF3">
        <v>0</v>
      </c>
      <c r="EFG3">
        <v>0</v>
      </c>
      <c r="EFH3">
        <v>0</v>
      </c>
      <c r="EFI3">
        <v>0</v>
      </c>
      <c r="EFJ3">
        <v>171.99</v>
      </c>
      <c r="EFK3">
        <v>0</v>
      </c>
      <c r="EFL3">
        <v>0</v>
      </c>
      <c r="EFM3">
        <v>0</v>
      </c>
      <c r="EFN3">
        <v>0</v>
      </c>
      <c r="EFO3">
        <v>0</v>
      </c>
      <c r="EFP3">
        <v>0</v>
      </c>
      <c r="EFQ3">
        <v>0</v>
      </c>
      <c r="EFR3">
        <v>0</v>
      </c>
      <c r="EFS3">
        <v>0</v>
      </c>
      <c r="EFT3">
        <v>0</v>
      </c>
      <c r="EFU3">
        <v>0</v>
      </c>
      <c r="EFV3">
        <v>0</v>
      </c>
      <c r="EFW3">
        <v>0</v>
      </c>
      <c r="EFX3">
        <v>0</v>
      </c>
      <c r="EFY3">
        <v>0</v>
      </c>
      <c r="EFZ3">
        <v>0</v>
      </c>
      <c r="EGA3">
        <v>0</v>
      </c>
      <c r="EGB3">
        <v>0</v>
      </c>
      <c r="EGC3">
        <v>0</v>
      </c>
      <c r="EGD3">
        <v>0</v>
      </c>
      <c r="EGE3">
        <v>0</v>
      </c>
      <c r="EGF3">
        <v>131.99</v>
      </c>
      <c r="EGG3">
        <v>0</v>
      </c>
      <c r="EGH3">
        <v>0</v>
      </c>
      <c r="EGI3">
        <v>0</v>
      </c>
      <c r="EGJ3">
        <v>0</v>
      </c>
      <c r="EGK3">
        <v>0</v>
      </c>
      <c r="EGL3">
        <v>0</v>
      </c>
      <c r="EGM3">
        <v>0</v>
      </c>
      <c r="EGN3">
        <v>0</v>
      </c>
      <c r="EGO3">
        <v>0</v>
      </c>
      <c r="EGP3">
        <v>276.01</v>
      </c>
      <c r="EGQ3">
        <v>0</v>
      </c>
      <c r="EGR3">
        <v>0</v>
      </c>
      <c r="EGS3">
        <v>0</v>
      </c>
      <c r="EGT3">
        <v>0</v>
      </c>
      <c r="EGU3">
        <v>0</v>
      </c>
      <c r="EGV3">
        <v>0</v>
      </c>
      <c r="EGW3">
        <v>0</v>
      </c>
      <c r="EGX3">
        <v>0</v>
      </c>
      <c r="EGY3">
        <v>0</v>
      </c>
      <c r="EGZ3">
        <v>0</v>
      </c>
      <c r="EHA3">
        <v>0</v>
      </c>
      <c r="EHB3">
        <v>100</v>
      </c>
      <c r="EHC3">
        <v>0</v>
      </c>
      <c r="EHD3">
        <v>0</v>
      </c>
      <c r="EHE3">
        <v>0</v>
      </c>
      <c r="EHF3">
        <v>0</v>
      </c>
      <c r="EHG3">
        <v>0</v>
      </c>
      <c r="EHH3">
        <v>0</v>
      </c>
      <c r="EHI3">
        <v>0</v>
      </c>
      <c r="EHJ3">
        <v>63.99</v>
      </c>
      <c r="EHK3">
        <v>0</v>
      </c>
      <c r="EHL3">
        <v>0</v>
      </c>
      <c r="EHM3">
        <v>0</v>
      </c>
      <c r="EHN3">
        <v>0</v>
      </c>
      <c r="EHO3">
        <v>0</v>
      </c>
      <c r="EHP3">
        <v>0</v>
      </c>
      <c r="EHQ3">
        <v>0</v>
      </c>
      <c r="EHR3">
        <v>0</v>
      </c>
      <c r="EHS3">
        <v>0</v>
      </c>
      <c r="EHT3">
        <v>0</v>
      </c>
      <c r="EHU3">
        <v>0</v>
      </c>
      <c r="EHV3">
        <v>0</v>
      </c>
      <c r="EHW3">
        <v>0</v>
      </c>
      <c r="EHX3">
        <v>0</v>
      </c>
      <c r="EHY3">
        <v>0</v>
      </c>
      <c r="EHZ3">
        <v>223.99</v>
      </c>
      <c r="EIA3">
        <v>0</v>
      </c>
      <c r="EIB3">
        <v>0</v>
      </c>
      <c r="EIC3">
        <v>0</v>
      </c>
      <c r="EID3">
        <v>0</v>
      </c>
      <c r="EIE3">
        <v>0</v>
      </c>
      <c r="EIF3">
        <v>0</v>
      </c>
      <c r="EIG3">
        <v>24</v>
      </c>
      <c r="EIH3">
        <v>0</v>
      </c>
      <c r="EII3">
        <v>17</v>
      </c>
      <c r="EIJ3">
        <v>0</v>
      </c>
      <c r="EIK3">
        <v>0</v>
      </c>
      <c r="EIL3">
        <v>0</v>
      </c>
      <c r="EIM3">
        <v>0</v>
      </c>
      <c r="EIN3">
        <v>0</v>
      </c>
      <c r="EIO3">
        <v>0</v>
      </c>
      <c r="EIP3">
        <v>0</v>
      </c>
      <c r="EIQ3">
        <v>0</v>
      </c>
      <c r="EIR3">
        <v>0</v>
      </c>
      <c r="EIS3">
        <v>0</v>
      </c>
      <c r="EIT3">
        <v>24</v>
      </c>
      <c r="EIU3">
        <v>0</v>
      </c>
      <c r="EIV3">
        <v>85</v>
      </c>
      <c r="EIW3">
        <v>0</v>
      </c>
      <c r="EIX3">
        <v>27</v>
      </c>
      <c r="EIY3">
        <v>0</v>
      </c>
      <c r="EIZ3">
        <v>0</v>
      </c>
      <c r="EJA3">
        <v>0</v>
      </c>
      <c r="EJB3">
        <v>33</v>
      </c>
      <c r="EJC3">
        <v>0</v>
      </c>
      <c r="EJD3">
        <v>0</v>
      </c>
      <c r="EJE3">
        <v>0</v>
      </c>
      <c r="EJF3">
        <v>0</v>
      </c>
      <c r="EJG3">
        <v>0</v>
      </c>
      <c r="EJH3">
        <v>0</v>
      </c>
      <c r="EJI3">
        <v>0</v>
      </c>
      <c r="EJJ3">
        <v>0</v>
      </c>
      <c r="EJK3">
        <v>0</v>
      </c>
      <c r="EJL3">
        <v>0</v>
      </c>
      <c r="EJM3">
        <v>0</v>
      </c>
      <c r="EJN3">
        <v>0</v>
      </c>
      <c r="EJO3">
        <v>0</v>
      </c>
      <c r="EJP3">
        <v>0</v>
      </c>
      <c r="EJQ3">
        <v>310</v>
      </c>
      <c r="EJR3">
        <v>0</v>
      </c>
      <c r="EJS3">
        <v>0</v>
      </c>
      <c r="EJT3">
        <v>0</v>
      </c>
      <c r="EJU3">
        <v>0</v>
      </c>
      <c r="EJV3">
        <v>0</v>
      </c>
      <c r="EJW3">
        <v>0</v>
      </c>
      <c r="EJX3">
        <v>0</v>
      </c>
      <c r="EJY3">
        <v>314.98</v>
      </c>
      <c r="EJZ3">
        <v>0</v>
      </c>
      <c r="EKA3">
        <v>0</v>
      </c>
      <c r="EKB3">
        <v>0</v>
      </c>
      <c r="EKC3">
        <v>0</v>
      </c>
      <c r="EKD3">
        <v>0</v>
      </c>
      <c r="EKE3">
        <v>0</v>
      </c>
      <c r="EKF3">
        <v>0</v>
      </c>
      <c r="EKG3">
        <v>15</v>
      </c>
      <c r="EKH3">
        <v>0</v>
      </c>
      <c r="EKI3">
        <v>0</v>
      </c>
      <c r="EKJ3">
        <v>0</v>
      </c>
      <c r="EKK3">
        <v>0</v>
      </c>
      <c r="EKL3">
        <v>0</v>
      </c>
      <c r="EKM3">
        <v>0</v>
      </c>
      <c r="EKN3">
        <v>0</v>
      </c>
      <c r="EKO3">
        <v>0</v>
      </c>
      <c r="EKP3">
        <v>0</v>
      </c>
      <c r="EKQ3">
        <v>0</v>
      </c>
      <c r="EKR3">
        <v>0</v>
      </c>
      <c r="EKS3">
        <v>0</v>
      </c>
      <c r="EKT3">
        <v>0</v>
      </c>
      <c r="EKU3">
        <v>0</v>
      </c>
      <c r="EKV3">
        <v>0</v>
      </c>
      <c r="EKW3">
        <v>0</v>
      </c>
      <c r="EKX3">
        <v>0</v>
      </c>
      <c r="EKY3">
        <v>0</v>
      </c>
      <c r="EKZ3">
        <v>0</v>
      </c>
      <c r="ELA3">
        <v>0</v>
      </c>
      <c r="ELB3">
        <v>0</v>
      </c>
      <c r="ELC3">
        <v>0</v>
      </c>
      <c r="ELD3">
        <v>0</v>
      </c>
      <c r="ELE3">
        <v>0</v>
      </c>
      <c r="ELF3">
        <v>0</v>
      </c>
      <c r="ELG3">
        <v>0</v>
      </c>
      <c r="ELH3">
        <v>0</v>
      </c>
      <c r="ELI3">
        <v>0</v>
      </c>
      <c r="ELJ3">
        <v>0</v>
      </c>
      <c r="ELK3">
        <v>0</v>
      </c>
      <c r="ELL3">
        <v>0</v>
      </c>
      <c r="ELM3">
        <v>0</v>
      </c>
      <c r="ELN3">
        <v>0</v>
      </c>
      <c r="ELO3">
        <v>0</v>
      </c>
      <c r="ELP3">
        <v>0</v>
      </c>
      <c r="ELQ3">
        <v>0</v>
      </c>
      <c r="ELR3">
        <v>0</v>
      </c>
      <c r="ELS3">
        <v>0</v>
      </c>
      <c r="ELT3">
        <v>0</v>
      </c>
      <c r="ELU3">
        <v>0</v>
      </c>
      <c r="ELV3">
        <v>0</v>
      </c>
      <c r="ELW3">
        <v>0</v>
      </c>
      <c r="ELX3">
        <v>39</v>
      </c>
      <c r="ELY3">
        <v>0</v>
      </c>
      <c r="ELZ3">
        <v>0</v>
      </c>
      <c r="EMA3">
        <v>0</v>
      </c>
      <c r="EMB3">
        <v>0</v>
      </c>
      <c r="EMC3">
        <v>0</v>
      </c>
      <c r="EMD3">
        <v>0</v>
      </c>
      <c r="EME3">
        <v>0</v>
      </c>
      <c r="EMF3">
        <v>0</v>
      </c>
      <c r="EMG3">
        <v>0</v>
      </c>
      <c r="EMH3">
        <v>0</v>
      </c>
      <c r="EMI3">
        <v>0</v>
      </c>
      <c r="EMJ3">
        <v>0</v>
      </c>
      <c r="EMK3">
        <v>0</v>
      </c>
      <c r="EML3">
        <v>0</v>
      </c>
      <c r="EMM3">
        <v>0</v>
      </c>
      <c r="EMN3">
        <v>217</v>
      </c>
      <c r="EMO3">
        <v>0</v>
      </c>
      <c r="EMP3">
        <v>0</v>
      </c>
      <c r="EMQ3">
        <v>0</v>
      </c>
      <c r="EMR3">
        <v>0</v>
      </c>
      <c r="EMS3">
        <v>67</v>
      </c>
      <c r="EMT3">
        <v>28</v>
      </c>
      <c r="EMU3">
        <v>0</v>
      </c>
      <c r="EMV3">
        <v>0</v>
      </c>
      <c r="EMW3">
        <v>0</v>
      </c>
      <c r="EMX3">
        <v>0</v>
      </c>
      <c r="EMY3">
        <v>0</v>
      </c>
      <c r="EMZ3">
        <v>0</v>
      </c>
      <c r="ENA3">
        <v>0</v>
      </c>
      <c r="ENB3">
        <v>0</v>
      </c>
      <c r="ENC3">
        <v>350.99</v>
      </c>
      <c r="END3">
        <v>0</v>
      </c>
      <c r="ENE3">
        <v>0</v>
      </c>
      <c r="ENF3">
        <v>0</v>
      </c>
      <c r="ENG3">
        <v>0</v>
      </c>
      <c r="ENH3">
        <v>0</v>
      </c>
      <c r="ENI3">
        <v>0</v>
      </c>
      <c r="ENJ3">
        <v>0</v>
      </c>
      <c r="ENK3">
        <v>0</v>
      </c>
      <c r="ENL3">
        <v>0</v>
      </c>
      <c r="ENM3">
        <v>0</v>
      </c>
      <c r="ENN3">
        <v>0</v>
      </c>
      <c r="ENO3">
        <v>0</v>
      </c>
      <c r="ENP3">
        <v>0</v>
      </c>
      <c r="ENQ3">
        <v>0</v>
      </c>
      <c r="ENR3">
        <v>0</v>
      </c>
      <c r="ENS3">
        <v>0</v>
      </c>
      <c r="ENT3">
        <v>0</v>
      </c>
      <c r="ENU3">
        <v>9.99</v>
      </c>
      <c r="ENV3">
        <v>0</v>
      </c>
      <c r="ENW3">
        <v>0</v>
      </c>
      <c r="ENX3">
        <v>0</v>
      </c>
      <c r="ENY3">
        <v>22</v>
      </c>
      <c r="ENZ3">
        <v>0</v>
      </c>
      <c r="EOA3">
        <v>0</v>
      </c>
      <c r="EOB3">
        <v>0</v>
      </c>
      <c r="EOC3">
        <v>0</v>
      </c>
      <c r="EOD3">
        <v>0</v>
      </c>
      <c r="EOE3">
        <v>0</v>
      </c>
      <c r="EOF3">
        <v>0</v>
      </c>
      <c r="EOG3">
        <v>367.98</v>
      </c>
      <c r="EOH3">
        <v>0</v>
      </c>
      <c r="EOI3">
        <v>0</v>
      </c>
      <c r="EOJ3">
        <v>0</v>
      </c>
      <c r="EOK3">
        <v>0</v>
      </c>
      <c r="EOL3">
        <v>0</v>
      </c>
      <c r="EOM3">
        <v>0</v>
      </c>
      <c r="EON3">
        <v>34</v>
      </c>
      <c r="EOO3">
        <v>0</v>
      </c>
      <c r="EOP3">
        <v>0</v>
      </c>
      <c r="EOQ3">
        <v>0</v>
      </c>
      <c r="EOR3">
        <v>0</v>
      </c>
      <c r="EOS3">
        <v>0</v>
      </c>
      <c r="EOT3">
        <v>0</v>
      </c>
      <c r="EOU3">
        <v>0</v>
      </c>
      <c r="EOV3">
        <v>0</v>
      </c>
      <c r="EOW3">
        <v>31</v>
      </c>
      <c r="EOX3">
        <v>0</v>
      </c>
      <c r="EOY3">
        <v>0</v>
      </c>
      <c r="EOZ3">
        <v>0</v>
      </c>
      <c r="EPA3">
        <v>0</v>
      </c>
      <c r="EPB3">
        <v>0</v>
      </c>
      <c r="EPC3">
        <v>0</v>
      </c>
      <c r="EPD3">
        <v>0</v>
      </c>
      <c r="EPE3">
        <v>0</v>
      </c>
      <c r="EPF3">
        <v>0</v>
      </c>
      <c r="EPG3">
        <v>0</v>
      </c>
      <c r="EPH3">
        <v>18</v>
      </c>
      <c r="EPI3">
        <v>0</v>
      </c>
      <c r="EPJ3">
        <v>0</v>
      </c>
      <c r="EPK3">
        <v>178</v>
      </c>
      <c r="EPL3">
        <v>23</v>
      </c>
      <c r="EPM3">
        <v>0</v>
      </c>
      <c r="EPN3">
        <v>0</v>
      </c>
      <c r="EPO3">
        <v>0</v>
      </c>
      <c r="EPP3">
        <v>0</v>
      </c>
      <c r="EPQ3">
        <v>0</v>
      </c>
      <c r="EPR3">
        <v>44</v>
      </c>
      <c r="EPS3">
        <v>56</v>
      </c>
      <c r="EPT3">
        <v>0</v>
      </c>
      <c r="EPU3">
        <v>0</v>
      </c>
      <c r="EPV3">
        <v>0</v>
      </c>
      <c r="EPW3">
        <v>0</v>
      </c>
      <c r="EPX3">
        <v>0</v>
      </c>
      <c r="EPY3">
        <v>0</v>
      </c>
      <c r="EPZ3">
        <v>57</v>
      </c>
      <c r="EQA3">
        <v>0</v>
      </c>
      <c r="EQB3">
        <v>0</v>
      </c>
      <c r="EQC3">
        <v>0</v>
      </c>
      <c r="EQD3">
        <v>0</v>
      </c>
      <c r="EQE3">
        <v>0</v>
      </c>
      <c r="EQF3">
        <v>277.99</v>
      </c>
      <c r="EQG3">
        <v>18</v>
      </c>
      <c r="EQH3">
        <v>0</v>
      </c>
      <c r="EQI3">
        <v>0</v>
      </c>
      <c r="EQJ3">
        <v>0</v>
      </c>
      <c r="EQK3">
        <v>9</v>
      </c>
      <c r="EQL3">
        <v>0</v>
      </c>
      <c r="EQM3">
        <v>0</v>
      </c>
      <c r="EQN3">
        <v>0</v>
      </c>
      <c r="EQO3">
        <v>127.99</v>
      </c>
      <c r="EQP3">
        <v>8</v>
      </c>
      <c r="EQQ3">
        <v>0</v>
      </c>
      <c r="EQR3">
        <v>0</v>
      </c>
      <c r="EQS3">
        <v>0</v>
      </c>
      <c r="EQT3">
        <v>0</v>
      </c>
      <c r="EQU3">
        <v>0</v>
      </c>
      <c r="EQV3">
        <v>259.99</v>
      </c>
      <c r="EQW3">
        <v>0</v>
      </c>
      <c r="EQX3">
        <v>0</v>
      </c>
      <c r="EQY3">
        <v>0</v>
      </c>
      <c r="EQZ3">
        <v>0</v>
      </c>
      <c r="ERA3">
        <v>0</v>
      </c>
      <c r="ERB3">
        <v>0</v>
      </c>
      <c r="ERC3">
        <v>0</v>
      </c>
      <c r="ERD3">
        <v>0</v>
      </c>
      <c r="ERE3">
        <v>0</v>
      </c>
      <c r="ERF3">
        <v>0</v>
      </c>
      <c r="ERG3">
        <v>61</v>
      </c>
      <c r="ERH3">
        <v>0</v>
      </c>
      <c r="ERI3">
        <v>0</v>
      </c>
      <c r="ERJ3">
        <v>14</v>
      </c>
      <c r="ERK3">
        <v>0</v>
      </c>
      <c r="ERL3">
        <v>0</v>
      </c>
      <c r="ERM3">
        <v>0</v>
      </c>
      <c r="ERN3">
        <v>0</v>
      </c>
      <c r="ERO3">
        <v>0</v>
      </c>
      <c r="ERP3">
        <v>0</v>
      </c>
      <c r="ERQ3">
        <v>0</v>
      </c>
      <c r="ERR3">
        <v>0</v>
      </c>
      <c r="ERS3">
        <v>0</v>
      </c>
      <c r="ERT3">
        <v>0</v>
      </c>
      <c r="ERU3">
        <v>0</v>
      </c>
      <c r="ERV3">
        <v>0</v>
      </c>
      <c r="ERW3">
        <v>10</v>
      </c>
      <c r="ERX3">
        <v>0</v>
      </c>
      <c r="ERY3">
        <v>0</v>
      </c>
      <c r="ERZ3">
        <v>0</v>
      </c>
      <c r="ESA3">
        <v>0</v>
      </c>
      <c r="ESB3">
        <v>0</v>
      </c>
      <c r="ESC3">
        <v>0</v>
      </c>
      <c r="ESD3">
        <v>0</v>
      </c>
      <c r="ESE3">
        <v>0</v>
      </c>
      <c r="ESF3">
        <v>28</v>
      </c>
      <c r="ESG3">
        <v>0</v>
      </c>
      <c r="ESH3">
        <v>0</v>
      </c>
      <c r="ESI3">
        <v>0</v>
      </c>
      <c r="ESJ3">
        <v>0</v>
      </c>
      <c r="ESK3">
        <v>0</v>
      </c>
      <c r="ESL3">
        <v>0</v>
      </c>
      <c r="ESM3">
        <v>0</v>
      </c>
      <c r="ESN3">
        <v>0</v>
      </c>
      <c r="ESO3">
        <v>0</v>
      </c>
      <c r="ESP3">
        <v>10</v>
      </c>
      <c r="ESQ3">
        <v>0</v>
      </c>
      <c r="ESR3">
        <v>0</v>
      </c>
      <c r="ESS3">
        <v>425.98</v>
      </c>
      <c r="EST3">
        <v>0</v>
      </c>
      <c r="ESU3">
        <v>0</v>
      </c>
      <c r="ESV3">
        <v>0</v>
      </c>
      <c r="ESW3">
        <v>0</v>
      </c>
      <c r="ESX3">
        <v>0</v>
      </c>
      <c r="ESY3">
        <v>0</v>
      </c>
      <c r="ESZ3">
        <v>4</v>
      </c>
      <c r="ETA3">
        <v>0</v>
      </c>
      <c r="ETB3">
        <v>0</v>
      </c>
      <c r="ETC3">
        <v>0</v>
      </c>
      <c r="ETD3">
        <v>0</v>
      </c>
      <c r="ETE3">
        <v>0</v>
      </c>
      <c r="ETF3">
        <v>0</v>
      </c>
      <c r="ETG3">
        <v>0</v>
      </c>
      <c r="ETH3">
        <v>0</v>
      </c>
      <c r="ETI3">
        <v>0</v>
      </c>
      <c r="ETJ3">
        <v>0</v>
      </c>
      <c r="ETK3">
        <v>0</v>
      </c>
      <c r="ETL3">
        <v>0</v>
      </c>
      <c r="ETM3">
        <v>0</v>
      </c>
      <c r="ETN3">
        <v>0</v>
      </c>
      <c r="ETO3">
        <v>0</v>
      </c>
      <c r="ETP3">
        <v>0</v>
      </c>
      <c r="ETQ3">
        <v>62</v>
      </c>
      <c r="ETR3">
        <v>0</v>
      </c>
      <c r="ETS3">
        <v>12</v>
      </c>
      <c r="ETT3">
        <v>0</v>
      </c>
      <c r="ETU3">
        <v>0</v>
      </c>
      <c r="ETV3">
        <v>0</v>
      </c>
      <c r="ETW3">
        <v>0</v>
      </c>
      <c r="ETX3">
        <v>0</v>
      </c>
      <c r="ETY3">
        <v>0</v>
      </c>
      <c r="ETZ3">
        <v>0</v>
      </c>
      <c r="EUA3">
        <v>0</v>
      </c>
      <c r="EUB3">
        <v>0</v>
      </c>
      <c r="EUC3">
        <v>445.01</v>
      </c>
      <c r="EUD3">
        <v>0</v>
      </c>
      <c r="EUE3">
        <v>0</v>
      </c>
      <c r="EUF3">
        <v>0</v>
      </c>
      <c r="EUG3">
        <v>0</v>
      </c>
      <c r="EUH3">
        <v>0</v>
      </c>
      <c r="EUI3">
        <v>0</v>
      </c>
      <c r="EUJ3">
        <v>0</v>
      </c>
      <c r="EUK3">
        <v>0</v>
      </c>
      <c r="EUL3">
        <v>0</v>
      </c>
      <c r="EUM3">
        <v>0</v>
      </c>
      <c r="EUN3">
        <v>0</v>
      </c>
      <c r="EUO3">
        <v>0</v>
      </c>
      <c r="EUP3">
        <v>0</v>
      </c>
      <c r="EUQ3">
        <v>0</v>
      </c>
      <c r="EUR3">
        <v>0</v>
      </c>
      <c r="EUS3">
        <v>0</v>
      </c>
      <c r="EUT3">
        <v>0</v>
      </c>
      <c r="EUU3">
        <v>0</v>
      </c>
      <c r="EUV3">
        <v>0</v>
      </c>
      <c r="EUW3">
        <v>0</v>
      </c>
      <c r="EUX3">
        <v>184</v>
      </c>
      <c r="EUY3">
        <v>0</v>
      </c>
      <c r="EUZ3">
        <v>0</v>
      </c>
      <c r="EVA3">
        <v>0</v>
      </c>
      <c r="EVB3">
        <v>152</v>
      </c>
      <c r="EVC3">
        <v>0</v>
      </c>
      <c r="EVD3">
        <v>0</v>
      </c>
      <c r="EVE3">
        <v>0</v>
      </c>
      <c r="EVF3">
        <v>0</v>
      </c>
      <c r="EVG3">
        <v>0</v>
      </c>
      <c r="EVH3">
        <v>0</v>
      </c>
      <c r="EVI3">
        <v>0</v>
      </c>
      <c r="EVJ3">
        <v>147</v>
      </c>
      <c r="EVK3">
        <v>0</v>
      </c>
      <c r="EVL3">
        <v>0</v>
      </c>
      <c r="EVM3">
        <v>0</v>
      </c>
      <c r="EVN3">
        <v>0</v>
      </c>
      <c r="EVO3">
        <v>0</v>
      </c>
      <c r="EVP3">
        <v>0</v>
      </c>
      <c r="EVQ3">
        <v>0</v>
      </c>
      <c r="EVR3">
        <v>0</v>
      </c>
      <c r="EVS3">
        <v>0</v>
      </c>
      <c r="EVT3">
        <v>0</v>
      </c>
      <c r="EVU3">
        <v>0</v>
      </c>
      <c r="EVV3">
        <v>0</v>
      </c>
      <c r="EVW3">
        <v>0</v>
      </c>
      <c r="EVX3">
        <v>0</v>
      </c>
      <c r="EVY3">
        <v>0</v>
      </c>
      <c r="EVZ3">
        <v>0</v>
      </c>
      <c r="EWA3">
        <v>0</v>
      </c>
      <c r="EWB3">
        <v>0</v>
      </c>
      <c r="EWC3">
        <v>0</v>
      </c>
      <c r="EWD3">
        <v>0</v>
      </c>
      <c r="EWE3">
        <v>0</v>
      </c>
      <c r="EWF3">
        <v>481.97</v>
      </c>
      <c r="EWG3">
        <v>0</v>
      </c>
      <c r="EWH3">
        <v>0</v>
      </c>
      <c r="EWI3">
        <v>0</v>
      </c>
      <c r="EWJ3">
        <v>0</v>
      </c>
      <c r="EWK3">
        <v>0</v>
      </c>
      <c r="EWL3">
        <v>0</v>
      </c>
      <c r="EWM3">
        <v>0</v>
      </c>
      <c r="EWN3">
        <v>0</v>
      </c>
      <c r="EWO3">
        <v>0</v>
      </c>
      <c r="EWP3">
        <v>0</v>
      </c>
      <c r="EWQ3">
        <v>0</v>
      </c>
      <c r="EWR3">
        <v>0</v>
      </c>
      <c r="EWS3">
        <v>69.989999999999995</v>
      </c>
      <c r="EWT3">
        <v>0</v>
      </c>
      <c r="EWU3">
        <v>0</v>
      </c>
      <c r="EWV3">
        <v>0</v>
      </c>
      <c r="EWW3">
        <v>0</v>
      </c>
      <c r="EWX3">
        <v>0</v>
      </c>
      <c r="EWY3">
        <v>0</v>
      </c>
      <c r="EWZ3">
        <v>0</v>
      </c>
      <c r="EXA3">
        <v>0</v>
      </c>
      <c r="EXB3">
        <v>0</v>
      </c>
      <c r="EXC3">
        <v>17</v>
      </c>
      <c r="EXD3">
        <v>0</v>
      </c>
      <c r="EXE3">
        <v>0</v>
      </c>
      <c r="EXF3">
        <v>0</v>
      </c>
      <c r="EXG3">
        <v>502.99</v>
      </c>
      <c r="EXH3">
        <v>0</v>
      </c>
      <c r="EXI3">
        <v>0</v>
      </c>
      <c r="EXJ3">
        <v>0</v>
      </c>
      <c r="EXK3">
        <v>0</v>
      </c>
      <c r="EXL3">
        <v>0</v>
      </c>
      <c r="EXM3">
        <v>0</v>
      </c>
      <c r="EXN3">
        <v>0</v>
      </c>
      <c r="EXO3">
        <v>0</v>
      </c>
      <c r="EXP3">
        <v>0</v>
      </c>
      <c r="EXQ3">
        <v>0</v>
      </c>
      <c r="EXR3">
        <v>0</v>
      </c>
      <c r="EXS3">
        <v>0</v>
      </c>
      <c r="EXT3">
        <v>0</v>
      </c>
      <c r="EXU3">
        <v>0</v>
      </c>
      <c r="EXV3">
        <v>0</v>
      </c>
      <c r="EXW3">
        <v>53</v>
      </c>
      <c r="EXX3">
        <v>0</v>
      </c>
      <c r="EXY3">
        <v>137</v>
      </c>
      <c r="EXZ3">
        <v>0</v>
      </c>
      <c r="EYA3">
        <v>0</v>
      </c>
      <c r="EYB3">
        <v>0</v>
      </c>
      <c r="EYC3">
        <v>0</v>
      </c>
      <c r="EYD3">
        <v>0</v>
      </c>
      <c r="EYE3">
        <v>0</v>
      </c>
      <c r="EYF3">
        <v>0</v>
      </c>
      <c r="EYG3">
        <v>0</v>
      </c>
      <c r="EYH3">
        <v>0</v>
      </c>
      <c r="EYI3">
        <v>0</v>
      </c>
      <c r="EYJ3">
        <v>0</v>
      </c>
      <c r="EYK3">
        <v>0</v>
      </c>
      <c r="EYL3">
        <v>0</v>
      </c>
      <c r="EYM3">
        <v>0</v>
      </c>
      <c r="EYN3">
        <v>0</v>
      </c>
      <c r="EYO3">
        <v>0</v>
      </c>
      <c r="EYP3">
        <v>7</v>
      </c>
      <c r="EYQ3">
        <v>0</v>
      </c>
      <c r="EYR3">
        <v>0</v>
      </c>
      <c r="EYS3">
        <v>0</v>
      </c>
      <c r="EYT3">
        <v>0</v>
      </c>
      <c r="EYU3">
        <v>0</v>
      </c>
      <c r="EYV3">
        <v>0</v>
      </c>
      <c r="EYW3">
        <v>0</v>
      </c>
      <c r="EYX3">
        <v>0</v>
      </c>
      <c r="EYY3">
        <v>0</v>
      </c>
      <c r="EYZ3">
        <v>0</v>
      </c>
      <c r="EZA3">
        <v>0</v>
      </c>
      <c r="EZB3">
        <v>0</v>
      </c>
      <c r="EZC3">
        <v>0</v>
      </c>
      <c r="EZD3">
        <v>0</v>
      </c>
      <c r="EZE3">
        <v>0</v>
      </c>
      <c r="EZF3">
        <v>0</v>
      </c>
      <c r="EZG3">
        <v>0</v>
      </c>
      <c r="EZH3">
        <v>0</v>
      </c>
      <c r="EZI3">
        <v>0</v>
      </c>
      <c r="EZJ3">
        <v>516.99</v>
      </c>
      <c r="EZK3">
        <v>0</v>
      </c>
      <c r="EZL3">
        <v>0</v>
      </c>
      <c r="EZM3">
        <v>0</v>
      </c>
      <c r="EZN3">
        <v>0</v>
      </c>
      <c r="EZO3">
        <v>0</v>
      </c>
      <c r="EZP3">
        <v>0</v>
      </c>
      <c r="EZQ3">
        <v>0</v>
      </c>
      <c r="EZR3">
        <v>552</v>
      </c>
      <c r="EZS3">
        <v>0</v>
      </c>
      <c r="EZT3">
        <v>0</v>
      </c>
      <c r="EZU3">
        <v>356.01</v>
      </c>
      <c r="EZV3">
        <v>0</v>
      </c>
      <c r="EZW3">
        <v>81</v>
      </c>
      <c r="EZX3">
        <v>0</v>
      </c>
      <c r="EZY3">
        <v>0</v>
      </c>
      <c r="EZZ3">
        <v>0</v>
      </c>
      <c r="FAA3">
        <v>0</v>
      </c>
      <c r="FAB3">
        <v>0</v>
      </c>
      <c r="FAC3">
        <v>0</v>
      </c>
      <c r="FAD3">
        <v>0</v>
      </c>
      <c r="FAE3">
        <v>0</v>
      </c>
      <c r="FAF3">
        <v>0</v>
      </c>
      <c r="FAG3">
        <v>0</v>
      </c>
      <c r="FAH3">
        <v>0</v>
      </c>
      <c r="FAI3">
        <v>0</v>
      </c>
      <c r="FAJ3">
        <v>0</v>
      </c>
      <c r="FAK3">
        <v>0</v>
      </c>
      <c r="FAL3">
        <v>0</v>
      </c>
      <c r="FAM3">
        <v>558.99</v>
      </c>
      <c r="FAN3">
        <v>0</v>
      </c>
      <c r="FAO3">
        <v>0</v>
      </c>
      <c r="FAP3">
        <v>0</v>
      </c>
      <c r="FAQ3">
        <v>0</v>
      </c>
      <c r="FAR3">
        <v>0</v>
      </c>
      <c r="FAS3">
        <v>0</v>
      </c>
      <c r="FAT3">
        <v>0</v>
      </c>
      <c r="FAU3">
        <v>0</v>
      </c>
      <c r="FAV3">
        <v>127.99</v>
      </c>
      <c r="FAW3">
        <v>0</v>
      </c>
      <c r="FAX3">
        <v>55</v>
      </c>
      <c r="FAY3">
        <v>0</v>
      </c>
      <c r="FAZ3">
        <v>0</v>
      </c>
      <c r="FBA3">
        <v>0</v>
      </c>
      <c r="FBB3">
        <v>0</v>
      </c>
      <c r="FBC3">
        <v>0</v>
      </c>
      <c r="FBD3">
        <v>582</v>
      </c>
      <c r="FBE3">
        <v>0</v>
      </c>
      <c r="FBF3">
        <v>584.99</v>
      </c>
      <c r="FBG3">
        <v>0</v>
      </c>
      <c r="FBH3">
        <v>0</v>
      </c>
      <c r="FBI3">
        <v>0</v>
      </c>
      <c r="FBJ3">
        <v>0</v>
      </c>
      <c r="FBK3">
        <v>0</v>
      </c>
      <c r="FBL3">
        <v>0</v>
      </c>
      <c r="FBM3">
        <v>0</v>
      </c>
      <c r="FBN3">
        <v>350</v>
      </c>
      <c r="FBO3">
        <v>0</v>
      </c>
      <c r="FBP3">
        <v>0</v>
      </c>
      <c r="FBQ3">
        <v>0</v>
      </c>
      <c r="FBR3">
        <v>0</v>
      </c>
      <c r="FBS3">
        <v>0</v>
      </c>
      <c r="FBT3">
        <v>0</v>
      </c>
      <c r="FBU3">
        <v>0</v>
      </c>
      <c r="FBV3">
        <v>353.98</v>
      </c>
      <c r="FBW3">
        <v>0</v>
      </c>
      <c r="FBX3">
        <v>0</v>
      </c>
      <c r="FBY3">
        <v>0</v>
      </c>
      <c r="FBZ3">
        <v>0</v>
      </c>
      <c r="FCA3">
        <v>340.99</v>
      </c>
      <c r="FCB3">
        <v>0</v>
      </c>
      <c r="FCC3">
        <v>0</v>
      </c>
      <c r="FCD3">
        <v>0</v>
      </c>
      <c r="FCE3">
        <v>0</v>
      </c>
      <c r="FCF3">
        <v>0</v>
      </c>
      <c r="FCG3">
        <v>0</v>
      </c>
      <c r="FCH3">
        <v>39</v>
      </c>
      <c r="FCI3">
        <v>0</v>
      </c>
      <c r="FCJ3">
        <v>0</v>
      </c>
      <c r="FCK3">
        <v>0</v>
      </c>
      <c r="FCL3">
        <v>64</v>
      </c>
      <c r="FCM3">
        <v>0</v>
      </c>
      <c r="FCN3">
        <v>0</v>
      </c>
      <c r="FCO3">
        <v>30</v>
      </c>
      <c r="FCP3">
        <v>0</v>
      </c>
      <c r="FCQ3">
        <v>0</v>
      </c>
      <c r="FCR3">
        <v>0</v>
      </c>
      <c r="FCS3">
        <v>0</v>
      </c>
      <c r="FCT3">
        <v>0</v>
      </c>
      <c r="FCU3">
        <v>0</v>
      </c>
      <c r="FCV3">
        <v>0</v>
      </c>
      <c r="FCW3">
        <v>0</v>
      </c>
      <c r="FCX3">
        <v>0</v>
      </c>
      <c r="FCY3">
        <v>0</v>
      </c>
      <c r="FCZ3">
        <v>0</v>
      </c>
      <c r="FDA3">
        <v>636.97</v>
      </c>
      <c r="FDB3">
        <v>0</v>
      </c>
      <c r="FDC3">
        <v>639.99</v>
      </c>
      <c r="FDD3">
        <v>0</v>
      </c>
      <c r="FDE3">
        <v>0</v>
      </c>
      <c r="FDF3">
        <v>56</v>
      </c>
      <c r="FDG3">
        <v>428.99</v>
      </c>
      <c r="FDH3">
        <v>0</v>
      </c>
      <c r="FDI3">
        <v>0</v>
      </c>
      <c r="FDJ3">
        <v>463.99</v>
      </c>
      <c r="FDK3">
        <v>0</v>
      </c>
      <c r="FDL3">
        <v>79</v>
      </c>
      <c r="FDM3">
        <v>0</v>
      </c>
      <c r="FDN3">
        <v>0</v>
      </c>
      <c r="FDO3">
        <v>0</v>
      </c>
      <c r="FDP3">
        <v>0</v>
      </c>
      <c r="FDQ3">
        <v>0</v>
      </c>
      <c r="FDR3">
        <v>0</v>
      </c>
      <c r="FDS3">
        <v>0</v>
      </c>
      <c r="FDT3">
        <v>0</v>
      </c>
      <c r="FDU3">
        <v>0</v>
      </c>
      <c r="FDV3">
        <v>0</v>
      </c>
      <c r="FDW3">
        <v>0</v>
      </c>
      <c r="FDX3">
        <v>0</v>
      </c>
      <c r="FDY3">
        <v>0</v>
      </c>
      <c r="FDZ3">
        <v>0</v>
      </c>
      <c r="FEA3">
        <v>0</v>
      </c>
      <c r="FEB3">
        <v>0</v>
      </c>
      <c r="FEC3">
        <v>122</v>
      </c>
      <c r="FED3">
        <v>177</v>
      </c>
      <c r="FEE3">
        <v>0</v>
      </c>
      <c r="FEF3">
        <v>0</v>
      </c>
      <c r="FEG3">
        <v>0</v>
      </c>
      <c r="FEH3">
        <v>0</v>
      </c>
      <c r="FEI3">
        <v>0</v>
      </c>
      <c r="FEJ3">
        <v>0</v>
      </c>
      <c r="FEK3">
        <v>0</v>
      </c>
      <c r="FEL3">
        <v>0</v>
      </c>
      <c r="FEM3">
        <v>6</v>
      </c>
      <c r="FEN3">
        <v>53</v>
      </c>
      <c r="FEO3">
        <v>0</v>
      </c>
      <c r="FEP3">
        <v>0</v>
      </c>
      <c r="FEQ3">
        <v>0</v>
      </c>
      <c r="FER3">
        <v>0</v>
      </c>
      <c r="FES3">
        <v>0</v>
      </c>
      <c r="FET3">
        <v>0</v>
      </c>
      <c r="FEU3">
        <v>640.98</v>
      </c>
      <c r="FEV3">
        <v>0</v>
      </c>
      <c r="FEW3">
        <v>0</v>
      </c>
      <c r="FEX3">
        <v>0</v>
      </c>
      <c r="FEY3">
        <v>0</v>
      </c>
      <c r="FEZ3">
        <v>0</v>
      </c>
      <c r="FFA3">
        <v>0</v>
      </c>
      <c r="FFB3">
        <v>0</v>
      </c>
      <c r="FFC3">
        <v>0</v>
      </c>
      <c r="FFD3">
        <v>0</v>
      </c>
      <c r="FFE3">
        <v>0</v>
      </c>
      <c r="FFF3">
        <v>0</v>
      </c>
      <c r="FFG3">
        <v>0</v>
      </c>
      <c r="FFH3">
        <v>695.99</v>
      </c>
      <c r="FFI3">
        <v>0</v>
      </c>
      <c r="FFJ3">
        <v>0</v>
      </c>
      <c r="FFK3">
        <v>0</v>
      </c>
      <c r="FFL3">
        <v>214</v>
      </c>
      <c r="FFM3">
        <v>0</v>
      </c>
      <c r="FFN3">
        <v>0</v>
      </c>
      <c r="FFO3">
        <v>507.98</v>
      </c>
      <c r="FFP3">
        <v>0</v>
      </c>
      <c r="FFQ3">
        <v>0</v>
      </c>
      <c r="FFR3">
        <v>0</v>
      </c>
      <c r="FFS3">
        <v>73</v>
      </c>
      <c r="FFT3">
        <v>0</v>
      </c>
      <c r="FFU3">
        <v>0</v>
      </c>
      <c r="FFV3">
        <v>0</v>
      </c>
      <c r="FFW3">
        <v>0</v>
      </c>
      <c r="FFX3">
        <v>0</v>
      </c>
      <c r="FFY3">
        <v>0</v>
      </c>
      <c r="FFZ3">
        <v>0</v>
      </c>
      <c r="FGA3">
        <v>0</v>
      </c>
      <c r="FGB3">
        <v>0</v>
      </c>
      <c r="FGC3">
        <v>0</v>
      </c>
      <c r="FGD3">
        <v>0</v>
      </c>
      <c r="FGE3">
        <v>137.99</v>
      </c>
      <c r="FGF3">
        <v>0</v>
      </c>
      <c r="FGG3">
        <v>0</v>
      </c>
      <c r="FGH3">
        <v>0</v>
      </c>
      <c r="FGI3">
        <v>742.01</v>
      </c>
      <c r="FGJ3">
        <v>0</v>
      </c>
      <c r="FGK3">
        <v>102</v>
      </c>
      <c r="FGL3">
        <v>0</v>
      </c>
      <c r="FGM3">
        <v>0</v>
      </c>
      <c r="FGN3">
        <v>0</v>
      </c>
      <c r="FGO3">
        <v>0</v>
      </c>
      <c r="FGP3">
        <v>0</v>
      </c>
      <c r="FGQ3">
        <v>0</v>
      </c>
      <c r="FGR3">
        <v>0</v>
      </c>
      <c r="FGS3">
        <v>0</v>
      </c>
      <c r="FGT3">
        <v>131.99</v>
      </c>
      <c r="FGU3">
        <v>0</v>
      </c>
      <c r="FGV3">
        <v>0</v>
      </c>
      <c r="FGW3">
        <v>0</v>
      </c>
      <c r="FGX3">
        <v>0</v>
      </c>
      <c r="FGY3">
        <v>0</v>
      </c>
      <c r="FGZ3">
        <v>0</v>
      </c>
      <c r="FHA3">
        <v>0</v>
      </c>
      <c r="FHB3">
        <v>0</v>
      </c>
      <c r="FHC3">
        <v>0</v>
      </c>
      <c r="FHD3">
        <v>0</v>
      </c>
      <c r="FHE3">
        <v>0</v>
      </c>
      <c r="FHF3">
        <v>0</v>
      </c>
      <c r="FHG3">
        <v>0</v>
      </c>
      <c r="FHH3">
        <v>0</v>
      </c>
      <c r="FHI3">
        <v>0</v>
      </c>
      <c r="FHJ3">
        <v>77</v>
      </c>
      <c r="FHK3">
        <v>0</v>
      </c>
      <c r="FHL3">
        <v>0</v>
      </c>
      <c r="FHM3">
        <v>0</v>
      </c>
      <c r="FHN3">
        <v>0</v>
      </c>
      <c r="FHO3">
        <v>0</v>
      </c>
      <c r="FHP3">
        <v>0</v>
      </c>
      <c r="FHQ3">
        <v>0</v>
      </c>
      <c r="FHR3">
        <v>0</v>
      </c>
      <c r="FHS3">
        <v>0</v>
      </c>
      <c r="FHT3">
        <v>0</v>
      </c>
      <c r="FHU3">
        <v>0</v>
      </c>
      <c r="FHV3">
        <v>0</v>
      </c>
      <c r="FHW3">
        <v>0</v>
      </c>
      <c r="FHX3">
        <v>0</v>
      </c>
      <c r="FHY3">
        <v>0</v>
      </c>
      <c r="FHZ3">
        <v>0</v>
      </c>
      <c r="FIA3">
        <v>0</v>
      </c>
      <c r="FIB3">
        <v>0</v>
      </c>
      <c r="FIC3">
        <v>0</v>
      </c>
      <c r="FID3">
        <v>0</v>
      </c>
      <c r="FIE3">
        <v>0</v>
      </c>
      <c r="FIF3">
        <v>0</v>
      </c>
      <c r="FIG3">
        <v>0</v>
      </c>
      <c r="FIH3">
        <v>0</v>
      </c>
      <c r="FII3">
        <v>0</v>
      </c>
      <c r="FIJ3">
        <v>0</v>
      </c>
      <c r="FIK3">
        <v>205</v>
      </c>
      <c r="FIL3">
        <v>0</v>
      </c>
      <c r="FIM3">
        <v>0</v>
      </c>
      <c r="FIN3">
        <v>0</v>
      </c>
      <c r="FIO3">
        <v>0</v>
      </c>
      <c r="FIP3">
        <v>0</v>
      </c>
      <c r="FIQ3">
        <v>0</v>
      </c>
      <c r="FIR3">
        <v>0</v>
      </c>
      <c r="FIS3">
        <v>0</v>
      </c>
      <c r="FIT3">
        <v>0</v>
      </c>
      <c r="FIU3">
        <v>0</v>
      </c>
      <c r="FIV3">
        <v>24</v>
      </c>
      <c r="FIW3">
        <v>0</v>
      </c>
      <c r="FIX3">
        <v>817.01</v>
      </c>
      <c r="FIY3">
        <v>0</v>
      </c>
      <c r="FIZ3">
        <v>0</v>
      </c>
      <c r="FJA3">
        <v>0</v>
      </c>
      <c r="FJB3">
        <v>0</v>
      </c>
      <c r="FJC3">
        <v>0</v>
      </c>
      <c r="FJD3">
        <v>0</v>
      </c>
      <c r="FJE3">
        <v>0</v>
      </c>
      <c r="FJF3">
        <v>0</v>
      </c>
      <c r="FJG3">
        <v>0</v>
      </c>
      <c r="FJH3">
        <v>0</v>
      </c>
      <c r="FJI3">
        <v>9</v>
      </c>
      <c r="FJJ3">
        <v>0</v>
      </c>
      <c r="FJK3">
        <v>0</v>
      </c>
      <c r="FJL3">
        <v>0</v>
      </c>
      <c r="FJM3">
        <v>0</v>
      </c>
      <c r="FJN3">
        <v>0</v>
      </c>
      <c r="FJO3">
        <v>0</v>
      </c>
      <c r="FJP3">
        <v>421.99</v>
      </c>
      <c r="FJQ3">
        <v>0</v>
      </c>
      <c r="FJR3">
        <v>0</v>
      </c>
      <c r="FJS3">
        <v>0</v>
      </c>
      <c r="FJT3">
        <v>169</v>
      </c>
      <c r="FJU3">
        <v>0</v>
      </c>
      <c r="FJV3">
        <v>490.99</v>
      </c>
      <c r="FJW3">
        <v>0</v>
      </c>
      <c r="FJX3">
        <v>0</v>
      </c>
      <c r="FJY3">
        <v>0</v>
      </c>
      <c r="FJZ3">
        <v>41</v>
      </c>
      <c r="FKA3">
        <v>89</v>
      </c>
      <c r="FKB3">
        <v>0</v>
      </c>
      <c r="FKC3">
        <v>0</v>
      </c>
      <c r="FKD3">
        <v>0</v>
      </c>
      <c r="FKE3">
        <v>0</v>
      </c>
      <c r="FKF3">
        <v>0</v>
      </c>
      <c r="FKG3">
        <v>0</v>
      </c>
      <c r="FKH3">
        <v>0</v>
      </c>
      <c r="FKI3">
        <v>0</v>
      </c>
      <c r="FKJ3">
        <v>0</v>
      </c>
      <c r="FKK3">
        <v>0</v>
      </c>
      <c r="FKL3">
        <v>0</v>
      </c>
      <c r="FKM3">
        <v>0</v>
      </c>
      <c r="FKN3">
        <v>0</v>
      </c>
      <c r="FKO3">
        <v>0</v>
      </c>
      <c r="FKP3">
        <v>875.01</v>
      </c>
      <c r="FKQ3">
        <v>0</v>
      </c>
      <c r="FKR3">
        <v>0</v>
      </c>
      <c r="FKS3">
        <v>0</v>
      </c>
      <c r="FKT3">
        <v>0</v>
      </c>
      <c r="FKU3">
        <v>0</v>
      </c>
      <c r="FKV3">
        <v>0</v>
      </c>
      <c r="FKW3">
        <v>270.99</v>
      </c>
      <c r="FKX3">
        <v>0</v>
      </c>
      <c r="FKY3">
        <v>0</v>
      </c>
      <c r="FKZ3">
        <v>0</v>
      </c>
      <c r="FLA3">
        <v>0</v>
      </c>
      <c r="FLB3">
        <v>760.01</v>
      </c>
      <c r="FLC3">
        <v>0</v>
      </c>
      <c r="FLD3">
        <v>0</v>
      </c>
      <c r="FLE3">
        <v>0</v>
      </c>
      <c r="FLF3">
        <v>0</v>
      </c>
      <c r="FLG3">
        <v>0</v>
      </c>
      <c r="FLH3">
        <v>0</v>
      </c>
      <c r="FLI3">
        <v>0</v>
      </c>
      <c r="FLJ3">
        <v>904.99</v>
      </c>
      <c r="FLK3">
        <v>0</v>
      </c>
      <c r="FLL3">
        <v>0</v>
      </c>
      <c r="FLM3">
        <v>0</v>
      </c>
      <c r="FLN3">
        <v>0</v>
      </c>
      <c r="FLO3">
        <v>0</v>
      </c>
      <c r="FLP3">
        <v>0</v>
      </c>
      <c r="FLQ3">
        <v>0</v>
      </c>
      <c r="FLR3">
        <v>0</v>
      </c>
      <c r="FLS3">
        <v>0</v>
      </c>
      <c r="FLT3">
        <v>0</v>
      </c>
      <c r="FLU3">
        <v>0</v>
      </c>
      <c r="FLV3">
        <v>0</v>
      </c>
      <c r="FLW3">
        <v>0</v>
      </c>
      <c r="FLX3">
        <v>0</v>
      </c>
      <c r="FLY3">
        <v>0</v>
      </c>
      <c r="FLZ3">
        <v>0</v>
      </c>
      <c r="FMA3">
        <v>0</v>
      </c>
      <c r="FMB3">
        <v>0</v>
      </c>
      <c r="FMC3">
        <v>0</v>
      </c>
      <c r="FMD3">
        <v>0</v>
      </c>
      <c r="FME3">
        <v>0</v>
      </c>
      <c r="FMF3">
        <v>942.01</v>
      </c>
      <c r="FMG3">
        <v>0</v>
      </c>
      <c r="FMH3">
        <v>945</v>
      </c>
      <c r="FMI3">
        <v>847</v>
      </c>
      <c r="FMJ3">
        <v>0</v>
      </c>
      <c r="FMK3">
        <v>0</v>
      </c>
      <c r="FML3">
        <v>0</v>
      </c>
      <c r="FMM3">
        <v>0</v>
      </c>
      <c r="FMN3">
        <v>0</v>
      </c>
      <c r="FMO3">
        <v>0</v>
      </c>
      <c r="FMP3">
        <v>0</v>
      </c>
      <c r="FMQ3">
        <v>0</v>
      </c>
      <c r="FMR3">
        <v>0</v>
      </c>
      <c r="FMS3">
        <v>0</v>
      </c>
      <c r="FMT3">
        <v>0</v>
      </c>
      <c r="FMU3">
        <v>0</v>
      </c>
      <c r="FMV3">
        <v>0</v>
      </c>
      <c r="FMW3">
        <v>25</v>
      </c>
      <c r="FMX3">
        <v>0</v>
      </c>
      <c r="FMY3">
        <v>0</v>
      </c>
      <c r="FMZ3">
        <v>0</v>
      </c>
      <c r="FNA3">
        <v>0</v>
      </c>
      <c r="FNB3">
        <v>0</v>
      </c>
      <c r="FNC3">
        <v>0</v>
      </c>
      <c r="FND3">
        <v>0</v>
      </c>
      <c r="FNE3">
        <v>951.98</v>
      </c>
      <c r="FNF3">
        <v>0</v>
      </c>
      <c r="FNG3">
        <v>0</v>
      </c>
      <c r="FNH3">
        <v>0</v>
      </c>
      <c r="FNI3">
        <v>0</v>
      </c>
      <c r="FNJ3">
        <v>0</v>
      </c>
      <c r="FNK3">
        <v>0</v>
      </c>
      <c r="FNL3">
        <v>996.96</v>
      </c>
      <c r="FNM3">
        <v>0</v>
      </c>
      <c r="FNN3">
        <v>0</v>
      </c>
      <c r="FNO3">
        <v>0</v>
      </c>
      <c r="FNP3">
        <v>0</v>
      </c>
      <c r="FNQ3">
        <v>50</v>
      </c>
      <c r="FNR3">
        <v>0</v>
      </c>
      <c r="FNS3">
        <v>0</v>
      </c>
      <c r="FNT3">
        <v>0</v>
      </c>
      <c r="FNU3">
        <v>0</v>
      </c>
      <c r="FNV3">
        <v>0</v>
      </c>
      <c r="FNW3">
        <v>0</v>
      </c>
      <c r="FNX3">
        <v>0</v>
      </c>
      <c r="FNY3">
        <v>1016.01</v>
      </c>
      <c r="FNZ3">
        <v>0</v>
      </c>
      <c r="FOA3">
        <v>0</v>
      </c>
      <c r="FOB3">
        <v>0</v>
      </c>
      <c r="FOC3">
        <v>0</v>
      </c>
      <c r="FOD3">
        <v>248</v>
      </c>
      <c r="FOE3">
        <v>0</v>
      </c>
      <c r="FOF3">
        <v>0</v>
      </c>
      <c r="FOG3">
        <v>0</v>
      </c>
      <c r="FOH3">
        <v>0</v>
      </c>
      <c r="FOI3">
        <v>0</v>
      </c>
      <c r="FOJ3">
        <v>0</v>
      </c>
      <c r="FOK3">
        <v>0</v>
      </c>
      <c r="FOL3">
        <v>178</v>
      </c>
      <c r="FOM3">
        <v>0</v>
      </c>
      <c r="FON3">
        <v>0</v>
      </c>
      <c r="FOO3">
        <v>0</v>
      </c>
      <c r="FOP3">
        <v>0</v>
      </c>
      <c r="FOQ3">
        <v>0</v>
      </c>
      <c r="FOR3">
        <v>0</v>
      </c>
      <c r="FOS3">
        <v>12</v>
      </c>
      <c r="FOT3">
        <v>0</v>
      </c>
      <c r="FOU3">
        <v>0</v>
      </c>
      <c r="FOV3">
        <v>0</v>
      </c>
      <c r="FOW3">
        <v>1067.95</v>
      </c>
      <c r="FOX3">
        <v>0</v>
      </c>
      <c r="FOY3">
        <v>0</v>
      </c>
      <c r="FOZ3">
        <v>0</v>
      </c>
      <c r="FPA3">
        <v>0</v>
      </c>
      <c r="FPB3">
        <v>22.99</v>
      </c>
      <c r="FPC3">
        <v>65.010000000000005</v>
      </c>
      <c r="FPD3">
        <v>1078.95</v>
      </c>
      <c r="FPE3">
        <v>0</v>
      </c>
      <c r="FPF3">
        <v>0</v>
      </c>
      <c r="FPG3">
        <v>291.99</v>
      </c>
      <c r="FPH3">
        <v>0</v>
      </c>
      <c r="FPI3">
        <v>0</v>
      </c>
      <c r="FPJ3">
        <v>0</v>
      </c>
      <c r="FPK3">
        <v>0</v>
      </c>
      <c r="FPL3">
        <v>0</v>
      </c>
      <c r="FPM3">
        <v>642.96</v>
      </c>
      <c r="FPN3">
        <v>0</v>
      </c>
      <c r="FPO3">
        <v>0</v>
      </c>
      <c r="FPP3">
        <v>0</v>
      </c>
      <c r="FPQ3">
        <v>16</v>
      </c>
      <c r="FPR3">
        <v>0</v>
      </c>
      <c r="FPS3">
        <v>105</v>
      </c>
      <c r="FPT3">
        <v>0</v>
      </c>
      <c r="FPU3">
        <v>0</v>
      </c>
      <c r="FPV3">
        <v>0</v>
      </c>
      <c r="FPW3">
        <v>0</v>
      </c>
      <c r="FPX3">
        <v>0</v>
      </c>
      <c r="FPY3">
        <v>0</v>
      </c>
      <c r="FPZ3">
        <v>0</v>
      </c>
      <c r="FQA3">
        <v>0</v>
      </c>
      <c r="FQB3">
        <v>0</v>
      </c>
      <c r="FQC3">
        <v>0</v>
      </c>
      <c r="FQD3">
        <v>11</v>
      </c>
      <c r="FQE3">
        <v>103</v>
      </c>
      <c r="FQF3">
        <v>14</v>
      </c>
      <c r="FQG3">
        <v>0</v>
      </c>
      <c r="FQH3">
        <v>0</v>
      </c>
      <c r="FQI3">
        <v>0</v>
      </c>
      <c r="FQJ3">
        <v>0</v>
      </c>
      <c r="FQK3">
        <v>0</v>
      </c>
      <c r="FQL3">
        <v>0</v>
      </c>
      <c r="FQM3">
        <v>0</v>
      </c>
      <c r="FQN3">
        <v>1159.98</v>
      </c>
      <c r="FQO3">
        <v>0</v>
      </c>
      <c r="FQP3">
        <v>0</v>
      </c>
      <c r="FQQ3">
        <v>0</v>
      </c>
      <c r="FQR3">
        <v>0</v>
      </c>
      <c r="FQS3">
        <v>0</v>
      </c>
      <c r="FQT3">
        <v>0</v>
      </c>
      <c r="FQU3">
        <v>0</v>
      </c>
      <c r="FQV3">
        <v>0</v>
      </c>
      <c r="FQW3">
        <v>0</v>
      </c>
      <c r="FQX3">
        <v>0</v>
      </c>
      <c r="FQY3">
        <v>0</v>
      </c>
      <c r="FQZ3">
        <v>0</v>
      </c>
      <c r="FRA3">
        <v>1053.01</v>
      </c>
      <c r="FRB3">
        <v>0</v>
      </c>
      <c r="FRC3">
        <v>0</v>
      </c>
      <c r="FRD3">
        <v>0</v>
      </c>
      <c r="FRE3">
        <v>62</v>
      </c>
      <c r="FRF3">
        <v>0</v>
      </c>
      <c r="FRG3">
        <v>0</v>
      </c>
      <c r="FRH3">
        <v>93.99</v>
      </c>
      <c r="FRI3">
        <v>12</v>
      </c>
      <c r="FRJ3">
        <v>0</v>
      </c>
      <c r="FRK3">
        <v>0</v>
      </c>
      <c r="FRL3">
        <v>0</v>
      </c>
      <c r="FRM3">
        <v>0</v>
      </c>
      <c r="FRN3">
        <v>226</v>
      </c>
      <c r="FRO3">
        <v>0</v>
      </c>
      <c r="FRP3">
        <v>0</v>
      </c>
      <c r="FRQ3">
        <v>0</v>
      </c>
      <c r="FRR3">
        <v>0</v>
      </c>
      <c r="FRS3">
        <v>77</v>
      </c>
      <c r="FRT3">
        <v>0</v>
      </c>
      <c r="FRU3">
        <v>0</v>
      </c>
      <c r="FRV3">
        <v>0</v>
      </c>
      <c r="FRW3">
        <v>1261.96</v>
      </c>
      <c r="FRX3">
        <v>0</v>
      </c>
      <c r="FRY3">
        <v>0</v>
      </c>
      <c r="FRZ3">
        <v>102</v>
      </c>
      <c r="FSA3">
        <v>0</v>
      </c>
      <c r="FSB3">
        <v>0</v>
      </c>
      <c r="FSC3">
        <v>0</v>
      </c>
      <c r="FSD3">
        <v>0</v>
      </c>
      <c r="FSE3">
        <v>0</v>
      </c>
      <c r="FSF3">
        <v>0</v>
      </c>
      <c r="FSG3">
        <v>491.96</v>
      </c>
      <c r="FSH3">
        <v>0</v>
      </c>
      <c r="FSI3">
        <v>0</v>
      </c>
      <c r="FSJ3">
        <v>0</v>
      </c>
      <c r="FSK3">
        <v>0</v>
      </c>
      <c r="FSL3">
        <v>0</v>
      </c>
      <c r="FSM3">
        <v>0</v>
      </c>
      <c r="FSN3">
        <v>0</v>
      </c>
      <c r="FSO3">
        <v>0</v>
      </c>
      <c r="FSP3">
        <v>939.95</v>
      </c>
      <c r="FSQ3">
        <v>0</v>
      </c>
      <c r="FSR3">
        <v>198</v>
      </c>
      <c r="FSS3">
        <v>0</v>
      </c>
      <c r="FST3">
        <v>0</v>
      </c>
      <c r="FSU3">
        <v>0</v>
      </c>
      <c r="FSV3">
        <v>0</v>
      </c>
      <c r="FSW3">
        <v>0</v>
      </c>
      <c r="FSX3">
        <v>0</v>
      </c>
      <c r="FSY3">
        <v>0</v>
      </c>
      <c r="FSZ3">
        <v>0</v>
      </c>
      <c r="FTA3">
        <v>0</v>
      </c>
      <c r="FTB3">
        <v>0</v>
      </c>
      <c r="FTC3">
        <v>0</v>
      </c>
      <c r="FTD3">
        <v>0</v>
      </c>
      <c r="FTE3">
        <v>0</v>
      </c>
      <c r="FTF3">
        <v>98</v>
      </c>
      <c r="FTG3">
        <v>159</v>
      </c>
      <c r="FTH3">
        <v>0</v>
      </c>
      <c r="FTI3">
        <v>0</v>
      </c>
      <c r="FTJ3">
        <v>0</v>
      </c>
      <c r="FTK3">
        <v>0</v>
      </c>
      <c r="FTL3">
        <v>0</v>
      </c>
      <c r="FTM3">
        <v>0</v>
      </c>
      <c r="FTN3">
        <v>0</v>
      </c>
      <c r="FTO3">
        <v>0</v>
      </c>
      <c r="FTP3">
        <v>0</v>
      </c>
      <c r="FTQ3">
        <v>0</v>
      </c>
      <c r="FTR3">
        <v>0</v>
      </c>
      <c r="FTS3">
        <v>0</v>
      </c>
      <c r="FTT3">
        <v>1402.95</v>
      </c>
      <c r="FTU3">
        <v>0</v>
      </c>
      <c r="FTV3">
        <v>0</v>
      </c>
      <c r="FTW3">
        <v>0</v>
      </c>
      <c r="FTX3">
        <v>0</v>
      </c>
      <c r="FTY3">
        <v>0</v>
      </c>
      <c r="FTZ3">
        <v>0</v>
      </c>
      <c r="FUA3">
        <v>0</v>
      </c>
      <c r="FUB3">
        <v>0</v>
      </c>
      <c r="FUC3">
        <v>0</v>
      </c>
      <c r="FUD3">
        <v>1421.94</v>
      </c>
      <c r="FUE3">
        <v>0</v>
      </c>
      <c r="FUF3">
        <v>0</v>
      </c>
      <c r="FUG3">
        <v>0</v>
      </c>
      <c r="FUH3">
        <v>0</v>
      </c>
      <c r="FUI3">
        <v>0</v>
      </c>
      <c r="FUJ3">
        <v>0</v>
      </c>
      <c r="FUK3">
        <v>0</v>
      </c>
      <c r="FUL3">
        <v>7</v>
      </c>
      <c r="FUM3">
        <v>0</v>
      </c>
      <c r="FUN3">
        <v>1357.97</v>
      </c>
      <c r="FUO3">
        <v>0</v>
      </c>
      <c r="FUP3">
        <v>83</v>
      </c>
      <c r="FUQ3">
        <v>0</v>
      </c>
      <c r="FUR3">
        <v>161</v>
      </c>
      <c r="FUS3">
        <v>0</v>
      </c>
      <c r="FUT3">
        <v>0</v>
      </c>
      <c r="FUU3">
        <v>0</v>
      </c>
      <c r="FUV3">
        <v>0</v>
      </c>
      <c r="FUW3">
        <v>0</v>
      </c>
      <c r="FUX3">
        <v>0</v>
      </c>
      <c r="FUY3">
        <v>0</v>
      </c>
      <c r="FUZ3">
        <v>0</v>
      </c>
      <c r="FVA3">
        <v>0</v>
      </c>
      <c r="FVB3">
        <v>0</v>
      </c>
      <c r="FVC3">
        <v>28</v>
      </c>
      <c r="FVD3">
        <v>0</v>
      </c>
      <c r="FVE3">
        <v>0</v>
      </c>
      <c r="FVF3">
        <v>0</v>
      </c>
      <c r="FVG3">
        <v>0</v>
      </c>
      <c r="FVH3">
        <v>411.99</v>
      </c>
      <c r="FVI3">
        <v>0</v>
      </c>
      <c r="FVJ3">
        <v>0</v>
      </c>
      <c r="FVK3">
        <v>0</v>
      </c>
      <c r="FVL3">
        <v>0</v>
      </c>
      <c r="FVM3">
        <v>0</v>
      </c>
      <c r="FVN3">
        <v>0</v>
      </c>
      <c r="FVO3">
        <v>15</v>
      </c>
      <c r="FVP3">
        <v>0</v>
      </c>
      <c r="FVQ3">
        <v>0</v>
      </c>
      <c r="FVR3">
        <v>0</v>
      </c>
      <c r="FVS3">
        <v>0</v>
      </c>
      <c r="FVT3">
        <v>169</v>
      </c>
      <c r="FVU3">
        <v>0</v>
      </c>
      <c r="FVV3">
        <v>56</v>
      </c>
      <c r="FVW3">
        <v>0</v>
      </c>
      <c r="FVX3">
        <v>0</v>
      </c>
      <c r="FVY3">
        <v>0</v>
      </c>
      <c r="FVZ3">
        <v>0</v>
      </c>
      <c r="FWB3">
        <v>0</v>
      </c>
      <c r="FWC3">
        <v>0</v>
      </c>
      <c r="FWD3">
        <v>0</v>
      </c>
      <c r="FWE3">
        <v>0</v>
      </c>
      <c r="FWF3">
        <v>179</v>
      </c>
      <c r="FWG3">
        <v>0</v>
      </c>
      <c r="FWH3">
        <v>0</v>
      </c>
      <c r="FWI3">
        <v>0</v>
      </c>
      <c r="FWJ3">
        <v>0</v>
      </c>
      <c r="FWK3">
        <v>0</v>
      </c>
      <c r="FWL3">
        <v>0</v>
      </c>
      <c r="FWM3">
        <v>136</v>
      </c>
      <c r="FWN3">
        <v>0</v>
      </c>
      <c r="FWO3">
        <v>0</v>
      </c>
      <c r="FWP3">
        <v>0</v>
      </c>
      <c r="FWQ3">
        <v>0</v>
      </c>
      <c r="FWR3">
        <v>10</v>
      </c>
      <c r="FWS3">
        <v>0</v>
      </c>
      <c r="FWT3">
        <v>0</v>
      </c>
      <c r="FWU3">
        <v>13</v>
      </c>
      <c r="FWV3">
        <v>20</v>
      </c>
      <c r="FWW3">
        <v>0</v>
      </c>
      <c r="FWX3">
        <v>0</v>
      </c>
      <c r="FWY3">
        <v>0</v>
      </c>
      <c r="FWZ3">
        <v>0</v>
      </c>
      <c r="FXA3">
        <v>0</v>
      </c>
      <c r="FXB3">
        <v>12</v>
      </c>
      <c r="FXC3">
        <v>0</v>
      </c>
      <c r="FXD3">
        <v>0</v>
      </c>
      <c r="FXE3">
        <v>0</v>
      </c>
      <c r="FXF3">
        <v>0</v>
      </c>
      <c r="FXG3">
        <v>0</v>
      </c>
      <c r="FXH3">
        <v>13</v>
      </c>
      <c r="FXI3">
        <v>0</v>
      </c>
      <c r="FXJ3">
        <v>0</v>
      </c>
      <c r="FXK3">
        <v>0</v>
      </c>
      <c r="FXL3">
        <v>3</v>
      </c>
      <c r="FXM3">
        <v>0</v>
      </c>
      <c r="FXN3">
        <v>9</v>
      </c>
      <c r="FXO3">
        <v>0</v>
      </c>
      <c r="FXP3">
        <v>0</v>
      </c>
      <c r="FXQ3">
        <v>0</v>
      </c>
      <c r="FXR3">
        <v>0</v>
      </c>
      <c r="FXS3">
        <v>0</v>
      </c>
      <c r="FXT3">
        <v>0</v>
      </c>
      <c r="FXU3">
        <v>0</v>
      </c>
      <c r="FXV3">
        <v>0</v>
      </c>
      <c r="FXW3">
        <v>500.98</v>
      </c>
      <c r="FXX3">
        <v>0</v>
      </c>
      <c r="FXY3">
        <v>0</v>
      </c>
      <c r="FXZ3">
        <v>0</v>
      </c>
      <c r="FYA3">
        <v>0</v>
      </c>
      <c r="FYB3">
        <v>0</v>
      </c>
      <c r="FYC3">
        <v>0</v>
      </c>
      <c r="FYD3">
        <v>0</v>
      </c>
      <c r="FYE3">
        <v>0</v>
      </c>
      <c r="FYF3">
        <v>0</v>
      </c>
      <c r="FYG3">
        <v>0</v>
      </c>
      <c r="FYH3">
        <v>35</v>
      </c>
      <c r="FYI3">
        <v>0</v>
      </c>
      <c r="FYJ3">
        <v>130.99</v>
      </c>
      <c r="FYK3">
        <v>0</v>
      </c>
      <c r="FYL3">
        <v>436.97</v>
      </c>
      <c r="FYM3">
        <v>660.01</v>
      </c>
      <c r="FYN3">
        <v>62</v>
      </c>
      <c r="FYO3">
        <v>0</v>
      </c>
      <c r="FYP3">
        <v>13</v>
      </c>
      <c r="FYQ3">
        <v>32</v>
      </c>
      <c r="FYR3">
        <v>0</v>
      </c>
      <c r="FYS3">
        <v>0</v>
      </c>
      <c r="FYT3">
        <v>0</v>
      </c>
      <c r="FYU3">
        <v>0</v>
      </c>
      <c r="FYV3">
        <v>549.99</v>
      </c>
      <c r="FYW3">
        <v>0</v>
      </c>
      <c r="FYX3">
        <v>0</v>
      </c>
      <c r="FYY3">
        <v>203.99</v>
      </c>
      <c r="FYZ3">
        <v>0</v>
      </c>
      <c r="FZA3">
        <v>0</v>
      </c>
      <c r="FZB3">
        <v>1622.94</v>
      </c>
      <c r="FZC3">
        <v>683.98</v>
      </c>
      <c r="FZD3">
        <v>0</v>
      </c>
      <c r="FZE3">
        <v>0</v>
      </c>
      <c r="FZF3">
        <v>0</v>
      </c>
      <c r="FZG3">
        <v>0</v>
      </c>
      <c r="FZH3">
        <v>0</v>
      </c>
      <c r="FZI3">
        <v>0</v>
      </c>
      <c r="FZJ3">
        <v>0</v>
      </c>
      <c r="FZK3">
        <v>60</v>
      </c>
      <c r="FZL3">
        <v>0</v>
      </c>
      <c r="FZM3">
        <v>52</v>
      </c>
      <c r="FZN3">
        <v>0</v>
      </c>
      <c r="FZO3">
        <v>0</v>
      </c>
      <c r="FZP3">
        <v>495</v>
      </c>
      <c r="FZQ3">
        <v>0</v>
      </c>
      <c r="FZR3">
        <v>0</v>
      </c>
      <c r="FZS3">
        <v>2</v>
      </c>
      <c r="FZT3">
        <v>0</v>
      </c>
      <c r="FZU3">
        <v>0</v>
      </c>
      <c r="FZV3">
        <v>1936.91</v>
      </c>
      <c r="FZW3">
        <v>0</v>
      </c>
      <c r="FZX3">
        <v>0</v>
      </c>
      <c r="FZY3">
        <v>0</v>
      </c>
      <c r="FZZ3">
        <v>1642.96</v>
      </c>
      <c r="GAA3">
        <v>0</v>
      </c>
      <c r="GAB3">
        <v>0</v>
      </c>
      <c r="GAC3">
        <v>0</v>
      </c>
      <c r="GAD3">
        <v>0</v>
      </c>
      <c r="GAE3">
        <v>0</v>
      </c>
      <c r="GAF3">
        <v>0</v>
      </c>
      <c r="GAG3">
        <v>0</v>
      </c>
      <c r="GAH3">
        <v>220</v>
      </c>
      <c r="GAI3">
        <v>0</v>
      </c>
      <c r="GAJ3">
        <v>0</v>
      </c>
      <c r="GAK3">
        <v>0</v>
      </c>
      <c r="GAL3">
        <v>8</v>
      </c>
      <c r="GAM3">
        <v>0</v>
      </c>
      <c r="GAN3">
        <v>0</v>
      </c>
      <c r="GAO3">
        <v>0</v>
      </c>
      <c r="GAP3">
        <v>807.96</v>
      </c>
      <c r="GAQ3">
        <v>0</v>
      </c>
      <c r="GAR3">
        <v>0</v>
      </c>
      <c r="GAS3">
        <v>0</v>
      </c>
      <c r="GAT3">
        <v>385.99</v>
      </c>
      <c r="GAU3">
        <v>0</v>
      </c>
      <c r="GAV3">
        <v>25</v>
      </c>
      <c r="GAW3">
        <v>0</v>
      </c>
      <c r="GAX3">
        <v>408.99</v>
      </c>
      <c r="GAY3">
        <v>0</v>
      </c>
      <c r="GAZ3">
        <v>0</v>
      </c>
      <c r="GBA3">
        <v>0</v>
      </c>
      <c r="GBB3">
        <v>0</v>
      </c>
      <c r="GBC3">
        <v>0</v>
      </c>
      <c r="GBD3">
        <v>0</v>
      </c>
      <c r="GBE3">
        <v>164.99</v>
      </c>
      <c r="GBF3">
        <v>0</v>
      </c>
      <c r="GBG3">
        <v>117</v>
      </c>
      <c r="GBH3">
        <v>0</v>
      </c>
      <c r="GBI3">
        <v>0</v>
      </c>
      <c r="GBJ3">
        <v>0</v>
      </c>
      <c r="GBK3">
        <v>0</v>
      </c>
      <c r="GBL3">
        <v>313</v>
      </c>
      <c r="GBM3">
        <v>144</v>
      </c>
      <c r="GBN3">
        <v>0</v>
      </c>
      <c r="GBO3">
        <v>19</v>
      </c>
      <c r="GBP3">
        <v>0</v>
      </c>
      <c r="GBQ3">
        <v>267.99</v>
      </c>
      <c r="GBR3">
        <v>159</v>
      </c>
      <c r="GBS3">
        <v>52</v>
      </c>
      <c r="GBT3">
        <v>595.01</v>
      </c>
      <c r="GBU3">
        <v>0</v>
      </c>
      <c r="GBV3">
        <v>0</v>
      </c>
      <c r="GBW3">
        <v>0</v>
      </c>
      <c r="GBX3">
        <v>0</v>
      </c>
      <c r="GBY3">
        <v>0</v>
      </c>
      <c r="GBZ3">
        <v>0</v>
      </c>
      <c r="GCA3">
        <v>0</v>
      </c>
      <c r="GCB3">
        <v>0</v>
      </c>
      <c r="GCC3">
        <v>0</v>
      </c>
      <c r="GCD3">
        <v>30</v>
      </c>
      <c r="GCE3">
        <v>0</v>
      </c>
      <c r="GCF3">
        <v>2134.02</v>
      </c>
      <c r="GCG3">
        <v>288.99</v>
      </c>
      <c r="GCH3">
        <v>203.99</v>
      </c>
      <c r="GCI3">
        <v>1006.02</v>
      </c>
      <c r="GCJ3">
        <v>0</v>
      </c>
      <c r="GCK3">
        <v>0</v>
      </c>
      <c r="GCL3">
        <v>0</v>
      </c>
      <c r="GCM3">
        <v>0</v>
      </c>
      <c r="GCN3">
        <v>149.99</v>
      </c>
      <c r="GCO3">
        <v>0</v>
      </c>
      <c r="GCP3">
        <v>0</v>
      </c>
      <c r="GCQ3">
        <v>0</v>
      </c>
      <c r="GCR3">
        <v>0</v>
      </c>
      <c r="GCS3">
        <v>178</v>
      </c>
      <c r="GCT3">
        <v>0</v>
      </c>
      <c r="GCU3">
        <v>0</v>
      </c>
      <c r="GCV3">
        <v>0</v>
      </c>
      <c r="GCW3">
        <v>0</v>
      </c>
      <c r="GCX3">
        <v>0</v>
      </c>
      <c r="GCY3">
        <v>2291.02</v>
      </c>
      <c r="GCZ3">
        <v>0</v>
      </c>
      <c r="GDA3">
        <v>0</v>
      </c>
      <c r="GDB3">
        <v>202.99</v>
      </c>
      <c r="GDC3">
        <v>255.98</v>
      </c>
      <c r="GDD3">
        <v>0</v>
      </c>
      <c r="GDE3">
        <v>0</v>
      </c>
      <c r="GDF3">
        <v>299.01</v>
      </c>
      <c r="GDG3">
        <v>645.98</v>
      </c>
      <c r="GDH3">
        <v>0</v>
      </c>
      <c r="GDI3">
        <v>0</v>
      </c>
      <c r="GDJ3">
        <v>0</v>
      </c>
      <c r="GDK3">
        <v>0</v>
      </c>
      <c r="GDL3">
        <v>0</v>
      </c>
      <c r="GDM3">
        <v>468.97</v>
      </c>
      <c r="GDN3">
        <v>0</v>
      </c>
      <c r="GDO3">
        <v>0</v>
      </c>
      <c r="GDP3">
        <v>0</v>
      </c>
      <c r="GDQ3">
        <v>55</v>
      </c>
      <c r="GDR3">
        <v>0</v>
      </c>
      <c r="GDS3">
        <v>0</v>
      </c>
      <c r="GDT3">
        <v>56</v>
      </c>
      <c r="GDU3">
        <v>734.99</v>
      </c>
      <c r="GDV3">
        <v>0</v>
      </c>
      <c r="GDW3">
        <v>439.99</v>
      </c>
      <c r="GDX3">
        <v>0</v>
      </c>
      <c r="GDY3">
        <v>0</v>
      </c>
      <c r="GDZ3">
        <v>0</v>
      </c>
      <c r="GEA3">
        <v>0</v>
      </c>
      <c r="GEB3">
        <v>2</v>
      </c>
      <c r="GEC3">
        <v>0</v>
      </c>
      <c r="GED3">
        <v>0</v>
      </c>
      <c r="GEE3">
        <v>0</v>
      </c>
      <c r="GEF3">
        <v>0</v>
      </c>
      <c r="GEG3">
        <v>367.98</v>
      </c>
      <c r="GEH3">
        <v>0</v>
      </c>
      <c r="GEI3">
        <v>89</v>
      </c>
      <c r="GEJ3">
        <v>0</v>
      </c>
      <c r="GEK3">
        <v>669.01</v>
      </c>
      <c r="GEL3">
        <v>0</v>
      </c>
      <c r="GEM3">
        <v>2482.0500000000002</v>
      </c>
      <c r="GEN3">
        <v>0</v>
      </c>
      <c r="GEO3">
        <v>233</v>
      </c>
      <c r="GEP3">
        <v>0</v>
      </c>
      <c r="GEQ3">
        <v>13</v>
      </c>
      <c r="GER3">
        <v>0</v>
      </c>
      <c r="GES3">
        <v>0</v>
      </c>
      <c r="GET3">
        <v>0</v>
      </c>
      <c r="GEU3">
        <v>2051.94</v>
      </c>
      <c r="GEV3">
        <v>0</v>
      </c>
      <c r="GEW3">
        <v>0</v>
      </c>
      <c r="GEX3">
        <v>0</v>
      </c>
      <c r="GEY3">
        <v>0</v>
      </c>
      <c r="GEZ3">
        <v>0</v>
      </c>
      <c r="GFA3">
        <v>0</v>
      </c>
      <c r="GFB3">
        <v>337.99</v>
      </c>
      <c r="GFC3">
        <v>0</v>
      </c>
      <c r="GFD3">
        <v>0</v>
      </c>
      <c r="GFE3">
        <v>0</v>
      </c>
      <c r="GFF3">
        <v>451</v>
      </c>
      <c r="GFG3">
        <v>0</v>
      </c>
      <c r="GFH3">
        <v>0</v>
      </c>
      <c r="GFI3">
        <v>0</v>
      </c>
      <c r="GFJ3">
        <v>0</v>
      </c>
      <c r="GFK3">
        <v>0</v>
      </c>
      <c r="GFL3">
        <v>52.99</v>
      </c>
      <c r="GFM3">
        <v>0</v>
      </c>
      <c r="GFN3">
        <v>0</v>
      </c>
      <c r="GFO3">
        <v>1318.98</v>
      </c>
      <c r="GFP3">
        <v>0</v>
      </c>
      <c r="GFQ3">
        <v>0</v>
      </c>
      <c r="GFR3">
        <v>416.97</v>
      </c>
      <c r="GFS3">
        <v>0</v>
      </c>
      <c r="GFT3">
        <v>1753.98</v>
      </c>
      <c r="GFU3">
        <v>462.96</v>
      </c>
      <c r="GFV3">
        <v>1539.04</v>
      </c>
      <c r="GFW3">
        <v>801.96</v>
      </c>
      <c r="GFX3">
        <v>0</v>
      </c>
      <c r="GFY3">
        <v>0</v>
      </c>
      <c r="GFZ3">
        <v>0</v>
      </c>
      <c r="GGA3">
        <v>0</v>
      </c>
      <c r="GGB3">
        <v>0</v>
      </c>
      <c r="GGC3">
        <v>0</v>
      </c>
      <c r="GGD3">
        <v>162</v>
      </c>
      <c r="GGE3">
        <v>0</v>
      </c>
      <c r="GGF3">
        <v>0</v>
      </c>
      <c r="GGG3">
        <v>13</v>
      </c>
      <c r="GGH3">
        <v>0</v>
      </c>
      <c r="GGI3">
        <v>0</v>
      </c>
      <c r="GGJ3">
        <v>0</v>
      </c>
      <c r="GGK3">
        <v>0</v>
      </c>
      <c r="GGL3">
        <v>0</v>
      </c>
      <c r="GGM3">
        <v>0</v>
      </c>
      <c r="GGN3">
        <v>0</v>
      </c>
      <c r="GGO3">
        <v>0</v>
      </c>
      <c r="GGP3">
        <v>0</v>
      </c>
      <c r="GGQ3">
        <v>0</v>
      </c>
      <c r="GGR3">
        <v>0</v>
      </c>
      <c r="GGS3">
        <v>0</v>
      </c>
      <c r="GGT3">
        <v>0</v>
      </c>
      <c r="GGU3">
        <v>0</v>
      </c>
      <c r="GGV3">
        <v>0</v>
      </c>
      <c r="GGW3">
        <v>0</v>
      </c>
      <c r="GGX3">
        <v>0</v>
      </c>
      <c r="GGY3">
        <v>0</v>
      </c>
      <c r="GGZ3">
        <v>0</v>
      </c>
      <c r="GHA3">
        <v>156.01</v>
      </c>
      <c r="GHB3">
        <v>0</v>
      </c>
      <c r="GHC3">
        <v>0</v>
      </c>
      <c r="GHD3">
        <v>0</v>
      </c>
      <c r="GHE3">
        <v>1967.95</v>
      </c>
      <c r="GHF3">
        <v>0</v>
      </c>
      <c r="GHG3">
        <v>83.99</v>
      </c>
      <c r="GHH3">
        <v>0</v>
      </c>
      <c r="GHI3">
        <v>100.99</v>
      </c>
      <c r="GHJ3">
        <v>0</v>
      </c>
      <c r="GHK3">
        <v>0</v>
      </c>
      <c r="GHL3">
        <v>0</v>
      </c>
      <c r="GHM3">
        <v>0</v>
      </c>
      <c r="GHN3">
        <v>15</v>
      </c>
      <c r="GHO3">
        <v>197.99</v>
      </c>
      <c r="GHP3">
        <v>0</v>
      </c>
      <c r="GHQ3">
        <v>3238.86</v>
      </c>
      <c r="GHR3">
        <v>8</v>
      </c>
      <c r="GHS3">
        <v>0</v>
      </c>
      <c r="GHT3">
        <v>1589.96</v>
      </c>
      <c r="GHU3">
        <v>0</v>
      </c>
      <c r="GHV3">
        <v>0</v>
      </c>
      <c r="GHW3">
        <v>0</v>
      </c>
      <c r="GHX3">
        <v>0</v>
      </c>
      <c r="GHY3">
        <v>0</v>
      </c>
      <c r="GHZ3">
        <v>0</v>
      </c>
      <c r="GIA3">
        <v>80</v>
      </c>
      <c r="GIB3">
        <v>0</v>
      </c>
      <c r="GIC3">
        <v>1367.99</v>
      </c>
      <c r="GID3">
        <v>0</v>
      </c>
      <c r="GIE3">
        <v>0</v>
      </c>
      <c r="GIF3">
        <v>214</v>
      </c>
      <c r="GIG3">
        <v>648.96</v>
      </c>
      <c r="GIH3">
        <v>286.99</v>
      </c>
      <c r="GII3">
        <v>0</v>
      </c>
      <c r="GIJ3">
        <v>0</v>
      </c>
      <c r="GIK3">
        <v>115.99</v>
      </c>
      <c r="GIL3">
        <v>0</v>
      </c>
      <c r="GIM3">
        <v>271.99</v>
      </c>
      <c r="GIN3">
        <v>0</v>
      </c>
      <c r="GIO3">
        <v>88</v>
      </c>
      <c r="GIP3">
        <v>41.99</v>
      </c>
      <c r="GIQ3">
        <v>231</v>
      </c>
      <c r="GIR3">
        <v>0</v>
      </c>
      <c r="GIS3">
        <v>375.99</v>
      </c>
      <c r="GIT3">
        <v>0</v>
      </c>
      <c r="GIU3">
        <v>0</v>
      </c>
      <c r="GIV3">
        <v>1013.98</v>
      </c>
      <c r="GIW3">
        <v>0</v>
      </c>
      <c r="GIX3">
        <v>0</v>
      </c>
      <c r="GIY3">
        <v>130</v>
      </c>
      <c r="GIZ3">
        <v>0</v>
      </c>
      <c r="GJA3">
        <v>0</v>
      </c>
      <c r="GJB3">
        <v>260</v>
      </c>
      <c r="GJC3">
        <v>0</v>
      </c>
      <c r="GJD3">
        <v>0</v>
      </c>
      <c r="GJE3">
        <v>0</v>
      </c>
      <c r="GJF3">
        <v>0</v>
      </c>
      <c r="GJG3">
        <v>94.01</v>
      </c>
      <c r="GJH3">
        <v>0</v>
      </c>
      <c r="GJI3">
        <v>0</v>
      </c>
      <c r="GJJ3">
        <v>0</v>
      </c>
      <c r="GJK3">
        <v>0</v>
      </c>
      <c r="GJL3">
        <v>183</v>
      </c>
      <c r="GJM3">
        <v>0</v>
      </c>
      <c r="GJN3">
        <v>0</v>
      </c>
      <c r="GJO3">
        <v>0</v>
      </c>
      <c r="GJP3">
        <v>253.99</v>
      </c>
      <c r="GJQ3">
        <v>0</v>
      </c>
      <c r="GJR3">
        <v>26</v>
      </c>
      <c r="GJS3">
        <v>0</v>
      </c>
      <c r="GJT3">
        <v>25</v>
      </c>
      <c r="GJU3">
        <v>0</v>
      </c>
      <c r="GJV3">
        <v>0</v>
      </c>
      <c r="GJW3">
        <v>0</v>
      </c>
      <c r="GJX3">
        <v>0</v>
      </c>
      <c r="GJY3">
        <v>0</v>
      </c>
      <c r="GJZ3">
        <v>0</v>
      </c>
      <c r="GKA3">
        <v>0</v>
      </c>
      <c r="GKB3">
        <v>0</v>
      </c>
      <c r="GKC3">
        <v>0</v>
      </c>
      <c r="GKD3">
        <v>0</v>
      </c>
      <c r="GKE3">
        <v>0</v>
      </c>
      <c r="GKF3">
        <v>0</v>
      </c>
      <c r="GKG3">
        <v>400</v>
      </c>
      <c r="GKH3">
        <v>0</v>
      </c>
      <c r="GKI3">
        <v>0</v>
      </c>
      <c r="GKJ3">
        <v>0</v>
      </c>
      <c r="GKK3">
        <v>697.94</v>
      </c>
      <c r="GKL3">
        <v>174</v>
      </c>
      <c r="GKM3">
        <v>0</v>
      </c>
      <c r="GKN3">
        <v>0</v>
      </c>
      <c r="GKO3">
        <v>0</v>
      </c>
      <c r="GKP3">
        <v>104</v>
      </c>
      <c r="GKQ3">
        <v>0</v>
      </c>
      <c r="GKR3">
        <v>241.99</v>
      </c>
      <c r="GKS3">
        <v>0</v>
      </c>
      <c r="GKT3">
        <v>34</v>
      </c>
      <c r="GKU3">
        <v>0</v>
      </c>
      <c r="GKV3">
        <v>179</v>
      </c>
      <c r="GKW3">
        <v>0</v>
      </c>
      <c r="GKX3">
        <v>0</v>
      </c>
      <c r="GKY3">
        <v>220</v>
      </c>
      <c r="GKZ3">
        <v>0</v>
      </c>
      <c r="GLA3">
        <v>0</v>
      </c>
      <c r="GLB3">
        <v>0</v>
      </c>
      <c r="GLC3">
        <v>0</v>
      </c>
      <c r="GLD3">
        <v>259.97000000000003</v>
      </c>
      <c r="GLE3">
        <v>0</v>
      </c>
      <c r="GLF3">
        <v>0</v>
      </c>
      <c r="GLG3">
        <v>0</v>
      </c>
      <c r="GLH3">
        <v>0</v>
      </c>
      <c r="GLI3">
        <v>0</v>
      </c>
      <c r="GLJ3">
        <v>158</v>
      </c>
      <c r="GLK3">
        <v>0</v>
      </c>
      <c r="GLL3">
        <v>0</v>
      </c>
      <c r="GLM3">
        <v>0</v>
      </c>
      <c r="GLN3">
        <v>0</v>
      </c>
      <c r="GLO3">
        <v>0</v>
      </c>
      <c r="GLP3">
        <v>0</v>
      </c>
      <c r="GLQ3">
        <v>0</v>
      </c>
      <c r="GLR3">
        <v>0</v>
      </c>
      <c r="GLS3">
        <v>0</v>
      </c>
      <c r="GLT3">
        <v>964.98</v>
      </c>
      <c r="GLU3">
        <v>0</v>
      </c>
      <c r="GLV3">
        <v>0</v>
      </c>
      <c r="GLW3">
        <v>0</v>
      </c>
      <c r="GLX3">
        <v>0</v>
      </c>
      <c r="GLY3">
        <v>0</v>
      </c>
      <c r="GLZ3">
        <v>0</v>
      </c>
      <c r="GMA3">
        <v>0</v>
      </c>
      <c r="GMB3">
        <v>5888.75</v>
      </c>
      <c r="GMC3">
        <v>0</v>
      </c>
      <c r="GMD3">
        <v>0</v>
      </c>
      <c r="GME3">
        <v>0</v>
      </c>
      <c r="GMF3">
        <v>0</v>
      </c>
      <c r="GMG3">
        <v>0</v>
      </c>
      <c r="GMH3">
        <v>0</v>
      </c>
      <c r="GMI3">
        <v>0</v>
      </c>
      <c r="GMJ3">
        <v>477.98</v>
      </c>
      <c r="GMK3">
        <v>0</v>
      </c>
      <c r="GML3">
        <v>0</v>
      </c>
      <c r="GMM3">
        <v>0</v>
      </c>
      <c r="GMN3">
        <v>0</v>
      </c>
      <c r="GMO3">
        <v>0</v>
      </c>
      <c r="GMP3">
        <v>0</v>
      </c>
      <c r="GMQ3">
        <v>682.98</v>
      </c>
      <c r="GMR3">
        <v>0</v>
      </c>
      <c r="GMS3">
        <v>10</v>
      </c>
      <c r="GMT3">
        <v>953</v>
      </c>
      <c r="GMU3">
        <v>0</v>
      </c>
      <c r="GMV3">
        <v>467</v>
      </c>
      <c r="GMW3">
        <v>0</v>
      </c>
      <c r="GMX3">
        <v>0</v>
      </c>
      <c r="GMY3">
        <v>0</v>
      </c>
      <c r="GMZ3">
        <v>0</v>
      </c>
      <c r="GNA3">
        <v>0</v>
      </c>
      <c r="GNB3">
        <v>0</v>
      </c>
      <c r="GNC3">
        <v>45</v>
      </c>
      <c r="GND3">
        <v>0</v>
      </c>
      <c r="GNE3">
        <v>1261.04</v>
      </c>
      <c r="GNF3">
        <v>0</v>
      </c>
      <c r="GNG3">
        <v>0</v>
      </c>
      <c r="GNH3">
        <v>1359</v>
      </c>
      <c r="GNI3">
        <v>0</v>
      </c>
      <c r="GNJ3">
        <v>1963.93</v>
      </c>
      <c r="GNK3">
        <v>0</v>
      </c>
      <c r="GNL3">
        <v>0</v>
      </c>
      <c r="GNM3">
        <v>72.989999999999995</v>
      </c>
      <c r="GNN3">
        <v>0</v>
      </c>
      <c r="GNO3">
        <v>847.02</v>
      </c>
      <c r="GNP3">
        <v>58.99</v>
      </c>
      <c r="GNQ3">
        <v>0</v>
      </c>
      <c r="GNR3">
        <v>226</v>
      </c>
      <c r="GNS3">
        <v>611.98</v>
      </c>
      <c r="GNT3">
        <v>758.99</v>
      </c>
      <c r="GNU3">
        <v>0</v>
      </c>
      <c r="GNV3">
        <v>0</v>
      </c>
      <c r="GNW3">
        <v>0</v>
      </c>
      <c r="GNX3">
        <v>929.96</v>
      </c>
      <c r="GNY3">
        <v>1223.03</v>
      </c>
      <c r="GNZ3">
        <v>485.99</v>
      </c>
      <c r="GOA3">
        <v>0</v>
      </c>
      <c r="GOB3">
        <v>425.99</v>
      </c>
      <c r="GOC3">
        <v>413</v>
      </c>
      <c r="GOD3">
        <v>0</v>
      </c>
      <c r="GOE3">
        <v>45</v>
      </c>
      <c r="GOF3">
        <v>0</v>
      </c>
      <c r="GOG3">
        <v>819.01</v>
      </c>
      <c r="GOH3">
        <v>0</v>
      </c>
      <c r="GOI3">
        <v>185.99</v>
      </c>
      <c r="GOJ3">
        <v>0</v>
      </c>
      <c r="GOK3">
        <v>0</v>
      </c>
      <c r="GOL3">
        <v>0</v>
      </c>
      <c r="GOM3">
        <v>0</v>
      </c>
      <c r="GON3">
        <v>0</v>
      </c>
      <c r="GOO3">
        <v>1104.97</v>
      </c>
      <c r="GOP3">
        <v>0</v>
      </c>
      <c r="GOQ3">
        <v>0</v>
      </c>
      <c r="GOR3">
        <v>0</v>
      </c>
      <c r="GOS3">
        <v>585.99</v>
      </c>
      <c r="GOT3">
        <v>0</v>
      </c>
      <c r="GOU3">
        <v>2734.02</v>
      </c>
      <c r="GOV3">
        <v>0</v>
      </c>
      <c r="GOW3">
        <v>1892.91</v>
      </c>
      <c r="GOX3">
        <v>0</v>
      </c>
      <c r="GOY3">
        <v>571.98</v>
      </c>
      <c r="GOZ3">
        <v>861</v>
      </c>
      <c r="GPA3">
        <v>0</v>
      </c>
      <c r="GPB3">
        <v>36</v>
      </c>
      <c r="GPC3">
        <v>4834.13</v>
      </c>
      <c r="GPD3">
        <v>0</v>
      </c>
      <c r="GPE3">
        <v>0</v>
      </c>
      <c r="GPF3">
        <v>0</v>
      </c>
      <c r="GPG3">
        <v>0</v>
      </c>
      <c r="GPH3">
        <v>335.99</v>
      </c>
      <c r="GPI3">
        <v>0</v>
      </c>
      <c r="GPJ3">
        <v>365.99</v>
      </c>
      <c r="GPK3">
        <v>0</v>
      </c>
      <c r="GPL3">
        <v>1386.96</v>
      </c>
      <c r="GPM3">
        <v>391.01</v>
      </c>
      <c r="GPN3">
        <v>38</v>
      </c>
      <c r="GPO3">
        <v>0</v>
      </c>
      <c r="GPP3">
        <v>0</v>
      </c>
      <c r="GPQ3">
        <v>644.99</v>
      </c>
      <c r="GPR3">
        <v>6384.8</v>
      </c>
      <c r="GPS3">
        <v>0</v>
      </c>
      <c r="GPT3">
        <v>0</v>
      </c>
      <c r="GPU3">
        <v>0</v>
      </c>
      <c r="GPV3">
        <v>6573.88</v>
      </c>
      <c r="GPW3">
        <v>0</v>
      </c>
      <c r="GPX3">
        <v>309.99</v>
      </c>
      <c r="GPY3">
        <v>2869.89</v>
      </c>
      <c r="GPZ3">
        <v>0</v>
      </c>
      <c r="GQA3">
        <v>616.99</v>
      </c>
      <c r="GQB3">
        <v>0</v>
      </c>
      <c r="GQC3">
        <v>0</v>
      </c>
      <c r="GQD3">
        <v>995.96</v>
      </c>
      <c r="GQE3">
        <v>0</v>
      </c>
      <c r="GQF3">
        <v>1360.91</v>
      </c>
      <c r="GQG3">
        <v>0</v>
      </c>
      <c r="GQH3">
        <v>0</v>
      </c>
      <c r="GQI3">
        <v>731.97</v>
      </c>
      <c r="GQJ3">
        <v>0</v>
      </c>
      <c r="GQK3">
        <v>10846.75</v>
      </c>
      <c r="GQL3">
        <v>0</v>
      </c>
      <c r="GQM3">
        <v>72</v>
      </c>
      <c r="GQN3">
        <v>0</v>
      </c>
      <c r="GQO3">
        <v>0</v>
      </c>
      <c r="GQP3">
        <v>0</v>
      </c>
      <c r="GQQ3">
        <v>0</v>
      </c>
      <c r="GQR3">
        <v>0</v>
      </c>
      <c r="GQS3">
        <v>0</v>
      </c>
      <c r="GQT3">
        <v>3118.91</v>
      </c>
      <c r="GQU3">
        <v>0</v>
      </c>
      <c r="GQV3">
        <v>1645.93</v>
      </c>
      <c r="GQW3">
        <v>0</v>
      </c>
      <c r="GQX3">
        <v>0</v>
      </c>
      <c r="GQY3">
        <v>1068.94</v>
      </c>
      <c r="GQZ3">
        <v>1765.93</v>
      </c>
      <c r="GRA3">
        <v>14</v>
      </c>
      <c r="GRB3">
        <v>612.01</v>
      </c>
      <c r="GRC3">
        <v>0</v>
      </c>
      <c r="GRD3">
        <v>10959.81</v>
      </c>
      <c r="GRE3">
        <v>0</v>
      </c>
      <c r="GRF3">
        <v>0</v>
      </c>
      <c r="GRG3">
        <v>0</v>
      </c>
      <c r="GRH3">
        <v>0</v>
      </c>
      <c r="GRI3">
        <v>4705</v>
      </c>
      <c r="GRJ3">
        <v>0</v>
      </c>
      <c r="GRK3">
        <v>1220.01</v>
      </c>
      <c r="GRL3">
        <v>4417.79</v>
      </c>
      <c r="GRM3">
        <v>1805.99</v>
      </c>
      <c r="GRN3">
        <v>329</v>
      </c>
      <c r="GRO3">
        <v>0</v>
      </c>
      <c r="GRP3">
        <v>4487.8999999999996</v>
      </c>
      <c r="GRQ3">
        <v>0</v>
      </c>
      <c r="GRR3">
        <v>2055.9899999999998</v>
      </c>
      <c r="GRS3">
        <v>1477.99</v>
      </c>
      <c r="GRT3">
        <v>2386.89</v>
      </c>
      <c r="GRU3">
        <v>0</v>
      </c>
      <c r="GRV3">
        <v>6039.83</v>
      </c>
      <c r="GRW3">
        <v>3361.9</v>
      </c>
      <c r="GRX3">
        <v>3431.91</v>
      </c>
      <c r="GRY3">
        <v>1453.95</v>
      </c>
      <c r="GRZ3">
        <v>347</v>
      </c>
      <c r="GSA3">
        <v>4421.8900000000003</v>
      </c>
      <c r="GSB3">
        <v>575</v>
      </c>
      <c r="GSC3">
        <v>2324.9499999999998</v>
      </c>
      <c r="GSD3">
        <v>14445.36</v>
      </c>
      <c r="GSE3">
        <v>11284.86</v>
      </c>
      <c r="GSF3">
        <v>0</v>
      </c>
      <c r="GSG3">
        <v>946.99</v>
      </c>
      <c r="GSH3">
        <v>712.96</v>
      </c>
      <c r="GSI3">
        <v>2075.9499999999998</v>
      </c>
      <c r="GSJ3">
        <v>4188.87</v>
      </c>
      <c r="GSK3">
        <v>2038.97</v>
      </c>
      <c r="GSL3">
        <v>132.99</v>
      </c>
      <c r="GSM3">
        <v>3922.05</v>
      </c>
      <c r="GSN3">
        <v>0</v>
      </c>
      <c r="GSO3">
        <v>7429.94</v>
      </c>
      <c r="GSP3">
        <v>9329.6</v>
      </c>
      <c r="GSQ3">
        <v>15553.61</v>
      </c>
      <c r="GSR3">
        <v>308149.12</v>
      </c>
    </row>
    <row r="4" spans="1:5244" x14ac:dyDescent="0.2">
      <c r="A4" s="7">
        <v>37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4</v>
      </c>
      <c r="AG4">
        <v>4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5</v>
      </c>
      <c r="BM4">
        <v>5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6</v>
      </c>
      <c r="CZ4">
        <v>6</v>
      </c>
      <c r="DA4">
        <v>6</v>
      </c>
      <c r="DB4">
        <v>6</v>
      </c>
      <c r="DC4">
        <v>6</v>
      </c>
      <c r="DD4">
        <v>6</v>
      </c>
      <c r="DE4">
        <v>6</v>
      </c>
      <c r="DF4">
        <v>6</v>
      </c>
      <c r="DG4">
        <v>6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6.99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7</v>
      </c>
      <c r="FU4">
        <v>7</v>
      </c>
      <c r="FV4">
        <v>7</v>
      </c>
      <c r="FW4">
        <v>7</v>
      </c>
      <c r="FX4">
        <v>7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8</v>
      </c>
      <c r="ID4">
        <v>8</v>
      </c>
      <c r="IE4">
        <v>8</v>
      </c>
      <c r="IF4">
        <v>3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9</v>
      </c>
      <c r="KA4">
        <v>9</v>
      </c>
      <c r="KB4">
        <v>9</v>
      </c>
      <c r="KC4">
        <v>9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9.99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10</v>
      </c>
      <c r="LY4">
        <v>10</v>
      </c>
      <c r="LZ4">
        <v>10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11</v>
      </c>
      <c r="OB4">
        <v>11</v>
      </c>
      <c r="OC4">
        <v>11</v>
      </c>
      <c r="OD4">
        <v>11</v>
      </c>
      <c r="OE4">
        <v>11</v>
      </c>
      <c r="OF4">
        <v>11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12</v>
      </c>
      <c r="QG4">
        <v>12</v>
      </c>
      <c r="QH4">
        <v>12</v>
      </c>
      <c r="QI4">
        <v>12</v>
      </c>
      <c r="QJ4">
        <v>12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13</v>
      </c>
      <c r="SU4">
        <v>13</v>
      </c>
      <c r="SV4">
        <v>13</v>
      </c>
      <c r="SW4">
        <v>13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14</v>
      </c>
      <c r="UV4">
        <v>14</v>
      </c>
      <c r="UW4">
        <v>14</v>
      </c>
      <c r="UX4">
        <v>14</v>
      </c>
      <c r="UY4">
        <v>14</v>
      </c>
      <c r="UZ4">
        <v>14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10</v>
      </c>
      <c r="XB4">
        <v>15</v>
      </c>
      <c r="XC4">
        <v>15</v>
      </c>
      <c r="XD4">
        <v>15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16</v>
      </c>
      <c r="ZB4">
        <v>16</v>
      </c>
      <c r="ZC4">
        <v>16</v>
      </c>
      <c r="ZD4">
        <v>16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17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18</v>
      </c>
      <c r="ACS4">
        <v>18</v>
      </c>
      <c r="ACT4">
        <v>18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15</v>
      </c>
      <c r="AEW4">
        <v>19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20</v>
      </c>
      <c r="AHG4">
        <v>20</v>
      </c>
      <c r="AHH4">
        <v>20</v>
      </c>
      <c r="AHI4">
        <v>20</v>
      </c>
      <c r="AHJ4">
        <v>20</v>
      </c>
      <c r="AHK4">
        <v>20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21</v>
      </c>
      <c r="AJF4">
        <v>21</v>
      </c>
      <c r="AJG4">
        <v>21</v>
      </c>
      <c r="AJH4">
        <v>21</v>
      </c>
      <c r="AJI4">
        <v>21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22</v>
      </c>
      <c r="ALF4">
        <v>22</v>
      </c>
      <c r="ALG4">
        <v>22</v>
      </c>
      <c r="ALH4">
        <v>22</v>
      </c>
      <c r="ALI4">
        <v>22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22.99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23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25</v>
      </c>
      <c r="APZ4">
        <v>25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25.99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26</v>
      </c>
      <c r="ASE4">
        <v>26</v>
      </c>
      <c r="ASF4">
        <v>26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27</v>
      </c>
      <c r="ATO4">
        <v>27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27.99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28</v>
      </c>
      <c r="AVD4">
        <v>28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12</v>
      </c>
      <c r="AWL4">
        <v>29</v>
      </c>
      <c r="AWM4">
        <v>29</v>
      </c>
      <c r="AWN4">
        <v>29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3</v>
      </c>
      <c r="AXQ4">
        <v>29.99</v>
      </c>
      <c r="AXR4">
        <v>0</v>
      </c>
      <c r="AXS4">
        <v>0</v>
      </c>
      <c r="AXT4">
        <v>0</v>
      </c>
      <c r="AXU4">
        <v>0</v>
      </c>
      <c r="AXV4">
        <v>30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31</v>
      </c>
      <c r="AZA4">
        <v>31</v>
      </c>
      <c r="AZB4">
        <v>31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31.99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16</v>
      </c>
      <c r="BAH4">
        <v>32</v>
      </c>
      <c r="BAI4">
        <v>32</v>
      </c>
      <c r="BAJ4">
        <v>32</v>
      </c>
      <c r="BAK4">
        <v>32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34</v>
      </c>
      <c r="BDH4">
        <v>34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15</v>
      </c>
      <c r="BEW4">
        <v>35</v>
      </c>
      <c r="BEX4">
        <v>35</v>
      </c>
      <c r="BEY4">
        <v>11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36</v>
      </c>
      <c r="BGA4">
        <v>36</v>
      </c>
      <c r="BGB4">
        <v>36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37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38</v>
      </c>
      <c r="BIQ4">
        <v>38</v>
      </c>
      <c r="BIR4">
        <v>38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39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40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9</v>
      </c>
      <c r="BMG4">
        <v>0</v>
      </c>
      <c r="BMH4">
        <v>20</v>
      </c>
      <c r="BMI4">
        <v>41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42</v>
      </c>
      <c r="BND4">
        <v>42</v>
      </c>
      <c r="BNE4">
        <v>22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44.99</v>
      </c>
      <c r="BQD4">
        <v>0</v>
      </c>
      <c r="BQE4">
        <v>0</v>
      </c>
      <c r="BQF4">
        <v>0</v>
      </c>
      <c r="BQG4">
        <v>0</v>
      </c>
      <c r="BQH4">
        <v>45</v>
      </c>
      <c r="BQI4">
        <v>45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6</v>
      </c>
      <c r="BRF4">
        <v>46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13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48</v>
      </c>
      <c r="BTA4">
        <v>48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13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49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26.99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11</v>
      </c>
      <c r="BUZ4">
        <v>38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42.99</v>
      </c>
      <c r="BVT4">
        <v>50.99</v>
      </c>
      <c r="BVU4">
        <v>0</v>
      </c>
      <c r="BVV4">
        <v>0</v>
      </c>
      <c r="BVW4">
        <v>0</v>
      </c>
      <c r="BVX4">
        <v>0</v>
      </c>
      <c r="BVY4">
        <v>12</v>
      </c>
      <c r="BVZ4">
        <v>24</v>
      </c>
      <c r="BWA4">
        <v>31</v>
      </c>
      <c r="BWB4">
        <v>51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51.99</v>
      </c>
      <c r="BWP4">
        <v>0</v>
      </c>
      <c r="BWQ4">
        <v>0</v>
      </c>
      <c r="BWR4">
        <v>0</v>
      </c>
      <c r="BWS4">
        <v>20</v>
      </c>
      <c r="BWT4">
        <v>52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12</v>
      </c>
      <c r="BXN4">
        <v>0</v>
      </c>
      <c r="BXO4">
        <v>0</v>
      </c>
      <c r="BXP4">
        <v>53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5</v>
      </c>
      <c r="BYB4">
        <v>0</v>
      </c>
      <c r="BYC4">
        <v>0</v>
      </c>
      <c r="BYD4">
        <v>0</v>
      </c>
      <c r="BYE4">
        <v>0</v>
      </c>
      <c r="BYF4">
        <v>54</v>
      </c>
      <c r="BYG4">
        <v>0</v>
      </c>
      <c r="BYH4">
        <v>0</v>
      </c>
      <c r="BYI4">
        <v>0</v>
      </c>
      <c r="BYJ4">
        <v>0</v>
      </c>
      <c r="BYK4">
        <v>0</v>
      </c>
      <c r="BYL4">
        <v>0</v>
      </c>
      <c r="BYM4">
        <v>0</v>
      </c>
      <c r="BYN4">
        <v>0</v>
      </c>
      <c r="BYO4">
        <v>0</v>
      </c>
      <c r="BYP4">
        <v>0</v>
      </c>
      <c r="BYQ4">
        <v>0</v>
      </c>
      <c r="BYR4">
        <v>26</v>
      </c>
      <c r="BYS4">
        <v>0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15</v>
      </c>
      <c r="BZA4">
        <v>14</v>
      </c>
      <c r="BZB4">
        <v>0</v>
      </c>
      <c r="BZC4">
        <v>0</v>
      </c>
      <c r="BZD4">
        <v>0</v>
      </c>
      <c r="BZE4">
        <v>0</v>
      </c>
      <c r="BZF4">
        <v>0</v>
      </c>
      <c r="BZG4">
        <v>0</v>
      </c>
      <c r="BZH4">
        <v>0</v>
      </c>
      <c r="BZI4">
        <v>0</v>
      </c>
      <c r="BZJ4">
        <v>0</v>
      </c>
      <c r="BZK4">
        <v>0</v>
      </c>
      <c r="BZL4">
        <v>0</v>
      </c>
      <c r="BZM4">
        <v>0</v>
      </c>
      <c r="BZN4">
        <v>0</v>
      </c>
      <c r="BZO4">
        <v>0</v>
      </c>
      <c r="BZP4">
        <v>0</v>
      </c>
      <c r="BZQ4">
        <v>0</v>
      </c>
      <c r="BZR4">
        <v>0</v>
      </c>
      <c r="BZS4">
        <v>0</v>
      </c>
      <c r="BZT4">
        <v>10</v>
      </c>
      <c r="BZU4">
        <v>0</v>
      </c>
      <c r="BZV4">
        <v>0</v>
      </c>
      <c r="BZW4">
        <v>0</v>
      </c>
      <c r="BZX4">
        <v>0</v>
      </c>
      <c r="BZY4">
        <v>0</v>
      </c>
      <c r="BZZ4">
        <v>0</v>
      </c>
      <c r="CAA4">
        <v>0</v>
      </c>
      <c r="CAB4">
        <v>0</v>
      </c>
      <c r="CAC4">
        <v>0</v>
      </c>
      <c r="CAD4">
        <v>0</v>
      </c>
      <c r="CAE4">
        <v>0</v>
      </c>
      <c r="CAF4">
        <v>10</v>
      </c>
      <c r="CAG4">
        <v>0</v>
      </c>
      <c r="CAH4">
        <v>24</v>
      </c>
      <c r="CAI4">
        <v>0</v>
      </c>
      <c r="CAJ4">
        <v>0</v>
      </c>
      <c r="CAK4">
        <v>0</v>
      </c>
      <c r="CAL4">
        <v>0</v>
      </c>
      <c r="CAM4">
        <v>0</v>
      </c>
      <c r="CAN4">
        <v>0</v>
      </c>
      <c r="CAO4">
        <v>0</v>
      </c>
      <c r="CAP4">
        <v>0</v>
      </c>
      <c r="CAQ4">
        <v>0</v>
      </c>
      <c r="CAR4">
        <v>0</v>
      </c>
      <c r="CAS4">
        <v>0</v>
      </c>
      <c r="CAT4">
        <v>0</v>
      </c>
      <c r="CAU4">
        <v>0</v>
      </c>
      <c r="CAV4">
        <v>0</v>
      </c>
      <c r="CAW4">
        <v>0</v>
      </c>
      <c r="CAX4">
        <v>0</v>
      </c>
      <c r="CAY4">
        <v>0</v>
      </c>
      <c r="CAZ4">
        <v>0</v>
      </c>
      <c r="CBA4">
        <v>0</v>
      </c>
      <c r="CBB4">
        <v>0</v>
      </c>
      <c r="CBC4">
        <v>58</v>
      </c>
      <c r="CBD4">
        <v>16</v>
      </c>
      <c r="CBE4">
        <v>0</v>
      </c>
      <c r="CBF4">
        <v>0</v>
      </c>
      <c r="CBG4">
        <v>0</v>
      </c>
      <c r="CBH4">
        <v>0</v>
      </c>
      <c r="CBI4">
        <v>0</v>
      </c>
      <c r="CBJ4">
        <v>0</v>
      </c>
      <c r="CBK4">
        <v>0</v>
      </c>
      <c r="CBL4">
        <v>0</v>
      </c>
      <c r="CBM4">
        <v>0</v>
      </c>
      <c r="CBN4">
        <v>0</v>
      </c>
      <c r="CBO4">
        <v>0</v>
      </c>
      <c r="CBP4">
        <v>49.99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59</v>
      </c>
      <c r="CBX4">
        <v>0</v>
      </c>
      <c r="CBY4">
        <v>0</v>
      </c>
      <c r="CBZ4">
        <v>0</v>
      </c>
      <c r="CCA4">
        <v>0</v>
      </c>
      <c r="CCB4">
        <v>0</v>
      </c>
      <c r="CCC4">
        <v>0</v>
      </c>
      <c r="CCD4">
        <v>0</v>
      </c>
      <c r="CCE4">
        <v>0</v>
      </c>
      <c r="CCF4">
        <v>0</v>
      </c>
      <c r="CCG4">
        <v>0</v>
      </c>
      <c r="CCH4">
        <v>0</v>
      </c>
      <c r="CCI4">
        <v>0</v>
      </c>
      <c r="CCJ4">
        <v>60</v>
      </c>
      <c r="CCK4">
        <v>60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0</v>
      </c>
      <c r="CCU4">
        <v>0</v>
      </c>
      <c r="CCV4">
        <v>0</v>
      </c>
      <c r="CCW4">
        <v>0</v>
      </c>
      <c r="CCX4">
        <v>0</v>
      </c>
      <c r="CCY4">
        <v>0</v>
      </c>
      <c r="CCZ4">
        <v>0</v>
      </c>
      <c r="CDA4">
        <v>0</v>
      </c>
      <c r="CDB4">
        <v>17</v>
      </c>
      <c r="CDC4">
        <v>61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62</v>
      </c>
      <c r="CDT4">
        <v>0</v>
      </c>
      <c r="CDU4">
        <v>0</v>
      </c>
      <c r="CDV4">
        <v>0</v>
      </c>
      <c r="CDW4">
        <v>0</v>
      </c>
      <c r="CDX4">
        <v>0</v>
      </c>
      <c r="CDY4">
        <v>0</v>
      </c>
      <c r="CDZ4">
        <v>0</v>
      </c>
      <c r="CEA4">
        <v>0</v>
      </c>
      <c r="CEB4">
        <v>0</v>
      </c>
      <c r="CEC4">
        <v>0</v>
      </c>
      <c r="CED4">
        <v>0</v>
      </c>
      <c r="CEE4">
        <v>0</v>
      </c>
      <c r="CEF4">
        <v>0</v>
      </c>
      <c r="CEG4">
        <v>63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0</v>
      </c>
      <c r="CER4">
        <v>0</v>
      </c>
      <c r="CES4">
        <v>0</v>
      </c>
      <c r="CET4">
        <v>0</v>
      </c>
      <c r="CEU4">
        <v>0</v>
      </c>
      <c r="CEV4">
        <v>0</v>
      </c>
      <c r="CEW4">
        <v>0</v>
      </c>
      <c r="CEX4">
        <v>0</v>
      </c>
      <c r="CEY4">
        <v>0</v>
      </c>
      <c r="CEZ4">
        <v>0</v>
      </c>
      <c r="CFA4">
        <v>0</v>
      </c>
      <c r="CFB4">
        <v>64</v>
      </c>
      <c r="CFC4">
        <v>64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0</v>
      </c>
      <c r="CFP4">
        <v>0</v>
      </c>
      <c r="CFQ4">
        <v>0</v>
      </c>
      <c r="CFR4">
        <v>0</v>
      </c>
      <c r="CFS4">
        <v>56.99</v>
      </c>
      <c r="CFT4">
        <v>0</v>
      </c>
      <c r="CFU4">
        <v>0</v>
      </c>
      <c r="CFV4">
        <v>0</v>
      </c>
      <c r="CFW4">
        <v>0</v>
      </c>
      <c r="CFX4">
        <v>42</v>
      </c>
      <c r="CFY4">
        <v>8</v>
      </c>
      <c r="CFZ4">
        <v>0</v>
      </c>
      <c r="CGA4">
        <v>0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0</v>
      </c>
      <c r="CGM4">
        <v>0</v>
      </c>
      <c r="CGN4">
        <v>0</v>
      </c>
      <c r="CGO4">
        <v>0</v>
      </c>
      <c r="CGP4">
        <v>0</v>
      </c>
      <c r="CGQ4">
        <v>0</v>
      </c>
      <c r="CGR4">
        <v>0</v>
      </c>
      <c r="CGS4">
        <v>0</v>
      </c>
      <c r="CGT4">
        <v>0</v>
      </c>
      <c r="CGU4">
        <v>0</v>
      </c>
      <c r="CGV4">
        <v>0</v>
      </c>
      <c r="CGW4">
        <v>0</v>
      </c>
      <c r="CGX4">
        <v>0</v>
      </c>
      <c r="CGY4">
        <v>0</v>
      </c>
      <c r="CGZ4">
        <v>0</v>
      </c>
      <c r="CHA4">
        <v>0</v>
      </c>
      <c r="CHB4">
        <v>0</v>
      </c>
      <c r="CHC4">
        <v>0</v>
      </c>
      <c r="CHD4">
        <v>0</v>
      </c>
      <c r="CHE4">
        <v>0</v>
      </c>
      <c r="CHF4">
        <v>0</v>
      </c>
      <c r="CHG4">
        <v>0</v>
      </c>
      <c r="CHH4">
        <v>67</v>
      </c>
      <c r="CHI4">
        <v>43</v>
      </c>
      <c r="CHJ4">
        <v>0</v>
      </c>
      <c r="CHK4">
        <v>0</v>
      </c>
      <c r="CHL4">
        <v>0</v>
      </c>
      <c r="CHM4">
        <v>0</v>
      </c>
      <c r="CHN4">
        <v>0</v>
      </c>
      <c r="CHO4">
        <v>0</v>
      </c>
      <c r="CHP4">
        <v>0</v>
      </c>
      <c r="CHQ4">
        <v>0</v>
      </c>
      <c r="CHR4">
        <v>0</v>
      </c>
      <c r="CHS4">
        <v>0</v>
      </c>
      <c r="CHT4">
        <v>0</v>
      </c>
      <c r="CHU4">
        <v>0</v>
      </c>
      <c r="CHV4">
        <v>0</v>
      </c>
      <c r="CHW4">
        <v>0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20</v>
      </c>
      <c r="CIE4">
        <v>68</v>
      </c>
      <c r="CIF4">
        <v>14</v>
      </c>
      <c r="CIG4">
        <v>68</v>
      </c>
      <c r="CIH4">
        <v>0</v>
      </c>
      <c r="CII4">
        <v>0</v>
      </c>
      <c r="CIJ4">
        <v>0</v>
      </c>
      <c r="CIK4">
        <v>0</v>
      </c>
      <c r="CIL4">
        <v>0</v>
      </c>
      <c r="CIM4">
        <v>0</v>
      </c>
      <c r="CIN4">
        <v>0</v>
      </c>
      <c r="CIO4">
        <v>0</v>
      </c>
      <c r="CIP4">
        <v>0</v>
      </c>
      <c r="CIQ4">
        <v>0</v>
      </c>
      <c r="CIR4">
        <v>53.99</v>
      </c>
      <c r="CIS4">
        <v>68.989999999999995</v>
      </c>
      <c r="CIT4">
        <v>0</v>
      </c>
      <c r="CIU4">
        <v>0</v>
      </c>
      <c r="CIV4">
        <v>0</v>
      </c>
      <c r="CIW4">
        <v>0</v>
      </c>
      <c r="CIX4">
        <v>69</v>
      </c>
      <c r="CIY4">
        <v>35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0</v>
      </c>
      <c r="CJG4">
        <v>0</v>
      </c>
      <c r="CJH4">
        <v>0</v>
      </c>
      <c r="CJI4">
        <v>0</v>
      </c>
      <c r="CJJ4">
        <v>0</v>
      </c>
      <c r="CJK4">
        <v>0</v>
      </c>
      <c r="CJL4">
        <v>0</v>
      </c>
      <c r="CJM4">
        <v>0</v>
      </c>
      <c r="CJN4">
        <v>0</v>
      </c>
      <c r="CJO4">
        <v>0</v>
      </c>
      <c r="CJP4">
        <v>0</v>
      </c>
      <c r="CJQ4">
        <v>0</v>
      </c>
      <c r="CJR4">
        <v>0</v>
      </c>
      <c r="CJS4">
        <v>0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0</v>
      </c>
      <c r="CKE4">
        <v>0</v>
      </c>
      <c r="CKF4">
        <v>0</v>
      </c>
      <c r="CKG4">
        <v>0</v>
      </c>
      <c r="CKH4">
        <v>0</v>
      </c>
      <c r="CKI4">
        <v>0</v>
      </c>
      <c r="CKJ4">
        <v>0</v>
      </c>
      <c r="CKK4">
        <v>0</v>
      </c>
      <c r="CKL4">
        <v>0</v>
      </c>
      <c r="CKM4">
        <v>0</v>
      </c>
      <c r="CKN4">
        <v>0</v>
      </c>
      <c r="CKO4">
        <v>0</v>
      </c>
      <c r="CKP4">
        <v>0</v>
      </c>
      <c r="CKQ4">
        <v>0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72</v>
      </c>
      <c r="CKZ4">
        <v>72</v>
      </c>
      <c r="CLA4">
        <v>0</v>
      </c>
      <c r="CLB4">
        <v>0</v>
      </c>
      <c r="CLC4">
        <v>0</v>
      </c>
      <c r="CLD4">
        <v>0</v>
      </c>
      <c r="CLE4">
        <v>0</v>
      </c>
      <c r="CLF4">
        <v>0</v>
      </c>
      <c r="CLG4">
        <v>0</v>
      </c>
      <c r="CLH4">
        <v>0</v>
      </c>
      <c r="CLI4">
        <v>0</v>
      </c>
      <c r="CLJ4">
        <v>0</v>
      </c>
      <c r="CLK4">
        <v>0</v>
      </c>
      <c r="CLL4">
        <v>0</v>
      </c>
      <c r="CLM4">
        <v>0</v>
      </c>
      <c r="CLN4">
        <v>0</v>
      </c>
      <c r="CLO4">
        <v>0</v>
      </c>
      <c r="CLP4">
        <v>0</v>
      </c>
      <c r="CLQ4">
        <v>73.989999999999995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0</v>
      </c>
      <c r="CMB4">
        <v>0</v>
      </c>
      <c r="CMC4">
        <v>0</v>
      </c>
      <c r="CMD4">
        <v>0</v>
      </c>
      <c r="CME4">
        <v>0</v>
      </c>
      <c r="CMF4">
        <v>0</v>
      </c>
      <c r="CMG4">
        <v>0</v>
      </c>
      <c r="CMH4">
        <v>0</v>
      </c>
      <c r="CMI4">
        <v>0</v>
      </c>
      <c r="CMJ4">
        <v>0</v>
      </c>
      <c r="CMK4">
        <v>0</v>
      </c>
      <c r="CML4">
        <v>75</v>
      </c>
      <c r="CMM4">
        <v>0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20</v>
      </c>
      <c r="CMW4">
        <v>0</v>
      </c>
      <c r="CMX4">
        <v>0</v>
      </c>
      <c r="CMY4">
        <v>0</v>
      </c>
      <c r="CMZ4">
        <v>0</v>
      </c>
      <c r="CNA4">
        <v>0</v>
      </c>
      <c r="CNB4">
        <v>76.989999999999995</v>
      </c>
      <c r="CNC4">
        <v>0</v>
      </c>
      <c r="CND4">
        <v>0</v>
      </c>
      <c r="CNE4">
        <v>40</v>
      </c>
      <c r="CNF4">
        <v>29</v>
      </c>
      <c r="CNG4">
        <v>77</v>
      </c>
      <c r="CNH4">
        <v>77</v>
      </c>
      <c r="CNI4">
        <v>0</v>
      </c>
      <c r="CNJ4">
        <v>0</v>
      </c>
      <c r="CNK4">
        <v>0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78</v>
      </c>
      <c r="CNX4">
        <v>56</v>
      </c>
      <c r="CNY4">
        <v>78</v>
      </c>
      <c r="CNZ4">
        <v>0</v>
      </c>
      <c r="COA4">
        <v>0</v>
      </c>
      <c r="COB4">
        <v>0</v>
      </c>
      <c r="COC4">
        <v>0</v>
      </c>
      <c r="COD4">
        <v>0</v>
      </c>
      <c r="COE4">
        <v>0</v>
      </c>
      <c r="COF4">
        <v>0</v>
      </c>
      <c r="COG4">
        <v>0</v>
      </c>
      <c r="COH4">
        <v>0</v>
      </c>
      <c r="COI4">
        <v>78.989999999999995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0</v>
      </c>
      <c r="COV4">
        <v>0</v>
      </c>
      <c r="COW4">
        <v>0</v>
      </c>
      <c r="COX4">
        <v>0</v>
      </c>
      <c r="COY4">
        <v>0</v>
      </c>
      <c r="COZ4">
        <v>0</v>
      </c>
      <c r="CPA4">
        <v>0</v>
      </c>
      <c r="CPB4">
        <v>0</v>
      </c>
      <c r="CPC4">
        <v>0</v>
      </c>
      <c r="CPD4">
        <v>0</v>
      </c>
      <c r="CPE4">
        <v>0</v>
      </c>
      <c r="CPF4">
        <v>49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0</v>
      </c>
      <c r="CPU4">
        <v>0</v>
      </c>
      <c r="CPV4">
        <v>0</v>
      </c>
      <c r="CPW4">
        <v>6</v>
      </c>
      <c r="CPX4">
        <v>83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0</v>
      </c>
      <c r="CQF4">
        <v>0</v>
      </c>
      <c r="CQG4">
        <v>0</v>
      </c>
      <c r="CQH4">
        <v>0</v>
      </c>
      <c r="CQI4">
        <v>0</v>
      </c>
      <c r="CQJ4">
        <v>0</v>
      </c>
      <c r="CQK4">
        <v>0</v>
      </c>
      <c r="CQL4">
        <v>0</v>
      </c>
      <c r="CQM4">
        <v>84.99</v>
      </c>
      <c r="CQN4">
        <v>0</v>
      </c>
      <c r="CQO4">
        <v>0</v>
      </c>
      <c r="CQP4">
        <v>0</v>
      </c>
      <c r="CQQ4">
        <v>0</v>
      </c>
      <c r="CQR4">
        <v>0</v>
      </c>
      <c r="CQS4">
        <v>0</v>
      </c>
      <c r="CQT4">
        <v>0</v>
      </c>
      <c r="CQU4">
        <v>85</v>
      </c>
      <c r="CQV4">
        <v>0</v>
      </c>
      <c r="CQW4">
        <v>0</v>
      </c>
      <c r="CQX4">
        <v>0</v>
      </c>
      <c r="CQY4">
        <v>0</v>
      </c>
      <c r="CQZ4">
        <v>0</v>
      </c>
      <c r="CRA4">
        <v>30</v>
      </c>
      <c r="CRB4">
        <v>25</v>
      </c>
      <c r="CRC4">
        <v>0</v>
      </c>
      <c r="CRD4">
        <v>0</v>
      </c>
      <c r="CRE4">
        <v>0</v>
      </c>
      <c r="CRF4">
        <v>0</v>
      </c>
      <c r="CRG4">
        <v>0</v>
      </c>
      <c r="CRH4">
        <v>15.99</v>
      </c>
      <c r="CRI4">
        <v>0</v>
      </c>
      <c r="CRJ4">
        <v>0</v>
      </c>
      <c r="CRK4">
        <v>41</v>
      </c>
      <c r="CRL4">
        <v>0</v>
      </c>
      <c r="CRM4">
        <v>0</v>
      </c>
      <c r="CRN4">
        <v>0</v>
      </c>
      <c r="CRO4">
        <v>0</v>
      </c>
      <c r="CRP4">
        <v>0</v>
      </c>
      <c r="CRQ4">
        <v>0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26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28</v>
      </c>
      <c r="CSG4">
        <v>0</v>
      </c>
      <c r="CSH4">
        <v>0</v>
      </c>
      <c r="CSI4">
        <v>0</v>
      </c>
      <c r="CSJ4">
        <v>26</v>
      </c>
      <c r="CSK4">
        <v>8</v>
      </c>
      <c r="CSL4">
        <v>0</v>
      </c>
      <c r="CSM4">
        <v>0</v>
      </c>
      <c r="CSN4">
        <v>0</v>
      </c>
      <c r="CSO4">
        <v>0</v>
      </c>
      <c r="CSP4">
        <v>0</v>
      </c>
      <c r="CSQ4">
        <v>0</v>
      </c>
      <c r="CSR4">
        <v>0</v>
      </c>
      <c r="CSS4">
        <v>0</v>
      </c>
      <c r="CST4">
        <v>0</v>
      </c>
      <c r="CSU4">
        <v>32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90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90.99</v>
      </c>
      <c r="CTI4">
        <v>0</v>
      </c>
      <c r="CTJ4">
        <v>0</v>
      </c>
      <c r="CTK4">
        <v>0</v>
      </c>
      <c r="CTL4">
        <v>0</v>
      </c>
      <c r="CTM4">
        <v>65</v>
      </c>
      <c r="CTN4">
        <v>0</v>
      </c>
      <c r="CTO4">
        <v>0</v>
      </c>
      <c r="CTP4">
        <v>0</v>
      </c>
      <c r="CTQ4">
        <v>0</v>
      </c>
      <c r="CTR4">
        <v>0</v>
      </c>
      <c r="CTS4">
        <v>75.989999999999995</v>
      </c>
      <c r="CTT4">
        <v>0</v>
      </c>
      <c r="CTU4">
        <v>0</v>
      </c>
      <c r="CTV4">
        <v>0</v>
      </c>
      <c r="CTW4">
        <v>0</v>
      </c>
      <c r="CTX4">
        <v>0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93</v>
      </c>
      <c r="CUE4">
        <v>8</v>
      </c>
      <c r="CUF4">
        <v>0</v>
      </c>
      <c r="CUG4">
        <v>0</v>
      </c>
      <c r="CUH4">
        <v>0</v>
      </c>
      <c r="CUI4">
        <v>22</v>
      </c>
      <c r="CUJ4">
        <v>0</v>
      </c>
      <c r="CUK4">
        <v>0</v>
      </c>
      <c r="CUL4">
        <v>0</v>
      </c>
      <c r="CUM4">
        <v>0</v>
      </c>
      <c r="CUN4">
        <v>0</v>
      </c>
      <c r="CUO4">
        <v>0</v>
      </c>
      <c r="CUP4">
        <v>0</v>
      </c>
      <c r="CUQ4">
        <v>0</v>
      </c>
      <c r="CUR4">
        <v>0</v>
      </c>
      <c r="CUS4">
        <v>95</v>
      </c>
      <c r="CUT4">
        <v>24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0</v>
      </c>
      <c r="CVH4">
        <v>80.989999999999995</v>
      </c>
      <c r="CVI4">
        <v>0</v>
      </c>
      <c r="CVJ4">
        <v>0</v>
      </c>
      <c r="CVK4">
        <v>0</v>
      </c>
      <c r="CVL4">
        <v>54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0</v>
      </c>
      <c r="CWF4">
        <v>0</v>
      </c>
      <c r="CWG4">
        <v>0</v>
      </c>
      <c r="CWH4">
        <v>0</v>
      </c>
      <c r="CWI4">
        <v>0</v>
      </c>
      <c r="CWJ4">
        <v>0</v>
      </c>
      <c r="CWK4">
        <v>0</v>
      </c>
      <c r="CWL4">
        <v>0</v>
      </c>
      <c r="CWM4">
        <v>0</v>
      </c>
      <c r="CWN4">
        <v>0</v>
      </c>
      <c r="CWO4">
        <v>23</v>
      </c>
      <c r="CWP4">
        <v>99</v>
      </c>
      <c r="CWQ4">
        <v>99</v>
      </c>
      <c r="CWR4">
        <v>0</v>
      </c>
      <c r="CWS4">
        <v>0</v>
      </c>
      <c r="CWT4">
        <v>0</v>
      </c>
      <c r="CWU4">
        <v>0</v>
      </c>
      <c r="CWV4">
        <v>0</v>
      </c>
      <c r="CWW4">
        <v>0</v>
      </c>
      <c r="CWX4">
        <v>0</v>
      </c>
      <c r="CWY4">
        <v>0</v>
      </c>
      <c r="CWZ4">
        <v>0</v>
      </c>
      <c r="CXA4">
        <v>0</v>
      </c>
      <c r="CXB4">
        <v>6</v>
      </c>
      <c r="CXC4">
        <v>100</v>
      </c>
      <c r="CXD4">
        <v>0</v>
      </c>
      <c r="CXE4">
        <v>0</v>
      </c>
      <c r="CXF4">
        <v>0</v>
      </c>
      <c r="CXG4">
        <v>0</v>
      </c>
      <c r="CXH4">
        <v>0</v>
      </c>
      <c r="CXI4">
        <v>0</v>
      </c>
      <c r="CXJ4">
        <v>0</v>
      </c>
      <c r="CXK4">
        <v>0</v>
      </c>
      <c r="CXL4">
        <v>0</v>
      </c>
      <c r="CXM4">
        <v>33</v>
      </c>
      <c r="CXN4">
        <v>0</v>
      </c>
      <c r="CXO4">
        <v>58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0</v>
      </c>
      <c r="CYB4">
        <v>0</v>
      </c>
      <c r="CYC4">
        <v>0</v>
      </c>
      <c r="CYD4">
        <v>0</v>
      </c>
      <c r="CYE4">
        <v>0</v>
      </c>
      <c r="CYF4">
        <v>0</v>
      </c>
      <c r="CYG4">
        <v>0</v>
      </c>
      <c r="CYH4">
        <v>0</v>
      </c>
      <c r="CYI4">
        <v>0</v>
      </c>
      <c r="CYJ4">
        <v>68</v>
      </c>
      <c r="CYK4">
        <v>5</v>
      </c>
      <c r="CYL4">
        <v>0</v>
      </c>
      <c r="CYM4">
        <v>0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8</v>
      </c>
      <c r="CYV4">
        <v>0</v>
      </c>
      <c r="CYW4">
        <v>0</v>
      </c>
      <c r="CYX4">
        <v>0</v>
      </c>
      <c r="CYY4">
        <v>0</v>
      </c>
      <c r="CYZ4">
        <v>0</v>
      </c>
      <c r="CZA4">
        <v>0</v>
      </c>
      <c r="CZB4">
        <v>0</v>
      </c>
      <c r="CZC4">
        <v>0</v>
      </c>
      <c r="CZD4">
        <v>0</v>
      </c>
      <c r="CZE4">
        <v>0</v>
      </c>
      <c r="CZF4">
        <v>0</v>
      </c>
      <c r="CZG4">
        <v>68</v>
      </c>
      <c r="CZH4">
        <v>0</v>
      </c>
      <c r="CZI4">
        <v>0</v>
      </c>
      <c r="CZJ4">
        <v>0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83.99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0</v>
      </c>
      <c r="CZX4">
        <v>0</v>
      </c>
      <c r="CZY4">
        <v>0</v>
      </c>
      <c r="CZZ4">
        <v>0</v>
      </c>
      <c r="DAA4">
        <v>0</v>
      </c>
      <c r="DAB4">
        <v>0</v>
      </c>
      <c r="DAC4">
        <v>41</v>
      </c>
      <c r="DAD4">
        <v>107</v>
      </c>
      <c r="DAE4">
        <v>0</v>
      </c>
      <c r="DAF4">
        <v>0</v>
      </c>
      <c r="DAG4">
        <v>0</v>
      </c>
      <c r="DAH4">
        <v>0</v>
      </c>
      <c r="DAI4">
        <v>107.99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58</v>
      </c>
      <c r="DAP4">
        <v>108</v>
      </c>
      <c r="DAQ4">
        <v>0</v>
      </c>
      <c r="DAR4">
        <v>0</v>
      </c>
      <c r="DAS4">
        <v>0</v>
      </c>
      <c r="DAT4">
        <v>108.99</v>
      </c>
      <c r="DAU4">
        <v>0</v>
      </c>
      <c r="DAV4">
        <v>0</v>
      </c>
      <c r="DAW4">
        <v>109</v>
      </c>
      <c r="DAX4">
        <v>0</v>
      </c>
      <c r="DAY4">
        <v>0</v>
      </c>
      <c r="DAZ4">
        <v>0</v>
      </c>
      <c r="DBA4">
        <v>0</v>
      </c>
      <c r="DBB4">
        <v>0</v>
      </c>
      <c r="DBC4">
        <v>109.99</v>
      </c>
      <c r="DBD4">
        <v>0</v>
      </c>
      <c r="DBE4">
        <v>0</v>
      </c>
      <c r="DBF4">
        <v>0</v>
      </c>
      <c r="DBG4">
        <v>0</v>
      </c>
      <c r="DBH4">
        <v>0</v>
      </c>
      <c r="DBI4">
        <v>0</v>
      </c>
      <c r="DBJ4">
        <v>0</v>
      </c>
      <c r="DBK4">
        <v>0</v>
      </c>
      <c r="DBL4">
        <v>76.989999999999995</v>
      </c>
      <c r="DBM4">
        <v>0</v>
      </c>
      <c r="DBN4">
        <v>0</v>
      </c>
      <c r="DBO4">
        <v>0</v>
      </c>
      <c r="DBP4">
        <v>0</v>
      </c>
      <c r="DBQ4">
        <v>79</v>
      </c>
      <c r="DBR4">
        <v>0</v>
      </c>
      <c r="DBS4">
        <v>0</v>
      </c>
      <c r="DBT4">
        <v>0</v>
      </c>
      <c r="DBU4">
        <v>0</v>
      </c>
      <c r="DBV4">
        <v>41</v>
      </c>
      <c r="DBW4">
        <v>0</v>
      </c>
      <c r="DBX4">
        <v>0</v>
      </c>
      <c r="DBY4">
        <v>0</v>
      </c>
      <c r="DBZ4">
        <v>112</v>
      </c>
      <c r="DCA4">
        <v>0</v>
      </c>
      <c r="DCB4">
        <v>0</v>
      </c>
      <c r="DCC4">
        <v>0</v>
      </c>
      <c r="DCD4">
        <v>0</v>
      </c>
      <c r="DCE4">
        <v>0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41</v>
      </c>
      <c r="DCO4">
        <v>0</v>
      </c>
      <c r="DCP4">
        <v>0</v>
      </c>
      <c r="DCQ4">
        <v>0</v>
      </c>
      <c r="DCR4">
        <v>0</v>
      </c>
      <c r="DCS4">
        <v>0</v>
      </c>
      <c r="DCT4">
        <v>0</v>
      </c>
      <c r="DCU4">
        <v>0</v>
      </c>
      <c r="DCV4">
        <v>10</v>
      </c>
      <c r="DCW4">
        <v>0</v>
      </c>
      <c r="DCX4">
        <v>0</v>
      </c>
      <c r="DCY4">
        <v>0</v>
      </c>
      <c r="DCZ4">
        <v>0</v>
      </c>
      <c r="DDA4">
        <v>0</v>
      </c>
      <c r="DDB4">
        <v>0</v>
      </c>
      <c r="DDC4">
        <v>0</v>
      </c>
      <c r="DDD4">
        <v>0</v>
      </c>
      <c r="DDE4">
        <v>0</v>
      </c>
      <c r="DDF4">
        <v>12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0</v>
      </c>
      <c r="DDP4">
        <v>0</v>
      </c>
      <c r="DDQ4">
        <v>0</v>
      </c>
      <c r="DDR4">
        <v>0</v>
      </c>
      <c r="DDS4">
        <v>31</v>
      </c>
      <c r="DDT4">
        <v>117.99</v>
      </c>
      <c r="DDU4">
        <v>0</v>
      </c>
      <c r="DDV4">
        <v>0</v>
      </c>
      <c r="DDW4">
        <v>0</v>
      </c>
      <c r="DDX4">
        <v>0</v>
      </c>
      <c r="DDY4">
        <v>22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118.99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119</v>
      </c>
      <c r="DEM4">
        <v>0</v>
      </c>
      <c r="DEN4">
        <v>0</v>
      </c>
      <c r="DEO4">
        <v>43.99</v>
      </c>
      <c r="DEP4">
        <v>0</v>
      </c>
      <c r="DEQ4">
        <v>0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95</v>
      </c>
      <c r="DEX4">
        <v>0</v>
      </c>
      <c r="DEY4">
        <v>0</v>
      </c>
      <c r="DEZ4">
        <v>0</v>
      </c>
      <c r="DFA4">
        <v>0</v>
      </c>
      <c r="DFB4">
        <v>0</v>
      </c>
      <c r="DFC4">
        <v>9</v>
      </c>
      <c r="DFD4">
        <v>0</v>
      </c>
      <c r="DFE4">
        <v>0</v>
      </c>
      <c r="DFF4">
        <v>23</v>
      </c>
      <c r="DFG4">
        <v>0</v>
      </c>
      <c r="DFH4">
        <v>0</v>
      </c>
      <c r="DFI4">
        <v>0</v>
      </c>
      <c r="DFJ4">
        <v>0</v>
      </c>
      <c r="DFK4">
        <v>0</v>
      </c>
      <c r="DFL4">
        <v>19</v>
      </c>
      <c r="DFM4">
        <v>0</v>
      </c>
      <c r="DFN4">
        <v>0</v>
      </c>
      <c r="DFO4">
        <v>89.99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0</v>
      </c>
      <c r="DFW4">
        <v>18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125</v>
      </c>
      <c r="DGE4">
        <v>0</v>
      </c>
      <c r="DGF4">
        <v>0</v>
      </c>
      <c r="DGG4">
        <v>0</v>
      </c>
      <c r="DGH4">
        <v>0</v>
      </c>
      <c r="DGI4">
        <v>0</v>
      </c>
      <c r="DGJ4">
        <v>0</v>
      </c>
      <c r="DGK4">
        <v>0</v>
      </c>
      <c r="DGL4">
        <v>0</v>
      </c>
      <c r="DGM4">
        <v>0</v>
      </c>
      <c r="DGN4">
        <v>0</v>
      </c>
      <c r="DGO4">
        <v>0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0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6</v>
      </c>
      <c r="DHC4">
        <v>0</v>
      </c>
      <c r="DHD4">
        <v>0</v>
      </c>
      <c r="DHE4">
        <v>0</v>
      </c>
      <c r="DHF4">
        <v>0</v>
      </c>
      <c r="DHG4">
        <v>0</v>
      </c>
      <c r="DHH4">
        <v>0</v>
      </c>
      <c r="DHI4">
        <v>0</v>
      </c>
      <c r="DHJ4">
        <v>0</v>
      </c>
      <c r="DHK4">
        <v>0</v>
      </c>
      <c r="DHL4">
        <v>0</v>
      </c>
      <c r="DHM4">
        <v>0</v>
      </c>
      <c r="DHN4">
        <v>0</v>
      </c>
      <c r="DHO4">
        <v>0</v>
      </c>
      <c r="DHP4">
        <v>0</v>
      </c>
      <c r="DHQ4">
        <v>0</v>
      </c>
      <c r="DHR4">
        <v>0</v>
      </c>
      <c r="DHS4">
        <v>0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130.99</v>
      </c>
      <c r="DID4">
        <v>0</v>
      </c>
      <c r="DIE4">
        <v>0</v>
      </c>
      <c r="DIF4">
        <v>0</v>
      </c>
      <c r="DIG4">
        <v>0</v>
      </c>
      <c r="DIH4">
        <v>0</v>
      </c>
      <c r="DII4">
        <v>0</v>
      </c>
      <c r="DIJ4">
        <v>0</v>
      </c>
      <c r="DIK4">
        <v>0</v>
      </c>
      <c r="DIL4">
        <v>0</v>
      </c>
      <c r="DIM4">
        <v>0</v>
      </c>
      <c r="DIN4">
        <v>0</v>
      </c>
      <c r="DIO4">
        <v>0</v>
      </c>
      <c r="DIP4">
        <v>0</v>
      </c>
      <c r="DIQ4">
        <v>0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0</v>
      </c>
      <c r="DJD4">
        <v>0</v>
      </c>
      <c r="DJE4">
        <v>0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L4">
        <v>0</v>
      </c>
      <c r="DJM4">
        <v>4</v>
      </c>
      <c r="DJN4">
        <v>0</v>
      </c>
      <c r="DJO4">
        <v>0</v>
      </c>
      <c r="DJP4">
        <v>0</v>
      </c>
      <c r="DJQ4">
        <v>0</v>
      </c>
      <c r="DJR4">
        <v>34</v>
      </c>
      <c r="DJS4">
        <v>135.99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0</v>
      </c>
      <c r="DKB4">
        <v>0</v>
      </c>
      <c r="DKC4">
        <v>136.97999999999999</v>
      </c>
      <c r="DKD4">
        <v>0</v>
      </c>
      <c r="DKE4">
        <v>0</v>
      </c>
      <c r="DKF4">
        <v>0</v>
      </c>
      <c r="DKG4">
        <v>0</v>
      </c>
      <c r="DKH4">
        <v>0</v>
      </c>
      <c r="DKI4">
        <v>0</v>
      </c>
      <c r="DKJ4">
        <v>21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138.99</v>
      </c>
      <c r="DKR4">
        <v>0</v>
      </c>
      <c r="DKS4">
        <v>0</v>
      </c>
      <c r="DKT4">
        <v>2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0</v>
      </c>
      <c r="DLA4">
        <v>0</v>
      </c>
      <c r="DLB4">
        <v>0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141.99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94.99</v>
      </c>
      <c r="DLV4">
        <v>0</v>
      </c>
      <c r="DLW4">
        <v>0</v>
      </c>
      <c r="DLX4">
        <v>0</v>
      </c>
      <c r="DLY4">
        <v>0</v>
      </c>
      <c r="DLZ4">
        <v>0</v>
      </c>
      <c r="DMA4">
        <v>0</v>
      </c>
      <c r="DMB4">
        <v>0</v>
      </c>
      <c r="DMC4">
        <v>0</v>
      </c>
      <c r="DMD4">
        <v>0</v>
      </c>
      <c r="DME4">
        <v>0</v>
      </c>
      <c r="DMF4">
        <v>0</v>
      </c>
      <c r="DMG4">
        <v>0</v>
      </c>
      <c r="DMH4">
        <v>0</v>
      </c>
      <c r="DMI4">
        <v>0</v>
      </c>
      <c r="DMJ4">
        <v>77.989999999999995</v>
      </c>
      <c r="DMK4">
        <v>0</v>
      </c>
      <c r="DML4">
        <v>0</v>
      </c>
      <c r="DMM4">
        <v>0</v>
      </c>
      <c r="DMN4">
        <v>37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0</v>
      </c>
      <c r="DMV4">
        <v>0</v>
      </c>
      <c r="DMW4">
        <v>0</v>
      </c>
      <c r="DMX4">
        <v>0</v>
      </c>
      <c r="DMY4">
        <v>0</v>
      </c>
      <c r="DMZ4">
        <v>0</v>
      </c>
      <c r="DNA4">
        <v>0</v>
      </c>
      <c r="DNB4">
        <v>0</v>
      </c>
      <c r="DNC4">
        <v>0</v>
      </c>
      <c r="DND4">
        <v>0</v>
      </c>
      <c r="DNE4">
        <v>0</v>
      </c>
      <c r="DNF4">
        <v>0</v>
      </c>
      <c r="DNG4">
        <v>0</v>
      </c>
      <c r="DNH4">
        <v>0</v>
      </c>
      <c r="DNI4">
        <v>0</v>
      </c>
      <c r="DNJ4">
        <v>20</v>
      </c>
      <c r="DNK4">
        <v>149.99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0</v>
      </c>
      <c r="DNT4">
        <v>150.99</v>
      </c>
      <c r="DNU4">
        <v>0</v>
      </c>
      <c r="DNV4">
        <v>0</v>
      </c>
      <c r="DNW4">
        <v>0</v>
      </c>
      <c r="DNX4">
        <v>0</v>
      </c>
      <c r="DNY4">
        <v>93</v>
      </c>
      <c r="DNZ4">
        <v>0</v>
      </c>
      <c r="DOA4">
        <v>0</v>
      </c>
      <c r="DOB4">
        <v>0</v>
      </c>
      <c r="DOC4">
        <v>0</v>
      </c>
      <c r="DOD4">
        <v>0</v>
      </c>
      <c r="DOE4">
        <v>0</v>
      </c>
      <c r="DOF4">
        <v>0</v>
      </c>
      <c r="DOG4">
        <v>0</v>
      </c>
      <c r="DOH4">
        <v>0</v>
      </c>
      <c r="DOI4">
        <v>0</v>
      </c>
      <c r="DOJ4">
        <v>0</v>
      </c>
      <c r="DOK4">
        <v>0</v>
      </c>
      <c r="DOL4">
        <v>18</v>
      </c>
      <c r="DOM4">
        <v>0</v>
      </c>
      <c r="DON4">
        <v>0</v>
      </c>
      <c r="DOO4">
        <v>0</v>
      </c>
      <c r="DOP4">
        <v>0</v>
      </c>
      <c r="DOQ4">
        <v>0</v>
      </c>
      <c r="DOR4">
        <v>0</v>
      </c>
      <c r="DOS4">
        <v>0</v>
      </c>
      <c r="DOT4">
        <v>0</v>
      </c>
      <c r="DOU4">
        <v>0</v>
      </c>
      <c r="DOV4">
        <v>0</v>
      </c>
      <c r="DOW4">
        <v>0</v>
      </c>
      <c r="DOX4">
        <v>0</v>
      </c>
      <c r="DOY4">
        <v>0</v>
      </c>
      <c r="DOZ4">
        <v>0</v>
      </c>
      <c r="DPA4">
        <v>0</v>
      </c>
      <c r="DPB4">
        <v>0</v>
      </c>
      <c r="DPC4">
        <v>0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0</v>
      </c>
      <c r="DPP4">
        <v>0</v>
      </c>
      <c r="DPQ4">
        <v>0</v>
      </c>
      <c r="DPR4">
        <v>0</v>
      </c>
      <c r="DPS4">
        <v>0</v>
      </c>
      <c r="DPT4">
        <v>0</v>
      </c>
      <c r="DPU4">
        <v>0</v>
      </c>
      <c r="DPV4">
        <v>0</v>
      </c>
      <c r="DPW4">
        <v>0</v>
      </c>
      <c r="DPX4">
        <v>0</v>
      </c>
      <c r="DPY4">
        <v>0</v>
      </c>
      <c r="DPZ4">
        <v>0</v>
      </c>
      <c r="DQA4">
        <v>0</v>
      </c>
      <c r="DQB4">
        <v>0</v>
      </c>
      <c r="DQC4">
        <v>0</v>
      </c>
      <c r="DQD4">
        <v>0</v>
      </c>
      <c r="DQE4">
        <v>162.99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36</v>
      </c>
      <c r="DQN4">
        <v>0</v>
      </c>
      <c r="DQO4">
        <v>0</v>
      </c>
      <c r="DQP4">
        <v>14</v>
      </c>
      <c r="DQQ4">
        <v>0</v>
      </c>
      <c r="DQR4">
        <v>0</v>
      </c>
      <c r="DQS4">
        <v>0</v>
      </c>
      <c r="DQT4">
        <v>0</v>
      </c>
      <c r="DQU4">
        <v>0</v>
      </c>
      <c r="DQV4">
        <v>0</v>
      </c>
      <c r="DQW4">
        <v>0</v>
      </c>
      <c r="DQX4">
        <v>0</v>
      </c>
      <c r="DQY4">
        <v>0</v>
      </c>
      <c r="DQZ4">
        <v>0</v>
      </c>
      <c r="DRA4">
        <v>0</v>
      </c>
      <c r="DRB4">
        <v>0</v>
      </c>
      <c r="DRC4">
        <v>56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137</v>
      </c>
      <c r="DRK4">
        <v>0</v>
      </c>
      <c r="DRL4">
        <v>28</v>
      </c>
      <c r="DRM4">
        <v>0</v>
      </c>
      <c r="DRN4">
        <v>0</v>
      </c>
      <c r="DRO4">
        <v>0</v>
      </c>
      <c r="DRP4">
        <v>0</v>
      </c>
      <c r="DRQ4">
        <v>0</v>
      </c>
      <c r="DRR4">
        <v>0</v>
      </c>
      <c r="DRS4">
        <v>0</v>
      </c>
      <c r="DRT4">
        <v>171</v>
      </c>
      <c r="DRU4">
        <v>0</v>
      </c>
      <c r="DRV4">
        <v>0</v>
      </c>
      <c r="DRW4">
        <v>21</v>
      </c>
      <c r="DRX4">
        <v>37</v>
      </c>
      <c r="DRY4">
        <v>0</v>
      </c>
      <c r="DRZ4">
        <v>4</v>
      </c>
      <c r="DSA4">
        <v>0</v>
      </c>
      <c r="DSB4">
        <v>0</v>
      </c>
      <c r="DSC4">
        <v>0</v>
      </c>
      <c r="DSD4">
        <v>0</v>
      </c>
      <c r="DSE4">
        <v>0</v>
      </c>
      <c r="DSF4">
        <v>0</v>
      </c>
      <c r="DSG4">
        <v>0</v>
      </c>
      <c r="DSH4">
        <v>0</v>
      </c>
      <c r="DSI4">
        <v>0</v>
      </c>
      <c r="DSJ4">
        <v>0</v>
      </c>
      <c r="DSK4">
        <v>0</v>
      </c>
      <c r="DSL4">
        <v>0</v>
      </c>
      <c r="DSM4">
        <v>0</v>
      </c>
      <c r="DSN4">
        <v>0</v>
      </c>
      <c r="DSO4">
        <v>26</v>
      </c>
      <c r="DSP4">
        <v>56</v>
      </c>
      <c r="DSQ4">
        <v>0</v>
      </c>
      <c r="DSR4">
        <v>0</v>
      </c>
      <c r="DSS4">
        <v>0</v>
      </c>
      <c r="DST4">
        <v>0</v>
      </c>
      <c r="DSU4">
        <v>0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175.99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0</v>
      </c>
      <c r="DTH4">
        <v>0</v>
      </c>
      <c r="DTI4">
        <v>0</v>
      </c>
      <c r="DTJ4">
        <v>178.99</v>
      </c>
      <c r="DTK4">
        <v>0</v>
      </c>
      <c r="DTL4">
        <v>0</v>
      </c>
      <c r="DTM4">
        <v>24</v>
      </c>
      <c r="DTN4">
        <v>0</v>
      </c>
      <c r="DTO4">
        <v>0</v>
      </c>
      <c r="DTP4">
        <v>16</v>
      </c>
      <c r="DTQ4">
        <v>0</v>
      </c>
      <c r="DTR4">
        <v>0</v>
      </c>
      <c r="DTS4">
        <v>0</v>
      </c>
      <c r="DTT4">
        <v>22</v>
      </c>
      <c r="DTU4">
        <v>0</v>
      </c>
      <c r="DTV4">
        <v>0</v>
      </c>
      <c r="DTW4">
        <v>0</v>
      </c>
      <c r="DTX4">
        <v>22</v>
      </c>
      <c r="DTY4">
        <v>181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17</v>
      </c>
      <c r="DUF4">
        <v>0</v>
      </c>
      <c r="DUG4">
        <v>0</v>
      </c>
      <c r="DUH4">
        <v>0</v>
      </c>
      <c r="DUI4">
        <v>0</v>
      </c>
      <c r="DUJ4">
        <v>0</v>
      </c>
      <c r="DUK4">
        <v>90.99</v>
      </c>
      <c r="DUL4">
        <v>0</v>
      </c>
      <c r="DUM4">
        <v>0</v>
      </c>
      <c r="DUN4">
        <v>0</v>
      </c>
      <c r="DUO4">
        <v>0</v>
      </c>
      <c r="DUP4">
        <v>0</v>
      </c>
      <c r="DUQ4">
        <v>0</v>
      </c>
      <c r="DUR4">
        <v>0</v>
      </c>
      <c r="DUS4">
        <v>0</v>
      </c>
      <c r="DUT4">
        <v>0</v>
      </c>
      <c r="DUU4">
        <v>0</v>
      </c>
      <c r="DUV4">
        <v>98.99</v>
      </c>
      <c r="DUW4">
        <v>0</v>
      </c>
      <c r="DUX4">
        <v>0</v>
      </c>
      <c r="DUY4">
        <v>186</v>
      </c>
      <c r="DUZ4">
        <v>20</v>
      </c>
      <c r="DVA4">
        <v>0</v>
      </c>
      <c r="DVB4">
        <v>0</v>
      </c>
      <c r="DVC4">
        <v>0</v>
      </c>
      <c r="DVD4">
        <v>0</v>
      </c>
      <c r="DVE4">
        <v>0</v>
      </c>
      <c r="DVF4">
        <v>0</v>
      </c>
      <c r="DVG4">
        <v>0</v>
      </c>
      <c r="DVH4">
        <v>0</v>
      </c>
      <c r="DVI4">
        <v>0</v>
      </c>
      <c r="DVJ4">
        <v>0</v>
      </c>
      <c r="DVK4">
        <v>0</v>
      </c>
      <c r="DVL4">
        <v>0</v>
      </c>
      <c r="DVM4">
        <v>0</v>
      </c>
      <c r="DVN4">
        <v>0</v>
      </c>
      <c r="DVO4">
        <v>0</v>
      </c>
      <c r="DVP4">
        <v>0</v>
      </c>
      <c r="DVQ4">
        <v>0</v>
      </c>
      <c r="DVR4">
        <v>55</v>
      </c>
      <c r="DVS4">
        <v>0</v>
      </c>
      <c r="DVT4">
        <v>0</v>
      </c>
      <c r="DVU4">
        <v>0</v>
      </c>
      <c r="DVV4">
        <v>49</v>
      </c>
      <c r="DVW4">
        <v>0</v>
      </c>
      <c r="DVX4">
        <v>0</v>
      </c>
      <c r="DVY4">
        <v>0</v>
      </c>
      <c r="DVZ4">
        <v>0</v>
      </c>
      <c r="DWA4">
        <v>0</v>
      </c>
      <c r="DWB4">
        <v>0</v>
      </c>
      <c r="DWC4">
        <v>0</v>
      </c>
      <c r="DWD4">
        <v>51</v>
      </c>
      <c r="DWE4">
        <v>0</v>
      </c>
      <c r="DWF4">
        <v>0</v>
      </c>
      <c r="DWG4">
        <v>0</v>
      </c>
      <c r="DWH4">
        <v>0</v>
      </c>
      <c r="DWI4">
        <v>0</v>
      </c>
      <c r="DWJ4">
        <v>0</v>
      </c>
      <c r="DWK4">
        <v>0</v>
      </c>
      <c r="DWL4">
        <v>0</v>
      </c>
      <c r="DWM4">
        <v>0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200.99</v>
      </c>
      <c r="DWX4">
        <v>137</v>
      </c>
      <c r="DWY4">
        <v>200.99</v>
      </c>
      <c r="DWZ4">
        <v>0</v>
      </c>
      <c r="DXA4">
        <v>0</v>
      </c>
      <c r="DXB4">
        <v>0</v>
      </c>
      <c r="DXC4">
        <v>0</v>
      </c>
      <c r="DXD4">
        <v>0</v>
      </c>
      <c r="DXE4">
        <v>0</v>
      </c>
      <c r="DXF4">
        <v>0</v>
      </c>
      <c r="DXG4">
        <v>0</v>
      </c>
      <c r="DXH4">
        <v>0</v>
      </c>
      <c r="DXI4">
        <v>0</v>
      </c>
      <c r="DXJ4">
        <v>0</v>
      </c>
      <c r="DXK4">
        <v>0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56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0</v>
      </c>
      <c r="DXY4">
        <v>0</v>
      </c>
      <c r="DXZ4">
        <v>0</v>
      </c>
      <c r="DYA4">
        <v>95.99</v>
      </c>
      <c r="DYB4">
        <v>0</v>
      </c>
      <c r="DYC4">
        <v>0</v>
      </c>
      <c r="DYD4">
        <v>0</v>
      </c>
      <c r="DYE4">
        <v>0</v>
      </c>
      <c r="DYF4">
        <v>0</v>
      </c>
      <c r="DYG4">
        <v>0</v>
      </c>
      <c r="DYH4">
        <v>209</v>
      </c>
      <c r="DYI4">
        <v>0</v>
      </c>
      <c r="DYJ4">
        <v>0</v>
      </c>
      <c r="DYK4">
        <v>29</v>
      </c>
      <c r="DYL4">
        <v>210.96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74</v>
      </c>
      <c r="DYT4">
        <v>0</v>
      </c>
      <c r="DYU4">
        <v>212.99</v>
      </c>
      <c r="DYV4">
        <v>0</v>
      </c>
      <c r="DYW4">
        <v>0</v>
      </c>
      <c r="DYX4">
        <v>0</v>
      </c>
      <c r="DYY4">
        <v>0</v>
      </c>
      <c r="DYZ4">
        <v>0</v>
      </c>
      <c r="DZA4">
        <v>0</v>
      </c>
      <c r="DZB4">
        <v>40</v>
      </c>
      <c r="DZC4">
        <v>0</v>
      </c>
      <c r="DZD4">
        <v>0</v>
      </c>
      <c r="DZE4">
        <v>0</v>
      </c>
      <c r="DZF4">
        <v>0</v>
      </c>
      <c r="DZG4">
        <v>0</v>
      </c>
      <c r="DZH4">
        <v>0</v>
      </c>
      <c r="DZI4">
        <v>37</v>
      </c>
      <c r="DZJ4">
        <v>0</v>
      </c>
      <c r="DZK4">
        <v>0</v>
      </c>
      <c r="DZL4">
        <v>216.99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0</v>
      </c>
      <c r="DZT4">
        <v>0</v>
      </c>
      <c r="DZU4">
        <v>0</v>
      </c>
      <c r="DZV4">
        <v>0</v>
      </c>
      <c r="DZW4">
        <v>0</v>
      </c>
      <c r="DZX4">
        <v>0</v>
      </c>
      <c r="DZY4">
        <v>0</v>
      </c>
      <c r="DZZ4">
        <v>0</v>
      </c>
      <c r="EAA4">
        <v>0</v>
      </c>
      <c r="EAB4">
        <v>0</v>
      </c>
      <c r="EAC4">
        <v>0</v>
      </c>
      <c r="EAD4">
        <v>0</v>
      </c>
      <c r="EAE4">
        <v>12</v>
      </c>
      <c r="EAF4">
        <v>155</v>
      </c>
      <c r="EAG4">
        <v>0</v>
      </c>
      <c r="EAH4">
        <v>35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70</v>
      </c>
      <c r="EAP4">
        <v>0</v>
      </c>
      <c r="EAQ4">
        <v>0</v>
      </c>
      <c r="EAR4">
        <v>25</v>
      </c>
      <c r="EAS4">
        <v>0</v>
      </c>
      <c r="EAT4">
        <v>0</v>
      </c>
      <c r="EAU4">
        <v>0</v>
      </c>
      <c r="EAV4">
        <v>0</v>
      </c>
      <c r="EAW4">
        <v>7</v>
      </c>
      <c r="EAX4">
        <v>0</v>
      </c>
      <c r="EAY4">
        <v>91</v>
      </c>
      <c r="EAZ4">
        <v>0</v>
      </c>
      <c r="EBA4">
        <v>0</v>
      </c>
      <c r="EBB4">
        <v>0</v>
      </c>
      <c r="EBC4">
        <v>0</v>
      </c>
      <c r="EBD4">
        <v>0</v>
      </c>
      <c r="EBE4">
        <v>80</v>
      </c>
      <c r="EBF4">
        <v>0</v>
      </c>
      <c r="EBG4">
        <v>0</v>
      </c>
      <c r="EBH4">
        <v>0</v>
      </c>
      <c r="EBI4">
        <v>0</v>
      </c>
      <c r="EBJ4">
        <v>0</v>
      </c>
      <c r="EBK4">
        <v>0</v>
      </c>
      <c r="EBL4">
        <v>43.99</v>
      </c>
      <c r="EBM4">
        <v>0</v>
      </c>
      <c r="EBN4">
        <v>0</v>
      </c>
      <c r="EBO4">
        <v>0</v>
      </c>
      <c r="EBP4">
        <v>0</v>
      </c>
      <c r="EBQ4">
        <v>0</v>
      </c>
      <c r="EBR4">
        <v>40</v>
      </c>
      <c r="EBS4">
        <v>0</v>
      </c>
      <c r="EBT4">
        <v>0</v>
      </c>
      <c r="EBU4">
        <v>0</v>
      </c>
      <c r="EBV4">
        <v>0</v>
      </c>
      <c r="EBW4">
        <v>0</v>
      </c>
      <c r="EBX4">
        <v>0</v>
      </c>
      <c r="EBY4">
        <v>0</v>
      </c>
      <c r="EBZ4">
        <v>73</v>
      </c>
      <c r="ECA4">
        <v>0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41</v>
      </c>
      <c r="ECJ4">
        <v>0</v>
      </c>
      <c r="ECK4">
        <v>0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0</v>
      </c>
      <c r="ECR4">
        <v>0</v>
      </c>
      <c r="ECS4">
        <v>0</v>
      </c>
      <c r="ECT4">
        <v>0</v>
      </c>
      <c r="ECU4">
        <v>0</v>
      </c>
      <c r="ECV4">
        <v>0</v>
      </c>
      <c r="ECW4">
        <v>0</v>
      </c>
      <c r="ECX4">
        <v>15</v>
      </c>
      <c r="ECY4">
        <v>0</v>
      </c>
      <c r="ECZ4">
        <v>0</v>
      </c>
      <c r="EDA4">
        <v>0</v>
      </c>
      <c r="EDB4">
        <v>0</v>
      </c>
      <c r="EDC4">
        <v>42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0</v>
      </c>
      <c r="EDL4">
        <v>0</v>
      </c>
      <c r="EDM4">
        <v>0</v>
      </c>
      <c r="EDN4">
        <v>0</v>
      </c>
      <c r="EDO4">
        <v>0</v>
      </c>
      <c r="EDP4">
        <v>0</v>
      </c>
      <c r="EDQ4">
        <v>0</v>
      </c>
      <c r="EDR4">
        <v>0</v>
      </c>
      <c r="EDS4">
        <v>0</v>
      </c>
      <c r="EDT4">
        <v>0</v>
      </c>
      <c r="EDU4">
        <v>0</v>
      </c>
      <c r="EDV4">
        <v>0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0</v>
      </c>
      <c r="EEJ4">
        <v>0</v>
      </c>
      <c r="EEK4">
        <v>0</v>
      </c>
      <c r="EEL4">
        <v>0</v>
      </c>
      <c r="EEM4">
        <v>258.98</v>
      </c>
      <c r="EEN4">
        <v>0</v>
      </c>
      <c r="EEO4">
        <v>0</v>
      </c>
      <c r="EEP4">
        <v>253.99</v>
      </c>
      <c r="EEQ4">
        <v>0</v>
      </c>
      <c r="EER4">
        <v>0</v>
      </c>
      <c r="EES4">
        <v>0</v>
      </c>
      <c r="EET4">
        <v>0</v>
      </c>
      <c r="EEU4">
        <v>0</v>
      </c>
      <c r="EEV4">
        <v>0</v>
      </c>
      <c r="EEW4">
        <v>29.99</v>
      </c>
      <c r="EEX4">
        <v>0</v>
      </c>
      <c r="EEY4">
        <v>0</v>
      </c>
      <c r="EEZ4">
        <v>0</v>
      </c>
      <c r="EFA4">
        <v>0</v>
      </c>
      <c r="EFB4">
        <v>0</v>
      </c>
      <c r="EFC4">
        <v>0</v>
      </c>
      <c r="EFD4">
        <v>0</v>
      </c>
      <c r="EFE4">
        <v>0</v>
      </c>
      <c r="EFF4">
        <v>0</v>
      </c>
      <c r="EFG4">
        <v>0</v>
      </c>
      <c r="EFH4">
        <v>0</v>
      </c>
      <c r="EFI4">
        <v>0</v>
      </c>
      <c r="EFJ4">
        <v>0</v>
      </c>
      <c r="EFK4">
        <v>0</v>
      </c>
      <c r="EFL4">
        <v>0</v>
      </c>
      <c r="EFM4">
        <v>266</v>
      </c>
      <c r="EFN4">
        <v>0</v>
      </c>
      <c r="EFO4">
        <v>0</v>
      </c>
      <c r="EFP4">
        <v>67</v>
      </c>
      <c r="EFQ4">
        <v>0</v>
      </c>
      <c r="EFR4">
        <v>0</v>
      </c>
      <c r="EFS4">
        <v>0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0</v>
      </c>
      <c r="EGA4">
        <v>0</v>
      </c>
      <c r="EGB4">
        <v>0</v>
      </c>
      <c r="EGC4">
        <v>0</v>
      </c>
      <c r="EGD4">
        <v>0</v>
      </c>
      <c r="EGE4">
        <v>0</v>
      </c>
      <c r="EGF4">
        <v>0</v>
      </c>
      <c r="EGG4">
        <v>0</v>
      </c>
      <c r="EGH4">
        <v>159</v>
      </c>
      <c r="EGI4">
        <v>0</v>
      </c>
      <c r="EGJ4">
        <v>0</v>
      </c>
      <c r="EGK4">
        <v>0</v>
      </c>
      <c r="EGL4">
        <v>273.99</v>
      </c>
      <c r="EGM4">
        <v>0</v>
      </c>
      <c r="EGN4">
        <v>78</v>
      </c>
      <c r="EGO4">
        <v>0</v>
      </c>
      <c r="EGP4">
        <v>0</v>
      </c>
      <c r="EGQ4">
        <v>0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0</v>
      </c>
      <c r="EHA4">
        <v>0</v>
      </c>
      <c r="EHB4">
        <v>36</v>
      </c>
      <c r="EHC4">
        <v>0</v>
      </c>
      <c r="EHD4">
        <v>0</v>
      </c>
      <c r="EHE4">
        <v>283.99</v>
      </c>
      <c r="EHF4">
        <v>0</v>
      </c>
      <c r="EHG4">
        <v>0</v>
      </c>
      <c r="EHH4">
        <v>0</v>
      </c>
      <c r="EHI4">
        <v>105.99</v>
      </c>
      <c r="EHJ4">
        <v>33</v>
      </c>
      <c r="EHK4">
        <v>0</v>
      </c>
      <c r="EHL4">
        <v>0</v>
      </c>
      <c r="EHM4">
        <v>0</v>
      </c>
      <c r="EHN4">
        <v>0</v>
      </c>
      <c r="EHO4">
        <v>0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0</v>
      </c>
      <c r="EHV4">
        <v>0</v>
      </c>
      <c r="EHW4">
        <v>0</v>
      </c>
      <c r="EHX4">
        <v>0</v>
      </c>
      <c r="EHY4">
        <v>0</v>
      </c>
      <c r="EHZ4">
        <v>0</v>
      </c>
      <c r="EIA4">
        <v>0</v>
      </c>
      <c r="EIB4">
        <v>0</v>
      </c>
      <c r="EIC4">
        <v>25</v>
      </c>
      <c r="EID4">
        <v>0</v>
      </c>
      <c r="EIE4">
        <v>43.99</v>
      </c>
      <c r="EIF4">
        <v>0</v>
      </c>
      <c r="EIG4">
        <v>0</v>
      </c>
      <c r="EIH4">
        <v>0</v>
      </c>
      <c r="EII4">
        <v>117</v>
      </c>
      <c r="EIJ4">
        <v>0</v>
      </c>
      <c r="EIK4">
        <v>0</v>
      </c>
      <c r="EIL4">
        <v>0</v>
      </c>
      <c r="EIM4">
        <v>0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11.99</v>
      </c>
      <c r="EIV4">
        <v>8.99</v>
      </c>
      <c r="EIW4">
        <v>0</v>
      </c>
      <c r="EIX4">
        <v>169</v>
      </c>
      <c r="EIY4">
        <v>303.98</v>
      </c>
      <c r="EIZ4">
        <v>0</v>
      </c>
      <c r="EJA4">
        <v>0</v>
      </c>
      <c r="EJB4">
        <v>0</v>
      </c>
      <c r="EJC4">
        <v>0</v>
      </c>
      <c r="EJD4">
        <v>0</v>
      </c>
      <c r="EJE4">
        <v>16</v>
      </c>
      <c r="EJF4">
        <v>0</v>
      </c>
      <c r="EJG4">
        <v>0</v>
      </c>
      <c r="EJH4">
        <v>0</v>
      </c>
      <c r="EJI4">
        <v>0</v>
      </c>
      <c r="EJJ4">
        <v>0</v>
      </c>
      <c r="EJK4">
        <v>0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0</v>
      </c>
      <c r="EJX4">
        <v>0</v>
      </c>
      <c r="EJY4">
        <v>0</v>
      </c>
      <c r="EJZ4">
        <v>0</v>
      </c>
      <c r="EKA4">
        <v>0</v>
      </c>
      <c r="EKB4">
        <v>0</v>
      </c>
      <c r="EKC4">
        <v>70</v>
      </c>
      <c r="EKD4">
        <v>0</v>
      </c>
      <c r="EKE4">
        <v>0</v>
      </c>
      <c r="EKF4">
        <v>0</v>
      </c>
      <c r="EKG4">
        <v>138.99</v>
      </c>
      <c r="EKH4">
        <v>0</v>
      </c>
      <c r="EKI4">
        <v>0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34.99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0</v>
      </c>
      <c r="EKV4">
        <v>0</v>
      </c>
      <c r="EKW4">
        <v>0</v>
      </c>
      <c r="EKX4">
        <v>0</v>
      </c>
      <c r="EKY4">
        <v>325</v>
      </c>
      <c r="EKZ4">
        <v>0</v>
      </c>
      <c r="ELA4">
        <v>0</v>
      </c>
      <c r="ELB4">
        <v>0</v>
      </c>
      <c r="ELC4">
        <v>0</v>
      </c>
      <c r="ELD4">
        <v>0</v>
      </c>
      <c r="ELE4">
        <v>0</v>
      </c>
      <c r="ELF4">
        <v>0</v>
      </c>
      <c r="ELG4">
        <v>0</v>
      </c>
      <c r="ELH4">
        <v>25</v>
      </c>
      <c r="ELI4">
        <v>328.99</v>
      </c>
      <c r="ELJ4">
        <v>0</v>
      </c>
      <c r="ELK4">
        <v>0</v>
      </c>
      <c r="ELL4">
        <v>0</v>
      </c>
      <c r="ELM4">
        <v>0</v>
      </c>
      <c r="ELN4">
        <v>0</v>
      </c>
      <c r="ELO4">
        <v>0</v>
      </c>
      <c r="ELP4">
        <v>0</v>
      </c>
      <c r="ELQ4">
        <v>0</v>
      </c>
      <c r="ELR4">
        <v>0</v>
      </c>
      <c r="ELS4">
        <v>70</v>
      </c>
      <c r="ELT4">
        <v>0</v>
      </c>
      <c r="ELU4">
        <v>0</v>
      </c>
      <c r="ELV4">
        <v>5</v>
      </c>
      <c r="ELW4">
        <v>0</v>
      </c>
      <c r="ELX4">
        <v>0</v>
      </c>
      <c r="ELY4">
        <v>0</v>
      </c>
      <c r="ELZ4">
        <v>0</v>
      </c>
      <c r="EMA4">
        <v>337.99</v>
      </c>
      <c r="EMB4">
        <v>0</v>
      </c>
      <c r="EMC4">
        <v>0</v>
      </c>
      <c r="EMD4">
        <v>0</v>
      </c>
      <c r="EME4">
        <v>0</v>
      </c>
      <c r="EMF4">
        <v>0</v>
      </c>
      <c r="EMG4">
        <v>76.989999999999995</v>
      </c>
      <c r="EMH4">
        <v>0</v>
      </c>
      <c r="EMI4">
        <v>20</v>
      </c>
      <c r="EMJ4">
        <v>342.99</v>
      </c>
      <c r="EMK4">
        <v>13</v>
      </c>
      <c r="EML4">
        <v>0</v>
      </c>
      <c r="EMM4">
        <v>46</v>
      </c>
      <c r="EMN4">
        <v>126.99</v>
      </c>
      <c r="EMO4">
        <v>0</v>
      </c>
      <c r="EMP4">
        <v>0</v>
      </c>
      <c r="EMQ4">
        <v>0</v>
      </c>
      <c r="EMR4">
        <v>0</v>
      </c>
      <c r="EMS4">
        <v>125</v>
      </c>
      <c r="EMT4">
        <v>0</v>
      </c>
      <c r="EMU4">
        <v>0</v>
      </c>
      <c r="EMV4">
        <v>0</v>
      </c>
      <c r="EMW4">
        <v>0</v>
      </c>
      <c r="EMX4">
        <v>0</v>
      </c>
      <c r="EMY4">
        <v>0</v>
      </c>
      <c r="EMZ4">
        <v>0</v>
      </c>
      <c r="ENA4">
        <v>0</v>
      </c>
      <c r="ENB4">
        <v>0</v>
      </c>
      <c r="ENC4">
        <v>0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358</v>
      </c>
      <c r="ENO4">
        <v>0</v>
      </c>
      <c r="ENP4">
        <v>0</v>
      </c>
      <c r="ENQ4">
        <v>0</v>
      </c>
      <c r="ENR4">
        <v>22</v>
      </c>
      <c r="ENS4">
        <v>0</v>
      </c>
      <c r="ENT4">
        <v>0</v>
      </c>
      <c r="ENU4">
        <v>0</v>
      </c>
      <c r="ENV4">
        <v>0</v>
      </c>
      <c r="ENW4">
        <v>0</v>
      </c>
      <c r="ENX4">
        <v>0</v>
      </c>
      <c r="ENY4">
        <v>0</v>
      </c>
      <c r="ENZ4">
        <v>0</v>
      </c>
      <c r="EOA4">
        <v>362.95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0</v>
      </c>
      <c r="EON4">
        <v>43.99</v>
      </c>
      <c r="EOO4">
        <v>0</v>
      </c>
      <c r="EOP4">
        <v>0</v>
      </c>
      <c r="EOQ4">
        <v>0</v>
      </c>
      <c r="EOR4">
        <v>0</v>
      </c>
      <c r="EOS4">
        <v>0</v>
      </c>
      <c r="EOT4">
        <v>0</v>
      </c>
      <c r="EOU4">
        <v>0</v>
      </c>
      <c r="EOV4">
        <v>0</v>
      </c>
      <c r="EOW4">
        <v>52</v>
      </c>
      <c r="EOX4">
        <v>0</v>
      </c>
      <c r="EOY4">
        <v>0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370.98</v>
      </c>
      <c r="EPG4">
        <v>0</v>
      </c>
      <c r="EPH4">
        <v>0</v>
      </c>
      <c r="EPI4">
        <v>0</v>
      </c>
      <c r="EPJ4">
        <v>0</v>
      </c>
      <c r="EPK4">
        <v>146</v>
      </c>
      <c r="EPL4">
        <v>62</v>
      </c>
      <c r="EPM4">
        <v>0</v>
      </c>
      <c r="EPN4">
        <v>0</v>
      </c>
      <c r="EPO4">
        <v>0</v>
      </c>
      <c r="EPP4">
        <v>378.98</v>
      </c>
      <c r="EPQ4">
        <v>0</v>
      </c>
      <c r="EPR4">
        <v>35</v>
      </c>
      <c r="EPS4">
        <v>32</v>
      </c>
      <c r="EPT4">
        <v>0</v>
      </c>
      <c r="EPU4">
        <v>0</v>
      </c>
      <c r="EPV4">
        <v>0</v>
      </c>
      <c r="EPW4">
        <v>0</v>
      </c>
      <c r="EPX4">
        <v>184.99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157</v>
      </c>
      <c r="EQJ4">
        <v>0</v>
      </c>
      <c r="EQK4">
        <v>87.99</v>
      </c>
      <c r="EQL4">
        <v>0</v>
      </c>
      <c r="EQM4">
        <v>0</v>
      </c>
      <c r="EQN4">
        <v>235.99</v>
      </c>
      <c r="EQO4">
        <v>12</v>
      </c>
      <c r="EQP4">
        <v>30</v>
      </c>
      <c r="EQQ4">
        <v>0</v>
      </c>
      <c r="EQR4">
        <v>0</v>
      </c>
      <c r="EQS4">
        <v>0</v>
      </c>
      <c r="EQT4">
        <v>0</v>
      </c>
      <c r="EQU4">
        <v>0</v>
      </c>
      <c r="EQV4">
        <v>135.99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0</v>
      </c>
      <c r="ERH4">
        <v>10</v>
      </c>
      <c r="ERI4">
        <v>0</v>
      </c>
      <c r="ERJ4">
        <v>0</v>
      </c>
      <c r="ERK4">
        <v>3.99</v>
      </c>
      <c r="ERL4">
        <v>0</v>
      </c>
      <c r="ERM4">
        <v>0</v>
      </c>
      <c r="ERN4">
        <v>0</v>
      </c>
      <c r="ERO4">
        <v>0</v>
      </c>
      <c r="ERP4">
        <v>0</v>
      </c>
      <c r="ERQ4">
        <v>0</v>
      </c>
      <c r="ERR4">
        <v>0</v>
      </c>
      <c r="ERS4">
        <v>0</v>
      </c>
      <c r="ERT4">
        <v>165.99</v>
      </c>
      <c r="ERU4">
        <v>0</v>
      </c>
      <c r="ERV4">
        <v>24</v>
      </c>
      <c r="ERW4">
        <v>0</v>
      </c>
      <c r="ERX4">
        <v>0</v>
      </c>
      <c r="ERY4">
        <v>7</v>
      </c>
      <c r="ERZ4">
        <v>0</v>
      </c>
      <c r="ESA4">
        <v>0</v>
      </c>
      <c r="ESB4">
        <v>0</v>
      </c>
      <c r="ESC4">
        <v>0</v>
      </c>
      <c r="ESD4">
        <v>0</v>
      </c>
      <c r="ESE4">
        <v>0</v>
      </c>
      <c r="ESF4">
        <v>20</v>
      </c>
      <c r="ESG4">
        <v>0</v>
      </c>
      <c r="ESH4">
        <v>0</v>
      </c>
      <c r="ESI4">
        <v>0</v>
      </c>
      <c r="ESJ4">
        <v>0</v>
      </c>
      <c r="ESK4">
        <v>0</v>
      </c>
      <c r="ESL4">
        <v>0</v>
      </c>
      <c r="ESM4">
        <v>0</v>
      </c>
      <c r="ESN4">
        <v>0</v>
      </c>
      <c r="ESO4">
        <v>0</v>
      </c>
      <c r="ESP4">
        <v>11</v>
      </c>
      <c r="ESQ4">
        <v>0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109</v>
      </c>
      <c r="ESX4">
        <v>0</v>
      </c>
      <c r="ESY4">
        <v>0</v>
      </c>
      <c r="ESZ4">
        <v>10</v>
      </c>
      <c r="ETA4">
        <v>0</v>
      </c>
      <c r="ETB4">
        <v>0</v>
      </c>
      <c r="ETC4">
        <v>0</v>
      </c>
      <c r="ETD4">
        <v>0</v>
      </c>
      <c r="ETE4">
        <v>152.99</v>
      </c>
      <c r="ETF4">
        <v>0</v>
      </c>
      <c r="ETG4">
        <v>0</v>
      </c>
      <c r="ETH4">
        <v>0</v>
      </c>
      <c r="ETI4">
        <v>0</v>
      </c>
      <c r="ETJ4">
        <v>77</v>
      </c>
      <c r="ETK4">
        <v>0</v>
      </c>
      <c r="ETL4">
        <v>0</v>
      </c>
      <c r="ETM4">
        <v>0</v>
      </c>
      <c r="ETN4">
        <v>0</v>
      </c>
      <c r="ETO4">
        <v>6</v>
      </c>
      <c r="ETP4">
        <v>0</v>
      </c>
      <c r="ETQ4">
        <v>42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196</v>
      </c>
      <c r="EUB4">
        <v>0</v>
      </c>
      <c r="EUC4">
        <v>0</v>
      </c>
      <c r="EUD4">
        <v>0</v>
      </c>
      <c r="EUE4">
        <v>0</v>
      </c>
      <c r="EUF4">
        <v>112</v>
      </c>
      <c r="EUG4">
        <v>0</v>
      </c>
      <c r="EUH4">
        <v>0</v>
      </c>
      <c r="EUI4">
        <v>0</v>
      </c>
      <c r="EUJ4">
        <v>0</v>
      </c>
      <c r="EUK4">
        <v>0</v>
      </c>
      <c r="EUL4">
        <v>64.989999999999995</v>
      </c>
      <c r="EUM4">
        <v>0</v>
      </c>
      <c r="EUN4">
        <v>0</v>
      </c>
      <c r="EUO4">
        <v>0</v>
      </c>
      <c r="EUP4">
        <v>0</v>
      </c>
      <c r="EUQ4">
        <v>0</v>
      </c>
      <c r="EUR4">
        <v>0</v>
      </c>
      <c r="EUS4">
        <v>0</v>
      </c>
      <c r="EUT4">
        <v>0</v>
      </c>
      <c r="EUU4">
        <v>0</v>
      </c>
      <c r="EUV4">
        <v>0</v>
      </c>
      <c r="EUW4">
        <v>0</v>
      </c>
      <c r="EUX4">
        <v>0</v>
      </c>
      <c r="EUY4">
        <v>12</v>
      </c>
      <c r="EUZ4">
        <v>0</v>
      </c>
      <c r="EVA4">
        <v>0</v>
      </c>
      <c r="EVB4">
        <v>0</v>
      </c>
      <c r="EVC4">
        <v>0</v>
      </c>
      <c r="EVD4">
        <v>35</v>
      </c>
      <c r="EVE4">
        <v>45</v>
      </c>
      <c r="EVF4">
        <v>0</v>
      </c>
      <c r="EVG4">
        <v>464.98</v>
      </c>
      <c r="EVH4">
        <v>0</v>
      </c>
      <c r="EVI4">
        <v>0</v>
      </c>
      <c r="EVJ4">
        <v>96</v>
      </c>
      <c r="EVK4">
        <v>0</v>
      </c>
      <c r="EVL4">
        <v>0</v>
      </c>
      <c r="EVM4">
        <v>0</v>
      </c>
      <c r="EVN4">
        <v>0</v>
      </c>
      <c r="EVO4">
        <v>0</v>
      </c>
      <c r="EVP4">
        <v>0</v>
      </c>
      <c r="EVQ4">
        <v>0</v>
      </c>
      <c r="EVR4">
        <v>0</v>
      </c>
      <c r="EVS4">
        <v>0</v>
      </c>
      <c r="EVT4">
        <v>0</v>
      </c>
      <c r="EVU4">
        <v>476.99</v>
      </c>
      <c r="EVV4">
        <v>0</v>
      </c>
      <c r="EVW4">
        <v>0</v>
      </c>
      <c r="EVX4">
        <v>0</v>
      </c>
      <c r="EVY4">
        <v>40</v>
      </c>
      <c r="EVZ4">
        <v>0</v>
      </c>
      <c r="EWA4">
        <v>0</v>
      </c>
      <c r="EWB4">
        <v>0</v>
      </c>
      <c r="EWC4">
        <v>0</v>
      </c>
      <c r="EWD4">
        <v>0</v>
      </c>
      <c r="EWE4">
        <v>0</v>
      </c>
      <c r="EWF4">
        <v>0</v>
      </c>
      <c r="EWG4">
        <v>0</v>
      </c>
      <c r="EWH4">
        <v>0</v>
      </c>
      <c r="EWI4">
        <v>0</v>
      </c>
      <c r="EWJ4">
        <v>0</v>
      </c>
      <c r="EWK4">
        <v>0</v>
      </c>
      <c r="EWL4">
        <v>0</v>
      </c>
      <c r="EWM4">
        <v>0</v>
      </c>
      <c r="EWN4">
        <v>143</v>
      </c>
      <c r="EWO4">
        <v>0</v>
      </c>
      <c r="EWP4">
        <v>308.99</v>
      </c>
      <c r="EWQ4">
        <v>0</v>
      </c>
      <c r="EWR4">
        <v>0</v>
      </c>
      <c r="EWS4">
        <v>30</v>
      </c>
      <c r="EWT4">
        <v>0</v>
      </c>
      <c r="EWU4">
        <v>0</v>
      </c>
      <c r="EWV4">
        <v>0</v>
      </c>
      <c r="EWW4">
        <v>0</v>
      </c>
      <c r="EWX4">
        <v>0</v>
      </c>
      <c r="EWY4">
        <v>0</v>
      </c>
      <c r="EWZ4">
        <v>0</v>
      </c>
      <c r="EXA4">
        <v>0</v>
      </c>
      <c r="EXB4">
        <v>499.99</v>
      </c>
      <c r="EXC4">
        <v>0</v>
      </c>
      <c r="EXD4">
        <v>0</v>
      </c>
      <c r="EXE4">
        <v>0</v>
      </c>
      <c r="EXF4">
        <v>0</v>
      </c>
      <c r="EXG4">
        <v>0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72</v>
      </c>
      <c r="EXO4">
        <v>508.99</v>
      </c>
      <c r="EXP4">
        <v>0</v>
      </c>
      <c r="EXQ4">
        <v>0</v>
      </c>
      <c r="EXR4">
        <v>0</v>
      </c>
      <c r="EXS4">
        <v>256.99</v>
      </c>
      <c r="EXT4">
        <v>0</v>
      </c>
      <c r="EXU4">
        <v>0</v>
      </c>
      <c r="EXV4">
        <v>0</v>
      </c>
      <c r="EXW4">
        <v>102</v>
      </c>
      <c r="EXX4">
        <v>0</v>
      </c>
      <c r="EXY4">
        <v>79.989999999999995</v>
      </c>
      <c r="EXZ4">
        <v>0</v>
      </c>
      <c r="EYA4">
        <v>0</v>
      </c>
      <c r="EYB4">
        <v>518.99</v>
      </c>
      <c r="EYC4">
        <v>0</v>
      </c>
      <c r="EYD4">
        <v>0</v>
      </c>
      <c r="EYE4">
        <v>55</v>
      </c>
      <c r="EYF4">
        <v>521.98</v>
      </c>
      <c r="EYG4">
        <v>0</v>
      </c>
      <c r="EYH4">
        <v>0</v>
      </c>
      <c r="EYI4">
        <v>0</v>
      </c>
      <c r="EYJ4">
        <v>0</v>
      </c>
      <c r="EYK4">
        <v>0</v>
      </c>
      <c r="EYL4">
        <v>0</v>
      </c>
      <c r="EYM4">
        <v>0</v>
      </c>
      <c r="EYN4">
        <v>0</v>
      </c>
      <c r="EYO4">
        <v>0</v>
      </c>
      <c r="EYP4">
        <v>0</v>
      </c>
      <c r="EYQ4">
        <v>0</v>
      </c>
      <c r="EYR4">
        <v>124</v>
      </c>
      <c r="EYS4">
        <v>0</v>
      </c>
      <c r="EYT4">
        <v>0</v>
      </c>
      <c r="EYU4">
        <v>0</v>
      </c>
      <c r="EYV4">
        <v>0</v>
      </c>
      <c r="EYW4">
        <v>0</v>
      </c>
      <c r="EYX4">
        <v>0</v>
      </c>
      <c r="EYY4">
        <v>0</v>
      </c>
      <c r="EYZ4">
        <v>0</v>
      </c>
      <c r="EZA4">
        <v>0</v>
      </c>
      <c r="EZB4">
        <v>0</v>
      </c>
      <c r="EZC4">
        <v>0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0</v>
      </c>
      <c r="EZQ4">
        <v>187</v>
      </c>
      <c r="EZR4">
        <v>0</v>
      </c>
      <c r="EZS4">
        <v>0</v>
      </c>
      <c r="EZT4">
        <v>0</v>
      </c>
      <c r="EZU4">
        <v>165</v>
      </c>
      <c r="EZV4">
        <v>0</v>
      </c>
      <c r="EZW4">
        <v>0</v>
      </c>
      <c r="EZX4">
        <v>0</v>
      </c>
      <c r="EZY4">
        <v>0</v>
      </c>
      <c r="EZZ4">
        <v>0</v>
      </c>
      <c r="FAA4">
        <v>0</v>
      </c>
      <c r="FAB4">
        <v>46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0</v>
      </c>
      <c r="FAN4">
        <v>0</v>
      </c>
      <c r="FAO4">
        <v>0</v>
      </c>
      <c r="FAP4">
        <v>0</v>
      </c>
      <c r="FAQ4">
        <v>0</v>
      </c>
      <c r="FAR4">
        <v>0</v>
      </c>
      <c r="FAS4">
        <v>0</v>
      </c>
      <c r="FAT4">
        <v>0</v>
      </c>
      <c r="FAU4">
        <v>0</v>
      </c>
      <c r="FAV4">
        <v>0</v>
      </c>
      <c r="FAW4">
        <v>0</v>
      </c>
      <c r="FAX4">
        <v>23.99</v>
      </c>
      <c r="FAY4">
        <v>0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0</v>
      </c>
      <c r="FBL4">
        <v>0</v>
      </c>
      <c r="FBM4">
        <v>0</v>
      </c>
      <c r="FBN4">
        <v>0</v>
      </c>
      <c r="FBO4">
        <v>0</v>
      </c>
      <c r="FBP4">
        <v>0</v>
      </c>
      <c r="FBQ4">
        <v>0</v>
      </c>
      <c r="FBR4">
        <v>0</v>
      </c>
      <c r="FBS4">
        <v>0</v>
      </c>
      <c r="FBT4">
        <v>0</v>
      </c>
      <c r="FBU4">
        <v>0</v>
      </c>
      <c r="FBV4">
        <v>0</v>
      </c>
      <c r="FBW4">
        <v>0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610.98</v>
      </c>
      <c r="FCE4">
        <v>147</v>
      </c>
      <c r="FCF4">
        <v>0</v>
      </c>
      <c r="FCG4">
        <v>0</v>
      </c>
      <c r="FCH4">
        <v>0</v>
      </c>
      <c r="FCI4">
        <v>0</v>
      </c>
      <c r="FCJ4">
        <v>0</v>
      </c>
      <c r="FCK4">
        <v>0</v>
      </c>
      <c r="FCL4">
        <v>220.99</v>
      </c>
      <c r="FCM4">
        <v>0</v>
      </c>
      <c r="FCN4">
        <v>0</v>
      </c>
      <c r="FCO4">
        <v>40</v>
      </c>
      <c r="FCP4">
        <v>0</v>
      </c>
      <c r="FCQ4">
        <v>0</v>
      </c>
      <c r="FCR4">
        <v>0</v>
      </c>
      <c r="FCS4">
        <v>0</v>
      </c>
      <c r="FCT4">
        <v>0</v>
      </c>
      <c r="FCU4">
        <v>0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137.96</v>
      </c>
      <c r="FDG4">
        <v>0</v>
      </c>
      <c r="FDH4">
        <v>0</v>
      </c>
      <c r="FDI4">
        <v>0</v>
      </c>
      <c r="FDJ4">
        <v>116.99</v>
      </c>
      <c r="FDK4">
        <v>0</v>
      </c>
      <c r="FDL4">
        <v>0</v>
      </c>
      <c r="FDM4">
        <v>0</v>
      </c>
      <c r="FDN4">
        <v>0</v>
      </c>
      <c r="FDO4">
        <v>649.96</v>
      </c>
      <c r="FDP4">
        <v>0</v>
      </c>
      <c r="FDQ4">
        <v>0</v>
      </c>
      <c r="FDR4">
        <v>0</v>
      </c>
      <c r="FDS4">
        <v>0</v>
      </c>
      <c r="FDT4">
        <v>0</v>
      </c>
      <c r="FDU4">
        <v>0</v>
      </c>
      <c r="FDV4">
        <v>0</v>
      </c>
      <c r="FDW4">
        <v>0</v>
      </c>
      <c r="FDX4">
        <v>136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88.99</v>
      </c>
      <c r="FEE4">
        <v>0</v>
      </c>
      <c r="FEF4">
        <v>0</v>
      </c>
      <c r="FEG4">
        <v>0</v>
      </c>
      <c r="FEH4">
        <v>670.96</v>
      </c>
      <c r="FEI4">
        <v>0</v>
      </c>
      <c r="FEJ4">
        <v>0</v>
      </c>
      <c r="FEK4">
        <v>0</v>
      </c>
      <c r="FEL4">
        <v>0</v>
      </c>
      <c r="FEM4">
        <v>0</v>
      </c>
      <c r="FEN4">
        <v>0</v>
      </c>
      <c r="FEO4">
        <v>201.98</v>
      </c>
      <c r="FEP4">
        <v>0</v>
      </c>
      <c r="FEQ4">
        <v>0</v>
      </c>
      <c r="FER4">
        <v>0</v>
      </c>
      <c r="FES4">
        <v>0</v>
      </c>
      <c r="FET4">
        <v>0</v>
      </c>
      <c r="FEU4">
        <v>0</v>
      </c>
      <c r="FEV4">
        <v>0</v>
      </c>
      <c r="FEW4">
        <v>0</v>
      </c>
      <c r="FEX4">
        <v>0</v>
      </c>
      <c r="FEY4">
        <v>0</v>
      </c>
      <c r="FEZ4">
        <v>0</v>
      </c>
      <c r="FFA4">
        <v>0</v>
      </c>
      <c r="FFB4">
        <v>0</v>
      </c>
      <c r="FFC4">
        <v>0</v>
      </c>
      <c r="FFD4">
        <v>0</v>
      </c>
      <c r="FFE4">
        <v>0</v>
      </c>
      <c r="FFF4">
        <v>0</v>
      </c>
      <c r="FFG4">
        <v>0</v>
      </c>
      <c r="FFH4">
        <v>0</v>
      </c>
      <c r="FFI4">
        <v>0</v>
      </c>
      <c r="FFJ4">
        <v>0</v>
      </c>
      <c r="FFK4">
        <v>0</v>
      </c>
      <c r="FFL4">
        <v>87</v>
      </c>
      <c r="FFM4">
        <v>0</v>
      </c>
      <c r="FFN4">
        <v>51</v>
      </c>
      <c r="FFO4">
        <v>108</v>
      </c>
      <c r="FFP4">
        <v>0</v>
      </c>
      <c r="FFQ4">
        <v>0</v>
      </c>
      <c r="FFR4">
        <v>0</v>
      </c>
      <c r="FFS4">
        <v>91.99</v>
      </c>
      <c r="FFT4">
        <v>81</v>
      </c>
      <c r="FFU4">
        <v>0</v>
      </c>
      <c r="FFV4">
        <v>0</v>
      </c>
      <c r="FFW4">
        <v>0</v>
      </c>
      <c r="FFX4">
        <v>0</v>
      </c>
      <c r="FFY4">
        <v>0</v>
      </c>
      <c r="FFZ4">
        <v>732.98</v>
      </c>
      <c r="FGA4">
        <v>0</v>
      </c>
      <c r="FGB4">
        <v>0</v>
      </c>
      <c r="FGC4">
        <v>0</v>
      </c>
      <c r="FGD4">
        <v>282.99</v>
      </c>
      <c r="FGE4">
        <v>0</v>
      </c>
      <c r="FGF4">
        <v>0</v>
      </c>
      <c r="FGG4">
        <v>21</v>
      </c>
      <c r="FGH4">
        <v>34</v>
      </c>
      <c r="FGI4">
        <v>0</v>
      </c>
      <c r="FGJ4">
        <v>0</v>
      </c>
      <c r="FGK4">
        <v>28</v>
      </c>
      <c r="FGL4">
        <v>0</v>
      </c>
      <c r="FGM4">
        <v>0</v>
      </c>
      <c r="FGN4">
        <v>0</v>
      </c>
      <c r="FGO4">
        <v>0</v>
      </c>
      <c r="FGP4">
        <v>0</v>
      </c>
      <c r="FGQ4">
        <v>212</v>
      </c>
      <c r="FGR4">
        <v>33.99</v>
      </c>
      <c r="FGS4">
        <v>0</v>
      </c>
      <c r="FGT4">
        <v>0</v>
      </c>
      <c r="FGU4">
        <v>0</v>
      </c>
      <c r="FGV4">
        <v>40</v>
      </c>
      <c r="FGW4">
        <v>0</v>
      </c>
      <c r="FGX4">
        <v>0</v>
      </c>
      <c r="FGY4">
        <v>0</v>
      </c>
      <c r="FGZ4">
        <v>0</v>
      </c>
      <c r="FHA4">
        <v>0</v>
      </c>
      <c r="FHB4">
        <v>0</v>
      </c>
      <c r="FHC4">
        <v>0</v>
      </c>
      <c r="FHD4">
        <v>0</v>
      </c>
      <c r="FHE4">
        <v>0</v>
      </c>
      <c r="FHF4">
        <v>51</v>
      </c>
      <c r="FHG4">
        <v>0</v>
      </c>
      <c r="FHH4">
        <v>0</v>
      </c>
      <c r="FHI4">
        <v>0</v>
      </c>
      <c r="FHJ4">
        <v>33</v>
      </c>
      <c r="FHK4">
        <v>0</v>
      </c>
      <c r="FHL4">
        <v>0</v>
      </c>
      <c r="FHM4">
        <v>0</v>
      </c>
      <c r="FHN4">
        <v>773.99</v>
      </c>
      <c r="FHO4">
        <v>93</v>
      </c>
      <c r="FHP4">
        <v>0</v>
      </c>
      <c r="FHQ4">
        <v>0</v>
      </c>
      <c r="FHR4">
        <v>0</v>
      </c>
      <c r="FHS4">
        <v>0</v>
      </c>
      <c r="FHT4">
        <v>0</v>
      </c>
      <c r="FHU4">
        <v>0</v>
      </c>
      <c r="FHV4">
        <v>0</v>
      </c>
      <c r="FHW4">
        <v>0</v>
      </c>
      <c r="FHX4">
        <v>0</v>
      </c>
      <c r="FHY4">
        <v>0</v>
      </c>
      <c r="FHZ4">
        <v>0</v>
      </c>
      <c r="FIA4">
        <v>0</v>
      </c>
      <c r="FIB4">
        <v>0</v>
      </c>
      <c r="FIC4">
        <v>545.98</v>
      </c>
      <c r="FID4">
        <v>0</v>
      </c>
      <c r="FIE4">
        <v>0</v>
      </c>
      <c r="FIF4">
        <v>0</v>
      </c>
      <c r="FIG4">
        <v>0</v>
      </c>
      <c r="FIH4">
        <v>0</v>
      </c>
      <c r="FII4">
        <v>798.99</v>
      </c>
      <c r="FIJ4">
        <v>0</v>
      </c>
      <c r="FIK4">
        <v>0</v>
      </c>
      <c r="FIL4">
        <v>0</v>
      </c>
      <c r="FIM4">
        <v>137</v>
      </c>
      <c r="FIN4">
        <v>0</v>
      </c>
      <c r="FIO4">
        <v>0</v>
      </c>
      <c r="FIP4">
        <v>0</v>
      </c>
      <c r="FIQ4">
        <v>77.989999999999995</v>
      </c>
      <c r="FIR4">
        <v>0</v>
      </c>
      <c r="FIS4">
        <v>0</v>
      </c>
      <c r="FIT4">
        <v>12</v>
      </c>
      <c r="FIU4">
        <v>0</v>
      </c>
      <c r="FIV4">
        <v>0</v>
      </c>
      <c r="FIW4">
        <v>0</v>
      </c>
      <c r="FIX4">
        <v>0</v>
      </c>
      <c r="FIY4">
        <v>7.99</v>
      </c>
      <c r="FIZ4">
        <v>0</v>
      </c>
      <c r="FJA4">
        <v>0</v>
      </c>
      <c r="FJB4">
        <v>0</v>
      </c>
      <c r="FJC4">
        <v>0</v>
      </c>
      <c r="FJD4">
        <v>44</v>
      </c>
      <c r="FJE4">
        <v>0</v>
      </c>
      <c r="FJF4">
        <v>0</v>
      </c>
      <c r="FJG4">
        <v>20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5.99</v>
      </c>
      <c r="FJQ4">
        <v>0</v>
      </c>
      <c r="FJR4">
        <v>0</v>
      </c>
      <c r="FJS4">
        <v>844.98</v>
      </c>
      <c r="FJT4">
        <v>28</v>
      </c>
      <c r="FJU4">
        <v>570.99</v>
      </c>
      <c r="FJV4">
        <v>0</v>
      </c>
      <c r="FJW4">
        <v>0</v>
      </c>
      <c r="FJX4">
        <v>0</v>
      </c>
      <c r="FJY4">
        <v>0</v>
      </c>
      <c r="FJZ4">
        <v>0</v>
      </c>
      <c r="FKA4">
        <v>315.98</v>
      </c>
      <c r="FKB4">
        <v>0</v>
      </c>
      <c r="FKC4">
        <v>0</v>
      </c>
      <c r="FKD4">
        <v>0</v>
      </c>
      <c r="FKE4">
        <v>21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295</v>
      </c>
      <c r="FKO4">
        <v>0</v>
      </c>
      <c r="FKP4">
        <v>0</v>
      </c>
      <c r="FKQ4">
        <v>0</v>
      </c>
      <c r="FKR4">
        <v>0</v>
      </c>
      <c r="FKS4">
        <v>0</v>
      </c>
      <c r="FKT4">
        <v>247.99</v>
      </c>
      <c r="FKU4">
        <v>0</v>
      </c>
      <c r="FKV4">
        <v>0</v>
      </c>
      <c r="FKW4">
        <v>13</v>
      </c>
      <c r="FKX4">
        <v>0</v>
      </c>
      <c r="FKY4">
        <v>0</v>
      </c>
      <c r="FKZ4">
        <v>0</v>
      </c>
      <c r="FLA4">
        <v>0</v>
      </c>
      <c r="FLB4">
        <v>0</v>
      </c>
      <c r="FLC4">
        <v>0</v>
      </c>
      <c r="FLD4">
        <v>0</v>
      </c>
      <c r="FLE4">
        <v>0</v>
      </c>
      <c r="FLF4">
        <v>69</v>
      </c>
      <c r="FLG4">
        <v>0</v>
      </c>
      <c r="FLH4">
        <v>898.96</v>
      </c>
      <c r="FLI4">
        <v>0</v>
      </c>
      <c r="FLJ4">
        <v>0</v>
      </c>
      <c r="FLK4">
        <v>0</v>
      </c>
      <c r="FLL4">
        <v>0</v>
      </c>
      <c r="FLM4">
        <v>0</v>
      </c>
      <c r="FLN4">
        <v>0</v>
      </c>
      <c r="FLO4">
        <v>211.99</v>
      </c>
      <c r="FLP4">
        <v>396.99</v>
      </c>
      <c r="FLQ4">
        <v>0</v>
      </c>
      <c r="FLR4">
        <v>0</v>
      </c>
      <c r="FLS4">
        <v>175</v>
      </c>
      <c r="FLT4">
        <v>72</v>
      </c>
      <c r="FLU4">
        <v>0</v>
      </c>
      <c r="FLV4">
        <v>0</v>
      </c>
      <c r="FLW4">
        <v>0</v>
      </c>
      <c r="FLX4">
        <v>0</v>
      </c>
      <c r="FLY4">
        <v>0</v>
      </c>
      <c r="FLZ4">
        <v>0</v>
      </c>
      <c r="FMA4">
        <v>0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0</v>
      </c>
      <c r="FMI4">
        <v>101.99</v>
      </c>
      <c r="FMJ4">
        <v>0</v>
      </c>
      <c r="FMK4">
        <v>33.99</v>
      </c>
      <c r="FML4">
        <v>0</v>
      </c>
      <c r="FMM4">
        <v>954.96</v>
      </c>
      <c r="FMN4">
        <v>13</v>
      </c>
      <c r="FMO4">
        <v>37</v>
      </c>
      <c r="FMP4">
        <v>0</v>
      </c>
      <c r="FMQ4">
        <v>0</v>
      </c>
      <c r="FMR4">
        <v>0</v>
      </c>
      <c r="FMS4">
        <v>0</v>
      </c>
      <c r="FMT4">
        <v>3</v>
      </c>
      <c r="FMU4">
        <v>0</v>
      </c>
      <c r="FMV4">
        <v>0</v>
      </c>
      <c r="FMW4">
        <v>65.989999999999995</v>
      </c>
      <c r="FMX4">
        <v>138.99</v>
      </c>
      <c r="FMY4">
        <v>0</v>
      </c>
      <c r="FMZ4">
        <v>0</v>
      </c>
      <c r="FNA4">
        <v>0</v>
      </c>
      <c r="FNB4">
        <v>0</v>
      </c>
      <c r="FNC4">
        <v>0</v>
      </c>
      <c r="FND4">
        <v>513.98</v>
      </c>
      <c r="FNE4">
        <v>0</v>
      </c>
      <c r="FNF4">
        <v>0</v>
      </c>
      <c r="FNG4">
        <v>0</v>
      </c>
      <c r="FNH4">
        <v>0</v>
      </c>
      <c r="FNI4">
        <v>0</v>
      </c>
      <c r="FNJ4">
        <v>0</v>
      </c>
      <c r="FNK4">
        <v>0</v>
      </c>
      <c r="FNL4">
        <v>0</v>
      </c>
      <c r="FNM4">
        <v>0</v>
      </c>
      <c r="FNN4">
        <v>0</v>
      </c>
      <c r="FNO4">
        <v>0</v>
      </c>
      <c r="FNP4">
        <v>0</v>
      </c>
      <c r="FNQ4">
        <v>180.99</v>
      </c>
      <c r="FNR4">
        <v>0</v>
      </c>
      <c r="FNS4">
        <v>0</v>
      </c>
      <c r="FNT4">
        <v>0</v>
      </c>
      <c r="FNU4">
        <v>0</v>
      </c>
      <c r="FNV4">
        <v>0</v>
      </c>
      <c r="FNW4">
        <v>43.99</v>
      </c>
      <c r="FNX4">
        <v>0</v>
      </c>
      <c r="FNY4">
        <v>0</v>
      </c>
      <c r="FNZ4">
        <v>0</v>
      </c>
      <c r="FOA4">
        <v>0</v>
      </c>
      <c r="FOB4">
        <v>0</v>
      </c>
      <c r="FOC4">
        <v>0</v>
      </c>
      <c r="FOD4">
        <v>231.99</v>
      </c>
      <c r="FOE4">
        <v>14</v>
      </c>
      <c r="FOF4">
        <v>0</v>
      </c>
      <c r="FOG4">
        <v>17</v>
      </c>
      <c r="FOH4">
        <v>0</v>
      </c>
      <c r="FOI4">
        <v>0</v>
      </c>
      <c r="FOJ4">
        <v>0</v>
      </c>
      <c r="FOK4">
        <v>0</v>
      </c>
      <c r="FOL4">
        <v>239.99</v>
      </c>
      <c r="FOM4">
        <v>0</v>
      </c>
      <c r="FON4">
        <v>0</v>
      </c>
      <c r="FOO4">
        <v>0</v>
      </c>
      <c r="FOP4">
        <v>0</v>
      </c>
      <c r="FOQ4">
        <v>56</v>
      </c>
      <c r="FOR4">
        <v>0</v>
      </c>
      <c r="FOS4">
        <v>30</v>
      </c>
      <c r="FOT4">
        <v>47</v>
      </c>
      <c r="FOU4">
        <v>25.99</v>
      </c>
      <c r="FOV4">
        <v>0</v>
      </c>
      <c r="FOW4">
        <v>0</v>
      </c>
      <c r="FOX4">
        <v>25</v>
      </c>
      <c r="FOY4">
        <v>0</v>
      </c>
      <c r="FOZ4">
        <v>0</v>
      </c>
      <c r="FPA4">
        <v>0</v>
      </c>
      <c r="FPB4">
        <v>25</v>
      </c>
      <c r="FPC4">
        <v>211.97</v>
      </c>
      <c r="FPD4">
        <v>0</v>
      </c>
      <c r="FPE4">
        <v>4</v>
      </c>
      <c r="FPF4">
        <v>0</v>
      </c>
      <c r="FPG4">
        <v>102</v>
      </c>
      <c r="FPH4">
        <v>795.97</v>
      </c>
      <c r="FPI4">
        <v>395.99</v>
      </c>
      <c r="FPJ4">
        <v>0</v>
      </c>
      <c r="FPK4">
        <v>0</v>
      </c>
      <c r="FPL4">
        <v>0</v>
      </c>
      <c r="FPM4">
        <v>0</v>
      </c>
      <c r="FPN4">
        <v>0</v>
      </c>
      <c r="FPO4">
        <v>0</v>
      </c>
      <c r="FPP4">
        <v>206</v>
      </c>
      <c r="FPQ4">
        <v>13.99</v>
      </c>
      <c r="FPR4">
        <v>0</v>
      </c>
      <c r="FPS4">
        <v>49</v>
      </c>
      <c r="FPT4">
        <v>0</v>
      </c>
      <c r="FPU4">
        <v>0</v>
      </c>
      <c r="FPV4">
        <v>0</v>
      </c>
      <c r="FPW4">
        <v>124</v>
      </c>
      <c r="FPX4">
        <v>0</v>
      </c>
      <c r="FPY4">
        <v>0</v>
      </c>
      <c r="FPZ4">
        <v>0</v>
      </c>
      <c r="FQA4">
        <v>0</v>
      </c>
      <c r="FQB4">
        <v>483</v>
      </c>
      <c r="FQC4">
        <v>0</v>
      </c>
      <c r="FQD4">
        <v>0</v>
      </c>
      <c r="FQE4">
        <v>0</v>
      </c>
      <c r="FQF4">
        <v>67.989999999999995</v>
      </c>
      <c r="FQG4">
        <v>0</v>
      </c>
      <c r="FQH4">
        <v>0</v>
      </c>
      <c r="FQI4">
        <v>0</v>
      </c>
      <c r="FQJ4">
        <v>0</v>
      </c>
      <c r="FQK4">
        <v>1152.92</v>
      </c>
      <c r="FQL4">
        <v>0</v>
      </c>
      <c r="FQM4">
        <v>0</v>
      </c>
      <c r="FQN4">
        <v>0</v>
      </c>
      <c r="FQO4">
        <v>0</v>
      </c>
      <c r="FQP4">
        <v>0</v>
      </c>
      <c r="FQQ4">
        <v>0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0</v>
      </c>
      <c r="FRE4">
        <v>349.98</v>
      </c>
      <c r="FRF4">
        <v>0</v>
      </c>
      <c r="FRG4">
        <v>1031.95</v>
      </c>
      <c r="FRH4">
        <v>345.96</v>
      </c>
      <c r="FRI4">
        <v>18</v>
      </c>
      <c r="FRJ4">
        <v>0</v>
      </c>
      <c r="FRK4">
        <v>52</v>
      </c>
      <c r="FRL4">
        <v>0</v>
      </c>
      <c r="FRM4">
        <v>0</v>
      </c>
      <c r="FRN4">
        <v>433.99</v>
      </c>
      <c r="FRO4">
        <v>0</v>
      </c>
      <c r="FRP4">
        <v>0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0</v>
      </c>
      <c r="FRW4">
        <v>0</v>
      </c>
      <c r="FRX4">
        <v>0</v>
      </c>
      <c r="FRY4">
        <v>0</v>
      </c>
      <c r="FRZ4">
        <v>0</v>
      </c>
      <c r="FSA4">
        <v>0</v>
      </c>
      <c r="FSB4">
        <v>0</v>
      </c>
      <c r="FSC4">
        <v>0</v>
      </c>
      <c r="FSD4">
        <v>0</v>
      </c>
      <c r="FSE4">
        <v>0</v>
      </c>
      <c r="FSF4">
        <v>0</v>
      </c>
      <c r="FSG4">
        <v>0</v>
      </c>
      <c r="FSH4">
        <v>0</v>
      </c>
      <c r="FSI4">
        <v>21</v>
      </c>
      <c r="FSJ4">
        <v>813.95</v>
      </c>
      <c r="FSK4">
        <v>0</v>
      </c>
      <c r="FSL4">
        <v>0</v>
      </c>
      <c r="FSM4">
        <v>404.98</v>
      </c>
      <c r="FSN4">
        <v>0</v>
      </c>
      <c r="FSO4">
        <v>0</v>
      </c>
      <c r="FSP4">
        <v>0</v>
      </c>
      <c r="FSQ4">
        <v>0</v>
      </c>
      <c r="FSR4">
        <v>20</v>
      </c>
      <c r="FSS4">
        <v>0</v>
      </c>
      <c r="FST4">
        <v>0</v>
      </c>
      <c r="FSU4">
        <v>1274.95</v>
      </c>
      <c r="FSV4">
        <v>0</v>
      </c>
      <c r="FSW4">
        <v>0</v>
      </c>
      <c r="FSX4">
        <v>0</v>
      </c>
      <c r="FSY4">
        <v>0</v>
      </c>
      <c r="FSZ4">
        <v>0</v>
      </c>
      <c r="FTA4">
        <v>0</v>
      </c>
      <c r="FTB4">
        <v>0</v>
      </c>
      <c r="FTC4">
        <v>0</v>
      </c>
      <c r="FTD4">
        <v>0</v>
      </c>
      <c r="FTE4">
        <v>0</v>
      </c>
      <c r="FTF4">
        <v>0</v>
      </c>
      <c r="FTG4">
        <v>52</v>
      </c>
      <c r="FTH4">
        <v>0</v>
      </c>
      <c r="FTI4">
        <v>0</v>
      </c>
      <c r="FTJ4">
        <v>0</v>
      </c>
      <c r="FTK4">
        <v>0</v>
      </c>
      <c r="FTL4">
        <v>0</v>
      </c>
      <c r="FTM4">
        <v>0</v>
      </c>
      <c r="FTN4">
        <v>232</v>
      </c>
      <c r="FTO4">
        <v>0</v>
      </c>
      <c r="FTP4">
        <v>0</v>
      </c>
      <c r="FTQ4">
        <v>0</v>
      </c>
      <c r="FTR4">
        <v>0</v>
      </c>
      <c r="FTS4">
        <v>0</v>
      </c>
      <c r="FTT4">
        <v>0</v>
      </c>
      <c r="FTU4">
        <v>0</v>
      </c>
      <c r="FTV4">
        <v>0</v>
      </c>
      <c r="FTW4">
        <v>0</v>
      </c>
      <c r="FTX4">
        <v>0</v>
      </c>
      <c r="FTY4">
        <v>1306.94</v>
      </c>
      <c r="FTZ4">
        <v>0</v>
      </c>
      <c r="FUA4">
        <v>1271.96</v>
      </c>
      <c r="FUB4">
        <v>727.96</v>
      </c>
      <c r="FUC4">
        <v>0</v>
      </c>
      <c r="FUD4">
        <v>0</v>
      </c>
      <c r="FUE4">
        <v>0</v>
      </c>
      <c r="FUF4">
        <v>0</v>
      </c>
      <c r="FUG4">
        <v>75</v>
      </c>
      <c r="FUH4">
        <v>0</v>
      </c>
      <c r="FUI4">
        <v>0</v>
      </c>
      <c r="FUJ4">
        <v>0</v>
      </c>
      <c r="FUK4">
        <v>0</v>
      </c>
      <c r="FUL4">
        <v>0</v>
      </c>
      <c r="FUM4">
        <v>0</v>
      </c>
      <c r="FUN4">
        <v>0</v>
      </c>
      <c r="FUO4">
        <v>0</v>
      </c>
      <c r="FUP4">
        <v>210.99</v>
      </c>
      <c r="FUQ4">
        <v>0</v>
      </c>
      <c r="FUR4">
        <v>48</v>
      </c>
      <c r="FUS4">
        <v>0</v>
      </c>
      <c r="FUT4">
        <v>0</v>
      </c>
      <c r="FUU4">
        <v>0</v>
      </c>
      <c r="FUV4">
        <v>0</v>
      </c>
      <c r="FUW4">
        <v>0</v>
      </c>
      <c r="FUX4">
        <v>0</v>
      </c>
      <c r="FUY4">
        <v>0</v>
      </c>
      <c r="FUZ4">
        <v>0</v>
      </c>
      <c r="FVA4">
        <v>0</v>
      </c>
      <c r="FVB4">
        <v>0</v>
      </c>
      <c r="FVC4">
        <v>12</v>
      </c>
      <c r="FVD4">
        <v>0</v>
      </c>
      <c r="FVE4">
        <v>0</v>
      </c>
      <c r="FVF4">
        <v>0</v>
      </c>
      <c r="FVG4">
        <v>0</v>
      </c>
      <c r="FVH4">
        <v>0</v>
      </c>
      <c r="FVI4">
        <v>0</v>
      </c>
      <c r="FVJ4">
        <v>37</v>
      </c>
      <c r="FVK4">
        <v>0</v>
      </c>
      <c r="FVL4">
        <v>0</v>
      </c>
      <c r="FVM4">
        <v>0</v>
      </c>
      <c r="FVN4">
        <v>0</v>
      </c>
      <c r="FVO4">
        <v>27.99</v>
      </c>
      <c r="FVP4">
        <v>0</v>
      </c>
      <c r="FVQ4">
        <v>0</v>
      </c>
      <c r="FVR4">
        <v>0</v>
      </c>
      <c r="FVS4">
        <v>0</v>
      </c>
      <c r="FVT4">
        <v>375.99</v>
      </c>
      <c r="FVU4">
        <v>0</v>
      </c>
      <c r="FVV4">
        <v>0</v>
      </c>
      <c r="FVW4">
        <v>158.99</v>
      </c>
      <c r="FVX4">
        <v>0</v>
      </c>
      <c r="FVY4">
        <v>0</v>
      </c>
      <c r="FVZ4">
        <v>159.99</v>
      </c>
      <c r="FWB4">
        <v>0</v>
      </c>
      <c r="FWC4">
        <v>35</v>
      </c>
      <c r="FWD4">
        <v>0</v>
      </c>
      <c r="FWE4">
        <v>0</v>
      </c>
      <c r="FWF4">
        <v>150</v>
      </c>
      <c r="FWG4">
        <v>0</v>
      </c>
      <c r="FWH4">
        <v>0</v>
      </c>
      <c r="FWI4">
        <v>0</v>
      </c>
      <c r="FWJ4">
        <v>10</v>
      </c>
      <c r="FWK4">
        <v>0</v>
      </c>
      <c r="FWL4">
        <v>0</v>
      </c>
      <c r="FWM4">
        <v>128</v>
      </c>
      <c r="FWN4">
        <v>0</v>
      </c>
      <c r="FWO4">
        <v>0</v>
      </c>
      <c r="FWP4">
        <v>0</v>
      </c>
      <c r="FWQ4">
        <v>0</v>
      </c>
      <c r="FWR4">
        <v>49</v>
      </c>
      <c r="FWS4">
        <v>13</v>
      </c>
      <c r="FWT4">
        <v>0</v>
      </c>
      <c r="FWU4">
        <v>63</v>
      </c>
      <c r="FWV4">
        <v>303.99</v>
      </c>
      <c r="FWW4">
        <v>0</v>
      </c>
      <c r="FWX4">
        <v>0</v>
      </c>
      <c r="FWY4">
        <v>0</v>
      </c>
      <c r="FWZ4">
        <v>0</v>
      </c>
      <c r="FXA4">
        <v>0</v>
      </c>
      <c r="FXB4">
        <v>71</v>
      </c>
      <c r="FXC4">
        <v>89</v>
      </c>
      <c r="FXD4">
        <v>0</v>
      </c>
      <c r="FXE4">
        <v>0</v>
      </c>
      <c r="FXF4">
        <v>0</v>
      </c>
      <c r="FXG4">
        <v>19</v>
      </c>
      <c r="FXH4">
        <v>100</v>
      </c>
      <c r="FXI4">
        <v>0</v>
      </c>
      <c r="FXJ4">
        <v>111.99</v>
      </c>
      <c r="FXK4">
        <v>0</v>
      </c>
      <c r="FXL4">
        <v>682.98</v>
      </c>
      <c r="FXM4">
        <v>0</v>
      </c>
      <c r="FXN4">
        <v>452.99</v>
      </c>
      <c r="FXO4">
        <v>0</v>
      </c>
      <c r="FXP4">
        <v>0</v>
      </c>
      <c r="FXQ4">
        <v>684.98</v>
      </c>
      <c r="FXR4">
        <v>0</v>
      </c>
      <c r="FXS4">
        <v>6</v>
      </c>
      <c r="FXT4">
        <v>0</v>
      </c>
      <c r="FXU4">
        <v>1355.96</v>
      </c>
      <c r="FXV4">
        <v>1060.96</v>
      </c>
      <c r="FXW4">
        <v>400.98</v>
      </c>
      <c r="FXX4">
        <v>0</v>
      </c>
      <c r="FXY4">
        <v>0</v>
      </c>
      <c r="FXZ4">
        <v>0</v>
      </c>
      <c r="FYA4">
        <v>0</v>
      </c>
      <c r="FYB4">
        <v>0</v>
      </c>
      <c r="FYC4">
        <v>0</v>
      </c>
      <c r="FYD4">
        <v>37</v>
      </c>
      <c r="FYE4">
        <v>0</v>
      </c>
      <c r="FYF4">
        <v>190</v>
      </c>
      <c r="FYG4">
        <v>0</v>
      </c>
      <c r="FYH4">
        <v>37</v>
      </c>
      <c r="FYI4">
        <v>0</v>
      </c>
      <c r="FYJ4">
        <v>0</v>
      </c>
      <c r="FYK4">
        <v>0</v>
      </c>
      <c r="FYL4">
        <v>67</v>
      </c>
      <c r="FYM4">
        <v>41</v>
      </c>
      <c r="FYN4">
        <v>61</v>
      </c>
      <c r="FYO4">
        <v>0</v>
      </c>
      <c r="FYP4">
        <v>178.99</v>
      </c>
      <c r="FYQ4">
        <v>0</v>
      </c>
      <c r="FYR4">
        <v>0</v>
      </c>
      <c r="FYS4">
        <v>597.98</v>
      </c>
      <c r="FYT4">
        <v>376.96</v>
      </c>
      <c r="FYU4">
        <v>0</v>
      </c>
      <c r="FYV4">
        <v>174</v>
      </c>
      <c r="FYW4">
        <v>0</v>
      </c>
      <c r="FYX4">
        <v>0</v>
      </c>
      <c r="FYY4">
        <v>123</v>
      </c>
      <c r="FYZ4">
        <v>0</v>
      </c>
      <c r="FZA4">
        <v>81</v>
      </c>
      <c r="FZB4">
        <v>232.98</v>
      </c>
      <c r="FZC4">
        <v>132</v>
      </c>
      <c r="FZD4">
        <v>0</v>
      </c>
      <c r="FZE4">
        <v>0</v>
      </c>
      <c r="FZF4">
        <v>0</v>
      </c>
      <c r="FZG4">
        <v>0</v>
      </c>
      <c r="FZH4">
        <v>23.99</v>
      </c>
      <c r="FZI4">
        <v>0</v>
      </c>
      <c r="FZJ4">
        <v>0</v>
      </c>
      <c r="FZK4">
        <v>94</v>
      </c>
      <c r="FZL4">
        <v>0</v>
      </c>
      <c r="FZM4">
        <v>7</v>
      </c>
      <c r="FZN4">
        <v>0</v>
      </c>
      <c r="FZO4">
        <v>0</v>
      </c>
      <c r="FZP4">
        <v>133</v>
      </c>
      <c r="FZQ4">
        <v>93</v>
      </c>
      <c r="FZR4">
        <v>0</v>
      </c>
      <c r="FZS4">
        <v>235.99</v>
      </c>
      <c r="FZT4">
        <v>0</v>
      </c>
      <c r="FZU4">
        <v>0</v>
      </c>
      <c r="FZV4">
        <v>0</v>
      </c>
      <c r="FZW4">
        <v>0</v>
      </c>
      <c r="FZX4">
        <v>0</v>
      </c>
      <c r="FZY4">
        <v>1535.92</v>
      </c>
      <c r="FZZ4">
        <v>0</v>
      </c>
      <c r="GAA4">
        <v>0</v>
      </c>
      <c r="GAB4">
        <v>0</v>
      </c>
      <c r="GAC4">
        <v>0</v>
      </c>
      <c r="GAD4">
        <v>0</v>
      </c>
      <c r="GAE4">
        <v>0</v>
      </c>
      <c r="GAF4">
        <v>0</v>
      </c>
      <c r="GAG4">
        <v>0</v>
      </c>
      <c r="GAH4">
        <v>103</v>
      </c>
      <c r="GAI4">
        <v>0</v>
      </c>
      <c r="GAJ4">
        <v>0</v>
      </c>
      <c r="GAK4">
        <v>0</v>
      </c>
      <c r="GAL4">
        <v>312.99</v>
      </c>
      <c r="GAM4">
        <v>0</v>
      </c>
      <c r="GAN4">
        <v>0</v>
      </c>
      <c r="GAO4">
        <v>1932.95</v>
      </c>
      <c r="GAP4">
        <v>0</v>
      </c>
      <c r="GAQ4">
        <v>0</v>
      </c>
      <c r="GAR4">
        <v>0</v>
      </c>
      <c r="GAS4">
        <v>0</v>
      </c>
      <c r="GAT4">
        <v>417.96</v>
      </c>
      <c r="GAU4">
        <v>0</v>
      </c>
      <c r="GAV4">
        <v>11</v>
      </c>
      <c r="GAW4">
        <v>0</v>
      </c>
      <c r="GAX4">
        <v>27</v>
      </c>
      <c r="GAY4">
        <v>0</v>
      </c>
      <c r="GAZ4">
        <v>0</v>
      </c>
      <c r="GBA4">
        <v>86</v>
      </c>
      <c r="GBB4">
        <v>0</v>
      </c>
      <c r="GBC4">
        <v>0</v>
      </c>
      <c r="GBD4">
        <v>0</v>
      </c>
      <c r="GBE4">
        <v>0</v>
      </c>
      <c r="GBF4">
        <v>0</v>
      </c>
      <c r="GBG4">
        <v>114.99</v>
      </c>
      <c r="GBH4">
        <v>0</v>
      </c>
      <c r="GBI4">
        <v>334</v>
      </c>
      <c r="GBJ4">
        <v>0</v>
      </c>
      <c r="GBK4">
        <v>0</v>
      </c>
      <c r="GBL4">
        <v>0</v>
      </c>
      <c r="GBM4">
        <v>0</v>
      </c>
      <c r="GBN4">
        <v>0</v>
      </c>
      <c r="GBO4">
        <v>0</v>
      </c>
      <c r="GBP4">
        <v>88.99</v>
      </c>
      <c r="GBQ4">
        <v>0</v>
      </c>
      <c r="GBR4">
        <v>0</v>
      </c>
      <c r="GBS4">
        <v>60</v>
      </c>
      <c r="GBT4">
        <v>879.98</v>
      </c>
      <c r="GBU4">
        <v>2128.86</v>
      </c>
      <c r="GBV4">
        <v>0</v>
      </c>
      <c r="GBW4">
        <v>75</v>
      </c>
      <c r="GBX4">
        <v>12</v>
      </c>
      <c r="GBY4">
        <v>0</v>
      </c>
      <c r="GBZ4">
        <v>0</v>
      </c>
      <c r="GCA4">
        <v>0</v>
      </c>
      <c r="GCB4">
        <v>0</v>
      </c>
      <c r="GCC4">
        <v>435.98</v>
      </c>
      <c r="GCD4">
        <v>31</v>
      </c>
      <c r="GCE4">
        <v>0</v>
      </c>
      <c r="GCF4">
        <v>23</v>
      </c>
      <c r="GCG4">
        <v>392.99</v>
      </c>
      <c r="GCH4">
        <v>779.96</v>
      </c>
      <c r="GCI4">
        <v>28</v>
      </c>
      <c r="GCJ4">
        <v>0</v>
      </c>
      <c r="GCK4">
        <v>0</v>
      </c>
      <c r="GCL4">
        <v>0</v>
      </c>
      <c r="GCM4">
        <v>0</v>
      </c>
      <c r="GCN4">
        <v>44.99</v>
      </c>
      <c r="GCO4">
        <v>0</v>
      </c>
      <c r="GCP4">
        <v>0</v>
      </c>
      <c r="GCQ4">
        <v>35</v>
      </c>
      <c r="GCR4">
        <v>0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1292.97</v>
      </c>
      <c r="GCY4">
        <v>0</v>
      </c>
      <c r="GCZ4">
        <v>0</v>
      </c>
      <c r="GDA4">
        <v>0</v>
      </c>
      <c r="GDB4">
        <v>110</v>
      </c>
      <c r="GDC4">
        <v>278.98</v>
      </c>
      <c r="GDD4">
        <v>0</v>
      </c>
      <c r="GDE4">
        <v>0</v>
      </c>
      <c r="GDF4">
        <v>360.99</v>
      </c>
      <c r="GDG4">
        <v>0</v>
      </c>
      <c r="GDH4">
        <v>0</v>
      </c>
      <c r="GDI4">
        <v>0</v>
      </c>
      <c r="GDJ4">
        <v>527.97</v>
      </c>
      <c r="GDK4">
        <v>0</v>
      </c>
      <c r="GDL4">
        <v>0</v>
      </c>
      <c r="GDM4">
        <v>374.99</v>
      </c>
      <c r="GDN4">
        <v>11</v>
      </c>
      <c r="GDO4">
        <v>0</v>
      </c>
      <c r="GDP4">
        <v>0</v>
      </c>
      <c r="GDQ4">
        <v>89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19</v>
      </c>
      <c r="GDX4">
        <v>7</v>
      </c>
      <c r="GDY4">
        <v>0</v>
      </c>
      <c r="GDZ4">
        <v>0</v>
      </c>
      <c r="GEA4">
        <v>617.99</v>
      </c>
      <c r="GEB4">
        <v>116.99</v>
      </c>
      <c r="GEC4">
        <v>574.99</v>
      </c>
      <c r="GED4">
        <v>6</v>
      </c>
      <c r="GEE4">
        <v>0</v>
      </c>
      <c r="GEF4">
        <v>0</v>
      </c>
      <c r="GEG4">
        <v>0</v>
      </c>
      <c r="GEH4">
        <v>90</v>
      </c>
      <c r="GEI4">
        <v>40.99</v>
      </c>
      <c r="GEJ4">
        <v>0</v>
      </c>
      <c r="GEK4">
        <v>192.99</v>
      </c>
      <c r="GEL4">
        <v>0</v>
      </c>
      <c r="GEM4">
        <v>0</v>
      </c>
      <c r="GEN4">
        <v>0</v>
      </c>
      <c r="GEO4">
        <v>221</v>
      </c>
      <c r="GEP4">
        <v>156</v>
      </c>
      <c r="GEQ4">
        <v>120</v>
      </c>
      <c r="GER4">
        <v>0</v>
      </c>
      <c r="GES4">
        <v>0</v>
      </c>
      <c r="GET4">
        <v>0</v>
      </c>
      <c r="GEU4">
        <v>34</v>
      </c>
      <c r="GEV4">
        <v>0</v>
      </c>
      <c r="GEW4">
        <v>0</v>
      </c>
      <c r="GEX4">
        <v>49</v>
      </c>
      <c r="GEY4">
        <v>0</v>
      </c>
      <c r="GEZ4">
        <v>0</v>
      </c>
      <c r="GFA4">
        <v>0</v>
      </c>
      <c r="GFB4">
        <v>1241.9100000000001</v>
      </c>
      <c r="GFC4">
        <v>0</v>
      </c>
      <c r="GFD4">
        <v>111</v>
      </c>
      <c r="GFE4">
        <v>0</v>
      </c>
      <c r="GFF4">
        <v>0</v>
      </c>
      <c r="GFG4">
        <v>0</v>
      </c>
      <c r="GFH4">
        <v>0</v>
      </c>
      <c r="GFI4">
        <v>175.99</v>
      </c>
      <c r="GFJ4">
        <v>0</v>
      </c>
      <c r="GFK4">
        <v>0</v>
      </c>
      <c r="GFL4">
        <v>14</v>
      </c>
      <c r="GFM4">
        <v>0</v>
      </c>
      <c r="GFN4">
        <v>0</v>
      </c>
      <c r="GFO4">
        <v>0</v>
      </c>
      <c r="GFP4">
        <v>2722.91</v>
      </c>
      <c r="GFQ4">
        <v>0</v>
      </c>
      <c r="GFR4">
        <v>0</v>
      </c>
      <c r="GFS4">
        <v>0</v>
      </c>
      <c r="GFT4">
        <v>0</v>
      </c>
      <c r="GFU4">
        <v>65.989999999999995</v>
      </c>
      <c r="GFV4">
        <v>0</v>
      </c>
      <c r="GFW4">
        <v>395</v>
      </c>
      <c r="GFX4">
        <v>0</v>
      </c>
      <c r="GFY4">
        <v>0</v>
      </c>
      <c r="GFZ4">
        <v>0</v>
      </c>
      <c r="GGA4">
        <v>0</v>
      </c>
      <c r="GGB4">
        <v>0</v>
      </c>
      <c r="GGC4">
        <v>0</v>
      </c>
      <c r="GGD4">
        <v>0</v>
      </c>
      <c r="GGE4">
        <v>0</v>
      </c>
      <c r="GGF4">
        <v>0</v>
      </c>
      <c r="GGG4">
        <v>1288.95</v>
      </c>
      <c r="GGH4">
        <v>0</v>
      </c>
      <c r="GGI4">
        <v>0</v>
      </c>
      <c r="GGJ4">
        <v>0</v>
      </c>
      <c r="GGK4">
        <v>0</v>
      </c>
      <c r="GGL4">
        <v>0</v>
      </c>
      <c r="GGM4">
        <v>0</v>
      </c>
      <c r="GGN4">
        <v>405.99</v>
      </c>
      <c r="GGO4">
        <v>0</v>
      </c>
      <c r="GGP4">
        <v>135.97999999999999</v>
      </c>
      <c r="GGQ4">
        <v>0</v>
      </c>
      <c r="GGR4">
        <v>0</v>
      </c>
      <c r="GGS4">
        <v>0</v>
      </c>
      <c r="GGT4">
        <v>0</v>
      </c>
      <c r="GGU4">
        <v>0</v>
      </c>
      <c r="GGV4">
        <v>0</v>
      </c>
      <c r="GGW4">
        <v>19</v>
      </c>
      <c r="GGX4">
        <v>0</v>
      </c>
      <c r="GGY4">
        <v>0</v>
      </c>
      <c r="GGZ4">
        <v>0</v>
      </c>
      <c r="GHA4">
        <v>0</v>
      </c>
      <c r="GHB4">
        <v>0</v>
      </c>
      <c r="GHC4">
        <v>0</v>
      </c>
      <c r="GHD4">
        <v>0</v>
      </c>
      <c r="GHE4">
        <v>0</v>
      </c>
      <c r="GHF4">
        <v>0</v>
      </c>
      <c r="GHG4">
        <v>1518.91</v>
      </c>
      <c r="GHH4">
        <v>22</v>
      </c>
      <c r="GHI4">
        <v>203</v>
      </c>
      <c r="GHJ4">
        <v>0</v>
      </c>
      <c r="GHK4">
        <v>0</v>
      </c>
      <c r="GHL4">
        <v>74</v>
      </c>
      <c r="GHM4">
        <v>429.99</v>
      </c>
      <c r="GHN4">
        <v>72</v>
      </c>
      <c r="GHO4">
        <v>60</v>
      </c>
      <c r="GHP4">
        <v>0</v>
      </c>
      <c r="GHQ4">
        <v>0</v>
      </c>
      <c r="GHR4">
        <v>114</v>
      </c>
      <c r="GHS4">
        <v>347.99</v>
      </c>
      <c r="GHT4">
        <v>0</v>
      </c>
      <c r="GHU4">
        <v>677.98</v>
      </c>
      <c r="GHV4">
        <v>0</v>
      </c>
      <c r="GHW4">
        <v>0</v>
      </c>
      <c r="GHX4">
        <v>0</v>
      </c>
      <c r="GHY4">
        <v>0</v>
      </c>
      <c r="GHZ4">
        <v>0</v>
      </c>
      <c r="GIA4">
        <v>56</v>
      </c>
      <c r="GIB4">
        <v>0</v>
      </c>
      <c r="GIC4">
        <v>866.92</v>
      </c>
      <c r="GID4">
        <v>0</v>
      </c>
      <c r="GIE4">
        <v>3374.8</v>
      </c>
      <c r="GIF4">
        <v>900.98</v>
      </c>
      <c r="GIG4">
        <v>54.99</v>
      </c>
      <c r="GIH4">
        <v>548.99</v>
      </c>
      <c r="GII4">
        <v>0</v>
      </c>
      <c r="GIJ4">
        <v>2221.89</v>
      </c>
      <c r="GIK4">
        <v>0</v>
      </c>
      <c r="GIL4">
        <v>0</v>
      </c>
      <c r="GIM4">
        <v>101.99</v>
      </c>
      <c r="GIN4">
        <v>0</v>
      </c>
      <c r="GIO4">
        <v>0</v>
      </c>
      <c r="GIP4">
        <v>0</v>
      </c>
      <c r="GIQ4">
        <v>1433.91</v>
      </c>
      <c r="GIR4">
        <v>0</v>
      </c>
      <c r="GIS4">
        <v>355.99</v>
      </c>
      <c r="GIT4">
        <v>411.97</v>
      </c>
      <c r="GIU4">
        <v>0</v>
      </c>
      <c r="GIV4">
        <v>0</v>
      </c>
      <c r="GIW4">
        <v>0</v>
      </c>
      <c r="GIX4">
        <v>0</v>
      </c>
      <c r="GIY4">
        <v>96</v>
      </c>
      <c r="GIZ4">
        <v>3711.71</v>
      </c>
      <c r="GJA4">
        <v>0</v>
      </c>
      <c r="GJB4">
        <v>3048.91</v>
      </c>
      <c r="GJC4">
        <v>318.98</v>
      </c>
      <c r="GJD4">
        <v>3562.83</v>
      </c>
      <c r="GJE4">
        <v>0</v>
      </c>
      <c r="GJF4">
        <v>0</v>
      </c>
      <c r="GJG4">
        <v>64</v>
      </c>
      <c r="GJH4">
        <v>0</v>
      </c>
      <c r="GJI4">
        <v>0</v>
      </c>
      <c r="GJJ4">
        <v>0</v>
      </c>
      <c r="GJK4">
        <v>1118.96</v>
      </c>
      <c r="GJL4">
        <v>206</v>
      </c>
      <c r="GJM4">
        <v>0</v>
      </c>
      <c r="GJN4">
        <v>0</v>
      </c>
      <c r="GJO4">
        <v>0</v>
      </c>
      <c r="GJP4">
        <v>43</v>
      </c>
      <c r="GJQ4">
        <v>0</v>
      </c>
      <c r="GJR4">
        <v>0</v>
      </c>
      <c r="GJS4">
        <v>1241.94</v>
      </c>
      <c r="GJT4">
        <v>87</v>
      </c>
      <c r="GJU4">
        <v>0</v>
      </c>
      <c r="GJV4">
        <v>0</v>
      </c>
      <c r="GJW4">
        <v>0</v>
      </c>
      <c r="GJX4">
        <v>0</v>
      </c>
      <c r="GJY4">
        <v>86</v>
      </c>
      <c r="GJZ4">
        <v>0</v>
      </c>
      <c r="GKA4">
        <v>0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136.99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0</v>
      </c>
      <c r="GKN4">
        <v>0</v>
      </c>
      <c r="GKO4">
        <v>0</v>
      </c>
      <c r="GKP4">
        <v>323.99</v>
      </c>
      <c r="GKQ4">
        <v>0</v>
      </c>
      <c r="GKR4">
        <v>148.99</v>
      </c>
      <c r="GKS4">
        <v>0</v>
      </c>
      <c r="GKT4">
        <v>38</v>
      </c>
      <c r="GKU4">
        <v>0</v>
      </c>
      <c r="GKV4">
        <v>946.95</v>
      </c>
      <c r="GKW4">
        <v>0</v>
      </c>
      <c r="GKX4">
        <v>0</v>
      </c>
      <c r="GKY4">
        <v>37</v>
      </c>
      <c r="GKZ4">
        <v>0</v>
      </c>
      <c r="GLA4">
        <v>64.989999999999995</v>
      </c>
      <c r="GLB4">
        <v>0</v>
      </c>
      <c r="GLC4">
        <v>0</v>
      </c>
      <c r="GLD4">
        <v>0</v>
      </c>
      <c r="GLE4">
        <v>89</v>
      </c>
      <c r="GLF4">
        <v>8</v>
      </c>
      <c r="GLG4">
        <v>0</v>
      </c>
      <c r="GLH4">
        <v>0</v>
      </c>
      <c r="GLI4">
        <v>0</v>
      </c>
      <c r="GLJ4">
        <v>494</v>
      </c>
      <c r="GLK4">
        <v>0</v>
      </c>
      <c r="GLL4">
        <v>0</v>
      </c>
      <c r="GLM4">
        <v>0</v>
      </c>
      <c r="GLN4">
        <v>0</v>
      </c>
      <c r="GLO4">
        <v>0</v>
      </c>
      <c r="GLP4">
        <v>0</v>
      </c>
      <c r="GLQ4">
        <v>34.99</v>
      </c>
      <c r="GLR4">
        <v>0</v>
      </c>
      <c r="GLS4">
        <v>1701.91</v>
      </c>
      <c r="GLT4">
        <v>425</v>
      </c>
      <c r="GLU4">
        <v>0</v>
      </c>
      <c r="GLV4">
        <v>0</v>
      </c>
      <c r="GLW4">
        <v>212.98</v>
      </c>
      <c r="GLX4">
        <v>0</v>
      </c>
      <c r="GLY4">
        <v>0</v>
      </c>
      <c r="GLZ4">
        <v>0</v>
      </c>
      <c r="GMA4">
        <v>0</v>
      </c>
      <c r="GMB4">
        <v>8</v>
      </c>
      <c r="GMC4">
        <v>0</v>
      </c>
      <c r="GMD4">
        <v>0</v>
      </c>
      <c r="GME4">
        <v>0</v>
      </c>
      <c r="GMF4">
        <v>3096.82</v>
      </c>
      <c r="GMG4">
        <v>133</v>
      </c>
      <c r="GMH4">
        <v>122</v>
      </c>
      <c r="GMI4">
        <v>0</v>
      </c>
      <c r="GMJ4">
        <v>0</v>
      </c>
      <c r="GMK4">
        <v>0</v>
      </c>
      <c r="GML4">
        <v>3600.81</v>
      </c>
      <c r="GMM4">
        <v>0</v>
      </c>
      <c r="GMN4">
        <v>855.98</v>
      </c>
      <c r="GMO4">
        <v>85</v>
      </c>
      <c r="GMP4">
        <v>0</v>
      </c>
      <c r="GMQ4">
        <v>387.99</v>
      </c>
      <c r="GMR4">
        <v>0</v>
      </c>
      <c r="GMS4">
        <v>40</v>
      </c>
      <c r="GMT4">
        <v>1171.96</v>
      </c>
      <c r="GMU4">
        <v>5424.72</v>
      </c>
      <c r="GMV4">
        <v>1077.95</v>
      </c>
      <c r="GMW4">
        <v>48</v>
      </c>
      <c r="GMX4">
        <v>0</v>
      </c>
      <c r="GMY4">
        <v>0</v>
      </c>
      <c r="GMZ4">
        <v>0</v>
      </c>
      <c r="GNA4">
        <v>4185.8100000000004</v>
      </c>
      <c r="GNB4">
        <v>0</v>
      </c>
      <c r="GNC4">
        <v>71</v>
      </c>
      <c r="GND4">
        <v>357.99</v>
      </c>
      <c r="GNE4">
        <v>509.96</v>
      </c>
      <c r="GNF4">
        <v>0</v>
      </c>
      <c r="GNG4">
        <v>373.99</v>
      </c>
      <c r="GNH4">
        <v>0</v>
      </c>
      <c r="GNI4">
        <v>0</v>
      </c>
      <c r="GNJ4">
        <v>697.95</v>
      </c>
      <c r="GNK4">
        <v>0</v>
      </c>
      <c r="GNL4">
        <v>2173.91</v>
      </c>
      <c r="GNM4">
        <v>225</v>
      </c>
      <c r="GNN4">
        <v>0</v>
      </c>
      <c r="GNO4">
        <v>794.98</v>
      </c>
      <c r="GNP4">
        <v>1193.97</v>
      </c>
      <c r="GNQ4">
        <v>0</v>
      </c>
      <c r="GNR4">
        <v>1014.95</v>
      </c>
      <c r="GNS4">
        <v>141.99</v>
      </c>
      <c r="GNT4">
        <v>240.98</v>
      </c>
      <c r="GNU4">
        <v>0</v>
      </c>
      <c r="GNV4">
        <v>0</v>
      </c>
      <c r="GNW4">
        <v>0</v>
      </c>
      <c r="GNX4">
        <v>213</v>
      </c>
      <c r="GNY4">
        <v>0</v>
      </c>
      <c r="GNZ4">
        <v>343.99</v>
      </c>
      <c r="GOA4">
        <v>580</v>
      </c>
      <c r="GOB4">
        <v>894.95</v>
      </c>
      <c r="GOC4">
        <v>630.97</v>
      </c>
      <c r="GOD4">
        <v>0</v>
      </c>
      <c r="GOE4">
        <v>0</v>
      </c>
      <c r="GOF4">
        <v>0</v>
      </c>
      <c r="GOG4">
        <v>884.97</v>
      </c>
      <c r="GOH4">
        <v>621.96</v>
      </c>
      <c r="GOI4">
        <v>269.99</v>
      </c>
      <c r="GOJ4">
        <v>0</v>
      </c>
      <c r="GOK4">
        <v>0</v>
      </c>
      <c r="GOL4">
        <v>504.98</v>
      </c>
      <c r="GOM4">
        <v>0</v>
      </c>
      <c r="GON4">
        <v>0</v>
      </c>
      <c r="GOO4">
        <v>922.96</v>
      </c>
      <c r="GOP4">
        <v>8901.7099999999991</v>
      </c>
      <c r="GOQ4">
        <v>0</v>
      </c>
      <c r="GOR4">
        <v>0</v>
      </c>
      <c r="GOS4">
        <v>1745.89</v>
      </c>
      <c r="GOT4">
        <v>0</v>
      </c>
      <c r="GOU4">
        <v>0</v>
      </c>
      <c r="GOV4">
        <v>716.98</v>
      </c>
      <c r="GOW4">
        <v>264.99</v>
      </c>
      <c r="GOX4">
        <v>0</v>
      </c>
      <c r="GOY4">
        <v>18</v>
      </c>
      <c r="GOZ4">
        <v>5847.62</v>
      </c>
      <c r="GPA4">
        <v>0</v>
      </c>
      <c r="GPB4">
        <v>0</v>
      </c>
      <c r="GPC4">
        <v>5493.67</v>
      </c>
      <c r="GPD4">
        <v>19</v>
      </c>
      <c r="GPE4">
        <v>0</v>
      </c>
      <c r="GPF4">
        <v>0</v>
      </c>
      <c r="GPG4">
        <v>0</v>
      </c>
      <c r="GPH4">
        <v>16</v>
      </c>
      <c r="GPI4">
        <v>0</v>
      </c>
      <c r="GPJ4">
        <v>0</v>
      </c>
      <c r="GPK4">
        <v>119</v>
      </c>
      <c r="GPL4">
        <v>4090.75</v>
      </c>
      <c r="GPM4">
        <v>0</v>
      </c>
      <c r="GPN4">
        <v>0</v>
      </c>
      <c r="GPO4">
        <v>0</v>
      </c>
      <c r="GPP4">
        <v>161.99</v>
      </c>
      <c r="GPQ4">
        <v>0</v>
      </c>
      <c r="GPR4">
        <v>1214.9100000000001</v>
      </c>
      <c r="GPS4">
        <v>0</v>
      </c>
      <c r="GPT4">
        <v>0</v>
      </c>
      <c r="GPU4">
        <v>0</v>
      </c>
      <c r="GPV4">
        <v>0</v>
      </c>
      <c r="GPW4">
        <v>911.96</v>
      </c>
      <c r="GPX4">
        <v>2234.9</v>
      </c>
      <c r="GPY4">
        <v>602.96</v>
      </c>
      <c r="GPZ4">
        <v>0</v>
      </c>
      <c r="GQA4">
        <v>87.99</v>
      </c>
      <c r="GQB4">
        <v>0</v>
      </c>
      <c r="GQC4">
        <v>0</v>
      </c>
      <c r="GQD4">
        <v>137</v>
      </c>
      <c r="GQE4">
        <v>218.99</v>
      </c>
      <c r="GQF4">
        <v>1276.96</v>
      </c>
      <c r="GQG4">
        <v>0</v>
      </c>
      <c r="GQH4">
        <v>0</v>
      </c>
      <c r="GQI4">
        <v>1629.93</v>
      </c>
      <c r="GQJ4">
        <v>0</v>
      </c>
      <c r="GQK4">
        <v>0</v>
      </c>
      <c r="GQL4">
        <v>0</v>
      </c>
      <c r="GQM4">
        <v>102</v>
      </c>
      <c r="GQN4">
        <v>2116.89</v>
      </c>
      <c r="GQO4">
        <v>0</v>
      </c>
      <c r="GQP4">
        <v>0</v>
      </c>
      <c r="GQQ4">
        <v>0</v>
      </c>
      <c r="GQR4">
        <v>2806.86</v>
      </c>
      <c r="GQS4">
        <v>630.95000000000005</v>
      </c>
      <c r="GQT4">
        <v>22</v>
      </c>
      <c r="GQU4">
        <v>0</v>
      </c>
      <c r="GQV4">
        <v>797.96</v>
      </c>
      <c r="GQW4">
        <v>0</v>
      </c>
      <c r="GQX4">
        <v>502.98</v>
      </c>
      <c r="GQY4">
        <v>2138.84</v>
      </c>
      <c r="GQZ4">
        <v>877.96</v>
      </c>
      <c r="GRA4">
        <v>0</v>
      </c>
      <c r="GRB4">
        <v>0</v>
      </c>
      <c r="GRC4">
        <v>78</v>
      </c>
      <c r="GRD4">
        <v>249.98</v>
      </c>
      <c r="GRE4">
        <v>0</v>
      </c>
      <c r="GRF4">
        <v>8564.56</v>
      </c>
      <c r="GRG4">
        <v>1283.95</v>
      </c>
      <c r="GRH4">
        <v>0</v>
      </c>
      <c r="GRI4">
        <v>4052.79</v>
      </c>
      <c r="GRJ4">
        <v>0</v>
      </c>
      <c r="GRK4">
        <v>49</v>
      </c>
      <c r="GRL4">
        <v>53</v>
      </c>
      <c r="GRM4">
        <v>2471.88</v>
      </c>
      <c r="GRN4">
        <v>167.99</v>
      </c>
      <c r="GRO4">
        <v>1796.92</v>
      </c>
      <c r="GRP4">
        <v>23</v>
      </c>
      <c r="GRQ4">
        <v>213</v>
      </c>
      <c r="GRR4">
        <v>732.96</v>
      </c>
      <c r="GRS4">
        <v>1986.92</v>
      </c>
      <c r="GRT4">
        <v>522.98</v>
      </c>
      <c r="GRU4">
        <v>543.98</v>
      </c>
      <c r="GRV4">
        <v>1531.96</v>
      </c>
      <c r="GRW4">
        <v>5044.75</v>
      </c>
      <c r="GRX4">
        <v>0</v>
      </c>
      <c r="GRY4">
        <v>3017.79</v>
      </c>
      <c r="GRZ4">
        <v>31</v>
      </c>
      <c r="GSA4">
        <v>425.98</v>
      </c>
      <c r="GSB4">
        <v>1112.96</v>
      </c>
      <c r="GSC4">
        <v>3178.88</v>
      </c>
      <c r="GSD4">
        <v>1744.95</v>
      </c>
      <c r="GSE4">
        <v>3825.81</v>
      </c>
      <c r="GSF4">
        <v>1169.96</v>
      </c>
      <c r="GSG4">
        <v>5031.8500000000004</v>
      </c>
      <c r="GSH4">
        <v>0</v>
      </c>
      <c r="GSI4">
        <v>8952.4500000000007</v>
      </c>
      <c r="GSJ4">
        <v>5579.79</v>
      </c>
      <c r="GSK4">
        <v>11213.42</v>
      </c>
      <c r="GSL4">
        <v>433.97</v>
      </c>
      <c r="GSM4">
        <v>1561.95</v>
      </c>
      <c r="GSN4">
        <v>0</v>
      </c>
      <c r="GSO4">
        <v>6080.7</v>
      </c>
      <c r="GSP4">
        <v>5321.83</v>
      </c>
      <c r="GSQ4">
        <v>4807.74</v>
      </c>
      <c r="GSR4">
        <v>290908.33</v>
      </c>
    </row>
    <row r="5" spans="1:5244" x14ac:dyDescent="0.2">
      <c r="A5" s="7">
        <v>38</v>
      </c>
      <c r="B5">
        <v>0</v>
      </c>
      <c r="C5">
        <v>0</v>
      </c>
      <c r="D5">
        <v>0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4</v>
      </c>
      <c r="AI5">
        <v>4</v>
      </c>
      <c r="AJ5">
        <v>4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5</v>
      </c>
      <c r="BO5">
        <v>5</v>
      </c>
      <c r="BP5">
        <v>5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7</v>
      </c>
      <c r="FZ5">
        <v>7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8</v>
      </c>
      <c r="IH5">
        <v>8</v>
      </c>
      <c r="II5">
        <v>8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8.99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9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9.99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10</v>
      </c>
      <c r="MB5">
        <v>10</v>
      </c>
      <c r="MC5">
        <v>10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11</v>
      </c>
      <c r="OH5">
        <v>11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12</v>
      </c>
      <c r="QL5">
        <v>12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13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14</v>
      </c>
      <c r="VB5">
        <v>14</v>
      </c>
      <c r="VC5">
        <v>14</v>
      </c>
      <c r="VD5">
        <v>14</v>
      </c>
      <c r="VE5">
        <v>14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15</v>
      </c>
      <c r="XF5">
        <v>15</v>
      </c>
      <c r="XG5">
        <v>15</v>
      </c>
      <c r="XH5">
        <v>15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16</v>
      </c>
      <c r="ZF5">
        <v>4</v>
      </c>
      <c r="ZG5">
        <v>16</v>
      </c>
      <c r="ZH5">
        <v>16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19</v>
      </c>
      <c r="AEY5">
        <v>19</v>
      </c>
      <c r="AEZ5">
        <v>19</v>
      </c>
      <c r="AFA5">
        <v>5</v>
      </c>
      <c r="AFB5">
        <v>19</v>
      </c>
      <c r="AFC5">
        <v>19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20</v>
      </c>
      <c r="AHM5">
        <v>6</v>
      </c>
      <c r="AHN5">
        <v>20</v>
      </c>
      <c r="AHO5">
        <v>20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21</v>
      </c>
      <c r="AJK5">
        <v>21</v>
      </c>
      <c r="AJL5">
        <v>21</v>
      </c>
      <c r="AJM5">
        <v>21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22</v>
      </c>
      <c r="ALK5">
        <v>22</v>
      </c>
      <c r="ALL5">
        <v>22</v>
      </c>
      <c r="ALM5">
        <v>22</v>
      </c>
      <c r="ALN5">
        <v>22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23</v>
      </c>
      <c r="ANI5">
        <v>23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14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6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26</v>
      </c>
      <c r="ASH5">
        <v>26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27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28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17</v>
      </c>
      <c r="AWL5">
        <v>0</v>
      </c>
      <c r="AWM5">
        <v>0</v>
      </c>
      <c r="AWN5">
        <v>0</v>
      </c>
      <c r="AWO5">
        <v>29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5</v>
      </c>
      <c r="AXX5">
        <v>30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31</v>
      </c>
      <c r="AZD5">
        <v>10</v>
      </c>
      <c r="AZE5">
        <v>31</v>
      </c>
      <c r="AZF5">
        <v>31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11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33</v>
      </c>
      <c r="BBU5">
        <v>33</v>
      </c>
      <c r="BBV5">
        <v>14</v>
      </c>
      <c r="BBW5">
        <v>33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34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35</v>
      </c>
      <c r="BFA5">
        <v>6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36</v>
      </c>
      <c r="BGD5">
        <v>36</v>
      </c>
      <c r="BGE5">
        <v>36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38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38.99</v>
      </c>
      <c r="BJV5">
        <v>38.99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39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3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41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41.99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42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8</v>
      </c>
      <c r="BOK5">
        <v>36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10</v>
      </c>
      <c r="BPK5">
        <v>44</v>
      </c>
      <c r="BPL5">
        <v>44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45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28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49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13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47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27</v>
      </c>
      <c r="BWA5">
        <v>0</v>
      </c>
      <c r="BWB5">
        <v>0</v>
      </c>
      <c r="BWC5">
        <v>51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32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  <c r="BYZ5">
        <v>0</v>
      </c>
      <c r="BZA5">
        <v>0</v>
      </c>
      <c r="BZB5">
        <v>19</v>
      </c>
      <c r="BZC5">
        <v>0</v>
      </c>
      <c r="BZD5">
        <v>0</v>
      </c>
      <c r="BZE5">
        <v>0</v>
      </c>
      <c r="BZF5">
        <v>0</v>
      </c>
      <c r="BZG5">
        <v>0</v>
      </c>
      <c r="BZH5">
        <v>0</v>
      </c>
      <c r="BZI5">
        <v>0</v>
      </c>
      <c r="BZJ5">
        <v>0</v>
      </c>
      <c r="BZK5">
        <v>0</v>
      </c>
      <c r="BZL5">
        <v>0</v>
      </c>
      <c r="BZM5">
        <v>0</v>
      </c>
      <c r="BZN5">
        <v>0</v>
      </c>
      <c r="BZO5">
        <v>0</v>
      </c>
      <c r="BZP5">
        <v>0</v>
      </c>
      <c r="BZQ5">
        <v>0</v>
      </c>
      <c r="BZR5">
        <v>0</v>
      </c>
      <c r="BZS5">
        <v>0</v>
      </c>
      <c r="BZT5">
        <v>0</v>
      </c>
      <c r="BZU5">
        <v>15</v>
      </c>
      <c r="BZV5">
        <v>0</v>
      </c>
      <c r="BZW5">
        <v>0</v>
      </c>
      <c r="BZX5">
        <v>0</v>
      </c>
      <c r="BZY5">
        <v>0</v>
      </c>
      <c r="BZZ5">
        <v>0</v>
      </c>
      <c r="CAA5">
        <v>0</v>
      </c>
      <c r="CAB5">
        <v>0</v>
      </c>
      <c r="CAC5">
        <v>0</v>
      </c>
      <c r="CAD5">
        <v>0</v>
      </c>
      <c r="CAE5">
        <v>0</v>
      </c>
      <c r="CAF5">
        <v>24</v>
      </c>
      <c r="CAG5">
        <v>0</v>
      </c>
      <c r="CAH5">
        <v>0</v>
      </c>
      <c r="CAI5">
        <v>57</v>
      </c>
      <c r="CAJ5">
        <v>0</v>
      </c>
      <c r="CAK5">
        <v>0</v>
      </c>
      <c r="CAL5">
        <v>0</v>
      </c>
      <c r="CAM5">
        <v>0</v>
      </c>
      <c r="CAN5">
        <v>0</v>
      </c>
      <c r="CAO5">
        <v>0</v>
      </c>
      <c r="CAP5">
        <v>0</v>
      </c>
      <c r="CAQ5">
        <v>0</v>
      </c>
      <c r="CAR5">
        <v>0</v>
      </c>
      <c r="CAS5">
        <v>0</v>
      </c>
      <c r="CAT5">
        <v>0</v>
      </c>
      <c r="CAU5">
        <v>0</v>
      </c>
      <c r="CAV5">
        <v>0</v>
      </c>
      <c r="CAW5">
        <v>0</v>
      </c>
      <c r="CAX5">
        <v>0</v>
      </c>
      <c r="CAY5">
        <v>0</v>
      </c>
      <c r="CAZ5">
        <v>0</v>
      </c>
      <c r="CBA5">
        <v>0</v>
      </c>
      <c r="CBB5">
        <v>0</v>
      </c>
      <c r="CBC5">
        <v>0</v>
      </c>
      <c r="CBD5">
        <v>0</v>
      </c>
      <c r="CBE5">
        <v>0</v>
      </c>
      <c r="CBF5">
        <v>0</v>
      </c>
      <c r="CBG5">
        <v>0</v>
      </c>
      <c r="CBH5">
        <v>0</v>
      </c>
      <c r="CBI5">
        <v>0</v>
      </c>
      <c r="CBJ5">
        <v>0</v>
      </c>
      <c r="CBK5">
        <v>0</v>
      </c>
      <c r="CBL5">
        <v>0</v>
      </c>
      <c r="CBM5">
        <v>0</v>
      </c>
      <c r="CBN5">
        <v>0</v>
      </c>
      <c r="CBO5">
        <v>0</v>
      </c>
      <c r="CBP5">
        <v>0</v>
      </c>
      <c r="CBQ5">
        <v>0</v>
      </c>
      <c r="CBR5">
        <v>0</v>
      </c>
      <c r="CBS5">
        <v>0</v>
      </c>
      <c r="CBT5">
        <v>0</v>
      </c>
      <c r="CBU5">
        <v>0</v>
      </c>
      <c r="CBV5">
        <v>0</v>
      </c>
      <c r="CBW5">
        <v>0</v>
      </c>
      <c r="CBX5">
        <v>43</v>
      </c>
      <c r="CBY5">
        <v>0</v>
      </c>
      <c r="CBZ5">
        <v>0</v>
      </c>
      <c r="CCA5">
        <v>0</v>
      </c>
      <c r="CCB5">
        <v>0</v>
      </c>
      <c r="CCC5">
        <v>0</v>
      </c>
      <c r="CCD5">
        <v>0</v>
      </c>
      <c r="CCE5">
        <v>0</v>
      </c>
      <c r="CCF5">
        <v>0</v>
      </c>
      <c r="CCG5">
        <v>0</v>
      </c>
      <c r="CCH5">
        <v>48</v>
      </c>
      <c r="CCI5">
        <v>0</v>
      </c>
      <c r="CCJ5">
        <v>0</v>
      </c>
      <c r="CCK5">
        <v>0</v>
      </c>
      <c r="CCL5">
        <v>60</v>
      </c>
      <c r="CCM5">
        <v>0</v>
      </c>
      <c r="CCN5">
        <v>0</v>
      </c>
      <c r="CCO5">
        <v>0</v>
      </c>
      <c r="CCP5">
        <v>0</v>
      </c>
      <c r="CCQ5">
        <v>0</v>
      </c>
      <c r="CCR5">
        <v>0</v>
      </c>
      <c r="CCS5">
        <v>0</v>
      </c>
      <c r="CCT5">
        <v>0</v>
      </c>
      <c r="CCU5">
        <v>0</v>
      </c>
      <c r="CCV5">
        <v>0</v>
      </c>
      <c r="CCW5">
        <v>0</v>
      </c>
      <c r="CCX5">
        <v>0</v>
      </c>
      <c r="CCY5">
        <v>0</v>
      </c>
      <c r="CCZ5">
        <v>0</v>
      </c>
      <c r="CDA5">
        <v>0</v>
      </c>
      <c r="CDB5">
        <v>0</v>
      </c>
      <c r="CDC5">
        <v>0</v>
      </c>
      <c r="CDD5">
        <v>26</v>
      </c>
      <c r="CDE5">
        <v>0</v>
      </c>
      <c r="CDF5">
        <v>0</v>
      </c>
      <c r="CDG5">
        <v>0</v>
      </c>
      <c r="CDH5">
        <v>0</v>
      </c>
      <c r="CDI5">
        <v>0</v>
      </c>
      <c r="CDJ5">
        <v>0</v>
      </c>
      <c r="CDK5">
        <v>0</v>
      </c>
      <c r="CDL5">
        <v>0</v>
      </c>
      <c r="CDM5">
        <v>0</v>
      </c>
      <c r="CDN5">
        <v>0</v>
      </c>
      <c r="CDO5">
        <v>0</v>
      </c>
      <c r="CDP5">
        <v>0</v>
      </c>
      <c r="CDQ5">
        <v>0</v>
      </c>
      <c r="CDR5">
        <v>0</v>
      </c>
      <c r="CDS5">
        <v>0</v>
      </c>
      <c r="CDT5">
        <v>0</v>
      </c>
      <c r="CDU5">
        <v>0</v>
      </c>
      <c r="CDV5">
        <v>0</v>
      </c>
      <c r="CDW5">
        <v>0</v>
      </c>
      <c r="CDX5">
        <v>0</v>
      </c>
      <c r="CDY5">
        <v>0</v>
      </c>
      <c r="CDZ5">
        <v>0</v>
      </c>
      <c r="CEA5">
        <v>0</v>
      </c>
      <c r="CEB5">
        <v>0</v>
      </c>
      <c r="CEC5">
        <v>0</v>
      </c>
      <c r="CED5">
        <v>0</v>
      </c>
      <c r="CEE5">
        <v>0</v>
      </c>
      <c r="CEF5">
        <v>0</v>
      </c>
      <c r="CEG5">
        <v>0</v>
      </c>
      <c r="CEH5">
        <v>63</v>
      </c>
      <c r="CEI5">
        <v>0</v>
      </c>
      <c r="CEJ5">
        <v>0</v>
      </c>
      <c r="CEK5">
        <v>0</v>
      </c>
      <c r="CEL5">
        <v>0</v>
      </c>
      <c r="CEM5">
        <v>0</v>
      </c>
      <c r="CEN5">
        <v>0</v>
      </c>
      <c r="CEO5">
        <v>0</v>
      </c>
      <c r="CEP5">
        <v>0</v>
      </c>
      <c r="CEQ5">
        <v>0</v>
      </c>
      <c r="CER5">
        <v>0</v>
      </c>
      <c r="CES5">
        <v>0</v>
      </c>
      <c r="CET5">
        <v>0</v>
      </c>
      <c r="CEU5">
        <v>0</v>
      </c>
      <c r="CEV5">
        <v>0</v>
      </c>
      <c r="CEW5">
        <v>0</v>
      </c>
      <c r="CEX5">
        <v>0</v>
      </c>
      <c r="CEY5">
        <v>0</v>
      </c>
      <c r="CEZ5">
        <v>0</v>
      </c>
      <c r="CFA5">
        <v>0</v>
      </c>
      <c r="CFB5">
        <v>0</v>
      </c>
      <c r="CFC5">
        <v>0</v>
      </c>
      <c r="CFD5">
        <v>0</v>
      </c>
      <c r="CFE5">
        <v>0</v>
      </c>
      <c r="CFF5">
        <v>0</v>
      </c>
      <c r="CFG5">
        <v>0</v>
      </c>
      <c r="CFH5">
        <v>0</v>
      </c>
      <c r="CFI5">
        <v>0</v>
      </c>
      <c r="CFJ5">
        <v>0</v>
      </c>
      <c r="CFK5">
        <v>0</v>
      </c>
      <c r="CFL5">
        <v>0</v>
      </c>
      <c r="CFM5">
        <v>0</v>
      </c>
      <c r="CFN5">
        <v>0</v>
      </c>
      <c r="CFO5">
        <v>0</v>
      </c>
      <c r="CFP5">
        <v>0</v>
      </c>
      <c r="CFQ5">
        <v>0</v>
      </c>
      <c r="CFR5">
        <v>0</v>
      </c>
      <c r="CFS5">
        <v>0</v>
      </c>
      <c r="CFT5">
        <v>0</v>
      </c>
      <c r="CFU5">
        <v>0</v>
      </c>
      <c r="CFV5">
        <v>0</v>
      </c>
      <c r="CFW5">
        <v>0</v>
      </c>
      <c r="CFX5">
        <v>0</v>
      </c>
      <c r="CFY5">
        <v>0</v>
      </c>
      <c r="CFZ5">
        <v>65</v>
      </c>
      <c r="CGA5">
        <v>41</v>
      </c>
      <c r="CGB5">
        <v>0</v>
      </c>
      <c r="CGC5">
        <v>0</v>
      </c>
      <c r="CGD5">
        <v>0</v>
      </c>
      <c r="CGE5">
        <v>0</v>
      </c>
      <c r="CGF5">
        <v>0</v>
      </c>
      <c r="CGG5">
        <v>0</v>
      </c>
      <c r="CGH5">
        <v>0</v>
      </c>
      <c r="CGI5">
        <v>0</v>
      </c>
      <c r="CGJ5">
        <v>0</v>
      </c>
      <c r="CGK5">
        <v>0</v>
      </c>
      <c r="CGL5">
        <v>0</v>
      </c>
      <c r="CGM5">
        <v>0</v>
      </c>
      <c r="CGN5">
        <v>0</v>
      </c>
      <c r="CGO5">
        <v>0</v>
      </c>
      <c r="CGP5">
        <v>0</v>
      </c>
      <c r="CGQ5">
        <v>0</v>
      </c>
      <c r="CGR5">
        <v>66</v>
      </c>
      <c r="CGS5">
        <v>18</v>
      </c>
      <c r="CGT5">
        <v>0</v>
      </c>
      <c r="CGU5">
        <v>0</v>
      </c>
      <c r="CGV5">
        <v>0</v>
      </c>
      <c r="CGW5">
        <v>0</v>
      </c>
      <c r="CGX5">
        <v>0</v>
      </c>
      <c r="CGY5">
        <v>0</v>
      </c>
      <c r="CGZ5">
        <v>0</v>
      </c>
      <c r="CHA5">
        <v>0</v>
      </c>
      <c r="CHB5">
        <v>0</v>
      </c>
      <c r="CHC5">
        <v>25</v>
      </c>
      <c r="CHD5">
        <v>0</v>
      </c>
      <c r="CHE5">
        <v>0</v>
      </c>
      <c r="CHF5">
        <v>0</v>
      </c>
      <c r="CHG5">
        <v>0</v>
      </c>
      <c r="CHH5">
        <v>0</v>
      </c>
      <c r="CHI5">
        <v>0</v>
      </c>
      <c r="CHJ5">
        <v>67</v>
      </c>
      <c r="CHK5">
        <v>0</v>
      </c>
      <c r="CHL5">
        <v>0</v>
      </c>
      <c r="CHM5">
        <v>0</v>
      </c>
      <c r="CHN5">
        <v>0</v>
      </c>
      <c r="CHO5">
        <v>0</v>
      </c>
      <c r="CHP5">
        <v>0</v>
      </c>
      <c r="CHQ5">
        <v>0</v>
      </c>
      <c r="CHR5">
        <v>0</v>
      </c>
      <c r="CHS5">
        <v>0</v>
      </c>
      <c r="CHT5">
        <v>0</v>
      </c>
      <c r="CHU5">
        <v>0</v>
      </c>
      <c r="CHV5">
        <v>0</v>
      </c>
      <c r="CHW5">
        <v>0</v>
      </c>
      <c r="CHX5">
        <v>0</v>
      </c>
      <c r="CHY5">
        <v>0</v>
      </c>
      <c r="CHZ5">
        <v>0</v>
      </c>
      <c r="CIA5">
        <v>0</v>
      </c>
      <c r="CIB5">
        <v>0</v>
      </c>
      <c r="CIC5">
        <v>0</v>
      </c>
      <c r="CID5">
        <v>0</v>
      </c>
      <c r="CIE5">
        <v>0</v>
      </c>
      <c r="CIF5">
        <v>0</v>
      </c>
      <c r="CIG5">
        <v>0</v>
      </c>
      <c r="CIH5">
        <v>68</v>
      </c>
      <c r="CII5">
        <v>68</v>
      </c>
      <c r="CIJ5">
        <v>13</v>
      </c>
      <c r="CIK5">
        <v>0</v>
      </c>
      <c r="CIL5">
        <v>0</v>
      </c>
      <c r="CIM5">
        <v>0</v>
      </c>
      <c r="CIN5">
        <v>0</v>
      </c>
      <c r="CIO5">
        <v>0</v>
      </c>
      <c r="CIP5">
        <v>0</v>
      </c>
      <c r="CIQ5">
        <v>0</v>
      </c>
      <c r="CIR5">
        <v>0</v>
      </c>
      <c r="CIS5">
        <v>0</v>
      </c>
      <c r="CIT5">
        <v>0</v>
      </c>
      <c r="CIU5">
        <v>0</v>
      </c>
      <c r="CIV5">
        <v>0</v>
      </c>
      <c r="CIW5">
        <v>0</v>
      </c>
      <c r="CIX5">
        <v>0</v>
      </c>
      <c r="CIY5">
        <v>0</v>
      </c>
      <c r="CIZ5">
        <v>69</v>
      </c>
      <c r="CJA5">
        <v>69</v>
      </c>
      <c r="CJB5">
        <v>47</v>
      </c>
      <c r="CJC5">
        <v>0</v>
      </c>
      <c r="CJD5">
        <v>0</v>
      </c>
      <c r="CJE5">
        <v>0</v>
      </c>
      <c r="CJF5">
        <v>0</v>
      </c>
      <c r="CJG5">
        <v>0</v>
      </c>
      <c r="CJH5">
        <v>0</v>
      </c>
      <c r="CJI5">
        <v>0</v>
      </c>
      <c r="CJJ5">
        <v>0</v>
      </c>
      <c r="CJK5">
        <v>0</v>
      </c>
      <c r="CJL5">
        <v>0</v>
      </c>
      <c r="CJM5">
        <v>0</v>
      </c>
      <c r="CJN5">
        <v>0</v>
      </c>
      <c r="CJO5">
        <v>0</v>
      </c>
      <c r="CJP5">
        <v>0</v>
      </c>
      <c r="CJQ5">
        <v>0</v>
      </c>
      <c r="CJR5">
        <v>0</v>
      </c>
      <c r="CJS5">
        <v>0</v>
      </c>
      <c r="CJT5">
        <v>0</v>
      </c>
      <c r="CJU5">
        <v>0</v>
      </c>
      <c r="CJV5">
        <v>0</v>
      </c>
      <c r="CJW5">
        <v>0</v>
      </c>
      <c r="CJX5">
        <v>0</v>
      </c>
      <c r="CJY5">
        <v>0</v>
      </c>
      <c r="CJZ5">
        <v>0</v>
      </c>
      <c r="CKA5">
        <v>0</v>
      </c>
      <c r="CKB5">
        <v>0</v>
      </c>
      <c r="CKC5">
        <v>0</v>
      </c>
      <c r="CKD5">
        <v>0</v>
      </c>
      <c r="CKE5">
        <v>0</v>
      </c>
      <c r="CKF5">
        <v>0</v>
      </c>
      <c r="CKG5">
        <v>0</v>
      </c>
      <c r="CKH5">
        <v>9</v>
      </c>
      <c r="CKI5">
        <v>0</v>
      </c>
      <c r="CKJ5">
        <v>0</v>
      </c>
      <c r="CKK5">
        <v>0</v>
      </c>
      <c r="CKL5">
        <v>0</v>
      </c>
      <c r="CKM5">
        <v>62</v>
      </c>
      <c r="CKN5">
        <v>0</v>
      </c>
      <c r="CKO5">
        <v>0</v>
      </c>
      <c r="CKP5">
        <v>0</v>
      </c>
      <c r="CKQ5">
        <v>0</v>
      </c>
      <c r="CKR5">
        <v>0</v>
      </c>
      <c r="CKS5">
        <v>0</v>
      </c>
      <c r="CKT5">
        <v>0</v>
      </c>
      <c r="CKU5">
        <v>0</v>
      </c>
      <c r="CKV5">
        <v>0</v>
      </c>
      <c r="CKW5">
        <v>0</v>
      </c>
      <c r="CKX5">
        <v>0</v>
      </c>
      <c r="CKY5">
        <v>0</v>
      </c>
      <c r="CKZ5">
        <v>0</v>
      </c>
      <c r="CLA5">
        <v>19</v>
      </c>
      <c r="CLB5">
        <v>0</v>
      </c>
      <c r="CLC5">
        <v>0</v>
      </c>
      <c r="CLD5">
        <v>0</v>
      </c>
      <c r="CLE5">
        <v>0</v>
      </c>
      <c r="CLF5">
        <v>0</v>
      </c>
      <c r="CLG5">
        <v>0</v>
      </c>
      <c r="CLH5">
        <v>0</v>
      </c>
      <c r="CLI5">
        <v>0</v>
      </c>
      <c r="CLJ5">
        <v>0</v>
      </c>
      <c r="CLK5">
        <v>0</v>
      </c>
      <c r="CLL5">
        <v>73</v>
      </c>
      <c r="CLM5">
        <v>73</v>
      </c>
      <c r="CLN5">
        <v>0</v>
      </c>
      <c r="CLO5">
        <v>0</v>
      </c>
      <c r="CLP5">
        <v>0</v>
      </c>
      <c r="CLQ5">
        <v>0</v>
      </c>
      <c r="CLR5">
        <v>0</v>
      </c>
      <c r="CLS5">
        <v>0</v>
      </c>
      <c r="CLT5">
        <v>0</v>
      </c>
      <c r="CLU5">
        <v>0</v>
      </c>
      <c r="CLV5">
        <v>0</v>
      </c>
      <c r="CLW5">
        <v>0</v>
      </c>
      <c r="CLX5">
        <v>0</v>
      </c>
      <c r="CLY5">
        <v>0</v>
      </c>
      <c r="CLZ5">
        <v>0</v>
      </c>
      <c r="CMA5">
        <v>0</v>
      </c>
      <c r="CMB5">
        <v>0</v>
      </c>
      <c r="CMC5">
        <v>0</v>
      </c>
      <c r="CMD5">
        <v>0</v>
      </c>
      <c r="CME5">
        <v>0</v>
      </c>
      <c r="CMF5">
        <v>0</v>
      </c>
      <c r="CMG5">
        <v>0</v>
      </c>
      <c r="CMH5">
        <v>0</v>
      </c>
      <c r="CMI5">
        <v>0</v>
      </c>
      <c r="CMJ5">
        <v>0</v>
      </c>
      <c r="CMK5">
        <v>0</v>
      </c>
      <c r="CML5">
        <v>0</v>
      </c>
      <c r="CMM5">
        <v>0</v>
      </c>
      <c r="CMN5">
        <v>0</v>
      </c>
      <c r="CMO5">
        <v>0</v>
      </c>
      <c r="CMP5">
        <v>0</v>
      </c>
      <c r="CMQ5">
        <v>0</v>
      </c>
      <c r="CMR5">
        <v>0</v>
      </c>
      <c r="CMS5">
        <v>0</v>
      </c>
      <c r="CMT5">
        <v>0</v>
      </c>
      <c r="CMU5">
        <v>0</v>
      </c>
      <c r="CMV5">
        <v>0</v>
      </c>
      <c r="CMW5">
        <v>0</v>
      </c>
      <c r="CMX5">
        <v>0</v>
      </c>
      <c r="CMY5">
        <v>0</v>
      </c>
      <c r="CMZ5">
        <v>0</v>
      </c>
      <c r="CNA5">
        <v>0</v>
      </c>
      <c r="CNB5">
        <v>0</v>
      </c>
      <c r="CNC5">
        <v>0</v>
      </c>
      <c r="CND5">
        <v>0</v>
      </c>
      <c r="CNE5">
        <v>0</v>
      </c>
      <c r="CNF5">
        <v>0</v>
      </c>
      <c r="CNG5">
        <v>0</v>
      </c>
      <c r="CNH5">
        <v>0</v>
      </c>
      <c r="CNI5">
        <v>0</v>
      </c>
      <c r="CNJ5">
        <v>0</v>
      </c>
      <c r="CNK5">
        <v>0</v>
      </c>
      <c r="CNL5">
        <v>0</v>
      </c>
      <c r="CNM5">
        <v>0</v>
      </c>
      <c r="CNN5">
        <v>0</v>
      </c>
      <c r="CNO5">
        <v>0</v>
      </c>
      <c r="CNP5">
        <v>0</v>
      </c>
      <c r="CNQ5">
        <v>0</v>
      </c>
      <c r="CNR5">
        <v>0</v>
      </c>
      <c r="CNS5">
        <v>0</v>
      </c>
      <c r="CNT5">
        <v>0</v>
      </c>
      <c r="CNU5">
        <v>0</v>
      </c>
      <c r="CNV5">
        <v>0</v>
      </c>
      <c r="CNW5">
        <v>0</v>
      </c>
      <c r="CNX5">
        <v>22</v>
      </c>
      <c r="CNY5">
        <v>0</v>
      </c>
      <c r="CNZ5">
        <v>0</v>
      </c>
      <c r="COA5">
        <v>0</v>
      </c>
      <c r="COB5">
        <v>0</v>
      </c>
      <c r="COC5">
        <v>0</v>
      </c>
      <c r="COD5">
        <v>0</v>
      </c>
      <c r="COE5">
        <v>0</v>
      </c>
      <c r="COF5">
        <v>0</v>
      </c>
      <c r="COG5">
        <v>0</v>
      </c>
      <c r="COH5">
        <v>0</v>
      </c>
      <c r="COI5">
        <v>0</v>
      </c>
      <c r="COJ5">
        <v>0</v>
      </c>
      <c r="COK5">
        <v>0</v>
      </c>
      <c r="COL5">
        <v>0</v>
      </c>
      <c r="COM5">
        <v>0</v>
      </c>
      <c r="CON5">
        <v>0</v>
      </c>
      <c r="COO5">
        <v>0</v>
      </c>
      <c r="COP5">
        <v>0</v>
      </c>
      <c r="COQ5">
        <v>0</v>
      </c>
      <c r="COR5">
        <v>0</v>
      </c>
      <c r="COS5">
        <v>0</v>
      </c>
      <c r="COT5">
        <v>0</v>
      </c>
      <c r="COU5">
        <v>0</v>
      </c>
      <c r="COV5">
        <v>0</v>
      </c>
      <c r="COW5">
        <v>0</v>
      </c>
      <c r="COX5">
        <v>64</v>
      </c>
      <c r="COY5">
        <v>0</v>
      </c>
      <c r="COZ5">
        <v>0</v>
      </c>
      <c r="CPA5">
        <v>0</v>
      </c>
      <c r="CPB5">
        <v>0</v>
      </c>
      <c r="CPC5">
        <v>0</v>
      </c>
      <c r="CPD5">
        <v>0</v>
      </c>
      <c r="CPE5">
        <v>0</v>
      </c>
      <c r="CPF5">
        <v>0</v>
      </c>
      <c r="CPG5">
        <v>0</v>
      </c>
      <c r="CPH5">
        <v>0</v>
      </c>
      <c r="CPI5">
        <v>81</v>
      </c>
      <c r="CPJ5">
        <v>0</v>
      </c>
      <c r="CPK5">
        <v>0</v>
      </c>
      <c r="CPL5">
        <v>0</v>
      </c>
      <c r="CPM5">
        <v>0</v>
      </c>
      <c r="CPN5">
        <v>0</v>
      </c>
      <c r="CPO5">
        <v>0</v>
      </c>
      <c r="CPP5">
        <v>0</v>
      </c>
      <c r="CPQ5">
        <v>0</v>
      </c>
      <c r="CPR5">
        <v>0</v>
      </c>
      <c r="CPS5">
        <v>82</v>
      </c>
      <c r="CPT5">
        <v>0</v>
      </c>
      <c r="CPU5">
        <v>0</v>
      </c>
      <c r="CPV5">
        <v>0</v>
      </c>
      <c r="CPW5">
        <v>77</v>
      </c>
      <c r="CPX5">
        <v>0</v>
      </c>
      <c r="CPY5">
        <v>0</v>
      </c>
      <c r="CPZ5">
        <v>0</v>
      </c>
      <c r="CQA5">
        <v>0</v>
      </c>
      <c r="CQB5">
        <v>0</v>
      </c>
      <c r="CQC5">
        <v>0</v>
      </c>
      <c r="CQD5">
        <v>0</v>
      </c>
      <c r="CQE5">
        <v>0</v>
      </c>
      <c r="CQF5">
        <v>0</v>
      </c>
      <c r="CQG5">
        <v>0</v>
      </c>
      <c r="CQH5">
        <v>0</v>
      </c>
      <c r="CQI5">
        <v>0</v>
      </c>
      <c r="CQJ5">
        <v>0</v>
      </c>
      <c r="CQK5">
        <v>0</v>
      </c>
      <c r="CQL5">
        <v>0</v>
      </c>
      <c r="CQM5">
        <v>0</v>
      </c>
      <c r="CQN5">
        <v>0</v>
      </c>
      <c r="CQO5">
        <v>0</v>
      </c>
      <c r="CQP5">
        <v>0</v>
      </c>
      <c r="CQQ5">
        <v>0</v>
      </c>
      <c r="CQR5">
        <v>0</v>
      </c>
      <c r="CQS5">
        <v>0</v>
      </c>
      <c r="CQT5">
        <v>0</v>
      </c>
      <c r="CQU5">
        <v>0</v>
      </c>
      <c r="CQV5">
        <v>0</v>
      </c>
      <c r="CQW5">
        <v>0</v>
      </c>
      <c r="CQX5">
        <v>0</v>
      </c>
      <c r="CQY5">
        <v>0</v>
      </c>
      <c r="CQZ5">
        <v>0</v>
      </c>
      <c r="CRA5">
        <v>26</v>
      </c>
      <c r="CRB5">
        <v>0</v>
      </c>
      <c r="CRC5">
        <v>57</v>
      </c>
      <c r="CRD5">
        <v>0</v>
      </c>
      <c r="CRE5">
        <v>0</v>
      </c>
      <c r="CRF5">
        <v>0</v>
      </c>
      <c r="CRG5">
        <v>0</v>
      </c>
      <c r="CRH5">
        <v>12</v>
      </c>
      <c r="CRI5">
        <v>0</v>
      </c>
      <c r="CRJ5">
        <v>0</v>
      </c>
      <c r="CRK5">
        <v>0</v>
      </c>
      <c r="CRL5">
        <v>0</v>
      </c>
      <c r="CRM5">
        <v>0</v>
      </c>
      <c r="CRN5">
        <v>0</v>
      </c>
      <c r="CRO5">
        <v>0</v>
      </c>
      <c r="CRP5">
        <v>0</v>
      </c>
      <c r="CRQ5">
        <v>0</v>
      </c>
      <c r="CRR5">
        <v>0</v>
      </c>
      <c r="CRS5">
        <v>0</v>
      </c>
      <c r="CRT5">
        <v>0</v>
      </c>
      <c r="CRU5">
        <v>13</v>
      </c>
      <c r="CRV5">
        <v>0</v>
      </c>
      <c r="CRW5">
        <v>0</v>
      </c>
      <c r="CRX5">
        <v>0</v>
      </c>
      <c r="CRY5">
        <v>0</v>
      </c>
      <c r="CRZ5">
        <v>88</v>
      </c>
      <c r="CSA5">
        <v>0</v>
      </c>
      <c r="CSB5">
        <v>0</v>
      </c>
      <c r="CSC5">
        <v>0</v>
      </c>
      <c r="CSD5">
        <v>0</v>
      </c>
      <c r="CSE5">
        <v>0</v>
      </c>
      <c r="CSF5">
        <v>0</v>
      </c>
      <c r="CSG5">
        <v>0</v>
      </c>
      <c r="CSH5">
        <v>0</v>
      </c>
      <c r="CSI5">
        <v>0</v>
      </c>
      <c r="CSJ5">
        <v>0</v>
      </c>
      <c r="CSK5">
        <v>0</v>
      </c>
      <c r="CSL5">
        <v>89</v>
      </c>
      <c r="CSM5">
        <v>0</v>
      </c>
      <c r="CSN5">
        <v>0</v>
      </c>
      <c r="CSO5">
        <v>0</v>
      </c>
      <c r="CSP5">
        <v>0</v>
      </c>
      <c r="CSQ5">
        <v>0</v>
      </c>
      <c r="CSR5">
        <v>0</v>
      </c>
      <c r="CSS5">
        <v>0</v>
      </c>
      <c r="CST5">
        <v>0</v>
      </c>
      <c r="CSU5">
        <v>0</v>
      </c>
      <c r="CSV5">
        <v>0</v>
      </c>
      <c r="CSW5">
        <v>0</v>
      </c>
      <c r="CSX5">
        <v>0</v>
      </c>
      <c r="CSY5">
        <v>0</v>
      </c>
      <c r="CSZ5">
        <v>0</v>
      </c>
      <c r="CTA5">
        <v>0</v>
      </c>
      <c r="CTB5">
        <v>0</v>
      </c>
      <c r="CTC5">
        <v>20</v>
      </c>
      <c r="CTD5">
        <v>0</v>
      </c>
      <c r="CTE5">
        <v>0</v>
      </c>
      <c r="CTF5">
        <v>0</v>
      </c>
      <c r="CTG5">
        <v>0</v>
      </c>
      <c r="CTH5">
        <v>0</v>
      </c>
      <c r="CTI5">
        <v>0</v>
      </c>
      <c r="CTJ5">
        <v>0</v>
      </c>
      <c r="CTK5">
        <v>0</v>
      </c>
      <c r="CTL5">
        <v>0</v>
      </c>
      <c r="CTM5">
        <v>26</v>
      </c>
      <c r="CTN5">
        <v>0</v>
      </c>
      <c r="CTO5">
        <v>0</v>
      </c>
      <c r="CTP5">
        <v>0</v>
      </c>
      <c r="CTQ5">
        <v>0</v>
      </c>
      <c r="CTR5">
        <v>0</v>
      </c>
      <c r="CTS5">
        <v>16</v>
      </c>
      <c r="CTT5">
        <v>0</v>
      </c>
      <c r="CTU5">
        <v>0</v>
      </c>
      <c r="CTV5">
        <v>0</v>
      </c>
      <c r="CTW5">
        <v>0</v>
      </c>
      <c r="CTX5">
        <v>0</v>
      </c>
      <c r="CTY5">
        <v>0</v>
      </c>
      <c r="CTZ5">
        <v>0</v>
      </c>
      <c r="CUA5">
        <v>0</v>
      </c>
      <c r="CUB5">
        <v>0</v>
      </c>
      <c r="CUC5">
        <v>54</v>
      </c>
      <c r="CUD5">
        <v>0</v>
      </c>
      <c r="CUE5">
        <v>0</v>
      </c>
      <c r="CUF5">
        <v>0</v>
      </c>
      <c r="CUG5">
        <v>0</v>
      </c>
      <c r="CUH5">
        <v>0</v>
      </c>
      <c r="CUI5">
        <v>0</v>
      </c>
      <c r="CUJ5">
        <v>0</v>
      </c>
      <c r="CUK5">
        <v>0</v>
      </c>
      <c r="CUL5">
        <v>0</v>
      </c>
      <c r="CUM5">
        <v>6</v>
      </c>
      <c r="CUN5">
        <v>0</v>
      </c>
      <c r="CUO5">
        <v>0</v>
      </c>
      <c r="CUP5">
        <v>0</v>
      </c>
      <c r="CUQ5">
        <v>0</v>
      </c>
      <c r="CUR5">
        <v>0</v>
      </c>
      <c r="CUS5">
        <v>0</v>
      </c>
      <c r="CUT5">
        <v>0</v>
      </c>
      <c r="CUU5">
        <v>13</v>
      </c>
      <c r="CUV5">
        <v>0</v>
      </c>
      <c r="CUW5">
        <v>0</v>
      </c>
      <c r="CUX5">
        <v>0</v>
      </c>
      <c r="CUY5">
        <v>0</v>
      </c>
      <c r="CUZ5">
        <v>0</v>
      </c>
      <c r="CVA5">
        <v>0</v>
      </c>
      <c r="CVB5">
        <v>0</v>
      </c>
      <c r="CVC5">
        <v>0</v>
      </c>
      <c r="CVD5">
        <v>0</v>
      </c>
      <c r="CVE5">
        <v>0</v>
      </c>
      <c r="CVF5">
        <v>0</v>
      </c>
      <c r="CVG5">
        <v>0</v>
      </c>
      <c r="CVH5">
        <v>0</v>
      </c>
      <c r="CVI5">
        <v>0</v>
      </c>
      <c r="CVJ5">
        <v>0</v>
      </c>
      <c r="CVK5">
        <v>0</v>
      </c>
      <c r="CVL5">
        <v>0</v>
      </c>
      <c r="CVM5">
        <v>0</v>
      </c>
      <c r="CVN5">
        <v>0</v>
      </c>
      <c r="CVO5">
        <v>0</v>
      </c>
      <c r="CVP5">
        <v>0</v>
      </c>
      <c r="CVQ5">
        <v>0</v>
      </c>
      <c r="CVR5">
        <v>0</v>
      </c>
      <c r="CVS5">
        <v>0</v>
      </c>
      <c r="CVT5">
        <v>0</v>
      </c>
      <c r="CVU5">
        <v>0</v>
      </c>
      <c r="CVV5">
        <v>0</v>
      </c>
      <c r="CVW5">
        <v>0</v>
      </c>
      <c r="CVX5">
        <v>0</v>
      </c>
      <c r="CVY5">
        <v>0</v>
      </c>
      <c r="CVZ5">
        <v>0</v>
      </c>
      <c r="CWA5">
        <v>0</v>
      </c>
      <c r="CWB5">
        <v>0</v>
      </c>
      <c r="CWC5">
        <v>0</v>
      </c>
      <c r="CWD5">
        <v>0</v>
      </c>
      <c r="CWE5">
        <v>0</v>
      </c>
      <c r="CWF5">
        <v>0</v>
      </c>
      <c r="CWG5">
        <v>0</v>
      </c>
      <c r="CWH5">
        <v>0</v>
      </c>
      <c r="CWI5">
        <v>0</v>
      </c>
      <c r="CWJ5">
        <v>0</v>
      </c>
      <c r="CWK5">
        <v>0</v>
      </c>
      <c r="CWL5">
        <v>0</v>
      </c>
      <c r="CWM5">
        <v>0</v>
      </c>
      <c r="CWN5">
        <v>0</v>
      </c>
      <c r="CWO5">
        <v>0</v>
      </c>
      <c r="CWP5">
        <v>0</v>
      </c>
      <c r="CWQ5">
        <v>0</v>
      </c>
      <c r="CWR5">
        <v>0</v>
      </c>
      <c r="CWS5">
        <v>0</v>
      </c>
      <c r="CWT5">
        <v>0</v>
      </c>
      <c r="CWU5">
        <v>0</v>
      </c>
      <c r="CWV5">
        <v>0</v>
      </c>
      <c r="CWW5">
        <v>0</v>
      </c>
      <c r="CWX5">
        <v>7</v>
      </c>
      <c r="CWY5">
        <v>0</v>
      </c>
      <c r="CWZ5">
        <v>0</v>
      </c>
      <c r="CXA5">
        <v>0</v>
      </c>
      <c r="CXB5">
        <v>0</v>
      </c>
      <c r="CXC5">
        <v>0</v>
      </c>
      <c r="CXD5">
        <v>0</v>
      </c>
      <c r="CXE5">
        <v>0</v>
      </c>
      <c r="CXF5">
        <v>0</v>
      </c>
      <c r="CXG5">
        <v>0</v>
      </c>
      <c r="CXH5">
        <v>0</v>
      </c>
      <c r="CXI5">
        <v>0</v>
      </c>
      <c r="CXJ5">
        <v>0</v>
      </c>
      <c r="CXK5">
        <v>0</v>
      </c>
      <c r="CXL5">
        <v>0</v>
      </c>
      <c r="CXM5">
        <v>0</v>
      </c>
      <c r="CXN5">
        <v>0</v>
      </c>
      <c r="CXO5">
        <v>0</v>
      </c>
      <c r="CXP5">
        <v>101</v>
      </c>
      <c r="CXQ5">
        <v>0</v>
      </c>
      <c r="CXR5">
        <v>0</v>
      </c>
      <c r="CXS5">
        <v>0</v>
      </c>
      <c r="CXT5">
        <v>0</v>
      </c>
      <c r="CXU5">
        <v>0</v>
      </c>
      <c r="CXV5">
        <v>0</v>
      </c>
      <c r="CXW5">
        <v>0</v>
      </c>
      <c r="CXX5">
        <v>0</v>
      </c>
      <c r="CXY5">
        <v>0</v>
      </c>
      <c r="CXZ5">
        <v>0</v>
      </c>
      <c r="CYA5">
        <v>0</v>
      </c>
      <c r="CYB5">
        <v>0</v>
      </c>
      <c r="CYC5">
        <v>0</v>
      </c>
      <c r="CYD5">
        <v>0</v>
      </c>
      <c r="CYE5">
        <v>0</v>
      </c>
      <c r="CYF5">
        <v>0</v>
      </c>
      <c r="CYG5">
        <v>0</v>
      </c>
      <c r="CYH5">
        <v>0</v>
      </c>
      <c r="CYI5">
        <v>0</v>
      </c>
      <c r="CYJ5">
        <v>0</v>
      </c>
      <c r="CYK5">
        <v>0</v>
      </c>
      <c r="CYL5">
        <v>103</v>
      </c>
      <c r="CYM5">
        <v>0</v>
      </c>
      <c r="CYN5">
        <v>0</v>
      </c>
      <c r="CYO5">
        <v>0</v>
      </c>
      <c r="CYP5">
        <v>0</v>
      </c>
      <c r="CYQ5">
        <v>0</v>
      </c>
      <c r="CYR5">
        <v>0</v>
      </c>
      <c r="CYS5">
        <v>0</v>
      </c>
      <c r="CYT5">
        <v>0</v>
      </c>
      <c r="CYU5">
        <v>0</v>
      </c>
      <c r="CYV5">
        <v>36</v>
      </c>
      <c r="CYW5">
        <v>98</v>
      </c>
      <c r="CYX5">
        <v>0</v>
      </c>
      <c r="CYY5">
        <v>0</v>
      </c>
      <c r="CYZ5">
        <v>0</v>
      </c>
      <c r="CZA5">
        <v>0</v>
      </c>
      <c r="CZB5">
        <v>0</v>
      </c>
      <c r="CZC5">
        <v>0</v>
      </c>
      <c r="CZD5">
        <v>0</v>
      </c>
      <c r="CZE5">
        <v>0</v>
      </c>
      <c r="CZF5">
        <v>0</v>
      </c>
      <c r="CZG5">
        <v>37</v>
      </c>
      <c r="CZH5">
        <v>77</v>
      </c>
      <c r="CZI5">
        <v>0</v>
      </c>
      <c r="CZJ5">
        <v>0</v>
      </c>
      <c r="CZK5">
        <v>0</v>
      </c>
      <c r="CZL5">
        <v>0</v>
      </c>
      <c r="CZM5">
        <v>0</v>
      </c>
      <c r="CZN5">
        <v>0</v>
      </c>
      <c r="CZO5">
        <v>0</v>
      </c>
      <c r="CZP5">
        <v>0</v>
      </c>
      <c r="CZQ5">
        <v>0</v>
      </c>
      <c r="CZR5">
        <v>0</v>
      </c>
      <c r="CZS5">
        <v>106</v>
      </c>
      <c r="CZT5">
        <v>0</v>
      </c>
      <c r="CZU5">
        <v>0</v>
      </c>
      <c r="CZV5">
        <v>0</v>
      </c>
      <c r="CZW5">
        <v>0</v>
      </c>
      <c r="CZX5">
        <v>0</v>
      </c>
      <c r="CZY5">
        <v>0</v>
      </c>
      <c r="CZZ5">
        <v>0</v>
      </c>
      <c r="DAA5">
        <v>0</v>
      </c>
      <c r="DAB5">
        <v>0</v>
      </c>
      <c r="DAC5">
        <v>0</v>
      </c>
      <c r="DAD5">
        <v>0</v>
      </c>
      <c r="DAE5">
        <v>107</v>
      </c>
      <c r="DAF5">
        <v>0</v>
      </c>
      <c r="DAG5">
        <v>0</v>
      </c>
      <c r="DAH5">
        <v>0</v>
      </c>
      <c r="DAI5">
        <v>0</v>
      </c>
      <c r="DAJ5">
        <v>0</v>
      </c>
      <c r="DAK5">
        <v>0</v>
      </c>
      <c r="DAL5">
        <v>0</v>
      </c>
      <c r="DAM5">
        <v>0</v>
      </c>
      <c r="DAN5">
        <v>0</v>
      </c>
      <c r="DAO5">
        <v>50</v>
      </c>
      <c r="DAP5">
        <v>0</v>
      </c>
      <c r="DAQ5">
        <v>0</v>
      </c>
      <c r="DAR5">
        <v>0</v>
      </c>
      <c r="DAS5">
        <v>0</v>
      </c>
      <c r="DAT5">
        <v>0</v>
      </c>
      <c r="DAU5">
        <v>0</v>
      </c>
      <c r="DAV5">
        <v>0</v>
      </c>
      <c r="DAW5">
        <v>0</v>
      </c>
      <c r="DAX5">
        <v>0</v>
      </c>
      <c r="DAY5">
        <v>0</v>
      </c>
      <c r="DAZ5">
        <v>0</v>
      </c>
      <c r="DBA5">
        <v>0</v>
      </c>
      <c r="DBB5">
        <v>0</v>
      </c>
      <c r="DBC5">
        <v>0</v>
      </c>
      <c r="DBD5">
        <v>0</v>
      </c>
      <c r="DBE5">
        <v>0</v>
      </c>
      <c r="DBF5">
        <v>0</v>
      </c>
      <c r="DBG5">
        <v>0</v>
      </c>
      <c r="DBH5">
        <v>0</v>
      </c>
      <c r="DBI5">
        <v>0</v>
      </c>
      <c r="DBJ5">
        <v>0</v>
      </c>
      <c r="DBK5">
        <v>0</v>
      </c>
      <c r="DBL5">
        <v>0</v>
      </c>
      <c r="DBM5">
        <v>110.99</v>
      </c>
      <c r="DBN5">
        <v>0</v>
      </c>
      <c r="DBO5">
        <v>0</v>
      </c>
      <c r="DBP5">
        <v>0</v>
      </c>
      <c r="DBQ5">
        <v>0</v>
      </c>
      <c r="DBR5">
        <v>0</v>
      </c>
      <c r="DBS5">
        <v>0</v>
      </c>
      <c r="DBT5">
        <v>0</v>
      </c>
      <c r="DBU5">
        <v>0</v>
      </c>
      <c r="DBV5">
        <v>0</v>
      </c>
      <c r="DBW5">
        <v>0</v>
      </c>
      <c r="DBX5">
        <v>0</v>
      </c>
      <c r="DBY5">
        <v>0</v>
      </c>
      <c r="DBZ5">
        <v>0</v>
      </c>
      <c r="DCA5">
        <v>0</v>
      </c>
      <c r="DCB5">
        <v>0</v>
      </c>
      <c r="DCC5">
        <v>0</v>
      </c>
      <c r="DCD5">
        <v>0</v>
      </c>
      <c r="DCE5">
        <v>0</v>
      </c>
      <c r="DCF5">
        <v>0</v>
      </c>
      <c r="DCG5">
        <v>0</v>
      </c>
      <c r="DCH5">
        <v>0</v>
      </c>
      <c r="DCI5">
        <v>0</v>
      </c>
      <c r="DCJ5">
        <v>0</v>
      </c>
      <c r="DCK5">
        <v>0</v>
      </c>
      <c r="DCL5">
        <v>0</v>
      </c>
      <c r="DCM5">
        <v>0</v>
      </c>
      <c r="DCN5">
        <v>0</v>
      </c>
      <c r="DCO5">
        <v>0</v>
      </c>
      <c r="DCP5">
        <v>0</v>
      </c>
      <c r="DCQ5">
        <v>0</v>
      </c>
      <c r="DCR5">
        <v>0</v>
      </c>
      <c r="DCS5">
        <v>0</v>
      </c>
      <c r="DCT5">
        <v>0</v>
      </c>
      <c r="DCU5">
        <v>0</v>
      </c>
      <c r="DCV5">
        <v>0</v>
      </c>
      <c r="DCW5">
        <v>0</v>
      </c>
      <c r="DCX5">
        <v>0</v>
      </c>
      <c r="DCY5">
        <v>0</v>
      </c>
      <c r="DCZ5">
        <v>14</v>
      </c>
      <c r="DDA5">
        <v>0</v>
      </c>
      <c r="DDB5">
        <v>0</v>
      </c>
      <c r="DDC5">
        <v>0</v>
      </c>
      <c r="DDD5">
        <v>0</v>
      </c>
      <c r="DDE5">
        <v>0</v>
      </c>
      <c r="DDF5">
        <v>0</v>
      </c>
      <c r="DDG5">
        <v>0</v>
      </c>
      <c r="DDH5">
        <v>0</v>
      </c>
      <c r="DDI5">
        <v>0</v>
      </c>
      <c r="DDJ5">
        <v>0</v>
      </c>
      <c r="DDK5">
        <v>0</v>
      </c>
      <c r="DDL5">
        <v>0</v>
      </c>
      <c r="DDM5">
        <v>0</v>
      </c>
      <c r="DDN5">
        <v>0</v>
      </c>
      <c r="DDO5">
        <v>0</v>
      </c>
      <c r="DDP5">
        <v>0</v>
      </c>
      <c r="DDQ5">
        <v>0</v>
      </c>
      <c r="DDR5">
        <v>0</v>
      </c>
      <c r="DDS5">
        <v>19</v>
      </c>
      <c r="DDT5">
        <v>0</v>
      </c>
      <c r="DDU5">
        <v>0</v>
      </c>
      <c r="DDV5">
        <v>0</v>
      </c>
      <c r="DDW5">
        <v>0</v>
      </c>
      <c r="DDX5">
        <v>0</v>
      </c>
      <c r="DDY5">
        <v>71</v>
      </c>
      <c r="DDZ5">
        <v>0</v>
      </c>
      <c r="DEA5">
        <v>118</v>
      </c>
      <c r="DEB5">
        <v>0</v>
      </c>
      <c r="DEC5">
        <v>0</v>
      </c>
      <c r="DED5">
        <v>0</v>
      </c>
      <c r="DEE5">
        <v>0</v>
      </c>
      <c r="DEF5">
        <v>40</v>
      </c>
      <c r="DEG5">
        <v>118.99</v>
      </c>
      <c r="DEH5">
        <v>0</v>
      </c>
      <c r="DEI5">
        <v>0</v>
      </c>
      <c r="DEJ5">
        <v>0</v>
      </c>
      <c r="DEK5">
        <v>0</v>
      </c>
      <c r="DEL5">
        <v>0</v>
      </c>
      <c r="DEM5">
        <v>0</v>
      </c>
      <c r="DEN5">
        <v>0</v>
      </c>
      <c r="DEO5">
        <v>12</v>
      </c>
      <c r="DEP5">
        <v>0</v>
      </c>
      <c r="DEQ5">
        <v>0</v>
      </c>
      <c r="DER5">
        <v>0</v>
      </c>
      <c r="DES5">
        <v>0</v>
      </c>
      <c r="DET5">
        <v>0</v>
      </c>
      <c r="DEU5">
        <v>0</v>
      </c>
      <c r="DEV5">
        <v>0</v>
      </c>
      <c r="DEW5">
        <v>0</v>
      </c>
      <c r="DEX5">
        <v>0</v>
      </c>
      <c r="DEY5">
        <v>0</v>
      </c>
      <c r="DEZ5">
        <v>0</v>
      </c>
      <c r="DFA5">
        <v>0</v>
      </c>
      <c r="DFB5">
        <v>0</v>
      </c>
      <c r="DFC5">
        <v>0</v>
      </c>
      <c r="DFD5">
        <v>0</v>
      </c>
      <c r="DFE5">
        <v>0</v>
      </c>
      <c r="DFF5">
        <v>0</v>
      </c>
      <c r="DFG5">
        <v>0</v>
      </c>
      <c r="DFH5">
        <v>0</v>
      </c>
      <c r="DFI5">
        <v>0</v>
      </c>
      <c r="DFJ5">
        <v>0</v>
      </c>
      <c r="DFK5">
        <v>0</v>
      </c>
      <c r="DFL5">
        <v>37</v>
      </c>
      <c r="DFM5">
        <v>0</v>
      </c>
      <c r="DFN5">
        <v>0</v>
      </c>
      <c r="DFO5">
        <v>0</v>
      </c>
      <c r="DFP5">
        <v>0</v>
      </c>
      <c r="DFQ5">
        <v>0</v>
      </c>
      <c r="DFR5">
        <v>0</v>
      </c>
      <c r="DFS5">
        <v>0</v>
      </c>
      <c r="DFT5">
        <v>0</v>
      </c>
      <c r="DFU5">
        <v>0</v>
      </c>
      <c r="DFV5">
        <v>0</v>
      </c>
      <c r="DFW5">
        <v>0</v>
      </c>
      <c r="DFX5">
        <v>124</v>
      </c>
      <c r="DFY5">
        <v>0</v>
      </c>
      <c r="DFZ5">
        <v>12</v>
      </c>
      <c r="DGA5">
        <v>0</v>
      </c>
      <c r="DGB5">
        <v>0</v>
      </c>
      <c r="DGC5">
        <v>34</v>
      </c>
      <c r="DGD5">
        <v>0</v>
      </c>
      <c r="DGE5">
        <v>7</v>
      </c>
      <c r="DGF5">
        <v>0</v>
      </c>
      <c r="DGG5">
        <v>0</v>
      </c>
      <c r="DGH5">
        <v>0</v>
      </c>
      <c r="DGI5">
        <v>0</v>
      </c>
      <c r="DGJ5">
        <v>0</v>
      </c>
      <c r="DGK5">
        <v>0</v>
      </c>
      <c r="DGL5">
        <v>0</v>
      </c>
      <c r="DGM5">
        <v>0</v>
      </c>
      <c r="DGN5">
        <v>0</v>
      </c>
      <c r="DGO5">
        <v>0</v>
      </c>
      <c r="DGP5">
        <v>0</v>
      </c>
      <c r="DGQ5">
        <v>0</v>
      </c>
      <c r="DGR5">
        <v>0</v>
      </c>
      <c r="DGS5">
        <v>0</v>
      </c>
      <c r="DGT5">
        <v>0</v>
      </c>
      <c r="DGU5">
        <v>0</v>
      </c>
      <c r="DGV5">
        <v>0</v>
      </c>
      <c r="DGW5">
        <v>0</v>
      </c>
      <c r="DGX5">
        <v>0</v>
      </c>
      <c r="DGY5">
        <v>0</v>
      </c>
      <c r="DGZ5">
        <v>0</v>
      </c>
      <c r="DHA5">
        <v>0</v>
      </c>
      <c r="DHB5">
        <v>0</v>
      </c>
      <c r="DHC5">
        <v>0</v>
      </c>
      <c r="DHD5">
        <v>0</v>
      </c>
      <c r="DHE5">
        <v>0</v>
      </c>
      <c r="DHF5">
        <v>0</v>
      </c>
      <c r="DHG5">
        <v>0</v>
      </c>
      <c r="DHH5">
        <v>0</v>
      </c>
      <c r="DHI5">
        <v>118</v>
      </c>
      <c r="DHJ5">
        <v>0</v>
      </c>
      <c r="DHK5">
        <v>0</v>
      </c>
      <c r="DHL5">
        <v>0</v>
      </c>
      <c r="DHM5">
        <v>0</v>
      </c>
      <c r="DHN5">
        <v>0</v>
      </c>
      <c r="DHO5">
        <v>13</v>
      </c>
      <c r="DHP5">
        <v>0</v>
      </c>
      <c r="DHQ5">
        <v>129</v>
      </c>
      <c r="DHR5">
        <v>0</v>
      </c>
      <c r="DHS5">
        <v>0</v>
      </c>
      <c r="DHT5">
        <v>0</v>
      </c>
      <c r="DHU5">
        <v>0</v>
      </c>
      <c r="DHV5">
        <v>0</v>
      </c>
      <c r="DHW5">
        <v>0</v>
      </c>
      <c r="DHX5">
        <v>0</v>
      </c>
      <c r="DHY5">
        <v>0</v>
      </c>
      <c r="DHZ5">
        <v>0</v>
      </c>
      <c r="DIA5">
        <v>0</v>
      </c>
      <c r="DIB5">
        <v>0</v>
      </c>
      <c r="DIC5">
        <v>0</v>
      </c>
      <c r="DID5">
        <v>0</v>
      </c>
      <c r="DIE5">
        <v>0</v>
      </c>
      <c r="DIF5">
        <v>0</v>
      </c>
      <c r="DIG5">
        <v>0</v>
      </c>
      <c r="DIH5">
        <v>0</v>
      </c>
      <c r="DII5">
        <v>0</v>
      </c>
      <c r="DIJ5">
        <v>0</v>
      </c>
      <c r="DIK5">
        <v>131</v>
      </c>
      <c r="DIL5">
        <v>0</v>
      </c>
      <c r="DIM5">
        <v>0</v>
      </c>
      <c r="DIN5">
        <v>0</v>
      </c>
      <c r="DIO5">
        <v>0</v>
      </c>
      <c r="DIP5">
        <v>0</v>
      </c>
      <c r="DIQ5">
        <v>0</v>
      </c>
      <c r="DIR5">
        <v>0</v>
      </c>
      <c r="DIS5">
        <v>0</v>
      </c>
      <c r="DIT5">
        <v>0</v>
      </c>
      <c r="DIU5">
        <v>0</v>
      </c>
      <c r="DIV5">
        <v>0</v>
      </c>
      <c r="DIW5">
        <v>0</v>
      </c>
      <c r="DIX5">
        <v>0</v>
      </c>
      <c r="DIY5">
        <v>0</v>
      </c>
      <c r="DIZ5">
        <v>0</v>
      </c>
      <c r="DJA5">
        <v>0</v>
      </c>
      <c r="DJB5">
        <v>0</v>
      </c>
      <c r="DJC5">
        <v>0</v>
      </c>
      <c r="DJD5">
        <v>0</v>
      </c>
      <c r="DJE5">
        <v>0</v>
      </c>
      <c r="DJF5">
        <v>0</v>
      </c>
      <c r="DJG5">
        <v>0</v>
      </c>
      <c r="DJH5">
        <v>0</v>
      </c>
      <c r="DJI5">
        <v>0</v>
      </c>
      <c r="DJJ5">
        <v>0</v>
      </c>
      <c r="DJK5">
        <v>0</v>
      </c>
      <c r="DJL5">
        <v>0</v>
      </c>
      <c r="DJM5">
        <v>0</v>
      </c>
      <c r="DJN5">
        <v>0</v>
      </c>
      <c r="DJO5">
        <v>0</v>
      </c>
      <c r="DJP5">
        <v>0</v>
      </c>
      <c r="DJQ5">
        <v>0</v>
      </c>
      <c r="DJR5">
        <v>0</v>
      </c>
      <c r="DJS5">
        <v>0</v>
      </c>
      <c r="DJT5">
        <v>0</v>
      </c>
      <c r="DJU5">
        <v>0</v>
      </c>
      <c r="DJV5">
        <v>0</v>
      </c>
      <c r="DJW5">
        <v>35</v>
      </c>
      <c r="DJX5">
        <v>0</v>
      </c>
      <c r="DJY5">
        <v>0</v>
      </c>
      <c r="DJZ5">
        <v>0</v>
      </c>
      <c r="DKA5">
        <v>0</v>
      </c>
      <c r="DKB5">
        <v>0</v>
      </c>
      <c r="DKC5">
        <v>0</v>
      </c>
      <c r="DKD5">
        <v>0</v>
      </c>
      <c r="DKE5">
        <v>0</v>
      </c>
      <c r="DKF5">
        <v>0</v>
      </c>
      <c r="DKG5">
        <v>0</v>
      </c>
      <c r="DKH5">
        <v>0</v>
      </c>
      <c r="DKI5">
        <v>0</v>
      </c>
      <c r="DKJ5">
        <v>0</v>
      </c>
      <c r="DKK5">
        <v>0</v>
      </c>
      <c r="DKL5">
        <v>0</v>
      </c>
      <c r="DKM5">
        <v>0</v>
      </c>
      <c r="DKN5">
        <v>0</v>
      </c>
      <c r="DKO5">
        <v>0</v>
      </c>
      <c r="DKP5">
        <v>0</v>
      </c>
      <c r="DKQ5">
        <v>0</v>
      </c>
      <c r="DKR5">
        <v>0</v>
      </c>
      <c r="DKS5">
        <v>0</v>
      </c>
      <c r="DKT5">
        <v>0</v>
      </c>
      <c r="DKU5">
        <v>0</v>
      </c>
      <c r="DKV5">
        <v>0</v>
      </c>
      <c r="DKW5">
        <v>0</v>
      </c>
      <c r="DKX5">
        <v>0</v>
      </c>
      <c r="DKY5">
        <v>0</v>
      </c>
      <c r="DKZ5">
        <v>0</v>
      </c>
      <c r="DLA5">
        <v>0</v>
      </c>
      <c r="DLB5">
        <v>0</v>
      </c>
      <c r="DLC5">
        <v>0</v>
      </c>
      <c r="DLD5">
        <v>0</v>
      </c>
      <c r="DLE5">
        <v>0</v>
      </c>
      <c r="DLF5">
        <v>0</v>
      </c>
      <c r="DLG5">
        <v>46</v>
      </c>
      <c r="DLH5">
        <v>0</v>
      </c>
      <c r="DLI5">
        <v>0</v>
      </c>
      <c r="DLJ5">
        <v>0</v>
      </c>
      <c r="DLK5">
        <v>0</v>
      </c>
      <c r="DLL5">
        <v>141.99</v>
      </c>
      <c r="DLM5">
        <v>0</v>
      </c>
      <c r="DLN5">
        <v>0</v>
      </c>
      <c r="DLO5">
        <v>0</v>
      </c>
      <c r="DLP5">
        <v>0</v>
      </c>
      <c r="DLQ5">
        <v>0</v>
      </c>
      <c r="DLR5">
        <v>0</v>
      </c>
      <c r="DLS5">
        <v>0</v>
      </c>
      <c r="DLT5">
        <v>0</v>
      </c>
      <c r="DLU5">
        <v>0</v>
      </c>
      <c r="DLV5">
        <v>0</v>
      </c>
      <c r="DLW5">
        <v>0</v>
      </c>
      <c r="DLX5">
        <v>0</v>
      </c>
      <c r="DLY5">
        <v>56</v>
      </c>
      <c r="DLZ5">
        <v>0</v>
      </c>
      <c r="DMA5">
        <v>0</v>
      </c>
      <c r="DMB5">
        <v>0</v>
      </c>
      <c r="DMC5">
        <v>55</v>
      </c>
      <c r="DMD5">
        <v>0</v>
      </c>
      <c r="DME5">
        <v>0</v>
      </c>
      <c r="DMF5">
        <v>0</v>
      </c>
      <c r="DMG5">
        <v>0</v>
      </c>
      <c r="DMH5">
        <v>0</v>
      </c>
      <c r="DMI5">
        <v>33</v>
      </c>
      <c r="DMJ5">
        <v>0</v>
      </c>
      <c r="DMK5">
        <v>146.99</v>
      </c>
      <c r="DML5">
        <v>0</v>
      </c>
      <c r="DMM5">
        <v>0</v>
      </c>
      <c r="DMN5">
        <v>0</v>
      </c>
      <c r="DMO5">
        <v>0</v>
      </c>
      <c r="DMP5">
        <v>0</v>
      </c>
      <c r="DMQ5">
        <v>0</v>
      </c>
      <c r="DMR5">
        <v>0</v>
      </c>
      <c r="DMS5">
        <v>0</v>
      </c>
      <c r="DMT5">
        <v>0</v>
      </c>
      <c r="DMU5">
        <v>148</v>
      </c>
      <c r="DMV5">
        <v>0</v>
      </c>
      <c r="DMW5">
        <v>0</v>
      </c>
      <c r="DMX5">
        <v>0</v>
      </c>
      <c r="DMY5">
        <v>0</v>
      </c>
      <c r="DMZ5">
        <v>149</v>
      </c>
      <c r="DNA5">
        <v>0</v>
      </c>
      <c r="DNB5">
        <v>0</v>
      </c>
      <c r="DNC5">
        <v>0</v>
      </c>
      <c r="DND5">
        <v>0</v>
      </c>
      <c r="DNE5">
        <v>0</v>
      </c>
      <c r="DNF5">
        <v>0</v>
      </c>
      <c r="DNG5">
        <v>0</v>
      </c>
      <c r="DNH5">
        <v>0</v>
      </c>
      <c r="DNI5">
        <v>0</v>
      </c>
      <c r="DNJ5">
        <v>0</v>
      </c>
      <c r="DNK5">
        <v>0</v>
      </c>
      <c r="DNL5">
        <v>0</v>
      </c>
      <c r="DNM5">
        <v>0</v>
      </c>
      <c r="DNN5">
        <v>0</v>
      </c>
      <c r="DNO5">
        <v>0</v>
      </c>
      <c r="DNP5">
        <v>0</v>
      </c>
      <c r="DNQ5">
        <v>0</v>
      </c>
      <c r="DNR5">
        <v>0</v>
      </c>
      <c r="DNS5">
        <v>0</v>
      </c>
      <c r="DNT5">
        <v>0</v>
      </c>
      <c r="DNU5">
        <v>0</v>
      </c>
      <c r="DNV5">
        <v>0</v>
      </c>
      <c r="DNW5">
        <v>0</v>
      </c>
      <c r="DNX5">
        <v>0</v>
      </c>
      <c r="DNY5">
        <v>0</v>
      </c>
      <c r="DNZ5">
        <v>0</v>
      </c>
      <c r="DOA5">
        <v>0</v>
      </c>
      <c r="DOB5">
        <v>0</v>
      </c>
      <c r="DOC5">
        <v>0</v>
      </c>
      <c r="DOD5">
        <v>0</v>
      </c>
      <c r="DOE5">
        <v>109</v>
      </c>
      <c r="DOF5">
        <v>0</v>
      </c>
      <c r="DOG5">
        <v>0</v>
      </c>
      <c r="DOH5">
        <v>0</v>
      </c>
      <c r="DOI5">
        <v>0</v>
      </c>
      <c r="DOJ5">
        <v>0</v>
      </c>
      <c r="DOK5">
        <v>0</v>
      </c>
      <c r="DOL5">
        <v>0</v>
      </c>
      <c r="DOM5">
        <v>0</v>
      </c>
      <c r="DON5">
        <v>0</v>
      </c>
      <c r="DOO5">
        <v>0</v>
      </c>
      <c r="DOP5">
        <v>154.99</v>
      </c>
      <c r="DOQ5">
        <v>68.989999999999995</v>
      </c>
      <c r="DOR5">
        <v>0</v>
      </c>
      <c r="DOS5">
        <v>0</v>
      </c>
      <c r="DOT5">
        <v>0</v>
      </c>
      <c r="DOU5">
        <v>155</v>
      </c>
      <c r="DOV5">
        <v>0</v>
      </c>
      <c r="DOW5">
        <v>0</v>
      </c>
      <c r="DOX5">
        <v>0</v>
      </c>
      <c r="DOY5">
        <v>156</v>
      </c>
      <c r="DOZ5">
        <v>0</v>
      </c>
      <c r="DPA5">
        <v>0</v>
      </c>
      <c r="DPB5">
        <v>0</v>
      </c>
      <c r="DPC5">
        <v>15</v>
      </c>
      <c r="DPD5">
        <v>0</v>
      </c>
      <c r="DPE5">
        <v>0</v>
      </c>
      <c r="DPF5">
        <v>0</v>
      </c>
      <c r="DPG5">
        <v>0</v>
      </c>
      <c r="DPH5">
        <v>0</v>
      </c>
      <c r="DPI5">
        <v>0</v>
      </c>
      <c r="DPJ5">
        <v>0</v>
      </c>
      <c r="DPK5">
        <v>0</v>
      </c>
      <c r="DPL5">
        <v>158.99</v>
      </c>
      <c r="DPM5">
        <v>15</v>
      </c>
      <c r="DPN5">
        <v>0</v>
      </c>
      <c r="DPO5">
        <v>0</v>
      </c>
      <c r="DPP5">
        <v>0</v>
      </c>
      <c r="DPQ5">
        <v>0</v>
      </c>
      <c r="DPR5">
        <v>0</v>
      </c>
      <c r="DPS5">
        <v>0</v>
      </c>
      <c r="DPT5">
        <v>0</v>
      </c>
      <c r="DPU5">
        <v>0</v>
      </c>
      <c r="DPV5">
        <v>0</v>
      </c>
      <c r="DPW5">
        <v>0</v>
      </c>
      <c r="DPX5">
        <v>0</v>
      </c>
      <c r="DPY5">
        <v>161</v>
      </c>
      <c r="DPZ5">
        <v>0</v>
      </c>
      <c r="DQA5">
        <v>0</v>
      </c>
      <c r="DQB5">
        <v>0</v>
      </c>
      <c r="DQC5">
        <v>0</v>
      </c>
      <c r="DQD5">
        <v>0</v>
      </c>
      <c r="DQE5">
        <v>0</v>
      </c>
      <c r="DQF5">
        <v>0</v>
      </c>
      <c r="DQG5">
        <v>0</v>
      </c>
      <c r="DQH5">
        <v>0</v>
      </c>
      <c r="DQI5">
        <v>0</v>
      </c>
      <c r="DQJ5">
        <v>0</v>
      </c>
      <c r="DQK5">
        <v>0</v>
      </c>
      <c r="DQL5">
        <v>0</v>
      </c>
      <c r="DQM5">
        <v>38</v>
      </c>
      <c r="DQN5">
        <v>0</v>
      </c>
      <c r="DQO5">
        <v>0</v>
      </c>
      <c r="DQP5">
        <v>0</v>
      </c>
      <c r="DQQ5">
        <v>149.99</v>
      </c>
      <c r="DQR5">
        <v>0</v>
      </c>
      <c r="DQS5">
        <v>0</v>
      </c>
      <c r="DQT5">
        <v>0</v>
      </c>
      <c r="DQU5">
        <v>0</v>
      </c>
      <c r="DQV5">
        <v>0</v>
      </c>
      <c r="DQW5">
        <v>0</v>
      </c>
      <c r="DQX5">
        <v>0</v>
      </c>
      <c r="DQY5">
        <v>0</v>
      </c>
      <c r="DQZ5">
        <v>0</v>
      </c>
      <c r="DRA5">
        <v>0</v>
      </c>
      <c r="DRB5">
        <v>0</v>
      </c>
      <c r="DRC5">
        <v>0</v>
      </c>
      <c r="DRD5">
        <v>0</v>
      </c>
      <c r="DRE5">
        <v>0</v>
      </c>
      <c r="DRF5">
        <v>0</v>
      </c>
      <c r="DRG5">
        <v>0</v>
      </c>
      <c r="DRH5">
        <v>0</v>
      </c>
      <c r="DRI5">
        <v>0</v>
      </c>
      <c r="DRJ5">
        <v>0</v>
      </c>
      <c r="DRK5">
        <v>0</v>
      </c>
      <c r="DRL5">
        <v>0</v>
      </c>
      <c r="DRM5">
        <v>0</v>
      </c>
      <c r="DRN5">
        <v>0</v>
      </c>
      <c r="DRO5">
        <v>0</v>
      </c>
      <c r="DRP5">
        <v>0</v>
      </c>
      <c r="DRQ5">
        <v>0</v>
      </c>
      <c r="DRR5">
        <v>0</v>
      </c>
      <c r="DRS5">
        <v>0</v>
      </c>
      <c r="DRT5">
        <v>0</v>
      </c>
      <c r="DRU5">
        <v>0</v>
      </c>
      <c r="DRV5">
        <v>0</v>
      </c>
      <c r="DRW5">
        <v>0</v>
      </c>
      <c r="DRX5">
        <v>0</v>
      </c>
      <c r="DRY5">
        <v>0</v>
      </c>
      <c r="DRZ5">
        <v>0</v>
      </c>
      <c r="DSA5">
        <v>0</v>
      </c>
      <c r="DSB5">
        <v>0</v>
      </c>
      <c r="DSC5">
        <v>0</v>
      </c>
      <c r="DSD5">
        <v>0</v>
      </c>
      <c r="DSE5">
        <v>0</v>
      </c>
      <c r="DSF5">
        <v>0</v>
      </c>
      <c r="DSG5">
        <v>0</v>
      </c>
      <c r="DSH5">
        <v>0</v>
      </c>
      <c r="DSI5">
        <v>0</v>
      </c>
      <c r="DSJ5">
        <v>0</v>
      </c>
      <c r="DSK5">
        <v>173.99</v>
      </c>
      <c r="DSL5">
        <v>0</v>
      </c>
      <c r="DSM5">
        <v>0</v>
      </c>
      <c r="DSN5">
        <v>0</v>
      </c>
      <c r="DSO5">
        <v>148</v>
      </c>
      <c r="DSP5">
        <v>0</v>
      </c>
      <c r="DSQ5">
        <v>0</v>
      </c>
      <c r="DSR5">
        <v>0</v>
      </c>
      <c r="DSS5">
        <v>0</v>
      </c>
      <c r="DST5">
        <v>0</v>
      </c>
      <c r="DSU5">
        <v>0</v>
      </c>
      <c r="DSV5">
        <v>0</v>
      </c>
      <c r="DSW5">
        <v>0</v>
      </c>
      <c r="DSX5">
        <v>0</v>
      </c>
      <c r="DSY5">
        <v>0</v>
      </c>
      <c r="DSZ5">
        <v>0</v>
      </c>
      <c r="DTA5">
        <v>0</v>
      </c>
      <c r="DTB5">
        <v>4</v>
      </c>
      <c r="DTC5">
        <v>0</v>
      </c>
      <c r="DTD5">
        <v>0</v>
      </c>
      <c r="DTE5">
        <v>0</v>
      </c>
      <c r="DTF5">
        <v>19</v>
      </c>
      <c r="DTG5">
        <v>0</v>
      </c>
      <c r="DTH5">
        <v>0</v>
      </c>
      <c r="DTI5">
        <v>0</v>
      </c>
      <c r="DTJ5">
        <v>0</v>
      </c>
      <c r="DTK5">
        <v>0</v>
      </c>
      <c r="DTL5">
        <v>0</v>
      </c>
      <c r="DTM5">
        <v>0</v>
      </c>
      <c r="DTN5">
        <v>179</v>
      </c>
      <c r="DTO5">
        <v>0</v>
      </c>
      <c r="DTP5">
        <v>16.989999999999998</v>
      </c>
      <c r="DTQ5">
        <v>0</v>
      </c>
      <c r="DTR5">
        <v>0</v>
      </c>
      <c r="DTS5">
        <v>0</v>
      </c>
      <c r="DTT5">
        <v>0</v>
      </c>
      <c r="DTU5">
        <v>0</v>
      </c>
      <c r="DTV5">
        <v>0</v>
      </c>
      <c r="DTW5">
        <v>0</v>
      </c>
      <c r="DTX5">
        <v>0</v>
      </c>
      <c r="DTY5">
        <v>0</v>
      </c>
      <c r="DTZ5">
        <v>0</v>
      </c>
      <c r="DUA5">
        <v>0</v>
      </c>
      <c r="DUB5">
        <v>0</v>
      </c>
      <c r="DUC5">
        <v>0</v>
      </c>
      <c r="DUD5">
        <v>0</v>
      </c>
      <c r="DUE5">
        <v>0</v>
      </c>
      <c r="DUF5">
        <v>90</v>
      </c>
      <c r="DUG5">
        <v>0</v>
      </c>
      <c r="DUH5">
        <v>0</v>
      </c>
      <c r="DUI5">
        <v>0</v>
      </c>
      <c r="DUJ5">
        <v>0</v>
      </c>
      <c r="DUK5">
        <v>0</v>
      </c>
      <c r="DUL5">
        <v>0</v>
      </c>
      <c r="DUM5">
        <v>0</v>
      </c>
      <c r="DUN5">
        <v>0</v>
      </c>
      <c r="DUO5">
        <v>0</v>
      </c>
      <c r="DUP5">
        <v>0</v>
      </c>
      <c r="DUQ5">
        <v>159</v>
      </c>
      <c r="DUR5">
        <v>0</v>
      </c>
      <c r="DUS5">
        <v>0</v>
      </c>
      <c r="DUT5">
        <v>0</v>
      </c>
      <c r="DUU5">
        <v>0</v>
      </c>
      <c r="DUV5">
        <v>0</v>
      </c>
      <c r="DUW5">
        <v>0</v>
      </c>
      <c r="DUX5">
        <v>0</v>
      </c>
      <c r="DUY5">
        <v>0</v>
      </c>
      <c r="DUZ5">
        <v>0</v>
      </c>
      <c r="DVA5">
        <v>19</v>
      </c>
      <c r="DVB5">
        <v>0</v>
      </c>
      <c r="DVC5">
        <v>0</v>
      </c>
      <c r="DVD5">
        <v>0</v>
      </c>
      <c r="DVE5">
        <v>0</v>
      </c>
      <c r="DVF5">
        <v>0</v>
      </c>
      <c r="DVG5">
        <v>0</v>
      </c>
      <c r="DVH5">
        <v>0</v>
      </c>
      <c r="DVI5">
        <v>0</v>
      </c>
      <c r="DVJ5">
        <v>0</v>
      </c>
      <c r="DVK5">
        <v>0</v>
      </c>
      <c r="DVL5">
        <v>0</v>
      </c>
      <c r="DVM5">
        <v>0</v>
      </c>
      <c r="DVN5">
        <v>0</v>
      </c>
      <c r="DVO5">
        <v>0</v>
      </c>
      <c r="DVP5">
        <v>0</v>
      </c>
      <c r="DVQ5">
        <v>0</v>
      </c>
      <c r="DVR5">
        <v>0</v>
      </c>
      <c r="DVS5">
        <v>0</v>
      </c>
      <c r="DVT5">
        <v>0</v>
      </c>
      <c r="DVU5">
        <v>0</v>
      </c>
      <c r="DVV5">
        <v>0</v>
      </c>
      <c r="DVW5">
        <v>0</v>
      </c>
      <c r="DVX5">
        <v>0</v>
      </c>
      <c r="DVY5">
        <v>0</v>
      </c>
      <c r="DVZ5">
        <v>0</v>
      </c>
      <c r="DWA5">
        <v>0</v>
      </c>
      <c r="DWB5">
        <v>0</v>
      </c>
      <c r="DWC5">
        <v>0</v>
      </c>
      <c r="DWD5">
        <v>13</v>
      </c>
      <c r="DWE5">
        <v>11</v>
      </c>
      <c r="DWF5">
        <v>0</v>
      </c>
      <c r="DWG5">
        <v>0</v>
      </c>
      <c r="DWH5">
        <v>0</v>
      </c>
      <c r="DWI5">
        <v>0</v>
      </c>
      <c r="DWJ5">
        <v>0</v>
      </c>
      <c r="DWK5">
        <v>0</v>
      </c>
      <c r="DWL5">
        <v>0</v>
      </c>
      <c r="DWM5">
        <v>0</v>
      </c>
      <c r="DWN5">
        <v>0</v>
      </c>
      <c r="DWO5">
        <v>0</v>
      </c>
      <c r="DWP5">
        <v>0</v>
      </c>
      <c r="DWQ5">
        <v>0</v>
      </c>
      <c r="DWR5">
        <v>0</v>
      </c>
      <c r="DWS5">
        <v>0</v>
      </c>
      <c r="DWT5">
        <v>0</v>
      </c>
      <c r="DWU5">
        <v>0</v>
      </c>
      <c r="DWV5">
        <v>0</v>
      </c>
      <c r="DWW5">
        <v>0</v>
      </c>
      <c r="DWX5">
        <v>0</v>
      </c>
      <c r="DWY5">
        <v>0</v>
      </c>
      <c r="DWZ5">
        <v>0</v>
      </c>
      <c r="DXA5">
        <v>0</v>
      </c>
      <c r="DXB5">
        <v>0</v>
      </c>
      <c r="DXC5">
        <v>0</v>
      </c>
      <c r="DXD5">
        <v>0</v>
      </c>
      <c r="DXE5">
        <v>0</v>
      </c>
      <c r="DXF5">
        <v>0</v>
      </c>
      <c r="DXG5">
        <v>0</v>
      </c>
      <c r="DXH5">
        <v>0</v>
      </c>
      <c r="DXI5">
        <v>0</v>
      </c>
      <c r="DXJ5">
        <v>0</v>
      </c>
      <c r="DXK5">
        <v>0</v>
      </c>
      <c r="DXL5">
        <v>0</v>
      </c>
      <c r="DXM5">
        <v>0</v>
      </c>
      <c r="DXN5">
        <v>0</v>
      </c>
      <c r="DXO5">
        <v>0</v>
      </c>
      <c r="DXP5">
        <v>0</v>
      </c>
      <c r="DXQ5">
        <v>97.99</v>
      </c>
      <c r="DXR5">
        <v>0</v>
      </c>
      <c r="DXS5">
        <v>206</v>
      </c>
      <c r="DXT5">
        <v>0</v>
      </c>
      <c r="DXU5">
        <v>0</v>
      </c>
      <c r="DXV5">
        <v>207</v>
      </c>
      <c r="DXW5">
        <v>0</v>
      </c>
      <c r="DXX5">
        <v>0</v>
      </c>
      <c r="DXY5">
        <v>0</v>
      </c>
      <c r="DXZ5">
        <v>0</v>
      </c>
      <c r="DYA5">
        <v>0</v>
      </c>
      <c r="DYB5">
        <v>0</v>
      </c>
      <c r="DYC5">
        <v>0</v>
      </c>
      <c r="DYD5">
        <v>0</v>
      </c>
      <c r="DYE5">
        <v>0</v>
      </c>
      <c r="DYF5">
        <v>0</v>
      </c>
      <c r="DYG5">
        <v>0</v>
      </c>
      <c r="DYH5">
        <v>0</v>
      </c>
      <c r="DYI5">
        <v>0</v>
      </c>
      <c r="DYJ5">
        <v>0</v>
      </c>
      <c r="DYK5">
        <v>0</v>
      </c>
      <c r="DYL5">
        <v>0</v>
      </c>
      <c r="DYM5">
        <v>0</v>
      </c>
      <c r="DYN5">
        <v>0</v>
      </c>
      <c r="DYO5">
        <v>0</v>
      </c>
      <c r="DYP5">
        <v>0</v>
      </c>
      <c r="DYQ5">
        <v>0</v>
      </c>
      <c r="DYR5">
        <v>0</v>
      </c>
      <c r="DYS5">
        <v>0</v>
      </c>
      <c r="DYT5">
        <v>113</v>
      </c>
      <c r="DYU5">
        <v>0</v>
      </c>
      <c r="DYV5">
        <v>0</v>
      </c>
      <c r="DYW5">
        <v>0</v>
      </c>
      <c r="DYX5">
        <v>0</v>
      </c>
      <c r="DYY5">
        <v>0</v>
      </c>
      <c r="DYZ5">
        <v>0</v>
      </c>
      <c r="DZA5">
        <v>0</v>
      </c>
      <c r="DZB5">
        <v>0</v>
      </c>
      <c r="DZC5">
        <v>0</v>
      </c>
      <c r="DZD5">
        <v>0</v>
      </c>
      <c r="DZE5">
        <v>0</v>
      </c>
      <c r="DZF5">
        <v>0</v>
      </c>
      <c r="DZG5">
        <v>0</v>
      </c>
      <c r="DZH5">
        <v>0</v>
      </c>
      <c r="DZI5">
        <v>0</v>
      </c>
      <c r="DZJ5">
        <v>0</v>
      </c>
      <c r="DZK5">
        <v>0</v>
      </c>
      <c r="DZL5">
        <v>0</v>
      </c>
      <c r="DZM5">
        <v>0</v>
      </c>
      <c r="DZN5">
        <v>0</v>
      </c>
      <c r="DZO5">
        <v>0</v>
      </c>
      <c r="DZP5">
        <v>0</v>
      </c>
      <c r="DZQ5">
        <v>0</v>
      </c>
      <c r="DZR5">
        <v>0</v>
      </c>
      <c r="DZS5">
        <v>0</v>
      </c>
      <c r="DZT5">
        <v>0</v>
      </c>
      <c r="DZU5">
        <v>0</v>
      </c>
      <c r="DZV5">
        <v>0</v>
      </c>
      <c r="DZW5">
        <v>0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G5">
        <v>0</v>
      </c>
      <c r="EAH5">
        <v>72</v>
      </c>
      <c r="EAI5">
        <v>0</v>
      </c>
      <c r="EAJ5">
        <v>0</v>
      </c>
      <c r="EAK5">
        <v>0</v>
      </c>
      <c r="EAL5">
        <v>0</v>
      </c>
      <c r="EAM5">
        <v>0</v>
      </c>
      <c r="EAN5">
        <v>0</v>
      </c>
      <c r="EAO5">
        <v>0</v>
      </c>
      <c r="EAP5">
        <v>0</v>
      </c>
      <c r="EAQ5">
        <v>0</v>
      </c>
      <c r="EAR5">
        <v>43.99</v>
      </c>
      <c r="EAS5">
        <v>0</v>
      </c>
      <c r="EAT5">
        <v>0</v>
      </c>
      <c r="EAU5">
        <v>0</v>
      </c>
      <c r="EAV5">
        <v>0</v>
      </c>
      <c r="EAW5">
        <v>0</v>
      </c>
      <c r="EAX5">
        <v>0</v>
      </c>
      <c r="EAY5">
        <v>92</v>
      </c>
      <c r="EAZ5">
        <v>0</v>
      </c>
      <c r="EBA5">
        <v>0</v>
      </c>
      <c r="EBB5">
        <v>0</v>
      </c>
      <c r="EBC5">
        <v>0</v>
      </c>
      <c r="EBD5">
        <v>0</v>
      </c>
      <c r="EBE5">
        <v>73.989999999999995</v>
      </c>
      <c r="EBF5">
        <v>0</v>
      </c>
      <c r="EBG5">
        <v>0</v>
      </c>
      <c r="EBH5">
        <v>0</v>
      </c>
      <c r="EBI5">
        <v>0</v>
      </c>
      <c r="EBJ5">
        <v>0</v>
      </c>
      <c r="EBK5">
        <v>0</v>
      </c>
      <c r="EBL5">
        <v>0</v>
      </c>
      <c r="EBM5">
        <v>0</v>
      </c>
      <c r="EBN5">
        <v>0</v>
      </c>
      <c r="EBO5">
        <v>0</v>
      </c>
      <c r="EBP5">
        <v>0</v>
      </c>
      <c r="EBQ5">
        <v>0</v>
      </c>
      <c r="EBR5">
        <v>0</v>
      </c>
      <c r="EBS5">
        <v>235</v>
      </c>
      <c r="EBT5">
        <v>209</v>
      </c>
      <c r="EBU5">
        <v>0</v>
      </c>
      <c r="EBV5">
        <v>0</v>
      </c>
      <c r="EBW5">
        <v>0</v>
      </c>
      <c r="EBX5">
        <v>0</v>
      </c>
      <c r="EBY5">
        <v>18</v>
      </c>
      <c r="EBZ5">
        <v>23</v>
      </c>
      <c r="ECA5">
        <v>0</v>
      </c>
      <c r="ECB5">
        <v>0</v>
      </c>
      <c r="ECC5">
        <v>0</v>
      </c>
      <c r="ECD5">
        <v>0</v>
      </c>
      <c r="ECE5">
        <v>0</v>
      </c>
      <c r="ECF5">
        <v>0</v>
      </c>
      <c r="ECG5">
        <v>0</v>
      </c>
      <c r="ECH5">
        <v>0</v>
      </c>
      <c r="ECI5">
        <v>131</v>
      </c>
      <c r="ECJ5">
        <v>0</v>
      </c>
      <c r="ECK5">
        <v>0</v>
      </c>
      <c r="ECL5">
        <v>0</v>
      </c>
      <c r="ECM5">
        <v>0</v>
      </c>
      <c r="ECN5">
        <v>71</v>
      </c>
      <c r="ECO5">
        <v>0</v>
      </c>
      <c r="ECP5">
        <v>0</v>
      </c>
      <c r="ECQ5">
        <v>0</v>
      </c>
      <c r="ECR5">
        <v>0</v>
      </c>
      <c r="ECS5">
        <v>0</v>
      </c>
      <c r="ECT5">
        <v>0</v>
      </c>
      <c r="ECU5">
        <v>0</v>
      </c>
      <c r="ECV5">
        <v>0</v>
      </c>
      <c r="ECW5">
        <v>0</v>
      </c>
      <c r="ECX5">
        <v>0</v>
      </c>
      <c r="ECY5">
        <v>0</v>
      </c>
      <c r="ECZ5">
        <v>0</v>
      </c>
      <c r="EDA5">
        <v>0</v>
      </c>
      <c r="EDB5">
        <v>0</v>
      </c>
      <c r="EDC5">
        <v>205.99</v>
      </c>
      <c r="EDD5">
        <v>0</v>
      </c>
      <c r="EDE5">
        <v>0</v>
      </c>
      <c r="EDF5">
        <v>0</v>
      </c>
      <c r="EDG5">
        <v>0</v>
      </c>
      <c r="EDH5">
        <v>0</v>
      </c>
      <c r="EDI5">
        <v>0</v>
      </c>
      <c r="EDJ5">
        <v>0</v>
      </c>
      <c r="EDK5">
        <v>0</v>
      </c>
      <c r="EDL5">
        <v>85</v>
      </c>
      <c r="EDM5">
        <v>0</v>
      </c>
      <c r="EDN5">
        <v>0</v>
      </c>
      <c r="EDO5">
        <v>252</v>
      </c>
      <c r="EDP5">
        <v>4</v>
      </c>
      <c r="EDQ5">
        <v>0</v>
      </c>
      <c r="EDR5">
        <v>0</v>
      </c>
      <c r="EDS5">
        <v>0</v>
      </c>
      <c r="EDT5">
        <v>0</v>
      </c>
      <c r="EDU5">
        <v>0</v>
      </c>
      <c r="EDV5">
        <v>0</v>
      </c>
      <c r="EDW5">
        <v>0</v>
      </c>
      <c r="EDX5">
        <v>0</v>
      </c>
      <c r="EDY5">
        <v>0</v>
      </c>
      <c r="EDZ5">
        <v>62</v>
      </c>
      <c r="EEA5">
        <v>0</v>
      </c>
      <c r="EEB5">
        <v>0</v>
      </c>
      <c r="EEC5">
        <v>0</v>
      </c>
      <c r="EED5">
        <v>0</v>
      </c>
      <c r="EEE5">
        <v>0</v>
      </c>
      <c r="EEF5">
        <v>0</v>
      </c>
      <c r="EEG5">
        <v>0</v>
      </c>
      <c r="EEH5">
        <v>0</v>
      </c>
      <c r="EEI5">
        <v>0</v>
      </c>
      <c r="EEJ5">
        <v>0</v>
      </c>
      <c r="EEK5">
        <v>0</v>
      </c>
      <c r="EEL5">
        <v>0</v>
      </c>
      <c r="EEM5">
        <v>0</v>
      </c>
      <c r="EEN5">
        <v>0</v>
      </c>
      <c r="EEO5">
        <v>10</v>
      </c>
      <c r="EEP5">
        <v>0</v>
      </c>
      <c r="EEQ5">
        <v>0</v>
      </c>
      <c r="EER5">
        <v>0</v>
      </c>
      <c r="EES5">
        <v>0</v>
      </c>
      <c r="EET5">
        <v>0</v>
      </c>
      <c r="EEU5">
        <v>0</v>
      </c>
      <c r="EEV5">
        <v>0</v>
      </c>
      <c r="EEW5">
        <v>0</v>
      </c>
      <c r="EEX5">
        <v>0</v>
      </c>
      <c r="EEY5">
        <v>0</v>
      </c>
      <c r="EEZ5">
        <v>0</v>
      </c>
      <c r="EFA5">
        <v>0</v>
      </c>
      <c r="EFB5">
        <v>0</v>
      </c>
      <c r="EFC5">
        <v>0</v>
      </c>
      <c r="EFD5">
        <v>0</v>
      </c>
      <c r="EFE5">
        <v>0</v>
      </c>
      <c r="EFF5">
        <v>0</v>
      </c>
      <c r="EFG5">
        <v>0</v>
      </c>
      <c r="EFH5">
        <v>0</v>
      </c>
      <c r="EFI5">
        <v>0</v>
      </c>
      <c r="EFJ5">
        <v>0</v>
      </c>
      <c r="EFK5">
        <v>0</v>
      </c>
      <c r="EFL5">
        <v>0</v>
      </c>
      <c r="EFM5">
        <v>0</v>
      </c>
      <c r="EFN5">
        <v>221</v>
      </c>
      <c r="EFO5">
        <v>0</v>
      </c>
      <c r="EFP5">
        <v>36</v>
      </c>
      <c r="EFQ5">
        <v>0</v>
      </c>
      <c r="EFR5">
        <v>0</v>
      </c>
      <c r="EFS5">
        <v>0</v>
      </c>
      <c r="EFT5">
        <v>0</v>
      </c>
      <c r="EFU5">
        <v>0</v>
      </c>
      <c r="EFV5">
        <v>0</v>
      </c>
      <c r="EFW5">
        <v>0</v>
      </c>
      <c r="EFX5">
        <v>0</v>
      </c>
      <c r="EFY5">
        <v>34</v>
      </c>
      <c r="EFZ5">
        <v>269</v>
      </c>
      <c r="EGA5">
        <v>0</v>
      </c>
      <c r="EGB5">
        <v>0</v>
      </c>
      <c r="EGC5">
        <v>0</v>
      </c>
      <c r="EGD5">
        <v>0</v>
      </c>
      <c r="EGE5">
        <v>0</v>
      </c>
      <c r="EGF5">
        <v>0</v>
      </c>
      <c r="EGG5">
        <v>0</v>
      </c>
      <c r="EGH5">
        <v>0</v>
      </c>
      <c r="EGI5">
        <v>24</v>
      </c>
      <c r="EGJ5">
        <v>0</v>
      </c>
      <c r="EGK5">
        <v>0</v>
      </c>
      <c r="EGL5">
        <v>0</v>
      </c>
      <c r="EGM5">
        <v>0</v>
      </c>
      <c r="EGN5">
        <v>0</v>
      </c>
      <c r="EGO5">
        <v>0</v>
      </c>
      <c r="EGP5">
        <v>0</v>
      </c>
      <c r="EGQ5">
        <v>0</v>
      </c>
      <c r="EGR5">
        <v>0</v>
      </c>
      <c r="EGS5">
        <v>29</v>
      </c>
      <c r="EGT5">
        <v>0</v>
      </c>
      <c r="EGU5">
        <v>0</v>
      </c>
      <c r="EGV5">
        <v>0</v>
      </c>
      <c r="EGW5">
        <v>5</v>
      </c>
      <c r="EGX5">
        <v>0</v>
      </c>
      <c r="EGY5">
        <v>0</v>
      </c>
      <c r="EGZ5">
        <v>0</v>
      </c>
      <c r="EHA5">
        <v>0</v>
      </c>
      <c r="EHB5">
        <v>0</v>
      </c>
      <c r="EHC5">
        <v>0</v>
      </c>
      <c r="EHD5">
        <v>0</v>
      </c>
      <c r="EHE5">
        <v>0</v>
      </c>
      <c r="EHF5">
        <v>0</v>
      </c>
      <c r="EHG5">
        <v>0</v>
      </c>
      <c r="EHH5">
        <v>0</v>
      </c>
      <c r="EHI5">
        <v>0</v>
      </c>
      <c r="EHJ5">
        <v>20</v>
      </c>
      <c r="EHK5">
        <v>0</v>
      </c>
      <c r="EHL5">
        <v>0</v>
      </c>
      <c r="EHM5">
        <v>0</v>
      </c>
      <c r="EHN5">
        <v>286.99</v>
      </c>
      <c r="EHO5">
        <v>0</v>
      </c>
      <c r="EHP5">
        <v>0</v>
      </c>
      <c r="EHQ5">
        <v>0</v>
      </c>
      <c r="EHR5">
        <v>0</v>
      </c>
      <c r="EHS5">
        <v>0</v>
      </c>
      <c r="EHT5">
        <v>0</v>
      </c>
      <c r="EHU5">
        <v>0</v>
      </c>
      <c r="EHV5">
        <v>0</v>
      </c>
      <c r="EHW5">
        <v>0</v>
      </c>
      <c r="EHX5">
        <v>0</v>
      </c>
      <c r="EHY5">
        <v>0</v>
      </c>
      <c r="EHZ5">
        <v>0</v>
      </c>
      <c r="EIA5">
        <v>0</v>
      </c>
      <c r="EIB5">
        <v>0</v>
      </c>
      <c r="EIC5">
        <v>0</v>
      </c>
      <c r="EID5">
        <v>0</v>
      </c>
      <c r="EIE5">
        <v>0</v>
      </c>
      <c r="EIF5">
        <v>0</v>
      </c>
      <c r="EIG5">
        <v>0</v>
      </c>
      <c r="EIH5">
        <v>0</v>
      </c>
      <c r="EII5">
        <v>43</v>
      </c>
      <c r="EIJ5">
        <v>0</v>
      </c>
      <c r="EIK5">
        <v>0</v>
      </c>
      <c r="EIL5">
        <v>0</v>
      </c>
      <c r="EIM5">
        <v>0</v>
      </c>
      <c r="EIN5">
        <v>0</v>
      </c>
      <c r="EIO5">
        <v>0</v>
      </c>
      <c r="EIP5">
        <v>0</v>
      </c>
      <c r="EIQ5">
        <v>0</v>
      </c>
      <c r="EIR5">
        <v>0</v>
      </c>
      <c r="EIS5">
        <v>0</v>
      </c>
      <c r="EIT5">
        <v>4</v>
      </c>
      <c r="EIU5">
        <v>80.989999999999995</v>
      </c>
      <c r="EIV5">
        <v>32</v>
      </c>
      <c r="EIW5">
        <v>0</v>
      </c>
      <c r="EIX5">
        <v>0</v>
      </c>
      <c r="EIY5">
        <v>0</v>
      </c>
      <c r="EIZ5">
        <v>0</v>
      </c>
      <c r="EJA5">
        <v>0</v>
      </c>
      <c r="EJB5">
        <v>0</v>
      </c>
      <c r="EJC5">
        <v>0</v>
      </c>
      <c r="EJD5">
        <v>0</v>
      </c>
      <c r="EJE5">
        <v>0</v>
      </c>
      <c r="EJF5">
        <v>0</v>
      </c>
      <c r="EJG5">
        <v>0</v>
      </c>
      <c r="EJH5">
        <v>0</v>
      </c>
      <c r="EJI5">
        <v>0</v>
      </c>
      <c r="EJJ5">
        <v>0</v>
      </c>
      <c r="EJK5">
        <v>0</v>
      </c>
      <c r="EJL5">
        <v>308.99</v>
      </c>
      <c r="EJM5">
        <v>0</v>
      </c>
      <c r="EJN5">
        <v>0</v>
      </c>
      <c r="EJO5">
        <v>0</v>
      </c>
      <c r="EJP5">
        <v>0</v>
      </c>
      <c r="EJQ5">
        <v>0</v>
      </c>
      <c r="EJR5">
        <v>0</v>
      </c>
      <c r="EJS5">
        <v>0</v>
      </c>
      <c r="EJT5">
        <v>0</v>
      </c>
      <c r="EJU5">
        <v>0</v>
      </c>
      <c r="EJV5">
        <v>0</v>
      </c>
      <c r="EJW5">
        <v>0</v>
      </c>
      <c r="EJX5">
        <v>0</v>
      </c>
      <c r="EJY5">
        <v>0</v>
      </c>
      <c r="EJZ5">
        <v>0</v>
      </c>
      <c r="EKA5">
        <v>0</v>
      </c>
      <c r="EKB5">
        <v>0</v>
      </c>
      <c r="EKC5">
        <v>0</v>
      </c>
      <c r="EKD5">
        <v>0</v>
      </c>
      <c r="EKE5">
        <v>0</v>
      </c>
      <c r="EKF5">
        <v>0</v>
      </c>
      <c r="EKG5">
        <v>38</v>
      </c>
      <c r="EKH5">
        <v>0</v>
      </c>
      <c r="EKI5">
        <v>0</v>
      </c>
      <c r="EKJ5">
        <v>0</v>
      </c>
      <c r="EKK5">
        <v>0</v>
      </c>
      <c r="EKL5">
        <v>0</v>
      </c>
      <c r="EKM5">
        <v>0</v>
      </c>
      <c r="EKN5">
        <v>0</v>
      </c>
      <c r="EKO5">
        <v>0</v>
      </c>
      <c r="EKP5">
        <v>105.99</v>
      </c>
      <c r="EKQ5">
        <v>0</v>
      </c>
      <c r="EKR5">
        <v>0</v>
      </c>
      <c r="EKS5">
        <v>0</v>
      </c>
      <c r="EKT5">
        <v>0</v>
      </c>
      <c r="EKU5">
        <v>324.99</v>
      </c>
      <c r="EKV5">
        <v>0</v>
      </c>
      <c r="EKW5">
        <v>0</v>
      </c>
      <c r="EKX5">
        <v>0</v>
      </c>
      <c r="EKY5">
        <v>0</v>
      </c>
      <c r="EKZ5">
        <v>0</v>
      </c>
      <c r="ELA5">
        <v>0</v>
      </c>
      <c r="ELB5">
        <v>0</v>
      </c>
      <c r="ELC5">
        <v>0</v>
      </c>
      <c r="ELD5">
        <v>0</v>
      </c>
      <c r="ELE5">
        <v>0</v>
      </c>
      <c r="ELF5">
        <v>156</v>
      </c>
      <c r="ELG5">
        <v>0</v>
      </c>
      <c r="ELH5">
        <v>0</v>
      </c>
      <c r="ELI5">
        <v>0</v>
      </c>
      <c r="ELJ5">
        <v>0</v>
      </c>
      <c r="ELK5">
        <v>0</v>
      </c>
      <c r="ELL5">
        <v>0</v>
      </c>
      <c r="ELM5">
        <v>0</v>
      </c>
      <c r="ELN5">
        <v>0</v>
      </c>
      <c r="ELO5">
        <v>0</v>
      </c>
      <c r="ELP5">
        <v>0</v>
      </c>
      <c r="ELQ5">
        <v>0</v>
      </c>
      <c r="ELR5">
        <v>0</v>
      </c>
      <c r="ELS5">
        <v>0</v>
      </c>
      <c r="ELT5">
        <v>0</v>
      </c>
      <c r="ELU5">
        <v>0</v>
      </c>
      <c r="ELV5">
        <v>0</v>
      </c>
      <c r="ELW5">
        <v>0</v>
      </c>
      <c r="ELX5">
        <v>0</v>
      </c>
      <c r="ELY5">
        <v>0</v>
      </c>
      <c r="ELZ5">
        <v>0</v>
      </c>
      <c r="EMA5">
        <v>0</v>
      </c>
      <c r="EMB5">
        <v>0</v>
      </c>
      <c r="EMC5">
        <v>0</v>
      </c>
      <c r="EMD5">
        <v>0</v>
      </c>
      <c r="EME5">
        <v>0</v>
      </c>
      <c r="EMF5">
        <v>0</v>
      </c>
      <c r="EMG5">
        <v>0</v>
      </c>
      <c r="EMH5">
        <v>0</v>
      </c>
      <c r="EMI5">
        <v>0</v>
      </c>
      <c r="EMJ5">
        <v>0</v>
      </c>
      <c r="EMK5">
        <v>0</v>
      </c>
      <c r="EML5">
        <v>0</v>
      </c>
      <c r="EMM5">
        <v>0</v>
      </c>
      <c r="EMN5">
        <v>0</v>
      </c>
      <c r="EMO5">
        <v>0</v>
      </c>
      <c r="EMP5">
        <v>0</v>
      </c>
      <c r="EMQ5">
        <v>0</v>
      </c>
      <c r="EMR5">
        <v>0</v>
      </c>
      <c r="EMS5">
        <v>52</v>
      </c>
      <c r="EMT5">
        <v>0</v>
      </c>
      <c r="EMU5">
        <v>0</v>
      </c>
      <c r="EMV5">
        <v>0</v>
      </c>
      <c r="EMW5">
        <v>0</v>
      </c>
      <c r="EMX5">
        <v>0</v>
      </c>
      <c r="EMY5">
        <v>0</v>
      </c>
      <c r="EMZ5">
        <v>0</v>
      </c>
      <c r="ENA5">
        <v>0</v>
      </c>
      <c r="ENB5">
        <v>0</v>
      </c>
      <c r="ENC5">
        <v>0</v>
      </c>
      <c r="END5">
        <v>0</v>
      </c>
      <c r="ENE5">
        <v>0</v>
      </c>
      <c r="ENF5">
        <v>0</v>
      </c>
      <c r="ENG5">
        <v>0</v>
      </c>
      <c r="ENH5">
        <v>0</v>
      </c>
      <c r="ENI5">
        <v>0</v>
      </c>
      <c r="ENJ5">
        <v>0</v>
      </c>
      <c r="ENK5">
        <v>0</v>
      </c>
      <c r="ENL5">
        <v>0</v>
      </c>
      <c r="ENM5">
        <v>0</v>
      </c>
      <c r="ENN5">
        <v>0</v>
      </c>
      <c r="ENO5">
        <v>0</v>
      </c>
      <c r="ENP5">
        <v>0</v>
      </c>
      <c r="ENQ5">
        <v>0</v>
      </c>
      <c r="ENR5">
        <v>70</v>
      </c>
      <c r="ENS5">
        <v>0</v>
      </c>
      <c r="ENT5">
        <v>0</v>
      </c>
      <c r="ENU5">
        <v>0</v>
      </c>
      <c r="ENV5">
        <v>0</v>
      </c>
      <c r="ENW5">
        <v>0</v>
      </c>
      <c r="ENX5">
        <v>0</v>
      </c>
      <c r="ENY5">
        <v>0</v>
      </c>
      <c r="ENZ5">
        <v>0</v>
      </c>
      <c r="EOA5">
        <v>0</v>
      </c>
      <c r="EOB5">
        <v>0</v>
      </c>
      <c r="EOC5">
        <v>0</v>
      </c>
      <c r="EOD5">
        <v>0</v>
      </c>
      <c r="EOE5">
        <v>0</v>
      </c>
      <c r="EOF5">
        <v>0</v>
      </c>
      <c r="EOG5">
        <v>0</v>
      </c>
      <c r="EOH5">
        <v>0</v>
      </c>
      <c r="EOI5">
        <v>0</v>
      </c>
      <c r="EOJ5">
        <v>0</v>
      </c>
      <c r="EOK5">
        <v>0</v>
      </c>
      <c r="EOL5">
        <v>0</v>
      </c>
      <c r="EOM5">
        <v>0</v>
      </c>
      <c r="EON5">
        <v>0</v>
      </c>
      <c r="EOO5">
        <v>0</v>
      </c>
      <c r="EOP5">
        <v>0</v>
      </c>
      <c r="EOQ5">
        <v>0</v>
      </c>
      <c r="EOR5">
        <v>0</v>
      </c>
      <c r="EOS5">
        <v>0</v>
      </c>
      <c r="EOT5">
        <v>0</v>
      </c>
      <c r="EOU5">
        <v>0</v>
      </c>
      <c r="EOV5">
        <v>0</v>
      </c>
      <c r="EOW5">
        <v>61</v>
      </c>
      <c r="EOX5">
        <v>0</v>
      </c>
      <c r="EOY5">
        <v>0</v>
      </c>
      <c r="EOZ5">
        <v>0</v>
      </c>
      <c r="EPA5">
        <v>0</v>
      </c>
      <c r="EPB5">
        <v>0</v>
      </c>
      <c r="EPC5">
        <v>0</v>
      </c>
      <c r="EPD5">
        <v>0</v>
      </c>
      <c r="EPE5">
        <v>0</v>
      </c>
      <c r="EPF5">
        <v>0</v>
      </c>
      <c r="EPG5">
        <v>0</v>
      </c>
      <c r="EPH5">
        <v>0</v>
      </c>
      <c r="EPI5">
        <v>0</v>
      </c>
      <c r="EPJ5">
        <v>0</v>
      </c>
      <c r="EPK5">
        <v>14</v>
      </c>
      <c r="EPL5">
        <v>38</v>
      </c>
      <c r="EPM5">
        <v>0</v>
      </c>
      <c r="EPN5">
        <v>0</v>
      </c>
      <c r="EPO5">
        <v>0</v>
      </c>
      <c r="EPP5">
        <v>0</v>
      </c>
      <c r="EPQ5">
        <v>0</v>
      </c>
      <c r="EPR5">
        <v>0</v>
      </c>
      <c r="EPS5">
        <v>0</v>
      </c>
      <c r="EPT5">
        <v>0</v>
      </c>
      <c r="EPU5">
        <v>0</v>
      </c>
      <c r="EPV5">
        <v>0</v>
      </c>
      <c r="EPW5">
        <v>0</v>
      </c>
      <c r="EPX5">
        <v>203</v>
      </c>
      <c r="EPY5">
        <v>0</v>
      </c>
      <c r="EPZ5">
        <v>0</v>
      </c>
      <c r="EQA5">
        <v>0</v>
      </c>
      <c r="EQB5">
        <v>0</v>
      </c>
      <c r="EQC5">
        <v>0</v>
      </c>
      <c r="EQD5">
        <v>0</v>
      </c>
      <c r="EQE5">
        <v>0</v>
      </c>
      <c r="EQF5">
        <v>0</v>
      </c>
      <c r="EQG5">
        <v>0</v>
      </c>
      <c r="EQH5">
        <v>0</v>
      </c>
      <c r="EQI5">
        <v>0</v>
      </c>
      <c r="EQJ5">
        <v>0</v>
      </c>
      <c r="EQK5">
        <v>3</v>
      </c>
      <c r="EQL5">
        <v>0</v>
      </c>
      <c r="EQM5">
        <v>0</v>
      </c>
      <c r="EQN5">
        <v>0</v>
      </c>
      <c r="EQO5">
        <v>0</v>
      </c>
      <c r="EQP5">
        <v>14</v>
      </c>
      <c r="EQQ5">
        <v>0</v>
      </c>
      <c r="EQR5">
        <v>0</v>
      </c>
      <c r="EQS5">
        <v>0</v>
      </c>
      <c r="EQT5">
        <v>0</v>
      </c>
      <c r="EQU5">
        <v>0</v>
      </c>
      <c r="EQV5">
        <v>0</v>
      </c>
      <c r="EQW5">
        <v>0</v>
      </c>
      <c r="EQX5">
        <v>0</v>
      </c>
      <c r="EQY5">
        <v>82</v>
      </c>
      <c r="EQZ5">
        <v>0</v>
      </c>
      <c r="ERA5">
        <v>0</v>
      </c>
      <c r="ERB5">
        <v>0</v>
      </c>
      <c r="ERC5">
        <v>59</v>
      </c>
      <c r="ERD5">
        <v>0</v>
      </c>
      <c r="ERE5">
        <v>0</v>
      </c>
      <c r="ERF5">
        <v>10</v>
      </c>
      <c r="ERG5">
        <v>0</v>
      </c>
      <c r="ERH5">
        <v>33</v>
      </c>
      <c r="ERI5">
        <v>0</v>
      </c>
      <c r="ERJ5">
        <v>0</v>
      </c>
      <c r="ERK5">
        <v>0</v>
      </c>
      <c r="ERL5">
        <v>0</v>
      </c>
      <c r="ERM5">
        <v>8</v>
      </c>
      <c r="ERN5">
        <v>0</v>
      </c>
      <c r="ERO5">
        <v>0</v>
      </c>
      <c r="ERP5">
        <v>0</v>
      </c>
      <c r="ERQ5">
        <v>0</v>
      </c>
      <c r="ERR5">
        <v>201</v>
      </c>
      <c r="ERS5">
        <v>0</v>
      </c>
      <c r="ERT5">
        <v>0</v>
      </c>
      <c r="ERU5">
        <v>0</v>
      </c>
      <c r="ERV5">
        <v>0</v>
      </c>
      <c r="ERW5">
        <v>0</v>
      </c>
      <c r="ERX5">
        <v>0</v>
      </c>
      <c r="ERY5">
        <v>0</v>
      </c>
      <c r="ERZ5">
        <v>0</v>
      </c>
      <c r="ESA5">
        <v>0</v>
      </c>
      <c r="ESB5">
        <v>72</v>
      </c>
      <c r="ESC5">
        <v>0</v>
      </c>
      <c r="ESD5">
        <v>0</v>
      </c>
      <c r="ESE5">
        <v>0</v>
      </c>
      <c r="ESF5">
        <v>370</v>
      </c>
      <c r="ESG5">
        <v>0</v>
      </c>
      <c r="ESH5">
        <v>0</v>
      </c>
      <c r="ESI5">
        <v>0</v>
      </c>
      <c r="ESJ5">
        <v>0</v>
      </c>
      <c r="ESK5">
        <v>0</v>
      </c>
      <c r="ESL5">
        <v>96</v>
      </c>
      <c r="ESM5">
        <v>0</v>
      </c>
      <c r="ESN5">
        <v>0</v>
      </c>
      <c r="ESO5">
        <v>0</v>
      </c>
      <c r="ESP5">
        <v>10</v>
      </c>
      <c r="ESQ5">
        <v>0</v>
      </c>
      <c r="ESR5">
        <v>0</v>
      </c>
      <c r="ESS5">
        <v>0</v>
      </c>
      <c r="EST5">
        <v>0</v>
      </c>
      <c r="ESU5">
        <v>381</v>
      </c>
      <c r="ESV5">
        <v>16</v>
      </c>
      <c r="ESW5">
        <v>0</v>
      </c>
      <c r="ESX5">
        <v>0</v>
      </c>
      <c r="ESY5">
        <v>0</v>
      </c>
      <c r="ESZ5">
        <v>6</v>
      </c>
      <c r="ETA5">
        <v>0</v>
      </c>
      <c r="ETB5">
        <v>0</v>
      </c>
      <c r="ETC5">
        <v>0</v>
      </c>
      <c r="ETD5">
        <v>0</v>
      </c>
      <c r="ETE5">
        <v>0</v>
      </c>
      <c r="ETF5">
        <v>0</v>
      </c>
      <c r="ETG5">
        <v>0</v>
      </c>
      <c r="ETH5">
        <v>0</v>
      </c>
      <c r="ETI5">
        <v>0</v>
      </c>
      <c r="ETJ5">
        <v>0</v>
      </c>
      <c r="ETK5">
        <v>0</v>
      </c>
      <c r="ETL5">
        <v>0</v>
      </c>
      <c r="ETM5">
        <v>0</v>
      </c>
      <c r="ETN5">
        <v>0</v>
      </c>
      <c r="ETO5">
        <v>35.99</v>
      </c>
      <c r="ETP5">
        <v>0</v>
      </c>
      <c r="ETQ5">
        <v>93</v>
      </c>
      <c r="ETR5">
        <v>0</v>
      </c>
      <c r="ETS5">
        <v>66</v>
      </c>
      <c r="ETT5">
        <v>0</v>
      </c>
      <c r="ETU5">
        <v>0</v>
      </c>
      <c r="ETV5">
        <v>0</v>
      </c>
      <c r="ETW5">
        <v>0</v>
      </c>
      <c r="ETX5">
        <v>0</v>
      </c>
      <c r="ETY5">
        <v>441.99</v>
      </c>
      <c r="ETZ5">
        <v>0</v>
      </c>
      <c r="EUA5">
        <v>0</v>
      </c>
      <c r="EUB5">
        <v>5</v>
      </c>
      <c r="EUC5">
        <v>0</v>
      </c>
      <c r="EUD5">
        <v>0</v>
      </c>
      <c r="EUE5">
        <v>0</v>
      </c>
      <c r="EUF5">
        <v>0</v>
      </c>
      <c r="EUG5">
        <v>0</v>
      </c>
      <c r="EUH5">
        <v>0</v>
      </c>
      <c r="EUI5">
        <v>0</v>
      </c>
      <c r="EUJ5">
        <v>0</v>
      </c>
      <c r="EUK5">
        <v>0</v>
      </c>
      <c r="EUL5">
        <v>35</v>
      </c>
      <c r="EUM5">
        <v>0</v>
      </c>
      <c r="EUN5">
        <v>0</v>
      </c>
      <c r="EUO5">
        <v>0</v>
      </c>
      <c r="EUP5">
        <v>0</v>
      </c>
      <c r="EUQ5">
        <v>0</v>
      </c>
      <c r="EUR5">
        <v>0</v>
      </c>
      <c r="EUS5">
        <v>0</v>
      </c>
      <c r="EUT5">
        <v>0</v>
      </c>
      <c r="EUU5">
        <v>0</v>
      </c>
      <c r="EUV5">
        <v>0</v>
      </c>
      <c r="EUW5">
        <v>8</v>
      </c>
      <c r="EUX5">
        <v>0</v>
      </c>
      <c r="EUY5">
        <v>0</v>
      </c>
      <c r="EUZ5">
        <v>0</v>
      </c>
      <c r="EVA5">
        <v>0</v>
      </c>
      <c r="EVB5">
        <v>89</v>
      </c>
      <c r="EVC5">
        <v>0</v>
      </c>
      <c r="EVD5">
        <v>0</v>
      </c>
      <c r="EVE5">
        <v>0</v>
      </c>
      <c r="EVF5">
        <v>56</v>
      </c>
      <c r="EVG5">
        <v>0</v>
      </c>
      <c r="EVH5">
        <v>0</v>
      </c>
      <c r="EVI5">
        <v>0</v>
      </c>
      <c r="EVJ5">
        <v>0</v>
      </c>
      <c r="EVK5">
        <v>0</v>
      </c>
      <c r="EVL5">
        <v>0</v>
      </c>
      <c r="EVM5">
        <v>0</v>
      </c>
      <c r="EVN5">
        <v>0</v>
      </c>
      <c r="EVO5">
        <v>0</v>
      </c>
      <c r="EVP5">
        <v>0</v>
      </c>
      <c r="EVQ5">
        <v>22</v>
      </c>
      <c r="EVR5">
        <v>0</v>
      </c>
      <c r="EVS5">
        <v>0</v>
      </c>
      <c r="EVT5">
        <v>0</v>
      </c>
      <c r="EVU5">
        <v>0</v>
      </c>
      <c r="EVV5">
        <v>476.99</v>
      </c>
      <c r="EVW5">
        <v>0</v>
      </c>
      <c r="EVX5">
        <v>0</v>
      </c>
      <c r="EVY5">
        <v>50</v>
      </c>
      <c r="EVZ5">
        <v>0</v>
      </c>
      <c r="EWA5">
        <v>0</v>
      </c>
      <c r="EWB5">
        <v>0</v>
      </c>
      <c r="EWC5">
        <v>0</v>
      </c>
      <c r="EWD5">
        <v>0</v>
      </c>
      <c r="EWE5">
        <v>0</v>
      </c>
      <c r="EWF5">
        <v>0</v>
      </c>
      <c r="EWG5">
        <v>0</v>
      </c>
      <c r="EWH5">
        <v>0</v>
      </c>
      <c r="EWI5">
        <v>0</v>
      </c>
      <c r="EWJ5">
        <v>0</v>
      </c>
      <c r="EWK5">
        <v>15</v>
      </c>
      <c r="EWL5">
        <v>0</v>
      </c>
      <c r="EWM5">
        <v>486</v>
      </c>
      <c r="EWN5">
        <v>0</v>
      </c>
      <c r="EWO5">
        <v>0</v>
      </c>
      <c r="EWP5">
        <v>179</v>
      </c>
      <c r="EWQ5">
        <v>12</v>
      </c>
      <c r="EWR5">
        <v>0</v>
      </c>
      <c r="EWS5">
        <v>103</v>
      </c>
      <c r="EWT5">
        <v>0</v>
      </c>
      <c r="EWU5">
        <v>0</v>
      </c>
      <c r="EWV5">
        <v>0</v>
      </c>
      <c r="EWW5">
        <v>0</v>
      </c>
      <c r="EWX5">
        <v>0</v>
      </c>
      <c r="EWY5">
        <v>0</v>
      </c>
      <c r="EWZ5">
        <v>45</v>
      </c>
      <c r="EXA5">
        <v>0</v>
      </c>
      <c r="EXB5">
        <v>0</v>
      </c>
      <c r="EXC5">
        <v>42</v>
      </c>
      <c r="EXD5">
        <v>0</v>
      </c>
      <c r="EXE5">
        <v>0</v>
      </c>
      <c r="EXF5">
        <v>0</v>
      </c>
      <c r="EXG5">
        <v>0</v>
      </c>
      <c r="EXH5">
        <v>0</v>
      </c>
      <c r="EXI5">
        <v>0</v>
      </c>
      <c r="EXJ5">
        <v>0</v>
      </c>
      <c r="EXK5">
        <v>0</v>
      </c>
      <c r="EXL5">
        <v>0</v>
      </c>
      <c r="EXM5">
        <v>0</v>
      </c>
      <c r="EXN5">
        <v>0</v>
      </c>
      <c r="EXO5">
        <v>0</v>
      </c>
      <c r="EXP5">
        <v>0</v>
      </c>
      <c r="EXQ5">
        <v>0</v>
      </c>
      <c r="EXR5">
        <v>0</v>
      </c>
      <c r="EXS5">
        <v>0</v>
      </c>
      <c r="EXT5">
        <v>0</v>
      </c>
      <c r="EXU5">
        <v>0</v>
      </c>
      <c r="EXV5">
        <v>0</v>
      </c>
      <c r="EXW5">
        <v>92</v>
      </c>
      <c r="EXX5">
        <v>0</v>
      </c>
      <c r="EXY5">
        <v>0</v>
      </c>
      <c r="EXZ5">
        <v>141</v>
      </c>
      <c r="EYA5">
        <v>0</v>
      </c>
      <c r="EYB5">
        <v>0</v>
      </c>
      <c r="EYC5">
        <v>0</v>
      </c>
      <c r="EYD5">
        <v>0</v>
      </c>
      <c r="EYE5">
        <v>287.98</v>
      </c>
      <c r="EYF5">
        <v>0</v>
      </c>
      <c r="EYG5">
        <v>0</v>
      </c>
      <c r="EYH5">
        <v>0</v>
      </c>
      <c r="EYI5">
        <v>0</v>
      </c>
      <c r="EYJ5">
        <v>0</v>
      </c>
      <c r="EYK5">
        <v>0</v>
      </c>
      <c r="EYL5">
        <v>0</v>
      </c>
      <c r="EYM5">
        <v>0</v>
      </c>
      <c r="EYN5">
        <v>0</v>
      </c>
      <c r="EYO5">
        <v>0</v>
      </c>
      <c r="EYP5">
        <v>0</v>
      </c>
      <c r="EYQ5">
        <v>0</v>
      </c>
      <c r="EYR5">
        <v>0</v>
      </c>
      <c r="EYS5">
        <v>0</v>
      </c>
      <c r="EYT5">
        <v>0</v>
      </c>
      <c r="EYU5">
        <v>0</v>
      </c>
      <c r="EYV5">
        <v>0</v>
      </c>
      <c r="EYW5">
        <v>0</v>
      </c>
      <c r="EYX5">
        <v>0</v>
      </c>
      <c r="EYY5">
        <v>0</v>
      </c>
      <c r="EYZ5">
        <v>0</v>
      </c>
      <c r="EZA5">
        <v>0</v>
      </c>
      <c r="EZB5">
        <v>0</v>
      </c>
      <c r="EZC5">
        <v>458.99</v>
      </c>
      <c r="EZD5">
        <v>0</v>
      </c>
      <c r="EZE5">
        <v>0</v>
      </c>
      <c r="EZF5">
        <v>0</v>
      </c>
      <c r="EZG5">
        <v>0</v>
      </c>
      <c r="EZH5">
        <v>0</v>
      </c>
      <c r="EZI5">
        <v>0</v>
      </c>
      <c r="EZJ5">
        <v>0</v>
      </c>
      <c r="EZK5">
        <v>0</v>
      </c>
      <c r="EZL5">
        <v>0</v>
      </c>
      <c r="EZM5">
        <v>0</v>
      </c>
      <c r="EZN5">
        <v>0</v>
      </c>
      <c r="EZO5">
        <v>0</v>
      </c>
      <c r="EZP5">
        <v>0</v>
      </c>
      <c r="EZQ5">
        <v>0</v>
      </c>
      <c r="EZR5">
        <v>0</v>
      </c>
      <c r="EZS5">
        <v>0</v>
      </c>
      <c r="EZT5">
        <v>0</v>
      </c>
      <c r="EZU5">
        <v>0</v>
      </c>
      <c r="EZV5">
        <v>0</v>
      </c>
      <c r="EZW5">
        <v>78.989999999999995</v>
      </c>
      <c r="EZX5">
        <v>0</v>
      </c>
      <c r="EZY5">
        <v>0</v>
      </c>
      <c r="EZZ5">
        <v>0</v>
      </c>
      <c r="FAA5">
        <v>0</v>
      </c>
      <c r="FAB5">
        <v>9</v>
      </c>
      <c r="FAC5">
        <v>0</v>
      </c>
      <c r="FAD5">
        <v>0</v>
      </c>
      <c r="FAE5">
        <v>0</v>
      </c>
      <c r="FAF5">
        <v>0</v>
      </c>
      <c r="FAG5">
        <v>0</v>
      </c>
      <c r="FAH5">
        <v>0</v>
      </c>
      <c r="FAI5">
        <v>0</v>
      </c>
      <c r="FAJ5">
        <v>0</v>
      </c>
      <c r="FAK5">
        <v>0</v>
      </c>
      <c r="FAL5">
        <v>0</v>
      </c>
      <c r="FAM5">
        <v>10</v>
      </c>
      <c r="FAN5">
        <v>0</v>
      </c>
      <c r="FAO5">
        <v>0</v>
      </c>
      <c r="FAP5">
        <v>0</v>
      </c>
      <c r="FAQ5">
        <v>0</v>
      </c>
      <c r="FAR5">
        <v>0</v>
      </c>
      <c r="FAS5">
        <v>0</v>
      </c>
      <c r="FAT5">
        <v>0</v>
      </c>
      <c r="FAU5">
        <v>0</v>
      </c>
      <c r="FAV5">
        <v>0</v>
      </c>
      <c r="FAW5">
        <v>0</v>
      </c>
      <c r="FAX5">
        <v>0</v>
      </c>
      <c r="FAY5">
        <v>0</v>
      </c>
      <c r="FAZ5">
        <v>0</v>
      </c>
      <c r="FBA5">
        <v>0</v>
      </c>
      <c r="FBB5">
        <v>0</v>
      </c>
      <c r="FBC5">
        <v>0</v>
      </c>
      <c r="FBD5">
        <v>0</v>
      </c>
      <c r="FBE5">
        <v>0</v>
      </c>
      <c r="FBF5">
        <v>0</v>
      </c>
      <c r="FBG5">
        <v>0</v>
      </c>
      <c r="FBH5">
        <v>0</v>
      </c>
      <c r="FBI5">
        <v>0</v>
      </c>
      <c r="FBJ5">
        <v>0</v>
      </c>
      <c r="FBK5">
        <v>0</v>
      </c>
      <c r="FBL5">
        <v>0</v>
      </c>
      <c r="FBM5">
        <v>0</v>
      </c>
      <c r="FBN5">
        <v>0</v>
      </c>
      <c r="FBO5">
        <v>0</v>
      </c>
      <c r="FBP5">
        <v>0</v>
      </c>
      <c r="FBQ5">
        <v>0</v>
      </c>
      <c r="FBR5">
        <v>0</v>
      </c>
      <c r="FBS5">
        <v>0</v>
      </c>
      <c r="FBT5">
        <v>0</v>
      </c>
      <c r="FBU5">
        <v>0</v>
      </c>
      <c r="FBV5">
        <v>0</v>
      </c>
      <c r="FBW5">
        <v>0</v>
      </c>
      <c r="FBX5">
        <v>0</v>
      </c>
      <c r="FBY5">
        <v>0</v>
      </c>
      <c r="FBZ5">
        <v>0</v>
      </c>
      <c r="FCA5">
        <v>0</v>
      </c>
      <c r="FCB5">
        <v>0</v>
      </c>
      <c r="FCC5">
        <v>0</v>
      </c>
      <c r="FCD5">
        <v>0</v>
      </c>
      <c r="FCE5">
        <v>0</v>
      </c>
      <c r="FCF5">
        <v>0</v>
      </c>
      <c r="FCG5">
        <v>0</v>
      </c>
      <c r="FCH5">
        <v>0</v>
      </c>
      <c r="FCI5">
        <v>0</v>
      </c>
      <c r="FCJ5">
        <v>0</v>
      </c>
      <c r="FCK5">
        <v>0</v>
      </c>
      <c r="FCL5">
        <v>0</v>
      </c>
      <c r="FCM5">
        <v>153</v>
      </c>
      <c r="FCN5">
        <v>0</v>
      </c>
      <c r="FCO5">
        <v>63</v>
      </c>
      <c r="FCP5">
        <v>0</v>
      </c>
      <c r="FCQ5">
        <v>0</v>
      </c>
      <c r="FCR5">
        <v>0</v>
      </c>
      <c r="FCS5">
        <v>0</v>
      </c>
      <c r="FCT5">
        <v>0</v>
      </c>
      <c r="FCU5">
        <v>0</v>
      </c>
      <c r="FCV5">
        <v>0</v>
      </c>
      <c r="FCW5">
        <v>0</v>
      </c>
      <c r="FCX5">
        <v>0</v>
      </c>
      <c r="FCY5">
        <v>0</v>
      </c>
      <c r="FCZ5">
        <v>0</v>
      </c>
      <c r="FDA5">
        <v>0</v>
      </c>
      <c r="FDB5">
        <v>0</v>
      </c>
      <c r="FDC5">
        <v>0</v>
      </c>
      <c r="FDD5">
        <v>0</v>
      </c>
      <c r="FDE5">
        <v>0</v>
      </c>
      <c r="FDF5">
        <v>11</v>
      </c>
      <c r="FDG5">
        <v>0</v>
      </c>
      <c r="FDH5">
        <v>0</v>
      </c>
      <c r="FDI5">
        <v>0</v>
      </c>
      <c r="FDJ5">
        <v>11</v>
      </c>
      <c r="FDK5">
        <v>0</v>
      </c>
      <c r="FDL5">
        <v>0</v>
      </c>
      <c r="FDM5">
        <v>0</v>
      </c>
      <c r="FDN5">
        <v>0</v>
      </c>
      <c r="FDO5">
        <v>0</v>
      </c>
      <c r="FDP5">
        <v>0</v>
      </c>
      <c r="FDQ5">
        <v>0</v>
      </c>
      <c r="FDR5">
        <v>0</v>
      </c>
      <c r="FDS5">
        <v>0</v>
      </c>
      <c r="FDT5">
        <v>0</v>
      </c>
      <c r="FDU5">
        <v>17</v>
      </c>
      <c r="FDV5">
        <v>0</v>
      </c>
      <c r="FDW5">
        <v>0</v>
      </c>
      <c r="FDX5">
        <v>0</v>
      </c>
      <c r="FDY5">
        <v>0</v>
      </c>
      <c r="FDZ5">
        <v>0</v>
      </c>
      <c r="FEA5">
        <v>0</v>
      </c>
      <c r="FEB5">
        <v>0</v>
      </c>
      <c r="FEC5">
        <v>0</v>
      </c>
      <c r="FED5">
        <v>33</v>
      </c>
      <c r="FEE5">
        <v>0</v>
      </c>
      <c r="FEF5">
        <v>0</v>
      </c>
      <c r="FEG5">
        <v>0</v>
      </c>
      <c r="FEH5">
        <v>0</v>
      </c>
      <c r="FEI5">
        <v>0</v>
      </c>
      <c r="FEJ5">
        <v>617.99</v>
      </c>
      <c r="FEK5">
        <v>0</v>
      </c>
      <c r="FEL5">
        <v>0</v>
      </c>
      <c r="FEM5">
        <v>19</v>
      </c>
      <c r="FEN5">
        <v>0</v>
      </c>
      <c r="FEO5">
        <v>132</v>
      </c>
      <c r="FEP5">
        <v>0</v>
      </c>
      <c r="FEQ5">
        <v>0</v>
      </c>
      <c r="FER5">
        <v>0</v>
      </c>
      <c r="FES5">
        <v>0</v>
      </c>
      <c r="FET5">
        <v>0</v>
      </c>
      <c r="FEU5">
        <v>0</v>
      </c>
      <c r="FEV5">
        <v>0</v>
      </c>
      <c r="FEW5">
        <v>0</v>
      </c>
      <c r="FEX5">
        <v>0</v>
      </c>
      <c r="FEY5">
        <v>0</v>
      </c>
      <c r="FEZ5">
        <v>0</v>
      </c>
      <c r="FFA5">
        <v>0</v>
      </c>
      <c r="FFB5">
        <v>0</v>
      </c>
      <c r="FFC5">
        <v>0</v>
      </c>
      <c r="FFD5">
        <v>0</v>
      </c>
      <c r="FFE5">
        <v>0</v>
      </c>
      <c r="FFF5">
        <v>0</v>
      </c>
      <c r="FFG5">
        <v>0</v>
      </c>
      <c r="FFH5">
        <v>0</v>
      </c>
      <c r="FFI5">
        <v>0</v>
      </c>
      <c r="FFJ5">
        <v>0</v>
      </c>
      <c r="FFK5">
        <v>0</v>
      </c>
      <c r="FFL5">
        <v>0</v>
      </c>
      <c r="FFM5">
        <v>0</v>
      </c>
      <c r="FFN5">
        <v>0</v>
      </c>
      <c r="FFO5">
        <v>76.989999999999995</v>
      </c>
      <c r="FFP5">
        <v>0</v>
      </c>
      <c r="FFQ5">
        <v>0</v>
      </c>
      <c r="FFR5">
        <v>0</v>
      </c>
      <c r="FFS5">
        <v>0</v>
      </c>
      <c r="FFT5">
        <v>0</v>
      </c>
      <c r="FFU5">
        <v>0</v>
      </c>
      <c r="FFV5">
        <v>0</v>
      </c>
      <c r="FFW5">
        <v>0</v>
      </c>
      <c r="FFX5">
        <v>0</v>
      </c>
      <c r="FFY5">
        <v>0</v>
      </c>
      <c r="FFZ5">
        <v>0</v>
      </c>
      <c r="FGA5">
        <v>0</v>
      </c>
      <c r="FGB5">
        <v>0</v>
      </c>
      <c r="FGC5">
        <v>0</v>
      </c>
      <c r="FGD5">
        <v>456</v>
      </c>
      <c r="FGE5">
        <v>74.989999999999995</v>
      </c>
      <c r="FGF5">
        <v>0</v>
      </c>
      <c r="FGG5">
        <v>112.99</v>
      </c>
      <c r="FGH5">
        <v>0</v>
      </c>
      <c r="FGI5">
        <v>0</v>
      </c>
      <c r="FGJ5">
        <v>0</v>
      </c>
      <c r="FGK5">
        <v>32</v>
      </c>
      <c r="FGL5">
        <v>133.99</v>
      </c>
      <c r="FGM5">
        <v>0</v>
      </c>
      <c r="FGN5">
        <v>0</v>
      </c>
      <c r="FGO5">
        <v>0</v>
      </c>
      <c r="FGP5">
        <v>143</v>
      </c>
      <c r="FGQ5">
        <v>537.99</v>
      </c>
      <c r="FGR5">
        <v>0</v>
      </c>
      <c r="FGS5">
        <v>0</v>
      </c>
      <c r="FGT5">
        <v>143</v>
      </c>
      <c r="FGU5">
        <v>0</v>
      </c>
      <c r="FGV5">
        <v>352.99</v>
      </c>
      <c r="FGW5">
        <v>10</v>
      </c>
      <c r="FGX5">
        <v>0</v>
      </c>
      <c r="FGY5">
        <v>0</v>
      </c>
      <c r="FGZ5">
        <v>0</v>
      </c>
      <c r="FHA5">
        <v>0</v>
      </c>
      <c r="FHB5">
        <v>0</v>
      </c>
      <c r="FHC5">
        <v>0</v>
      </c>
      <c r="FHD5">
        <v>0</v>
      </c>
      <c r="FHE5">
        <v>0</v>
      </c>
      <c r="FHF5">
        <v>0</v>
      </c>
      <c r="FHG5">
        <v>0</v>
      </c>
      <c r="FHH5">
        <v>0</v>
      </c>
      <c r="FHI5">
        <v>0</v>
      </c>
      <c r="FHJ5">
        <v>23</v>
      </c>
      <c r="FHK5">
        <v>0</v>
      </c>
      <c r="FHL5">
        <v>0</v>
      </c>
      <c r="FHM5">
        <v>0</v>
      </c>
      <c r="FHN5">
        <v>0</v>
      </c>
      <c r="FHO5">
        <v>0</v>
      </c>
      <c r="FHP5">
        <v>0</v>
      </c>
      <c r="FHQ5">
        <v>0</v>
      </c>
      <c r="FHR5">
        <v>0</v>
      </c>
      <c r="FHS5">
        <v>0</v>
      </c>
      <c r="FHT5">
        <v>0</v>
      </c>
      <c r="FHU5">
        <v>0</v>
      </c>
      <c r="FHV5">
        <v>0</v>
      </c>
      <c r="FHW5">
        <v>108.99</v>
      </c>
      <c r="FHX5">
        <v>21</v>
      </c>
      <c r="FHY5">
        <v>0</v>
      </c>
      <c r="FHZ5">
        <v>0</v>
      </c>
      <c r="FIA5">
        <v>786.99</v>
      </c>
      <c r="FIB5">
        <v>26</v>
      </c>
      <c r="FIC5">
        <v>0</v>
      </c>
      <c r="FID5">
        <v>0</v>
      </c>
      <c r="FIE5">
        <v>0</v>
      </c>
      <c r="FIF5">
        <v>0</v>
      </c>
      <c r="FIG5">
        <v>0</v>
      </c>
      <c r="FIH5">
        <v>0</v>
      </c>
      <c r="FII5">
        <v>0</v>
      </c>
      <c r="FIJ5">
        <v>0</v>
      </c>
      <c r="FIK5">
        <v>0</v>
      </c>
      <c r="FIL5">
        <v>0</v>
      </c>
      <c r="FIM5">
        <v>112</v>
      </c>
      <c r="FIN5">
        <v>0</v>
      </c>
      <c r="FIO5">
        <v>66</v>
      </c>
      <c r="FIP5">
        <v>0</v>
      </c>
      <c r="FIQ5">
        <v>36</v>
      </c>
      <c r="FIR5">
        <v>0</v>
      </c>
      <c r="FIS5">
        <v>810.98</v>
      </c>
      <c r="FIT5">
        <v>0</v>
      </c>
      <c r="FIU5">
        <v>0</v>
      </c>
      <c r="FIV5">
        <v>0</v>
      </c>
      <c r="FIW5">
        <v>0</v>
      </c>
      <c r="FIX5">
        <v>0</v>
      </c>
      <c r="FIY5">
        <v>525.99</v>
      </c>
      <c r="FIZ5">
        <v>0</v>
      </c>
      <c r="FJA5">
        <v>0</v>
      </c>
      <c r="FJB5">
        <v>0</v>
      </c>
      <c r="FJC5">
        <v>0</v>
      </c>
      <c r="FJD5">
        <v>0</v>
      </c>
      <c r="FJE5">
        <v>0</v>
      </c>
      <c r="FJF5">
        <v>0</v>
      </c>
      <c r="FJG5">
        <v>0</v>
      </c>
      <c r="FJH5">
        <v>0</v>
      </c>
      <c r="FJI5">
        <v>0</v>
      </c>
      <c r="FJJ5">
        <v>0</v>
      </c>
      <c r="FJK5">
        <v>0</v>
      </c>
      <c r="FJL5">
        <v>0</v>
      </c>
      <c r="FJM5">
        <v>0</v>
      </c>
      <c r="FJN5">
        <v>434</v>
      </c>
      <c r="FJO5">
        <v>0</v>
      </c>
      <c r="FJP5">
        <v>0</v>
      </c>
      <c r="FJQ5">
        <v>0</v>
      </c>
      <c r="FJR5">
        <v>0</v>
      </c>
      <c r="FJS5">
        <v>0</v>
      </c>
      <c r="FJT5">
        <v>59</v>
      </c>
      <c r="FJU5">
        <v>0</v>
      </c>
      <c r="FJV5">
        <v>0</v>
      </c>
      <c r="FJW5">
        <v>0</v>
      </c>
      <c r="FJX5">
        <v>0</v>
      </c>
      <c r="FJY5">
        <v>0</v>
      </c>
      <c r="FJZ5">
        <v>0</v>
      </c>
      <c r="FKA5">
        <v>37</v>
      </c>
      <c r="FKB5">
        <v>0</v>
      </c>
      <c r="FKC5">
        <v>0</v>
      </c>
      <c r="FKD5">
        <v>0</v>
      </c>
      <c r="FKE5">
        <v>118</v>
      </c>
      <c r="FKF5">
        <v>0</v>
      </c>
      <c r="FKG5">
        <v>0</v>
      </c>
      <c r="FKH5">
        <v>0</v>
      </c>
      <c r="FKI5">
        <v>0</v>
      </c>
      <c r="FKJ5">
        <v>0</v>
      </c>
      <c r="FKK5">
        <v>0</v>
      </c>
      <c r="FKL5">
        <v>0</v>
      </c>
      <c r="FKM5">
        <v>0</v>
      </c>
      <c r="FKN5">
        <v>0</v>
      </c>
      <c r="FKO5">
        <v>34</v>
      </c>
      <c r="FKP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85</v>
      </c>
      <c r="FKX5">
        <v>31.99</v>
      </c>
      <c r="FKY5">
        <v>0</v>
      </c>
      <c r="FKZ5">
        <v>0</v>
      </c>
      <c r="FLA5">
        <v>0</v>
      </c>
      <c r="FLB5">
        <v>0</v>
      </c>
      <c r="FLC5">
        <v>0</v>
      </c>
      <c r="FLD5">
        <v>0</v>
      </c>
      <c r="FLE5">
        <v>0</v>
      </c>
      <c r="FLF5">
        <v>122.99</v>
      </c>
      <c r="FLG5">
        <v>0</v>
      </c>
      <c r="FLH5">
        <v>0</v>
      </c>
      <c r="FLI5">
        <v>0</v>
      </c>
      <c r="FLJ5">
        <v>0</v>
      </c>
      <c r="FLK5">
        <v>0</v>
      </c>
      <c r="FLL5">
        <v>0</v>
      </c>
      <c r="FLM5">
        <v>148.99</v>
      </c>
      <c r="FLN5">
        <v>0</v>
      </c>
      <c r="FLO5">
        <v>0</v>
      </c>
      <c r="FLP5">
        <v>0</v>
      </c>
      <c r="FLQ5">
        <v>0</v>
      </c>
      <c r="FLR5">
        <v>0</v>
      </c>
      <c r="FLS5">
        <v>0</v>
      </c>
      <c r="FLT5">
        <v>0</v>
      </c>
      <c r="FLU5">
        <v>0</v>
      </c>
      <c r="FLV5">
        <v>0</v>
      </c>
      <c r="FLW5">
        <v>0</v>
      </c>
      <c r="FLX5">
        <v>0</v>
      </c>
      <c r="FLY5">
        <v>0</v>
      </c>
      <c r="FLZ5">
        <v>0</v>
      </c>
      <c r="FMA5">
        <v>0</v>
      </c>
      <c r="FMB5">
        <v>0</v>
      </c>
      <c r="FMC5">
        <v>0</v>
      </c>
      <c r="FMD5">
        <v>0</v>
      </c>
      <c r="FME5">
        <v>0</v>
      </c>
      <c r="FMF5">
        <v>0</v>
      </c>
      <c r="FMG5">
        <v>0</v>
      </c>
      <c r="FMH5">
        <v>0</v>
      </c>
      <c r="FMI5">
        <v>0</v>
      </c>
      <c r="FMJ5">
        <v>130</v>
      </c>
      <c r="FMK5">
        <v>0</v>
      </c>
      <c r="FML5">
        <v>0</v>
      </c>
      <c r="FMM5">
        <v>0</v>
      </c>
      <c r="FMN5">
        <v>0</v>
      </c>
      <c r="FMO5">
        <v>0</v>
      </c>
      <c r="FMP5">
        <v>0</v>
      </c>
      <c r="FMQ5">
        <v>0</v>
      </c>
      <c r="FMR5">
        <v>0</v>
      </c>
      <c r="FMS5">
        <v>0</v>
      </c>
      <c r="FMT5">
        <v>6</v>
      </c>
      <c r="FMU5">
        <v>0</v>
      </c>
      <c r="FMV5">
        <v>0</v>
      </c>
      <c r="FMW5">
        <v>5</v>
      </c>
      <c r="FMX5">
        <v>11.99</v>
      </c>
      <c r="FMY5">
        <v>976.99</v>
      </c>
      <c r="FMZ5">
        <v>0</v>
      </c>
      <c r="FNA5">
        <v>0</v>
      </c>
      <c r="FNB5">
        <v>0</v>
      </c>
      <c r="FNC5">
        <v>0</v>
      </c>
      <c r="FND5">
        <v>0</v>
      </c>
      <c r="FNE5">
        <v>33.99</v>
      </c>
      <c r="FNF5">
        <v>0</v>
      </c>
      <c r="FNG5">
        <v>0</v>
      </c>
      <c r="FNH5">
        <v>0</v>
      </c>
      <c r="FNI5">
        <v>0</v>
      </c>
      <c r="FNJ5">
        <v>0</v>
      </c>
      <c r="FNK5">
        <v>0</v>
      </c>
      <c r="FNL5">
        <v>0</v>
      </c>
      <c r="FNM5">
        <v>0</v>
      </c>
      <c r="FNN5">
        <v>0</v>
      </c>
      <c r="FNO5">
        <v>0</v>
      </c>
      <c r="FNP5">
        <v>0</v>
      </c>
      <c r="FNQ5">
        <v>0</v>
      </c>
      <c r="FNR5">
        <v>0</v>
      </c>
      <c r="FNS5">
        <v>0</v>
      </c>
      <c r="FNT5">
        <v>0</v>
      </c>
      <c r="FNU5">
        <v>0</v>
      </c>
      <c r="FNV5">
        <v>0</v>
      </c>
      <c r="FNW5">
        <v>0</v>
      </c>
      <c r="FNX5">
        <v>0</v>
      </c>
      <c r="FNY5">
        <v>0</v>
      </c>
      <c r="FNZ5">
        <v>132</v>
      </c>
      <c r="FOA5">
        <v>0</v>
      </c>
      <c r="FOB5">
        <v>0</v>
      </c>
      <c r="FOC5">
        <v>0</v>
      </c>
      <c r="FOD5">
        <v>0</v>
      </c>
      <c r="FOE5">
        <v>13</v>
      </c>
      <c r="FOF5">
        <v>1027.97</v>
      </c>
      <c r="FOG5">
        <v>32</v>
      </c>
      <c r="FOH5">
        <v>0</v>
      </c>
      <c r="FOI5">
        <v>924.98</v>
      </c>
      <c r="FOJ5">
        <v>0</v>
      </c>
      <c r="FOK5">
        <v>0</v>
      </c>
      <c r="FOL5">
        <v>46</v>
      </c>
      <c r="FOM5">
        <v>0</v>
      </c>
      <c r="FON5">
        <v>0</v>
      </c>
      <c r="FOO5">
        <v>0</v>
      </c>
      <c r="FOP5">
        <v>0</v>
      </c>
      <c r="FOQ5">
        <v>0</v>
      </c>
      <c r="FOR5">
        <v>0</v>
      </c>
      <c r="FOS5">
        <v>214.99</v>
      </c>
      <c r="FOT5">
        <v>0</v>
      </c>
      <c r="FOU5">
        <v>0</v>
      </c>
      <c r="FOV5">
        <v>0</v>
      </c>
      <c r="FOW5">
        <v>0</v>
      </c>
      <c r="FOX5">
        <v>9</v>
      </c>
      <c r="FOY5">
        <v>0</v>
      </c>
      <c r="FOZ5">
        <v>0</v>
      </c>
      <c r="FPA5">
        <v>0</v>
      </c>
      <c r="FPB5">
        <v>28</v>
      </c>
      <c r="FPC5">
        <v>19</v>
      </c>
      <c r="FPD5">
        <v>0</v>
      </c>
      <c r="FPE5">
        <v>0</v>
      </c>
      <c r="FPF5">
        <v>0</v>
      </c>
      <c r="FPG5">
        <v>105</v>
      </c>
      <c r="FPH5">
        <v>58</v>
      </c>
      <c r="FPI5">
        <v>7</v>
      </c>
      <c r="FPJ5">
        <v>0</v>
      </c>
      <c r="FPK5">
        <v>0</v>
      </c>
      <c r="FPL5">
        <v>0</v>
      </c>
      <c r="FPM5">
        <v>0</v>
      </c>
      <c r="FPN5">
        <v>0</v>
      </c>
      <c r="FPO5">
        <v>0</v>
      </c>
      <c r="FPP5">
        <v>888.99</v>
      </c>
      <c r="FPQ5">
        <v>0</v>
      </c>
      <c r="FPR5">
        <v>0</v>
      </c>
      <c r="FPS5">
        <v>6</v>
      </c>
      <c r="FPT5">
        <v>0</v>
      </c>
      <c r="FPU5">
        <v>0</v>
      </c>
      <c r="FPV5">
        <v>0</v>
      </c>
      <c r="FPW5">
        <v>0</v>
      </c>
      <c r="FPX5">
        <v>0</v>
      </c>
      <c r="FPY5">
        <v>0</v>
      </c>
      <c r="FPZ5">
        <v>0</v>
      </c>
      <c r="FQA5">
        <v>0</v>
      </c>
      <c r="FQB5">
        <v>0</v>
      </c>
      <c r="FQC5">
        <v>0</v>
      </c>
      <c r="FQD5">
        <v>20</v>
      </c>
      <c r="FQE5">
        <v>0</v>
      </c>
      <c r="FQF5">
        <v>0</v>
      </c>
      <c r="FQG5">
        <v>0</v>
      </c>
      <c r="FQH5">
        <v>0</v>
      </c>
      <c r="FQI5">
        <v>0</v>
      </c>
      <c r="FQJ5">
        <v>0</v>
      </c>
      <c r="FQK5">
        <v>0</v>
      </c>
      <c r="FQL5">
        <v>0</v>
      </c>
      <c r="FQM5">
        <v>0</v>
      </c>
      <c r="FQN5">
        <v>0</v>
      </c>
      <c r="FQO5">
        <v>0</v>
      </c>
      <c r="FQP5">
        <v>0</v>
      </c>
      <c r="FQQ5">
        <v>220</v>
      </c>
      <c r="FQR5">
        <v>0</v>
      </c>
      <c r="FQS5">
        <v>0</v>
      </c>
      <c r="FQT5">
        <v>0</v>
      </c>
      <c r="FQU5">
        <v>0</v>
      </c>
      <c r="FQV5">
        <v>0</v>
      </c>
      <c r="FQW5">
        <v>0</v>
      </c>
      <c r="FQX5">
        <v>0</v>
      </c>
      <c r="FQY5">
        <v>0</v>
      </c>
      <c r="FQZ5">
        <v>0</v>
      </c>
      <c r="FRA5">
        <v>0</v>
      </c>
      <c r="FRB5">
        <v>0</v>
      </c>
      <c r="FRC5">
        <v>0</v>
      </c>
      <c r="FRD5">
        <v>0</v>
      </c>
      <c r="FRE5">
        <v>24</v>
      </c>
      <c r="FRF5">
        <v>0</v>
      </c>
      <c r="FRG5">
        <v>0</v>
      </c>
      <c r="FRH5">
        <v>61</v>
      </c>
      <c r="FRI5">
        <v>39</v>
      </c>
      <c r="FRJ5">
        <v>0</v>
      </c>
      <c r="FRK5">
        <v>0</v>
      </c>
      <c r="FRL5">
        <v>0</v>
      </c>
      <c r="FRM5">
        <v>0</v>
      </c>
      <c r="FRN5">
        <v>0</v>
      </c>
      <c r="FRO5">
        <v>0</v>
      </c>
      <c r="FRP5">
        <v>0</v>
      </c>
      <c r="FRQ5">
        <v>0</v>
      </c>
      <c r="FRR5">
        <v>10</v>
      </c>
      <c r="FRS5">
        <v>1167.98</v>
      </c>
      <c r="FRT5">
        <v>0</v>
      </c>
      <c r="FRU5">
        <v>0</v>
      </c>
      <c r="FRV5">
        <v>0</v>
      </c>
      <c r="FRW5">
        <v>0</v>
      </c>
      <c r="FRX5">
        <v>0</v>
      </c>
      <c r="FRY5">
        <v>0</v>
      </c>
      <c r="FRZ5">
        <v>0</v>
      </c>
      <c r="FSA5">
        <v>0</v>
      </c>
      <c r="FSB5">
        <v>0</v>
      </c>
      <c r="FSC5">
        <v>0</v>
      </c>
      <c r="FSD5">
        <v>0</v>
      </c>
      <c r="FSE5">
        <v>1286.96</v>
      </c>
      <c r="FSF5">
        <v>0</v>
      </c>
      <c r="FSG5">
        <v>0</v>
      </c>
      <c r="FSH5">
        <v>0</v>
      </c>
      <c r="FSI5">
        <v>0</v>
      </c>
      <c r="FSJ5">
        <v>0</v>
      </c>
      <c r="FSK5">
        <v>59</v>
      </c>
      <c r="FSL5">
        <v>0</v>
      </c>
      <c r="FSM5">
        <v>0</v>
      </c>
      <c r="FSN5">
        <v>0</v>
      </c>
      <c r="FSO5">
        <v>121</v>
      </c>
      <c r="FSP5">
        <v>0</v>
      </c>
      <c r="FSQ5">
        <v>0</v>
      </c>
      <c r="FSR5">
        <v>24</v>
      </c>
      <c r="FSS5">
        <v>0</v>
      </c>
      <c r="FST5">
        <v>0</v>
      </c>
      <c r="FSU5">
        <v>0</v>
      </c>
      <c r="FSV5">
        <v>0</v>
      </c>
      <c r="FSW5">
        <v>0</v>
      </c>
      <c r="FSX5">
        <v>0</v>
      </c>
      <c r="FSY5">
        <v>0</v>
      </c>
      <c r="FSZ5">
        <v>227.99</v>
      </c>
      <c r="FTA5">
        <v>800.96</v>
      </c>
      <c r="FTB5">
        <v>0</v>
      </c>
      <c r="FTC5">
        <v>0</v>
      </c>
      <c r="FTD5">
        <v>0</v>
      </c>
      <c r="FTE5">
        <v>0</v>
      </c>
      <c r="FTF5">
        <v>0</v>
      </c>
      <c r="FTG5">
        <v>126</v>
      </c>
      <c r="FTH5">
        <v>0</v>
      </c>
      <c r="FTI5">
        <v>0</v>
      </c>
      <c r="FTJ5">
        <v>0</v>
      </c>
      <c r="FTK5">
        <v>0</v>
      </c>
      <c r="FTL5">
        <v>0</v>
      </c>
      <c r="FTM5">
        <v>0</v>
      </c>
      <c r="FTN5">
        <v>0</v>
      </c>
      <c r="FTO5">
        <v>0</v>
      </c>
      <c r="FTP5">
        <v>0</v>
      </c>
      <c r="FTQ5">
        <v>0</v>
      </c>
      <c r="FTR5">
        <v>0</v>
      </c>
      <c r="FTS5">
        <v>0</v>
      </c>
      <c r="FTT5">
        <v>0</v>
      </c>
      <c r="FTU5">
        <v>0</v>
      </c>
      <c r="FTV5">
        <v>450.99</v>
      </c>
      <c r="FTW5">
        <v>0</v>
      </c>
      <c r="FTX5">
        <v>0</v>
      </c>
      <c r="FTY5">
        <v>91.99</v>
      </c>
      <c r="FTZ5">
        <v>0</v>
      </c>
      <c r="FUA5">
        <v>0</v>
      </c>
      <c r="FUB5">
        <v>0</v>
      </c>
      <c r="FUC5">
        <v>0</v>
      </c>
      <c r="FUD5">
        <v>0</v>
      </c>
      <c r="FUE5">
        <v>0</v>
      </c>
      <c r="FUF5">
        <v>0</v>
      </c>
      <c r="FUG5">
        <v>0</v>
      </c>
      <c r="FUH5">
        <v>66</v>
      </c>
      <c r="FUI5">
        <v>98</v>
      </c>
      <c r="FUJ5">
        <v>0</v>
      </c>
      <c r="FUK5">
        <v>0</v>
      </c>
      <c r="FUL5">
        <v>0</v>
      </c>
      <c r="FUM5">
        <v>0</v>
      </c>
      <c r="FUN5">
        <v>0</v>
      </c>
      <c r="FUO5">
        <v>0</v>
      </c>
      <c r="FUP5">
        <v>0</v>
      </c>
      <c r="FUQ5">
        <v>0</v>
      </c>
      <c r="FUR5">
        <v>21</v>
      </c>
      <c r="FUS5">
        <v>0</v>
      </c>
      <c r="FUT5">
        <v>0</v>
      </c>
      <c r="FUU5">
        <v>0</v>
      </c>
      <c r="FUV5">
        <v>213.99</v>
      </c>
      <c r="FUW5">
        <v>0</v>
      </c>
      <c r="FUX5">
        <v>0</v>
      </c>
      <c r="FUY5">
        <v>0</v>
      </c>
      <c r="FUZ5">
        <v>0</v>
      </c>
      <c r="FVA5">
        <v>0</v>
      </c>
      <c r="FVB5">
        <v>0</v>
      </c>
      <c r="FVC5">
        <v>337</v>
      </c>
      <c r="FVD5">
        <v>0</v>
      </c>
      <c r="FVE5">
        <v>0</v>
      </c>
      <c r="FVF5">
        <v>0</v>
      </c>
      <c r="FVG5">
        <v>0</v>
      </c>
      <c r="FVH5">
        <v>0</v>
      </c>
      <c r="FVI5">
        <v>0</v>
      </c>
      <c r="FVJ5">
        <v>80</v>
      </c>
      <c r="FVK5">
        <v>0</v>
      </c>
      <c r="FVL5">
        <v>0</v>
      </c>
      <c r="FVM5">
        <v>49</v>
      </c>
      <c r="FVN5">
        <v>0</v>
      </c>
      <c r="FVO5">
        <v>19</v>
      </c>
      <c r="FVP5">
        <v>0</v>
      </c>
      <c r="FVQ5">
        <v>0</v>
      </c>
      <c r="FVR5">
        <v>0</v>
      </c>
      <c r="FVS5">
        <v>0</v>
      </c>
      <c r="FVT5">
        <v>129.99</v>
      </c>
      <c r="FVU5">
        <v>0</v>
      </c>
      <c r="FVV5">
        <v>0</v>
      </c>
      <c r="FVW5">
        <v>62</v>
      </c>
      <c r="FVX5">
        <v>0</v>
      </c>
      <c r="FVY5">
        <v>0</v>
      </c>
      <c r="FVZ5">
        <v>170</v>
      </c>
      <c r="FWB5">
        <v>0</v>
      </c>
      <c r="FWC5">
        <v>0</v>
      </c>
      <c r="FWD5">
        <v>0</v>
      </c>
      <c r="FWE5">
        <v>0</v>
      </c>
      <c r="FWF5">
        <v>6</v>
      </c>
      <c r="FWG5">
        <v>0</v>
      </c>
      <c r="FWH5">
        <v>0</v>
      </c>
      <c r="FWI5">
        <v>0</v>
      </c>
      <c r="FWJ5">
        <v>0</v>
      </c>
      <c r="FWK5">
        <v>0</v>
      </c>
      <c r="FWL5">
        <v>0</v>
      </c>
      <c r="FWM5">
        <v>76</v>
      </c>
      <c r="FWN5">
        <v>0</v>
      </c>
      <c r="FWO5">
        <v>0</v>
      </c>
      <c r="FWP5">
        <v>0</v>
      </c>
      <c r="FWQ5">
        <v>0</v>
      </c>
      <c r="FWR5">
        <v>152</v>
      </c>
      <c r="FWS5">
        <v>0</v>
      </c>
      <c r="FWT5">
        <v>0</v>
      </c>
      <c r="FWU5">
        <v>0</v>
      </c>
      <c r="FWV5">
        <v>50</v>
      </c>
      <c r="FWW5">
        <v>0</v>
      </c>
      <c r="FWX5">
        <v>0</v>
      </c>
      <c r="FWY5">
        <v>0</v>
      </c>
      <c r="FWZ5">
        <v>0</v>
      </c>
      <c r="FXA5">
        <v>0</v>
      </c>
      <c r="FXB5">
        <v>37</v>
      </c>
      <c r="FXC5">
        <v>73</v>
      </c>
      <c r="FXD5">
        <v>0</v>
      </c>
      <c r="FXE5">
        <v>0</v>
      </c>
      <c r="FXF5">
        <v>0</v>
      </c>
      <c r="FXG5">
        <v>0</v>
      </c>
      <c r="FXH5">
        <v>37</v>
      </c>
      <c r="FXI5">
        <v>0</v>
      </c>
      <c r="FXJ5">
        <v>0</v>
      </c>
      <c r="FXK5">
        <v>0</v>
      </c>
      <c r="FXL5">
        <v>0</v>
      </c>
      <c r="FXM5">
        <v>0</v>
      </c>
      <c r="FXN5">
        <v>0</v>
      </c>
      <c r="FXO5">
        <v>0</v>
      </c>
      <c r="FXP5">
        <v>0</v>
      </c>
      <c r="FXQ5">
        <v>0</v>
      </c>
      <c r="FXR5">
        <v>0</v>
      </c>
      <c r="FXS5">
        <v>0</v>
      </c>
      <c r="FXT5">
        <v>0</v>
      </c>
      <c r="FXU5">
        <v>0</v>
      </c>
      <c r="FXV5">
        <v>0</v>
      </c>
      <c r="FXW5">
        <v>829.98</v>
      </c>
      <c r="FXX5">
        <v>0</v>
      </c>
      <c r="FXY5">
        <v>0</v>
      </c>
      <c r="FXZ5">
        <v>0</v>
      </c>
      <c r="FYA5">
        <v>0</v>
      </c>
      <c r="FYB5">
        <v>0</v>
      </c>
      <c r="FYC5">
        <v>0</v>
      </c>
      <c r="FYD5">
        <v>0</v>
      </c>
      <c r="FYE5">
        <v>0</v>
      </c>
      <c r="FYF5">
        <v>0</v>
      </c>
      <c r="FYG5">
        <v>0</v>
      </c>
      <c r="FYH5">
        <v>0</v>
      </c>
      <c r="FYI5">
        <v>0</v>
      </c>
      <c r="FYJ5">
        <v>58</v>
      </c>
      <c r="FYK5">
        <v>0</v>
      </c>
      <c r="FYL5">
        <v>233.99</v>
      </c>
      <c r="FYM5">
        <v>91</v>
      </c>
      <c r="FYN5">
        <v>16</v>
      </c>
      <c r="FYO5">
        <v>0</v>
      </c>
      <c r="FYP5">
        <v>211</v>
      </c>
      <c r="FYQ5">
        <v>0</v>
      </c>
      <c r="FYR5">
        <v>0</v>
      </c>
      <c r="FYS5">
        <v>0</v>
      </c>
      <c r="FYT5">
        <v>1458.98</v>
      </c>
      <c r="FYU5">
        <v>0</v>
      </c>
      <c r="FYV5">
        <v>73</v>
      </c>
      <c r="FYW5">
        <v>0</v>
      </c>
      <c r="FYX5">
        <v>213</v>
      </c>
      <c r="FYY5">
        <v>21</v>
      </c>
      <c r="FYZ5">
        <v>0</v>
      </c>
      <c r="FZA5">
        <v>0</v>
      </c>
      <c r="FZB5">
        <v>0</v>
      </c>
      <c r="FZC5">
        <v>0</v>
      </c>
      <c r="FZD5">
        <v>0</v>
      </c>
      <c r="FZE5">
        <v>0</v>
      </c>
      <c r="FZF5">
        <v>0</v>
      </c>
      <c r="FZG5">
        <v>1878.95</v>
      </c>
      <c r="FZH5">
        <v>620.99</v>
      </c>
      <c r="FZI5">
        <v>0</v>
      </c>
      <c r="FZJ5">
        <v>16</v>
      </c>
      <c r="FZK5">
        <v>33</v>
      </c>
      <c r="FZL5">
        <v>61</v>
      </c>
      <c r="FZM5">
        <v>0</v>
      </c>
      <c r="FZN5">
        <v>0</v>
      </c>
      <c r="FZO5">
        <v>0</v>
      </c>
      <c r="FZP5">
        <v>0</v>
      </c>
      <c r="FZQ5">
        <v>0</v>
      </c>
      <c r="FZR5">
        <v>0</v>
      </c>
      <c r="FZS5">
        <v>77</v>
      </c>
      <c r="FZT5">
        <v>0</v>
      </c>
      <c r="FZU5">
        <v>0</v>
      </c>
      <c r="FZV5">
        <v>0</v>
      </c>
      <c r="FZW5">
        <v>169</v>
      </c>
      <c r="FZX5">
        <v>0</v>
      </c>
      <c r="FZY5">
        <v>0</v>
      </c>
      <c r="FZZ5">
        <v>0</v>
      </c>
      <c r="GAA5">
        <v>0</v>
      </c>
      <c r="GAB5">
        <v>0</v>
      </c>
      <c r="GAC5">
        <v>0</v>
      </c>
      <c r="GAD5">
        <v>0</v>
      </c>
      <c r="GAE5">
        <v>0</v>
      </c>
      <c r="GAF5">
        <v>0</v>
      </c>
      <c r="GAG5">
        <v>0</v>
      </c>
      <c r="GAH5">
        <v>231.98</v>
      </c>
      <c r="GAI5">
        <v>0</v>
      </c>
      <c r="GAJ5">
        <v>0</v>
      </c>
      <c r="GAK5">
        <v>0</v>
      </c>
      <c r="GAL5">
        <v>9</v>
      </c>
      <c r="GAM5">
        <v>0</v>
      </c>
      <c r="GAN5">
        <v>0</v>
      </c>
      <c r="GAO5">
        <v>0</v>
      </c>
      <c r="GAP5">
        <v>0</v>
      </c>
      <c r="GAQ5">
        <v>0</v>
      </c>
      <c r="GAR5">
        <v>0</v>
      </c>
      <c r="GAS5">
        <v>0</v>
      </c>
      <c r="GAT5">
        <v>189.99</v>
      </c>
      <c r="GAU5">
        <v>16</v>
      </c>
      <c r="GAV5">
        <v>44</v>
      </c>
      <c r="GAW5">
        <v>0</v>
      </c>
      <c r="GAX5">
        <v>104</v>
      </c>
      <c r="GAY5">
        <v>0</v>
      </c>
      <c r="GAZ5">
        <v>0</v>
      </c>
      <c r="GBA5">
        <v>16</v>
      </c>
      <c r="GBB5">
        <v>0</v>
      </c>
      <c r="GBC5">
        <v>0</v>
      </c>
      <c r="GBD5">
        <v>0</v>
      </c>
      <c r="GBE5">
        <v>0</v>
      </c>
      <c r="GBF5">
        <v>0</v>
      </c>
      <c r="GBG5">
        <v>0</v>
      </c>
      <c r="GBH5">
        <v>0</v>
      </c>
      <c r="GBI5">
        <v>0</v>
      </c>
      <c r="GBJ5">
        <v>0</v>
      </c>
      <c r="GBK5">
        <v>78</v>
      </c>
      <c r="GBL5">
        <v>0</v>
      </c>
      <c r="GBM5">
        <v>0</v>
      </c>
      <c r="GBN5">
        <v>0</v>
      </c>
      <c r="GBO5">
        <v>111.99</v>
      </c>
      <c r="GBP5">
        <v>0</v>
      </c>
      <c r="GBQ5">
        <v>0</v>
      </c>
      <c r="GBR5">
        <v>0</v>
      </c>
      <c r="GBS5">
        <v>0</v>
      </c>
      <c r="GBT5">
        <v>0</v>
      </c>
      <c r="GBU5">
        <v>0</v>
      </c>
      <c r="GBV5">
        <v>0</v>
      </c>
      <c r="GBW5">
        <v>0</v>
      </c>
      <c r="GBX5">
        <v>0</v>
      </c>
      <c r="GBY5">
        <v>0</v>
      </c>
      <c r="GBZ5">
        <v>0</v>
      </c>
      <c r="GCA5">
        <v>0</v>
      </c>
      <c r="GCB5">
        <v>0</v>
      </c>
      <c r="GCC5">
        <v>0</v>
      </c>
      <c r="GCD5">
        <v>0</v>
      </c>
      <c r="GCE5">
        <v>0</v>
      </c>
      <c r="GCF5">
        <v>0</v>
      </c>
      <c r="GCG5">
        <v>483.99</v>
      </c>
      <c r="GCH5">
        <v>0</v>
      </c>
      <c r="GCI5">
        <v>0</v>
      </c>
      <c r="GCJ5">
        <v>0</v>
      </c>
      <c r="GCK5">
        <v>0</v>
      </c>
      <c r="GCL5">
        <v>0</v>
      </c>
      <c r="GCM5">
        <v>0</v>
      </c>
      <c r="GCN5">
        <v>72</v>
      </c>
      <c r="GCO5">
        <v>0</v>
      </c>
      <c r="GCP5">
        <v>43</v>
      </c>
      <c r="GCQ5">
        <v>0</v>
      </c>
      <c r="GCR5">
        <v>0</v>
      </c>
      <c r="GCS5">
        <v>222</v>
      </c>
      <c r="GCT5">
        <v>0</v>
      </c>
      <c r="GCU5">
        <v>0</v>
      </c>
      <c r="GCV5">
        <v>0</v>
      </c>
      <c r="GCW5">
        <v>0</v>
      </c>
      <c r="GCX5">
        <v>0</v>
      </c>
      <c r="GCY5">
        <v>0</v>
      </c>
      <c r="GCZ5">
        <v>0</v>
      </c>
      <c r="GDA5">
        <v>0</v>
      </c>
      <c r="GDB5">
        <v>173</v>
      </c>
      <c r="GDC5">
        <v>0</v>
      </c>
      <c r="GDD5">
        <v>0</v>
      </c>
      <c r="GDE5">
        <v>0</v>
      </c>
      <c r="GDF5">
        <v>72</v>
      </c>
      <c r="GDG5">
        <v>92</v>
      </c>
      <c r="GDH5">
        <v>0</v>
      </c>
      <c r="GDI5">
        <v>0</v>
      </c>
      <c r="GDJ5">
        <v>1190.97</v>
      </c>
      <c r="GDK5">
        <v>2304.96</v>
      </c>
      <c r="GDL5">
        <v>504</v>
      </c>
      <c r="GDM5">
        <v>144</v>
      </c>
      <c r="GDN5">
        <v>2011.94</v>
      </c>
      <c r="GDO5">
        <v>0</v>
      </c>
      <c r="GDP5">
        <v>0</v>
      </c>
      <c r="GDQ5">
        <v>0</v>
      </c>
      <c r="GDR5">
        <v>35</v>
      </c>
      <c r="GDS5">
        <v>0</v>
      </c>
      <c r="GDT5">
        <v>356.99</v>
      </c>
      <c r="GDU5">
        <v>277.99</v>
      </c>
      <c r="GDV5">
        <v>0</v>
      </c>
      <c r="GDW5">
        <v>0</v>
      </c>
      <c r="GDX5">
        <v>0</v>
      </c>
      <c r="GDY5">
        <v>0</v>
      </c>
      <c r="GDZ5">
        <v>0</v>
      </c>
      <c r="GEA5">
        <v>0</v>
      </c>
      <c r="GEB5">
        <v>90.99</v>
      </c>
      <c r="GEC5">
        <v>0</v>
      </c>
      <c r="GED5">
        <v>1040.97</v>
      </c>
      <c r="GEE5">
        <v>0</v>
      </c>
      <c r="GEF5">
        <v>0</v>
      </c>
      <c r="GEG5">
        <v>0</v>
      </c>
      <c r="GEH5">
        <v>0</v>
      </c>
      <c r="GEI5">
        <v>74</v>
      </c>
      <c r="GEJ5">
        <v>0</v>
      </c>
      <c r="GEK5">
        <v>0</v>
      </c>
      <c r="GEL5">
        <v>0</v>
      </c>
      <c r="GEM5">
        <v>0</v>
      </c>
      <c r="GEN5">
        <v>0</v>
      </c>
      <c r="GEO5">
        <v>101</v>
      </c>
      <c r="GEP5">
        <v>0</v>
      </c>
      <c r="GEQ5">
        <v>69</v>
      </c>
      <c r="GER5">
        <v>0</v>
      </c>
      <c r="GES5">
        <v>0</v>
      </c>
      <c r="GET5">
        <v>0</v>
      </c>
      <c r="GEU5">
        <v>221</v>
      </c>
      <c r="GEV5">
        <v>0</v>
      </c>
      <c r="GEW5">
        <v>0</v>
      </c>
      <c r="GEX5">
        <v>0</v>
      </c>
      <c r="GEY5">
        <v>256</v>
      </c>
      <c r="GEZ5">
        <v>0</v>
      </c>
      <c r="GFA5">
        <v>75</v>
      </c>
      <c r="GFB5">
        <v>0</v>
      </c>
      <c r="GFC5">
        <v>0</v>
      </c>
      <c r="GFD5">
        <v>0</v>
      </c>
      <c r="GFE5">
        <v>0</v>
      </c>
      <c r="GFF5">
        <v>0</v>
      </c>
      <c r="GFG5">
        <v>0</v>
      </c>
      <c r="GFH5">
        <v>105</v>
      </c>
      <c r="GFI5">
        <v>0</v>
      </c>
      <c r="GFJ5">
        <v>0</v>
      </c>
      <c r="GFK5">
        <v>0</v>
      </c>
      <c r="GFL5">
        <v>0</v>
      </c>
      <c r="GFM5">
        <v>0</v>
      </c>
      <c r="GFN5">
        <v>0</v>
      </c>
      <c r="GFO5">
        <v>0</v>
      </c>
      <c r="GFP5">
        <v>0</v>
      </c>
      <c r="GFQ5">
        <v>0</v>
      </c>
      <c r="GFR5">
        <v>0</v>
      </c>
      <c r="GFS5">
        <v>0</v>
      </c>
      <c r="GFT5">
        <v>0</v>
      </c>
      <c r="GFU5">
        <v>367.99</v>
      </c>
      <c r="GFV5">
        <v>0</v>
      </c>
      <c r="GFW5">
        <v>0</v>
      </c>
      <c r="GFX5">
        <v>531.99</v>
      </c>
      <c r="GFY5">
        <v>0</v>
      </c>
      <c r="GFZ5">
        <v>0</v>
      </c>
      <c r="GGA5">
        <v>36</v>
      </c>
      <c r="GGB5">
        <v>0</v>
      </c>
      <c r="GGC5">
        <v>0</v>
      </c>
      <c r="GGD5">
        <v>0</v>
      </c>
      <c r="GGE5">
        <v>0</v>
      </c>
      <c r="GGF5">
        <v>0</v>
      </c>
      <c r="GGG5">
        <v>0</v>
      </c>
      <c r="GGH5">
        <v>0</v>
      </c>
      <c r="GGI5">
        <v>0</v>
      </c>
      <c r="GGJ5">
        <v>0</v>
      </c>
      <c r="GGK5">
        <v>0</v>
      </c>
      <c r="GGL5">
        <v>0</v>
      </c>
      <c r="GGM5">
        <v>0</v>
      </c>
      <c r="GGN5">
        <v>0</v>
      </c>
      <c r="GGO5">
        <v>0</v>
      </c>
      <c r="GGP5">
        <v>356</v>
      </c>
      <c r="GGQ5">
        <v>0</v>
      </c>
      <c r="GGR5">
        <v>0</v>
      </c>
      <c r="GGS5">
        <v>0</v>
      </c>
      <c r="GGT5">
        <v>0</v>
      </c>
      <c r="GGU5">
        <v>0</v>
      </c>
      <c r="GGV5">
        <v>32</v>
      </c>
      <c r="GGW5">
        <v>588.99</v>
      </c>
      <c r="GGX5">
        <v>0</v>
      </c>
      <c r="GGY5">
        <v>0</v>
      </c>
      <c r="GGZ5">
        <v>0</v>
      </c>
      <c r="GHA5">
        <v>0</v>
      </c>
      <c r="GHB5">
        <v>985.97</v>
      </c>
      <c r="GHC5">
        <v>0</v>
      </c>
      <c r="GHD5">
        <v>0</v>
      </c>
      <c r="GHE5">
        <v>0</v>
      </c>
      <c r="GHF5">
        <v>0</v>
      </c>
      <c r="GHG5">
        <v>0</v>
      </c>
      <c r="GHH5">
        <v>13</v>
      </c>
      <c r="GHI5">
        <v>0</v>
      </c>
      <c r="GHJ5">
        <v>0</v>
      </c>
      <c r="GHK5">
        <v>0</v>
      </c>
      <c r="GHL5">
        <v>0</v>
      </c>
      <c r="GHM5">
        <v>0</v>
      </c>
      <c r="GHN5">
        <v>18</v>
      </c>
      <c r="GHO5">
        <v>4</v>
      </c>
      <c r="GHP5">
        <v>0</v>
      </c>
      <c r="GHQ5">
        <v>0</v>
      </c>
      <c r="GHR5">
        <v>0</v>
      </c>
      <c r="GHS5">
        <v>0</v>
      </c>
      <c r="GHT5">
        <v>0</v>
      </c>
      <c r="GHU5">
        <v>0</v>
      </c>
      <c r="GHV5">
        <v>0</v>
      </c>
      <c r="GHW5">
        <v>0</v>
      </c>
      <c r="GHX5">
        <v>249</v>
      </c>
      <c r="GHY5">
        <v>0</v>
      </c>
      <c r="GHZ5">
        <v>0</v>
      </c>
      <c r="GIA5">
        <v>0</v>
      </c>
      <c r="GIB5">
        <v>0</v>
      </c>
      <c r="GIC5">
        <v>88.99</v>
      </c>
      <c r="GID5">
        <v>0</v>
      </c>
      <c r="GIE5">
        <v>0</v>
      </c>
      <c r="GIF5">
        <v>217</v>
      </c>
      <c r="GIG5">
        <v>0</v>
      </c>
      <c r="GIH5">
        <v>0</v>
      </c>
      <c r="GII5">
        <v>0</v>
      </c>
      <c r="GIJ5">
        <v>61</v>
      </c>
      <c r="GIK5">
        <v>0</v>
      </c>
      <c r="GIL5">
        <v>0</v>
      </c>
      <c r="GIM5">
        <v>87</v>
      </c>
      <c r="GIN5">
        <v>0</v>
      </c>
      <c r="GIO5">
        <v>1258.99</v>
      </c>
      <c r="GIP5">
        <v>41</v>
      </c>
      <c r="GIQ5">
        <v>293</v>
      </c>
      <c r="GIR5">
        <v>0</v>
      </c>
      <c r="GIS5">
        <v>0</v>
      </c>
      <c r="GIT5">
        <v>1702</v>
      </c>
      <c r="GIU5">
        <v>643.98</v>
      </c>
      <c r="GIV5">
        <v>0</v>
      </c>
      <c r="GIW5">
        <v>0</v>
      </c>
      <c r="GIX5">
        <v>0</v>
      </c>
      <c r="GIY5">
        <v>0</v>
      </c>
      <c r="GIZ5">
        <v>0</v>
      </c>
      <c r="GJA5">
        <v>0</v>
      </c>
      <c r="GJB5">
        <v>0</v>
      </c>
      <c r="GJC5">
        <v>0</v>
      </c>
      <c r="GJD5">
        <v>179</v>
      </c>
      <c r="GJE5">
        <v>0</v>
      </c>
      <c r="GJF5">
        <v>0</v>
      </c>
      <c r="GJG5">
        <v>0</v>
      </c>
      <c r="GJH5">
        <v>302</v>
      </c>
      <c r="GJI5">
        <v>3077.96</v>
      </c>
      <c r="GJJ5">
        <v>0</v>
      </c>
      <c r="GJK5">
        <v>349</v>
      </c>
      <c r="GJL5">
        <v>0</v>
      </c>
      <c r="GJM5">
        <v>0</v>
      </c>
      <c r="GJN5">
        <v>860.99</v>
      </c>
      <c r="GJO5">
        <v>0</v>
      </c>
      <c r="GJP5">
        <v>140.97999999999999</v>
      </c>
      <c r="GJQ5">
        <v>0</v>
      </c>
      <c r="GJR5">
        <v>0</v>
      </c>
      <c r="GJS5">
        <v>0</v>
      </c>
      <c r="GJT5">
        <v>45</v>
      </c>
      <c r="GJU5">
        <v>140</v>
      </c>
      <c r="GJV5">
        <v>0</v>
      </c>
      <c r="GJW5">
        <v>0</v>
      </c>
      <c r="GJX5">
        <v>34</v>
      </c>
      <c r="GJY5">
        <v>22</v>
      </c>
      <c r="GJZ5">
        <v>0</v>
      </c>
      <c r="GKA5">
        <v>0</v>
      </c>
      <c r="GKB5">
        <v>0</v>
      </c>
      <c r="GKC5">
        <v>0</v>
      </c>
      <c r="GKD5">
        <v>0</v>
      </c>
      <c r="GKE5">
        <v>1552.99</v>
      </c>
      <c r="GKF5">
        <v>0</v>
      </c>
      <c r="GKG5">
        <v>650.96</v>
      </c>
      <c r="GKH5">
        <v>0</v>
      </c>
      <c r="GKI5">
        <v>181.99</v>
      </c>
      <c r="GKJ5">
        <v>0</v>
      </c>
      <c r="GKK5">
        <v>1162.96</v>
      </c>
      <c r="GKL5">
        <v>0</v>
      </c>
      <c r="GKM5">
        <v>34</v>
      </c>
      <c r="GKN5">
        <v>0</v>
      </c>
      <c r="GKO5">
        <v>0</v>
      </c>
      <c r="GKP5">
        <v>60.99</v>
      </c>
      <c r="GKQ5">
        <v>0</v>
      </c>
      <c r="GKR5">
        <v>0</v>
      </c>
      <c r="GKS5">
        <v>280</v>
      </c>
      <c r="GKT5">
        <v>40</v>
      </c>
      <c r="GKU5">
        <v>0</v>
      </c>
      <c r="GKV5">
        <v>1957.97</v>
      </c>
      <c r="GKW5">
        <v>0</v>
      </c>
      <c r="GKX5">
        <v>61</v>
      </c>
      <c r="GKY5">
        <v>28</v>
      </c>
      <c r="GKZ5">
        <v>0</v>
      </c>
      <c r="GLA5">
        <v>630.94000000000005</v>
      </c>
      <c r="GLB5">
        <v>0</v>
      </c>
      <c r="GLC5">
        <v>0</v>
      </c>
      <c r="GLD5">
        <v>0</v>
      </c>
      <c r="GLE5">
        <v>1591.94</v>
      </c>
      <c r="GLF5">
        <v>0</v>
      </c>
      <c r="GLG5">
        <v>0</v>
      </c>
      <c r="GLH5">
        <v>44</v>
      </c>
      <c r="GLI5">
        <v>0</v>
      </c>
      <c r="GLJ5">
        <v>275</v>
      </c>
      <c r="GLK5">
        <v>0</v>
      </c>
      <c r="GLL5">
        <v>0</v>
      </c>
      <c r="GLM5">
        <v>0</v>
      </c>
      <c r="GLN5">
        <v>0</v>
      </c>
      <c r="GLO5">
        <v>61</v>
      </c>
      <c r="GLP5">
        <v>0</v>
      </c>
      <c r="GLQ5">
        <v>841.95</v>
      </c>
      <c r="GLR5">
        <v>0</v>
      </c>
      <c r="GLS5">
        <v>0</v>
      </c>
      <c r="GLT5">
        <v>16</v>
      </c>
      <c r="GLU5">
        <v>162</v>
      </c>
      <c r="GLV5">
        <v>0</v>
      </c>
      <c r="GLW5">
        <v>0</v>
      </c>
      <c r="GLX5">
        <v>0</v>
      </c>
      <c r="GLY5">
        <v>0</v>
      </c>
      <c r="GLZ5">
        <v>0</v>
      </c>
      <c r="GMA5">
        <v>0</v>
      </c>
      <c r="GMB5">
        <v>0</v>
      </c>
      <c r="GMC5">
        <v>0</v>
      </c>
      <c r="GMD5">
        <v>0</v>
      </c>
      <c r="GME5">
        <v>0</v>
      </c>
      <c r="GMF5">
        <v>488</v>
      </c>
      <c r="GMG5">
        <v>0</v>
      </c>
      <c r="GMH5">
        <v>0</v>
      </c>
      <c r="GMI5">
        <v>3388.95</v>
      </c>
      <c r="GMJ5">
        <v>0</v>
      </c>
      <c r="GMK5">
        <v>0</v>
      </c>
      <c r="GML5">
        <v>2609.9299999999998</v>
      </c>
      <c r="GMM5">
        <v>615</v>
      </c>
      <c r="GMN5">
        <v>0</v>
      </c>
      <c r="GMO5">
        <v>0</v>
      </c>
      <c r="GMP5">
        <v>0</v>
      </c>
      <c r="GMQ5">
        <v>0</v>
      </c>
      <c r="GMR5">
        <v>0</v>
      </c>
      <c r="GMS5">
        <v>0</v>
      </c>
      <c r="GMT5">
        <v>736</v>
      </c>
      <c r="GMU5">
        <v>0</v>
      </c>
      <c r="GMV5">
        <v>208.99</v>
      </c>
      <c r="GMW5">
        <v>0</v>
      </c>
      <c r="GMX5">
        <v>0</v>
      </c>
      <c r="GMY5">
        <v>0</v>
      </c>
      <c r="GMZ5">
        <v>0</v>
      </c>
      <c r="GNA5">
        <v>2091.9499999999998</v>
      </c>
      <c r="GNB5">
        <v>0</v>
      </c>
      <c r="GNC5">
        <v>27</v>
      </c>
      <c r="GND5">
        <v>0</v>
      </c>
      <c r="GNE5">
        <v>0</v>
      </c>
      <c r="GNF5">
        <v>599.99</v>
      </c>
      <c r="GNG5">
        <v>235.99</v>
      </c>
      <c r="GNH5">
        <v>116</v>
      </c>
      <c r="GNI5">
        <v>0</v>
      </c>
      <c r="GNJ5">
        <v>105</v>
      </c>
      <c r="GNK5">
        <v>0</v>
      </c>
      <c r="GNL5">
        <v>0</v>
      </c>
      <c r="GNM5">
        <v>2891.93</v>
      </c>
      <c r="GNN5">
        <v>115</v>
      </c>
      <c r="GNO5">
        <v>0</v>
      </c>
      <c r="GNP5">
        <v>397</v>
      </c>
      <c r="GNQ5">
        <v>0</v>
      </c>
      <c r="GNR5">
        <v>442.99</v>
      </c>
      <c r="GNS5">
        <v>207</v>
      </c>
      <c r="GNT5">
        <v>0</v>
      </c>
      <c r="GNU5">
        <v>848.99</v>
      </c>
      <c r="GNV5">
        <v>0</v>
      </c>
      <c r="GNW5">
        <v>2506.92</v>
      </c>
      <c r="GNX5">
        <v>1974.96</v>
      </c>
      <c r="GNY5">
        <v>159</v>
      </c>
      <c r="GNZ5">
        <v>0</v>
      </c>
      <c r="GOA5">
        <v>0</v>
      </c>
      <c r="GOB5">
        <v>363</v>
      </c>
      <c r="GOC5">
        <v>364</v>
      </c>
      <c r="GOD5">
        <v>31</v>
      </c>
      <c r="GOE5">
        <v>0</v>
      </c>
      <c r="GOF5">
        <v>0</v>
      </c>
      <c r="GOG5">
        <v>55.99</v>
      </c>
      <c r="GOH5">
        <v>273.99</v>
      </c>
      <c r="GOI5">
        <v>400</v>
      </c>
      <c r="GOJ5">
        <v>0</v>
      </c>
      <c r="GOK5">
        <v>0</v>
      </c>
      <c r="GOL5">
        <v>135</v>
      </c>
      <c r="GOM5">
        <v>0</v>
      </c>
      <c r="GON5">
        <v>0</v>
      </c>
      <c r="GOO5">
        <v>698.99</v>
      </c>
      <c r="GOP5">
        <v>495.99</v>
      </c>
      <c r="GOQ5">
        <v>0</v>
      </c>
      <c r="GOR5">
        <v>0</v>
      </c>
      <c r="GOS5">
        <v>841</v>
      </c>
      <c r="GOT5">
        <v>0</v>
      </c>
      <c r="GOU5">
        <v>0</v>
      </c>
      <c r="GOV5">
        <v>4131.91</v>
      </c>
      <c r="GOW5">
        <v>1947.98</v>
      </c>
      <c r="GOX5">
        <v>0</v>
      </c>
      <c r="GOY5">
        <v>143</v>
      </c>
      <c r="GOZ5">
        <v>345.99</v>
      </c>
      <c r="GPA5">
        <v>0</v>
      </c>
      <c r="GPB5">
        <v>0</v>
      </c>
      <c r="GPC5">
        <v>0</v>
      </c>
      <c r="GPD5">
        <v>0</v>
      </c>
      <c r="GPE5">
        <v>557.99</v>
      </c>
      <c r="GPF5">
        <v>0</v>
      </c>
      <c r="GPG5">
        <v>0</v>
      </c>
      <c r="GPH5">
        <v>11</v>
      </c>
      <c r="GPI5">
        <v>1410.94</v>
      </c>
      <c r="GPJ5">
        <v>110</v>
      </c>
      <c r="GPK5">
        <v>0</v>
      </c>
      <c r="GPL5">
        <v>0</v>
      </c>
      <c r="GPM5">
        <v>0</v>
      </c>
      <c r="GPN5">
        <v>0</v>
      </c>
      <c r="GPO5">
        <v>1416.98</v>
      </c>
      <c r="GPP5">
        <v>21</v>
      </c>
      <c r="GPQ5">
        <v>0</v>
      </c>
      <c r="GPR5">
        <v>0</v>
      </c>
      <c r="GPS5">
        <v>0</v>
      </c>
      <c r="GPT5">
        <v>12084.82</v>
      </c>
      <c r="GPU5">
        <v>0</v>
      </c>
      <c r="GPV5">
        <v>0</v>
      </c>
      <c r="GPW5">
        <v>0</v>
      </c>
      <c r="GPX5">
        <v>242</v>
      </c>
      <c r="GPY5">
        <v>300</v>
      </c>
      <c r="GPZ5">
        <v>0</v>
      </c>
      <c r="GQA5">
        <v>0</v>
      </c>
      <c r="GQB5">
        <v>5545.9</v>
      </c>
      <c r="GQC5">
        <v>0</v>
      </c>
      <c r="GQD5">
        <v>24</v>
      </c>
      <c r="GQE5">
        <v>19</v>
      </c>
      <c r="GQF5">
        <v>508</v>
      </c>
      <c r="GQG5">
        <v>0</v>
      </c>
      <c r="GQH5">
        <v>323.99</v>
      </c>
      <c r="GQI5">
        <v>1712.95</v>
      </c>
      <c r="GQJ5">
        <v>0</v>
      </c>
      <c r="GQK5">
        <v>0</v>
      </c>
      <c r="GQL5">
        <v>0</v>
      </c>
      <c r="GQM5">
        <v>140.99</v>
      </c>
      <c r="GQN5">
        <v>0</v>
      </c>
      <c r="GQO5">
        <v>17943.88</v>
      </c>
      <c r="GQP5">
        <v>0</v>
      </c>
      <c r="GQQ5">
        <v>1696.89</v>
      </c>
      <c r="GQR5">
        <v>0</v>
      </c>
      <c r="GQS5">
        <v>4810.91</v>
      </c>
      <c r="GQT5">
        <v>0</v>
      </c>
      <c r="GQU5">
        <v>0</v>
      </c>
      <c r="GQV5">
        <v>184</v>
      </c>
      <c r="GQW5">
        <v>3327.89</v>
      </c>
      <c r="GQX5">
        <v>1629.98</v>
      </c>
      <c r="GQY5">
        <v>1106.97</v>
      </c>
      <c r="GQZ5">
        <v>0</v>
      </c>
      <c r="GRA5">
        <v>0</v>
      </c>
      <c r="GRB5">
        <v>0</v>
      </c>
      <c r="GRC5">
        <v>1142.98</v>
      </c>
      <c r="GRD5">
        <v>374</v>
      </c>
      <c r="GRE5">
        <v>0</v>
      </c>
      <c r="GRF5">
        <v>7082.85</v>
      </c>
      <c r="GRG5">
        <v>1717.96</v>
      </c>
      <c r="GRH5">
        <v>3715.88</v>
      </c>
      <c r="GRI5">
        <v>3484.92</v>
      </c>
      <c r="GRJ5">
        <v>0</v>
      </c>
      <c r="GRK5">
        <v>1776.99</v>
      </c>
      <c r="GRL5">
        <v>497</v>
      </c>
      <c r="GRM5">
        <v>1357.94</v>
      </c>
      <c r="GRN5">
        <v>0</v>
      </c>
      <c r="GRO5">
        <v>0</v>
      </c>
      <c r="GRP5">
        <v>1321.98</v>
      </c>
      <c r="GRQ5">
        <v>0</v>
      </c>
      <c r="GRR5">
        <v>324</v>
      </c>
      <c r="GRS5">
        <v>1067.99</v>
      </c>
      <c r="GRT5">
        <v>0</v>
      </c>
      <c r="GRU5">
        <v>1049.99</v>
      </c>
      <c r="GRV5">
        <v>760.99</v>
      </c>
      <c r="GRW5">
        <v>2367.9</v>
      </c>
      <c r="GRX5">
        <v>253</v>
      </c>
      <c r="GRY5">
        <v>550.99</v>
      </c>
      <c r="GRZ5">
        <v>10999.67</v>
      </c>
      <c r="GSA5">
        <v>17898.71</v>
      </c>
      <c r="GSB5">
        <v>710.98</v>
      </c>
      <c r="GSC5">
        <v>5835.9</v>
      </c>
      <c r="GSD5">
        <v>6077.79</v>
      </c>
      <c r="GSE5">
        <v>1840.96</v>
      </c>
      <c r="GSF5">
        <v>30</v>
      </c>
      <c r="GSG5">
        <v>3970.86</v>
      </c>
      <c r="GSH5">
        <v>22</v>
      </c>
      <c r="GSI5">
        <v>4726.87</v>
      </c>
      <c r="GSJ5">
        <v>3896.92</v>
      </c>
      <c r="GSK5">
        <v>3660.94</v>
      </c>
      <c r="GSL5">
        <v>289.97000000000003</v>
      </c>
      <c r="GSM5">
        <v>18002.55</v>
      </c>
      <c r="GSN5">
        <v>0</v>
      </c>
      <c r="GSO5">
        <v>3234.95</v>
      </c>
      <c r="GSP5">
        <v>4739.8599999999997</v>
      </c>
      <c r="GSQ5">
        <v>40258.11</v>
      </c>
      <c r="GSR5">
        <v>316297.14</v>
      </c>
    </row>
    <row r="6" spans="1:5244" x14ac:dyDescent="0.2">
      <c r="A6" s="7">
        <v>39</v>
      </c>
      <c r="B6">
        <v>0</v>
      </c>
      <c r="C6">
        <v>0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5</v>
      </c>
      <c r="BR6">
        <v>5</v>
      </c>
      <c r="BS6">
        <v>5</v>
      </c>
      <c r="BT6">
        <v>5</v>
      </c>
      <c r="BU6">
        <v>5</v>
      </c>
      <c r="BV6">
        <v>5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6</v>
      </c>
      <c r="DI6">
        <v>6</v>
      </c>
      <c r="DJ6">
        <v>6</v>
      </c>
      <c r="DK6">
        <v>6</v>
      </c>
      <c r="DL6">
        <v>6</v>
      </c>
      <c r="DM6">
        <v>6</v>
      </c>
      <c r="DN6">
        <v>6</v>
      </c>
      <c r="DO6">
        <v>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7</v>
      </c>
      <c r="GB6">
        <v>7</v>
      </c>
      <c r="GC6">
        <v>7</v>
      </c>
      <c r="GD6">
        <v>7</v>
      </c>
      <c r="GE6">
        <v>7</v>
      </c>
      <c r="GF6">
        <v>7</v>
      </c>
      <c r="GG6">
        <v>7</v>
      </c>
      <c r="GH6">
        <v>7</v>
      </c>
      <c r="GI6">
        <v>7</v>
      </c>
      <c r="GJ6">
        <v>7</v>
      </c>
      <c r="GK6">
        <v>7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8</v>
      </c>
      <c r="IK6">
        <v>8</v>
      </c>
      <c r="IL6">
        <v>8</v>
      </c>
      <c r="IM6">
        <v>8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5</v>
      </c>
      <c r="KF6">
        <v>9</v>
      </c>
      <c r="KG6">
        <v>9</v>
      </c>
      <c r="KH6">
        <v>9</v>
      </c>
      <c r="KI6">
        <v>9</v>
      </c>
      <c r="KJ6">
        <v>5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10</v>
      </c>
      <c r="ME6">
        <v>10</v>
      </c>
      <c r="MF6">
        <v>10</v>
      </c>
      <c r="MG6">
        <v>10</v>
      </c>
      <c r="MH6">
        <v>10</v>
      </c>
      <c r="MI6">
        <v>10</v>
      </c>
      <c r="MJ6">
        <v>10</v>
      </c>
      <c r="MK6">
        <v>10</v>
      </c>
      <c r="ML6">
        <v>10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11</v>
      </c>
      <c r="OJ6">
        <v>11</v>
      </c>
      <c r="OK6">
        <v>11</v>
      </c>
      <c r="OL6">
        <v>11</v>
      </c>
      <c r="OM6">
        <v>11</v>
      </c>
      <c r="ON6">
        <v>11</v>
      </c>
      <c r="OO6">
        <v>11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12</v>
      </c>
      <c r="QN6">
        <v>12</v>
      </c>
      <c r="QO6">
        <v>12</v>
      </c>
      <c r="QP6">
        <v>12</v>
      </c>
      <c r="QQ6">
        <v>12</v>
      </c>
      <c r="QR6">
        <v>12</v>
      </c>
      <c r="QS6">
        <v>12</v>
      </c>
      <c r="QT6">
        <v>12</v>
      </c>
      <c r="QU6">
        <v>12</v>
      </c>
      <c r="QV6">
        <v>12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12.99</v>
      </c>
      <c r="ST6">
        <v>0</v>
      </c>
      <c r="SU6">
        <v>0</v>
      </c>
      <c r="SV6">
        <v>0</v>
      </c>
      <c r="SW6">
        <v>0</v>
      </c>
      <c r="SX6">
        <v>0</v>
      </c>
      <c r="SY6">
        <v>13</v>
      </c>
      <c r="SZ6">
        <v>13</v>
      </c>
      <c r="TA6">
        <v>13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13.99</v>
      </c>
      <c r="UN6">
        <v>0</v>
      </c>
      <c r="UO6">
        <v>0</v>
      </c>
      <c r="UP6">
        <v>0</v>
      </c>
      <c r="UQ6">
        <v>5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14</v>
      </c>
      <c r="VG6">
        <v>14</v>
      </c>
      <c r="VH6">
        <v>14</v>
      </c>
      <c r="VI6">
        <v>14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4</v>
      </c>
      <c r="XJ6">
        <v>15</v>
      </c>
      <c r="XK6">
        <v>15</v>
      </c>
      <c r="XL6">
        <v>15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15.99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16</v>
      </c>
      <c r="ZJ6">
        <v>16</v>
      </c>
      <c r="ZK6">
        <v>16</v>
      </c>
      <c r="ZL6">
        <v>16</v>
      </c>
      <c r="ZM6">
        <v>16</v>
      </c>
      <c r="ZN6">
        <v>16</v>
      </c>
      <c r="ZO6">
        <v>7</v>
      </c>
      <c r="ZP6">
        <v>16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16.989999999999998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17</v>
      </c>
      <c r="ABA6">
        <v>17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18</v>
      </c>
      <c r="ACV6">
        <v>18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18.989999999999998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4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19</v>
      </c>
      <c r="AFE6">
        <v>19</v>
      </c>
      <c r="AFF6">
        <v>19</v>
      </c>
      <c r="AFG6">
        <v>19</v>
      </c>
      <c r="AFH6">
        <v>19</v>
      </c>
      <c r="AFI6">
        <v>19</v>
      </c>
      <c r="AFJ6">
        <v>19</v>
      </c>
      <c r="AFK6">
        <v>19</v>
      </c>
      <c r="AFL6">
        <v>19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20</v>
      </c>
      <c r="AHQ6">
        <v>20</v>
      </c>
      <c r="AHR6">
        <v>8</v>
      </c>
      <c r="AHS6">
        <v>20</v>
      </c>
      <c r="AHT6">
        <v>20</v>
      </c>
      <c r="AHU6">
        <v>20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20.99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21</v>
      </c>
      <c r="AJO6">
        <v>21</v>
      </c>
      <c r="AJP6">
        <v>21</v>
      </c>
      <c r="AJQ6">
        <v>21</v>
      </c>
      <c r="AJR6">
        <v>21</v>
      </c>
      <c r="AJS6">
        <v>21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21.99</v>
      </c>
      <c r="AKW6">
        <v>21.99</v>
      </c>
      <c r="AKX6">
        <v>21.99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22</v>
      </c>
      <c r="ALP6">
        <v>22</v>
      </c>
      <c r="ALQ6">
        <v>22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23</v>
      </c>
      <c r="ANK6">
        <v>23</v>
      </c>
      <c r="ANL6">
        <v>23</v>
      </c>
      <c r="ANM6">
        <v>23</v>
      </c>
      <c r="ANN6">
        <v>23</v>
      </c>
      <c r="ANO6">
        <v>23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23.99</v>
      </c>
      <c r="AON6">
        <v>23.99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24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24.99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25</v>
      </c>
      <c r="AQB6">
        <v>13</v>
      </c>
      <c r="AQC6">
        <v>25</v>
      </c>
      <c r="AQD6">
        <v>25</v>
      </c>
      <c r="AQE6">
        <v>25</v>
      </c>
      <c r="AQF6">
        <v>25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26</v>
      </c>
      <c r="ASJ6">
        <v>26</v>
      </c>
      <c r="ASK6">
        <v>26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23</v>
      </c>
      <c r="ATM6">
        <v>0</v>
      </c>
      <c r="ATN6">
        <v>0</v>
      </c>
      <c r="ATO6">
        <v>0</v>
      </c>
      <c r="ATP6">
        <v>0</v>
      </c>
      <c r="ATQ6">
        <v>27</v>
      </c>
      <c r="ATR6">
        <v>27</v>
      </c>
      <c r="ATS6">
        <v>27</v>
      </c>
      <c r="ATT6">
        <v>7</v>
      </c>
      <c r="ATU6">
        <v>27</v>
      </c>
      <c r="ATV6">
        <v>27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28</v>
      </c>
      <c r="AVG6">
        <v>28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7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30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31</v>
      </c>
      <c r="AZH6">
        <v>31</v>
      </c>
      <c r="AZI6">
        <v>31</v>
      </c>
      <c r="AZJ6">
        <v>31</v>
      </c>
      <c r="AZK6">
        <v>31</v>
      </c>
      <c r="AZL6">
        <v>31</v>
      </c>
      <c r="AZM6">
        <v>31</v>
      </c>
      <c r="AZN6">
        <v>31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32</v>
      </c>
      <c r="BAN6">
        <v>32</v>
      </c>
      <c r="BAO6">
        <v>32</v>
      </c>
      <c r="BAP6">
        <v>18</v>
      </c>
      <c r="BAQ6">
        <v>32</v>
      </c>
      <c r="BAR6">
        <v>32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32.99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19</v>
      </c>
      <c r="BBW6">
        <v>0</v>
      </c>
      <c r="BBX6">
        <v>33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34</v>
      </c>
      <c r="BDK6">
        <v>34</v>
      </c>
      <c r="BDL6">
        <v>34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34.99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35</v>
      </c>
      <c r="BFC6">
        <v>35</v>
      </c>
      <c r="BFD6">
        <v>35</v>
      </c>
      <c r="BFE6">
        <v>21</v>
      </c>
      <c r="BFF6">
        <v>35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36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37</v>
      </c>
      <c r="BHH6">
        <v>37</v>
      </c>
      <c r="BHI6">
        <v>37</v>
      </c>
      <c r="BHJ6">
        <v>37</v>
      </c>
      <c r="BHK6">
        <v>37</v>
      </c>
      <c r="BHL6">
        <v>37</v>
      </c>
      <c r="BHM6">
        <v>37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37.99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13</v>
      </c>
      <c r="BIU6">
        <v>15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39</v>
      </c>
      <c r="BKD6">
        <v>39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40</v>
      </c>
      <c r="BLK6">
        <v>18</v>
      </c>
      <c r="BLL6">
        <v>40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41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24.99</v>
      </c>
      <c r="BMX6">
        <v>0</v>
      </c>
      <c r="BMY6">
        <v>0</v>
      </c>
      <c r="BMZ6">
        <v>0</v>
      </c>
      <c r="BNA6">
        <v>36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42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14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43</v>
      </c>
      <c r="BOM6">
        <v>43</v>
      </c>
      <c r="BON6">
        <v>43</v>
      </c>
      <c r="BOO6">
        <v>8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44</v>
      </c>
      <c r="BPN6">
        <v>44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9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45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46</v>
      </c>
      <c r="BRH6">
        <v>46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48</v>
      </c>
      <c r="BTC6">
        <v>48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17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49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49.99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50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51</v>
      </c>
      <c r="BWE6">
        <v>51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52</v>
      </c>
      <c r="BWV6">
        <v>52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53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  <c r="BXY6">
        <v>0</v>
      </c>
      <c r="BXZ6">
        <v>0</v>
      </c>
      <c r="BYA6">
        <v>0</v>
      </c>
      <c r="BYB6">
        <v>5</v>
      </c>
      <c r="BYC6">
        <v>0</v>
      </c>
      <c r="BYD6">
        <v>0</v>
      </c>
      <c r="BYE6">
        <v>0</v>
      </c>
      <c r="BYF6">
        <v>0</v>
      </c>
      <c r="BYG6">
        <v>54</v>
      </c>
      <c r="BYH6">
        <v>54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25</v>
      </c>
      <c r="BYY6">
        <v>0</v>
      </c>
      <c r="BYZ6">
        <v>0</v>
      </c>
      <c r="BZA6">
        <v>0</v>
      </c>
      <c r="BZB6">
        <v>0</v>
      </c>
      <c r="BZC6">
        <v>55</v>
      </c>
      <c r="BZD6">
        <v>55</v>
      </c>
      <c r="BZE6">
        <v>55</v>
      </c>
      <c r="BZF6">
        <v>55</v>
      </c>
      <c r="BZG6">
        <v>0</v>
      </c>
      <c r="BZH6">
        <v>0</v>
      </c>
      <c r="BZI6">
        <v>0</v>
      </c>
      <c r="BZJ6">
        <v>0</v>
      </c>
      <c r="BZK6">
        <v>0</v>
      </c>
      <c r="BZL6">
        <v>0</v>
      </c>
      <c r="BZM6">
        <v>0</v>
      </c>
      <c r="BZN6">
        <v>0</v>
      </c>
      <c r="BZO6">
        <v>0</v>
      </c>
      <c r="BZP6">
        <v>0</v>
      </c>
      <c r="BZQ6">
        <v>0</v>
      </c>
      <c r="BZR6">
        <v>0</v>
      </c>
      <c r="BZS6">
        <v>0</v>
      </c>
      <c r="BZT6">
        <v>0</v>
      </c>
      <c r="BZU6">
        <v>0</v>
      </c>
      <c r="BZV6">
        <v>56</v>
      </c>
      <c r="BZW6">
        <v>56</v>
      </c>
      <c r="BZX6">
        <v>0</v>
      </c>
      <c r="BZY6">
        <v>0</v>
      </c>
      <c r="BZZ6">
        <v>0</v>
      </c>
      <c r="CAA6">
        <v>0</v>
      </c>
      <c r="CAB6">
        <v>0</v>
      </c>
      <c r="CAC6">
        <v>0</v>
      </c>
      <c r="CAD6">
        <v>0</v>
      </c>
      <c r="CAE6">
        <v>0</v>
      </c>
      <c r="CAF6">
        <v>0</v>
      </c>
      <c r="CAG6">
        <v>0</v>
      </c>
      <c r="CAH6">
        <v>0</v>
      </c>
      <c r="CAI6">
        <v>0</v>
      </c>
      <c r="CAJ6">
        <v>23</v>
      </c>
      <c r="CAK6">
        <v>0</v>
      </c>
      <c r="CAL6">
        <v>0</v>
      </c>
      <c r="CAM6">
        <v>0</v>
      </c>
      <c r="CAN6">
        <v>0</v>
      </c>
      <c r="CAO6">
        <v>0</v>
      </c>
      <c r="CAP6">
        <v>0</v>
      </c>
      <c r="CAQ6">
        <v>0</v>
      </c>
      <c r="CAR6">
        <v>0</v>
      </c>
      <c r="CAS6">
        <v>0</v>
      </c>
      <c r="CAT6">
        <v>0</v>
      </c>
      <c r="CAU6">
        <v>0</v>
      </c>
      <c r="CAV6">
        <v>10</v>
      </c>
      <c r="CAW6">
        <v>57.99</v>
      </c>
      <c r="CAX6">
        <v>0</v>
      </c>
      <c r="CAY6">
        <v>6</v>
      </c>
      <c r="CAZ6">
        <v>0</v>
      </c>
      <c r="CBA6">
        <v>0</v>
      </c>
      <c r="CBB6">
        <v>0</v>
      </c>
      <c r="CBC6">
        <v>0</v>
      </c>
      <c r="CBD6">
        <v>22</v>
      </c>
      <c r="CBE6">
        <v>0</v>
      </c>
      <c r="CBF6">
        <v>0</v>
      </c>
      <c r="CBG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O6">
        <v>5</v>
      </c>
      <c r="CBP6">
        <v>0</v>
      </c>
      <c r="CBQ6">
        <v>0</v>
      </c>
      <c r="CBR6">
        <v>0</v>
      </c>
      <c r="CBS6">
        <v>0</v>
      </c>
      <c r="CBT6">
        <v>0</v>
      </c>
      <c r="CBU6">
        <v>0</v>
      </c>
      <c r="CBV6">
        <v>0</v>
      </c>
      <c r="CBW6">
        <v>0</v>
      </c>
      <c r="CBX6">
        <v>0</v>
      </c>
      <c r="CBY6">
        <v>59</v>
      </c>
      <c r="CBZ6">
        <v>0</v>
      </c>
      <c r="CCA6">
        <v>0</v>
      </c>
      <c r="CCB6">
        <v>0</v>
      </c>
      <c r="CCC6">
        <v>0</v>
      </c>
      <c r="CCD6">
        <v>0</v>
      </c>
      <c r="CCE6">
        <v>0</v>
      </c>
      <c r="CCF6">
        <v>59.99</v>
      </c>
      <c r="CCG6">
        <v>0</v>
      </c>
      <c r="CCH6">
        <v>0</v>
      </c>
      <c r="CCI6">
        <v>0</v>
      </c>
      <c r="CCJ6">
        <v>0</v>
      </c>
      <c r="CCK6">
        <v>0</v>
      </c>
      <c r="CCL6">
        <v>0</v>
      </c>
      <c r="CCM6">
        <v>60</v>
      </c>
      <c r="CCN6">
        <v>0</v>
      </c>
      <c r="CCO6">
        <v>0</v>
      </c>
      <c r="CCP6">
        <v>0</v>
      </c>
      <c r="CCQ6">
        <v>0</v>
      </c>
      <c r="CCR6">
        <v>0</v>
      </c>
      <c r="CCS6">
        <v>0</v>
      </c>
      <c r="CCT6">
        <v>0</v>
      </c>
      <c r="CCU6">
        <v>0</v>
      </c>
      <c r="CCV6">
        <v>0</v>
      </c>
      <c r="CCW6">
        <v>0</v>
      </c>
      <c r="CCX6">
        <v>60.99</v>
      </c>
      <c r="CCY6">
        <v>60.99</v>
      </c>
      <c r="CCZ6">
        <v>0</v>
      </c>
      <c r="CDA6">
        <v>4</v>
      </c>
      <c r="CDB6">
        <v>0</v>
      </c>
      <c r="CDC6">
        <v>0</v>
      </c>
      <c r="CDD6">
        <v>10</v>
      </c>
      <c r="CDE6">
        <v>61</v>
      </c>
      <c r="CDF6">
        <v>16</v>
      </c>
      <c r="CDG6">
        <v>0</v>
      </c>
      <c r="CDH6">
        <v>0</v>
      </c>
      <c r="CDI6">
        <v>0</v>
      </c>
      <c r="CDJ6">
        <v>0</v>
      </c>
      <c r="CDK6">
        <v>0</v>
      </c>
      <c r="CDL6">
        <v>0</v>
      </c>
      <c r="CDM6">
        <v>0</v>
      </c>
      <c r="CDN6">
        <v>0</v>
      </c>
      <c r="CDO6">
        <v>0</v>
      </c>
      <c r="CDP6">
        <v>0</v>
      </c>
      <c r="CDQ6">
        <v>0</v>
      </c>
      <c r="CDR6">
        <v>0</v>
      </c>
      <c r="CDS6">
        <v>0</v>
      </c>
      <c r="CDT6">
        <v>0</v>
      </c>
      <c r="CDU6">
        <v>0</v>
      </c>
      <c r="CDV6">
        <v>0</v>
      </c>
      <c r="CDW6">
        <v>0</v>
      </c>
      <c r="CDX6">
        <v>0</v>
      </c>
      <c r="CDY6">
        <v>0</v>
      </c>
      <c r="CDZ6">
        <v>0</v>
      </c>
      <c r="CEA6">
        <v>0</v>
      </c>
      <c r="CEB6">
        <v>0</v>
      </c>
      <c r="CEC6">
        <v>0</v>
      </c>
      <c r="CED6">
        <v>0</v>
      </c>
      <c r="CEE6">
        <v>0</v>
      </c>
      <c r="CEF6">
        <v>0</v>
      </c>
      <c r="CEG6">
        <v>0</v>
      </c>
      <c r="CEH6">
        <v>0</v>
      </c>
      <c r="CEI6">
        <v>0</v>
      </c>
      <c r="CEJ6">
        <v>0</v>
      </c>
      <c r="CEK6">
        <v>0</v>
      </c>
      <c r="CEL6">
        <v>0</v>
      </c>
      <c r="CEM6">
        <v>0</v>
      </c>
      <c r="CEN6">
        <v>0</v>
      </c>
      <c r="CEO6">
        <v>0</v>
      </c>
      <c r="CEP6">
        <v>0</v>
      </c>
      <c r="CEQ6">
        <v>0</v>
      </c>
      <c r="CER6">
        <v>0</v>
      </c>
      <c r="CES6">
        <v>0</v>
      </c>
      <c r="CET6">
        <v>0</v>
      </c>
      <c r="CEU6">
        <v>0</v>
      </c>
      <c r="CEV6">
        <v>4</v>
      </c>
      <c r="CEW6">
        <v>0</v>
      </c>
      <c r="CEX6">
        <v>0</v>
      </c>
      <c r="CEY6">
        <v>0</v>
      </c>
      <c r="CEZ6">
        <v>0</v>
      </c>
      <c r="CFA6">
        <v>0</v>
      </c>
      <c r="CFB6">
        <v>0</v>
      </c>
      <c r="CFC6">
        <v>0</v>
      </c>
      <c r="CFD6">
        <v>7</v>
      </c>
      <c r="CFE6">
        <v>0</v>
      </c>
      <c r="CFF6">
        <v>0</v>
      </c>
      <c r="CFG6">
        <v>0</v>
      </c>
      <c r="CFH6">
        <v>0</v>
      </c>
      <c r="CFI6">
        <v>0</v>
      </c>
      <c r="CFJ6">
        <v>0</v>
      </c>
      <c r="CFK6">
        <v>0</v>
      </c>
      <c r="CFL6">
        <v>0</v>
      </c>
      <c r="CFM6">
        <v>0</v>
      </c>
      <c r="CFN6">
        <v>0</v>
      </c>
      <c r="CFO6">
        <v>0</v>
      </c>
      <c r="CFP6">
        <v>0</v>
      </c>
      <c r="CFQ6">
        <v>0</v>
      </c>
      <c r="CFR6">
        <v>0</v>
      </c>
      <c r="CFS6">
        <v>0</v>
      </c>
      <c r="CFT6">
        <v>0</v>
      </c>
      <c r="CFU6">
        <v>0</v>
      </c>
      <c r="CFV6">
        <v>60</v>
      </c>
      <c r="CFW6">
        <v>0</v>
      </c>
      <c r="CFX6">
        <v>0</v>
      </c>
      <c r="CFY6">
        <v>57</v>
      </c>
      <c r="CFZ6">
        <v>0</v>
      </c>
      <c r="CGA6">
        <v>0</v>
      </c>
      <c r="CGB6">
        <v>28</v>
      </c>
      <c r="CGC6">
        <v>0</v>
      </c>
      <c r="CGD6">
        <v>0</v>
      </c>
      <c r="CGE6">
        <v>0</v>
      </c>
      <c r="CGF6">
        <v>0</v>
      </c>
      <c r="CGG6">
        <v>0</v>
      </c>
      <c r="CGH6">
        <v>0</v>
      </c>
      <c r="CGI6">
        <v>0</v>
      </c>
      <c r="CGJ6">
        <v>0</v>
      </c>
      <c r="CGK6">
        <v>0</v>
      </c>
      <c r="CGL6">
        <v>0</v>
      </c>
      <c r="CGM6">
        <v>0</v>
      </c>
      <c r="CGN6">
        <v>0</v>
      </c>
      <c r="CGO6">
        <v>0</v>
      </c>
      <c r="CGP6">
        <v>0</v>
      </c>
      <c r="CGQ6">
        <v>0</v>
      </c>
      <c r="CGR6">
        <v>0</v>
      </c>
      <c r="CGS6">
        <v>0</v>
      </c>
      <c r="CGT6">
        <v>19</v>
      </c>
      <c r="CGU6">
        <v>0</v>
      </c>
      <c r="CGV6">
        <v>0</v>
      </c>
      <c r="CGW6">
        <v>0</v>
      </c>
      <c r="CGX6">
        <v>0</v>
      </c>
      <c r="CGY6">
        <v>0</v>
      </c>
      <c r="CGZ6">
        <v>0</v>
      </c>
      <c r="CHA6">
        <v>0</v>
      </c>
      <c r="CHB6">
        <v>0</v>
      </c>
      <c r="CHC6">
        <v>0</v>
      </c>
      <c r="CHD6">
        <v>22</v>
      </c>
      <c r="CHE6">
        <v>0</v>
      </c>
      <c r="CHF6">
        <v>0</v>
      </c>
      <c r="CHG6">
        <v>0</v>
      </c>
      <c r="CHH6">
        <v>0</v>
      </c>
      <c r="CHI6">
        <v>9</v>
      </c>
      <c r="CHJ6">
        <v>0</v>
      </c>
      <c r="CHK6">
        <v>0</v>
      </c>
      <c r="CHL6">
        <v>0</v>
      </c>
      <c r="CHM6">
        <v>0</v>
      </c>
      <c r="CHN6">
        <v>0</v>
      </c>
      <c r="CHO6">
        <v>0</v>
      </c>
      <c r="CHP6">
        <v>0</v>
      </c>
      <c r="CHQ6">
        <v>0</v>
      </c>
      <c r="CHR6">
        <v>0</v>
      </c>
      <c r="CHS6">
        <v>0</v>
      </c>
      <c r="CHT6">
        <v>0</v>
      </c>
      <c r="CHU6">
        <v>0</v>
      </c>
      <c r="CHV6">
        <v>0</v>
      </c>
      <c r="CHW6">
        <v>0</v>
      </c>
      <c r="CHX6">
        <v>0</v>
      </c>
      <c r="CHY6">
        <v>0</v>
      </c>
      <c r="CHZ6">
        <v>0</v>
      </c>
      <c r="CIA6">
        <v>0</v>
      </c>
      <c r="CIB6">
        <v>0</v>
      </c>
      <c r="CIC6">
        <v>0</v>
      </c>
      <c r="CID6">
        <v>0</v>
      </c>
      <c r="CIE6">
        <v>0</v>
      </c>
      <c r="CIF6">
        <v>0</v>
      </c>
      <c r="CIG6">
        <v>0</v>
      </c>
      <c r="CIH6">
        <v>0</v>
      </c>
      <c r="CII6">
        <v>0</v>
      </c>
      <c r="CIJ6">
        <v>0</v>
      </c>
      <c r="CIK6">
        <v>68</v>
      </c>
      <c r="CIL6">
        <v>68</v>
      </c>
      <c r="CIM6">
        <v>68</v>
      </c>
      <c r="CIN6">
        <v>0</v>
      </c>
      <c r="CIO6">
        <v>0</v>
      </c>
      <c r="CIP6">
        <v>0</v>
      </c>
      <c r="CIQ6">
        <v>0</v>
      </c>
      <c r="CIR6">
        <v>0</v>
      </c>
      <c r="CIS6">
        <v>0</v>
      </c>
      <c r="CIT6">
        <v>0</v>
      </c>
      <c r="CIU6">
        <v>0</v>
      </c>
      <c r="CIV6">
        <v>0</v>
      </c>
      <c r="CIW6">
        <v>0</v>
      </c>
      <c r="CIX6">
        <v>0</v>
      </c>
      <c r="CIY6">
        <v>0</v>
      </c>
      <c r="CIZ6">
        <v>0</v>
      </c>
      <c r="CJA6">
        <v>0</v>
      </c>
      <c r="CJB6">
        <v>22</v>
      </c>
      <c r="CJC6">
        <v>37</v>
      </c>
      <c r="CJD6">
        <v>0</v>
      </c>
      <c r="CJE6">
        <v>0</v>
      </c>
      <c r="CJF6">
        <v>0</v>
      </c>
      <c r="CJG6">
        <v>0</v>
      </c>
      <c r="CJH6">
        <v>0</v>
      </c>
      <c r="CJI6">
        <v>0</v>
      </c>
      <c r="CJJ6">
        <v>0</v>
      </c>
      <c r="CJK6">
        <v>0</v>
      </c>
      <c r="CJL6">
        <v>0</v>
      </c>
      <c r="CJM6">
        <v>0</v>
      </c>
      <c r="CJN6">
        <v>0</v>
      </c>
      <c r="CJO6">
        <v>0</v>
      </c>
      <c r="CJP6">
        <v>0</v>
      </c>
      <c r="CJQ6">
        <v>0</v>
      </c>
      <c r="CJR6">
        <v>51</v>
      </c>
      <c r="CJS6">
        <v>0</v>
      </c>
      <c r="CJT6">
        <v>0</v>
      </c>
      <c r="CJU6">
        <v>0</v>
      </c>
      <c r="CJV6">
        <v>0</v>
      </c>
      <c r="CJW6">
        <v>0</v>
      </c>
      <c r="CJX6">
        <v>0</v>
      </c>
      <c r="CJY6">
        <v>0</v>
      </c>
      <c r="CJZ6">
        <v>0</v>
      </c>
      <c r="CKA6">
        <v>0</v>
      </c>
      <c r="CKB6">
        <v>0</v>
      </c>
      <c r="CKC6">
        <v>0</v>
      </c>
      <c r="CKD6">
        <v>0</v>
      </c>
      <c r="CKE6">
        <v>0</v>
      </c>
      <c r="CKF6">
        <v>0</v>
      </c>
      <c r="CKG6">
        <v>0</v>
      </c>
      <c r="CKH6">
        <v>25</v>
      </c>
      <c r="CKI6">
        <v>0</v>
      </c>
      <c r="CKJ6">
        <v>0</v>
      </c>
      <c r="CKK6">
        <v>0</v>
      </c>
      <c r="CKL6">
        <v>0</v>
      </c>
      <c r="CKM6">
        <v>9</v>
      </c>
      <c r="CKN6">
        <v>71</v>
      </c>
      <c r="CKO6">
        <v>0</v>
      </c>
      <c r="CKP6">
        <v>0</v>
      </c>
      <c r="CKQ6">
        <v>0</v>
      </c>
      <c r="CKR6">
        <v>0</v>
      </c>
      <c r="CKS6">
        <v>0</v>
      </c>
      <c r="CKT6">
        <v>0</v>
      </c>
      <c r="CKU6">
        <v>0</v>
      </c>
      <c r="CKV6">
        <v>0</v>
      </c>
      <c r="CKW6">
        <v>0</v>
      </c>
      <c r="CKX6">
        <v>0</v>
      </c>
      <c r="CKY6">
        <v>0</v>
      </c>
      <c r="CKZ6">
        <v>0</v>
      </c>
      <c r="CLA6">
        <v>0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0</v>
      </c>
      <c r="CLH6">
        <v>0</v>
      </c>
      <c r="CLI6">
        <v>0</v>
      </c>
      <c r="CLJ6">
        <v>0</v>
      </c>
      <c r="CLK6">
        <v>0</v>
      </c>
      <c r="CLL6">
        <v>0</v>
      </c>
      <c r="CLM6">
        <v>0</v>
      </c>
      <c r="CLN6">
        <v>8</v>
      </c>
      <c r="CLO6">
        <v>0</v>
      </c>
      <c r="CLP6">
        <v>0</v>
      </c>
      <c r="CLQ6">
        <v>0</v>
      </c>
      <c r="CLR6">
        <v>0</v>
      </c>
      <c r="CLS6">
        <v>0</v>
      </c>
      <c r="CLT6">
        <v>0</v>
      </c>
      <c r="CLU6">
        <v>0</v>
      </c>
      <c r="CLV6">
        <v>74</v>
      </c>
      <c r="CLW6">
        <v>26</v>
      </c>
      <c r="CLX6">
        <v>0</v>
      </c>
      <c r="CLY6">
        <v>0</v>
      </c>
      <c r="CLZ6">
        <v>0</v>
      </c>
      <c r="CMA6">
        <v>0</v>
      </c>
      <c r="CMB6">
        <v>0</v>
      </c>
      <c r="CMC6">
        <v>0</v>
      </c>
      <c r="CMD6">
        <v>0</v>
      </c>
      <c r="CME6">
        <v>0</v>
      </c>
      <c r="CMF6">
        <v>0</v>
      </c>
      <c r="CMG6">
        <v>0</v>
      </c>
      <c r="CMH6">
        <v>0</v>
      </c>
      <c r="CMI6">
        <v>0</v>
      </c>
      <c r="CMJ6">
        <v>0</v>
      </c>
      <c r="CMK6">
        <v>0</v>
      </c>
      <c r="CML6">
        <v>0</v>
      </c>
      <c r="CMM6">
        <v>0</v>
      </c>
      <c r="CMN6">
        <v>0</v>
      </c>
      <c r="CMO6">
        <v>0</v>
      </c>
      <c r="CMP6">
        <v>0</v>
      </c>
      <c r="CMQ6">
        <v>0</v>
      </c>
      <c r="CMR6">
        <v>0</v>
      </c>
      <c r="CMS6">
        <v>0</v>
      </c>
      <c r="CMT6">
        <v>0</v>
      </c>
      <c r="CMU6">
        <v>0</v>
      </c>
      <c r="CMV6">
        <v>56</v>
      </c>
      <c r="CMW6">
        <v>0</v>
      </c>
      <c r="CMX6">
        <v>0</v>
      </c>
      <c r="CMY6">
        <v>0</v>
      </c>
      <c r="CMZ6">
        <v>0</v>
      </c>
      <c r="CNA6">
        <v>0</v>
      </c>
      <c r="CNB6">
        <v>0</v>
      </c>
      <c r="CNC6">
        <v>0</v>
      </c>
      <c r="CND6">
        <v>0</v>
      </c>
      <c r="CNE6">
        <v>0</v>
      </c>
      <c r="CNF6">
        <v>0</v>
      </c>
      <c r="CNG6">
        <v>0</v>
      </c>
      <c r="CNH6">
        <v>0</v>
      </c>
      <c r="CNI6">
        <v>77</v>
      </c>
      <c r="CNJ6">
        <v>0</v>
      </c>
      <c r="CNK6">
        <v>0</v>
      </c>
      <c r="CNL6">
        <v>0</v>
      </c>
      <c r="CNM6">
        <v>0</v>
      </c>
      <c r="CNN6">
        <v>0</v>
      </c>
      <c r="CNO6">
        <v>0</v>
      </c>
      <c r="CNP6">
        <v>0</v>
      </c>
      <c r="CNQ6">
        <v>0</v>
      </c>
      <c r="CNR6">
        <v>31.99</v>
      </c>
      <c r="CNS6">
        <v>0</v>
      </c>
      <c r="CNT6">
        <v>0</v>
      </c>
      <c r="CNU6">
        <v>0</v>
      </c>
      <c r="CNV6">
        <v>0</v>
      </c>
      <c r="CNW6">
        <v>0</v>
      </c>
      <c r="CNX6">
        <v>0</v>
      </c>
      <c r="CNY6">
        <v>0</v>
      </c>
      <c r="CNZ6">
        <v>78</v>
      </c>
      <c r="COA6">
        <v>52</v>
      </c>
      <c r="COB6">
        <v>0</v>
      </c>
      <c r="COC6">
        <v>0</v>
      </c>
      <c r="COD6">
        <v>0</v>
      </c>
      <c r="COE6">
        <v>0</v>
      </c>
      <c r="COF6">
        <v>0</v>
      </c>
      <c r="COG6">
        <v>0</v>
      </c>
      <c r="COH6">
        <v>0</v>
      </c>
      <c r="COI6">
        <v>0</v>
      </c>
      <c r="COJ6">
        <v>0</v>
      </c>
      <c r="COK6">
        <v>0</v>
      </c>
      <c r="COL6">
        <v>79</v>
      </c>
      <c r="COM6">
        <v>11</v>
      </c>
      <c r="CON6">
        <v>0</v>
      </c>
      <c r="COO6">
        <v>0</v>
      </c>
      <c r="COP6">
        <v>0</v>
      </c>
      <c r="COQ6">
        <v>0</v>
      </c>
      <c r="COR6">
        <v>0</v>
      </c>
      <c r="COS6">
        <v>0</v>
      </c>
      <c r="COT6">
        <v>0</v>
      </c>
      <c r="COU6">
        <v>0</v>
      </c>
      <c r="COV6">
        <v>69.989999999999995</v>
      </c>
      <c r="COW6">
        <v>0</v>
      </c>
      <c r="COX6">
        <v>0</v>
      </c>
      <c r="COY6">
        <v>80</v>
      </c>
      <c r="COZ6">
        <v>80</v>
      </c>
      <c r="CPA6">
        <v>0</v>
      </c>
      <c r="CPB6">
        <v>0</v>
      </c>
      <c r="CPC6">
        <v>0</v>
      </c>
      <c r="CPD6">
        <v>0</v>
      </c>
      <c r="CPE6">
        <v>0</v>
      </c>
      <c r="CPF6">
        <v>0</v>
      </c>
      <c r="CPG6">
        <v>0</v>
      </c>
      <c r="CPH6">
        <v>0</v>
      </c>
      <c r="CPI6">
        <v>0</v>
      </c>
      <c r="CPJ6">
        <v>81</v>
      </c>
      <c r="CPK6">
        <v>0</v>
      </c>
      <c r="CPL6">
        <v>0</v>
      </c>
      <c r="CPM6">
        <v>0</v>
      </c>
      <c r="CPN6">
        <v>0</v>
      </c>
      <c r="CPO6">
        <v>0</v>
      </c>
      <c r="CPP6">
        <v>0</v>
      </c>
      <c r="CPQ6">
        <v>0</v>
      </c>
      <c r="CPR6">
        <v>0</v>
      </c>
      <c r="CPS6">
        <v>0</v>
      </c>
      <c r="CPT6">
        <v>0</v>
      </c>
      <c r="CPU6">
        <v>0</v>
      </c>
      <c r="CPV6">
        <v>0</v>
      </c>
      <c r="CPW6">
        <v>0</v>
      </c>
      <c r="CPX6">
        <v>0</v>
      </c>
      <c r="CPY6">
        <v>8</v>
      </c>
      <c r="CPZ6">
        <v>0</v>
      </c>
      <c r="CQA6">
        <v>0</v>
      </c>
      <c r="CQB6">
        <v>0</v>
      </c>
      <c r="CQC6">
        <v>0</v>
      </c>
      <c r="CQD6">
        <v>0</v>
      </c>
      <c r="CQE6">
        <v>0</v>
      </c>
      <c r="CQF6">
        <v>0</v>
      </c>
      <c r="CQG6">
        <v>0</v>
      </c>
      <c r="CQH6">
        <v>0</v>
      </c>
      <c r="CQI6">
        <v>0</v>
      </c>
      <c r="CQJ6">
        <v>0</v>
      </c>
      <c r="CQK6">
        <v>0</v>
      </c>
      <c r="CQL6">
        <v>0</v>
      </c>
      <c r="CQM6">
        <v>0</v>
      </c>
      <c r="CQN6">
        <v>0</v>
      </c>
      <c r="CQO6">
        <v>0</v>
      </c>
      <c r="CQP6">
        <v>0</v>
      </c>
      <c r="CQQ6">
        <v>0</v>
      </c>
      <c r="CQR6">
        <v>0</v>
      </c>
      <c r="CQS6">
        <v>0</v>
      </c>
      <c r="CQT6">
        <v>0</v>
      </c>
      <c r="CQU6">
        <v>0</v>
      </c>
      <c r="CQV6">
        <v>0</v>
      </c>
      <c r="CQW6">
        <v>0</v>
      </c>
      <c r="CQX6">
        <v>5</v>
      </c>
      <c r="CQY6">
        <v>0</v>
      </c>
      <c r="CQZ6">
        <v>0</v>
      </c>
      <c r="CRA6">
        <v>14</v>
      </c>
      <c r="CRB6">
        <v>0</v>
      </c>
      <c r="CRC6">
        <v>0</v>
      </c>
      <c r="CRD6">
        <v>55</v>
      </c>
      <c r="CRE6">
        <v>0</v>
      </c>
      <c r="CRF6">
        <v>0</v>
      </c>
      <c r="CRG6">
        <v>0</v>
      </c>
      <c r="CRH6">
        <v>0</v>
      </c>
      <c r="CRI6">
        <v>0</v>
      </c>
      <c r="CRJ6">
        <v>0</v>
      </c>
      <c r="CRK6">
        <v>0</v>
      </c>
      <c r="CRL6">
        <v>26.99</v>
      </c>
      <c r="CRM6">
        <v>0</v>
      </c>
      <c r="CRN6">
        <v>87</v>
      </c>
      <c r="CRO6">
        <v>87</v>
      </c>
      <c r="CRP6">
        <v>87</v>
      </c>
      <c r="CRQ6">
        <v>0</v>
      </c>
      <c r="CRR6">
        <v>0</v>
      </c>
      <c r="CRS6">
        <v>0</v>
      </c>
      <c r="CRT6">
        <v>0</v>
      </c>
      <c r="CRU6">
        <v>0</v>
      </c>
      <c r="CRV6">
        <v>0</v>
      </c>
      <c r="CRW6">
        <v>0</v>
      </c>
      <c r="CRX6">
        <v>0</v>
      </c>
      <c r="CRY6">
        <v>0</v>
      </c>
      <c r="CRZ6">
        <v>0</v>
      </c>
      <c r="CSA6">
        <v>16</v>
      </c>
      <c r="CSB6">
        <v>0</v>
      </c>
      <c r="CSC6">
        <v>0</v>
      </c>
      <c r="CSD6">
        <v>0</v>
      </c>
      <c r="CSE6">
        <v>0</v>
      </c>
      <c r="CSF6">
        <v>0</v>
      </c>
      <c r="CSG6">
        <v>0</v>
      </c>
      <c r="CSH6">
        <v>0</v>
      </c>
      <c r="CSI6">
        <v>0</v>
      </c>
      <c r="CSJ6">
        <v>12</v>
      </c>
      <c r="CSK6">
        <v>50</v>
      </c>
      <c r="CSL6">
        <v>0</v>
      </c>
      <c r="CSM6">
        <v>16</v>
      </c>
      <c r="CSN6">
        <v>0</v>
      </c>
      <c r="CSO6">
        <v>0</v>
      </c>
      <c r="CSP6">
        <v>0</v>
      </c>
      <c r="CSQ6">
        <v>0</v>
      </c>
      <c r="CSR6">
        <v>0</v>
      </c>
      <c r="CSS6">
        <v>0</v>
      </c>
      <c r="CST6">
        <v>0</v>
      </c>
      <c r="CSU6">
        <v>0</v>
      </c>
      <c r="CSV6">
        <v>0</v>
      </c>
      <c r="CSW6">
        <v>0</v>
      </c>
      <c r="CSX6">
        <v>0</v>
      </c>
      <c r="CSY6">
        <v>0</v>
      </c>
      <c r="CSZ6">
        <v>0</v>
      </c>
      <c r="CTA6">
        <v>0</v>
      </c>
      <c r="CTB6">
        <v>0</v>
      </c>
      <c r="CTC6">
        <v>0</v>
      </c>
      <c r="CTD6">
        <v>0</v>
      </c>
      <c r="CTE6">
        <v>0</v>
      </c>
      <c r="CTF6">
        <v>0</v>
      </c>
      <c r="CTG6">
        <v>0</v>
      </c>
      <c r="CTH6">
        <v>0</v>
      </c>
      <c r="CTI6">
        <v>0</v>
      </c>
      <c r="CTJ6">
        <v>0</v>
      </c>
      <c r="CTK6">
        <v>0</v>
      </c>
      <c r="CTL6">
        <v>0</v>
      </c>
      <c r="CTM6">
        <v>0</v>
      </c>
      <c r="CTN6">
        <v>0</v>
      </c>
      <c r="CTO6">
        <v>0</v>
      </c>
      <c r="CTP6">
        <v>0</v>
      </c>
      <c r="CTQ6">
        <v>0</v>
      </c>
      <c r="CTR6">
        <v>0</v>
      </c>
      <c r="CTS6">
        <v>0</v>
      </c>
      <c r="CTT6">
        <v>0</v>
      </c>
      <c r="CTU6">
        <v>0</v>
      </c>
      <c r="CTV6">
        <v>0</v>
      </c>
      <c r="CTW6">
        <v>0</v>
      </c>
      <c r="CTX6">
        <v>0</v>
      </c>
      <c r="CTY6">
        <v>0</v>
      </c>
      <c r="CTZ6">
        <v>0</v>
      </c>
      <c r="CUA6">
        <v>0</v>
      </c>
      <c r="CUB6">
        <v>0</v>
      </c>
      <c r="CUC6">
        <v>0</v>
      </c>
      <c r="CUD6">
        <v>0</v>
      </c>
      <c r="CUE6">
        <v>0</v>
      </c>
      <c r="CUF6">
        <v>0</v>
      </c>
      <c r="CUG6">
        <v>0</v>
      </c>
      <c r="CUH6">
        <v>0</v>
      </c>
      <c r="CUI6">
        <v>0</v>
      </c>
      <c r="CUJ6">
        <v>0</v>
      </c>
      <c r="CUK6">
        <v>0</v>
      </c>
      <c r="CUL6">
        <v>0</v>
      </c>
      <c r="CUM6">
        <v>0</v>
      </c>
      <c r="CUN6">
        <v>0</v>
      </c>
      <c r="CUO6">
        <v>0</v>
      </c>
      <c r="CUP6">
        <v>0</v>
      </c>
      <c r="CUQ6">
        <v>0</v>
      </c>
      <c r="CUR6">
        <v>0</v>
      </c>
      <c r="CUS6">
        <v>0</v>
      </c>
      <c r="CUT6">
        <v>0</v>
      </c>
      <c r="CUU6">
        <v>0</v>
      </c>
      <c r="CUV6">
        <v>95</v>
      </c>
      <c r="CUW6">
        <v>0</v>
      </c>
      <c r="CUX6">
        <v>0</v>
      </c>
      <c r="CUY6">
        <v>0</v>
      </c>
      <c r="CUZ6">
        <v>0</v>
      </c>
      <c r="CVA6">
        <v>0</v>
      </c>
      <c r="CVB6">
        <v>0</v>
      </c>
      <c r="CVC6">
        <v>0</v>
      </c>
      <c r="CVD6">
        <v>0</v>
      </c>
      <c r="CVE6">
        <v>0</v>
      </c>
      <c r="CVF6">
        <v>0</v>
      </c>
      <c r="CVG6">
        <v>0</v>
      </c>
      <c r="CVH6">
        <v>15</v>
      </c>
      <c r="CVI6">
        <v>0</v>
      </c>
      <c r="CVJ6">
        <v>0</v>
      </c>
      <c r="CVK6">
        <v>0</v>
      </c>
      <c r="CVL6">
        <v>0</v>
      </c>
      <c r="CVM6">
        <v>0</v>
      </c>
      <c r="CVN6">
        <v>0</v>
      </c>
      <c r="CVO6">
        <v>0</v>
      </c>
      <c r="CVP6">
        <v>0</v>
      </c>
      <c r="CVQ6">
        <v>0</v>
      </c>
      <c r="CVR6">
        <v>0</v>
      </c>
      <c r="CVS6">
        <v>0</v>
      </c>
      <c r="CVT6">
        <v>0</v>
      </c>
      <c r="CVU6">
        <v>0</v>
      </c>
      <c r="CVV6">
        <v>9</v>
      </c>
      <c r="CVW6">
        <v>0</v>
      </c>
      <c r="CVX6">
        <v>28</v>
      </c>
      <c r="CVY6">
        <v>97</v>
      </c>
      <c r="CVZ6">
        <v>0</v>
      </c>
      <c r="CWA6">
        <v>0</v>
      </c>
      <c r="CWB6">
        <v>0</v>
      </c>
      <c r="CWC6">
        <v>0</v>
      </c>
      <c r="CWD6">
        <v>76.989999999999995</v>
      </c>
      <c r="CWE6">
        <v>0</v>
      </c>
      <c r="CWF6">
        <v>0</v>
      </c>
      <c r="CWG6">
        <v>0</v>
      </c>
      <c r="CWH6">
        <v>0</v>
      </c>
      <c r="CWI6">
        <v>0</v>
      </c>
      <c r="CWJ6">
        <v>0</v>
      </c>
      <c r="CWK6">
        <v>0</v>
      </c>
      <c r="CWL6">
        <v>0</v>
      </c>
      <c r="CWM6">
        <v>0</v>
      </c>
      <c r="CWN6">
        <v>0</v>
      </c>
      <c r="CWO6">
        <v>0</v>
      </c>
      <c r="CWP6">
        <v>0</v>
      </c>
      <c r="CWQ6">
        <v>0</v>
      </c>
      <c r="CWR6">
        <v>60</v>
      </c>
      <c r="CWS6">
        <v>99</v>
      </c>
      <c r="CWT6">
        <v>0</v>
      </c>
      <c r="CWU6">
        <v>0</v>
      </c>
      <c r="CWV6">
        <v>0</v>
      </c>
      <c r="CWW6">
        <v>0</v>
      </c>
      <c r="CWX6">
        <v>0</v>
      </c>
      <c r="CWY6">
        <v>0</v>
      </c>
      <c r="CWZ6">
        <v>0</v>
      </c>
      <c r="CXA6">
        <v>0</v>
      </c>
      <c r="CXB6">
        <v>0</v>
      </c>
      <c r="CXC6">
        <v>0</v>
      </c>
      <c r="CXD6">
        <v>0</v>
      </c>
      <c r="CXE6">
        <v>0</v>
      </c>
      <c r="CXF6">
        <v>0</v>
      </c>
      <c r="CXG6">
        <v>0</v>
      </c>
      <c r="CXH6">
        <v>0</v>
      </c>
      <c r="CXI6">
        <v>0</v>
      </c>
      <c r="CXJ6">
        <v>0</v>
      </c>
      <c r="CXK6">
        <v>0</v>
      </c>
      <c r="CXL6">
        <v>0</v>
      </c>
      <c r="CXM6">
        <v>0</v>
      </c>
      <c r="CXN6">
        <v>0</v>
      </c>
      <c r="CXO6">
        <v>43</v>
      </c>
      <c r="CXP6">
        <v>0</v>
      </c>
      <c r="CXQ6">
        <v>101</v>
      </c>
      <c r="CXR6">
        <v>0</v>
      </c>
      <c r="CXS6">
        <v>0</v>
      </c>
      <c r="CXT6">
        <v>0</v>
      </c>
      <c r="CXU6">
        <v>0</v>
      </c>
      <c r="CXV6">
        <v>0</v>
      </c>
      <c r="CXW6">
        <v>0</v>
      </c>
      <c r="CXX6">
        <v>0</v>
      </c>
      <c r="CXY6">
        <v>0</v>
      </c>
      <c r="CXZ6">
        <v>0</v>
      </c>
      <c r="CYA6">
        <v>0</v>
      </c>
      <c r="CYB6">
        <v>0</v>
      </c>
      <c r="CYC6">
        <v>0</v>
      </c>
      <c r="CYD6">
        <v>0</v>
      </c>
      <c r="CYE6">
        <v>6.99</v>
      </c>
      <c r="CYF6">
        <v>102.99</v>
      </c>
      <c r="CYG6">
        <v>0</v>
      </c>
      <c r="CYH6">
        <v>0</v>
      </c>
      <c r="CYI6">
        <v>0</v>
      </c>
      <c r="CYJ6">
        <v>0</v>
      </c>
      <c r="CYK6">
        <v>0</v>
      </c>
      <c r="CYL6">
        <v>0</v>
      </c>
      <c r="CYM6">
        <v>103</v>
      </c>
      <c r="CYN6">
        <v>103</v>
      </c>
      <c r="CYO6">
        <v>0</v>
      </c>
      <c r="CYP6">
        <v>0</v>
      </c>
      <c r="CYQ6">
        <v>0</v>
      </c>
      <c r="CYR6">
        <v>0</v>
      </c>
      <c r="CYS6">
        <v>0</v>
      </c>
      <c r="CYT6">
        <v>0</v>
      </c>
      <c r="CYU6">
        <v>0</v>
      </c>
      <c r="CYV6">
        <v>0</v>
      </c>
      <c r="CYW6">
        <v>0</v>
      </c>
      <c r="CYX6">
        <v>104</v>
      </c>
      <c r="CYY6">
        <v>0</v>
      </c>
      <c r="CYZ6">
        <v>0</v>
      </c>
      <c r="CZA6">
        <v>0</v>
      </c>
      <c r="CZB6">
        <v>0</v>
      </c>
      <c r="CZC6">
        <v>0</v>
      </c>
      <c r="CZD6">
        <v>0</v>
      </c>
      <c r="CZE6">
        <v>0</v>
      </c>
      <c r="CZF6">
        <v>11</v>
      </c>
      <c r="CZG6">
        <v>0</v>
      </c>
      <c r="CZH6">
        <v>0</v>
      </c>
      <c r="CZI6">
        <v>0</v>
      </c>
      <c r="CZJ6">
        <v>0</v>
      </c>
      <c r="CZK6">
        <v>0</v>
      </c>
      <c r="CZL6">
        <v>0</v>
      </c>
      <c r="CZM6">
        <v>0</v>
      </c>
      <c r="CZN6">
        <v>0</v>
      </c>
      <c r="CZO6">
        <v>105.98</v>
      </c>
      <c r="CZP6">
        <v>0</v>
      </c>
      <c r="CZQ6">
        <v>0</v>
      </c>
      <c r="CZR6">
        <v>0</v>
      </c>
      <c r="CZS6">
        <v>0</v>
      </c>
      <c r="CZT6">
        <v>0</v>
      </c>
      <c r="CZU6">
        <v>0</v>
      </c>
      <c r="CZV6">
        <v>0</v>
      </c>
      <c r="CZW6">
        <v>0</v>
      </c>
      <c r="CZX6">
        <v>0</v>
      </c>
      <c r="CZY6">
        <v>0</v>
      </c>
      <c r="CZZ6">
        <v>106.99</v>
      </c>
      <c r="DAA6">
        <v>0</v>
      </c>
      <c r="DAB6">
        <v>0</v>
      </c>
      <c r="DAC6">
        <v>0</v>
      </c>
      <c r="DAD6">
        <v>0</v>
      </c>
      <c r="DAE6">
        <v>0</v>
      </c>
      <c r="DAF6">
        <v>0</v>
      </c>
      <c r="DAG6">
        <v>0</v>
      </c>
      <c r="DAH6">
        <v>0</v>
      </c>
      <c r="DAI6">
        <v>0</v>
      </c>
      <c r="DAJ6">
        <v>0</v>
      </c>
      <c r="DAK6">
        <v>0</v>
      </c>
      <c r="DAL6">
        <v>0</v>
      </c>
      <c r="DAM6">
        <v>0</v>
      </c>
      <c r="DAN6">
        <v>0</v>
      </c>
      <c r="DAO6">
        <v>0</v>
      </c>
      <c r="DAP6">
        <v>0</v>
      </c>
      <c r="DAQ6">
        <v>0</v>
      </c>
      <c r="DAR6">
        <v>0</v>
      </c>
      <c r="DAS6">
        <v>0</v>
      </c>
      <c r="DAT6">
        <v>0</v>
      </c>
      <c r="DAU6">
        <v>0</v>
      </c>
      <c r="DAV6">
        <v>0</v>
      </c>
      <c r="DAW6">
        <v>0</v>
      </c>
      <c r="DAX6">
        <v>0</v>
      </c>
      <c r="DAY6">
        <v>0</v>
      </c>
      <c r="DAZ6">
        <v>0</v>
      </c>
      <c r="DBA6">
        <v>0</v>
      </c>
      <c r="DBB6">
        <v>0</v>
      </c>
      <c r="DBC6">
        <v>0</v>
      </c>
      <c r="DBD6">
        <v>0</v>
      </c>
      <c r="DBE6">
        <v>0</v>
      </c>
      <c r="DBF6">
        <v>0</v>
      </c>
      <c r="DBG6">
        <v>19</v>
      </c>
      <c r="DBH6">
        <v>110</v>
      </c>
      <c r="DBI6">
        <v>0</v>
      </c>
      <c r="DBJ6">
        <v>0</v>
      </c>
      <c r="DBK6">
        <v>0</v>
      </c>
      <c r="DBL6">
        <v>0</v>
      </c>
      <c r="DBM6">
        <v>0</v>
      </c>
      <c r="DBN6">
        <v>0</v>
      </c>
      <c r="DBO6">
        <v>0</v>
      </c>
      <c r="DBP6">
        <v>0</v>
      </c>
      <c r="DBQ6">
        <v>0</v>
      </c>
      <c r="DBR6">
        <v>0</v>
      </c>
      <c r="DBS6">
        <v>0</v>
      </c>
      <c r="DBT6">
        <v>0</v>
      </c>
      <c r="DBU6">
        <v>0</v>
      </c>
      <c r="DBV6">
        <v>0</v>
      </c>
      <c r="DBW6">
        <v>0</v>
      </c>
      <c r="DBX6">
        <v>0</v>
      </c>
      <c r="DBY6">
        <v>0</v>
      </c>
      <c r="DBZ6">
        <v>0</v>
      </c>
      <c r="DCA6">
        <v>24</v>
      </c>
      <c r="DCB6">
        <v>0</v>
      </c>
      <c r="DCC6">
        <v>0</v>
      </c>
      <c r="DCD6">
        <v>0</v>
      </c>
      <c r="DCE6">
        <v>0</v>
      </c>
      <c r="DCF6">
        <v>55.99</v>
      </c>
      <c r="DCG6">
        <v>0</v>
      </c>
      <c r="DCH6">
        <v>0</v>
      </c>
      <c r="DCI6">
        <v>0</v>
      </c>
      <c r="DCJ6">
        <v>0</v>
      </c>
      <c r="DCK6">
        <v>0</v>
      </c>
      <c r="DCL6">
        <v>0</v>
      </c>
      <c r="DCM6">
        <v>0</v>
      </c>
      <c r="DCN6">
        <v>23</v>
      </c>
      <c r="DCO6">
        <v>114</v>
      </c>
      <c r="DCP6">
        <v>0</v>
      </c>
      <c r="DCQ6">
        <v>0</v>
      </c>
      <c r="DCR6">
        <v>0</v>
      </c>
      <c r="DCS6">
        <v>0</v>
      </c>
      <c r="DCT6">
        <v>0</v>
      </c>
      <c r="DCU6">
        <v>0</v>
      </c>
      <c r="DCV6">
        <v>21</v>
      </c>
      <c r="DCW6">
        <v>30.99</v>
      </c>
      <c r="DCX6">
        <v>0</v>
      </c>
      <c r="DCY6">
        <v>0</v>
      </c>
      <c r="DCZ6">
        <v>41</v>
      </c>
      <c r="DDA6">
        <v>0</v>
      </c>
      <c r="DDB6">
        <v>0</v>
      </c>
      <c r="DDC6">
        <v>6</v>
      </c>
      <c r="DDD6">
        <v>0</v>
      </c>
      <c r="DDE6">
        <v>0</v>
      </c>
      <c r="DDF6">
        <v>0</v>
      </c>
      <c r="DDG6">
        <v>0</v>
      </c>
      <c r="DDH6">
        <v>0</v>
      </c>
      <c r="DDI6">
        <v>0</v>
      </c>
      <c r="DDJ6">
        <v>0</v>
      </c>
      <c r="DDK6">
        <v>0</v>
      </c>
      <c r="DDL6">
        <v>0</v>
      </c>
      <c r="DDM6">
        <v>0</v>
      </c>
      <c r="DDN6">
        <v>0</v>
      </c>
      <c r="DDO6">
        <v>0</v>
      </c>
      <c r="DDP6">
        <v>117</v>
      </c>
      <c r="DDQ6">
        <v>117</v>
      </c>
      <c r="DDR6">
        <v>0</v>
      </c>
      <c r="DDS6">
        <v>0</v>
      </c>
      <c r="DDT6">
        <v>0</v>
      </c>
      <c r="DDU6">
        <v>117.99</v>
      </c>
      <c r="DDV6">
        <v>0</v>
      </c>
      <c r="DDW6">
        <v>0</v>
      </c>
      <c r="DDX6">
        <v>0</v>
      </c>
      <c r="DDY6">
        <v>0</v>
      </c>
      <c r="DDZ6">
        <v>0</v>
      </c>
      <c r="DEA6">
        <v>0</v>
      </c>
      <c r="DEB6">
        <v>72</v>
      </c>
      <c r="DEC6">
        <v>0</v>
      </c>
      <c r="DED6">
        <v>0</v>
      </c>
      <c r="DEE6">
        <v>0</v>
      </c>
      <c r="DEF6">
        <v>0</v>
      </c>
      <c r="DEG6">
        <v>0</v>
      </c>
      <c r="DEH6">
        <v>0</v>
      </c>
      <c r="DEI6">
        <v>0</v>
      </c>
      <c r="DEJ6">
        <v>0</v>
      </c>
      <c r="DEK6">
        <v>0</v>
      </c>
      <c r="DEL6">
        <v>0</v>
      </c>
      <c r="DEM6">
        <v>28</v>
      </c>
      <c r="DEN6">
        <v>0</v>
      </c>
      <c r="DEO6">
        <v>0</v>
      </c>
      <c r="DEP6">
        <v>30</v>
      </c>
      <c r="DEQ6">
        <v>0</v>
      </c>
      <c r="DER6">
        <v>0</v>
      </c>
      <c r="DES6">
        <v>0</v>
      </c>
      <c r="DET6">
        <v>0</v>
      </c>
      <c r="DEU6">
        <v>0</v>
      </c>
      <c r="DEV6">
        <v>0</v>
      </c>
      <c r="DEW6">
        <v>0</v>
      </c>
      <c r="DEX6">
        <v>46</v>
      </c>
      <c r="DEY6">
        <v>0</v>
      </c>
      <c r="DEZ6">
        <v>0</v>
      </c>
      <c r="DFA6">
        <v>0</v>
      </c>
      <c r="DFB6">
        <v>0</v>
      </c>
      <c r="DFC6">
        <v>20.99</v>
      </c>
      <c r="DFD6">
        <v>0</v>
      </c>
      <c r="DFE6">
        <v>0</v>
      </c>
      <c r="DFF6">
        <v>13</v>
      </c>
      <c r="DFG6">
        <v>0</v>
      </c>
      <c r="DFH6">
        <v>0</v>
      </c>
      <c r="DFI6">
        <v>0</v>
      </c>
      <c r="DFJ6">
        <v>0</v>
      </c>
      <c r="DFK6">
        <v>0</v>
      </c>
      <c r="DFL6">
        <v>22</v>
      </c>
      <c r="DFM6">
        <v>122</v>
      </c>
      <c r="DFN6">
        <v>0</v>
      </c>
      <c r="DFO6">
        <v>0</v>
      </c>
      <c r="DFP6">
        <v>0</v>
      </c>
      <c r="DFQ6">
        <v>50</v>
      </c>
      <c r="DFR6">
        <v>0</v>
      </c>
      <c r="DFS6">
        <v>0</v>
      </c>
      <c r="DFT6">
        <v>0</v>
      </c>
      <c r="DFU6">
        <v>0</v>
      </c>
      <c r="DFV6">
        <v>0</v>
      </c>
      <c r="DFW6">
        <v>0</v>
      </c>
      <c r="DFX6">
        <v>0</v>
      </c>
      <c r="DFY6">
        <v>0</v>
      </c>
      <c r="DFZ6">
        <v>0</v>
      </c>
      <c r="DGA6">
        <v>76.989999999999995</v>
      </c>
      <c r="DGB6">
        <v>0</v>
      </c>
      <c r="DGC6">
        <v>10</v>
      </c>
      <c r="DGD6">
        <v>0</v>
      </c>
      <c r="DGE6">
        <v>0</v>
      </c>
      <c r="DGF6">
        <v>0</v>
      </c>
      <c r="DGG6">
        <v>0</v>
      </c>
      <c r="DGH6">
        <v>0</v>
      </c>
      <c r="DGI6">
        <v>0</v>
      </c>
      <c r="DGJ6">
        <v>0</v>
      </c>
      <c r="DGK6">
        <v>0</v>
      </c>
      <c r="DGL6">
        <v>0</v>
      </c>
      <c r="DGM6">
        <v>0</v>
      </c>
      <c r="DGN6">
        <v>0</v>
      </c>
      <c r="DGO6">
        <v>0</v>
      </c>
      <c r="DGP6">
        <v>0</v>
      </c>
      <c r="DGQ6">
        <v>0</v>
      </c>
      <c r="DGR6">
        <v>0</v>
      </c>
      <c r="DGS6">
        <v>0</v>
      </c>
      <c r="DGT6">
        <v>0</v>
      </c>
      <c r="DGU6">
        <v>36</v>
      </c>
      <c r="DGV6">
        <v>0</v>
      </c>
      <c r="DGW6">
        <v>0</v>
      </c>
      <c r="DGX6">
        <v>0</v>
      </c>
      <c r="DGY6">
        <v>0</v>
      </c>
      <c r="DGZ6">
        <v>0</v>
      </c>
      <c r="DHA6">
        <v>0</v>
      </c>
      <c r="DHB6">
        <v>0</v>
      </c>
      <c r="DHC6">
        <v>0</v>
      </c>
      <c r="DHD6">
        <v>0</v>
      </c>
      <c r="DHE6">
        <v>127.99</v>
      </c>
      <c r="DHF6">
        <v>0</v>
      </c>
      <c r="DHG6">
        <v>0</v>
      </c>
      <c r="DHH6">
        <v>0</v>
      </c>
      <c r="DHI6">
        <v>0</v>
      </c>
      <c r="DHJ6">
        <v>0</v>
      </c>
      <c r="DHK6">
        <v>0</v>
      </c>
      <c r="DHL6">
        <v>0</v>
      </c>
      <c r="DHM6">
        <v>0</v>
      </c>
      <c r="DHN6">
        <v>30</v>
      </c>
      <c r="DHO6">
        <v>0</v>
      </c>
      <c r="DHP6">
        <v>0</v>
      </c>
      <c r="DHQ6">
        <v>0</v>
      </c>
      <c r="DHR6">
        <v>129</v>
      </c>
      <c r="DHS6">
        <v>0</v>
      </c>
      <c r="DHT6">
        <v>0</v>
      </c>
      <c r="DHU6">
        <v>0</v>
      </c>
      <c r="DHV6">
        <v>0</v>
      </c>
      <c r="DHW6">
        <v>0</v>
      </c>
      <c r="DHX6">
        <v>21</v>
      </c>
      <c r="DHY6">
        <v>0</v>
      </c>
      <c r="DHZ6">
        <v>0</v>
      </c>
      <c r="DIA6">
        <v>0</v>
      </c>
      <c r="DIB6">
        <v>0</v>
      </c>
      <c r="DIC6">
        <v>0</v>
      </c>
      <c r="DID6">
        <v>130.99</v>
      </c>
      <c r="DIE6">
        <v>0</v>
      </c>
      <c r="DIF6">
        <v>0</v>
      </c>
      <c r="DIG6">
        <v>0</v>
      </c>
      <c r="DIH6">
        <v>0</v>
      </c>
      <c r="DII6">
        <v>0</v>
      </c>
      <c r="DIJ6">
        <v>35</v>
      </c>
      <c r="DIK6">
        <v>0</v>
      </c>
      <c r="DIL6">
        <v>0</v>
      </c>
      <c r="DIM6">
        <v>0</v>
      </c>
      <c r="DIN6">
        <v>0</v>
      </c>
      <c r="DIO6">
        <v>0</v>
      </c>
      <c r="DIP6">
        <v>0</v>
      </c>
      <c r="DIQ6">
        <v>0</v>
      </c>
      <c r="DIR6">
        <v>12</v>
      </c>
      <c r="DIS6">
        <v>0</v>
      </c>
      <c r="DIT6">
        <v>0</v>
      </c>
      <c r="DIU6">
        <v>0</v>
      </c>
      <c r="DIV6">
        <v>0</v>
      </c>
      <c r="DIW6">
        <v>0</v>
      </c>
      <c r="DIX6">
        <v>0</v>
      </c>
      <c r="DIY6">
        <v>0</v>
      </c>
      <c r="DIZ6">
        <v>0</v>
      </c>
      <c r="DJA6">
        <v>133</v>
      </c>
      <c r="DJB6">
        <v>0</v>
      </c>
      <c r="DJC6">
        <v>0</v>
      </c>
      <c r="DJD6">
        <v>133.99</v>
      </c>
      <c r="DJE6">
        <v>0</v>
      </c>
      <c r="DJF6">
        <v>0</v>
      </c>
      <c r="DJG6">
        <v>0</v>
      </c>
      <c r="DJH6">
        <v>0</v>
      </c>
      <c r="DJI6">
        <v>0</v>
      </c>
      <c r="DJJ6">
        <v>0</v>
      </c>
      <c r="DJK6">
        <v>0</v>
      </c>
      <c r="DJL6">
        <v>0</v>
      </c>
      <c r="DJM6">
        <v>0</v>
      </c>
      <c r="DJN6">
        <v>0</v>
      </c>
      <c r="DJO6">
        <v>0</v>
      </c>
      <c r="DJP6">
        <v>0</v>
      </c>
      <c r="DJQ6">
        <v>0</v>
      </c>
      <c r="DJR6">
        <v>0</v>
      </c>
      <c r="DJS6">
        <v>0</v>
      </c>
      <c r="DJT6">
        <v>0</v>
      </c>
      <c r="DJU6">
        <v>0</v>
      </c>
      <c r="DJV6">
        <v>0</v>
      </c>
      <c r="DJW6">
        <v>61</v>
      </c>
      <c r="DJX6">
        <v>0</v>
      </c>
      <c r="DJY6">
        <v>0</v>
      </c>
      <c r="DJZ6">
        <v>0</v>
      </c>
      <c r="DKA6">
        <v>0</v>
      </c>
      <c r="DKB6">
        <v>0</v>
      </c>
      <c r="DKC6">
        <v>0</v>
      </c>
      <c r="DKD6">
        <v>0</v>
      </c>
      <c r="DKE6">
        <v>0</v>
      </c>
      <c r="DKF6">
        <v>0</v>
      </c>
      <c r="DKG6">
        <v>0</v>
      </c>
      <c r="DKH6">
        <v>0</v>
      </c>
      <c r="DKI6">
        <v>0</v>
      </c>
      <c r="DKJ6">
        <v>0</v>
      </c>
      <c r="DKK6">
        <v>0</v>
      </c>
      <c r="DKL6">
        <v>0</v>
      </c>
      <c r="DKM6">
        <v>0</v>
      </c>
      <c r="DKN6">
        <v>0</v>
      </c>
      <c r="DKO6">
        <v>0</v>
      </c>
      <c r="DKP6">
        <v>0</v>
      </c>
      <c r="DKQ6">
        <v>0</v>
      </c>
      <c r="DKR6">
        <v>0</v>
      </c>
      <c r="DKS6">
        <v>0</v>
      </c>
      <c r="DKT6">
        <v>0</v>
      </c>
      <c r="DKU6">
        <v>0</v>
      </c>
      <c r="DKV6">
        <v>0</v>
      </c>
      <c r="DKW6">
        <v>0</v>
      </c>
      <c r="DKX6">
        <v>0</v>
      </c>
      <c r="DKY6">
        <v>140</v>
      </c>
      <c r="DKZ6">
        <v>140</v>
      </c>
      <c r="DLA6">
        <v>0</v>
      </c>
      <c r="DLB6">
        <v>0</v>
      </c>
      <c r="DLC6">
        <v>0</v>
      </c>
      <c r="DLD6">
        <v>0</v>
      </c>
      <c r="DLE6">
        <v>0</v>
      </c>
      <c r="DLF6">
        <v>0</v>
      </c>
      <c r="DLG6">
        <v>0</v>
      </c>
      <c r="DLH6">
        <v>0</v>
      </c>
      <c r="DLI6">
        <v>0</v>
      </c>
      <c r="DLJ6">
        <v>0</v>
      </c>
      <c r="DLK6">
        <v>0</v>
      </c>
      <c r="DLL6">
        <v>0</v>
      </c>
      <c r="DLM6">
        <v>142</v>
      </c>
      <c r="DLN6">
        <v>0</v>
      </c>
      <c r="DLO6">
        <v>6</v>
      </c>
      <c r="DLP6">
        <v>27.99</v>
      </c>
      <c r="DLQ6">
        <v>0</v>
      </c>
      <c r="DLR6">
        <v>0</v>
      </c>
      <c r="DLS6">
        <v>143</v>
      </c>
      <c r="DLT6">
        <v>0</v>
      </c>
      <c r="DLU6">
        <v>0</v>
      </c>
      <c r="DLV6">
        <v>0</v>
      </c>
      <c r="DLW6">
        <v>0</v>
      </c>
      <c r="DLX6">
        <v>0</v>
      </c>
      <c r="DLY6">
        <v>0</v>
      </c>
      <c r="DLZ6">
        <v>0</v>
      </c>
      <c r="DMA6">
        <v>0</v>
      </c>
      <c r="DMB6">
        <v>0</v>
      </c>
      <c r="DMC6">
        <v>0</v>
      </c>
      <c r="DMD6">
        <v>146</v>
      </c>
      <c r="DME6">
        <v>0</v>
      </c>
      <c r="DMF6">
        <v>0</v>
      </c>
      <c r="DMG6">
        <v>0</v>
      </c>
      <c r="DMH6">
        <v>0</v>
      </c>
      <c r="DMI6">
        <v>0</v>
      </c>
      <c r="DMJ6">
        <v>0</v>
      </c>
      <c r="DMK6">
        <v>0</v>
      </c>
      <c r="DML6">
        <v>0</v>
      </c>
      <c r="DMM6">
        <v>0</v>
      </c>
      <c r="DMN6">
        <v>0</v>
      </c>
      <c r="DMO6">
        <v>0</v>
      </c>
      <c r="DMP6">
        <v>0</v>
      </c>
      <c r="DMQ6">
        <v>0</v>
      </c>
      <c r="DMR6">
        <v>0</v>
      </c>
      <c r="DMS6">
        <v>0</v>
      </c>
      <c r="DMT6">
        <v>0</v>
      </c>
      <c r="DMU6">
        <v>0</v>
      </c>
      <c r="DMV6">
        <v>0</v>
      </c>
      <c r="DMW6">
        <v>0</v>
      </c>
      <c r="DMX6">
        <v>0</v>
      </c>
      <c r="DMY6">
        <v>0</v>
      </c>
      <c r="DMZ6">
        <v>0</v>
      </c>
      <c r="DNA6">
        <v>149</v>
      </c>
      <c r="DNB6">
        <v>0</v>
      </c>
      <c r="DNC6">
        <v>0</v>
      </c>
      <c r="DND6">
        <v>0</v>
      </c>
      <c r="DNE6">
        <v>0</v>
      </c>
      <c r="DNF6">
        <v>0</v>
      </c>
      <c r="DNG6">
        <v>0</v>
      </c>
      <c r="DNH6">
        <v>0</v>
      </c>
      <c r="DNI6">
        <v>0</v>
      </c>
      <c r="DNJ6">
        <v>0</v>
      </c>
      <c r="DNK6">
        <v>0</v>
      </c>
      <c r="DNL6">
        <v>0</v>
      </c>
      <c r="DNM6">
        <v>0</v>
      </c>
      <c r="DNN6">
        <v>0</v>
      </c>
      <c r="DNO6">
        <v>0</v>
      </c>
      <c r="DNP6">
        <v>0</v>
      </c>
      <c r="DNQ6">
        <v>0</v>
      </c>
      <c r="DNR6">
        <v>0</v>
      </c>
      <c r="DNS6">
        <v>0</v>
      </c>
      <c r="DNT6">
        <v>0</v>
      </c>
      <c r="DNU6">
        <v>0</v>
      </c>
      <c r="DNV6">
        <v>0</v>
      </c>
      <c r="DNW6">
        <v>0</v>
      </c>
      <c r="DNX6">
        <v>0</v>
      </c>
      <c r="DNY6">
        <v>12</v>
      </c>
      <c r="DNZ6">
        <v>0</v>
      </c>
      <c r="DOA6">
        <v>0</v>
      </c>
      <c r="DOB6">
        <v>0</v>
      </c>
      <c r="DOC6">
        <v>0</v>
      </c>
      <c r="DOD6">
        <v>20</v>
      </c>
      <c r="DOE6">
        <v>0</v>
      </c>
      <c r="DOF6">
        <v>0</v>
      </c>
      <c r="DOG6">
        <v>0</v>
      </c>
      <c r="DOH6">
        <v>0</v>
      </c>
      <c r="DOI6">
        <v>153</v>
      </c>
      <c r="DOJ6">
        <v>0</v>
      </c>
      <c r="DOK6">
        <v>153.99</v>
      </c>
      <c r="DOL6">
        <v>0</v>
      </c>
      <c r="DOM6">
        <v>154</v>
      </c>
      <c r="DON6">
        <v>0</v>
      </c>
      <c r="DOO6">
        <v>0</v>
      </c>
      <c r="DOP6">
        <v>0</v>
      </c>
      <c r="DOQ6">
        <v>0</v>
      </c>
      <c r="DOR6">
        <v>0</v>
      </c>
      <c r="DOS6">
        <v>0</v>
      </c>
      <c r="DOT6">
        <v>0</v>
      </c>
      <c r="DOU6">
        <v>0</v>
      </c>
      <c r="DOV6">
        <v>0</v>
      </c>
      <c r="DOW6">
        <v>0</v>
      </c>
      <c r="DOX6">
        <v>0</v>
      </c>
      <c r="DOY6">
        <v>0</v>
      </c>
      <c r="DOZ6">
        <v>156</v>
      </c>
      <c r="DPA6">
        <v>0</v>
      </c>
      <c r="DPB6">
        <v>0</v>
      </c>
      <c r="DPC6">
        <v>0</v>
      </c>
      <c r="DPD6">
        <v>38</v>
      </c>
      <c r="DPE6">
        <v>0</v>
      </c>
      <c r="DPF6">
        <v>0</v>
      </c>
      <c r="DPG6">
        <v>0</v>
      </c>
      <c r="DPH6">
        <v>0</v>
      </c>
      <c r="DPI6">
        <v>0</v>
      </c>
      <c r="DPJ6">
        <v>0</v>
      </c>
      <c r="DPK6">
        <v>0</v>
      </c>
      <c r="DPL6">
        <v>0</v>
      </c>
      <c r="DPM6">
        <v>0</v>
      </c>
      <c r="DPN6">
        <v>0</v>
      </c>
      <c r="DPO6">
        <v>0</v>
      </c>
      <c r="DPP6">
        <v>0</v>
      </c>
      <c r="DPQ6">
        <v>0</v>
      </c>
      <c r="DPR6">
        <v>11</v>
      </c>
      <c r="DPS6">
        <v>0</v>
      </c>
      <c r="DPT6">
        <v>0</v>
      </c>
      <c r="DPU6">
        <v>0</v>
      </c>
      <c r="DPV6">
        <v>0</v>
      </c>
      <c r="DPW6">
        <v>0</v>
      </c>
      <c r="DPX6">
        <v>0</v>
      </c>
      <c r="DPY6">
        <v>0</v>
      </c>
      <c r="DPZ6">
        <v>161</v>
      </c>
      <c r="DQA6">
        <v>161</v>
      </c>
      <c r="DQB6">
        <v>0</v>
      </c>
      <c r="DQC6">
        <v>0</v>
      </c>
      <c r="DQD6">
        <v>0</v>
      </c>
      <c r="DQE6">
        <v>0</v>
      </c>
      <c r="DQF6">
        <v>0</v>
      </c>
      <c r="DQG6">
        <v>0</v>
      </c>
      <c r="DQH6">
        <v>0</v>
      </c>
      <c r="DQI6">
        <v>0</v>
      </c>
      <c r="DQJ6">
        <v>0</v>
      </c>
      <c r="DQK6">
        <v>0</v>
      </c>
      <c r="DQL6">
        <v>0</v>
      </c>
      <c r="DQM6">
        <v>45</v>
      </c>
      <c r="DQN6">
        <v>0</v>
      </c>
      <c r="DQO6">
        <v>0</v>
      </c>
      <c r="DQP6">
        <v>0</v>
      </c>
      <c r="DQQ6">
        <v>15</v>
      </c>
      <c r="DQR6">
        <v>0</v>
      </c>
      <c r="DQS6">
        <v>0</v>
      </c>
      <c r="DQT6">
        <v>0</v>
      </c>
      <c r="DQU6">
        <v>0</v>
      </c>
      <c r="DQV6">
        <v>0</v>
      </c>
      <c r="DQW6">
        <v>0</v>
      </c>
      <c r="DQX6">
        <v>20</v>
      </c>
      <c r="DQY6">
        <v>0</v>
      </c>
      <c r="DQZ6">
        <v>0</v>
      </c>
      <c r="DRA6">
        <v>0</v>
      </c>
      <c r="DRB6">
        <v>0</v>
      </c>
      <c r="DRC6">
        <v>14</v>
      </c>
      <c r="DRD6">
        <v>167</v>
      </c>
      <c r="DRE6">
        <v>0</v>
      </c>
      <c r="DRF6">
        <v>0</v>
      </c>
      <c r="DRG6">
        <v>0</v>
      </c>
      <c r="DRH6">
        <v>0</v>
      </c>
      <c r="DRI6">
        <v>0</v>
      </c>
      <c r="DRJ6">
        <v>0</v>
      </c>
      <c r="DRK6">
        <v>0</v>
      </c>
      <c r="DRL6">
        <v>0</v>
      </c>
      <c r="DRM6">
        <v>0</v>
      </c>
      <c r="DRN6">
        <v>0</v>
      </c>
      <c r="DRO6">
        <v>0</v>
      </c>
      <c r="DRP6">
        <v>0</v>
      </c>
      <c r="DRQ6">
        <v>0</v>
      </c>
      <c r="DRR6">
        <v>0</v>
      </c>
      <c r="DRS6">
        <v>0</v>
      </c>
      <c r="DRT6">
        <v>0</v>
      </c>
      <c r="DRU6">
        <v>0</v>
      </c>
      <c r="DRV6">
        <v>0</v>
      </c>
      <c r="DRW6">
        <v>10</v>
      </c>
      <c r="DRX6">
        <v>19</v>
      </c>
      <c r="DRY6">
        <v>0</v>
      </c>
      <c r="DRZ6">
        <v>0</v>
      </c>
      <c r="DSA6">
        <v>0</v>
      </c>
      <c r="DSB6">
        <v>0</v>
      </c>
      <c r="DSC6">
        <v>0</v>
      </c>
      <c r="DSD6">
        <v>0</v>
      </c>
      <c r="DSE6">
        <v>0</v>
      </c>
      <c r="DSF6">
        <v>0</v>
      </c>
      <c r="DSG6">
        <v>0</v>
      </c>
      <c r="DSH6">
        <v>0</v>
      </c>
      <c r="DSI6">
        <v>0</v>
      </c>
      <c r="DSJ6">
        <v>0</v>
      </c>
      <c r="DSK6">
        <v>0</v>
      </c>
      <c r="DSL6">
        <v>0</v>
      </c>
      <c r="DSM6">
        <v>0</v>
      </c>
      <c r="DSN6">
        <v>0</v>
      </c>
      <c r="DSO6">
        <v>0</v>
      </c>
      <c r="DSP6">
        <v>118</v>
      </c>
      <c r="DSQ6">
        <v>0</v>
      </c>
      <c r="DSR6">
        <v>0</v>
      </c>
      <c r="DSS6">
        <v>0</v>
      </c>
      <c r="DST6">
        <v>0</v>
      </c>
      <c r="DSU6">
        <v>0</v>
      </c>
      <c r="DSV6">
        <v>0</v>
      </c>
      <c r="DSW6">
        <v>0</v>
      </c>
      <c r="DSX6">
        <v>0</v>
      </c>
      <c r="DSY6">
        <v>0</v>
      </c>
      <c r="DSZ6">
        <v>0</v>
      </c>
      <c r="DTA6">
        <v>0</v>
      </c>
      <c r="DTB6">
        <v>0</v>
      </c>
      <c r="DTC6">
        <v>0</v>
      </c>
      <c r="DTD6">
        <v>0</v>
      </c>
      <c r="DTE6">
        <v>0</v>
      </c>
      <c r="DTF6">
        <v>29</v>
      </c>
      <c r="DTG6">
        <v>0</v>
      </c>
      <c r="DTH6">
        <v>0</v>
      </c>
      <c r="DTI6">
        <v>0</v>
      </c>
      <c r="DTJ6">
        <v>0</v>
      </c>
      <c r="DTK6">
        <v>0</v>
      </c>
      <c r="DTL6">
        <v>0</v>
      </c>
      <c r="DTM6">
        <v>0</v>
      </c>
      <c r="DTN6">
        <v>0</v>
      </c>
      <c r="DTO6">
        <v>0</v>
      </c>
      <c r="DTP6">
        <v>21</v>
      </c>
      <c r="DTQ6">
        <v>0</v>
      </c>
      <c r="DTR6">
        <v>0</v>
      </c>
      <c r="DTS6">
        <v>0</v>
      </c>
      <c r="DTT6">
        <v>0</v>
      </c>
      <c r="DTU6">
        <v>33</v>
      </c>
      <c r="DTV6">
        <v>0</v>
      </c>
      <c r="DTW6">
        <v>0</v>
      </c>
      <c r="DTX6">
        <v>0</v>
      </c>
      <c r="DTY6">
        <v>0</v>
      </c>
      <c r="DTZ6">
        <v>0</v>
      </c>
      <c r="DUA6">
        <v>0</v>
      </c>
      <c r="DUB6">
        <v>0</v>
      </c>
      <c r="DUC6">
        <v>0</v>
      </c>
      <c r="DUD6">
        <v>0</v>
      </c>
      <c r="DUE6">
        <v>89</v>
      </c>
      <c r="DUF6">
        <v>0</v>
      </c>
      <c r="DUG6">
        <v>0</v>
      </c>
      <c r="DUH6">
        <v>0</v>
      </c>
      <c r="DUI6">
        <v>0</v>
      </c>
      <c r="DUJ6">
        <v>0</v>
      </c>
      <c r="DUK6">
        <v>0</v>
      </c>
      <c r="DUL6">
        <v>0</v>
      </c>
      <c r="DUM6">
        <v>0</v>
      </c>
      <c r="DUN6">
        <v>0</v>
      </c>
      <c r="DUO6">
        <v>6</v>
      </c>
      <c r="DUP6">
        <v>0</v>
      </c>
      <c r="DUQ6">
        <v>0</v>
      </c>
      <c r="DUR6">
        <v>185</v>
      </c>
      <c r="DUS6">
        <v>0</v>
      </c>
      <c r="DUT6">
        <v>0</v>
      </c>
      <c r="DUU6">
        <v>41</v>
      </c>
      <c r="DUV6">
        <v>0</v>
      </c>
      <c r="DUW6">
        <v>0</v>
      </c>
      <c r="DUX6">
        <v>0</v>
      </c>
      <c r="DUY6">
        <v>0</v>
      </c>
      <c r="DUZ6">
        <v>31</v>
      </c>
      <c r="DVA6">
        <v>0</v>
      </c>
      <c r="DVB6">
        <v>0</v>
      </c>
      <c r="DVC6">
        <v>0</v>
      </c>
      <c r="DVD6">
        <v>0</v>
      </c>
      <c r="DVE6">
        <v>0</v>
      </c>
      <c r="DVF6">
        <v>0</v>
      </c>
      <c r="DVG6">
        <v>0</v>
      </c>
      <c r="DVH6">
        <v>0</v>
      </c>
      <c r="DVI6">
        <v>0</v>
      </c>
      <c r="DVJ6">
        <v>0</v>
      </c>
      <c r="DVK6">
        <v>0</v>
      </c>
      <c r="DVL6">
        <v>0</v>
      </c>
      <c r="DVM6">
        <v>0</v>
      </c>
      <c r="DVN6">
        <v>0</v>
      </c>
      <c r="DVO6">
        <v>0</v>
      </c>
      <c r="DVP6">
        <v>34.99</v>
      </c>
      <c r="DVQ6">
        <v>0</v>
      </c>
      <c r="DVR6">
        <v>0</v>
      </c>
      <c r="DVS6">
        <v>0</v>
      </c>
      <c r="DVT6">
        <v>0</v>
      </c>
      <c r="DVU6">
        <v>0</v>
      </c>
      <c r="DVV6">
        <v>0</v>
      </c>
      <c r="DVW6">
        <v>0</v>
      </c>
      <c r="DVX6">
        <v>0</v>
      </c>
      <c r="DVY6">
        <v>0</v>
      </c>
      <c r="DVZ6">
        <v>0</v>
      </c>
      <c r="DWA6">
        <v>0</v>
      </c>
      <c r="DWB6">
        <v>0</v>
      </c>
      <c r="DWC6">
        <v>195</v>
      </c>
      <c r="DWD6">
        <v>0</v>
      </c>
      <c r="DWE6">
        <v>0</v>
      </c>
      <c r="DWF6">
        <v>0</v>
      </c>
      <c r="DWG6">
        <v>0</v>
      </c>
      <c r="DWH6">
        <v>0</v>
      </c>
      <c r="DWI6">
        <v>196.99</v>
      </c>
      <c r="DWJ6">
        <v>0</v>
      </c>
      <c r="DWK6">
        <v>0</v>
      </c>
      <c r="DWL6">
        <v>0</v>
      </c>
      <c r="DWM6">
        <v>0</v>
      </c>
      <c r="DWN6">
        <v>14</v>
      </c>
      <c r="DWO6">
        <v>199</v>
      </c>
      <c r="DWP6">
        <v>0</v>
      </c>
      <c r="DWQ6">
        <v>0</v>
      </c>
      <c r="DWR6">
        <v>0</v>
      </c>
      <c r="DWS6">
        <v>0</v>
      </c>
      <c r="DWT6">
        <v>0</v>
      </c>
      <c r="DWU6">
        <v>8</v>
      </c>
      <c r="DWV6">
        <v>0</v>
      </c>
      <c r="DWW6">
        <v>0</v>
      </c>
      <c r="DWX6">
        <v>63.99</v>
      </c>
      <c r="DWY6">
        <v>0</v>
      </c>
      <c r="DWZ6">
        <v>0</v>
      </c>
      <c r="DXA6">
        <v>0</v>
      </c>
      <c r="DXB6">
        <v>0</v>
      </c>
      <c r="DXC6">
        <v>0</v>
      </c>
      <c r="DXD6">
        <v>0</v>
      </c>
      <c r="DXE6">
        <v>0</v>
      </c>
      <c r="DXF6">
        <v>0</v>
      </c>
      <c r="DXG6">
        <v>0</v>
      </c>
      <c r="DXH6">
        <v>17</v>
      </c>
      <c r="DXI6">
        <v>203</v>
      </c>
      <c r="DXJ6">
        <v>0</v>
      </c>
      <c r="DXK6">
        <v>33</v>
      </c>
      <c r="DXL6">
        <v>204</v>
      </c>
      <c r="DXM6">
        <v>0</v>
      </c>
      <c r="DXN6">
        <v>0</v>
      </c>
      <c r="DXO6">
        <v>0</v>
      </c>
      <c r="DXP6">
        <v>0</v>
      </c>
      <c r="DXQ6">
        <v>0</v>
      </c>
      <c r="DXR6">
        <v>27</v>
      </c>
      <c r="DXS6">
        <v>0</v>
      </c>
      <c r="DXT6">
        <v>0</v>
      </c>
      <c r="DXU6">
        <v>0</v>
      </c>
      <c r="DXV6">
        <v>0</v>
      </c>
      <c r="DXW6">
        <v>207</v>
      </c>
      <c r="DXX6">
        <v>0</v>
      </c>
      <c r="DXY6">
        <v>0</v>
      </c>
      <c r="DXZ6">
        <v>0</v>
      </c>
      <c r="DYA6">
        <v>0</v>
      </c>
      <c r="DYB6">
        <v>0</v>
      </c>
      <c r="DYC6">
        <v>0</v>
      </c>
      <c r="DYD6">
        <v>121</v>
      </c>
      <c r="DYE6">
        <v>0</v>
      </c>
      <c r="DYF6">
        <v>0</v>
      </c>
      <c r="DYG6">
        <v>204</v>
      </c>
      <c r="DYH6">
        <v>0</v>
      </c>
      <c r="DYI6">
        <v>0</v>
      </c>
      <c r="DYJ6">
        <v>134.99</v>
      </c>
      <c r="DYK6">
        <v>8</v>
      </c>
      <c r="DYL6">
        <v>0</v>
      </c>
      <c r="DYM6">
        <v>0</v>
      </c>
      <c r="DYN6">
        <v>0</v>
      </c>
      <c r="DYO6">
        <v>0</v>
      </c>
      <c r="DYP6">
        <v>0</v>
      </c>
      <c r="DYQ6">
        <v>0</v>
      </c>
      <c r="DYR6">
        <v>0</v>
      </c>
      <c r="DYS6">
        <v>33</v>
      </c>
      <c r="DYT6">
        <v>99</v>
      </c>
      <c r="DYU6">
        <v>0</v>
      </c>
      <c r="DYV6">
        <v>0</v>
      </c>
      <c r="DYW6">
        <v>0</v>
      </c>
      <c r="DYX6">
        <v>0</v>
      </c>
      <c r="DYY6">
        <v>0</v>
      </c>
      <c r="DYZ6">
        <v>0</v>
      </c>
      <c r="DZA6">
        <v>0</v>
      </c>
      <c r="DZB6">
        <v>0</v>
      </c>
      <c r="DZC6">
        <v>0</v>
      </c>
      <c r="DZD6">
        <v>0</v>
      </c>
      <c r="DZE6">
        <v>0</v>
      </c>
      <c r="DZF6">
        <v>0</v>
      </c>
      <c r="DZG6">
        <v>0</v>
      </c>
      <c r="DZH6">
        <v>202</v>
      </c>
      <c r="DZI6">
        <v>0</v>
      </c>
      <c r="DZJ6">
        <v>137</v>
      </c>
      <c r="DZK6">
        <v>0</v>
      </c>
      <c r="DZL6">
        <v>0</v>
      </c>
      <c r="DZM6">
        <v>0</v>
      </c>
      <c r="DZN6">
        <v>0</v>
      </c>
      <c r="DZO6">
        <v>0</v>
      </c>
      <c r="DZP6">
        <v>218</v>
      </c>
      <c r="DZQ6">
        <v>0</v>
      </c>
      <c r="DZR6">
        <v>0</v>
      </c>
      <c r="DZS6">
        <v>0</v>
      </c>
      <c r="DZT6">
        <v>35</v>
      </c>
      <c r="DZU6">
        <v>0</v>
      </c>
      <c r="DZV6">
        <v>0</v>
      </c>
      <c r="DZW6">
        <v>0</v>
      </c>
      <c r="DZX6">
        <v>100</v>
      </c>
      <c r="DZY6">
        <v>0</v>
      </c>
      <c r="DZZ6">
        <v>0</v>
      </c>
      <c r="EAA6">
        <v>0</v>
      </c>
      <c r="EAB6">
        <v>0</v>
      </c>
      <c r="EAC6">
        <v>0</v>
      </c>
      <c r="EAD6">
        <v>0</v>
      </c>
      <c r="EAE6">
        <v>0</v>
      </c>
      <c r="EAF6">
        <v>0</v>
      </c>
      <c r="EAG6">
        <v>0</v>
      </c>
      <c r="EAH6">
        <v>68</v>
      </c>
      <c r="EAI6">
        <v>0</v>
      </c>
      <c r="EAJ6">
        <v>224.99</v>
      </c>
      <c r="EAK6">
        <v>0</v>
      </c>
      <c r="EAL6">
        <v>0</v>
      </c>
      <c r="EAM6">
        <v>0</v>
      </c>
      <c r="EAN6">
        <v>0</v>
      </c>
      <c r="EAO6">
        <v>107</v>
      </c>
      <c r="EAP6">
        <v>39</v>
      </c>
      <c r="EAQ6">
        <v>0</v>
      </c>
      <c r="EAR6">
        <v>0</v>
      </c>
      <c r="EAS6">
        <v>0</v>
      </c>
      <c r="EAT6">
        <v>0</v>
      </c>
      <c r="EAU6">
        <v>0</v>
      </c>
      <c r="EAV6">
        <v>0</v>
      </c>
      <c r="EAW6">
        <v>27</v>
      </c>
      <c r="EAX6">
        <v>0</v>
      </c>
      <c r="EAY6">
        <v>0</v>
      </c>
      <c r="EAZ6">
        <v>0</v>
      </c>
      <c r="EBA6">
        <v>0</v>
      </c>
      <c r="EBB6">
        <v>0</v>
      </c>
      <c r="EBC6">
        <v>80</v>
      </c>
      <c r="EBD6">
        <v>0</v>
      </c>
      <c r="EBE6">
        <v>0</v>
      </c>
      <c r="EBF6">
        <v>0</v>
      </c>
      <c r="EBG6">
        <v>0</v>
      </c>
      <c r="EBH6">
        <v>0</v>
      </c>
      <c r="EBI6">
        <v>0</v>
      </c>
      <c r="EBJ6">
        <v>0</v>
      </c>
      <c r="EBK6">
        <v>0</v>
      </c>
      <c r="EBL6">
        <v>0</v>
      </c>
      <c r="EBM6">
        <v>233.99</v>
      </c>
      <c r="EBN6">
        <v>0</v>
      </c>
      <c r="EBO6">
        <v>0</v>
      </c>
      <c r="EBP6">
        <v>0</v>
      </c>
      <c r="EBQ6">
        <v>0</v>
      </c>
      <c r="EBR6">
        <v>0</v>
      </c>
      <c r="EBS6">
        <v>0</v>
      </c>
      <c r="EBT6">
        <v>0</v>
      </c>
      <c r="EBU6">
        <v>0</v>
      </c>
      <c r="EBV6">
        <v>0</v>
      </c>
      <c r="EBW6">
        <v>0</v>
      </c>
      <c r="EBX6">
        <v>0</v>
      </c>
      <c r="EBY6">
        <v>4</v>
      </c>
      <c r="EBZ6">
        <v>4</v>
      </c>
      <c r="ECA6">
        <v>0</v>
      </c>
      <c r="ECB6">
        <v>0</v>
      </c>
      <c r="ECC6">
        <v>0</v>
      </c>
      <c r="ECD6">
        <v>0</v>
      </c>
      <c r="ECE6">
        <v>0</v>
      </c>
      <c r="ECF6">
        <v>0</v>
      </c>
      <c r="ECG6">
        <v>0</v>
      </c>
      <c r="ECH6">
        <v>0</v>
      </c>
      <c r="ECI6">
        <v>0</v>
      </c>
      <c r="ECJ6">
        <v>24</v>
      </c>
      <c r="ECK6">
        <v>55</v>
      </c>
      <c r="ECL6">
        <v>0</v>
      </c>
      <c r="ECM6">
        <v>0</v>
      </c>
      <c r="ECN6">
        <v>0</v>
      </c>
      <c r="ECO6">
        <v>0</v>
      </c>
      <c r="ECP6">
        <v>0</v>
      </c>
      <c r="ECQ6">
        <v>0</v>
      </c>
      <c r="ECR6">
        <v>0</v>
      </c>
      <c r="ECS6">
        <v>0</v>
      </c>
      <c r="ECT6">
        <v>0</v>
      </c>
      <c r="ECU6">
        <v>244</v>
      </c>
      <c r="ECV6">
        <v>0</v>
      </c>
      <c r="ECW6">
        <v>0</v>
      </c>
      <c r="ECX6">
        <v>0</v>
      </c>
      <c r="ECY6">
        <v>0</v>
      </c>
      <c r="ECZ6">
        <v>0</v>
      </c>
      <c r="EDA6">
        <v>37</v>
      </c>
      <c r="EDB6">
        <v>0</v>
      </c>
      <c r="EDC6">
        <v>0</v>
      </c>
      <c r="EDD6">
        <v>0</v>
      </c>
      <c r="EDE6">
        <v>0</v>
      </c>
      <c r="EDF6">
        <v>0</v>
      </c>
      <c r="EDG6">
        <v>0</v>
      </c>
      <c r="EDH6">
        <v>0</v>
      </c>
      <c r="EDI6">
        <v>0</v>
      </c>
      <c r="EDJ6">
        <v>0</v>
      </c>
      <c r="EDK6">
        <v>0</v>
      </c>
      <c r="EDL6">
        <v>0</v>
      </c>
      <c r="EDM6">
        <v>0</v>
      </c>
      <c r="EDN6">
        <v>0</v>
      </c>
      <c r="EDO6">
        <v>0</v>
      </c>
      <c r="EDP6">
        <v>10</v>
      </c>
      <c r="EDQ6">
        <v>0</v>
      </c>
      <c r="EDR6">
        <v>22</v>
      </c>
      <c r="EDS6">
        <v>253.99</v>
      </c>
      <c r="EDT6">
        <v>0</v>
      </c>
      <c r="EDU6">
        <v>0</v>
      </c>
      <c r="EDV6">
        <v>0</v>
      </c>
      <c r="EDW6">
        <v>27</v>
      </c>
      <c r="EDX6">
        <v>0</v>
      </c>
      <c r="EDY6">
        <v>0</v>
      </c>
      <c r="EDZ6">
        <v>0</v>
      </c>
      <c r="EEA6">
        <v>0</v>
      </c>
      <c r="EEB6">
        <v>0</v>
      </c>
      <c r="EEC6">
        <v>0</v>
      </c>
      <c r="EED6">
        <v>0</v>
      </c>
      <c r="EEE6">
        <v>0</v>
      </c>
      <c r="EEF6">
        <v>257.95999999999998</v>
      </c>
      <c r="EEG6">
        <v>0</v>
      </c>
      <c r="EEH6">
        <v>0</v>
      </c>
      <c r="EEI6">
        <v>0</v>
      </c>
      <c r="EEJ6">
        <v>252</v>
      </c>
      <c r="EEK6">
        <v>0</v>
      </c>
      <c r="EEL6">
        <v>0</v>
      </c>
      <c r="EEM6">
        <v>0</v>
      </c>
      <c r="EEN6">
        <v>0</v>
      </c>
      <c r="EEO6">
        <v>0</v>
      </c>
      <c r="EEP6">
        <v>0</v>
      </c>
      <c r="EEQ6">
        <v>0</v>
      </c>
      <c r="EER6">
        <v>260</v>
      </c>
      <c r="EES6">
        <v>0</v>
      </c>
      <c r="EET6">
        <v>0</v>
      </c>
      <c r="EEU6">
        <v>0</v>
      </c>
      <c r="EEV6">
        <v>0</v>
      </c>
      <c r="EEW6">
        <v>0</v>
      </c>
      <c r="EEX6">
        <v>0</v>
      </c>
      <c r="EEY6">
        <v>0</v>
      </c>
      <c r="EEZ6">
        <v>0</v>
      </c>
      <c r="EFA6">
        <v>0</v>
      </c>
      <c r="EFB6">
        <v>0</v>
      </c>
      <c r="EFC6">
        <v>0</v>
      </c>
      <c r="EFD6">
        <v>0</v>
      </c>
      <c r="EFE6">
        <v>0</v>
      </c>
      <c r="EFF6">
        <v>264.99</v>
      </c>
      <c r="EFG6">
        <v>0</v>
      </c>
      <c r="EFH6">
        <v>0</v>
      </c>
      <c r="EFI6">
        <v>265</v>
      </c>
      <c r="EFJ6">
        <v>0</v>
      </c>
      <c r="EFK6">
        <v>0</v>
      </c>
      <c r="EFL6">
        <v>0</v>
      </c>
      <c r="EFM6">
        <v>0</v>
      </c>
      <c r="EFN6">
        <v>13</v>
      </c>
      <c r="EFO6">
        <v>0</v>
      </c>
      <c r="EFP6">
        <v>0</v>
      </c>
      <c r="EFQ6">
        <v>0</v>
      </c>
      <c r="EFR6">
        <v>26</v>
      </c>
      <c r="EFS6">
        <v>0</v>
      </c>
      <c r="EFT6">
        <v>0</v>
      </c>
      <c r="EFU6">
        <v>0</v>
      </c>
      <c r="EFV6">
        <v>0</v>
      </c>
      <c r="EFW6">
        <v>20</v>
      </c>
      <c r="EFX6">
        <v>0</v>
      </c>
      <c r="EFY6">
        <v>0</v>
      </c>
      <c r="EFZ6">
        <v>0</v>
      </c>
      <c r="EGA6">
        <v>0</v>
      </c>
      <c r="EGB6">
        <v>0</v>
      </c>
      <c r="EGC6">
        <v>0</v>
      </c>
      <c r="EGD6">
        <v>0</v>
      </c>
      <c r="EGE6">
        <v>0</v>
      </c>
      <c r="EGF6">
        <v>0</v>
      </c>
      <c r="EGG6">
        <v>0</v>
      </c>
      <c r="EGH6">
        <v>114</v>
      </c>
      <c r="EGI6">
        <v>0</v>
      </c>
      <c r="EGJ6">
        <v>0</v>
      </c>
      <c r="EGK6">
        <v>0</v>
      </c>
      <c r="EGL6">
        <v>0</v>
      </c>
      <c r="EGM6">
        <v>0</v>
      </c>
      <c r="EGN6">
        <v>20</v>
      </c>
      <c r="EGO6">
        <v>0</v>
      </c>
      <c r="EGP6">
        <v>0</v>
      </c>
      <c r="EGQ6">
        <v>0</v>
      </c>
      <c r="EGR6">
        <v>0</v>
      </c>
      <c r="EGS6">
        <v>0</v>
      </c>
      <c r="EGT6">
        <v>0</v>
      </c>
      <c r="EGU6">
        <v>0</v>
      </c>
      <c r="EGV6">
        <v>0</v>
      </c>
      <c r="EGW6">
        <v>0</v>
      </c>
      <c r="EGX6">
        <v>0</v>
      </c>
      <c r="EGY6">
        <v>0</v>
      </c>
      <c r="EGZ6">
        <v>281</v>
      </c>
      <c r="EHA6">
        <v>0</v>
      </c>
      <c r="EHB6">
        <v>0</v>
      </c>
      <c r="EHC6">
        <v>282</v>
      </c>
      <c r="EHD6">
        <v>147</v>
      </c>
      <c r="EHE6">
        <v>0</v>
      </c>
      <c r="EHF6">
        <v>0</v>
      </c>
      <c r="EHG6">
        <v>0</v>
      </c>
      <c r="EHH6">
        <v>0</v>
      </c>
      <c r="EHI6">
        <v>0</v>
      </c>
      <c r="EHJ6">
        <v>24</v>
      </c>
      <c r="EHK6">
        <v>0</v>
      </c>
      <c r="EHL6">
        <v>0</v>
      </c>
      <c r="EHM6">
        <v>0</v>
      </c>
      <c r="EHN6">
        <v>0</v>
      </c>
      <c r="EHO6">
        <v>0</v>
      </c>
      <c r="EHP6">
        <v>287</v>
      </c>
      <c r="EHQ6">
        <v>0</v>
      </c>
      <c r="EHR6">
        <v>0</v>
      </c>
      <c r="EHS6">
        <v>289</v>
      </c>
      <c r="EHT6">
        <v>0</v>
      </c>
      <c r="EHU6">
        <v>0</v>
      </c>
      <c r="EHV6">
        <v>0</v>
      </c>
      <c r="EHW6">
        <v>0</v>
      </c>
      <c r="EHX6">
        <v>0</v>
      </c>
      <c r="EHY6">
        <v>0</v>
      </c>
      <c r="EHZ6">
        <v>0</v>
      </c>
      <c r="EIA6">
        <v>0</v>
      </c>
      <c r="EIB6">
        <v>0</v>
      </c>
      <c r="EIC6">
        <v>67</v>
      </c>
      <c r="EID6">
        <v>0</v>
      </c>
      <c r="EIE6">
        <v>29</v>
      </c>
      <c r="EIF6">
        <v>0</v>
      </c>
      <c r="EIG6">
        <v>0</v>
      </c>
      <c r="EIH6">
        <v>88</v>
      </c>
      <c r="EII6">
        <v>0</v>
      </c>
      <c r="EIJ6">
        <v>0</v>
      </c>
      <c r="EIK6">
        <v>0</v>
      </c>
      <c r="EIL6">
        <v>0</v>
      </c>
      <c r="EIM6">
        <v>0</v>
      </c>
      <c r="EIN6">
        <v>0</v>
      </c>
      <c r="EIO6">
        <v>0</v>
      </c>
      <c r="EIP6">
        <v>0</v>
      </c>
      <c r="EIQ6">
        <v>0</v>
      </c>
      <c r="EIR6">
        <v>279.99</v>
      </c>
      <c r="EIS6">
        <v>0</v>
      </c>
      <c r="EIT6">
        <v>47</v>
      </c>
      <c r="EIU6">
        <v>63</v>
      </c>
      <c r="EIV6">
        <v>19</v>
      </c>
      <c r="EIW6">
        <v>0</v>
      </c>
      <c r="EIX6">
        <v>0</v>
      </c>
      <c r="EIY6">
        <v>0</v>
      </c>
      <c r="EIZ6">
        <v>0</v>
      </c>
      <c r="EJA6">
        <v>135</v>
      </c>
      <c r="EJB6">
        <v>21</v>
      </c>
      <c r="EJC6">
        <v>0</v>
      </c>
      <c r="EJD6">
        <v>0</v>
      </c>
      <c r="EJE6">
        <v>0</v>
      </c>
      <c r="EJF6">
        <v>0</v>
      </c>
      <c r="EJG6">
        <v>0</v>
      </c>
      <c r="EJH6">
        <v>0</v>
      </c>
      <c r="EJI6">
        <v>0</v>
      </c>
      <c r="EJJ6">
        <v>307</v>
      </c>
      <c r="EJK6">
        <v>0</v>
      </c>
      <c r="EJL6">
        <v>0</v>
      </c>
      <c r="EJM6">
        <v>0</v>
      </c>
      <c r="EJN6">
        <v>0</v>
      </c>
      <c r="EJO6">
        <v>0</v>
      </c>
      <c r="EJP6">
        <v>0</v>
      </c>
      <c r="EJQ6">
        <v>0</v>
      </c>
      <c r="EJR6">
        <v>311.95</v>
      </c>
      <c r="EJS6">
        <v>8</v>
      </c>
      <c r="EJT6">
        <v>0</v>
      </c>
      <c r="EJU6">
        <v>0</v>
      </c>
      <c r="EJV6">
        <v>0</v>
      </c>
      <c r="EJW6">
        <v>0</v>
      </c>
      <c r="EJX6">
        <v>30</v>
      </c>
      <c r="EJY6">
        <v>0</v>
      </c>
      <c r="EJZ6">
        <v>0</v>
      </c>
      <c r="EKA6">
        <v>0</v>
      </c>
      <c r="EKB6">
        <v>0</v>
      </c>
      <c r="EKC6">
        <v>69.989999999999995</v>
      </c>
      <c r="EKD6">
        <v>0</v>
      </c>
      <c r="EKE6">
        <v>0</v>
      </c>
      <c r="EKF6">
        <v>0</v>
      </c>
      <c r="EKG6">
        <v>0</v>
      </c>
      <c r="EKH6">
        <v>0</v>
      </c>
      <c r="EKI6">
        <v>0</v>
      </c>
      <c r="EKJ6">
        <v>0</v>
      </c>
      <c r="EKK6">
        <v>319</v>
      </c>
      <c r="EKL6">
        <v>320.94</v>
      </c>
      <c r="EKM6">
        <v>0</v>
      </c>
      <c r="EKN6">
        <v>0</v>
      </c>
      <c r="EKO6">
        <v>0</v>
      </c>
      <c r="EKP6">
        <v>166</v>
      </c>
      <c r="EKQ6">
        <v>25</v>
      </c>
      <c r="EKR6">
        <v>0</v>
      </c>
      <c r="EKS6">
        <v>113.99</v>
      </c>
      <c r="EKT6">
        <v>0</v>
      </c>
      <c r="EKU6">
        <v>0</v>
      </c>
      <c r="EKV6">
        <v>324.99</v>
      </c>
      <c r="EKW6">
        <v>0</v>
      </c>
      <c r="EKX6">
        <v>0</v>
      </c>
      <c r="EKY6">
        <v>0</v>
      </c>
      <c r="EKZ6">
        <v>281</v>
      </c>
      <c r="ELA6">
        <v>0</v>
      </c>
      <c r="ELB6">
        <v>0</v>
      </c>
      <c r="ELC6">
        <v>0</v>
      </c>
      <c r="ELD6">
        <v>0</v>
      </c>
      <c r="ELE6">
        <v>0</v>
      </c>
      <c r="ELF6">
        <v>0</v>
      </c>
      <c r="ELG6">
        <v>0</v>
      </c>
      <c r="ELH6">
        <v>0</v>
      </c>
      <c r="ELI6">
        <v>0</v>
      </c>
      <c r="ELJ6">
        <v>0</v>
      </c>
      <c r="ELK6">
        <v>0</v>
      </c>
      <c r="ELL6">
        <v>0</v>
      </c>
      <c r="ELM6">
        <v>0</v>
      </c>
      <c r="ELN6">
        <v>0</v>
      </c>
      <c r="ELO6">
        <v>0</v>
      </c>
      <c r="ELP6">
        <v>0</v>
      </c>
      <c r="ELQ6">
        <v>0</v>
      </c>
      <c r="ELR6">
        <v>0</v>
      </c>
      <c r="ELS6">
        <v>261.99</v>
      </c>
      <c r="ELT6">
        <v>60</v>
      </c>
      <c r="ELU6">
        <v>0</v>
      </c>
      <c r="ELV6">
        <v>11</v>
      </c>
      <c r="ELW6">
        <v>0</v>
      </c>
      <c r="ELX6">
        <v>0</v>
      </c>
      <c r="ELY6">
        <v>0</v>
      </c>
      <c r="ELZ6">
        <v>0</v>
      </c>
      <c r="EMA6">
        <v>0</v>
      </c>
      <c r="EMB6">
        <v>0</v>
      </c>
      <c r="EMC6">
        <v>0</v>
      </c>
      <c r="EMD6">
        <v>0</v>
      </c>
      <c r="EME6">
        <v>0</v>
      </c>
      <c r="EMF6">
        <v>0</v>
      </c>
      <c r="EMG6">
        <v>0</v>
      </c>
      <c r="EMH6">
        <v>0</v>
      </c>
      <c r="EMI6">
        <v>0</v>
      </c>
      <c r="EMJ6">
        <v>0</v>
      </c>
      <c r="EMK6">
        <v>25</v>
      </c>
      <c r="EML6">
        <v>0</v>
      </c>
      <c r="EMM6">
        <v>24</v>
      </c>
      <c r="EMN6">
        <v>0</v>
      </c>
      <c r="EMO6">
        <v>0</v>
      </c>
      <c r="EMP6">
        <v>0</v>
      </c>
      <c r="EMQ6">
        <v>0</v>
      </c>
      <c r="EMR6">
        <v>0</v>
      </c>
      <c r="EMS6">
        <v>0</v>
      </c>
      <c r="EMT6">
        <v>41</v>
      </c>
      <c r="EMU6">
        <v>0</v>
      </c>
      <c r="EMV6">
        <v>0</v>
      </c>
      <c r="EMW6">
        <v>0</v>
      </c>
      <c r="EMX6">
        <v>0</v>
      </c>
      <c r="EMY6">
        <v>0</v>
      </c>
      <c r="EMZ6">
        <v>0</v>
      </c>
      <c r="ENA6">
        <v>0</v>
      </c>
      <c r="ENB6">
        <v>0</v>
      </c>
      <c r="ENC6">
        <v>0</v>
      </c>
      <c r="END6">
        <v>44</v>
      </c>
      <c r="ENE6">
        <v>0</v>
      </c>
      <c r="ENF6">
        <v>0</v>
      </c>
      <c r="ENG6">
        <v>0</v>
      </c>
      <c r="ENH6">
        <v>0</v>
      </c>
      <c r="ENI6">
        <v>147</v>
      </c>
      <c r="ENJ6">
        <v>0</v>
      </c>
      <c r="ENK6">
        <v>0</v>
      </c>
      <c r="ENL6">
        <v>22</v>
      </c>
      <c r="ENM6">
        <v>357.99</v>
      </c>
      <c r="ENN6">
        <v>0</v>
      </c>
      <c r="ENO6">
        <v>0</v>
      </c>
      <c r="ENP6">
        <v>0</v>
      </c>
      <c r="ENQ6">
        <v>0</v>
      </c>
      <c r="ENR6">
        <v>0</v>
      </c>
      <c r="ENS6">
        <v>0</v>
      </c>
      <c r="ENT6">
        <v>0</v>
      </c>
      <c r="ENU6">
        <v>0</v>
      </c>
      <c r="ENV6">
        <v>0</v>
      </c>
      <c r="ENW6">
        <v>0</v>
      </c>
      <c r="ENX6">
        <v>361.97</v>
      </c>
      <c r="ENY6">
        <v>38</v>
      </c>
      <c r="ENZ6">
        <v>9</v>
      </c>
      <c r="EOA6">
        <v>0</v>
      </c>
      <c r="EOB6">
        <v>0</v>
      </c>
      <c r="EOC6">
        <v>0</v>
      </c>
      <c r="EOD6">
        <v>0</v>
      </c>
      <c r="EOE6">
        <v>0</v>
      </c>
      <c r="EOF6">
        <v>0</v>
      </c>
      <c r="EOG6">
        <v>0</v>
      </c>
      <c r="EOH6">
        <v>0</v>
      </c>
      <c r="EOI6">
        <v>354</v>
      </c>
      <c r="EOJ6">
        <v>0</v>
      </c>
      <c r="EOK6">
        <v>369.99</v>
      </c>
      <c r="EOL6">
        <v>0</v>
      </c>
      <c r="EOM6">
        <v>0</v>
      </c>
      <c r="EON6">
        <v>29</v>
      </c>
      <c r="EOO6">
        <v>0</v>
      </c>
      <c r="EOP6">
        <v>0</v>
      </c>
      <c r="EOQ6">
        <v>0</v>
      </c>
      <c r="EOR6">
        <v>0</v>
      </c>
      <c r="EOS6">
        <v>0</v>
      </c>
      <c r="EOT6">
        <v>239.99</v>
      </c>
      <c r="EOU6">
        <v>0</v>
      </c>
      <c r="EOV6">
        <v>0</v>
      </c>
      <c r="EOW6">
        <v>0</v>
      </c>
      <c r="EOX6">
        <v>0</v>
      </c>
      <c r="EOY6">
        <v>0</v>
      </c>
      <c r="EOZ6">
        <v>0</v>
      </c>
      <c r="EPA6">
        <v>0</v>
      </c>
      <c r="EPB6">
        <v>0</v>
      </c>
      <c r="EPC6">
        <v>0</v>
      </c>
      <c r="EPD6">
        <v>0</v>
      </c>
      <c r="EPE6">
        <v>76</v>
      </c>
      <c r="EPF6">
        <v>0</v>
      </c>
      <c r="EPG6">
        <v>0</v>
      </c>
      <c r="EPH6">
        <v>0</v>
      </c>
      <c r="EPI6">
        <v>316.98</v>
      </c>
      <c r="EPJ6">
        <v>0</v>
      </c>
      <c r="EPK6">
        <v>0</v>
      </c>
      <c r="EPL6">
        <v>0</v>
      </c>
      <c r="EPM6">
        <v>0</v>
      </c>
      <c r="EPN6">
        <v>0</v>
      </c>
      <c r="EPO6">
        <v>0</v>
      </c>
      <c r="EPP6">
        <v>0</v>
      </c>
      <c r="EPQ6">
        <v>0</v>
      </c>
      <c r="EPR6">
        <v>8</v>
      </c>
      <c r="EPS6">
        <v>235.99</v>
      </c>
      <c r="EPT6">
        <v>0</v>
      </c>
      <c r="EPU6">
        <v>0</v>
      </c>
      <c r="EPV6">
        <v>0</v>
      </c>
      <c r="EPW6">
        <v>0</v>
      </c>
      <c r="EPX6">
        <v>0</v>
      </c>
      <c r="EPY6">
        <v>0</v>
      </c>
      <c r="EPZ6">
        <v>0</v>
      </c>
      <c r="EQA6">
        <v>0</v>
      </c>
      <c r="EQB6">
        <v>0</v>
      </c>
      <c r="EQC6">
        <v>0</v>
      </c>
      <c r="EQD6">
        <v>0</v>
      </c>
      <c r="EQE6">
        <v>0</v>
      </c>
      <c r="EQF6">
        <v>0</v>
      </c>
      <c r="EQG6">
        <v>0</v>
      </c>
      <c r="EQH6">
        <v>0</v>
      </c>
      <c r="EQI6">
        <v>0</v>
      </c>
      <c r="EQJ6">
        <v>0</v>
      </c>
      <c r="EQK6">
        <v>44</v>
      </c>
      <c r="EQL6">
        <v>0</v>
      </c>
      <c r="EQM6">
        <v>0</v>
      </c>
      <c r="EQN6">
        <v>5</v>
      </c>
      <c r="EQO6">
        <v>35</v>
      </c>
      <c r="EQP6">
        <v>0</v>
      </c>
      <c r="EQQ6">
        <v>45</v>
      </c>
      <c r="EQR6">
        <v>0</v>
      </c>
      <c r="EQS6">
        <v>0</v>
      </c>
      <c r="EQT6">
        <v>0</v>
      </c>
      <c r="EQU6">
        <v>19.989999999999998</v>
      </c>
      <c r="EQV6">
        <v>0</v>
      </c>
      <c r="EQW6">
        <v>0</v>
      </c>
      <c r="EQX6">
        <v>0</v>
      </c>
      <c r="EQY6">
        <v>112</v>
      </c>
      <c r="EQZ6">
        <v>0</v>
      </c>
      <c r="ERA6">
        <v>0</v>
      </c>
      <c r="ERB6">
        <v>0</v>
      </c>
      <c r="ERC6">
        <v>0</v>
      </c>
      <c r="ERD6">
        <v>0</v>
      </c>
      <c r="ERE6">
        <v>0</v>
      </c>
      <c r="ERF6">
        <v>0</v>
      </c>
      <c r="ERG6">
        <v>17.989999999999998</v>
      </c>
      <c r="ERH6">
        <v>0</v>
      </c>
      <c r="ERI6">
        <v>0</v>
      </c>
      <c r="ERJ6">
        <v>0</v>
      </c>
      <c r="ERK6">
        <v>19</v>
      </c>
      <c r="ERL6">
        <v>0</v>
      </c>
      <c r="ERM6">
        <v>0</v>
      </c>
      <c r="ERN6">
        <v>0</v>
      </c>
      <c r="ERO6">
        <v>0</v>
      </c>
      <c r="ERP6">
        <v>0</v>
      </c>
      <c r="ERQ6">
        <v>17</v>
      </c>
      <c r="ERR6">
        <v>0</v>
      </c>
      <c r="ERS6">
        <v>0</v>
      </c>
      <c r="ERT6">
        <v>15</v>
      </c>
      <c r="ERU6">
        <v>9</v>
      </c>
      <c r="ERV6">
        <v>0</v>
      </c>
      <c r="ERW6">
        <v>0</v>
      </c>
      <c r="ERX6">
        <v>0</v>
      </c>
      <c r="ERY6">
        <v>0</v>
      </c>
      <c r="ERZ6">
        <v>411.98</v>
      </c>
      <c r="ESA6">
        <v>129</v>
      </c>
      <c r="ESB6">
        <v>0</v>
      </c>
      <c r="ESC6">
        <v>0</v>
      </c>
      <c r="ESD6">
        <v>0</v>
      </c>
      <c r="ESE6">
        <v>0</v>
      </c>
      <c r="ESF6">
        <v>0</v>
      </c>
      <c r="ESG6">
        <v>0</v>
      </c>
      <c r="ESH6">
        <v>0</v>
      </c>
      <c r="ESI6">
        <v>0</v>
      </c>
      <c r="ESJ6">
        <v>0</v>
      </c>
      <c r="ESK6">
        <v>0</v>
      </c>
      <c r="ESL6">
        <v>0</v>
      </c>
      <c r="ESM6">
        <v>0</v>
      </c>
      <c r="ESN6">
        <v>0</v>
      </c>
      <c r="ESO6">
        <v>0</v>
      </c>
      <c r="ESP6">
        <v>0</v>
      </c>
      <c r="ESQ6">
        <v>0</v>
      </c>
      <c r="ESR6">
        <v>0</v>
      </c>
      <c r="ESS6">
        <v>0</v>
      </c>
      <c r="EST6">
        <v>0</v>
      </c>
      <c r="ESU6">
        <v>0</v>
      </c>
      <c r="ESV6">
        <v>0</v>
      </c>
      <c r="ESW6">
        <v>22</v>
      </c>
      <c r="ESX6">
        <v>0</v>
      </c>
      <c r="ESY6">
        <v>0</v>
      </c>
      <c r="ESZ6">
        <v>60</v>
      </c>
      <c r="ETA6">
        <v>0</v>
      </c>
      <c r="ETB6">
        <v>95</v>
      </c>
      <c r="ETC6">
        <v>0</v>
      </c>
      <c r="ETD6">
        <v>0</v>
      </c>
      <c r="ETE6">
        <v>17</v>
      </c>
      <c r="ETF6">
        <v>0</v>
      </c>
      <c r="ETG6">
        <v>0</v>
      </c>
      <c r="ETH6">
        <v>0</v>
      </c>
      <c r="ETI6">
        <v>0</v>
      </c>
      <c r="ETJ6">
        <v>93</v>
      </c>
      <c r="ETK6">
        <v>0</v>
      </c>
      <c r="ETL6">
        <v>9</v>
      </c>
      <c r="ETM6">
        <v>0</v>
      </c>
      <c r="ETN6">
        <v>0</v>
      </c>
      <c r="ETO6">
        <v>47</v>
      </c>
      <c r="ETP6">
        <v>0</v>
      </c>
      <c r="ETQ6">
        <v>0</v>
      </c>
      <c r="ETR6">
        <v>0</v>
      </c>
      <c r="ETS6">
        <v>0</v>
      </c>
      <c r="ETT6">
        <v>0</v>
      </c>
      <c r="ETU6">
        <v>0</v>
      </c>
      <c r="ETV6">
        <v>0</v>
      </c>
      <c r="ETW6">
        <v>0</v>
      </c>
      <c r="ETX6">
        <v>0</v>
      </c>
      <c r="ETY6">
        <v>0</v>
      </c>
      <c r="ETZ6">
        <v>0</v>
      </c>
      <c r="EUA6">
        <v>0</v>
      </c>
      <c r="EUB6">
        <v>0</v>
      </c>
      <c r="EUC6">
        <v>0</v>
      </c>
      <c r="EUD6">
        <v>0</v>
      </c>
      <c r="EUE6">
        <v>0</v>
      </c>
      <c r="EUF6">
        <v>0</v>
      </c>
      <c r="EUG6">
        <v>0</v>
      </c>
      <c r="EUH6">
        <v>0</v>
      </c>
      <c r="EUI6">
        <v>0</v>
      </c>
      <c r="EUJ6">
        <v>16</v>
      </c>
      <c r="EUK6">
        <v>0</v>
      </c>
      <c r="EUL6">
        <v>0</v>
      </c>
      <c r="EUM6">
        <v>0</v>
      </c>
      <c r="EUN6">
        <v>0</v>
      </c>
      <c r="EUO6">
        <v>0</v>
      </c>
      <c r="EUP6">
        <v>83</v>
      </c>
      <c r="EUQ6">
        <v>0</v>
      </c>
      <c r="EUR6">
        <v>0</v>
      </c>
      <c r="EUS6">
        <v>0</v>
      </c>
      <c r="EUT6">
        <v>0</v>
      </c>
      <c r="EUU6">
        <v>0</v>
      </c>
      <c r="EUV6">
        <v>0</v>
      </c>
      <c r="EUW6">
        <v>0</v>
      </c>
      <c r="EUX6">
        <v>93</v>
      </c>
      <c r="EUY6">
        <v>9</v>
      </c>
      <c r="EUZ6">
        <v>0</v>
      </c>
      <c r="EVA6">
        <v>0</v>
      </c>
      <c r="EVB6">
        <v>33</v>
      </c>
      <c r="EVC6">
        <v>0</v>
      </c>
      <c r="EVD6">
        <v>0</v>
      </c>
      <c r="EVE6">
        <v>0</v>
      </c>
      <c r="EVF6">
        <v>0</v>
      </c>
      <c r="EVG6">
        <v>0</v>
      </c>
      <c r="EVH6">
        <v>0</v>
      </c>
      <c r="EVI6">
        <v>273</v>
      </c>
      <c r="EVJ6">
        <v>227</v>
      </c>
      <c r="EVK6">
        <v>0</v>
      </c>
      <c r="EVL6">
        <v>0</v>
      </c>
      <c r="EVM6">
        <v>0</v>
      </c>
      <c r="EVN6">
        <v>0</v>
      </c>
      <c r="EVO6">
        <v>0</v>
      </c>
      <c r="EVP6">
        <v>0</v>
      </c>
      <c r="EVQ6">
        <v>0</v>
      </c>
      <c r="EVR6">
        <v>0</v>
      </c>
      <c r="EVS6">
        <v>0</v>
      </c>
      <c r="EVT6">
        <v>0</v>
      </c>
      <c r="EVU6">
        <v>0</v>
      </c>
      <c r="EVV6">
        <v>0</v>
      </c>
      <c r="EVW6">
        <v>0</v>
      </c>
      <c r="EVX6">
        <v>0</v>
      </c>
      <c r="EVY6">
        <v>0</v>
      </c>
      <c r="EVZ6">
        <v>0</v>
      </c>
      <c r="EWA6">
        <v>0</v>
      </c>
      <c r="EWB6">
        <v>0</v>
      </c>
      <c r="EWC6">
        <v>0</v>
      </c>
      <c r="EWD6">
        <v>11</v>
      </c>
      <c r="EWE6">
        <v>0</v>
      </c>
      <c r="EWF6">
        <v>0</v>
      </c>
      <c r="EWG6">
        <v>0</v>
      </c>
      <c r="EWH6">
        <v>0</v>
      </c>
      <c r="EWI6">
        <v>0</v>
      </c>
      <c r="EWJ6">
        <v>0</v>
      </c>
      <c r="EWK6">
        <v>44</v>
      </c>
      <c r="EWL6">
        <v>0</v>
      </c>
      <c r="EWM6">
        <v>0</v>
      </c>
      <c r="EWN6">
        <v>334</v>
      </c>
      <c r="EWO6">
        <v>19</v>
      </c>
      <c r="EWP6">
        <v>0</v>
      </c>
      <c r="EWQ6">
        <v>0</v>
      </c>
      <c r="EWR6">
        <v>0</v>
      </c>
      <c r="EWS6">
        <v>0</v>
      </c>
      <c r="EWT6">
        <v>0</v>
      </c>
      <c r="EWU6">
        <v>0</v>
      </c>
      <c r="EWV6">
        <v>0</v>
      </c>
      <c r="EWW6">
        <v>0</v>
      </c>
      <c r="EWX6">
        <v>0</v>
      </c>
      <c r="EWY6">
        <v>0</v>
      </c>
      <c r="EWZ6">
        <v>0</v>
      </c>
      <c r="EXA6">
        <v>0</v>
      </c>
      <c r="EXB6">
        <v>0</v>
      </c>
      <c r="EXC6">
        <v>0</v>
      </c>
      <c r="EXD6">
        <v>0</v>
      </c>
      <c r="EXE6">
        <v>0</v>
      </c>
      <c r="EXF6">
        <v>0</v>
      </c>
      <c r="EXG6">
        <v>0</v>
      </c>
      <c r="EXH6">
        <v>65</v>
      </c>
      <c r="EXI6">
        <v>503.99</v>
      </c>
      <c r="EXJ6">
        <v>0</v>
      </c>
      <c r="EXK6">
        <v>0</v>
      </c>
      <c r="EXL6">
        <v>0</v>
      </c>
      <c r="EXM6">
        <v>85</v>
      </c>
      <c r="EXN6">
        <v>0</v>
      </c>
      <c r="EXO6">
        <v>0</v>
      </c>
      <c r="EXP6">
        <v>0</v>
      </c>
      <c r="EXQ6">
        <v>0</v>
      </c>
      <c r="EXR6">
        <v>0</v>
      </c>
      <c r="EXS6">
        <v>0</v>
      </c>
      <c r="EXT6">
        <v>0</v>
      </c>
      <c r="EXU6">
        <v>0</v>
      </c>
      <c r="EXV6">
        <v>0</v>
      </c>
      <c r="EXW6">
        <v>23</v>
      </c>
      <c r="EXX6">
        <v>0</v>
      </c>
      <c r="EXY6">
        <v>169.99</v>
      </c>
      <c r="EXZ6">
        <v>63</v>
      </c>
      <c r="EYA6">
        <v>0</v>
      </c>
      <c r="EYB6">
        <v>0</v>
      </c>
      <c r="EYC6">
        <v>0</v>
      </c>
      <c r="EYD6">
        <v>519</v>
      </c>
      <c r="EYE6">
        <v>0</v>
      </c>
      <c r="EYF6">
        <v>0</v>
      </c>
      <c r="EYG6">
        <v>0</v>
      </c>
      <c r="EYH6">
        <v>0</v>
      </c>
      <c r="EYI6">
        <v>523.99</v>
      </c>
      <c r="EYJ6">
        <v>0</v>
      </c>
      <c r="EYK6">
        <v>524.99</v>
      </c>
      <c r="EYL6">
        <v>0</v>
      </c>
      <c r="EYM6">
        <v>0</v>
      </c>
      <c r="EYN6">
        <v>0</v>
      </c>
      <c r="EYO6">
        <v>0</v>
      </c>
      <c r="EYP6">
        <v>0</v>
      </c>
      <c r="EYQ6">
        <v>528.99</v>
      </c>
      <c r="EYR6">
        <v>312</v>
      </c>
      <c r="EYS6">
        <v>0</v>
      </c>
      <c r="EYT6">
        <v>0</v>
      </c>
      <c r="EYU6">
        <v>0</v>
      </c>
      <c r="EYV6">
        <v>0</v>
      </c>
      <c r="EYW6">
        <v>8</v>
      </c>
      <c r="EYX6">
        <v>0</v>
      </c>
      <c r="EYY6">
        <v>0</v>
      </c>
      <c r="EYZ6">
        <v>0</v>
      </c>
      <c r="EZA6">
        <v>0</v>
      </c>
      <c r="EZB6">
        <v>0</v>
      </c>
      <c r="EZC6">
        <v>0</v>
      </c>
      <c r="EZD6">
        <v>0</v>
      </c>
      <c r="EZE6">
        <v>0</v>
      </c>
      <c r="EZF6">
        <v>0</v>
      </c>
      <c r="EZG6">
        <v>0</v>
      </c>
      <c r="EZH6">
        <v>0</v>
      </c>
      <c r="EZI6">
        <v>0</v>
      </c>
      <c r="EZJ6">
        <v>0</v>
      </c>
      <c r="EZK6">
        <v>27</v>
      </c>
      <c r="EZL6">
        <v>0</v>
      </c>
      <c r="EZM6">
        <v>191</v>
      </c>
      <c r="EZN6">
        <v>0</v>
      </c>
      <c r="EZO6">
        <v>0</v>
      </c>
      <c r="EZP6">
        <v>0</v>
      </c>
      <c r="EZQ6">
        <v>0</v>
      </c>
      <c r="EZR6">
        <v>0</v>
      </c>
      <c r="EZS6">
        <v>0</v>
      </c>
      <c r="EZT6">
        <v>0</v>
      </c>
      <c r="EZU6">
        <v>0</v>
      </c>
      <c r="EZV6">
        <v>0</v>
      </c>
      <c r="EZW6">
        <v>366.97</v>
      </c>
      <c r="EZX6">
        <v>0</v>
      </c>
      <c r="EZY6">
        <v>0</v>
      </c>
      <c r="EZZ6">
        <v>555.99</v>
      </c>
      <c r="FAA6">
        <v>0</v>
      </c>
      <c r="FAB6">
        <v>0</v>
      </c>
      <c r="FAC6">
        <v>0</v>
      </c>
      <c r="FAD6">
        <v>0</v>
      </c>
      <c r="FAE6">
        <v>0</v>
      </c>
      <c r="FAF6">
        <v>0</v>
      </c>
      <c r="FAG6">
        <v>0</v>
      </c>
      <c r="FAH6">
        <v>0</v>
      </c>
      <c r="FAI6">
        <v>564</v>
      </c>
      <c r="FAJ6">
        <v>0</v>
      </c>
      <c r="FAK6">
        <v>567.96</v>
      </c>
      <c r="FAL6">
        <v>0</v>
      </c>
      <c r="FAM6">
        <v>0</v>
      </c>
      <c r="FAN6">
        <v>0</v>
      </c>
      <c r="FAO6">
        <v>4</v>
      </c>
      <c r="FAP6">
        <v>0</v>
      </c>
      <c r="FAQ6">
        <v>0</v>
      </c>
      <c r="FAR6">
        <v>0</v>
      </c>
      <c r="FAS6">
        <v>0</v>
      </c>
      <c r="FAT6">
        <v>0</v>
      </c>
      <c r="FAU6">
        <v>0</v>
      </c>
      <c r="FAV6">
        <v>0</v>
      </c>
      <c r="FAW6">
        <v>0</v>
      </c>
      <c r="FAX6">
        <v>48</v>
      </c>
      <c r="FAY6">
        <v>9</v>
      </c>
      <c r="FAZ6">
        <v>0</v>
      </c>
      <c r="FBA6">
        <v>81</v>
      </c>
      <c r="FBB6">
        <v>0</v>
      </c>
      <c r="FBC6">
        <v>0</v>
      </c>
      <c r="FBD6">
        <v>0</v>
      </c>
      <c r="FBE6">
        <v>0</v>
      </c>
      <c r="FBF6">
        <v>0</v>
      </c>
      <c r="FBG6">
        <v>0</v>
      </c>
      <c r="FBH6">
        <v>0</v>
      </c>
      <c r="FBI6">
        <v>0</v>
      </c>
      <c r="FBJ6">
        <v>0</v>
      </c>
      <c r="FBK6">
        <v>0</v>
      </c>
      <c r="FBL6">
        <v>593.99</v>
      </c>
      <c r="FBM6">
        <v>594.97</v>
      </c>
      <c r="FBN6">
        <v>0</v>
      </c>
      <c r="FBO6">
        <v>0</v>
      </c>
      <c r="FBP6">
        <v>0</v>
      </c>
      <c r="FBQ6">
        <v>0</v>
      </c>
      <c r="FBR6">
        <v>0</v>
      </c>
      <c r="FBS6">
        <v>0</v>
      </c>
      <c r="FBT6">
        <v>217</v>
      </c>
      <c r="FBU6">
        <v>0</v>
      </c>
      <c r="FBV6">
        <v>0</v>
      </c>
      <c r="FBW6">
        <v>0</v>
      </c>
      <c r="FBX6">
        <v>0</v>
      </c>
      <c r="FBY6">
        <v>7</v>
      </c>
      <c r="FBZ6">
        <v>0</v>
      </c>
      <c r="FCA6">
        <v>0</v>
      </c>
      <c r="FCB6">
        <v>0</v>
      </c>
      <c r="FCC6">
        <v>0</v>
      </c>
      <c r="FCD6">
        <v>0</v>
      </c>
      <c r="FCE6">
        <v>464.98</v>
      </c>
      <c r="FCF6">
        <v>0</v>
      </c>
      <c r="FCG6">
        <v>43.99</v>
      </c>
      <c r="FCH6">
        <v>96</v>
      </c>
      <c r="FCI6">
        <v>208</v>
      </c>
      <c r="FCJ6">
        <v>0</v>
      </c>
      <c r="FCK6">
        <v>0</v>
      </c>
      <c r="FCL6">
        <v>79</v>
      </c>
      <c r="FCM6">
        <v>13</v>
      </c>
      <c r="FCN6">
        <v>214.98</v>
      </c>
      <c r="FCO6">
        <v>0</v>
      </c>
      <c r="FCP6">
        <v>0</v>
      </c>
      <c r="FCQ6">
        <v>0</v>
      </c>
      <c r="FCR6">
        <v>0</v>
      </c>
      <c r="FCS6">
        <v>0</v>
      </c>
      <c r="FCT6">
        <v>0</v>
      </c>
      <c r="FCU6">
        <v>0</v>
      </c>
      <c r="FCV6">
        <v>0</v>
      </c>
      <c r="FCW6">
        <v>0</v>
      </c>
      <c r="FCX6">
        <v>0</v>
      </c>
      <c r="FCY6">
        <v>0</v>
      </c>
      <c r="FCZ6">
        <v>0</v>
      </c>
      <c r="FDA6">
        <v>0</v>
      </c>
      <c r="FDB6">
        <v>0</v>
      </c>
      <c r="FDC6">
        <v>0</v>
      </c>
      <c r="FDD6">
        <v>0</v>
      </c>
      <c r="FDE6">
        <v>0</v>
      </c>
      <c r="FDF6">
        <v>0</v>
      </c>
      <c r="FDG6">
        <v>0</v>
      </c>
      <c r="FDH6">
        <v>0</v>
      </c>
      <c r="FDI6">
        <v>0</v>
      </c>
      <c r="FDJ6">
        <v>0</v>
      </c>
      <c r="FDK6">
        <v>544.99</v>
      </c>
      <c r="FDL6">
        <v>0</v>
      </c>
      <c r="FDM6">
        <v>0</v>
      </c>
      <c r="FDN6">
        <v>0</v>
      </c>
      <c r="FDO6">
        <v>0</v>
      </c>
      <c r="FDP6">
        <v>0</v>
      </c>
      <c r="FDQ6">
        <v>0</v>
      </c>
      <c r="FDR6">
        <v>0</v>
      </c>
      <c r="FDS6">
        <v>65</v>
      </c>
      <c r="FDT6">
        <v>0</v>
      </c>
      <c r="FDU6">
        <v>0</v>
      </c>
      <c r="FDV6">
        <v>0</v>
      </c>
      <c r="FDW6">
        <v>0</v>
      </c>
      <c r="FDX6">
        <v>0</v>
      </c>
      <c r="FDY6">
        <v>0</v>
      </c>
      <c r="FDZ6">
        <v>0</v>
      </c>
      <c r="FEA6">
        <v>630</v>
      </c>
      <c r="FEB6">
        <v>664.99</v>
      </c>
      <c r="FEC6">
        <v>49</v>
      </c>
      <c r="FED6">
        <v>141</v>
      </c>
      <c r="FEE6">
        <v>0</v>
      </c>
      <c r="FEF6">
        <v>0</v>
      </c>
      <c r="FEG6">
        <v>0</v>
      </c>
      <c r="FEH6">
        <v>0</v>
      </c>
      <c r="FEI6">
        <v>0</v>
      </c>
      <c r="FEJ6">
        <v>0</v>
      </c>
      <c r="FEK6">
        <v>0</v>
      </c>
      <c r="FEL6">
        <v>0</v>
      </c>
      <c r="FEM6">
        <v>96</v>
      </c>
      <c r="FEN6">
        <v>0</v>
      </c>
      <c r="FEO6">
        <v>0</v>
      </c>
      <c r="FEP6">
        <v>656</v>
      </c>
      <c r="FEQ6">
        <v>0</v>
      </c>
      <c r="FER6">
        <v>0</v>
      </c>
      <c r="FES6">
        <v>0</v>
      </c>
      <c r="FET6">
        <v>0</v>
      </c>
      <c r="FEU6">
        <v>10</v>
      </c>
      <c r="FEV6">
        <v>17</v>
      </c>
      <c r="FEW6">
        <v>0</v>
      </c>
      <c r="FEX6">
        <v>659.96</v>
      </c>
      <c r="FEY6">
        <v>0</v>
      </c>
      <c r="FEZ6">
        <v>0</v>
      </c>
      <c r="FFA6">
        <v>0</v>
      </c>
      <c r="FFB6">
        <v>0</v>
      </c>
      <c r="FFC6">
        <v>0</v>
      </c>
      <c r="FFD6">
        <v>0</v>
      </c>
      <c r="FFE6">
        <v>0</v>
      </c>
      <c r="FFF6">
        <v>0</v>
      </c>
      <c r="FFG6">
        <v>0</v>
      </c>
      <c r="FFH6">
        <v>0</v>
      </c>
      <c r="FFI6">
        <v>0</v>
      </c>
      <c r="FFJ6">
        <v>0</v>
      </c>
      <c r="FFK6">
        <v>0</v>
      </c>
      <c r="FFL6">
        <v>69</v>
      </c>
      <c r="FFM6">
        <v>0</v>
      </c>
      <c r="FFN6">
        <v>467.99</v>
      </c>
      <c r="FFO6">
        <v>0</v>
      </c>
      <c r="FFP6">
        <v>51</v>
      </c>
      <c r="FFQ6">
        <v>35</v>
      </c>
      <c r="FFR6">
        <v>23</v>
      </c>
      <c r="FFS6">
        <v>0</v>
      </c>
      <c r="FFT6">
        <v>0</v>
      </c>
      <c r="FFU6">
        <v>0</v>
      </c>
      <c r="FFV6">
        <v>0</v>
      </c>
      <c r="FFW6">
        <v>0</v>
      </c>
      <c r="FFX6">
        <v>0</v>
      </c>
      <c r="FFY6">
        <v>0</v>
      </c>
      <c r="FFZ6">
        <v>0</v>
      </c>
      <c r="FGA6">
        <v>0</v>
      </c>
      <c r="FGB6">
        <v>0</v>
      </c>
      <c r="FGC6">
        <v>0</v>
      </c>
      <c r="FGD6">
        <v>0</v>
      </c>
      <c r="FGE6">
        <v>54</v>
      </c>
      <c r="FGF6">
        <v>0</v>
      </c>
      <c r="FGG6">
        <v>0</v>
      </c>
      <c r="FGH6">
        <v>15</v>
      </c>
      <c r="FGI6">
        <v>0</v>
      </c>
      <c r="FGJ6">
        <v>0</v>
      </c>
      <c r="FGK6">
        <v>60</v>
      </c>
      <c r="FGL6">
        <v>0</v>
      </c>
      <c r="FGM6">
        <v>0</v>
      </c>
      <c r="FGN6">
        <v>0</v>
      </c>
      <c r="FGO6">
        <v>0</v>
      </c>
      <c r="FGP6">
        <v>0</v>
      </c>
      <c r="FGQ6">
        <v>0</v>
      </c>
      <c r="FGR6">
        <v>52.99</v>
      </c>
      <c r="FGS6">
        <v>0</v>
      </c>
      <c r="FGT6">
        <v>0</v>
      </c>
      <c r="FGU6">
        <v>116</v>
      </c>
      <c r="FGV6">
        <v>120</v>
      </c>
      <c r="FGW6">
        <v>0</v>
      </c>
      <c r="FGX6">
        <v>6</v>
      </c>
      <c r="FGY6">
        <v>0</v>
      </c>
      <c r="FGZ6">
        <v>0</v>
      </c>
      <c r="FHA6">
        <v>0</v>
      </c>
      <c r="FHB6">
        <v>0</v>
      </c>
      <c r="FHC6">
        <v>0</v>
      </c>
      <c r="FHD6">
        <v>0</v>
      </c>
      <c r="FHE6">
        <v>0</v>
      </c>
      <c r="FHF6">
        <v>713</v>
      </c>
      <c r="FHG6">
        <v>0</v>
      </c>
      <c r="FHH6">
        <v>0</v>
      </c>
      <c r="FHI6">
        <v>323.95</v>
      </c>
      <c r="FHJ6">
        <v>130.99</v>
      </c>
      <c r="FHK6">
        <v>0</v>
      </c>
      <c r="FHL6">
        <v>0</v>
      </c>
      <c r="FHM6">
        <v>0</v>
      </c>
      <c r="FHN6">
        <v>0</v>
      </c>
      <c r="FHO6">
        <v>47.99</v>
      </c>
      <c r="FHP6">
        <v>0</v>
      </c>
      <c r="FHQ6">
        <v>0</v>
      </c>
      <c r="FHR6">
        <v>0</v>
      </c>
      <c r="FHS6">
        <v>0</v>
      </c>
      <c r="FHT6">
        <v>0</v>
      </c>
      <c r="FHU6">
        <v>12</v>
      </c>
      <c r="FHV6">
        <v>0</v>
      </c>
      <c r="FHW6">
        <v>0</v>
      </c>
      <c r="FHX6">
        <v>0</v>
      </c>
      <c r="FHY6">
        <v>0</v>
      </c>
      <c r="FHZ6">
        <v>0</v>
      </c>
      <c r="FIA6">
        <v>0</v>
      </c>
      <c r="FIB6">
        <v>0</v>
      </c>
      <c r="FIC6">
        <v>0</v>
      </c>
      <c r="FID6">
        <v>0</v>
      </c>
      <c r="FIE6">
        <v>0</v>
      </c>
      <c r="FIF6">
        <v>0</v>
      </c>
      <c r="FIG6">
        <v>97</v>
      </c>
      <c r="FIH6">
        <v>0</v>
      </c>
      <c r="FII6">
        <v>0</v>
      </c>
      <c r="FIJ6">
        <v>94</v>
      </c>
      <c r="FIK6">
        <v>0</v>
      </c>
      <c r="FIL6">
        <v>7</v>
      </c>
      <c r="FIM6">
        <v>29</v>
      </c>
      <c r="FIN6">
        <v>0</v>
      </c>
      <c r="FIO6">
        <v>0</v>
      </c>
      <c r="FIP6">
        <v>0</v>
      </c>
      <c r="FIQ6">
        <v>0</v>
      </c>
      <c r="FIR6">
        <v>0</v>
      </c>
      <c r="FIS6">
        <v>0</v>
      </c>
      <c r="FIT6">
        <v>17</v>
      </c>
      <c r="FIU6">
        <v>0</v>
      </c>
      <c r="FIV6">
        <v>191</v>
      </c>
      <c r="FIW6">
        <v>0</v>
      </c>
      <c r="FIX6">
        <v>0</v>
      </c>
      <c r="FIY6">
        <v>0</v>
      </c>
      <c r="FIZ6">
        <v>0</v>
      </c>
      <c r="FJA6">
        <v>0</v>
      </c>
      <c r="FJB6">
        <v>0</v>
      </c>
      <c r="FJC6">
        <v>0</v>
      </c>
      <c r="FJD6">
        <v>0</v>
      </c>
      <c r="FJE6">
        <v>0</v>
      </c>
      <c r="FJF6">
        <v>0</v>
      </c>
      <c r="FJG6">
        <v>0</v>
      </c>
      <c r="FJH6">
        <v>0</v>
      </c>
      <c r="FJI6">
        <v>0</v>
      </c>
      <c r="FJJ6">
        <v>833.98</v>
      </c>
      <c r="FJK6">
        <v>0</v>
      </c>
      <c r="FJL6">
        <v>0</v>
      </c>
      <c r="FJM6">
        <v>0</v>
      </c>
      <c r="FJN6">
        <v>0</v>
      </c>
      <c r="FJO6">
        <v>0</v>
      </c>
      <c r="FJP6">
        <v>83</v>
      </c>
      <c r="FJQ6">
        <v>0</v>
      </c>
      <c r="FJR6">
        <v>0</v>
      </c>
      <c r="FJS6">
        <v>0</v>
      </c>
      <c r="FJT6">
        <v>19</v>
      </c>
      <c r="FJU6">
        <v>0</v>
      </c>
      <c r="FJV6">
        <v>0</v>
      </c>
      <c r="FJW6">
        <v>0</v>
      </c>
      <c r="FJX6">
        <v>302</v>
      </c>
      <c r="FJY6">
        <v>0</v>
      </c>
      <c r="FJZ6">
        <v>0</v>
      </c>
      <c r="FKA6">
        <v>0</v>
      </c>
      <c r="FKB6">
        <v>0</v>
      </c>
      <c r="FKC6">
        <v>0</v>
      </c>
      <c r="FKD6">
        <v>199</v>
      </c>
      <c r="FKE6">
        <v>0</v>
      </c>
      <c r="FKF6">
        <v>859.86</v>
      </c>
      <c r="FKG6">
        <v>356</v>
      </c>
      <c r="FKH6">
        <v>0</v>
      </c>
      <c r="FKI6">
        <v>0</v>
      </c>
      <c r="FKJ6">
        <v>0</v>
      </c>
      <c r="FKK6">
        <v>0</v>
      </c>
      <c r="FKL6">
        <v>0</v>
      </c>
      <c r="FKM6">
        <v>56</v>
      </c>
      <c r="FKN6">
        <v>0</v>
      </c>
      <c r="FKO6">
        <v>0</v>
      </c>
      <c r="FKP6">
        <v>0</v>
      </c>
      <c r="FKQ6">
        <v>0</v>
      </c>
      <c r="FKR6">
        <v>0</v>
      </c>
      <c r="FKS6">
        <v>878.99</v>
      </c>
      <c r="FKT6">
        <v>63</v>
      </c>
      <c r="FKU6">
        <v>8</v>
      </c>
      <c r="FKV6">
        <v>0</v>
      </c>
      <c r="FKW6">
        <v>4</v>
      </c>
      <c r="FKX6">
        <v>0</v>
      </c>
      <c r="FKY6">
        <v>0</v>
      </c>
      <c r="FKZ6">
        <v>448.98</v>
      </c>
      <c r="FLA6">
        <v>180.99</v>
      </c>
      <c r="FLB6">
        <v>128.99</v>
      </c>
      <c r="FLC6">
        <v>0</v>
      </c>
      <c r="FLD6">
        <v>0</v>
      </c>
      <c r="FLE6">
        <v>0</v>
      </c>
      <c r="FLF6">
        <v>0</v>
      </c>
      <c r="FLG6">
        <v>0</v>
      </c>
      <c r="FLH6">
        <v>0</v>
      </c>
      <c r="FLI6">
        <v>0</v>
      </c>
      <c r="FLJ6">
        <v>0</v>
      </c>
      <c r="FLK6">
        <v>0</v>
      </c>
      <c r="FLL6">
        <v>0</v>
      </c>
      <c r="FLM6">
        <v>18</v>
      </c>
      <c r="FLN6">
        <v>0</v>
      </c>
      <c r="FLO6">
        <v>0</v>
      </c>
      <c r="FLP6">
        <v>292</v>
      </c>
      <c r="FLQ6">
        <v>0</v>
      </c>
      <c r="FLR6">
        <v>0</v>
      </c>
      <c r="FLS6">
        <v>0</v>
      </c>
      <c r="FLT6">
        <v>23</v>
      </c>
      <c r="FLU6">
        <v>0</v>
      </c>
      <c r="FLV6">
        <v>0</v>
      </c>
      <c r="FLW6">
        <v>0</v>
      </c>
      <c r="FLX6">
        <v>0</v>
      </c>
      <c r="FLY6">
        <v>0</v>
      </c>
      <c r="FLZ6">
        <v>0</v>
      </c>
      <c r="FMA6">
        <v>0</v>
      </c>
      <c r="FMB6">
        <v>0</v>
      </c>
      <c r="FMC6">
        <v>0</v>
      </c>
      <c r="FMD6">
        <v>836.95</v>
      </c>
      <c r="FME6">
        <v>0</v>
      </c>
      <c r="FMF6">
        <v>0</v>
      </c>
      <c r="FMG6">
        <v>0</v>
      </c>
      <c r="FMH6">
        <v>0</v>
      </c>
      <c r="FMI6">
        <v>0</v>
      </c>
      <c r="FMJ6">
        <v>0</v>
      </c>
      <c r="FMK6">
        <v>22</v>
      </c>
      <c r="FML6">
        <v>137.99</v>
      </c>
      <c r="FMM6">
        <v>0</v>
      </c>
      <c r="FMN6">
        <v>0</v>
      </c>
      <c r="FMO6">
        <v>0</v>
      </c>
      <c r="FMP6">
        <v>0</v>
      </c>
      <c r="FMQ6">
        <v>0</v>
      </c>
      <c r="FMR6">
        <v>0</v>
      </c>
      <c r="FMS6">
        <v>0</v>
      </c>
      <c r="FMT6">
        <v>180.99</v>
      </c>
      <c r="FMU6">
        <v>0</v>
      </c>
      <c r="FMV6">
        <v>208</v>
      </c>
      <c r="FMW6">
        <v>65</v>
      </c>
      <c r="FMX6">
        <v>35</v>
      </c>
      <c r="FMY6">
        <v>0</v>
      </c>
      <c r="FMZ6">
        <v>0</v>
      </c>
      <c r="FNA6">
        <v>0</v>
      </c>
      <c r="FNB6">
        <v>0</v>
      </c>
      <c r="FNC6">
        <v>0</v>
      </c>
      <c r="FND6">
        <v>0</v>
      </c>
      <c r="FNE6">
        <v>0</v>
      </c>
      <c r="FNF6">
        <v>0</v>
      </c>
      <c r="FNG6">
        <v>702.96</v>
      </c>
      <c r="FNH6">
        <v>0</v>
      </c>
      <c r="FNI6">
        <v>0</v>
      </c>
      <c r="FNJ6">
        <v>994.98</v>
      </c>
      <c r="FNK6">
        <v>0</v>
      </c>
      <c r="FNL6">
        <v>0</v>
      </c>
      <c r="FNM6">
        <v>0</v>
      </c>
      <c r="FNN6">
        <v>7</v>
      </c>
      <c r="FNO6">
        <v>0</v>
      </c>
      <c r="FNP6">
        <v>0</v>
      </c>
      <c r="FNQ6">
        <v>0</v>
      </c>
      <c r="FNR6">
        <v>0</v>
      </c>
      <c r="FNS6">
        <v>0</v>
      </c>
      <c r="FNT6">
        <v>0</v>
      </c>
      <c r="FNU6">
        <v>0</v>
      </c>
      <c r="FNV6">
        <v>0</v>
      </c>
      <c r="FNW6">
        <v>0</v>
      </c>
      <c r="FNX6">
        <v>0</v>
      </c>
      <c r="FNY6">
        <v>0</v>
      </c>
      <c r="FNZ6">
        <v>0</v>
      </c>
      <c r="FOA6">
        <v>39</v>
      </c>
      <c r="FOB6">
        <v>0</v>
      </c>
      <c r="FOC6">
        <v>0</v>
      </c>
      <c r="FOD6">
        <v>545.98</v>
      </c>
      <c r="FOE6">
        <v>198</v>
      </c>
      <c r="FOF6">
        <v>0</v>
      </c>
      <c r="FOG6">
        <v>50</v>
      </c>
      <c r="FOH6">
        <v>24</v>
      </c>
      <c r="FOI6">
        <v>0</v>
      </c>
      <c r="FOJ6">
        <v>0</v>
      </c>
      <c r="FOK6">
        <v>0</v>
      </c>
      <c r="FOL6">
        <v>13</v>
      </c>
      <c r="FOM6">
        <v>0</v>
      </c>
      <c r="FON6">
        <v>0</v>
      </c>
      <c r="FOO6">
        <v>0</v>
      </c>
      <c r="FOP6">
        <v>0</v>
      </c>
      <c r="FOQ6">
        <v>353</v>
      </c>
      <c r="FOR6">
        <v>0</v>
      </c>
      <c r="FOS6">
        <v>63</v>
      </c>
      <c r="FOT6">
        <v>0</v>
      </c>
      <c r="FOU6">
        <v>1038.97</v>
      </c>
      <c r="FOV6">
        <v>0</v>
      </c>
      <c r="FOW6">
        <v>0</v>
      </c>
      <c r="FOX6">
        <v>92.99</v>
      </c>
      <c r="FOY6">
        <v>0</v>
      </c>
      <c r="FOZ6">
        <v>1072.94</v>
      </c>
      <c r="FPA6">
        <v>0</v>
      </c>
      <c r="FPB6">
        <v>56.99</v>
      </c>
      <c r="FPC6">
        <v>71</v>
      </c>
      <c r="FPD6">
        <v>0</v>
      </c>
      <c r="FPE6">
        <v>0</v>
      </c>
      <c r="FPF6">
        <v>17</v>
      </c>
      <c r="FPG6">
        <v>71</v>
      </c>
      <c r="FPH6">
        <v>0</v>
      </c>
      <c r="FPI6">
        <v>0</v>
      </c>
      <c r="FPJ6">
        <v>0</v>
      </c>
      <c r="FPK6">
        <v>0</v>
      </c>
      <c r="FPL6">
        <v>0</v>
      </c>
      <c r="FPM6">
        <v>0</v>
      </c>
      <c r="FPN6">
        <v>0</v>
      </c>
      <c r="FPO6">
        <v>0</v>
      </c>
      <c r="FPP6">
        <v>0</v>
      </c>
      <c r="FPQ6">
        <v>54</v>
      </c>
      <c r="FPR6">
        <v>0</v>
      </c>
      <c r="FPS6">
        <v>53</v>
      </c>
      <c r="FPT6">
        <v>0</v>
      </c>
      <c r="FPU6">
        <v>0</v>
      </c>
      <c r="FPV6">
        <v>0</v>
      </c>
      <c r="FPW6">
        <v>42.99</v>
      </c>
      <c r="FPX6">
        <v>9</v>
      </c>
      <c r="FPY6">
        <v>0</v>
      </c>
      <c r="FPZ6">
        <v>0</v>
      </c>
      <c r="FQA6">
        <v>0</v>
      </c>
      <c r="FQB6">
        <v>0</v>
      </c>
      <c r="FQC6">
        <v>0</v>
      </c>
      <c r="FQD6">
        <v>52</v>
      </c>
      <c r="FQE6">
        <v>11</v>
      </c>
      <c r="FQF6">
        <v>223.99</v>
      </c>
      <c r="FQG6">
        <v>0</v>
      </c>
      <c r="FQH6">
        <v>0</v>
      </c>
      <c r="FQI6">
        <v>0</v>
      </c>
      <c r="FQJ6">
        <v>0</v>
      </c>
      <c r="FQK6">
        <v>0</v>
      </c>
      <c r="FQL6">
        <v>0</v>
      </c>
      <c r="FQM6">
        <v>0</v>
      </c>
      <c r="FQN6">
        <v>0</v>
      </c>
      <c r="FQO6">
        <v>0</v>
      </c>
      <c r="FQP6">
        <v>76</v>
      </c>
      <c r="FQQ6">
        <v>0</v>
      </c>
      <c r="FQR6">
        <v>0</v>
      </c>
      <c r="FQS6">
        <v>0</v>
      </c>
      <c r="FQT6">
        <v>0</v>
      </c>
      <c r="FQU6">
        <v>0</v>
      </c>
      <c r="FQV6">
        <v>0</v>
      </c>
      <c r="FQW6">
        <v>0</v>
      </c>
      <c r="FQX6">
        <v>0</v>
      </c>
      <c r="FQY6">
        <v>0</v>
      </c>
      <c r="FQZ6">
        <v>5</v>
      </c>
      <c r="FRA6">
        <v>0</v>
      </c>
      <c r="FRB6">
        <v>0</v>
      </c>
      <c r="FRC6">
        <v>0</v>
      </c>
      <c r="FRD6">
        <v>0</v>
      </c>
      <c r="FRE6">
        <v>481.98</v>
      </c>
      <c r="FRF6">
        <v>0</v>
      </c>
      <c r="FRG6">
        <v>0</v>
      </c>
      <c r="FRH6">
        <v>158</v>
      </c>
      <c r="FRI6">
        <v>0</v>
      </c>
      <c r="FRJ6">
        <v>0</v>
      </c>
      <c r="FRK6">
        <v>19</v>
      </c>
      <c r="FRL6">
        <v>0</v>
      </c>
      <c r="FRM6">
        <v>0</v>
      </c>
      <c r="FRN6">
        <v>0</v>
      </c>
      <c r="FRO6">
        <v>97</v>
      </c>
      <c r="FRP6">
        <v>0</v>
      </c>
      <c r="FRQ6">
        <v>0</v>
      </c>
      <c r="FRR6">
        <v>0</v>
      </c>
      <c r="FRS6">
        <v>0</v>
      </c>
      <c r="FRT6">
        <v>0</v>
      </c>
      <c r="FRU6">
        <v>0</v>
      </c>
      <c r="FRV6">
        <v>0</v>
      </c>
      <c r="FRW6">
        <v>0</v>
      </c>
      <c r="FRX6">
        <v>251.96</v>
      </c>
      <c r="FRY6">
        <v>1262.96</v>
      </c>
      <c r="FRZ6">
        <v>60</v>
      </c>
      <c r="FSA6">
        <v>0</v>
      </c>
      <c r="FSB6">
        <v>0</v>
      </c>
      <c r="FSC6">
        <v>0</v>
      </c>
      <c r="FSD6">
        <v>0</v>
      </c>
      <c r="FSE6">
        <v>0</v>
      </c>
      <c r="FSF6">
        <v>0</v>
      </c>
      <c r="FSG6">
        <v>139.99</v>
      </c>
      <c r="FSH6">
        <v>0</v>
      </c>
      <c r="FSI6">
        <v>0</v>
      </c>
      <c r="FSJ6">
        <v>234.98</v>
      </c>
      <c r="FSK6">
        <v>59</v>
      </c>
      <c r="FSL6">
        <v>5</v>
      </c>
      <c r="FSM6">
        <v>0</v>
      </c>
      <c r="FSN6">
        <v>0</v>
      </c>
      <c r="FSO6">
        <v>33</v>
      </c>
      <c r="FSP6">
        <v>51</v>
      </c>
      <c r="FSQ6">
        <v>0</v>
      </c>
      <c r="FSR6">
        <v>13</v>
      </c>
      <c r="FSS6">
        <v>0</v>
      </c>
      <c r="FST6">
        <v>0</v>
      </c>
      <c r="FSU6">
        <v>0</v>
      </c>
      <c r="FSV6">
        <v>0</v>
      </c>
      <c r="FSW6">
        <v>0</v>
      </c>
      <c r="FSX6">
        <v>0</v>
      </c>
      <c r="FSY6">
        <v>0</v>
      </c>
      <c r="FSZ6">
        <v>0</v>
      </c>
      <c r="FTA6">
        <v>0</v>
      </c>
      <c r="FTB6">
        <v>0</v>
      </c>
      <c r="FTC6">
        <v>0</v>
      </c>
      <c r="FTD6">
        <v>0</v>
      </c>
      <c r="FTE6">
        <v>0</v>
      </c>
      <c r="FTF6">
        <v>15</v>
      </c>
      <c r="FTG6">
        <v>223</v>
      </c>
      <c r="FTH6">
        <v>110.97</v>
      </c>
      <c r="FTI6">
        <v>231</v>
      </c>
      <c r="FTJ6">
        <v>0</v>
      </c>
      <c r="FTK6">
        <v>0</v>
      </c>
      <c r="FTL6">
        <v>0</v>
      </c>
      <c r="FTM6">
        <v>0</v>
      </c>
      <c r="FTN6">
        <v>0</v>
      </c>
      <c r="FTO6">
        <v>0</v>
      </c>
      <c r="FTP6">
        <v>0</v>
      </c>
      <c r="FTQ6">
        <v>37.99</v>
      </c>
      <c r="FTR6">
        <v>0</v>
      </c>
      <c r="FTS6">
        <v>0</v>
      </c>
      <c r="FTT6">
        <v>0</v>
      </c>
      <c r="FTU6">
        <v>0</v>
      </c>
      <c r="FTV6">
        <v>0</v>
      </c>
      <c r="FTW6">
        <v>0</v>
      </c>
      <c r="FTX6">
        <v>0</v>
      </c>
      <c r="FTY6">
        <v>0</v>
      </c>
      <c r="FTZ6">
        <v>0</v>
      </c>
      <c r="FUA6">
        <v>0</v>
      </c>
      <c r="FUB6">
        <v>23.99</v>
      </c>
      <c r="FUC6">
        <v>224</v>
      </c>
      <c r="FUD6">
        <v>0</v>
      </c>
      <c r="FUE6">
        <v>0</v>
      </c>
      <c r="FUF6">
        <v>0</v>
      </c>
      <c r="FUG6">
        <v>9</v>
      </c>
      <c r="FUH6">
        <v>0</v>
      </c>
      <c r="FUI6">
        <v>0</v>
      </c>
      <c r="FUJ6">
        <v>0</v>
      </c>
      <c r="FUK6">
        <v>0</v>
      </c>
      <c r="FUL6">
        <v>0</v>
      </c>
      <c r="FUM6">
        <v>0</v>
      </c>
      <c r="FUN6">
        <v>87</v>
      </c>
      <c r="FUO6">
        <v>0</v>
      </c>
      <c r="FUP6">
        <v>86.99</v>
      </c>
      <c r="FUQ6">
        <v>0</v>
      </c>
      <c r="FUR6">
        <v>358.99</v>
      </c>
      <c r="FUS6">
        <v>0</v>
      </c>
      <c r="FUT6">
        <v>0</v>
      </c>
      <c r="FUU6">
        <v>0</v>
      </c>
      <c r="FUV6">
        <v>0</v>
      </c>
      <c r="FUW6">
        <v>0</v>
      </c>
      <c r="FUX6">
        <v>0</v>
      </c>
      <c r="FUY6">
        <v>0</v>
      </c>
      <c r="FUZ6">
        <v>0</v>
      </c>
      <c r="FVA6">
        <v>0</v>
      </c>
      <c r="FVB6">
        <v>0</v>
      </c>
      <c r="FVC6">
        <v>0</v>
      </c>
      <c r="FVD6">
        <v>0</v>
      </c>
      <c r="FVE6">
        <v>0</v>
      </c>
      <c r="FVF6">
        <v>965.96</v>
      </c>
      <c r="FVG6">
        <v>0</v>
      </c>
      <c r="FVH6">
        <v>0</v>
      </c>
      <c r="FVI6">
        <v>0</v>
      </c>
      <c r="FVJ6">
        <v>14</v>
      </c>
      <c r="FVK6">
        <v>94</v>
      </c>
      <c r="FVL6">
        <v>0</v>
      </c>
      <c r="FVM6">
        <v>0</v>
      </c>
      <c r="FVN6">
        <v>0</v>
      </c>
      <c r="FVO6">
        <v>198</v>
      </c>
      <c r="FVP6">
        <v>0</v>
      </c>
      <c r="FVQ6">
        <v>0</v>
      </c>
      <c r="FVR6">
        <v>0</v>
      </c>
      <c r="FVS6">
        <v>0</v>
      </c>
      <c r="FVT6">
        <v>0</v>
      </c>
      <c r="FVU6">
        <v>0</v>
      </c>
      <c r="FVV6">
        <v>96</v>
      </c>
      <c r="FVW6">
        <v>0</v>
      </c>
      <c r="FVX6">
        <v>0</v>
      </c>
      <c r="FVY6">
        <v>4</v>
      </c>
      <c r="FVZ6">
        <v>0</v>
      </c>
      <c r="FWB6">
        <v>903.87</v>
      </c>
      <c r="FWC6">
        <v>160</v>
      </c>
      <c r="FWD6">
        <v>0</v>
      </c>
      <c r="FWE6">
        <v>1577.9</v>
      </c>
      <c r="FWF6">
        <v>360.99</v>
      </c>
      <c r="FWG6">
        <v>0</v>
      </c>
      <c r="FWH6">
        <v>0</v>
      </c>
      <c r="FWI6">
        <v>0</v>
      </c>
      <c r="FWJ6">
        <v>121</v>
      </c>
      <c r="FWK6">
        <v>0</v>
      </c>
      <c r="FWL6">
        <v>0</v>
      </c>
      <c r="FWM6">
        <v>43</v>
      </c>
      <c r="FWN6">
        <v>0</v>
      </c>
      <c r="FWO6">
        <v>0</v>
      </c>
      <c r="FWP6">
        <v>0</v>
      </c>
      <c r="FWQ6">
        <v>0</v>
      </c>
      <c r="FWR6">
        <v>199</v>
      </c>
      <c r="FWS6">
        <v>0</v>
      </c>
      <c r="FWT6">
        <v>214</v>
      </c>
      <c r="FWU6">
        <v>34</v>
      </c>
      <c r="FWV6">
        <v>121</v>
      </c>
      <c r="FWW6">
        <v>0</v>
      </c>
      <c r="FWX6">
        <v>185</v>
      </c>
      <c r="FWY6">
        <v>0</v>
      </c>
      <c r="FWZ6">
        <v>0</v>
      </c>
      <c r="FXA6">
        <v>0</v>
      </c>
      <c r="FXB6">
        <v>42</v>
      </c>
      <c r="FXC6">
        <v>61</v>
      </c>
      <c r="FXD6">
        <v>0</v>
      </c>
      <c r="FXE6">
        <v>0</v>
      </c>
      <c r="FXF6">
        <v>0</v>
      </c>
      <c r="FXG6">
        <v>145</v>
      </c>
      <c r="FXH6">
        <v>15</v>
      </c>
      <c r="FXI6">
        <v>0</v>
      </c>
      <c r="FXJ6">
        <v>90</v>
      </c>
      <c r="FXK6">
        <v>0</v>
      </c>
      <c r="FXL6">
        <v>305.99</v>
      </c>
      <c r="FXM6">
        <v>0</v>
      </c>
      <c r="FXN6">
        <v>11</v>
      </c>
      <c r="FXO6">
        <v>1475.91</v>
      </c>
      <c r="FXP6">
        <v>0</v>
      </c>
      <c r="FXQ6">
        <v>177.99</v>
      </c>
      <c r="FXR6">
        <v>0</v>
      </c>
      <c r="FXS6">
        <v>4</v>
      </c>
      <c r="FXT6">
        <v>0</v>
      </c>
      <c r="FXU6">
        <v>0</v>
      </c>
      <c r="FXV6">
        <v>0</v>
      </c>
      <c r="FXW6">
        <v>0</v>
      </c>
      <c r="FXX6">
        <v>0</v>
      </c>
      <c r="FXY6">
        <v>98</v>
      </c>
      <c r="FXZ6">
        <v>0</v>
      </c>
      <c r="FYA6">
        <v>0</v>
      </c>
      <c r="FYB6">
        <v>73.989999999999995</v>
      </c>
      <c r="FYC6">
        <v>0</v>
      </c>
      <c r="FYD6">
        <v>103.99</v>
      </c>
      <c r="FYE6">
        <v>0</v>
      </c>
      <c r="FYF6">
        <v>1594.82</v>
      </c>
      <c r="FYG6">
        <v>0</v>
      </c>
      <c r="FYH6">
        <v>37</v>
      </c>
      <c r="FYI6">
        <v>919.97</v>
      </c>
      <c r="FYJ6">
        <v>91</v>
      </c>
      <c r="FYK6">
        <v>0</v>
      </c>
      <c r="FYL6">
        <v>46</v>
      </c>
      <c r="FYM6">
        <v>174</v>
      </c>
      <c r="FYN6">
        <v>102</v>
      </c>
      <c r="FYO6">
        <v>0</v>
      </c>
      <c r="FYP6">
        <v>0</v>
      </c>
      <c r="FYQ6">
        <v>175.99</v>
      </c>
      <c r="FYR6">
        <v>0</v>
      </c>
      <c r="FYS6">
        <v>147</v>
      </c>
      <c r="FYT6">
        <v>0</v>
      </c>
      <c r="FYU6">
        <v>0</v>
      </c>
      <c r="FYV6">
        <v>0</v>
      </c>
      <c r="FYW6">
        <v>0</v>
      </c>
      <c r="FYX6">
        <v>0</v>
      </c>
      <c r="FYY6">
        <v>17</v>
      </c>
      <c r="FYZ6">
        <v>958.96</v>
      </c>
      <c r="FZA6">
        <v>0</v>
      </c>
      <c r="FZB6">
        <v>0</v>
      </c>
      <c r="FZC6">
        <v>98</v>
      </c>
      <c r="FZD6">
        <v>0</v>
      </c>
      <c r="FZE6">
        <v>35</v>
      </c>
      <c r="FZF6">
        <v>0</v>
      </c>
      <c r="FZG6">
        <v>0</v>
      </c>
      <c r="FZH6">
        <v>0</v>
      </c>
      <c r="FZI6">
        <v>199</v>
      </c>
      <c r="FZJ6">
        <v>0</v>
      </c>
      <c r="FZK6">
        <v>100</v>
      </c>
      <c r="FZL6">
        <v>0</v>
      </c>
      <c r="FZM6">
        <v>198</v>
      </c>
      <c r="FZN6">
        <v>0</v>
      </c>
      <c r="FZO6">
        <v>0</v>
      </c>
      <c r="FZP6">
        <v>69</v>
      </c>
      <c r="FZQ6">
        <v>0</v>
      </c>
      <c r="FZR6">
        <v>0</v>
      </c>
      <c r="FZS6">
        <v>57</v>
      </c>
      <c r="FZT6">
        <v>0</v>
      </c>
      <c r="FZU6">
        <v>0</v>
      </c>
      <c r="FZV6">
        <v>0</v>
      </c>
      <c r="FZW6">
        <v>0</v>
      </c>
      <c r="FZX6">
        <v>1948.88</v>
      </c>
      <c r="FZY6">
        <v>0</v>
      </c>
      <c r="FZZ6">
        <v>0</v>
      </c>
      <c r="GAA6">
        <v>0</v>
      </c>
      <c r="GAB6">
        <v>0</v>
      </c>
      <c r="GAC6">
        <v>1700.96</v>
      </c>
      <c r="GAD6">
        <v>91</v>
      </c>
      <c r="GAE6">
        <v>0</v>
      </c>
      <c r="GAF6">
        <v>0</v>
      </c>
      <c r="GAG6">
        <v>0</v>
      </c>
      <c r="GAH6">
        <v>350.99</v>
      </c>
      <c r="GAI6">
        <v>0</v>
      </c>
      <c r="GAJ6">
        <v>0</v>
      </c>
      <c r="GAK6">
        <v>0</v>
      </c>
      <c r="GAL6">
        <v>71</v>
      </c>
      <c r="GAM6">
        <v>0</v>
      </c>
      <c r="GAN6">
        <v>0</v>
      </c>
      <c r="GAO6">
        <v>0</v>
      </c>
      <c r="GAP6">
        <v>58</v>
      </c>
      <c r="GAQ6">
        <v>0</v>
      </c>
      <c r="GAR6">
        <v>0</v>
      </c>
      <c r="GAS6">
        <v>0</v>
      </c>
      <c r="GAT6">
        <v>0</v>
      </c>
      <c r="GAU6">
        <v>0</v>
      </c>
      <c r="GAV6">
        <v>101</v>
      </c>
      <c r="GAW6">
        <v>0</v>
      </c>
      <c r="GAX6">
        <v>441.99</v>
      </c>
      <c r="GAY6">
        <v>0</v>
      </c>
      <c r="GAZ6">
        <v>0</v>
      </c>
      <c r="GBA6">
        <v>0</v>
      </c>
      <c r="GBB6">
        <v>89.99</v>
      </c>
      <c r="GBC6">
        <v>0</v>
      </c>
      <c r="GBD6">
        <v>0</v>
      </c>
      <c r="GBE6">
        <v>26</v>
      </c>
      <c r="GBF6">
        <v>0</v>
      </c>
      <c r="GBG6">
        <v>1490.95</v>
      </c>
      <c r="GBH6">
        <v>0</v>
      </c>
      <c r="GBI6">
        <v>0</v>
      </c>
      <c r="GBJ6">
        <v>0</v>
      </c>
      <c r="GBK6">
        <v>379</v>
      </c>
      <c r="GBL6">
        <v>0</v>
      </c>
      <c r="GBM6">
        <v>0</v>
      </c>
      <c r="GBN6">
        <v>965.99</v>
      </c>
      <c r="GBO6">
        <v>0</v>
      </c>
      <c r="GBP6">
        <v>0</v>
      </c>
      <c r="GBQ6">
        <v>0</v>
      </c>
      <c r="GBR6">
        <v>10</v>
      </c>
      <c r="GBS6">
        <v>306</v>
      </c>
      <c r="GBT6">
        <v>0</v>
      </c>
      <c r="GBU6">
        <v>0</v>
      </c>
      <c r="GBV6">
        <v>0</v>
      </c>
      <c r="GBW6">
        <v>27</v>
      </c>
      <c r="GBX6">
        <v>81</v>
      </c>
      <c r="GBY6">
        <v>11</v>
      </c>
      <c r="GBZ6">
        <v>0</v>
      </c>
      <c r="GCA6">
        <v>0</v>
      </c>
      <c r="GCB6">
        <v>0</v>
      </c>
      <c r="GCC6">
        <v>0</v>
      </c>
      <c r="GCD6">
        <v>0</v>
      </c>
      <c r="GCE6">
        <v>0</v>
      </c>
      <c r="GCF6">
        <v>40</v>
      </c>
      <c r="GCG6">
        <v>44</v>
      </c>
      <c r="GCH6">
        <v>348</v>
      </c>
      <c r="GCI6">
        <v>422.98</v>
      </c>
      <c r="GCJ6">
        <v>0</v>
      </c>
      <c r="GCK6">
        <v>0</v>
      </c>
      <c r="GCL6">
        <v>0</v>
      </c>
      <c r="GCM6">
        <v>0</v>
      </c>
      <c r="GCN6">
        <v>170</v>
      </c>
      <c r="GCO6">
        <v>0</v>
      </c>
      <c r="GCP6">
        <v>1108.94</v>
      </c>
      <c r="GCQ6">
        <v>0</v>
      </c>
      <c r="GCR6">
        <v>0</v>
      </c>
      <c r="GCS6">
        <v>1641.91</v>
      </c>
      <c r="GCT6">
        <v>0</v>
      </c>
      <c r="GCU6">
        <v>0</v>
      </c>
      <c r="GCV6">
        <v>348</v>
      </c>
      <c r="GCW6">
        <v>0</v>
      </c>
      <c r="GCX6">
        <v>0</v>
      </c>
      <c r="GCY6">
        <v>0</v>
      </c>
      <c r="GCZ6">
        <v>0</v>
      </c>
      <c r="GDA6">
        <v>169</v>
      </c>
      <c r="GDB6">
        <v>520</v>
      </c>
      <c r="GDC6">
        <v>882.96</v>
      </c>
      <c r="GDD6">
        <v>82</v>
      </c>
      <c r="GDE6">
        <v>1064.99</v>
      </c>
      <c r="GDF6">
        <v>291</v>
      </c>
      <c r="GDG6">
        <v>411</v>
      </c>
      <c r="GDH6">
        <v>0</v>
      </c>
      <c r="GDI6">
        <v>0</v>
      </c>
      <c r="GDJ6">
        <v>0</v>
      </c>
      <c r="GDK6">
        <v>0</v>
      </c>
      <c r="GDL6">
        <v>0</v>
      </c>
      <c r="GDM6">
        <v>238.99</v>
      </c>
      <c r="GDN6">
        <v>361</v>
      </c>
      <c r="GDO6">
        <v>0</v>
      </c>
      <c r="GDP6">
        <v>384</v>
      </c>
      <c r="GDQ6">
        <v>20</v>
      </c>
      <c r="GDR6">
        <v>0</v>
      </c>
      <c r="GDS6">
        <v>0</v>
      </c>
      <c r="GDT6">
        <v>0</v>
      </c>
      <c r="GDU6">
        <v>0</v>
      </c>
      <c r="GDV6">
        <v>0</v>
      </c>
      <c r="GDW6">
        <v>0</v>
      </c>
      <c r="GDX6">
        <v>217.99</v>
      </c>
      <c r="GDY6">
        <v>0</v>
      </c>
      <c r="GDZ6">
        <v>0</v>
      </c>
      <c r="GEA6">
        <v>71</v>
      </c>
      <c r="GEB6">
        <v>530.99</v>
      </c>
      <c r="GEC6">
        <v>0</v>
      </c>
      <c r="GED6">
        <v>16</v>
      </c>
      <c r="GEE6">
        <v>0</v>
      </c>
      <c r="GEF6">
        <v>0</v>
      </c>
      <c r="GEG6">
        <v>0</v>
      </c>
      <c r="GEH6">
        <v>0</v>
      </c>
      <c r="GEI6">
        <v>265</v>
      </c>
      <c r="GEJ6">
        <v>0</v>
      </c>
      <c r="GEK6">
        <v>0</v>
      </c>
      <c r="GEL6">
        <v>0</v>
      </c>
      <c r="GEM6">
        <v>0</v>
      </c>
      <c r="GEN6">
        <v>43</v>
      </c>
      <c r="GEO6">
        <v>51</v>
      </c>
      <c r="GEP6">
        <v>0</v>
      </c>
      <c r="GEQ6">
        <v>161</v>
      </c>
      <c r="GER6">
        <v>0</v>
      </c>
      <c r="GES6">
        <v>2519</v>
      </c>
      <c r="GET6">
        <v>0</v>
      </c>
      <c r="GEU6">
        <v>0</v>
      </c>
      <c r="GEV6">
        <v>308</v>
      </c>
      <c r="GEW6">
        <v>0</v>
      </c>
      <c r="GEX6">
        <v>101</v>
      </c>
      <c r="GEY6">
        <v>0</v>
      </c>
      <c r="GEZ6">
        <v>0</v>
      </c>
      <c r="GFA6">
        <v>0</v>
      </c>
      <c r="GFB6">
        <v>804.88</v>
      </c>
      <c r="GFC6">
        <v>0</v>
      </c>
      <c r="GFD6">
        <v>45.99</v>
      </c>
      <c r="GFE6">
        <v>0</v>
      </c>
      <c r="GFF6">
        <v>81.99</v>
      </c>
      <c r="GFG6">
        <v>0</v>
      </c>
      <c r="GFH6">
        <v>0</v>
      </c>
      <c r="GFI6">
        <v>0</v>
      </c>
      <c r="GFJ6">
        <v>0</v>
      </c>
      <c r="GFK6">
        <v>0</v>
      </c>
      <c r="GFL6">
        <v>0</v>
      </c>
      <c r="GFM6">
        <v>0</v>
      </c>
      <c r="GFN6">
        <v>2718.93</v>
      </c>
      <c r="GFO6">
        <v>0</v>
      </c>
      <c r="GFP6">
        <v>0</v>
      </c>
      <c r="GFQ6">
        <v>0</v>
      </c>
      <c r="GFR6">
        <v>0</v>
      </c>
      <c r="GFS6">
        <v>0</v>
      </c>
      <c r="GFT6">
        <v>0</v>
      </c>
      <c r="GFU6">
        <v>38</v>
      </c>
      <c r="GFV6">
        <v>501</v>
      </c>
      <c r="GFW6">
        <v>313.99</v>
      </c>
      <c r="GFX6">
        <v>0</v>
      </c>
      <c r="GFY6">
        <v>889</v>
      </c>
      <c r="GFZ6">
        <v>0</v>
      </c>
      <c r="GGA6">
        <v>0</v>
      </c>
      <c r="GGB6">
        <v>21</v>
      </c>
      <c r="GGC6">
        <v>0</v>
      </c>
      <c r="GGD6">
        <v>1353</v>
      </c>
      <c r="GGE6">
        <v>0</v>
      </c>
      <c r="GGF6">
        <v>0</v>
      </c>
      <c r="GGG6">
        <v>0</v>
      </c>
      <c r="GGH6">
        <v>2205.86</v>
      </c>
      <c r="GGI6">
        <v>0</v>
      </c>
      <c r="GGJ6">
        <v>0</v>
      </c>
      <c r="GGK6">
        <v>0</v>
      </c>
      <c r="GGL6">
        <v>0</v>
      </c>
      <c r="GGM6">
        <v>72</v>
      </c>
      <c r="GGN6">
        <v>0</v>
      </c>
      <c r="GGO6">
        <v>446</v>
      </c>
      <c r="GGP6">
        <v>10</v>
      </c>
      <c r="GGQ6">
        <v>0</v>
      </c>
      <c r="GGR6">
        <v>0</v>
      </c>
      <c r="GGS6">
        <v>0</v>
      </c>
      <c r="GGT6">
        <v>0</v>
      </c>
      <c r="GGU6">
        <v>0</v>
      </c>
      <c r="GGV6">
        <v>16</v>
      </c>
      <c r="GGW6">
        <v>0</v>
      </c>
      <c r="GGX6">
        <v>0</v>
      </c>
      <c r="GGY6">
        <v>0</v>
      </c>
      <c r="GGZ6">
        <v>3104.8</v>
      </c>
      <c r="GHA6">
        <v>119</v>
      </c>
      <c r="GHB6">
        <v>191.99</v>
      </c>
      <c r="GHC6">
        <v>0</v>
      </c>
      <c r="GHD6">
        <v>0</v>
      </c>
      <c r="GHE6">
        <v>66</v>
      </c>
      <c r="GHF6">
        <v>0</v>
      </c>
      <c r="GHG6">
        <v>0</v>
      </c>
      <c r="GHH6">
        <v>0</v>
      </c>
      <c r="GHI6">
        <v>0</v>
      </c>
      <c r="GHJ6">
        <v>0</v>
      </c>
      <c r="GHK6">
        <v>0</v>
      </c>
      <c r="GHL6">
        <v>334</v>
      </c>
      <c r="GHM6">
        <v>119.99</v>
      </c>
      <c r="GHN6">
        <v>183</v>
      </c>
      <c r="GHO6">
        <v>52</v>
      </c>
      <c r="GHP6">
        <v>0</v>
      </c>
      <c r="GHQ6">
        <v>0</v>
      </c>
      <c r="GHR6">
        <v>34</v>
      </c>
      <c r="GHS6">
        <v>311.99</v>
      </c>
      <c r="GHT6">
        <v>173</v>
      </c>
      <c r="GHU6">
        <v>0</v>
      </c>
      <c r="GHV6">
        <v>0</v>
      </c>
      <c r="GHW6">
        <v>0</v>
      </c>
      <c r="GHX6">
        <v>165.99</v>
      </c>
      <c r="GHY6">
        <v>0</v>
      </c>
      <c r="GHZ6">
        <v>0</v>
      </c>
      <c r="GIA6">
        <v>0</v>
      </c>
      <c r="GIB6">
        <v>28</v>
      </c>
      <c r="GIC6">
        <v>222</v>
      </c>
      <c r="GID6">
        <v>0</v>
      </c>
      <c r="GIE6">
        <v>0</v>
      </c>
      <c r="GIF6">
        <v>0</v>
      </c>
      <c r="GIG6">
        <v>82</v>
      </c>
      <c r="GIH6">
        <v>198.99</v>
      </c>
      <c r="GII6">
        <v>0</v>
      </c>
      <c r="GIJ6">
        <v>664.99</v>
      </c>
      <c r="GIK6">
        <v>0</v>
      </c>
      <c r="GIL6">
        <v>870.99</v>
      </c>
      <c r="GIM6">
        <v>69</v>
      </c>
      <c r="GIN6">
        <v>0</v>
      </c>
      <c r="GIO6">
        <v>0</v>
      </c>
      <c r="GIP6">
        <v>37</v>
      </c>
      <c r="GIQ6">
        <v>386.97</v>
      </c>
      <c r="GIR6">
        <v>0</v>
      </c>
      <c r="GIS6">
        <v>0</v>
      </c>
      <c r="GIT6">
        <v>104</v>
      </c>
      <c r="GIU6">
        <v>509.99</v>
      </c>
      <c r="GIV6">
        <v>0</v>
      </c>
      <c r="GIW6">
        <v>0</v>
      </c>
      <c r="GIX6">
        <v>0</v>
      </c>
      <c r="GIY6">
        <v>144</v>
      </c>
      <c r="GIZ6">
        <v>0</v>
      </c>
      <c r="GJA6">
        <v>18</v>
      </c>
      <c r="GJB6">
        <v>428.98</v>
      </c>
      <c r="GJC6">
        <v>1198.8900000000001</v>
      </c>
      <c r="GJD6">
        <v>0</v>
      </c>
      <c r="GJE6">
        <v>0</v>
      </c>
      <c r="GJF6">
        <v>3855.85</v>
      </c>
      <c r="GJG6">
        <v>0</v>
      </c>
      <c r="GJH6">
        <v>1310.96</v>
      </c>
      <c r="GJI6">
        <v>0</v>
      </c>
      <c r="GJJ6">
        <v>0</v>
      </c>
      <c r="GJK6">
        <v>2505.91</v>
      </c>
      <c r="GJL6">
        <v>0</v>
      </c>
      <c r="GJM6">
        <v>0</v>
      </c>
      <c r="GJN6">
        <v>0</v>
      </c>
      <c r="GJO6">
        <v>0</v>
      </c>
      <c r="GJP6">
        <v>166</v>
      </c>
      <c r="GJQ6">
        <v>41</v>
      </c>
      <c r="GJR6">
        <v>0</v>
      </c>
      <c r="GJS6">
        <v>0</v>
      </c>
      <c r="GJT6">
        <v>0</v>
      </c>
      <c r="GJU6">
        <v>0</v>
      </c>
      <c r="GJV6">
        <v>0</v>
      </c>
      <c r="GJW6">
        <v>4344.74</v>
      </c>
      <c r="GJX6">
        <v>120.99</v>
      </c>
      <c r="GJY6">
        <v>0</v>
      </c>
      <c r="GJZ6">
        <v>0</v>
      </c>
      <c r="GKA6">
        <v>0</v>
      </c>
      <c r="GKB6">
        <v>0</v>
      </c>
      <c r="GKC6">
        <v>0</v>
      </c>
      <c r="GKD6">
        <v>0</v>
      </c>
      <c r="GKE6">
        <v>0</v>
      </c>
      <c r="GKF6">
        <v>0</v>
      </c>
      <c r="GKG6">
        <v>0</v>
      </c>
      <c r="GKH6">
        <v>0</v>
      </c>
      <c r="GKI6">
        <v>0</v>
      </c>
      <c r="GKJ6">
        <v>0</v>
      </c>
      <c r="GKK6">
        <v>815.99</v>
      </c>
      <c r="GKL6">
        <v>777</v>
      </c>
      <c r="GKM6">
        <v>0</v>
      </c>
      <c r="GKN6">
        <v>0</v>
      </c>
      <c r="GKO6">
        <v>1099.97</v>
      </c>
      <c r="GKP6">
        <v>96.99</v>
      </c>
      <c r="GKQ6">
        <v>452.95</v>
      </c>
      <c r="GKR6">
        <v>698</v>
      </c>
      <c r="GKS6">
        <v>0</v>
      </c>
      <c r="GKT6">
        <v>47</v>
      </c>
      <c r="GKU6">
        <v>0</v>
      </c>
      <c r="GKV6">
        <v>526.98</v>
      </c>
      <c r="GKW6">
        <v>0</v>
      </c>
      <c r="GKX6">
        <v>0</v>
      </c>
      <c r="GKY6">
        <v>210</v>
      </c>
      <c r="GKZ6">
        <v>0</v>
      </c>
      <c r="GLA6">
        <v>648</v>
      </c>
      <c r="GLB6">
        <v>0</v>
      </c>
      <c r="GLC6">
        <v>0</v>
      </c>
      <c r="GLD6">
        <v>0</v>
      </c>
      <c r="GLE6">
        <v>372.99</v>
      </c>
      <c r="GLF6">
        <v>0</v>
      </c>
      <c r="GLG6">
        <v>0</v>
      </c>
      <c r="GLH6">
        <v>0</v>
      </c>
      <c r="GLI6">
        <v>5396.79</v>
      </c>
      <c r="GLJ6">
        <v>25</v>
      </c>
      <c r="GLK6">
        <v>5421.86</v>
      </c>
      <c r="GLL6">
        <v>530.96</v>
      </c>
      <c r="GLM6">
        <v>0</v>
      </c>
      <c r="GLN6">
        <v>117</v>
      </c>
      <c r="GLO6">
        <v>0</v>
      </c>
      <c r="GLP6">
        <v>0</v>
      </c>
      <c r="GLQ6">
        <v>0</v>
      </c>
      <c r="GLR6">
        <v>0</v>
      </c>
      <c r="GLS6">
        <v>180</v>
      </c>
      <c r="GLT6">
        <v>215.99</v>
      </c>
      <c r="GLU6">
        <v>0</v>
      </c>
      <c r="GLV6">
        <v>0</v>
      </c>
      <c r="GLW6">
        <v>150.99</v>
      </c>
      <c r="GLX6">
        <v>0</v>
      </c>
      <c r="GLY6">
        <v>0</v>
      </c>
      <c r="GLZ6">
        <v>118</v>
      </c>
      <c r="GMA6">
        <v>0</v>
      </c>
      <c r="GMB6">
        <v>0</v>
      </c>
      <c r="GMC6">
        <v>0</v>
      </c>
      <c r="GMD6">
        <v>0</v>
      </c>
      <c r="GME6">
        <v>0</v>
      </c>
      <c r="GMF6">
        <v>0</v>
      </c>
      <c r="GMG6">
        <v>0</v>
      </c>
      <c r="GMH6">
        <v>0</v>
      </c>
      <c r="GMI6">
        <v>171</v>
      </c>
      <c r="GMJ6">
        <v>129.99</v>
      </c>
      <c r="GMK6">
        <v>803.98</v>
      </c>
      <c r="GML6">
        <v>0</v>
      </c>
      <c r="GMM6">
        <v>552.98</v>
      </c>
      <c r="GMN6">
        <v>0</v>
      </c>
      <c r="GMO6">
        <v>56</v>
      </c>
      <c r="GMP6">
        <v>135</v>
      </c>
      <c r="GMQ6">
        <v>0</v>
      </c>
      <c r="GMR6">
        <v>0</v>
      </c>
      <c r="GMS6">
        <v>101</v>
      </c>
      <c r="GMT6">
        <v>396.98</v>
      </c>
      <c r="GMU6">
        <v>0</v>
      </c>
      <c r="GMV6">
        <v>984</v>
      </c>
      <c r="GMW6">
        <v>0</v>
      </c>
      <c r="GMX6">
        <v>0</v>
      </c>
      <c r="GMY6">
        <v>6233.83</v>
      </c>
      <c r="GMZ6">
        <v>0</v>
      </c>
      <c r="GNA6">
        <v>48.99</v>
      </c>
      <c r="GNB6">
        <v>0</v>
      </c>
      <c r="GNC6">
        <v>90</v>
      </c>
      <c r="GND6">
        <v>103</v>
      </c>
      <c r="GNE6">
        <v>0</v>
      </c>
      <c r="GNF6">
        <v>0</v>
      </c>
      <c r="GNG6">
        <v>0</v>
      </c>
      <c r="GNH6">
        <v>1256.99</v>
      </c>
      <c r="GNI6">
        <v>0</v>
      </c>
      <c r="GNJ6">
        <v>10</v>
      </c>
      <c r="GNK6">
        <v>0</v>
      </c>
      <c r="GNL6">
        <v>0</v>
      </c>
      <c r="GNM6">
        <v>105</v>
      </c>
      <c r="GNN6">
        <v>1717</v>
      </c>
      <c r="GNO6">
        <v>267</v>
      </c>
      <c r="GNP6">
        <v>377</v>
      </c>
      <c r="GNQ6">
        <v>0</v>
      </c>
      <c r="GNR6">
        <v>144</v>
      </c>
      <c r="GNS6">
        <v>2307.9299999999998</v>
      </c>
      <c r="GNT6">
        <v>258</v>
      </c>
      <c r="GNU6">
        <v>0</v>
      </c>
      <c r="GNV6">
        <v>0</v>
      </c>
      <c r="GNW6">
        <v>0</v>
      </c>
      <c r="GNX6">
        <v>68.989999999999995</v>
      </c>
      <c r="GNY6">
        <v>629.98</v>
      </c>
      <c r="GNZ6">
        <v>0</v>
      </c>
      <c r="GOA6">
        <v>4718.8</v>
      </c>
      <c r="GOB6">
        <v>2499.89</v>
      </c>
      <c r="GOC6">
        <v>373.99</v>
      </c>
      <c r="GOD6">
        <v>0</v>
      </c>
      <c r="GOE6">
        <v>0</v>
      </c>
      <c r="GOF6">
        <v>0</v>
      </c>
      <c r="GOG6">
        <v>0</v>
      </c>
      <c r="GOH6">
        <v>658.99</v>
      </c>
      <c r="GOI6">
        <v>324</v>
      </c>
      <c r="GOJ6">
        <v>0</v>
      </c>
      <c r="GOK6">
        <v>0</v>
      </c>
      <c r="GOL6">
        <v>0</v>
      </c>
      <c r="GOM6">
        <v>0</v>
      </c>
      <c r="GON6">
        <v>0</v>
      </c>
      <c r="GOO6">
        <v>251.99</v>
      </c>
      <c r="GOP6">
        <v>72.989999999999995</v>
      </c>
      <c r="GOQ6">
        <v>7929.68</v>
      </c>
      <c r="GOR6">
        <v>1274.95</v>
      </c>
      <c r="GOS6">
        <v>523</v>
      </c>
      <c r="GOT6">
        <v>0</v>
      </c>
      <c r="GOU6">
        <v>3173.95</v>
      </c>
      <c r="GOV6">
        <v>6</v>
      </c>
      <c r="GOW6">
        <v>6</v>
      </c>
      <c r="GOX6">
        <v>909.94</v>
      </c>
      <c r="GOY6">
        <v>0</v>
      </c>
      <c r="GOZ6">
        <v>2601.9</v>
      </c>
      <c r="GPA6">
        <v>540.98</v>
      </c>
      <c r="GPB6">
        <v>518</v>
      </c>
      <c r="GPC6">
        <v>178.99</v>
      </c>
      <c r="GPD6">
        <v>1387</v>
      </c>
      <c r="GPE6">
        <v>0</v>
      </c>
      <c r="GPF6">
        <v>0</v>
      </c>
      <c r="GPG6">
        <v>3211.93</v>
      </c>
      <c r="GPH6">
        <v>278.99</v>
      </c>
      <c r="GPI6">
        <v>98</v>
      </c>
      <c r="GPJ6">
        <v>906.94</v>
      </c>
      <c r="GPK6">
        <v>1201.99</v>
      </c>
      <c r="GPL6">
        <v>0</v>
      </c>
      <c r="GPM6">
        <v>0</v>
      </c>
      <c r="GPN6">
        <v>0</v>
      </c>
      <c r="GPO6">
        <v>0</v>
      </c>
      <c r="GPP6">
        <v>34</v>
      </c>
      <c r="GPQ6">
        <v>0</v>
      </c>
      <c r="GPR6">
        <v>310.95999999999998</v>
      </c>
      <c r="GPS6">
        <v>8779.7900000000009</v>
      </c>
      <c r="GPT6">
        <v>0</v>
      </c>
      <c r="GPU6">
        <v>3704.85</v>
      </c>
      <c r="GPV6">
        <v>6183.89</v>
      </c>
      <c r="GPW6">
        <v>0</v>
      </c>
      <c r="GPX6">
        <v>356.99</v>
      </c>
      <c r="GPY6">
        <v>301</v>
      </c>
      <c r="GPZ6">
        <v>2238.6799999999998</v>
      </c>
      <c r="GQA6">
        <v>0</v>
      </c>
      <c r="GQB6">
        <v>0</v>
      </c>
      <c r="GQC6">
        <v>0</v>
      </c>
      <c r="GQD6">
        <v>293.97000000000003</v>
      </c>
      <c r="GQE6">
        <v>0</v>
      </c>
      <c r="GQF6">
        <v>369</v>
      </c>
      <c r="GQG6">
        <v>0</v>
      </c>
      <c r="GQH6">
        <v>0</v>
      </c>
      <c r="GQI6">
        <v>1412.98</v>
      </c>
      <c r="GQJ6">
        <v>0</v>
      </c>
      <c r="GQK6">
        <v>788.95</v>
      </c>
      <c r="GQL6">
        <v>0</v>
      </c>
      <c r="GQM6">
        <v>348</v>
      </c>
      <c r="GQN6">
        <v>0</v>
      </c>
      <c r="GQO6">
        <v>0</v>
      </c>
      <c r="GQP6">
        <v>0</v>
      </c>
      <c r="GQQ6">
        <v>0</v>
      </c>
      <c r="GQR6">
        <v>0</v>
      </c>
      <c r="GQS6">
        <v>0</v>
      </c>
      <c r="GQT6">
        <v>3229.98</v>
      </c>
      <c r="GQU6">
        <v>0</v>
      </c>
      <c r="GQV6">
        <v>686</v>
      </c>
      <c r="GQW6">
        <v>0</v>
      </c>
      <c r="GQX6">
        <v>0</v>
      </c>
      <c r="GQY6">
        <v>700.96</v>
      </c>
      <c r="GQZ6">
        <v>1058</v>
      </c>
      <c r="GRA6">
        <v>4</v>
      </c>
      <c r="GRB6">
        <v>0</v>
      </c>
      <c r="GRC6">
        <v>7042.99</v>
      </c>
      <c r="GRD6">
        <v>20</v>
      </c>
      <c r="GRE6">
        <v>0</v>
      </c>
      <c r="GRF6">
        <v>0</v>
      </c>
      <c r="GRG6">
        <v>306</v>
      </c>
      <c r="GRH6">
        <v>749.97</v>
      </c>
      <c r="GRI6">
        <v>1428.93</v>
      </c>
      <c r="GRJ6">
        <v>129</v>
      </c>
      <c r="GRK6">
        <v>4435.99</v>
      </c>
      <c r="GRL6">
        <v>1014.99</v>
      </c>
      <c r="GRM6">
        <v>916.98</v>
      </c>
      <c r="GRN6">
        <v>8</v>
      </c>
      <c r="GRO6">
        <v>0</v>
      </c>
      <c r="GRP6">
        <v>1213.93</v>
      </c>
      <c r="GRQ6">
        <v>863</v>
      </c>
      <c r="GRR6">
        <v>251.99</v>
      </c>
      <c r="GRS6">
        <v>540.99</v>
      </c>
      <c r="GRT6">
        <v>0</v>
      </c>
      <c r="GRU6">
        <v>618</v>
      </c>
      <c r="GRV6">
        <v>0</v>
      </c>
      <c r="GRW6">
        <v>3514.9</v>
      </c>
      <c r="GRX6">
        <v>1322.99</v>
      </c>
      <c r="GRY6">
        <v>455.96</v>
      </c>
      <c r="GRZ6">
        <v>548</v>
      </c>
      <c r="GSA6">
        <v>33</v>
      </c>
      <c r="GSB6">
        <v>8330.7199999999993</v>
      </c>
      <c r="GSC6">
        <v>1555.95</v>
      </c>
      <c r="GSD6">
        <v>17</v>
      </c>
      <c r="GSE6">
        <v>2182.9</v>
      </c>
      <c r="GSF6">
        <v>4514.9799999999996</v>
      </c>
      <c r="GSG6">
        <v>1142.98</v>
      </c>
      <c r="GSH6">
        <v>254</v>
      </c>
      <c r="GSI6">
        <v>934.99</v>
      </c>
      <c r="GSJ6">
        <v>5439.82</v>
      </c>
      <c r="GSK6">
        <v>603.95000000000005</v>
      </c>
      <c r="GSL6">
        <v>355.98</v>
      </c>
      <c r="GSM6">
        <v>112</v>
      </c>
      <c r="GSN6">
        <v>6393.85</v>
      </c>
      <c r="GSO6">
        <v>1023.97</v>
      </c>
      <c r="GSP6">
        <v>4731.8999999999996</v>
      </c>
      <c r="GSQ6">
        <v>5816.77</v>
      </c>
      <c r="GSR6">
        <v>293761.56</v>
      </c>
    </row>
    <row r="7" spans="1:5244" x14ac:dyDescent="0.2">
      <c r="A7" s="7">
        <v>42</v>
      </c>
      <c r="B7">
        <v>0</v>
      </c>
      <c r="C7">
        <v>0</v>
      </c>
      <c r="D7">
        <v>0</v>
      </c>
      <c r="E7">
        <v>0</v>
      </c>
      <c r="F7">
        <v>0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3</v>
      </c>
      <c r="Q7">
        <v>3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4</v>
      </c>
      <c r="AR7">
        <v>4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5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6</v>
      </c>
      <c r="DQ7">
        <v>6</v>
      </c>
      <c r="DR7">
        <v>6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6.99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7</v>
      </c>
      <c r="GM7">
        <v>7</v>
      </c>
      <c r="GN7">
        <v>7</v>
      </c>
      <c r="GO7">
        <v>7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5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8</v>
      </c>
      <c r="IO7">
        <v>8</v>
      </c>
      <c r="IP7">
        <v>8</v>
      </c>
      <c r="IQ7">
        <v>8</v>
      </c>
      <c r="IR7">
        <v>8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9</v>
      </c>
      <c r="KL7">
        <v>9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10</v>
      </c>
      <c r="MN7">
        <v>10</v>
      </c>
      <c r="MO7">
        <v>10</v>
      </c>
      <c r="MP7">
        <v>10</v>
      </c>
      <c r="MQ7">
        <v>10</v>
      </c>
      <c r="MR7">
        <v>10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11</v>
      </c>
      <c r="OQ7">
        <v>11</v>
      </c>
      <c r="OR7">
        <v>11</v>
      </c>
      <c r="OS7">
        <v>11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12</v>
      </c>
      <c r="QX7">
        <v>12</v>
      </c>
      <c r="QY7">
        <v>12</v>
      </c>
      <c r="QZ7">
        <v>12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13</v>
      </c>
      <c r="TC7">
        <v>13</v>
      </c>
      <c r="TD7">
        <v>13</v>
      </c>
      <c r="TE7">
        <v>13</v>
      </c>
      <c r="TF7">
        <v>13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13.99</v>
      </c>
      <c r="UO7">
        <v>13.99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14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15</v>
      </c>
      <c r="XN7">
        <v>15</v>
      </c>
      <c r="XO7">
        <v>15</v>
      </c>
      <c r="XP7">
        <v>15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15.99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16</v>
      </c>
      <c r="ZR7">
        <v>16</v>
      </c>
      <c r="ZS7">
        <v>16</v>
      </c>
      <c r="ZT7">
        <v>16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17</v>
      </c>
      <c r="ABC7">
        <v>17</v>
      </c>
      <c r="ABD7">
        <v>17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18</v>
      </c>
      <c r="ACX7">
        <v>18</v>
      </c>
      <c r="ACY7">
        <v>18</v>
      </c>
      <c r="ACZ7">
        <v>18</v>
      </c>
      <c r="ADA7">
        <v>18</v>
      </c>
      <c r="ADB7">
        <v>18</v>
      </c>
      <c r="ADC7">
        <v>18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18.989999999999998</v>
      </c>
      <c r="AEP7">
        <v>18.989999999999998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19</v>
      </c>
      <c r="AFN7">
        <v>19</v>
      </c>
      <c r="AFO7">
        <v>19</v>
      </c>
      <c r="AFP7">
        <v>19</v>
      </c>
      <c r="AFQ7">
        <v>19</v>
      </c>
      <c r="AFR7">
        <v>19</v>
      </c>
      <c r="AFS7">
        <v>19</v>
      </c>
      <c r="AFT7">
        <v>19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20</v>
      </c>
      <c r="AHW7">
        <v>20</v>
      </c>
      <c r="AHX7">
        <v>20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21</v>
      </c>
      <c r="AJU7">
        <v>21</v>
      </c>
      <c r="AJV7">
        <v>21</v>
      </c>
      <c r="AJW7">
        <v>21</v>
      </c>
      <c r="AJX7">
        <v>21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22</v>
      </c>
      <c r="ALS7">
        <v>22</v>
      </c>
      <c r="ALT7">
        <v>22</v>
      </c>
      <c r="ALU7">
        <v>22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22.97</v>
      </c>
      <c r="ANA7">
        <v>0</v>
      </c>
      <c r="ANB7">
        <v>22.99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23</v>
      </c>
      <c r="ANQ7">
        <v>23</v>
      </c>
      <c r="ANR7">
        <v>23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24.99</v>
      </c>
      <c r="APW7">
        <v>0</v>
      </c>
      <c r="APX7">
        <v>7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25</v>
      </c>
      <c r="AQH7">
        <v>25</v>
      </c>
      <c r="AQI7">
        <v>25</v>
      </c>
      <c r="AQJ7">
        <v>25</v>
      </c>
      <c r="AQK7">
        <v>25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19.989999999999998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26</v>
      </c>
      <c r="ASM7">
        <v>26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7</v>
      </c>
      <c r="ATG7">
        <v>0</v>
      </c>
      <c r="ATH7">
        <v>0</v>
      </c>
      <c r="ATI7">
        <v>0</v>
      </c>
      <c r="ATJ7">
        <v>7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27</v>
      </c>
      <c r="ATX7">
        <v>27</v>
      </c>
      <c r="ATY7">
        <v>27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28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29</v>
      </c>
      <c r="AWQ7">
        <v>29</v>
      </c>
      <c r="AWR7">
        <v>29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25</v>
      </c>
      <c r="AXX7">
        <v>0</v>
      </c>
      <c r="AXY7">
        <v>0</v>
      </c>
      <c r="AXZ7">
        <v>30</v>
      </c>
      <c r="AYA7">
        <v>30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30.99</v>
      </c>
      <c r="AYT7">
        <v>30.99</v>
      </c>
      <c r="AYU7">
        <v>30.99</v>
      </c>
      <c r="AYV7">
        <v>0</v>
      </c>
      <c r="AYW7">
        <v>0</v>
      </c>
      <c r="AYX7">
        <v>0</v>
      </c>
      <c r="AYY7">
        <v>21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31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16</v>
      </c>
      <c r="BAH7">
        <v>0</v>
      </c>
      <c r="BAI7">
        <v>0</v>
      </c>
      <c r="BAJ7">
        <v>0</v>
      </c>
      <c r="BAK7">
        <v>0</v>
      </c>
      <c r="BAL7">
        <v>21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32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13</v>
      </c>
      <c r="BBZ7">
        <v>33</v>
      </c>
      <c r="BCA7">
        <v>33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33.99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34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34.99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20</v>
      </c>
      <c r="BEW7">
        <v>0</v>
      </c>
      <c r="BEX7">
        <v>0</v>
      </c>
      <c r="BEY7">
        <v>0</v>
      </c>
      <c r="BEZ7">
        <v>0</v>
      </c>
      <c r="BFA7">
        <v>20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35</v>
      </c>
      <c r="BFH7">
        <v>35</v>
      </c>
      <c r="BFI7">
        <v>35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35.99</v>
      </c>
      <c r="BFX7">
        <v>6</v>
      </c>
      <c r="BFY7">
        <v>35.99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30</v>
      </c>
      <c r="BGH7">
        <v>36</v>
      </c>
      <c r="BGI7">
        <v>16</v>
      </c>
      <c r="BGJ7">
        <v>36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36.99</v>
      </c>
      <c r="BHB7">
        <v>36.99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37.99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5</v>
      </c>
      <c r="BIW7">
        <v>38</v>
      </c>
      <c r="BIX7">
        <v>38</v>
      </c>
      <c r="BIY7">
        <v>38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39</v>
      </c>
      <c r="BKF7">
        <v>39</v>
      </c>
      <c r="BKG7">
        <v>31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39.99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41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42</v>
      </c>
      <c r="BNI7">
        <v>42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42.99</v>
      </c>
      <c r="BOE7">
        <v>0</v>
      </c>
      <c r="BOF7">
        <v>0</v>
      </c>
      <c r="BOG7">
        <v>0</v>
      </c>
      <c r="BOH7">
        <v>25</v>
      </c>
      <c r="BOI7">
        <v>0</v>
      </c>
      <c r="BOJ7">
        <v>0</v>
      </c>
      <c r="BOK7">
        <v>7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43.99</v>
      </c>
      <c r="BPF7">
        <v>10.99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44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45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45.99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18</v>
      </c>
      <c r="BRJ7">
        <v>46</v>
      </c>
      <c r="BRK7">
        <v>46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47</v>
      </c>
      <c r="BSG7">
        <v>14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48.99</v>
      </c>
      <c r="BTV7">
        <v>48.99</v>
      </c>
      <c r="BTW7">
        <v>0</v>
      </c>
      <c r="BTX7">
        <v>0</v>
      </c>
      <c r="BTY7">
        <v>0</v>
      </c>
      <c r="BTZ7">
        <v>0</v>
      </c>
      <c r="BUA7">
        <v>49</v>
      </c>
      <c r="BUB7">
        <v>49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36.99</v>
      </c>
      <c r="BUS7">
        <v>0</v>
      </c>
      <c r="BUT7">
        <v>49.99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12</v>
      </c>
      <c r="BVA7">
        <v>3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51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52</v>
      </c>
      <c r="BWX7">
        <v>42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  <c r="BXY7">
        <v>0</v>
      </c>
      <c r="BXZ7">
        <v>0</v>
      </c>
      <c r="BYA7">
        <v>29.99</v>
      </c>
      <c r="BYB7">
        <v>0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24</v>
      </c>
      <c r="BYJ7">
        <v>0</v>
      </c>
      <c r="BYK7">
        <v>0</v>
      </c>
      <c r="BYL7">
        <v>0</v>
      </c>
      <c r="BYM7">
        <v>0</v>
      </c>
      <c r="BYN7">
        <v>11</v>
      </c>
      <c r="BYO7">
        <v>0</v>
      </c>
      <c r="BYP7">
        <v>0</v>
      </c>
      <c r="BYQ7">
        <v>0</v>
      </c>
      <c r="BYR7">
        <v>28.99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  <c r="BYZ7">
        <v>0</v>
      </c>
      <c r="BZA7">
        <v>0</v>
      </c>
      <c r="BZB7">
        <v>36</v>
      </c>
      <c r="BZC7">
        <v>0</v>
      </c>
      <c r="BZD7">
        <v>0</v>
      </c>
      <c r="BZE7">
        <v>0</v>
      </c>
      <c r="BZF7">
        <v>0</v>
      </c>
      <c r="BZG7">
        <v>0</v>
      </c>
      <c r="BZH7">
        <v>0</v>
      </c>
      <c r="BZI7">
        <v>0</v>
      </c>
      <c r="BZJ7">
        <v>0</v>
      </c>
      <c r="BZK7">
        <v>0</v>
      </c>
      <c r="BZL7">
        <v>0</v>
      </c>
      <c r="BZM7">
        <v>0</v>
      </c>
      <c r="BZN7">
        <v>0</v>
      </c>
      <c r="BZO7">
        <v>0</v>
      </c>
      <c r="BZP7">
        <v>0</v>
      </c>
      <c r="BZQ7">
        <v>0</v>
      </c>
      <c r="BZR7">
        <v>0</v>
      </c>
      <c r="BZS7">
        <v>0</v>
      </c>
      <c r="BZT7">
        <v>33</v>
      </c>
      <c r="BZU7">
        <v>0</v>
      </c>
      <c r="BZV7">
        <v>0</v>
      </c>
      <c r="BZW7">
        <v>0</v>
      </c>
      <c r="BZX7">
        <v>0</v>
      </c>
      <c r="BZY7">
        <v>0</v>
      </c>
      <c r="BZZ7">
        <v>0</v>
      </c>
      <c r="CAA7">
        <v>0</v>
      </c>
      <c r="CAB7">
        <v>0</v>
      </c>
      <c r="CAC7">
        <v>0</v>
      </c>
      <c r="CAD7">
        <v>0</v>
      </c>
      <c r="CAE7">
        <v>56.99</v>
      </c>
      <c r="CAF7">
        <v>0</v>
      </c>
      <c r="CAG7">
        <v>0</v>
      </c>
      <c r="CAH7">
        <v>0</v>
      </c>
      <c r="CAI7">
        <v>0</v>
      </c>
      <c r="CAJ7">
        <v>0</v>
      </c>
      <c r="CAK7">
        <v>57</v>
      </c>
      <c r="CAL7">
        <v>0</v>
      </c>
      <c r="CAM7">
        <v>0</v>
      </c>
      <c r="CAN7">
        <v>0</v>
      </c>
      <c r="CAO7">
        <v>0</v>
      </c>
      <c r="CAP7">
        <v>0</v>
      </c>
      <c r="CAQ7">
        <v>0</v>
      </c>
      <c r="CAR7">
        <v>0</v>
      </c>
      <c r="CAS7">
        <v>0</v>
      </c>
      <c r="CAT7">
        <v>0</v>
      </c>
      <c r="CAU7">
        <v>0</v>
      </c>
      <c r="CAV7">
        <v>0</v>
      </c>
      <c r="CAW7">
        <v>0</v>
      </c>
      <c r="CAX7">
        <v>0</v>
      </c>
      <c r="CAY7">
        <v>0</v>
      </c>
      <c r="CAZ7">
        <v>0</v>
      </c>
      <c r="CBA7">
        <v>0</v>
      </c>
      <c r="CBB7">
        <v>0</v>
      </c>
      <c r="CBC7">
        <v>0</v>
      </c>
      <c r="CBD7">
        <v>0</v>
      </c>
      <c r="CBE7">
        <v>58</v>
      </c>
      <c r="CBF7">
        <v>0</v>
      </c>
      <c r="CBG7">
        <v>0</v>
      </c>
      <c r="CBH7">
        <v>0</v>
      </c>
      <c r="CBI7">
        <v>0</v>
      </c>
      <c r="CBJ7">
        <v>0</v>
      </c>
      <c r="CBK7">
        <v>0</v>
      </c>
      <c r="CBL7">
        <v>0</v>
      </c>
      <c r="CBM7">
        <v>0</v>
      </c>
      <c r="CBN7">
        <v>0</v>
      </c>
      <c r="CBO7">
        <v>0</v>
      </c>
      <c r="CBP7">
        <v>9</v>
      </c>
      <c r="CBQ7">
        <v>0</v>
      </c>
      <c r="CBR7">
        <v>0</v>
      </c>
      <c r="CBS7">
        <v>0</v>
      </c>
      <c r="CBT7">
        <v>0</v>
      </c>
      <c r="CBU7">
        <v>0</v>
      </c>
      <c r="CBV7">
        <v>0</v>
      </c>
      <c r="CBW7">
        <v>0</v>
      </c>
      <c r="CBX7">
        <v>0</v>
      </c>
      <c r="CBY7">
        <v>0</v>
      </c>
      <c r="CBZ7">
        <v>59</v>
      </c>
      <c r="CCA7">
        <v>0</v>
      </c>
      <c r="CCB7">
        <v>0</v>
      </c>
      <c r="CCC7">
        <v>0</v>
      </c>
      <c r="CCD7">
        <v>0</v>
      </c>
      <c r="CCE7">
        <v>0</v>
      </c>
      <c r="CCF7">
        <v>0</v>
      </c>
      <c r="CCG7">
        <v>0</v>
      </c>
      <c r="CCH7">
        <v>0</v>
      </c>
      <c r="CCI7">
        <v>0</v>
      </c>
      <c r="CCJ7">
        <v>0</v>
      </c>
      <c r="CCK7">
        <v>0</v>
      </c>
      <c r="CCL7">
        <v>0</v>
      </c>
      <c r="CCM7">
        <v>0</v>
      </c>
      <c r="CCN7">
        <v>60</v>
      </c>
      <c r="CCO7">
        <v>0</v>
      </c>
      <c r="CCP7">
        <v>0</v>
      </c>
      <c r="CCQ7">
        <v>0</v>
      </c>
      <c r="CCR7">
        <v>0</v>
      </c>
      <c r="CCS7">
        <v>0</v>
      </c>
      <c r="CCT7">
        <v>0</v>
      </c>
      <c r="CCU7">
        <v>0</v>
      </c>
      <c r="CCV7">
        <v>0</v>
      </c>
      <c r="CCW7">
        <v>0</v>
      </c>
      <c r="CCX7">
        <v>0</v>
      </c>
      <c r="CCY7">
        <v>0</v>
      </c>
      <c r="CCZ7">
        <v>0</v>
      </c>
      <c r="CDA7">
        <v>0</v>
      </c>
      <c r="CDB7">
        <v>0</v>
      </c>
      <c r="CDC7">
        <v>0</v>
      </c>
      <c r="CDD7">
        <v>0</v>
      </c>
      <c r="CDE7">
        <v>0</v>
      </c>
      <c r="CDF7">
        <v>45</v>
      </c>
      <c r="CDG7">
        <v>61</v>
      </c>
      <c r="CDH7">
        <v>0</v>
      </c>
      <c r="CDI7">
        <v>0</v>
      </c>
      <c r="CDJ7">
        <v>0</v>
      </c>
      <c r="CDK7">
        <v>0</v>
      </c>
      <c r="CDL7">
        <v>0</v>
      </c>
      <c r="CDM7">
        <v>0</v>
      </c>
      <c r="CDN7">
        <v>0</v>
      </c>
      <c r="CDO7">
        <v>0</v>
      </c>
      <c r="CDP7">
        <v>38</v>
      </c>
      <c r="CDQ7">
        <v>0</v>
      </c>
      <c r="CDR7">
        <v>0</v>
      </c>
      <c r="CDS7">
        <v>0</v>
      </c>
      <c r="CDT7">
        <v>62</v>
      </c>
      <c r="CDU7">
        <v>50</v>
      </c>
      <c r="CDV7">
        <v>0</v>
      </c>
      <c r="CDW7">
        <v>0</v>
      </c>
      <c r="CDX7">
        <v>0</v>
      </c>
      <c r="CDY7">
        <v>0</v>
      </c>
      <c r="CDZ7">
        <v>0</v>
      </c>
      <c r="CEA7">
        <v>0</v>
      </c>
      <c r="CEB7">
        <v>0</v>
      </c>
      <c r="CEC7">
        <v>25.99</v>
      </c>
      <c r="CED7">
        <v>0</v>
      </c>
      <c r="CEE7">
        <v>0</v>
      </c>
      <c r="CEF7">
        <v>0</v>
      </c>
      <c r="CEG7">
        <v>0</v>
      </c>
      <c r="CEH7">
        <v>0</v>
      </c>
      <c r="CEI7">
        <v>63</v>
      </c>
      <c r="CEJ7">
        <v>21</v>
      </c>
      <c r="CEK7">
        <v>0</v>
      </c>
      <c r="CEL7">
        <v>0</v>
      </c>
      <c r="CEM7">
        <v>0</v>
      </c>
      <c r="CEN7">
        <v>0</v>
      </c>
      <c r="CEO7">
        <v>0</v>
      </c>
      <c r="CEP7">
        <v>0</v>
      </c>
      <c r="CEQ7">
        <v>0</v>
      </c>
      <c r="CER7">
        <v>0</v>
      </c>
      <c r="CES7">
        <v>0</v>
      </c>
      <c r="CET7">
        <v>0</v>
      </c>
      <c r="CEU7">
        <v>0</v>
      </c>
      <c r="CEV7">
        <v>0</v>
      </c>
      <c r="CEW7">
        <v>63.99</v>
      </c>
      <c r="CEX7">
        <v>0</v>
      </c>
      <c r="CEY7">
        <v>0</v>
      </c>
      <c r="CEZ7">
        <v>0</v>
      </c>
      <c r="CFA7">
        <v>0</v>
      </c>
      <c r="CFB7">
        <v>0</v>
      </c>
      <c r="CFC7">
        <v>0</v>
      </c>
      <c r="CFD7">
        <v>0</v>
      </c>
      <c r="CFE7">
        <v>64</v>
      </c>
      <c r="CFF7">
        <v>0</v>
      </c>
      <c r="CFG7">
        <v>0</v>
      </c>
      <c r="CFH7">
        <v>0</v>
      </c>
      <c r="CFI7">
        <v>0</v>
      </c>
      <c r="CFJ7">
        <v>0</v>
      </c>
      <c r="CFK7">
        <v>0</v>
      </c>
      <c r="CFL7">
        <v>0</v>
      </c>
      <c r="CFM7">
        <v>0</v>
      </c>
      <c r="CFN7">
        <v>0</v>
      </c>
      <c r="CFO7">
        <v>0</v>
      </c>
      <c r="CFP7">
        <v>0</v>
      </c>
      <c r="CFQ7">
        <v>0</v>
      </c>
      <c r="CFR7">
        <v>0</v>
      </c>
      <c r="CFS7">
        <v>0</v>
      </c>
      <c r="CFT7">
        <v>45.99</v>
      </c>
      <c r="CFU7">
        <v>0</v>
      </c>
      <c r="CFV7">
        <v>0</v>
      </c>
      <c r="CFW7">
        <v>0</v>
      </c>
      <c r="CFX7">
        <v>23</v>
      </c>
      <c r="CFY7">
        <v>0</v>
      </c>
      <c r="CFZ7">
        <v>0</v>
      </c>
      <c r="CGA7">
        <v>0</v>
      </c>
      <c r="CGB7">
        <v>0</v>
      </c>
      <c r="CGC7">
        <v>65</v>
      </c>
      <c r="CGD7">
        <v>0</v>
      </c>
      <c r="CGE7">
        <v>0</v>
      </c>
      <c r="CGF7">
        <v>0</v>
      </c>
      <c r="CGG7">
        <v>0</v>
      </c>
      <c r="CGH7">
        <v>0</v>
      </c>
      <c r="CGI7">
        <v>0</v>
      </c>
      <c r="CGJ7">
        <v>0</v>
      </c>
      <c r="CGK7">
        <v>0</v>
      </c>
      <c r="CGL7">
        <v>0</v>
      </c>
      <c r="CGM7">
        <v>0</v>
      </c>
      <c r="CGN7">
        <v>0</v>
      </c>
      <c r="CGO7">
        <v>0</v>
      </c>
      <c r="CGP7">
        <v>0</v>
      </c>
      <c r="CGQ7">
        <v>0</v>
      </c>
      <c r="CGR7">
        <v>0</v>
      </c>
      <c r="CGS7">
        <v>48</v>
      </c>
      <c r="CGT7">
        <v>0</v>
      </c>
      <c r="CGU7">
        <v>20</v>
      </c>
      <c r="CGV7">
        <v>0</v>
      </c>
      <c r="CGW7">
        <v>0</v>
      </c>
      <c r="CGX7">
        <v>0</v>
      </c>
      <c r="CGY7">
        <v>0</v>
      </c>
      <c r="CGZ7">
        <v>0</v>
      </c>
      <c r="CHA7">
        <v>0</v>
      </c>
      <c r="CHB7">
        <v>0</v>
      </c>
      <c r="CHC7">
        <v>0</v>
      </c>
      <c r="CHD7">
        <v>0</v>
      </c>
      <c r="CHE7">
        <v>0</v>
      </c>
      <c r="CHF7">
        <v>0</v>
      </c>
      <c r="CHG7">
        <v>0</v>
      </c>
      <c r="CHH7">
        <v>0</v>
      </c>
      <c r="CHI7">
        <v>0</v>
      </c>
      <c r="CHJ7">
        <v>0</v>
      </c>
      <c r="CHK7">
        <v>67</v>
      </c>
      <c r="CHL7">
        <v>67</v>
      </c>
      <c r="CHM7">
        <v>0</v>
      </c>
      <c r="CHN7">
        <v>0</v>
      </c>
      <c r="CHO7">
        <v>0</v>
      </c>
      <c r="CHP7">
        <v>0</v>
      </c>
      <c r="CHQ7">
        <v>0</v>
      </c>
      <c r="CHR7">
        <v>0</v>
      </c>
      <c r="CHS7">
        <v>0</v>
      </c>
      <c r="CHT7">
        <v>0</v>
      </c>
      <c r="CHU7">
        <v>0</v>
      </c>
      <c r="CHV7">
        <v>0</v>
      </c>
      <c r="CHW7">
        <v>0</v>
      </c>
      <c r="CHX7">
        <v>0</v>
      </c>
      <c r="CHY7">
        <v>0</v>
      </c>
      <c r="CHZ7">
        <v>0</v>
      </c>
      <c r="CIA7">
        <v>0</v>
      </c>
      <c r="CIB7">
        <v>0</v>
      </c>
      <c r="CIC7">
        <v>0</v>
      </c>
      <c r="CID7">
        <v>48</v>
      </c>
      <c r="CIE7">
        <v>0</v>
      </c>
      <c r="CIF7">
        <v>0</v>
      </c>
      <c r="CIG7">
        <v>0</v>
      </c>
      <c r="CIH7">
        <v>0</v>
      </c>
      <c r="CII7">
        <v>0</v>
      </c>
      <c r="CIJ7">
        <v>0</v>
      </c>
      <c r="CIK7">
        <v>0</v>
      </c>
      <c r="CIL7">
        <v>0</v>
      </c>
      <c r="CIM7">
        <v>0</v>
      </c>
      <c r="CIN7">
        <v>0</v>
      </c>
      <c r="CIO7">
        <v>0</v>
      </c>
      <c r="CIP7">
        <v>0</v>
      </c>
      <c r="CIQ7">
        <v>0</v>
      </c>
      <c r="CIR7">
        <v>0</v>
      </c>
      <c r="CIS7">
        <v>0</v>
      </c>
      <c r="CIT7">
        <v>0</v>
      </c>
      <c r="CIU7">
        <v>0</v>
      </c>
      <c r="CIV7">
        <v>0</v>
      </c>
      <c r="CIW7">
        <v>0</v>
      </c>
      <c r="CIX7">
        <v>0</v>
      </c>
      <c r="CIY7">
        <v>0</v>
      </c>
      <c r="CIZ7">
        <v>0</v>
      </c>
      <c r="CJA7">
        <v>0</v>
      </c>
      <c r="CJB7">
        <v>0</v>
      </c>
      <c r="CJC7">
        <v>0</v>
      </c>
      <c r="CJD7">
        <v>69</v>
      </c>
      <c r="CJE7">
        <v>69</v>
      </c>
      <c r="CJF7">
        <v>0</v>
      </c>
      <c r="CJG7">
        <v>0</v>
      </c>
      <c r="CJH7">
        <v>0</v>
      </c>
      <c r="CJI7">
        <v>0</v>
      </c>
      <c r="CJJ7">
        <v>0</v>
      </c>
      <c r="CJK7">
        <v>0</v>
      </c>
      <c r="CJL7">
        <v>0</v>
      </c>
      <c r="CJM7">
        <v>0</v>
      </c>
      <c r="CJN7">
        <v>0</v>
      </c>
      <c r="CJO7">
        <v>0</v>
      </c>
      <c r="CJP7">
        <v>0</v>
      </c>
      <c r="CJQ7">
        <v>0</v>
      </c>
      <c r="CJR7">
        <v>0</v>
      </c>
      <c r="CJS7">
        <v>70</v>
      </c>
      <c r="CJT7">
        <v>70</v>
      </c>
      <c r="CJU7">
        <v>0</v>
      </c>
      <c r="CJV7">
        <v>0</v>
      </c>
      <c r="CJW7">
        <v>0</v>
      </c>
      <c r="CJX7">
        <v>0</v>
      </c>
      <c r="CJY7">
        <v>0</v>
      </c>
      <c r="CJZ7">
        <v>0</v>
      </c>
      <c r="CKA7">
        <v>0</v>
      </c>
      <c r="CKB7">
        <v>0</v>
      </c>
      <c r="CKC7">
        <v>0</v>
      </c>
      <c r="CKD7">
        <v>0</v>
      </c>
      <c r="CKE7">
        <v>0</v>
      </c>
      <c r="CKF7">
        <v>0</v>
      </c>
      <c r="CKG7">
        <v>0</v>
      </c>
      <c r="CKH7">
        <v>17.989999999999998</v>
      </c>
      <c r="CKI7">
        <v>70.989999999999995</v>
      </c>
      <c r="CKJ7">
        <v>0</v>
      </c>
      <c r="CKK7">
        <v>0</v>
      </c>
      <c r="CKL7">
        <v>0</v>
      </c>
      <c r="CKM7">
        <v>0</v>
      </c>
      <c r="CKN7">
        <v>0</v>
      </c>
      <c r="CKO7">
        <v>0</v>
      </c>
      <c r="CKP7">
        <v>0</v>
      </c>
      <c r="CKQ7">
        <v>0</v>
      </c>
      <c r="CKR7">
        <v>0</v>
      </c>
      <c r="CKS7">
        <v>0</v>
      </c>
      <c r="CKT7">
        <v>0</v>
      </c>
      <c r="CKU7">
        <v>71.989999999999995</v>
      </c>
      <c r="CKV7">
        <v>0</v>
      </c>
      <c r="CKW7">
        <v>0</v>
      </c>
      <c r="CKX7">
        <v>0</v>
      </c>
      <c r="CKY7">
        <v>0</v>
      </c>
      <c r="CKZ7">
        <v>0</v>
      </c>
      <c r="CLA7">
        <v>0</v>
      </c>
      <c r="CLB7">
        <v>25</v>
      </c>
      <c r="CLC7">
        <v>72</v>
      </c>
      <c r="CLD7">
        <v>15</v>
      </c>
      <c r="CLE7">
        <v>0</v>
      </c>
      <c r="CLF7">
        <v>0</v>
      </c>
      <c r="CLG7">
        <v>0</v>
      </c>
      <c r="CLH7">
        <v>0</v>
      </c>
      <c r="CLI7">
        <v>0</v>
      </c>
      <c r="CLJ7">
        <v>0</v>
      </c>
      <c r="CLK7">
        <v>0</v>
      </c>
      <c r="CLL7">
        <v>0</v>
      </c>
      <c r="CLM7">
        <v>0</v>
      </c>
      <c r="CLN7">
        <v>0</v>
      </c>
      <c r="CLO7">
        <v>0</v>
      </c>
      <c r="CLP7">
        <v>0</v>
      </c>
      <c r="CLQ7">
        <v>0</v>
      </c>
      <c r="CLR7">
        <v>32</v>
      </c>
      <c r="CLS7">
        <v>46.99</v>
      </c>
      <c r="CLT7">
        <v>0</v>
      </c>
      <c r="CLU7">
        <v>0</v>
      </c>
      <c r="CLV7">
        <v>0</v>
      </c>
      <c r="CLW7">
        <v>23</v>
      </c>
      <c r="CLX7">
        <v>0</v>
      </c>
      <c r="CLY7">
        <v>0</v>
      </c>
      <c r="CLZ7">
        <v>0</v>
      </c>
      <c r="CMA7">
        <v>0</v>
      </c>
      <c r="CMB7">
        <v>0</v>
      </c>
      <c r="CMC7">
        <v>0</v>
      </c>
      <c r="CMD7">
        <v>0</v>
      </c>
      <c r="CME7">
        <v>0</v>
      </c>
      <c r="CMF7">
        <v>0</v>
      </c>
      <c r="CMG7">
        <v>0</v>
      </c>
      <c r="CMH7">
        <v>0</v>
      </c>
      <c r="CMI7">
        <v>0</v>
      </c>
      <c r="CMJ7">
        <v>0</v>
      </c>
      <c r="CMK7">
        <v>0</v>
      </c>
      <c r="CML7">
        <v>0</v>
      </c>
      <c r="CMM7">
        <v>6</v>
      </c>
      <c r="CMN7">
        <v>0</v>
      </c>
      <c r="CMO7">
        <v>0</v>
      </c>
      <c r="CMP7">
        <v>0</v>
      </c>
      <c r="CMQ7">
        <v>0</v>
      </c>
      <c r="CMR7">
        <v>0</v>
      </c>
      <c r="CMS7">
        <v>75.989999999999995</v>
      </c>
      <c r="CMT7">
        <v>0</v>
      </c>
      <c r="CMU7">
        <v>0</v>
      </c>
      <c r="CMV7">
        <v>0</v>
      </c>
      <c r="CMW7">
        <v>0</v>
      </c>
      <c r="CMX7">
        <v>0</v>
      </c>
      <c r="CMY7">
        <v>0</v>
      </c>
      <c r="CMZ7">
        <v>0</v>
      </c>
      <c r="CNA7">
        <v>0</v>
      </c>
      <c r="CNB7">
        <v>0</v>
      </c>
      <c r="CNC7">
        <v>0</v>
      </c>
      <c r="CND7">
        <v>0</v>
      </c>
      <c r="CNE7">
        <v>8</v>
      </c>
      <c r="CNF7">
        <v>0</v>
      </c>
      <c r="CNG7">
        <v>0</v>
      </c>
      <c r="CNH7">
        <v>0</v>
      </c>
      <c r="CNI7">
        <v>0</v>
      </c>
      <c r="CNJ7">
        <v>77</v>
      </c>
      <c r="CNK7">
        <v>77</v>
      </c>
      <c r="CNL7">
        <v>0</v>
      </c>
      <c r="CNM7">
        <v>0</v>
      </c>
      <c r="CNN7">
        <v>0</v>
      </c>
      <c r="CNO7">
        <v>0</v>
      </c>
      <c r="CNP7">
        <v>0</v>
      </c>
      <c r="CNQ7">
        <v>0</v>
      </c>
      <c r="CNR7">
        <v>5</v>
      </c>
      <c r="CNS7">
        <v>0</v>
      </c>
      <c r="CNT7">
        <v>0</v>
      </c>
      <c r="CNU7">
        <v>0</v>
      </c>
      <c r="CNV7">
        <v>0</v>
      </c>
      <c r="CNW7">
        <v>0</v>
      </c>
      <c r="CNX7">
        <v>0</v>
      </c>
      <c r="CNY7">
        <v>0</v>
      </c>
      <c r="CNZ7">
        <v>0</v>
      </c>
      <c r="COA7">
        <v>15</v>
      </c>
      <c r="COB7">
        <v>0</v>
      </c>
      <c r="COC7">
        <v>0</v>
      </c>
      <c r="COD7">
        <v>0</v>
      </c>
      <c r="COE7">
        <v>0</v>
      </c>
      <c r="COF7">
        <v>0</v>
      </c>
      <c r="COG7">
        <v>0</v>
      </c>
      <c r="COH7">
        <v>0</v>
      </c>
      <c r="COI7">
        <v>0</v>
      </c>
      <c r="COJ7">
        <v>0</v>
      </c>
      <c r="COK7">
        <v>0</v>
      </c>
      <c r="COL7">
        <v>0</v>
      </c>
      <c r="COM7">
        <v>68</v>
      </c>
      <c r="CON7">
        <v>0</v>
      </c>
      <c r="COO7">
        <v>0</v>
      </c>
      <c r="COP7">
        <v>0</v>
      </c>
      <c r="COQ7">
        <v>0</v>
      </c>
      <c r="COR7">
        <v>0</v>
      </c>
      <c r="COS7">
        <v>0</v>
      </c>
      <c r="COT7">
        <v>0</v>
      </c>
      <c r="COU7">
        <v>0</v>
      </c>
      <c r="COV7">
        <v>0</v>
      </c>
      <c r="COW7">
        <v>0</v>
      </c>
      <c r="COX7">
        <v>0</v>
      </c>
      <c r="COY7">
        <v>0</v>
      </c>
      <c r="COZ7">
        <v>0</v>
      </c>
      <c r="CPA7">
        <v>0</v>
      </c>
      <c r="CPB7">
        <v>0</v>
      </c>
      <c r="CPC7">
        <v>0</v>
      </c>
      <c r="CPD7">
        <v>0</v>
      </c>
      <c r="CPE7">
        <v>37.99</v>
      </c>
      <c r="CPF7">
        <v>0</v>
      </c>
      <c r="CPG7">
        <v>80.989999999999995</v>
      </c>
      <c r="CPH7">
        <v>0</v>
      </c>
      <c r="CPI7">
        <v>0</v>
      </c>
      <c r="CPJ7">
        <v>0</v>
      </c>
      <c r="CPK7">
        <v>0</v>
      </c>
      <c r="CPL7">
        <v>0</v>
      </c>
      <c r="CPM7">
        <v>0</v>
      </c>
      <c r="CPN7">
        <v>0</v>
      </c>
      <c r="CPO7">
        <v>0</v>
      </c>
      <c r="CPP7">
        <v>0</v>
      </c>
      <c r="CPQ7">
        <v>0</v>
      </c>
      <c r="CPR7">
        <v>0</v>
      </c>
      <c r="CPS7">
        <v>0</v>
      </c>
      <c r="CPT7">
        <v>0</v>
      </c>
      <c r="CPU7">
        <v>0</v>
      </c>
      <c r="CPV7">
        <v>0</v>
      </c>
      <c r="CPW7">
        <v>0</v>
      </c>
      <c r="CPX7">
        <v>0</v>
      </c>
      <c r="CPY7">
        <v>0</v>
      </c>
      <c r="CPZ7">
        <v>0</v>
      </c>
      <c r="CQA7">
        <v>0</v>
      </c>
      <c r="CQB7">
        <v>0</v>
      </c>
      <c r="CQC7">
        <v>0</v>
      </c>
      <c r="CQD7">
        <v>0</v>
      </c>
      <c r="CQE7">
        <v>0</v>
      </c>
      <c r="CQF7">
        <v>0</v>
      </c>
      <c r="CQG7">
        <v>0</v>
      </c>
      <c r="CQH7">
        <v>0</v>
      </c>
      <c r="CQI7">
        <v>0</v>
      </c>
      <c r="CQJ7">
        <v>0</v>
      </c>
      <c r="CQK7">
        <v>0</v>
      </c>
      <c r="CQL7">
        <v>0</v>
      </c>
      <c r="CQM7">
        <v>0</v>
      </c>
      <c r="CQN7">
        <v>0</v>
      </c>
      <c r="CQO7">
        <v>0</v>
      </c>
      <c r="CQP7">
        <v>0</v>
      </c>
      <c r="CQQ7">
        <v>0</v>
      </c>
      <c r="CQR7">
        <v>0</v>
      </c>
      <c r="CQS7">
        <v>0</v>
      </c>
      <c r="CQT7">
        <v>0</v>
      </c>
      <c r="CQU7">
        <v>0</v>
      </c>
      <c r="CQV7">
        <v>0</v>
      </c>
      <c r="CQW7">
        <v>0</v>
      </c>
      <c r="CQX7">
        <v>0</v>
      </c>
      <c r="CQY7">
        <v>0</v>
      </c>
      <c r="CQZ7">
        <v>0</v>
      </c>
      <c r="CRA7">
        <v>0</v>
      </c>
      <c r="CRB7">
        <v>0</v>
      </c>
      <c r="CRC7">
        <v>29</v>
      </c>
      <c r="CRD7">
        <v>0</v>
      </c>
      <c r="CRE7">
        <v>86</v>
      </c>
      <c r="CRF7">
        <v>0</v>
      </c>
      <c r="CRG7">
        <v>0</v>
      </c>
      <c r="CRH7">
        <v>0</v>
      </c>
      <c r="CRI7">
        <v>0</v>
      </c>
      <c r="CRJ7">
        <v>0</v>
      </c>
      <c r="CRK7">
        <v>0</v>
      </c>
      <c r="CRL7">
        <v>0</v>
      </c>
      <c r="CRM7">
        <v>0</v>
      </c>
      <c r="CRN7">
        <v>0</v>
      </c>
      <c r="CRO7">
        <v>0</v>
      </c>
      <c r="CRP7">
        <v>0</v>
      </c>
      <c r="CRQ7">
        <v>0</v>
      </c>
      <c r="CRR7">
        <v>0</v>
      </c>
      <c r="CRS7">
        <v>0</v>
      </c>
      <c r="CRT7">
        <v>0</v>
      </c>
      <c r="CRU7">
        <v>0</v>
      </c>
      <c r="CRV7">
        <v>0</v>
      </c>
      <c r="CRW7">
        <v>0</v>
      </c>
      <c r="CRX7">
        <v>4</v>
      </c>
      <c r="CRY7">
        <v>0</v>
      </c>
      <c r="CRZ7">
        <v>0</v>
      </c>
      <c r="CSA7">
        <v>0</v>
      </c>
      <c r="CSB7">
        <v>88</v>
      </c>
      <c r="CSC7">
        <v>0</v>
      </c>
      <c r="CSD7">
        <v>0</v>
      </c>
      <c r="CSE7">
        <v>0</v>
      </c>
      <c r="CSF7">
        <v>0</v>
      </c>
      <c r="CSG7">
        <v>0</v>
      </c>
      <c r="CSH7">
        <v>0</v>
      </c>
      <c r="CSI7">
        <v>0</v>
      </c>
      <c r="CSJ7">
        <v>0</v>
      </c>
      <c r="CSK7">
        <v>0</v>
      </c>
      <c r="CSL7">
        <v>0</v>
      </c>
      <c r="CSM7">
        <v>0</v>
      </c>
      <c r="CSN7">
        <v>25</v>
      </c>
      <c r="CSO7">
        <v>0</v>
      </c>
      <c r="CSP7">
        <v>0</v>
      </c>
      <c r="CSQ7">
        <v>0</v>
      </c>
      <c r="CSR7">
        <v>0</v>
      </c>
      <c r="CSS7">
        <v>0</v>
      </c>
      <c r="CST7">
        <v>0</v>
      </c>
      <c r="CSU7">
        <v>0</v>
      </c>
      <c r="CSV7">
        <v>89.99</v>
      </c>
      <c r="CSW7">
        <v>0</v>
      </c>
      <c r="CSX7">
        <v>0</v>
      </c>
      <c r="CSY7">
        <v>0</v>
      </c>
      <c r="CSZ7">
        <v>0</v>
      </c>
      <c r="CTA7">
        <v>0</v>
      </c>
      <c r="CTB7">
        <v>0</v>
      </c>
      <c r="CTC7">
        <v>0</v>
      </c>
      <c r="CTD7">
        <v>0</v>
      </c>
      <c r="CTE7">
        <v>0</v>
      </c>
      <c r="CTF7">
        <v>0</v>
      </c>
      <c r="CTG7">
        <v>0</v>
      </c>
      <c r="CTH7">
        <v>0</v>
      </c>
      <c r="CTI7">
        <v>0</v>
      </c>
      <c r="CTJ7">
        <v>0</v>
      </c>
      <c r="CTK7">
        <v>0</v>
      </c>
      <c r="CTL7">
        <v>0</v>
      </c>
      <c r="CTM7">
        <v>0</v>
      </c>
      <c r="CTN7">
        <v>91</v>
      </c>
      <c r="CTO7">
        <v>0</v>
      </c>
      <c r="CTP7">
        <v>0</v>
      </c>
      <c r="CTQ7">
        <v>0</v>
      </c>
      <c r="CTR7">
        <v>0</v>
      </c>
      <c r="CTS7">
        <v>0</v>
      </c>
      <c r="CTT7">
        <v>91.99</v>
      </c>
      <c r="CTU7">
        <v>0</v>
      </c>
      <c r="CTV7">
        <v>0</v>
      </c>
      <c r="CTW7">
        <v>0</v>
      </c>
      <c r="CTX7">
        <v>92</v>
      </c>
      <c r="CTY7">
        <v>0</v>
      </c>
      <c r="CTZ7">
        <v>0</v>
      </c>
      <c r="CUA7">
        <v>0</v>
      </c>
      <c r="CUB7">
        <v>0</v>
      </c>
      <c r="CUC7">
        <v>0</v>
      </c>
      <c r="CUD7">
        <v>0</v>
      </c>
      <c r="CUE7">
        <v>0</v>
      </c>
      <c r="CUF7">
        <v>0</v>
      </c>
      <c r="CUG7">
        <v>0</v>
      </c>
      <c r="CUH7">
        <v>0</v>
      </c>
      <c r="CUI7">
        <v>44.99</v>
      </c>
      <c r="CUJ7">
        <v>93.99</v>
      </c>
      <c r="CUK7">
        <v>0</v>
      </c>
      <c r="CUL7">
        <v>0</v>
      </c>
      <c r="CUM7">
        <v>0</v>
      </c>
      <c r="CUN7">
        <v>0</v>
      </c>
      <c r="CUO7">
        <v>0</v>
      </c>
      <c r="CUP7">
        <v>0</v>
      </c>
      <c r="CUQ7">
        <v>0</v>
      </c>
      <c r="CUR7">
        <v>0</v>
      </c>
      <c r="CUS7">
        <v>0</v>
      </c>
      <c r="CUT7">
        <v>0</v>
      </c>
      <c r="CUU7">
        <v>21</v>
      </c>
      <c r="CUV7">
        <v>0</v>
      </c>
      <c r="CUW7">
        <v>0</v>
      </c>
      <c r="CUX7">
        <v>0</v>
      </c>
      <c r="CUY7">
        <v>0</v>
      </c>
      <c r="CUZ7">
        <v>0</v>
      </c>
      <c r="CVA7">
        <v>0</v>
      </c>
      <c r="CVB7">
        <v>0</v>
      </c>
      <c r="CVC7">
        <v>0</v>
      </c>
      <c r="CVD7">
        <v>0</v>
      </c>
      <c r="CVE7">
        <v>0</v>
      </c>
      <c r="CVF7">
        <v>0</v>
      </c>
      <c r="CVG7">
        <v>0</v>
      </c>
      <c r="CVH7">
        <v>0</v>
      </c>
      <c r="CVI7">
        <v>0</v>
      </c>
      <c r="CVJ7">
        <v>0</v>
      </c>
      <c r="CVK7">
        <v>0</v>
      </c>
      <c r="CVL7">
        <v>0</v>
      </c>
      <c r="CVM7">
        <v>96</v>
      </c>
      <c r="CVN7">
        <v>96</v>
      </c>
      <c r="CVO7">
        <v>0</v>
      </c>
      <c r="CVP7">
        <v>0</v>
      </c>
      <c r="CVQ7">
        <v>0</v>
      </c>
      <c r="CVR7">
        <v>0</v>
      </c>
      <c r="CVS7">
        <v>0</v>
      </c>
      <c r="CVT7">
        <v>0</v>
      </c>
      <c r="CVU7">
        <v>0</v>
      </c>
      <c r="CVV7">
        <v>0</v>
      </c>
      <c r="CVW7">
        <v>22</v>
      </c>
      <c r="CVX7">
        <v>0</v>
      </c>
      <c r="CVY7">
        <v>0</v>
      </c>
      <c r="CVZ7">
        <v>0</v>
      </c>
      <c r="CWA7">
        <v>0</v>
      </c>
      <c r="CWB7">
        <v>0</v>
      </c>
      <c r="CWC7">
        <v>0</v>
      </c>
      <c r="CWD7">
        <v>0</v>
      </c>
      <c r="CWE7">
        <v>97.99</v>
      </c>
      <c r="CWF7">
        <v>53</v>
      </c>
      <c r="CWG7">
        <v>0</v>
      </c>
      <c r="CWH7">
        <v>0</v>
      </c>
      <c r="CWI7">
        <v>0</v>
      </c>
      <c r="CWJ7">
        <v>0</v>
      </c>
      <c r="CWK7">
        <v>0</v>
      </c>
      <c r="CWL7">
        <v>0</v>
      </c>
      <c r="CWM7">
        <v>0</v>
      </c>
      <c r="CWN7">
        <v>0</v>
      </c>
      <c r="CWO7">
        <v>0</v>
      </c>
      <c r="CWP7">
        <v>0</v>
      </c>
      <c r="CWQ7">
        <v>0</v>
      </c>
      <c r="CWR7">
        <v>0</v>
      </c>
      <c r="CWS7">
        <v>0</v>
      </c>
      <c r="CWT7">
        <v>0</v>
      </c>
      <c r="CWU7">
        <v>0</v>
      </c>
      <c r="CWV7">
        <v>0</v>
      </c>
      <c r="CWW7">
        <v>0</v>
      </c>
      <c r="CWX7">
        <v>92.99</v>
      </c>
      <c r="CWY7">
        <v>99.99</v>
      </c>
      <c r="CWZ7">
        <v>0</v>
      </c>
      <c r="CXA7">
        <v>0</v>
      </c>
      <c r="CXB7">
        <v>0</v>
      </c>
      <c r="CXC7">
        <v>0</v>
      </c>
      <c r="CXD7">
        <v>100</v>
      </c>
      <c r="CXE7">
        <v>0</v>
      </c>
      <c r="CXF7">
        <v>0</v>
      </c>
      <c r="CXG7">
        <v>0</v>
      </c>
      <c r="CXH7">
        <v>0</v>
      </c>
      <c r="CXI7">
        <v>0</v>
      </c>
      <c r="CXJ7">
        <v>0</v>
      </c>
      <c r="CXK7">
        <v>0</v>
      </c>
      <c r="CXL7">
        <v>0</v>
      </c>
      <c r="CXM7">
        <v>67.989999999999995</v>
      </c>
      <c r="CXN7">
        <v>0</v>
      </c>
      <c r="CXO7">
        <v>0</v>
      </c>
      <c r="CXP7">
        <v>0</v>
      </c>
      <c r="CXQ7">
        <v>0</v>
      </c>
      <c r="CXR7">
        <v>0</v>
      </c>
      <c r="CXS7">
        <v>0</v>
      </c>
      <c r="CXT7">
        <v>0</v>
      </c>
      <c r="CXU7">
        <v>0</v>
      </c>
      <c r="CXV7">
        <v>0</v>
      </c>
      <c r="CXW7">
        <v>0</v>
      </c>
      <c r="CXX7">
        <v>0</v>
      </c>
      <c r="CXY7">
        <v>0</v>
      </c>
      <c r="CXZ7">
        <v>0</v>
      </c>
      <c r="CYA7">
        <v>0</v>
      </c>
      <c r="CYB7">
        <v>0</v>
      </c>
      <c r="CYC7">
        <v>0</v>
      </c>
      <c r="CYD7">
        <v>0</v>
      </c>
      <c r="CYE7">
        <v>0</v>
      </c>
      <c r="CYF7">
        <v>0</v>
      </c>
      <c r="CYG7">
        <v>0</v>
      </c>
      <c r="CYH7">
        <v>0</v>
      </c>
      <c r="CYI7">
        <v>0</v>
      </c>
      <c r="CYJ7">
        <v>35</v>
      </c>
      <c r="CYK7">
        <v>0</v>
      </c>
      <c r="CYL7">
        <v>0</v>
      </c>
      <c r="CYM7">
        <v>0</v>
      </c>
      <c r="CYN7">
        <v>0</v>
      </c>
      <c r="CYO7">
        <v>0</v>
      </c>
      <c r="CYP7">
        <v>0</v>
      </c>
      <c r="CYQ7">
        <v>0</v>
      </c>
      <c r="CYR7">
        <v>70.989999999999995</v>
      </c>
      <c r="CYS7">
        <v>0</v>
      </c>
      <c r="CYT7">
        <v>0</v>
      </c>
      <c r="CYU7">
        <v>0</v>
      </c>
      <c r="CYV7">
        <v>0</v>
      </c>
      <c r="CYW7">
        <v>0</v>
      </c>
      <c r="CYX7">
        <v>0</v>
      </c>
      <c r="CYY7">
        <v>6</v>
      </c>
      <c r="CYZ7">
        <v>0</v>
      </c>
      <c r="CZA7">
        <v>0</v>
      </c>
      <c r="CZB7">
        <v>0</v>
      </c>
      <c r="CZC7">
        <v>0</v>
      </c>
      <c r="CZD7">
        <v>0</v>
      </c>
      <c r="CZE7">
        <v>0</v>
      </c>
      <c r="CZF7">
        <v>4</v>
      </c>
      <c r="CZG7">
        <v>0</v>
      </c>
      <c r="CZH7">
        <v>0</v>
      </c>
      <c r="CZI7">
        <v>0</v>
      </c>
      <c r="CZJ7">
        <v>0</v>
      </c>
      <c r="CZK7">
        <v>0</v>
      </c>
      <c r="CZL7">
        <v>0</v>
      </c>
      <c r="CZM7">
        <v>0</v>
      </c>
      <c r="CZN7">
        <v>0</v>
      </c>
      <c r="CZO7">
        <v>0</v>
      </c>
      <c r="CZP7">
        <v>16</v>
      </c>
      <c r="CZQ7">
        <v>0</v>
      </c>
      <c r="CZR7">
        <v>0</v>
      </c>
      <c r="CZS7">
        <v>0</v>
      </c>
      <c r="CZT7">
        <v>106</v>
      </c>
      <c r="CZU7">
        <v>0</v>
      </c>
      <c r="CZV7">
        <v>0</v>
      </c>
      <c r="CZW7">
        <v>0</v>
      </c>
      <c r="CZX7">
        <v>0</v>
      </c>
      <c r="CZY7">
        <v>0</v>
      </c>
      <c r="CZZ7">
        <v>0</v>
      </c>
      <c r="DAA7">
        <v>0</v>
      </c>
      <c r="DAB7">
        <v>0</v>
      </c>
      <c r="DAC7">
        <v>4</v>
      </c>
      <c r="DAD7">
        <v>0</v>
      </c>
      <c r="DAE7">
        <v>0</v>
      </c>
      <c r="DAF7">
        <v>107</v>
      </c>
      <c r="DAG7">
        <v>0</v>
      </c>
      <c r="DAH7">
        <v>0</v>
      </c>
      <c r="DAI7">
        <v>0</v>
      </c>
      <c r="DAJ7">
        <v>107.99</v>
      </c>
      <c r="DAK7">
        <v>0</v>
      </c>
      <c r="DAL7">
        <v>0</v>
      </c>
      <c r="DAM7">
        <v>0</v>
      </c>
      <c r="DAN7">
        <v>0</v>
      </c>
      <c r="DAO7">
        <v>0</v>
      </c>
      <c r="DAP7">
        <v>0</v>
      </c>
      <c r="DAQ7">
        <v>108</v>
      </c>
      <c r="DAR7">
        <v>0</v>
      </c>
      <c r="DAS7">
        <v>0</v>
      </c>
      <c r="DAT7">
        <v>0</v>
      </c>
      <c r="DAU7">
        <v>0</v>
      </c>
      <c r="DAV7">
        <v>0</v>
      </c>
      <c r="DAW7">
        <v>0</v>
      </c>
      <c r="DAX7">
        <v>0</v>
      </c>
      <c r="DAY7">
        <v>0</v>
      </c>
      <c r="DAZ7">
        <v>0</v>
      </c>
      <c r="DBA7">
        <v>0</v>
      </c>
      <c r="DBB7">
        <v>0</v>
      </c>
      <c r="DBC7">
        <v>0</v>
      </c>
      <c r="DBD7">
        <v>0</v>
      </c>
      <c r="DBE7">
        <v>0</v>
      </c>
      <c r="DBF7">
        <v>0</v>
      </c>
      <c r="DBG7">
        <v>41</v>
      </c>
      <c r="DBH7">
        <v>0</v>
      </c>
      <c r="DBI7">
        <v>0</v>
      </c>
      <c r="DBJ7">
        <v>0</v>
      </c>
      <c r="DBK7">
        <v>0</v>
      </c>
      <c r="DBL7">
        <v>0</v>
      </c>
      <c r="DBM7">
        <v>0</v>
      </c>
      <c r="DBN7">
        <v>110.99</v>
      </c>
      <c r="DBO7">
        <v>0</v>
      </c>
      <c r="DBP7">
        <v>0</v>
      </c>
      <c r="DBQ7">
        <v>0</v>
      </c>
      <c r="DBR7">
        <v>0</v>
      </c>
      <c r="DBS7">
        <v>0</v>
      </c>
      <c r="DBT7">
        <v>0</v>
      </c>
      <c r="DBU7">
        <v>0</v>
      </c>
      <c r="DBV7">
        <v>0</v>
      </c>
      <c r="DBW7">
        <v>0</v>
      </c>
      <c r="DBX7">
        <v>0</v>
      </c>
      <c r="DBY7">
        <v>0</v>
      </c>
      <c r="DBZ7">
        <v>0</v>
      </c>
      <c r="DCA7">
        <v>0</v>
      </c>
      <c r="DCB7">
        <v>0</v>
      </c>
      <c r="DCC7">
        <v>0</v>
      </c>
      <c r="DCD7">
        <v>0</v>
      </c>
      <c r="DCE7">
        <v>0</v>
      </c>
      <c r="DCF7">
        <v>0</v>
      </c>
      <c r="DCG7">
        <v>0</v>
      </c>
      <c r="DCH7">
        <v>0</v>
      </c>
      <c r="DCI7">
        <v>0</v>
      </c>
      <c r="DCJ7">
        <v>0</v>
      </c>
      <c r="DCK7">
        <v>0</v>
      </c>
      <c r="DCL7">
        <v>0</v>
      </c>
      <c r="DCM7">
        <v>0</v>
      </c>
      <c r="DCN7">
        <v>0</v>
      </c>
      <c r="DCO7">
        <v>0</v>
      </c>
      <c r="DCP7">
        <v>0</v>
      </c>
      <c r="DCQ7">
        <v>0</v>
      </c>
      <c r="DCR7">
        <v>0</v>
      </c>
      <c r="DCS7">
        <v>0</v>
      </c>
      <c r="DCT7">
        <v>0</v>
      </c>
      <c r="DCU7">
        <v>0</v>
      </c>
      <c r="DCV7">
        <v>0</v>
      </c>
      <c r="DCW7">
        <v>0</v>
      </c>
      <c r="DCX7">
        <v>0</v>
      </c>
      <c r="DCY7">
        <v>0</v>
      </c>
      <c r="DCZ7">
        <v>0</v>
      </c>
      <c r="DDA7">
        <v>115</v>
      </c>
      <c r="DDB7">
        <v>0</v>
      </c>
      <c r="DDC7">
        <v>0</v>
      </c>
      <c r="DDD7">
        <v>0</v>
      </c>
      <c r="DDE7">
        <v>0</v>
      </c>
      <c r="DDF7">
        <v>0</v>
      </c>
      <c r="DDG7">
        <v>116</v>
      </c>
      <c r="DDH7">
        <v>0</v>
      </c>
      <c r="DDI7">
        <v>0</v>
      </c>
      <c r="DDJ7">
        <v>0</v>
      </c>
      <c r="DDK7">
        <v>0</v>
      </c>
      <c r="DDL7">
        <v>0</v>
      </c>
      <c r="DDM7">
        <v>0</v>
      </c>
      <c r="DDN7">
        <v>116.99</v>
      </c>
      <c r="DDO7">
        <v>0</v>
      </c>
      <c r="DDP7">
        <v>0</v>
      </c>
      <c r="DDQ7">
        <v>0</v>
      </c>
      <c r="DDR7">
        <v>0</v>
      </c>
      <c r="DDS7">
        <v>0</v>
      </c>
      <c r="DDT7">
        <v>0</v>
      </c>
      <c r="DDU7">
        <v>0</v>
      </c>
      <c r="DDV7">
        <v>0</v>
      </c>
      <c r="DDW7">
        <v>0</v>
      </c>
      <c r="DDX7">
        <v>0</v>
      </c>
      <c r="DDY7">
        <v>0</v>
      </c>
      <c r="DDZ7">
        <v>0</v>
      </c>
      <c r="DEA7">
        <v>0</v>
      </c>
      <c r="DEB7">
        <v>21</v>
      </c>
      <c r="DEC7">
        <v>9</v>
      </c>
      <c r="DED7">
        <v>0</v>
      </c>
      <c r="DEE7">
        <v>0</v>
      </c>
      <c r="DEF7">
        <v>38.99</v>
      </c>
      <c r="DEG7">
        <v>0</v>
      </c>
      <c r="DEH7">
        <v>0</v>
      </c>
      <c r="DEI7">
        <v>0</v>
      </c>
      <c r="DEJ7">
        <v>0</v>
      </c>
      <c r="DEK7">
        <v>0</v>
      </c>
      <c r="DEL7">
        <v>0</v>
      </c>
      <c r="DEM7">
        <v>0</v>
      </c>
      <c r="DEN7">
        <v>0</v>
      </c>
      <c r="DEO7">
        <v>0</v>
      </c>
      <c r="DEP7">
        <v>0</v>
      </c>
      <c r="DEQ7">
        <v>44.99</v>
      </c>
      <c r="DER7">
        <v>0</v>
      </c>
      <c r="DES7">
        <v>0</v>
      </c>
      <c r="DET7">
        <v>0</v>
      </c>
      <c r="DEU7">
        <v>0</v>
      </c>
      <c r="DEV7">
        <v>0</v>
      </c>
      <c r="DEW7">
        <v>0</v>
      </c>
      <c r="DEX7">
        <v>0</v>
      </c>
      <c r="DEY7">
        <v>71</v>
      </c>
      <c r="DEZ7">
        <v>0</v>
      </c>
      <c r="DFA7">
        <v>0</v>
      </c>
      <c r="DFB7">
        <v>0</v>
      </c>
      <c r="DFC7">
        <v>42</v>
      </c>
      <c r="DFD7">
        <v>0</v>
      </c>
      <c r="DFE7">
        <v>0</v>
      </c>
      <c r="DFF7">
        <v>36</v>
      </c>
      <c r="DFG7">
        <v>0</v>
      </c>
      <c r="DFH7">
        <v>0</v>
      </c>
      <c r="DFI7">
        <v>0</v>
      </c>
      <c r="DFJ7">
        <v>0</v>
      </c>
      <c r="DFK7">
        <v>0</v>
      </c>
      <c r="DFL7">
        <v>0</v>
      </c>
      <c r="DFM7">
        <v>0</v>
      </c>
      <c r="DFN7">
        <v>0</v>
      </c>
      <c r="DFO7">
        <v>33</v>
      </c>
      <c r="DFP7">
        <v>0</v>
      </c>
      <c r="DFQ7">
        <v>0</v>
      </c>
      <c r="DFR7">
        <v>0</v>
      </c>
      <c r="DFS7">
        <v>0</v>
      </c>
      <c r="DFT7">
        <v>13</v>
      </c>
      <c r="DFU7">
        <v>0</v>
      </c>
      <c r="DFV7">
        <v>0</v>
      </c>
      <c r="DFW7">
        <v>0</v>
      </c>
      <c r="DFX7">
        <v>0</v>
      </c>
      <c r="DFY7">
        <v>0</v>
      </c>
      <c r="DFZ7">
        <v>0</v>
      </c>
      <c r="DGA7">
        <v>0</v>
      </c>
      <c r="DGB7">
        <v>0</v>
      </c>
      <c r="DGC7">
        <v>48</v>
      </c>
      <c r="DGD7">
        <v>0</v>
      </c>
      <c r="DGE7">
        <v>0</v>
      </c>
      <c r="DGF7">
        <v>0</v>
      </c>
      <c r="DGG7">
        <v>0</v>
      </c>
      <c r="DGH7">
        <v>0</v>
      </c>
      <c r="DGI7">
        <v>125.99</v>
      </c>
      <c r="DGJ7">
        <v>0</v>
      </c>
      <c r="DGK7">
        <v>0</v>
      </c>
      <c r="DGL7">
        <v>0</v>
      </c>
      <c r="DGM7">
        <v>0</v>
      </c>
      <c r="DGN7">
        <v>0</v>
      </c>
      <c r="DGO7">
        <v>0</v>
      </c>
      <c r="DGP7">
        <v>0</v>
      </c>
      <c r="DGQ7">
        <v>0</v>
      </c>
      <c r="DGR7">
        <v>0</v>
      </c>
      <c r="DGS7">
        <v>126.99</v>
      </c>
      <c r="DGT7">
        <v>0</v>
      </c>
      <c r="DGU7">
        <v>0</v>
      </c>
      <c r="DGV7">
        <v>43</v>
      </c>
      <c r="DGW7">
        <v>0</v>
      </c>
      <c r="DGX7">
        <v>0</v>
      </c>
      <c r="DGY7">
        <v>0</v>
      </c>
      <c r="DGZ7">
        <v>0</v>
      </c>
      <c r="DHA7">
        <v>0</v>
      </c>
      <c r="DHB7">
        <v>18</v>
      </c>
      <c r="DHC7">
        <v>0</v>
      </c>
      <c r="DHD7">
        <v>0</v>
      </c>
      <c r="DHE7">
        <v>0</v>
      </c>
      <c r="DHF7">
        <v>0</v>
      </c>
      <c r="DHG7">
        <v>0</v>
      </c>
      <c r="DHH7">
        <v>0</v>
      </c>
      <c r="DHI7">
        <v>10</v>
      </c>
      <c r="DHJ7">
        <v>6</v>
      </c>
      <c r="DHK7">
        <v>0</v>
      </c>
      <c r="DHL7">
        <v>0</v>
      </c>
      <c r="DHM7">
        <v>0</v>
      </c>
      <c r="DHN7">
        <v>0</v>
      </c>
      <c r="DHO7">
        <v>0</v>
      </c>
      <c r="DHP7">
        <v>0</v>
      </c>
      <c r="DHQ7">
        <v>0</v>
      </c>
      <c r="DHR7">
        <v>0</v>
      </c>
      <c r="DHS7">
        <v>129</v>
      </c>
      <c r="DHT7">
        <v>0</v>
      </c>
      <c r="DHU7">
        <v>0</v>
      </c>
      <c r="DHV7">
        <v>0</v>
      </c>
      <c r="DHW7">
        <v>0</v>
      </c>
      <c r="DHX7">
        <v>33.99</v>
      </c>
      <c r="DHY7">
        <v>0</v>
      </c>
      <c r="DHZ7">
        <v>0</v>
      </c>
      <c r="DIA7">
        <v>0</v>
      </c>
      <c r="DIB7">
        <v>0</v>
      </c>
      <c r="DIC7">
        <v>0</v>
      </c>
      <c r="DID7">
        <v>0</v>
      </c>
      <c r="DIE7">
        <v>0</v>
      </c>
      <c r="DIF7">
        <v>0</v>
      </c>
      <c r="DIG7">
        <v>0</v>
      </c>
      <c r="DIH7">
        <v>0</v>
      </c>
      <c r="DII7">
        <v>0</v>
      </c>
      <c r="DIJ7">
        <v>0</v>
      </c>
      <c r="DIK7">
        <v>0</v>
      </c>
      <c r="DIL7">
        <v>0</v>
      </c>
      <c r="DIM7">
        <v>0</v>
      </c>
      <c r="DIN7">
        <v>0</v>
      </c>
      <c r="DIO7">
        <v>0</v>
      </c>
      <c r="DIP7">
        <v>0</v>
      </c>
      <c r="DIQ7">
        <v>0</v>
      </c>
      <c r="DIR7">
        <v>0</v>
      </c>
      <c r="DIS7">
        <v>0</v>
      </c>
      <c r="DIT7">
        <v>0</v>
      </c>
      <c r="DIU7">
        <v>132</v>
      </c>
      <c r="DIV7">
        <v>0</v>
      </c>
      <c r="DIW7">
        <v>0</v>
      </c>
      <c r="DIX7">
        <v>0</v>
      </c>
      <c r="DIY7">
        <v>0</v>
      </c>
      <c r="DIZ7">
        <v>0</v>
      </c>
      <c r="DJA7">
        <v>0</v>
      </c>
      <c r="DJB7">
        <v>0</v>
      </c>
      <c r="DJC7">
        <v>0</v>
      </c>
      <c r="DJD7">
        <v>0</v>
      </c>
      <c r="DJE7">
        <v>0</v>
      </c>
      <c r="DJF7">
        <v>0</v>
      </c>
      <c r="DJG7">
        <v>0</v>
      </c>
      <c r="DJH7">
        <v>0</v>
      </c>
      <c r="DJI7">
        <v>0</v>
      </c>
      <c r="DJJ7">
        <v>0</v>
      </c>
      <c r="DJK7">
        <v>0</v>
      </c>
      <c r="DJL7">
        <v>0</v>
      </c>
      <c r="DJM7">
        <v>0</v>
      </c>
      <c r="DJN7">
        <v>0</v>
      </c>
      <c r="DJO7">
        <v>0</v>
      </c>
      <c r="DJP7">
        <v>0</v>
      </c>
      <c r="DJQ7">
        <v>0</v>
      </c>
      <c r="DJR7">
        <v>0</v>
      </c>
      <c r="DJS7">
        <v>0</v>
      </c>
      <c r="DJT7">
        <v>135.99</v>
      </c>
      <c r="DJU7">
        <v>0</v>
      </c>
      <c r="DJV7">
        <v>0</v>
      </c>
      <c r="DJW7">
        <v>0</v>
      </c>
      <c r="DJX7">
        <v>0</v>
      </c>
      <c r="DJY7">
        <v>0</v>
      </c>
      <c r="DJZ7">
        <v>0</v>
      </c>
      <c r="DKA7">
        <v>0</v>
      </c>
      <c r="DKB7">
        <v>0</v>
      </c>
      <c r="DKC7">
        <v>0</v>
      </c>
      <c r="DKD7">
        <v>0</v>
      </c>
      <c r="DKE7">
        <v>0</v>
      </c>
      <c r="DKF7">
        <v>0</v>
      </c>
      <c r="DKG7">
        <v>0</v>
      </c>
      <c r="DKH7">
        <v>0</v>
      </c>
      <c r="DKI7">
        <v>0</v>
      </c>
      <c r="DKJ7">
        <v>0</v>
      </c>
      <c r="DKK7">
        <v>0</v>
      </c>
      <c r="DKL7">
        <v>0</v>
      </c>
      <c r="DKM7">
        <v>0</v>
      </c>
      <c r="DKN7">
        <v>0</v>
      </c>
      <c r="DKO7">
        <v>0</v>
      </c>
      <c r="DKP7">
        <v>0</v>
      </c>
      <c r="DKQ7">
        <v>0</v>
      </c>
      <c r="DKR7">
        <v>0</v>
      </c>
      <c r="DKS7">
        <v>0</v>
      </c>
      <c r="DKT7">
        <v>2</v>
      </c>
      <c r="DKU7">
        <v>0</v>
      </c>
      <c r="DKV7">
        <v>0</v>
      </c>
      <c r="DKW7">
        <v>0</v>
      </c>
      <c r="DKX7">
        <v>0</v>
      </c>
      <c r="DKY7">
        <v>0</v>
      </c>
      <c r="DKZ7">
        <v>0</v>
      </c>
      <c r="DLA7">
        <v>0</v>
      </c>
      <c r="DLB7">
        <v>0</v>
      </c>
      <c r="DLC7">
        <v>0</v>
      </c>
      <c r="DLD7">
        <v>0</v>
      </c>
      <c r="DLE7">
        <v>0</v>
      </c>
      <c r="DLF7">
        <v>0</v>
      </c>
      <c r="DLG7">
        <v>0</v>
      </c>
      <c r="DLH7">
        <v>141</v>
      </c>
      <c r="DLI7">
        <v>0</v>
      </c>
      <c r="DLJ7">
        <v>0</v>
      </c>
      <c r="DLK7">
        <v>0</v>
      </c>
      <c r="DLL7">
        <v>0</v>
      </c>
      <c r="DLM7">
        <v>0</v>
      </c>
      <c r="DLN7">
        <v>0</v>
      </c>
      <c r="DLO7">
        <v>0</v>
      </c>
      <c r="DLP7">
        <v>0</v>
      </c>
      <c r="DLQ7">
        <v>16.989999999999998</v>
      </c>
      <c r="DLR7">
        <v>142.99</v>
      </c>
      <c r="DLS7">
        <v>0</v>
      </c>
      <c r="DLT7">
        <v>0</v>
      </c>
      <c r="DLU7">
        <v>28</v>
      </c>
      <c r="DLV7">
        <v>143.99</v>
      </c>
      <c r="DLW7">
        <v>0</v>
      </c>
      <c r="DLX7">
        <v>0</v>
      </c>
      <c r="DLY7">
        <v>0</v>
      </c>
      <c r="DLZ7">
        <v>0</v>
      </c>
      <c r="DMA7">
        <v>0</v>
      </c>
      <c r="DMB7">
        <v>0</v>
      </c>
      <c r="DMC7">
        <v>0</v>
      </c>
      <c r="DMD7">
        <v>0</v>
      </c>
      <c r="DME7">
        <v>146</v>
      </c>
      <c r="DMF7">
        <v>0</v>
      </c>
      <c r="DMG7">
        <v>0</v>
      </c>
      <c r="DMH7">
        <v>0</v>
      </c>
      <c r="DMI7">
        <v>89.98</v>
      </c>
      <c r="DMJ7">
        <v>0</v>
      </c>
      <c r="DMK7">
        <v>0</v>
      </c>
      <c r="DML7">
        <v>146.99</v>
      </c>
      <c r="DMM7">
        <v>0</v>
      </c>
      <c r="DMN7">
        <v>0</v>
      </c>
      <c r="DMO7">
        <v>0</v>
      </c>
      <c r="DMP7">
        <v>0</v>
      </c>
      <c r="DMQ7">
        <v>0</v>
      </c>
      <c r="DMR7">
        <v>0</v>
      </c>
      <c r="DMS7">
        <v>0</v>
      </c>
      <c r="DMT7">
        <v>0</v>
      </c>
      <c r="DMU7">
        <v>0</v>
      </c>
      <c r="DMV7">
        <v>0</v>
      </c>
      <c r="DMW7">
        <v>0</v>
      </c>
      <c r="DMX7">
        <v>0</v>
      </c>
      <c r="DMY7">
        <v>0</v>
      </c>
      <c r="DMZ7">
        <v>0</v>
      </c>
      <c r="DNA7">
        <v>0</v>
      </c>
      <c r="DNB7">
        <v>0</v>
      </c>
      <c r="DNC7">
        <v>0</v>
      </c>
      <c r="DND7">
        <v>0</v>
      </c>
      <c r="DNE7">
        <v>0</v>
      </c>
      <c r="DNF7">
        <v>0</v>
      </c>
      <c r="DNG7">
        <v>0</v>
      </c>
      <c r="DNH7">
        <v>0</v>
      </c>
      <c r="DNI7">
        <v>0</v>
      </c>
      <c r="DNJ7">
        <v>0</v>
      </c>
      <c r="DNK7">
        <v>0</v>
      </c>
      <c r="DNL7">
        <v>0</v>
      </c>
      <c r="DNM7">
        <v>0</v>
      </c>
      <c r="DNN7">
        <v>0</v>
      </c>
      <c r="DNO7">
        <v>0</v>
      </c>
      <c r="DNP7">
        <v>0</v>
      </c>
      <c r="DNQ7">
        <v>0</v>
      </c>
      <c r="DNR7">
        <v>0</v>
      </c>
      <c r="DNS7">
        <v>0</v>
      </c>
      <c r="DNT7">
        <v>0</v>
      </c>
      <c r="DNU7">
        <v>150.99</v>
      </c>
      <c r="DNV7">
        <v>0</v>
      </c>
      <c r="DNW7">
        <v>0</v>
      </c>
      <c r="DNX7">
        <v>0</v>
      </c>
      <c r="DNY7">
        <v>0</v>
      </c>
      <c r="DNZ7">
        <v>0</v>
      </c>
      <c r="DOA7">
        <v>0</v>
      </c>
      <c r="DOB7">
        <v>0</v>
      </c>
      <c r="DOC7">
        <v>0</v>
      </c>
      <c r="DOD7">
        <v>0</v>
      </c>
      <c r="DOE7">
        <v>0</v>
      </c>
      <c r="DOF7">
        <v>0</v>
      </c>
      <c r="DOG7">
        <v>0</v>
      </c>
      <c r="DOH7">
        <v>0</v>
      </c>
      <c r="DOI7">
        <v>0</v>
      </c>
      <c r="DOJ7">
        <v>0</v>
      </c>
      <c r="DOK7">
        <v>0</v>
      </c>
      <c r="DOL7">
        <v>0</v>
      </c>
      <c r="DOM7">
        <v>0</v>
      </c>
      <c r="DON7">
        <v>0</v>
      </c>
      <c r="DOO7">
        <v>0</v>
      </c>
      <c r="DOP7">
        <v>0</v>
      </c>
      <c r="DOQ7">
        <v>0</v>
      </c>
      <c r="DOR7">
        <v>0</v>
      </c>
      <c r="DOS7">
        <v>0</v>
      </c>
      <c r="DOT7">
        <v>10</v>
      </c>
      <c r="DOU7">
        <v>0</v>
      </c>
      <c r="DOV7">
        <v>0</v>
      </c>
      <c r="DOW7">
        <v>0</v>
      </c>
      <c r="DOX7">
        <v>0</v>
      </c>
      <c r="DOY7">
        <v>0</v>
      </c>
      <c r="DOZ7">
        <v>0</v>
      </c>
      <c r="DPA7">
        <v>156.99</v>
      </c>
      <c r="DPB7">
        <v>0</v>
      </c>
      <c r="DPC7">
        <v>0</v>
      </c>
      <c r="DPD7">
        <v>30</v>
      </c>
      <c r="DPE7">
        <v>142.99</v>
      </c>
      <c r="DPF7">
        <v>158</v>
      </c>
      <c r="DPG7">
        <v>0</v>
      </c>
      <c r="DPH7">
        <v>0</v>
      </c>
      <c r="DPI7">
        <v>0</v>
      </c>
      <c r="DPJ7">
        <v>0</v>
      </c>
      <c r="DPK7">
        <v>23</v>
      </c>
      <c r="DPL7">
        <v>0</v>
      </c>
      <c r="DPM7">
        <v>109.99</v>
      </c>
      <c r="DPN7">
        <v>0</v>
      </c>
      <c r="DPO7">
        <v>0</v>
      </c>
      <c r="DPP7">
        <v>0</v>
      </c>
      <c r="DPQ7">
        <v>0</v>
      </c>
      <c r="DPR7">
        <v>0</v>
      </c>
      <c r="DPS7">
        <v>0</v>
      </c>
      <c r="DPT7">
        <v>0</v>
      </c>
      <c r="DPU7">
        <v>0</v>
      </c>
      <c r="DPV7">
        <v>110</v>
      </c>
      <c r="DPW7">
        <v>0</v>
      </c>
      <c r="DPX7">
        <v>0</v>
      </c>
      <c r="DPY7">
        <v>0</v>
      </c>
      <c r="DPZ7">
        <v>0</v>
      </c>
      <c r="DQA7">
        <v>0</v>
      </c>
      <c r="DQB7">
        <v>161</v>
      </c>
      <c r="DQC7">
        <v>0</v>
      </c>
      <c r="DQD7">
        <v>0</v>
      </c>
      <c r="DQE7">
        <v>0</v>
      </c>
      <c r="DQF7">
        <v>6</v>
      </c>
      <c r="DQG7">
        <v>0</v>
      </c>
      <c r="DQH7">
        <v>0</v>
      </c>
      <c r="DQI7">
        <v>0</v>
      </c>
      <c r="DQJ7">
        <v>0</v>
      </c>
      <c r="DQK7">
        <v>0</v>
      </c>
      <c r="DQL7">
        <v>0</v>
      </c>
      <c r="DQM7">
        <v>0</v>
      </c>
      <c r="DQN7">
        <v>0</v>
      </c>
      <c r="DQO7">
        <v>0</v>
      </c>
      <c r="DQP7">
        <v>0</v>
      </c>
      <c r="DQQ7">
        <v>0</v>
      </c>
      <c r="DQR7">
        <v>13</v>
      </c>
      <c r="DQS7">
        <v>164.99</v>
      </c>
      <c r="DQT7">
        <v>0</v>
      </c>
      <c r="DQU7">
        <v>0</v>
      </c>
      <c r="DQV7">
        <v>0</v>
      </c>
      <c r="DQW7">
        <v>0</v>
      </c>
      <c r="DQX7">
        <v>50</v>
      </c>
      <c r="DQY7">
        <v>0</v>
      </c>
      <c r="DQZ7">
        <v>0</v>
      </c>
      <c r="DRA7">
        <v>0</v>
      </c>
      <c r="DRB7">
        <v>0</v>
      </c>
      <c r="DRC7">
        <v>0</v>
      </c>
      <c r="DRD7">
        <v>0</v>
      </c>
      <c r="DRE7">
        <v>0</v>
      </c>
      <c r="DRF7">
        <v>0</v>
      </c>
      <c r="DRG7">
        <v>0</v>
      </c>
      <c r="DRH7">
        <v>0</v>
      </c>
      <c r="DRI7">
        <v>167.99</v>
      </c>
      <c r="DRJ7">
        <v>0</v>
      </c>
      <c r="DRK7">
        <v>0</v>
      </c>
      <c r="DRL7">
        <v>0</v>
      </c>
      <c r="DRM7">
        <v>0</v>
      </c>
      <c r="DRN7">
        <v>0</v>
      </c>
      <c r="DRO7">
        <v>0</v>
      </c>
      <c r="DRP7">
        <v>0</v>
      </c>
      <c r="DRQ7">
        <v>0</v>
      </c>
      <c r="DRR7">
        <v>0</v>
      </c>
      <c r="DRS7">
        <v>0</v>
      </c>
      <c r="DRT7">
        <v>0</v>
      </c>
      <c r="DRU7">
        <v>0</v>
      </c>
      <c r="DRV7">
        <v>0</v>
      </c>
      <c r="DRW7">
        <v>20.99</v>
      </c>
      <c r="DRX7">
        <v>24.99</v>
      </c>
      <c r="DRY7">
        <v>0</v>
      </c>
      <c r="DRZ7">
        <v>0</v>
      </c>
      <c r="DSA7">
        <v>0</v>
      </c>
      <c r="DSB7">
        <v>0</v>
      </c>
      <c r="DSC7">
        <v>0</v>
      </c>
      <c r="DSD7">
        <v>0</v>
      </c>
      <c r="DSE7">
        <v>173</v>
      </c>
      <c r="DSF7">
        <v>0</v>
      </c>
      <c r="DSG7">
        <v>0</v>
      </c>
      <c r="DSH7">
        <v>0</v>
      </c>
      <c r="DSI7">
        <v>0</v>
      </c>
      <c r="DSJ7">
        <v>0</v>
      </c>
      <c r="DSK7">
        <v>0</v>
      </c>
      <c r="DSL7">
        <v>28</v>
      </c>
      <c r="DSM7">
        <v>0</v>
      </c>
      <c r="DSN7">
        <v>0</v>
      </c>
      <c r="DSO7">
        <v>0</v>
      </c>
      <c r="DSP7">
        <v>0</v>
      </c>
      <c r="DSQ7">
        <v>0</v>
      </c>
      <c r="DSR7">
        <v>0</v>
      </c>
      <c r="DSS7">
        <v>0</v>
      </c>
      <c r="DST7">
        <v>174.99</v>
      </c>
      <c r="DSU7">
        <v>174.99</v>
      </c>
      <c r="DSV7">
        <v>0</v>
      </c>
      <c r="DSW7">
        <v>145</v>
      </c>
      <c r="DSX7">
        <v>0</v>
      </c>
      <c r="DSY7">
        <v>0</v>
      </c>
      <c r="DSZ7">
        <v>0</v>
      </c>
      <c r="DTA7">
        <v>0</v>
      </c>
      <c r="DTB7">
        <v>39</v>
      </c>
      <c r="DTC7">
        <v>0</v>
      </c>
      <c r="DTD7">
        <v>0</v>
      </c>
      <c r="DTE7">
        <v>0</v>
      </c>
      <c r="DTF7">
        <v>0</v>
      </c>
      <c r="DTG7">
        <v>0</v>
      </c>
      <c r="DTH7">
        <v>0</v>
      </c>
      <c r="DTI7">
        <v>0</v>
      </c>
      <c r="DTJ7">
        <v>0</v>
      </c>
      <c r="DTK7">
        <v>0</v>
      </c>
      <c r="DTL7">
        <v>0</v>
      </c>
      <c r="DTM7">
        <v>0</v>
      </c>
      <c r="DTN7">
        <v>0</v>
      </c>
      <c r="DTO7">
        <v>0</v>
      </c>
      <c r="DTP7">
        <v>32</v>
      </c>
      <c r="DTQ7">
        <v>0</v>
      </c>
      <c r="DTR7">
        <v>0</v>
      </c>
      <c r="DTS7">
        <v>0</v>
      </c>
      <c r="DTT7">
        <v>0</v>
      </c>
      <c r="DTU7">
        <v>37</v>
      </c>
      <c r="DTV7">
        <v>180.99</v>
      </c>
      <c r="DTW7">
        <v>0</v>
      </c>
      <c r="DTX7">
        <v>0</v>
      </c>
      <c r="DTY7">
        <v>0</v>
      </c>
      <c r="DTZ7">
        <v>0</v>
      </c>
      <c r="DUA7">
        <v>0</v>
      </c>
      <c r="DUB7">
        <v>0</v>
      </c>
      <c r="DUC7">
        <v>0</v>
      </c>
      <c r="DUD7">
        <v>0</v>
      </c>
      <c r="DUE7">
        <v>0</v>
      </c>
      <c r="DUF7">
        <v>92</v>
      </c>
      <c r="DUG7">
        <v>0</v>
      </c>
      <c r="DUH7">
        <v>0</v>
      </c>
      <c r="DUI7">
        <v>0</v>
      </c>
      <c r="DUJ7">
        <v>0</v>
      </c>
      <c r="DUK7">
        <v>0</v>
      </c>
      <c r="DUL7">
        <v>0</v>
      </c>
      <c r="DUM7">
        <v>0</v>
      </c>
      <c r="DUN7">
        <v>0</v>
      </c>
      <c r="DUO7">
        <v>0</v>
      </c>
      <c r="DUP7">
        <v>0</v>
      </c>
      <c r="DUQ7">
        <v>0</v>
      </c>
      <c r="DUR7">
        <v>0</v>
      </c>
      <c r="DUS7">
        <v>0</v>
      </c>
      <c r="DUT7">
        <v>0</v>
      </c>
      <c r="DUU7">
        <v>0</v>
      </c>
      <c r="DUV7">
        <v>0</v>
      </c>
      <c r="DUW7">
        <v>0</v>
      </c>
      <c r="DUX7">
        <v>0</v>
      </c>
      <c r="DUY7">
        <v>0</v>
      </c>
      <c r="DUZ7">
        <v>48</v>
      </c>
      <c r="DVA7">
        <v>0</v>
      </c>
      <c r="DVB7">
        <v>0</v>
      </c>
      <c r="DVC7">
        <v>0</v>
      </c>
      <c r="DVD7">
        <v>0</v>
      </c>
      <c r="DVE7">
        <v>0</v>
      </c>
      <c r="DVF7">
        <v>0</v>
      </c>
      <c r="DVG7">
        <v>0</v>
      </c>
      <c r="DVH7">
        <v>0</v>
      </c>
      <c r="DVI7">
        <v>0</v>
      </c>
      <c r="DVJ7">
        <v>0</v>
      </c>
      <c r="DVK7">
        <v>0</v>
      </c>
      <c r="DVL7">
        <v>0</v>
      </c>
      <c r="DVM7">
        <v>0</v>
      </c>
      <c r="DVN7">
        <v>0</v>
      </c>
      <c r="DVO7">
        <v>0</v>
      </c>
      <c r="DVP7">
        <v>156.99</v>
      </c>
      <c r="DVQ7">
        <v>0</v>
      </c>
      <c r="DVR7">
        <v>0</v>
      </c>
      <c r="DVS7">
        <v>0</v>
      </c>
      <c r="DVT7">
        <v>0</v>
      </c>
      <c r="DVU7">
        <v>0</v>
      </c>
      <c r="DVV7">
        <v>0</v>
      </c>
      <c r="DVW7">
        <v>0</v>
      </c>
      <c r="DVX7">
        <v>194</v>
      </c>
      <c r="DVY7">
        <v>0</v>
      </c>
      <c r="DVZ7">
        <v>0</v>
      </c>
      <c r="DWA7">
        <v>0</v>
      </c>
      <c r="DWB7">
        <v>0</v>
      </c>
      <c r="DWC7">
        <v>0</v>
      </c>
      <c r="DWD7">
        <v>0</v>
      </c>
      <c r="DWE7">
        <v>184.98</v>
      </c>
      <c r="DWF7">
        <v>0</v>
      </c>
      <c r="DWG7">
        <v>0</v>
      </c>
      <c r="DWH7">
        <v>0</v>
      </c>
      <c r="DWI7">
        <v>0</v>
      </c>
      <c r="DWJ7">
        <v>0</v>
      </c>
      <c r="DWK7">
        <v>0</v>
      </c>
      <c r="DWL7">
        <v>0</v>
      </c>
      <c r="DWM7">
        <v>0</v>
      </c>
      <c r="DWN7">
        <v>0</v>
      </c>
      <c r="DWO7">
        <v>0</v>
      </c>
      <c r="DWP7">
        <v>0</v>
      </c>
      <c r="DWQ7">
        <v>0</v>
      </c>
      <c r="DWR7">
        <v>199.99</v>
      </c>
      <c r="DWS7">
        <v>0</v>
      </c>
      <c r="DWT7">
        <v>0</v>
      </c>
      <c r="DWU7">
        <v>11</v>
      </c>
      <c r="DWV7">
        <v>0</v>
      </c>
      <c r="DWW7">
        <v>0</v>
      </c>
      <c r="DWX7">
        <v>0</v>
      </c>
      <c r="DWY7">
        <v>0</v>
      </c>
      <c r="DWZ7">
        <v>200.99</v>
      </c>
      <c r="DXA7">
        <v>0</v>
      </c>
      <c r="DXB7">
        <v>0</v>
      </c>
      <c r="DXC7">
        <v>0</v>
      </c>
      <c r="DXD7">
        <v>0</v>
      </c>
      <c r="DXE7">
        <v>0</v>
      </c>
      <c r="DXF7">
        <v>0</v>
      </c>
      <c r="DXG7">
        <v>0</v>
      </c>
      <c r="DXH7">
        <v>0</v>
      </c>
      <c r="DXI7">
        <v>0</v>
      </c>
      <c r="DXJ7">
        <v>0</v>
      </c>
      <c r="DXK7">
        <v>0</v>
      </c>
      <c r="DXL7">
        <v>0</v>
      </c>
      <c r="DXM7">
        <v>0</v>
      </c>
      <c r="DXN7">
        <v>204.99</v>
      </c>
      <c r="DXO7">
        <v>0</v>
      </c>
      <c r="DXP7">
        <v>0</v>
      </c>
      <c r="DXQ7">
        <v>0</v>
      </c>
      <c r="DXR7">
        <v>9</v>
      </c>
      <c r="DXS7">
        <v>0</v>
      </c>
      <c r="DXT7">
        <v>0</v>
      </c>
      <c r="DXU7">
        <v>0</v>
      </c>
      <c r="DXV7">
        <v>0</v>
      </c>
      <c r="DXW7">
        <v>0</v>
      </c>
      <c r="DXX7">
        <v>0</v>
      </c>
      <c r="DXY7">
        <v>0</v>
      </c>
      <c r="DXZ7">
        <v>0</v>
      </c>
      <c r="DYA7">
        <v>0</v>
      </c>
      <c r="DYB7">
        <v>0</v>
      </c>
      <c r="DYC7">
        <v>0</v>
      </c>
      <c r="DYD7">
        <v>0</v>
      </c>
      <c r="DYE7">
        <v>0</v>
      </c>
      <c r="DYF7">
        <v>0</v>
      </c>
      <c r="DYG7">
        <v>0</v>
      </c>
      <c r="DYH7">
        <v>0</v>
      </c>
      <c r="DYI7">
        <v>0</v>
      </c>
      <c r="DYJ7">
        <v>0</v>
      </c>
      <c r="DYK7">
        <v>51</v>
      </c>
      <c r="DYL7">
        <v>0</v>
      </c>
      <c r="DYM7">
        <v>0</v>
      </c>
      <c r="DYN7">
        <v>190.99</v>
      </c>
      <c r="DYO7">
        <v>0</v>
      </c>
      <c r="DYP7">
        <v>0</v>
      </c>
      <c r="DYQ7">
        <v>0</v>
      </c>
      <c r="DYR7">
        <v>0</v>
      </c>
      <c r="DYS7">
        <v>16</v>
      </c>
      <c r="DYT7">
        <v>0</v>
      </c>
      <c r="DYU7">
        <v>0</v>
      </c>
      <c r="DYV7">
        <v>0</v>
      </c>
      <c r="DYW7">
        <v>0</v>
      </c>
      <c r="DYX7">
        <v>0</v>
      </c>
      <c r="DYY7">
        <v>0</v>
      </c>
      <c r="DYZ7">
        <v>0</v>
      </c>
      <c r="DZA7">
        <v>0</v>
      </c>
      <c r="DZB7">
        <v>0</v>
      </c>
      <c r="DZC7">
        <v>0</v>
      </c>
      <c r="DZD7">
        <v>0</v>
      </c>
      <c r="DZE7">
        <v>0</v>
      </c>
      <c r="DZF7">
        <v>0</v>
      </c>
      <c r="DZG7">
        <v>0</v>
      </c>
      <c r="DZH7">
        <v>0</v>
      </c>
      <c r="DZI7">
        <v>16</v>
      </c>
      <c r="DZJ7">
        <v>0</v>
      </c>
      <c r="DZK7">
        <v>0</v>
      </c>
      <c r="DZL7">
        <v>0</v>
      </c>
      <c r="DZM7">
        <v>0</v>
      </c>
      <c r="DZN7">
        <v>0</v>
      </c>
      <c r="DZO7">
        <v>0</v>
      </c>
      <c r="DZP7">
        <v>0</v>
      </c>
      <c r="DZQ7">
        <v>0</v>
      </c>
      <c r="DZR7">
        <v>218.99</v>
      </c>
      <c r="DZS7">
        <v>0</v>
      </c>
      <c r="DZT7">
        <v>0</v>
      </c>
      <c r="DZU7">
        <v>0</v>
      </c>
      <c r="DZV7">
        <v>0</v>
      </c>
      <c r="DZW7">
        <v>0</v>
      </c>
      <c r="DZX7">
        <v>0</v>
      </c>
      <c r="DZY7">
        <v>0</v>
      </c>
      <c r="DZZ7">
        <v>0</v>
      </c>
      <c r="EAA7">
        <v>0</v>
      </c>
      <c r="EAB7">
        <v>0</v>
      </c>
      <c r="EAC7">
        <v>0</v>
      </c>
      <c r="EAD7">
        <v>0</v>
      </c>
      <c r="EAE7">
        <v>0</v>
      </c>
      <c r="EAF7">
        <v>0</v>
      </c>
      <c r="EAG7">
        <v>0</v>
      </c>
      <c r="EAH7">
        <v>49</v>
      </c>
      <c r="EAI7">
        <v>71.989999999999995</v>
      </c>
      <c r="EAJ7">
        <v>0</v>
      </c>
      <c r="EAK7">
        <v>0</v>
      </c>
      <c r="EAL7">
        <v>0</v>
      </c>
      <c r="EAM7">
        <v>0</v>
      </c>
      <c r="EAN7">
        <v>61</v>
      </c>
      <c r="EAO7">
        <v>0</v>
      </c>
      <c r="EAP7">
        <v>0</v>
      </c>
      <c r="EAQ7">
        <v>0</v>
      </c>
      <c r="EAR7">
        <v>0</v>
      </c>
      <c r="EAS7">
        <v>0</v>
      </c>
      <c r="EAT7">
        <v>0</v>
      </c>
      <c r="EAU7">
        <v>0</v>
      </c>
      <c r="EAV7">
        <v>228.98</v>
      </c>
      <c r="EAW7">
        <v>0</v>
      </c>
      <c r="EAX7">
        <v>0</v>
      </c>
      <c r="EAY7">
        <v>0</v>
      </c>
      <c r="EAZ7">
        <v>157.99</v>
      </c>
      <c r="EBA7">
        <v>0</v>
      </c>
      <c r="EBB7">
        <v>0</v>
      </c>
      <c r="EBC7">
        <v>0</v>
      </c>
      <c r="EBD7">
        <v>0</v>
      </c>
      <c r="EBE7">
        <v>0</v>
      </c>
      <c r="EBF7">
        <v>184.98</v>
      </c>
      <c r="EBG7">
        <v>0</v>
      </c>
      <c r="EBH7">
        <v>0</v>
      </c>
      <c r="EBI7">
        <v>0</v>
      </c>
      <c r="EBJ7">
        <v>0</v>
      </c>
      <c r="EBK7">
        <v>28</v>
      </c>
      <c r="EBL7">
        <v>0</v>
      </c>
      <c r="EBM7">
        <v>0</v>
      </c>
      <c r="EBN7">
        <v>0</v>
      </c>
      <c r="EBO7">
        <v>0</v>
      </c>
      <c r="EBP7">
        <v>0</v>
      </c>
      <c r="EBQ7">
        <v>0</v>
      </c>
      <c r="EBR7">
        <v>194.99</v>
      </c>
      <c r="EBS7">
        <v>0</v>
      </c>
      <c r="EBT7">
        <v>0</v>
      </c>
      <c r="EBU7">
        <v>235</v>
      </c>
      <c r="EBV7">
        <v>0</v>
      </c>
      <c r="EBW7">
        <v>0</v>
      </c>
      <c r="EBX7">
        <v>0</v>
      </c>
      <c r="EBY7">
        <v>0</v>
      </c>
      <c r="EBZ7">
        <v>58</v>
      </c>
      <c r="ECA7">
        <v>0</v>
      </c>
      <c r="ECB7">
        <v>0</v>
      </c>
      <c r="ECC7">
        <v>0</v>
      </c>
      <c r="ECD7">
        <v>18</v>
      </c>
      <c r="ECE7">
        <v>0</v>
      </c>
      <c r="ECF7">
        <v>0</v>
      </c>
      <c r="ECG7">
        <v>0</v>
      </c>
      <c r="ECH7">
        <v>0</v>
      </c>
      <c r="ECI7">
        <v>0</v>
      </c>
      <c r="ECJ7">
        <v>0</v>
      </c>
      <c r="ECK7">
        <v>0</v>
      </c>
      <c r="ECL7">
        <v>0</v>
      </c>
      <c r="ECM7">
        <v>0</v>
      </c>
      <c r="ECN7">
        <v>0</v>
      </c>
      <c r="ECO7">
        <v>0</v>
      </c>
      <c r="ECP7">
        <v>242.99</v>
      </c>
      <c r="ECQ7">
        <v>0</v>
      </c>
      <c r="ECR7">
        <v>0</v>
      </c>
      <c r="ECS7">
        <v>12</v>
      </c>
      <c r="ECT7">
        <v>0</v>
      </c>
      <c r="ECU7">
        <v>0</v>
      </c>
      <c r="ECV7">
        <v>0</v>
      </c>
      <c r="ECW7">
        <v>0</v>
      </c>
      <c r="ECX7">
        <v>41.99</v>
      </c>
      <c r="ECY7">
        <v>42</v>
      </c>
      <c r="ECZ7">
        <v>0</v>
      </c>
      <c r="EDA7">
        <v>0</v>
      </c>
      <c r="EDB7">
        <v>0</v>
      </c>
      <c r="EDC7">
        <v>0</v>
      </c>
      <c r="EDD7">
        <v>0</v>
      </c>
      <c r="EDE7">
        <v>0</v>
      </c>
      <c r="EDF7">
        <v>0</v>
      </c>
      <c r="EDG7">
        <v>45</v>
      </c>
      <c r="EDH7">
        <v>0</v>
      </c>
      <c r="EDI7">
        <v>0</v>
      </c>
      <c r="EDJ7">
        <v>0</v>
      </c>
      <c r="EDK7">
        <v>0</v>
      </c>
      <c r="EDL7">
        <v>0</v>
      </c>
      <c r="EDM7">
        <v>0</v>
      </c>
      <c r="EDN7">
        <v>122.99</v>
      </c>
      <c r="EDO7">
        <v>0</v>
      </c>
      <c r="EDP7">
        <v>0</v>
      </c>
      <c r="EDQ7">
        <v>0</v>
      </c>
      <c r="EDR7">
        <v>0</v>
      </c>
      <c r="EDS7">
        <v>0</v>
      </c>
      <c r="EDT7">
        <v>0</v>
      </c>
      <c r="EDU7">
        <v>0</v>
      </c>
      <c r="EDV7">
        <v>0</v>
      </c>
      <c r="EDW7">
        <v>0</v>
      </c>
      <c r="EDX7">
        <v>0</v>
      </c>
      <c r="EDY7">
        <v>255.98</v>
      </c>
      <c r="EDZ7">
        <v>0</v>
      </c>
      <c r="EEA7">
        <v>0</v>
      </c>
      <c r="EEB7">
        <v>0</v>
      </c>
      <c r="EEC7">
        <v>0</v>
      </c>
      <c r="EED7">
        <v>0</v>
      </c>
      <c r="EEE7">
        <v>0</v>
      </c>
      <c r="EEF7">
        <v>0</v>
      </c>
      <c r="EEG7">
        <v>11</v>
      </c>
      <c r="EEH7">
        <v>0</v>
      </c>
      <c r="EEI7">
        <v>0</v>
      </c>
      <c r="EEJ7">
        <v>0</v>
      </c>
      <c r="EEK7">
        <v>0</v>
      </c>
      <c r="EEL7">
        <v>0</v>
      </c>
      <c r="EEM7">
        <v>0</v>
      </c>
      <c r="EEN7">
        <v>0</v>
      </c>
      <c r="EEO7">
        <v>0</v>
      </c>
      <c r="EEP7">
        <v>6</v>
      </c>
      <c r="EEQ7">
        <v>0</v>
      </c>
      <c r="EER7">
        <v>0</v>
      </c>
      <c r="EES7">
        <v>0</v>
      </c>
      <c r="EET7">
        <v>260.99</v>
      </c>
      <c r="EEU7">
        <v>0</v>
      </c>
      <c r="EEV7">
        <v>0</v>
      </c>
      <c r="EEW7">
        <v>0</v>
      </c>
      <c r="EEX7">
        <v>0</v>
      </c>
      <c r="EEY7">
        <v>0</v>
      </c>
      <c r="EEZ7">
        <v>0</v>
      </c>
      <c r="EFA7">
        <v>0</v>
      </c>
      <c r="EFB7">
        <v>0</v>
      </c>
      <c r="EFC7">
        <v>262.99</v>
      </c>
      <c r="EFD7">
        <v>0</v>
      </c>
      <c r="EFE7">
        <v>0</v>
      </c>
      <c r="EFF7">
        <v>0</v>
      </c>
      <c r="EFG7">
        <v>0</v>
      </c>
      <c r="EFH7">
        <v>0</v>
      </c>
      <c r="EFI7">
        <v>0</v>
      </c>
      <c r="EFJ7">
        <v>0</v>
      </c>
      <c r="EFK7">
        <v>0</v>
      </c>
      <c r="EFL7">
        <v>0</v>
      </c>
      <c r="EFM7">
        <v>0</v>
      </c>
      <c r="EFN7">
        <v>0</v>
      </c>
      <c r="EFO7">
        <v>0</v>
      </c>
      <c r="EFP7">
        <v>26</v>
      </c>
      <c r="EFQ7">
        <v>0</v>
      </c>
      <c r="EFR7">
        <v>0</v>
      </c>
      <c r="EFS7">
        <v>0</v>
      </c>
      <c r="EFT7">
        <v>0</v>
      </c>
      <c r="EFU7">
        <v>0</v>
      </c>
      <c r="EFV7">
        <v>77.989999999999995</v>
      </c>
      <c r="EFW7">
        <v>0</v>
      </c>
      <c r="EFX7">
        <v>0</v>
      </c>
      <c r="EFY7">
        <v>0</v>
      </c>
      <c r="EFZ7">
        <v>0</v>
      </c>
      <c r="EGA7">
        <v>0</v>
      </c>
      <c r="EGB7">
        <v>0</v>
      </c>
      <c r="EGC7">
        <v>0</v>
      </c>
      <c r="EGD7">
        <v>0</v>
      </c>
      <c r="EGE7">
        <v>0</v>
      </c>
      <c r="EGF7">
        <v>0</v>
      </c>
      <c r="EGG7">
        <v>0</v>
      </c>
      <c r="EGH7">
        <v>0</v>
      </c>
      <c r="EGI7">
        <v>0</v>
      </c>
      <c r="EGJ7">
        <v>0</v>
      </c>
      <c r="EGK7">
        <v>0</v>
      </c>
      <c r="EGL7">
        <v>0</v>
      </c>
      <c r="EGM7">
        <v>0</v>
      </c>
      <c r="EGN7">
        <v>0</v>
      </c>
      <c r="EGO7">
        <v>275.99</v>
      </c>
      <c r="EGP7">
        <v>0</v>
      </c>
      <c r="EGQ7">
        <v>0</v>
      </c>
      <c r="EGR7">
        <v>0</v>
      </c>
      <c r="EGS7">
        <v>44</v>
      </c>
      <c r="EGT7">
        <v>278</v>
      </c>
      <c r="EGU7">
        <v>0</v>
      </c>
      <c r="EGV7">
        <v>0</v>
      </c>
      <c r="EGW7">
        <v>13</v>
      </c>
      <c r="EGX7">
        <v>0</v>
      </c>
      <c r="EGY7">
        <v>0</v>
      </c>
      <c r="EGZ7">
        <v>0</v>
      </c>
      <c r="EHA7">
        <v>0</v>
      </c>
      <c r="EHB7">
        <v>42</v>
      </c>
      <c r="EHC7">
        <v>0</v>
      </c>
      <c r="EHD7">
        <v>0</v>
      </c>
      <c r="EHE7">
        <v>0</v>
      </c>
      <c r="EHF7">
        <v>0</v>
      </c>
      <c r="EHG7">
        <v>0</v>
      </c>
      <c r="EHH7">
        <v>0</v>
      </c>
      <c r="EHI7">
        <v>179.99</v>
      </c>
      <c r="EHJ7">
        <v>32</v>
      </c>
      <c r="EHK7">
        <v>0</v>
      </c>
      <c r="EHL7">
        <v>0</v>
      </c>
      <c r="EHM7">
        <v>0</v>
      </c>
      <c r="EHN7">
        <v>0</v>
      </c>
      <c r="EHO7">
        <v>0</v>
      </c>
      <c r="EHP7">
        <v>0</v>
      </c>
      <c r="EHQ7">
        <v>44</v>
      </c>
      <c r="EHR7">
        <v>0</v>
      </c>
      <c r="EHS7">
        <v>0</v>
      </c>
      <c r="EHT7">
        <v>0</v>
      </c>
      <c r="EHU7">
        <v>0</v>
      </c>
      <c r="EHV7">
        <v>290.98</v>
      </c>
      <c r="EHW7">
        <v>0</v>
      </c>
      <c r="EHX7">
        <v>11</v>
      </c>
      <c r="EHY7">
        <v>0</v>
      </c>
      <c r="EHZ7">
        <v>0</v>
      </c>
      <c r="EIA7">
        <v>0</v>
      </c>
      <c r="EIB7">
        <v>0</v>
      </c>
      <c r="EIC7">
        <v>14</v>
      </c>
      <c r="EID7">
        <v>0</v>
      </c>
      <c r="EIE7">
        <v>0</v>
      </c>
      <c r="EIF7">
        <v>0</v>
      </c>
      <c r="EIG7">
        <v>0</v>
      </c>
      <c r="EIH7">
        <v>0</v>
      </c>
      <c r="EII7">
        <v>0</v>
      </c>
      <c r="EIJ7">
        <v>0</v>
      </c>
      <c r="EIK7">
        <v>0</v>
      </c>
      <c r="EIL7">
        <v>0</v>
      </c>
      <c r="EIM7">
        <v>0</v>
      </c>
      <c r="EIN7">
        <v>0</v>
      </c>
      <c r="EIO7">
        <v>0</v>
      </c>
      <c r="EIP7">
        <v>0</v>
      </c>
      <c r="EIQ7">
        <v>0</v>
      </c>
      <c r="EIR7">
        <v>0</v>
      </c>
      <c r="EIS7">
        <v>300.99</v>
      </c>
      <c r="EIT7">
        <v>0</v>
      </c>
      <c r="EIU7">
        <v>0</v>
      </c>
      <c r="EIV7">
        <v>0</v>
      </c>
      <c r="EIW7">
        <v>302.99</v>
      </c>
      <c r="EIX7">
        <v>34.99</v>
      </c>
      <c r="EIY7">
        <v>0</v>
      </c>
      <c r="EIZ7">
        <v>303.98</v>
      </c>
      <c r="EJA7">
        <v>61</v>
      </c>
      <c r="EJB7">
        <v>95</v>
      </c>
      <c r="EJC7">
        <v>0</v>
      </c>
      <c r="EJD7">
        <v>0</v>
      </c>
      <c r="EJE7">
        <v>0</v>
      </c>
      <c r="EJF7">
        <v>0</v>
      </c>
      <c r="EJG7">
        <v>0</v>
      </c>
      <c r="EJH7">
        <v>0</v>
      </c>
      <c r="EJI7">
        <v>0</v>
      </c>
      <c r="EJJ7">
        <v>0</v>
      </c>
      <c r="EJK7">
        <v>0</v>
      </c>
      <c r="EJL7">
        <v>0</v>
      </c>
      <c r="EJM7">
        <v>0</v>
      </c>
      <c r="EJN7">
        <v>0</v>
      </c>
      <c r="EJO7">
        <v>0</v>
      </c>
      <c r="EJP7">
        <v>0</v>
      </c>
      <c r="EJQ7">
        <v>0</v>
      </c>
      <c r="EJR7">
        <v>0</v>
      </c>
      <c r="EJS7">
        <v>0</v>
      </c>
      <c r="EJT7">
        <v>0</v>
      </c>
      <c r="EJU7">
        <v>0</v>
      </c>
      <c r="EJV7">
        <v>0</v>
      </c>
      <c r="EJW7">
        <v>0</v>
      </c>
      <c r="EJX7">
        <v>0</v>
      </c>
      <c r="EJY7">
        <v>0</v>
      </c>
      <c r="EJZ7">
        <v>0</v>
      </c>
      <c r="EKA7">
        <v>0</v>
      </c>
      <c r="EKB7">
        <v>0</v>
      </c>
      <c r="EKC7">
        <v>145</v>
      </c>
      <c r="EKD7">
        <v>0</v>
      </c>
      <c r="EKE7">
        <v>0</v>
      </c>
      <c r="EKF7">
        <v>0</v>
      </c>
      <c r="EKG7">
        <v>19</v>
      </c>
      <c r="EKH7">
        <v>317.99</v>
      </c>
      <c r="EKI7">
        <v>0</v>
      </c>
      <c r="EKJ7">
        <v>0</v>
      </c>
      <c r="EKK7">
        <v>0</v>
      </c>
      <c r="EKL7">
        <v>0</v>
      </c>
      <c r="EKM7">
        <v>0</v>
      </c>
      <c r="EKN7">
        <v>0</v>
      </c>
      <c r="EKO7">
        <v>286.99</v>
      </c>
      <c r="EKP7">
        <v>33</v>
      </c>
      <c r="EKQ7">
        <v>0</v>
      </c>
      <c r="EKR7">
        <v>0</v>
      </c>
      <c r="EKS7">
        <v>0</v>
      </c>
      <c r="EKT7">
        <v>0</v>
      </c>
      <c r="EKU7">
        <v>0</v>
      </c>
      <c r="EKV7">
        <v>0</v>
      </c>
      <c r="EKW7">
        <v>0</v>
      </c>
      <c r="EKX7">
        <v>0</v>
      </c>
      <c r="EKY7">
        <v>0</v>
      </c>
      <c r="EKZ7">
        <v>0</v>
      </c>
      <c r="ELA7">
        <v>325.98</v>
      </c>
      <c r="ELB7">
        <v>0</v>
      </c>
      <c r="ELC7">
        <v>0</v>
      </c>
      <c r="ELD7">
        <v>0</v>
      </c>
      <c r="ELE7">
        <v>0</v>
      </c>
      <c r="ELF7">
        <v>170.99</v>
      </c>
      <c r="ELG7">
        <v>0</v>
      </c>
      <c r="ELH7">
        <v>0</v>
      </c>
      <c r="ELI7">
        <v>0</v>
      </c>
      <c r="ELJ7">
        <v>0</v>
      </c>
      <c r="ELK7">
        <v>0</v>
      </c>
      <c r="ELL7">
        <v>0</v>
      </c>
      <c r="ELM7">
        <v>0</v>
      </c>
      <c r="ELN7">
        <v>0</v>
      </c>
      <c r="ELO7">
        <v>0</v>
      </c>
      <c r="ELP7">
        <v>0</v>
      </c>
      <c r="ELQ7">
        <v>0</v>
      </c>
      <c r="ELR7">
        <v>0</v>
      </c>
      <c r="ELS7">
        <v>0</v>
      </c>
      <c r="ELT7">
        <v>0</v>
      </c>
      <c r="ELU7">
        <v>0</v>
      </c>
      <c r="ELV7">
        <v>0</v>
      </c>
      <c r="ELW7">
        <v>0</v>
      </c>
      <c r="ELX7">
        <v>0</v>
      </c>
      <c r="ELY7">
        <v>0</v>
      </c>
      <c r="ELZ7">
        <v>0</v>
      </c>
      <c r="EMA7">
        <v>0</v>
      </c>
      <c r="EMB7">
        <v>0</v>
      </c>
      <c r="EMC7">
        <v>0</v>
      </c>
      <c r="EMD7">
        <v>0</v>
      </c>
      <c r="EME7">
        <v>0</v>
      </c>
      <c r="EMF7">
        <v>0</v>
      </c>
      <c r="EMG7">
        <v>99</v>
      </c>
      <c r="EMH7">
        <v>126</v>
      </c>
      <c r="EMI7">
        <v>0</v>
      </c>
      <c r="EMJ7">
        <v>0</v>
      </c>
      <c r="EMK7">
        <v>0</v>
      </c>
      <c r="EML7">
        <v>0</v>
      </c>
      <c r="EMM7">
        <v>89</v>
      </c>
      <c r="EMN7">
        <v>0</v>
      </c>
      <c r="EMO7">
        <v>0</v>
      </c>
      <c r="EMP7">
        <v>0</v>
      </c>
      <c r="EMQ7">
        <v>0</v>
      </c>
      <c r="EMR7">
        <v>0</v>
      </c>
      <c r="EMS7">
        <v>0</v>
      </c>
      <c r="EMT7">
        <v>0</v>
      </c>
      <c r="EMU7">
        <v>0</v>
      </c>
      <c r="EMV7">
        <v>0</v>
      </c>
      <c r="EMW7">
        <v>0</v>
      </c>
      <c r="EMX7">
        <v>347.98</v>
      </c>
      <c r="EMY7">
        <v>0</v>
      </c>
      <c r="EMZ7">
        <v>0</v>
      </c>
      <c r="ENA7">
        <v>0</v>
      </c>
      <c r="ENB7">
        <v>0</v>
      </c>
      <c r="ENC7">
        <v>0</v>
      </c>
      <c r="END7">
        <v>0</v>
      </c>
      <c r="ENE7">
        <v>0</v>
      </c>
      <c r="ENF7">
        <v>0</v>
      </c>
      <c r="ENG7">
        <v>354.96</v>
      </c>
      <c r="ENH7">
        <v>0</v>
      </c>
      <c r="ENI7">
        <v>0</v>
      </c>
      <c r="ENJ7">
        <v>0</v>
      </c>
      <c r="ENK7">
        <v>355.98</v>
      </c>
      <c r="ENL7">
        <v>0</v>
      </c>
      <c r="ENM7">
        <v>0</v>
      </c>
      <c r="ENN7">
        <v>0</v>
      </c>
      <c r="ENO7">
        <v>0</v>
      </c>
      <c r="ENP7">
        <v>0</v>
      </c>
      <c r="ENQ7">
        <v>0</v>
      </c>
      <c r="ENR7">
        <v>0</v>
      </c>
      <c r="ENS7">
        <v>0</v>
      </c>
      <c r="ENT7">
        <v>0</v>
      </c>
      <c r="ENU7">
        <v>0</v>
      </c>
      <c r="ENV7">
        <v>360.99</v>
      </c>
      <c r="ENW7">
        <v>0</v>
      </c>
      <c r="ENX7">
        <v>0</v>
      </c>
      <c r="ENY7">
        <v>130</v>
      </c>
      <c r="ENZ7">
        <v>0</v>
      </c>
      <c r="EOA7">
        <v>0</v>
      </c>
      <c r="EOB7">
        <v>0</v>
      </c>
      <c r="EOC7">
        <v>0</v>
      </c>
      <c r="EOD7">
        <v>0</v>
      </c>
      <c r="EOE7">
        <v>0</v>
      </c>
      <c r="EOF7">
        <v>0</v>
      </c>
      <c r="EOG7">
        <v>0</v>
      </c>
      <c r="EOH7">
        <v>0</v>
      </c>
      <c r="EOI7">
        <v>0</v>
      </c>
      <c r="EOJ7">
        <v>0</v>
      </c>
      <c r="EOK7">
        <v>0</v>
      </c>
      <c r="EOL7">
        <v>0</v>
      </c>
      <c r="EOM7">
        <v>0</v>
      </c>
      <c r="EON7">
        <v>185.99</v>
      </c>
      <c r="EOO7">
        <v>0</v>
      </c>
      <c r="EOP7">
        <v>372.99</v>
      </c>
      <c r="EOQ7">
        <v>0</v>
      </c>
      <c r="EOR7">
        <v>0</v>
      </c>
      <c r="EOS7">
        <v>0</v>
      </c>
      <c r="EOT7">
        <v>0</v>
      </c>
      <c r="EOU7">
        <v>0</v>
      </c>
      <c r="EOV7">
        <v>0</v>
      </c>
      <c r="EOW7">
        <v>12.99</v>
      </c>
      <c r="EOX7">
        <v>0</v>
      </c>
      <c r="EOY7">
        <v>0</v>
      </c>
      <c r="EOZ7">
        <v>0</v>
      </c>
      <c r="EPA7">
        <v>0</v>
      </c>
      <c r="EPB7">
        <v>0</v>
      </c>
      <c r="EPC7">
        <v>0</v>
      </c>
      <c r="EPD7">
        <v>0</v>
      </c>
      <c r="EPE7">
        <v>0</v>
      </c>
      <c r="EPF7">
        <v>0</v>
      </c>
      <c r="EPG7">
        <v>0</v>
      </c>
      <c r="EPH7">
        <v>0</v>
      </c>
      <c r="EPI7">
        <v>0</v>
      </c>
      <c r="EPJ7">
        <v>0</v>
      </c>
      <c r="EPK7">
        <v>34</v>
      </c>
      <c r="EPL7">
        <v>53</v>
      </c>
      <c r="EPM7">
        <v>0</v>
      </c>
      <c r="EPN7">
        <v>0</v>
      </c>
      <c r="EPO7">
        <v>0</v>
      </c>
      <c r="EPP7">
        <v>5</v>
      </c>
      <c r="EPQ7">
        <v>0</v>
      </c>
      <c r="EPR7">
        <v>0</v>
      </c>
      <c r="EPS7">
        <v>42.99</v>
      </c>
      <c r="EPT7">
        <v>0</v>
      </c>
      <c r="EPU7">
        <v>0</v>
      </c>
      <c r="EPV7">
        <v>0</v>
      </c>
      <c r="EPW7">
        <v>0</v>
      </c>
      <c r="EPX7">
        <v>0</v>
      </c>
      <c r="EPY7">
        <v>387.99</v>
      </c>
      <c r="EPZ7">
        <v>0</v>
      </c>
      <c r="EQA7">
        <v>0</v>
      </c>
      <c r="EQB7">
        <v>0</v>
      </c>
      <c r="EQC7">
        <v>0</v>
      </c>
      <c r="EQD7">
        <v>0</v>
      </c>
      <c r="EQE7">
        <v>0</v>
      </c>
      <c r="EQF7">
        <v>0</v>
      </c>
      <c r="EQG7">
        <v>0</v>
      </c>
      <c r="EQH7">
        <v>0</v>
      </c>
      <c r="EQI7">
        <v>0</v>
      </c>
      <c r="EQJ7">
        <v>0</v>
      </c>
      <c r="EQK7">
        <v>38.97</v>
      </c>
      <c r="EQL7">
        <v>391.98</v>
      </c>
      <c r="EQM7">
        <v>0</v>
      </c>
      <c r="EQN7">
        <v>20</v>
      </c>
      <c r="EQO7">
        <v>0</v>
      </c>
      <c r="EQP7">
        <v>0</v>
      </c>
      <c r="EQQ7">
        <v>0</v>
      </c>
      <c r="EQR7">
        <v>0</v>
      </c>
      <c r="EQS7">
        <v>0</v>
      </c>
      <c r="EQT7">
        <v>0</v>
      </c>
      <c r="EQU7">
        <v>0</v>
      </c>
      <c r="EQV7">
        <v>0</v>
      </c>
      <c r="EQW7">
        <v>0</v>
      </c>
      <c r="EQX7">
        <v>0</v>
      </c>
      <c r="EQY7">
        <v>0</v>
      </c>
      <c r="EQZ7">
        <v>0</v>
      </c>
      <c r="ERA7">
        <v>0</v>
      </c>
      <c r="ERB7">
        <v>0</v>
      </c>
      <c r="ERC7">
        <v>19</v>
      </c>
      <c r="ERD7">
        <v>0</v>
      </c>
      <c r="ERE7">
        <v>0</v>
      </c>
      <c r="ERF7">
        <v>0</v>
      </c>
      <c r="ERG7">
        <v>37</v>
      </c>
      <c r="ERH7">
        <v>0</v>
      </c>
      <c r="ERI7">
        <v>0</v>
      </c>
      <c r="ERJ7">
        <v>0</v>
      </c>
      <c r="ERK7">
        <v>0</v>
      </c>
      <c r="ERL7">
        <v>0</v>
      </c>
      <c r="ERM7">
        <v>0</v>
      </c>
      <c r="ERN7">
        <v>0</v>
      </c>
      <c r="ERO7">
        <v>0</v>
      </c>
      <c r="ERP7">
        <v>0</v>
      </c>
      <c r="ERQ7">
        <v>0</v>
      </c>
      <c r="ERR7">
        <v>0</v>
      </c>
      <c r="ERS7">
        <v>0</v>
      </c>
      <c r="ERT7">
        <v>221.97</v>
      </c>
      <c r="ERU7">
        <v>0</v>
      </c>
      <c r="ERV7">
        <v>0</v>
      </c>
      <c r="ERW7">
        <v>0</v>
      </c>
      <c r="ERX7">
        <v>0</v>
      </c>
      <c r="ERY7">
        <v>0</v>
      </c>
      <c r="ERZ7">
        <v>0</v>
      </c>
      <c r="ESA7">
        <v>0</v>
      </c>
      <c r="ESB7">
        <v>0</v>
      </c>
      <c r="ESC7">
        <v>0</v>
      </c>
      <c r="ESD7">
        <v>0</v>
      </c>
      <c r="ESE7">
        <v>0</v>
      </c>
      <c r="ESF7">
        <v>0</v>
      </c>
      <c r="ESG7">
        <v>0</v>
      </c>
      <c r="ESH7">
        <v>0</v>
      </c>
      <c r="ESI7">
        <v>0</v>
      </c>
      <c r="ESJ7">
        <v>0</v>
      </c>
      <c r="ESK7">
        <v>0</v>
      </c>
      <c r="ESL7">
        <v>0</v>
      </c>
      <c r="ESM7">
        <v>0</v>
      </c>
      <c r="ESN7">
        <v>424.98</v>
      </c>
      <c r="ESO7">
        <v>0</v>
      </c>
      <c r="ESP7">
        <v>57</v>
      </c>
      <c r="ESQ7">
        <v>0</v>
      </c>
      <c r="ESR7">
        <v>0</v>
      </c>
      <c r="ESS7">
        <v>0</v>
      </c>
      <c r="EST7">
        <v>0</v>
      </c>
      <c r="ESU7">
        <v>0</v>
      </c>
      <c r="ESV7">
        <v>9</v>
      </c>
      <c r="ESW7">
        <v>159</v>
      </c>
      <c r="ESX7">
        <v>0</v>
      </c>
      <c r="ESY7">
        <v>0</v>
      </c>
      <c r="ESZ7">
        <v>50</v>
      </c>
      <c r="ETA7">
        <v>0</v>
      </c>
      <c r="ETB7">
        <v>0</v>
      </c>
      <c r="ETC7">
        <v>0</v>
      </c>
      <c r="ETD7">
        <v>0</v>
      </c>
      <c r="ETE7">
        <v>0</v>
      </c>
      <c r="ETF7">
        <v>0</v>
      </c>
      <c r="ETG7">
        <v>0</v>
      </c>
      <c r="ETH7">
        <v>18</v>
      </c>
      <c r="ETI7">
        <v>0</v>
      </c>
      <c r="ETJ7">
        <v>0</v>
      </c>
      <c r="ETK7">
        <v>0</v>
      </c>
      <c r="ETL7">
        <v>0</v>
      </c>
      <c r="ETM7">
        <v>0</v>
      </c>
      <c r="ETN7">
        <v>0</v>
      </c>
      <c r="ETO7">
        <v>0</v>
      </c>
      <c r="ETP7">
        <v>0</v>
      </c>
      <c r="ETQ7">
        <v>181.98</v>
      </c>
      <c r="ETR7">
        <v>0</v>
      </c>
      <c r="ETS7">
        <v>200</v>
      </c>
      <c r="ETT7">
        <v>0</v>
      </c>
      <c r="ETU7">
        <v>0</v>
      </c>
      <c r="ETV7">
        <v>0</v>
      </c>
      <c r="ETW7">
        <v>0</v>
      </c>
      <c r="ETX7">
        <v>0</v>
      </c>
      <c r="ETY7">
        <v>0</v>
      </c>
      <c r="ETZ7">
        <v>0</v>
      </c>
      <c r="EUA7">
        <v>0</v>
      </c>
      <c r="EUB7">
        <v>0</v>
      </c>
      <c r="EUC7">
        <v>0</v>
      </c>
      <c r="EUD7">
        <v>0</v>
      </c>
      <c r="EUE7">
        <v>0</v>
      </c>
      <c r="EUF7">
        <v>126</v>
      </c>
      <c r="EUG7">
        <v>0</v>
      </c>
      <c r="EUH7">
        <v>0</v>
      </c>
      <c r="EUI7">
        <v>0</v>
      </c>
      <c r="EUJ7">
        <v>0</v>
      </c>
      <c r="EUK7">
        <v>0</v>
      </c>
      <c r="EUL7">
        <v>78</v>
      </c>
      <c r="EUM7">
        <v>451.99</v>
      </c>
      <c r="EUN7">
        <v>0</v>
      </c>
      <c r="EUO7">
        <v>0</v>
      </c>
      <c r="EUP7">
        <v>0</v>
      </c>
      <c r="EUQ7">
        <v>0</v>
      </c>
      <c r="EUR7">
        <v>453.98</v>
      </c>
      <c r="EUS7">
        <v>0</v>
      </c>
      <c r="EUT7">
        <v>0</v>
      </c>
      <c r="EUU7">
        <v>0</v>
      </c>
      <c r="EUV7">
        <v>0</v>
      </c>
      <c r="EUW7">
        <v>18</v>
      </c>
      <c r="EUX7">
        <v>0</v>
      </c>
      <c r="EUY7">
        <v>0</v>
      </c>
      <c r="EUZ7">
        <v>0</v>
      </c>
      <c r="EVA7">
        <v>0</v>
      </c>
      <c r="EVB7">
        <v>0</v>
      </c>
      <c r="EVC7">
        <v>0</v>
      </c>
      <c r="EVD7">
        <v>0</v>
      </c>
      <c r="EVE7">
        <v>278.98</v>
      </c>
      <c r="EVF7">
        <v>0</v>
      </c>
      <c r="EVG7">
        <v>0</v>
      </c>
      <c r="EVH7">
        <v>0</v>
      </c>
      <c r="EVI7">
        <v>0</v>
      </c>
      <c r="EVJ7">
        <v>0</v>
      </c>
      <c r="EVK7">
        <v>0</v>
      </c>
      <c r="EVL7">
        <v>0</v>
      </c>
      <c r="EVM7">
        <v>49</v>
      </c>
      <c r="EVN7">
        <v>0</v>
      </c>
      <c r="EVO7">
        <v>0</v>
      </c>
      <c r="EVP7">
        <v>0</v>
      </c>
      <c r="EVQ7">
        <v>0</v>
      </c>
      <c r="EVR7">
        <v>0</v>
      </c>
      <c r="EVS7">
        <v>0</v>
      </c>
      <c r="EVT7">
        <v>0</v>
      </c>
      <c r="EVU7">
        <v>0</v>
      </c>
      <c r="EVV7">
        <v>0</v>
      </c>
      <c r="EVW7">
        <v>0</v>
      </c>
      <c r="EVX7">
        <v>0</v>
      </c>
      <c r="EVY7">
        <v>18.989999999999998</v>
      </c>
      <c r="EVZ7">
        <v>0</v>
      </c>
      <c r="EWA7">
        <v>0</v>
      </c>
      <c r="EWB7">
        <v>0</v>
      </c>
      <c r="EWC7">
        <v>400.99</v>
      </c>
      <c r="EWD7">
        <v>0</v>
      </c>
      <c r="EWE7">
        <v>0</v>
      </c>
      <c r="EWF7">
        <v>0</v>
      </c>
      <c r="EWG7">
        <v>0</v>
      </c>
      <c r="EWH7">
        <v>0</v>
      </c>
      <c r="EWI7">
        <v>483.98</v>
      </c>
      <c r="EWJ7">
        <v>0</v>
      </c>
      <c r="EWK7">
        <v>125.96</v>
      </c>
      <c r="EWL7">
        <v>485.98</v>
      </c>
      <c r="EWM7">
        <v>0</v>
      </c>
      <c r="EWN7">
        <v>0</v>
      </c>
      <c r="EWO7">
        <v>0</v>
      </c>
      <c r="EWP7">
        <v>0</v>
      </c>
      <c r="EWQ7">
        <v>34.99</v>
      </c>
      <c r="EWR7">
        <v>0</v>
      </c>
      <c r="EWS7">
        <v>58</v>
      </c>
      <c r="EWT7">
        <v>350.99</v>
      </c>
      <c r="EWU7">
        <v>0</v>
      </c>
      <c r="EWV7">
        <v>0</v>
      </c>
      <c r="EWW7">
        <v>0</v>
      </c>
      <c r="EWX7">
        <v>0</v>
      </c>
      <c r="EWY7">
        <v>0</v>
      </c>
      <c r="EWZ7">
        <v>0</v>
      </c>
      <c r="EXA7">
        <v>0</v>
      </c>
      <c r="EXB7">
        <v>0</v>
      </c>
      <c r="EXC7">
        <v>0</v>
      </c>
      <c r="EXD7">
        <v>0</v>
      </c>
      <c r="EXE7">
        <v>0</v>
      </c>
      <c r="EXF7">
        <v>0</v>
      </c>
      <c r="EXG7">
        <v>0</v>
      </c>
      <c r="EXH7">
        <v>5</v>
      </c>
      <c r="EXI7">
        <v>0</v>
      </c>
      <c r="EXJ7">
        <v>0</v>
      </c>
      <c r="EXK7">
        <v>0</v>
      </c>
      <c r="EXL7">
        <v>0</v>
      </c>
      <c r="EXM7">
        <v>0</v>
      </c>
      <c r="EXN7">
        <v>0</v>
      </c>
      <c r="EXO7">
        <v>0</v>
      </c>
      <c r="EXP7">
        <v>0</v>
      </c>
      <c r="EXQ7">
        <v>0</v>
      </c>
      <c r="EXR7">
        <v>0</v>
      </c>
      <c r="EXS7">
        <v>0</v>
      </c>
      <c r="EXT7">
        <v>0</v>
      </c>
      <c r="EXU7">
        <v>0</v>
      </c>
      <c r="EXV7">
        <v>0</v>
      </c>
      <c r="EXW7">
        <v>32</v>
      </c>
      <c r="EXX7">
        <v>0</v>
      </c>
      <c r="EXY7">
        <v>0</v>
      </c>
      <c r="EXZ7">
        <v>0</v>
      </c>
      <c r="EYA7">
        <v>170.99</v>
      </c>
      <c r="EYB7">
        <v>0</v>
      </c>
      <c r="EYC7">
        <v>518.99</v>
      </c>
      <c r="EYD7">
        <v>0</v>
      </c>
      <c r="EYE7">
        <v>0</v>
      </c>
      <c r="EYF7">
        <v>0</v>
      </c>
      <c r="EYG7">
        <v>0</v>
      </c>
      <c r="EYH7">
        <v>0</v>
      </c>
      <c r="EYI7">
        <v>0</v>
      </c>
      <c r="EYJ7">
        <v>0</v>
      </c>
      <c r="EYK7">
        <v>0</v>
      </c>
      <c r="EYL7">
        <v>0</v>
      </c>
      <c r="EYM7">
        <v>0</v>
      </c>
      <c r="EYN7">
        <v>527.95000000000005</v>
      </c>
      <c r="EYO7">
        <v>0</v>
      </c>
      <c r="EYP7">
        <v>112</v>
      </c>
      <c r="EYQ7">
        <v>0</v>
      </c>
      <c r="EYR7">
        <v>0</v>
      </c>
      <c r="EYS7">
        <v>0</v>
      </c>
      <c r="EYT7">
        <v>0</v>
      </c>
      <c r="EYU7">
        <v>0</v>
      </c>
      <c r="EYV7">
        <v>0</v>
      </c>
      <c r="EYW7">
        <v>0</v>
      </c>
      <c r="EYX7">
        <v>0</v>
      </c>
      <c r="EYY7">
        <v>532.98</v>
      </c>
      <c r="EYZ7">
        <v>0</v>
      </c>
      <c r="EZA7">
        <v>337.98</v>
      </c>
      <c r="EZB7">
        <v>0</v>
      </c>
      <c r="EZC7">
        <v>0</v>
      </c>
      <c r="EZD7">
        <v>0</v>
      </c>
      <c r="EZE7">
        <v>0</v>
      </c>
      <c r="EZF7">
        <v>0</v>
      </c>
      <c r="EZG7">
        <v>0</v>
      </c>
      <c r="EZH7">
        <v>0</v>
      </c>
      <c r="EZI7">
        <v>0</v>
      </c>
      <c r="EZJ7">
        <v>0</v>
      </c>
      <c r="EZK7">
        <v>15</v>
      </c>
      <c r="EZL7">
        <v>0</v>
      </c>
      <c r="EZM7">
        <v>0</v>
      </c>
      <c r="EZN7">
        <v>0</v>
      </c>
      <c r="EZO7">
        <v>13</v>
      </c>
      <c r="EZP7">
        <v>0</v>
      </c>
      <c r="EZQ7">
        <v>362.96</v>
      </c>
      <c r="EZR7">
        <v>0</v>
      </c>
      <c r="EZS7">
        <v>0</v>
      </c>
      <c r="EZT7">
        <v>0</v>
      </c>
      <c r="EZU7">
        <v>0</v>
      </c>
      <c r="EZV7">
        <v>0</v>
      </c>
      <c r="EZW7">
        <v>0</v>
      </c>
      <c r="EZX7">
        <v>0</v>
      </c>
      <c r="EZY7">
        <v>0</v>
      </c>
      <c r="EZZ7">
        <v>0</v>
      </c>
      <c r="FAA7">
        <v>0</v>
      </c>
      <c r="FAB7">
        <v>0</v>
      </c>
      <c r="FAC7">
        <v>0</v>
      </c>
      <c r="FAD7">
        <v>559.98</v>
      </c>
      <c r="FAE7">
        <v>0</v>
      </c>
      <c r="FAF7">
        <v>0</v>
      </c>
      <c r="FAG7">
        <v>0</v>
      </c>
      <c r="FAH7">
        <v>0</v>
      </c>
      <c r="FAI7">
        <v>0</v>
      </c>
      <c r="FAJ7">
        <v>0</v>
      </c>
      <c r="FAK7">
        <v>0</v>
      </c>
      <c r="FAL7">
        <v>212.99</v>
      </c>
      <c r="FAM7">
        <v>0</v>
      </c>
      <c r="FAN7">
        <v>0</v>
      </c>
      <c r="FAO7">
        <v>0</v>
      </c>
      <c r="FAP7">
        <v>570.98</v>
      </c>
      <c r="FAQ7">
        <v>0</v>
      </c>
      <c r="FAR7">
        <v>0</v>
      </c>
      <c r="FAS7">
        <v>0</v>
      </c>
      <c r="FAT7">
        <v>0</v>
      </c>
      <c r="FAU7">
        <v>0</v>
      </c>
      <c r="FAV7">
        <v>0</v>
      </c>
      <c r="FAW7">
        <v>0</v>
      </c>
      <c r="FAX7">
        <v>0</v>
      </c>
      <c r="FAY7">
        <v>0</v>
      </c>
      <c r="FAZ7">
        <v>0</v>
      </c>
      <c r="FBA7">
        <v>0</v>
      </c>
      <c r="FBB7">
        <v>0</v>
      </c>
      <c r="FBC7">
        <v>0</v>
      </c>
      <c r="FBD7">
        <v>0</v>
      </c>
      <c r="FBE7">
        <v>0</v>
      </c>
      <c r="FBF7">
        <v>0</v>
      </c>
      <c r="FBG7">
        <v>0</v>
      </c>
      <c r="FBH7">
        <v>0</v>
      </c>
      <c r="FBI7">
        <v>0</v>
      </c>
      <c r="FBJ7">
        <v>0</v>
      </c>
      <c r="FBK7">
        <v>593.97</v>
      </c>
      <c r="FBL7">
        <v>0</v>
      </c>
      <c r="FBM7">
        <v>0</v>
      </c>
      <c r="FBN7">
        <v>0</v>
      </c>
      <c r="FBO7">
        <v>0</v>
      </c>
      <c r="FBP7">
        <v>0</v>
      </c>
      <c r="FBQ7">
        <v>0</v>
      </c>
      <c r="FBR7">
        <v>0</v>
      </c>
      <c r="FBS7">
        <v>0</v>
      </c>
      <c r="FBT7">
        <v>0</v>
      </c>
      <c r="FBU7">
        <v>0</v>
      </c>
      <c r="FBV7">
        <v>0</v>
      </c>
      <c r="FBW7">
        <v>0</v>
      </c>
      <c r="FBX7">
        <v>604.96</v>
      </c>
      <c r="FBY7">
        <v>5</v>
      </c>
      <c r="FBZ7">
        <v>0</v>
      </c>
      <c r="FCA7">
        <v>0</v>
      </c>
      <c r="FCB7">
        <v>0</v>
      </c>
      <c r="FCC7">
        <v>0</v>
      </c>
      <c r="FCD7">
        <v>0</v>
      </c>
      <c r="FCE7">
        <v>0</v>
      </c>
      <c r="FCF7">
        <v>0</v>
      </c>
      <c r="FCG7">
        <v>0</v>
      </c>
      <c r="FCH7">
        <v>362</v>
      </c>
      <c r="FCI7">
        <v>0</v>
      </c>
      <c r="FCJ7">
        <v>0</v>
      </c>
      <c r="FCK7">
        <v>0</v>
      </c>
      <c r="FCL7">
        <v>119.98</v>
      </c>
      <c r="FCM7">
        <v>0</v>
      </c>
      <c r="FCN7">
        <v>128.99</v>
      </c>
      <c r="FCO7">
        <v>94.99</v>
      </c>
      <c r="FCP7">
        <v>0</v>
      </c>
      <c r="FCQ7">
        <v>0</v>
      </c>
      <c r="FCR7">
        <v>0</v>
      </c>
      <c r="FCS7">
        <v>0</v>
      </c>
      <c r="FCT7">
        <v>0</v>
      </c>
      <c r="FCU7">
        <v>0</v>
      </c>
      <c r="FCV7">
        <v>0</v>
      </c>
      <c r="FCW7">
        <v>0</v>
      </c>
      <c r="FCX7">
        <v>0</v>
      </c>
      <c r="FCY7">
        <v>0</v>
      </c>
      <c r="FCZ7">
        <v>0</v>
      </c>
      <c r="FDA7">
        <v>0</v>
      </c>
      <c r="FDB7">
        <v>0</v>
      </c>
      <c r="FDC7">
        <v>0</v>
      </c>
      <c r="FDD7">
        <v>0</v>
      </c>
      <c r="FDE7">
        <v>0</v>
      </c>
      <c r="FDF7">
        <v>31</v>
      </c>
      <c r="FDG7">
        <v>0</v>
      </c>
      <c r="FDH7">
        <v>0</v>
      </c>
      <c r="FDI7">
        <v>0</v>
      </c>
      <c r="FDJ7">
        <v>0</v>
      </c>
      <c r="FDK7">
        <v>0</v>
      </c>
      <c r="FDL7">
        <v>11</v>
      </c>
      <c r="FDM7">
        <v>0</v>
      </c>
      <c r="FDN7">
        <v>647.96</v>
      </c>
      <c r="FDO7">
        <v>0</v>
      </c>
      <c r="FDP7">
        <v>0</v>
      </c>
      <c r="FDQ7">
        <v>0</v>
      </c>
      <c r="FDR7">
        <v>0</v>
      </c>
      <c r="FDS7">
        <v>0</v>
      </c>
      <c r="FDT7">
        <v>0</v>
      </c>
      <c r="FDU7">
        <v>0</v>
      </c>
      <c r="FDV7">
        <v>0</v>
      </c>
      <c r="FDW7">
        <v>0</v>
      </c>
      <c r="FDX7">
        <v>0</v>
      </c>
      <c r="FDY7">
        <v>0</v>
      </c>
      <c r="FDZ7">
        <v>0</v>
      </c>
      <c r="FEA7">
        <v>0</v>
      </c>
      <c r="FEB7">
        <v>0</v>
      </c>
      <c r="FEC7">
        <v>0</v>
      </c>
      <c r="FED7">
        <v>207.98</v>
      </c>
      <c r="FEE7">
        <v>0</v>
      </c>
      <c r="FEF7">
        <v>0</v>
      </c>
      <c r="FEG7">
        <v>0</v>
      </c>
      <c r="FEH7">
        <v>0</v>
      </c>
      <c r="FEI7">
        <v>10</v>
      </c>
      <c r="FEJ7">
        <v>0</v>
      </c>
      <c r="FEK7">
        <v>0</v>
      </c>
      <c r="FEL7">
        <v>0</v>
      </c>
      <c r="FEM7">
        <v>44</v>
      </c>
      <c r="FEN7">
        <v>0</v>
      </c>
      <c r="FEO7">
        <v>0</v>
      </c>
      <c r="FEP7">
        <v>25</v>
      </c>
      <c r="FEQ7">
        <v>0</v>
      </c>
      <c r="FER7">
        <v>0</v>
      </c>
      <c r="FES7">
        <v>0</v>
      </c>
      <c r="FET7">
        <v>0</v>
      </c>
      <c r="FEU7">
        <v>0</v>
      </c>
      <c r="FEV7">
        <v>0</v>
      </c>
      <c r="FEW7">
        <v>0</v>
      </c>
      <c r="FEX7">
        <v>33</v>
      </c>
      <c r="FEY7">
        <v>0</v>
      </c>
      <c r="FEZ7">
        <v>0</v>
      </c>
      <c r="FFA7">
        <v>0</v>
      </c>
      <c r="FFB7">
        <v>0</v>
      </c>
      <c r="FFC7">
        <v>0</v>
      </c>
      <c r="FFD7">
        <v>0</v>
      </c>
      <c r="FFE7">
        <v>707.96</v>
      </c>
      <c r="FFF7">
        <v>0</v>
      </c>
      <c r="FFG7">
        <v>712.95</v>
      </c>
      <c r="FFH7">
        <v>0</v>
      </c>
      <c r="FFI7">
        <v>0</v>
      </c>
      <c r="FFJ7">
        <v>0</v>
      </c>
      <c r="FFK7">
        <v>5</v>
      </c>
      <c r="FFL7">
        <v>348.98</v>
      </c>
      <c r="FFM7">
        <v>0</v>
      </c>
      <c r="FFN7">
        <v>0</v>
      </c>
      <c r="FFO7">
        <v>0</v>
      </c>
      <c r="FFP7">
        <v>0</v>
      </c>
      <c r="FFQ7">
        <v>0</v>
      </c>
      <c r="FFR7">
        <v>0</v>
      </c>
      <c r="FFS7">
        <v>212</v>
      </c>
      <c r="FFT7">
        <v>0</v>
      </c>
      <c r="FFU7">
        <v>0</v>
      </c>
      <c r="FFV7">
        <v>0</v>
      </c>
      <c r="FFW7">
        <v>0</v>
      </c>
      <c r="FFX7">
        <v>0</v>
      </c>
      <c r="FFY7">
        <v>0</v>
      </c>
      <c r="FFZ7">
        <v>0</v>
      </c>
      <c r="FGA7">
        <v>0</v>
      </c>
      <c r="FGB7">
        <v>0</v>
      </c>
      <c r="FGC7">
        <v>0</v>
      </c>
      <c r="FGD7">
        <v>0</v>
      </c>
      <c r="FGE7">
        <v>0</v>
      </c>
      <c r="FGF7">
        <v>740.95</v>
      </c>
      <c r="FGG7">
        <v>34</v>
      </c>
      <c r="FGH7">
        <v>5</v>
      </c>
      <c r="FGI7">
        <v>0</v>
      </c>
      <c r="FGJ7">
        <v>0</v>
      </c>
      <c r="FGK7">
        <v>5</v>
      </c>
      <c r="FGL7">
        <v>0</v>
      </c>
      <c r="FGM7">
        <v>0</v>
      </c>
      <c r="FGN7">
        <v>0</v>
      </c>
      <c r="FGO7">
        <v>0</v>
      </c>
      <c r="FGP7">
        <v>0</v>
      </c>
      <c r="FGQ7">
        <v>0</v>
      </c>
      <c r="FGR7">
        <v>0</v>
      </c>
      <c r="FGS7">
        <v>0</v>
      </c>
      <c r="FGT7">
        <v>20</v>
      </c>
      <c r="FGU7">
        <v>100.99</v>
      </c>
      <c r="FGV7">
        <v>0</v>
      </c>
      <c r="FGW7">
        <v>0</v>
      </c>
      <c r="FGX7">
        <v>0</v>
      </c>
      <c r="FGY7">
        <v>0</v>
      </c>
      <c r="FGZ7">
        <v>0</v>
      </c>
      <c r="FHA7">
        <v>0</v>
      </c>
      <c r="FHB7">
        <v>760.98</v>
      </c>
      <c r="FHC7">
        <v>0</v>
      </c>
      <c r="FHD7">
        <v>0</v>
      </c>
      <c r="FHE7">
        <v>763.96</v>
      </c>
      <c r="FHF7">
        <v>0</v>
      </c>
      <c r="FHG7">
        <v>0</v>
      </c>
      <c r="FHH7">
        <v>0</v>
      </c>
      <c r="FHI7">
        <v>53</v>
      </c>
      <c r="FHJ7">
        <v>228.99</v>
      </c>
      <c r="FHK7">
        <v>0</v>
      </c>
      <c r="FHL7">
        <v>0</v>
      </c>
      <c r="FHM7">
        <v>0</v>
      </c>
      <c r="FHN7">
        <v>0</v>
      </c>
      <c r="FHO7">
        <v>0</v>
      </c>
      <c r="FHP7">
        <v>0</v>
      </c>
      <c r="FHQ7">
        <v>0</v>
      </c>
      <c r="FHR7">
        <v>0</v>
      </c>
      <c r="FHS7">
        <v>0</v>
      </c>
      <c r="FHT7">
        <v>0</v>
      </c>
      <c r="FHU7">
        <v>0</v>
      </c>
      <c r="FHV7">
        <v>0</v>
      </c>
      <c r="FHW7">
        <v>675.98</v>
      </c>
      <c r="FHX7">
        <v>0</v>
      </c>
      <c r="FHY7">
        <v>0</v>
      </c>
      <c r="FHZ7">
        <v>0</v>
      </c>
      <c r="FIA7">
        <v>0</v>
      </c>
      <c r="FIB7">
        <v>124.99</v>
      </c>
      <c r="FIC7">
        <v>0</v>
      </c>
      <c r="FID7">
        <v>0</v>
      </c>
      <c r="FIE7">
        <v>0</v>
      </c>
      <c r="FIF7">
        <v>0</v>
      </c>
      <c r="FIG7">
        <v>0</v>
      </c>
      <c r="FIH7">
        <v>0</v>
      </c>
      <c r="FII7">
        <v>0</v>
      </c>
      <c r="FIJ7">
        <v>0</v>
      </c>
      <c r="FIK7">
        <v>0</v>
      </c>
      <c r="FIL7">
        <v>357.98</v>
      </c>
      <c r="FIM7">
        <v>0</v>
      </c>
      <c r="FIN7">
        <v>0</v>
      </c>
      <c r="FIO7">
        <v>0</v>
      </c>
      <c r="FIP7">
        <v>101</v>
      </c>
      <c r="FIQ7">
        <v>695.95</v>
      </c>
      <c r="FIR7">
        <v>0</v>
      </c>
      <c r="FIS7">
        <v>0</v>
      </c>
      <c r="FIT7">
        <v>0</v>
      </c>
      <c r="FIU7">
        <v>0</v>
      </c>
      <c r="FIV7">
        <v>203.98</v>
      </c>
      <c r="FIW7">
        <v>0</v>
      </c>
      <c r="FIX7">
        <v>0</v>
      </c>
      <c r="FIY7">
        <v>0</v>
      </c>
      <c r="FIZ7">
        <v>0</v>
      </c>
      <c r="FJA7">
        <v>0</v>
      </c>
      <c r="FJB7">
        <v>0</v>
      </c>
      <c r="FJC7">
        <v>0</v>
      </c>
      <c r="FJD7">
        <v>13</v>
      </c>
      <c r="FJE7">
        <v>0</v>
      </c>
      <c r="FJF7">
        <v>0</v>
      </c>
      <c r="FJG7">
        <v>0</v>
      </c>
      <c r="FJH7">
        <v>0</v>
      </c>
      <c r="FJI7">
        <v>0</v>
      </c>
      <c r="FJJ7">
        <v>0</v>
      </c>
      <c r="FJK7">
        <v>0</v>
      </c>
      <c r="FJL7">
        <v>136.99</v>
      </c>
      <c r="FJM7">
        <v>0</v>
      </c>
      <c r="FJN7">
        <v>30</v>
      </c>
      <c r="FJO7">
        <v>0</v>
      </c>
      <c r="FJP7">
        <v>18</v>
      </c>
      <c r="FJQ7">
        <v>0</v>
      </c>
      <c r="FJR7">
        <v>0</v>
      </c>
      <c r="FJS7">
        <v>0</v>
      </c>
      <c r="FJT7">
        <v>79.989999999999995</v>
      </c>
      <c r="FJU7">
        <v>0</v>
      </c>
      <c r="FJV7">
        <v>0</v>
      </c>
      <c r="FJW7">
        <v>0</v>
      </c>
      <c r="FJX7">
        <v>0</v>
      </c>
      <c r="FJY7">
        <v>0</v>
      </c>
      <c r="FJZ7">
        <v>0</v>
      </c>
      <c r="FKA7">
        <v>147.99</v>
      </c>
      <c r="FKB7">
        <v>0</v>
      </c>
      <c r="FKC7">
        <v>0</v>
      </c>
      <c r="FKD7">
        <v>0</v>
      </c>
      <c r="FKE7">
        <v>0</v>
      </c>
      <c r="FKF7">
        <v>0</v>
      </c>
      <c r="FKG7">
        <v>0</v>
      </c>
      <c r="FKH7">
        <v>0</v>
      </c>
      <c r="FKI7">
        <v>0</v>
      </c>
      <c r="FKJ7">
        <v>13.99</v>
      </c>
      <c r="FKK7">
        <v>0</v>
      </c>
      <c r="FKL7">
        <v>0</v>
      </c>
      <c r="FKM7">
        <v>0</v>
      </c>
      <c r="FKN7">
        <v>576.97</v>
      </c>
      <c r="FKO7">
        <v>0</v>
      </c>
      <c r="FKP7">
        <v>0</v>
      </c>
      <c r="FKQ7">
        <v>0</v>
      </c>
      <c r="FKR7">
        <v>0</v>
      </c>
      <c r="FKS7">
        <v>0</v>
      </c>
      <c r="FKT7">
        <v>0</v>
      </c>
      <c r="FKU7">
        <v>0</v>
      </c>
      <c r="FKV7">
        <v>610.98</v>
      </c>
      <c r="FKW7">
        <v>0</v>
      </c>
      <c r="FKX7">
        <v>0</v>
      </c>
      <c r="FKY7">
        <v>0</v>
      </c>
      <c r="FKZ7">
        <v>0</v>
      </c>
      <c r="FLA7">
        <v>28.99</v>
      </c>
      <c r="FLB7">
        <v>0</v>
      </c>
      <c r="FLC7">
        <v>256.99</v>
      </c>
      <c r="FLD7">
        <v>0</v>
      </c>
      <c r="FLE7">
        <v>0</v>
      </c>
      <c r="FLF7">
        <v>14.99</v>
      </c>
      <c r="FLG7">
        <v>0</v>
      </c>
      <c r="FLH7">
        <v>0</v>
      </c>
      <c r="FLI7">
        <v>0</v>
      </c>
      <c r="FLJ7">
        <v>0</v>
      </c>
      <c r="FLK7">
        <v>0</v>
      </c>
      <c r="FLL7">
        <v>0</v>
      </c>
      <c r="FLM7">
        <v>0</v>
      </c>
      <c r="FLN7">
        <v>0</v>
      </c>
      <c r="FLO7">
        <v>0</v>
      </c>
      <c r="FLP7">
        <v>0</v>
      </c>
      <c r="FLQ7">
        <v>0</v>
      </c>
      <c r="FLR7">
        <v>0</v>
      </c>
      <c r="FLS7">
        <v>174.99</v>
      </c>
      <c r="FLT7">
        <v>0</v>
      </c>
      <c r="FLU7">
        <v>14</v>
      </c>
      <c r="FLV7">
        <v>0</v>
      </c>
      <c r="FLW7">
        <v>0</v>
      </c>
      <c r="FLX7">
        <v>0</v>
      </c>
      <c r="FLY7">
        <v>0</v>
      </c>
      <c r="FLZ7">
        <v>514.97</v>
      </c>
      <c r="FMA7">
        <v>0</v>
      </c>
      <c r="FMB7">
        <v>0</v>
      </c>
      <c r="FMC7">
        <v>0</v>
      </c>
      <c r="FMD7">
        <v>0</v>
      </c>
      <c r="FME7">
        <v>0</v>
      </c>
      <c r="FMF7">
        <v>0</v>
      </c>
      <c r="FMG7">
        <v>0</v>
      </c>
      <c r="FMH7">
        <v>0</v>
      </c>
      <c r="FMI7">
        <v>0</v>
      </c>
      <c r="FMJ7">
        <v>819.96</v>
      </c>
      <c r="FMK7">
        <v>0</v>
      </c>
      <c r="FML7">
        <v>0</v>
      </c>
      <c r="FMM7">
        <v>0</v>
      </c>
      <c r="FMN7">
        <v>0</v>
      </c>
      <c r="FMO7">
        <v>156</v>
      </c>
      <c r="FMP7">
        <v>0</v>
      </c>
      <c r="FMQ7">
        <v>0</v>
      </c>
      <c r="FMR7">
        <v>0</v>
      </c>
      <c r="FMS7">
        <v>0</v>
      </c>
      <c r="FMT7">
        <v>0</v>
      </c>
      <c r="FMU7">
        <v>0</v>
      </c>
      <c r="FMV7">
        <v>0</v>
      </c>
      <c r="FMW7">
        <v>63.96</v>
      </c>
      <c r="FMX7">
        <v>24</v>
      </c>
      <c r="FMY7">
        <v>0</v>
      </c>
      <c r="FMZ7">
        <v>0</v>
      </c>
      <c r="FNA7">
        <v>978.9</v>
      </c>
      <c r="FNB7">
        <v>0</v>
      </c>
      <c r="FNC7">
        <v>899.96</v>
      </c>
      <c r="FND7">
        <v>0</v>
      </c>
      <c r="FNE7">
        <v>0</v>
      </c>
      <c r="FNF7">
        <v>0</v>
      </c>
      <c r="FNG7">
        <v>288.98</v>
      </c>
      <c r="FNH7">
        <v>0</v>
      </c>
      <c r="FNI7">
        <v>994.92</v>
      </c>
      <c r="FNJ7">
        <v>0</v>
      </c>
      <c r="FNK7">
        <v>0</v>
      </c>
      <c r="FNL7">
        <v>0</v>
      </c>
      <c r="FNM7">
        <v>0</v>
      </c>
      <c r="FNN7">
        <v>0</v>
      </c>
      <c r="FNO7">
        <v>0</v>
      </c>
      <c r="FNP7">
        <v>0</v>
      </c>
      <c r="FNQ7">
        <v>0</v>
      </c>
      <c r="FNR7">
        <v>0</v>
      </c>
      <c r="FNS7">
        <v>0</v>
      </c>
      <c r="FNT7">
        <v>0</v>
      </c>
      <c r="FNU7">
        <v>0</v>
      </c>
      <c r="FNV7">
        <v>0</v>
      </c>
      <c r="FNW7">
        <v>0</v>
      </c>
      <c r="FNX7">
        <v>0</v>
      </c>
      <c r="FNY7">
        <v>0</v>
      </c>
      <c r="FNZ7">
        <v>0</v>
      </c>
      <c r="FOA7">
        <v>0</v>
      </c>
      <c r="FOB7">
        <v>0</v>
      </c>
      <c r="FOC7">
        <v>0</v>
      </c>
      <c r="FOD7">
        <v>0</v>
      </c>
      <c r="FOE7">
        <v>0</v>
      </c>
      <c r="FOF7">
        <v>0</v>
      </c>
      <c r="FOG7">
        <v>104.99</v>
      </c>
      <c r="FOH7">
        <v>0</v>
      </c>
      <c r="FOI7">
        <v>0</v>
      </c>
      <c r="FOJ7">
        <v>0</v>
      </c>
      <c r="FOK7">
        <v>0</v>
      </c>
      <c r="FOL7">
        <v>0</v>
      </c>
      <c r="FOM7">
        <v>0</v>
      </c>
      <c r="FON7">
        <v>0</v>
      </c>
      <c r="FOO7">
        <v>0</v>
      </c>
      <c r="FOP7">
        <v>0</v>
      </c>
      <c r="FOQ7">
        <v>0</v>
      </c>
      <c r="FOR7">
        <v>0</v>
      </c>
      <c r="FOS7">
        <v>0</v>
      </c>
      <c r="FOT7">
        <v>0</v>
      </c>
      <c r="FOU7">
        <v>0</v>
      </c>
      <c r="FOV7">
        <v>0</v>
      </c>
      <c r="FOW7">
        <v>0</v>
      </c>
      <c r="FOX7">
        <v>7</v>
      </c>
      <c r="FOY7">
        <v>0</v>
      </c>
      <c r="FOZ7">
        <v>0</v>
      </c>
      <c r="FPA7">
        <v>54</v>
      </c>
      <c r="FPB7">
        <v>35.99</v>
      </c>
      <c r="FPC7">
        <v>179.98</v>
      </c>
      <c r="FPD7">
        <v>0</v>
      </c>
      <c r="FPE7">
        <v>0</v>
      </c>
      <c r="FPF7">
        <v>0</v>
      </c>
      <c r="FPG7">
        <v>0</v>
      </c>
      <c r="FPH7">
        <v>0</v>
      </c>
      <c r="FPI7">
        <v>0</v>
      </c>
      <c r="FPJ7">
        <v>0</v>
      </c>
      <c r="FPK7">
        <v>1086.9100000000001</v>
      </c>
      <c r="FPL7">
        <v>0</v>
      </c>
      <c r="FPM7">
        <v>0</v>
      </c>
      <c r="FPN7">
        <v>1092.94</v>
      </c>
      <c r="FPO7">
        <v>0</v>
      </c>
      <c r="FPP7">
        <v>0</v>
      </c>
      <c r="FPQ7">
        <v>138.99</v>
      </c>
      <c r="FPR7">
        <v>0</v>
      </c>
      <c r="FPS7">
        <v>398.96</v>
      </c>
      <c r="FPT7">
        <v>0</v>
      </c>
      <c r="FPU7">
        <v>0</v>
      </c>
      <c r="FPV7">
        <v>0</v>
      </c>
      <c r="FPW7">
        <v>0</v>
      </c>
      <c r="FPX7">
        <v>0</v>
      </c>
      <c r="FPY7">
        <v>0</v>
      </c>
      <c r="FPZ7">
        <v>0</v>
      </c>
      <c r="FQA7">
        <v>0</v>
      </c>
      <c r="FQB7">
        <v>0</v>
      </c>
      <c r="FQC7">
        <v>0</v>
      </c>
      <c r="FQD7">
        <v>0</v>
      </c>
      <c r="FQE7">
        <v>0</v>
      </c>
      <c r="FQF7">
        <v>10</v>
      </c>
      <c r="FQG7">
        <v>0</v>
      </c>
      <c r="FQH7">
        <v>0</v>
      </c>
      <c r="FQI7">
        <v>0</v>
      </c>
      <c r="FQJ7">
        <v>0</v>
      </c>
      <c r="FQK7">
        <v>0</v>
      </c>
      <c r="FQL7">
        <v>0</v>
      </c>
      <c r="FQM7">
        <v>0</v>
      </c>
      <c r="FQN7">
        <v>0</v>
      </c>
      <c r="FQO7">
        <v>0</v>
      </c>
      <c r="FQP7">
        <v>0</v>
      </c>
      <c r="FQQ7">
        <v>0</v>
      </c>
      <c r="FQR7">
        <v>0</v>
      </c>
      <c r="FQS7">
        <v>0</v>
      </c>
      <c r="FQT7">
        <v>0</v>
      </c>
      <c r="FQU7">
        <v>0</v>
      </c>
      <c r="FQV7">
        <v>0</v>
      </c>
      <c r="FQW7">
        <v>0</v>
      </c>
      <c r="FQX7">
        <v>0</v>
      </c>
      <c r="FQY7">
        <v>0</v>
      </c>
      <c r="FQZ7">
        <v>0</v>
      </c>
      <c r="FRA7">
        <v>0</v>
      </c>
      <c r="FRB7">
        <v>0</v>
      </c>
      <c r="FRC7">
        <v>0</v>
      </c>
      <c r="FRD7">
        <v>0</v>
      </c>
      <c r="FRE7">
        <v>0</v>
      </c>
      <c r="FRF7">
        <v>0</v>
      </c>
      <c r="FRG7">
        <v>0</v>
      </c>
      <c r="FRH7">
        <v>167.99</v>
      </c>
      <c r="FRI7">
        <v>123</v>
      </c>
      <c r="FRJ7">
        <v>179.99</v>
      </c>
      <c r="FRK7">
        <v>25</v>
      </c>
      <c r="FRL7">
        <v>0</v>
      </c>
      <c r="FRM7">
        <v>0</v>
      </c>
      <c r="FRN7">
        <v>135.99</v>
      </c>
      <c r="FRO7">
        <v>0</v>
      </c>
      <c r="FRP7">
        <v>0</v>
      </c>
      <c r="FRQ7">
        <v>0</v>
      </c>
      <c r="FRR7">
        <v>280.97000000000003</v>
      </c>
      <c r="FRS7">
        <v>0</v>
      </c>
      <c r="FRT7">
        <v>1252.9100000000001</v>
      </c>
      <c r="FRU7">
        <v>0</v>
      </c>
      <c r="FRV7">
        <v>0</v>
      </c>
      <c r="FRW7">
        <v>0</v>
      </c>
      <c r="FRX7">
        <v>0</v>
      </c>
      <c r="FRY7">
        <v>0</v>
      </c>
      <c r="FRZ7">
        <v>72</v>
      </c>
      <c r="FSA7">
        <v>0</v>
      </c>
      <c r="FSB7">
        <v>0</v>
      </c>
      <c r="FSC7">
        <v>0</v>
      </c>
      <c r="FSD7">
        <v>0</v>
      </c>
      <c r="FSE7">
        <v>0</v>
      </c>
      <c r="FSF7">
        <v>0</v>
      </c>
      <c r="FSG7">
        <v>59.99</v>
      </c>
      <c r="FSH7">
        <v>0</v>
      </c>
      <c r="FSI7">
        <v>0</v>
      </c>
      <c r="FSJ7">
        <v>0</v>
      </c>
      <c r="FSK7">
        <v>0</v>
      </c>
      <c r="FSL7">
        <v>0</v>
      </c>
      <c r="FSM7">
        <v>0</v>
      </c>
      <c r="FSN7">
        <v>0</v>
      </c>
      <c r="FSO7">
        <v>0</v>
      </c>
      <c r="FSP7">
        <v>0</v>
      </c>
      <c r="FSQ7">
        <v>1322.94</v>
      </c>
      <c r="FSR7">
        <v>0</v>
      </c>
      <c r="FSS7">
        <v>0</v>
      </c>
      <c r="FST7">
        <v>0</v>
      </c>
      <c r="FSU7">
        <v>63</v>
      </c>
      <c r="FSV7">
        <v>0</v>
      </c>
      <c r="FSW7">
        <v>0</v>
      </c>
      <c r="FSX7">
        <v>0</v>
      </c>
      <c r="FSY7">
        <v>0</v>
      </c>
      <c r="FSZ7">
        <v>1121.9000000000001</v>
      </c>
      <c r="FTA7">
        <v>0</v>
      </c>
      <c r="FTB7">
        <v>0</v>
      </c>
      <c r="FTC7">
        <v>0</v>
      </c>
      <c r="FTD7">
        <v>0</v>
      </c>
      <c r="FTE7">
        <v>0</v>
      </c>
      <c r="FTF7">
        <v>86.99</v>
      </c>
      <c r="FTG7">
        <v>64</v>
      </c>
      <c r="FTH7">
        <v>1266.9100000000001</v>
      </c>
      <c r="FTI7">
        <v>0</v>
      </c>
      <c r="FTJ7">
        <v>0</v>
      </c>
      <c r="FTK7">
        <v>0</v>
      </c>
      <c r="FTL7">
        <v>0</v>
      </c>
      <c r="FTM7">
        <v>0</v>
      </c>
      <c r="FTN7">
        <v>119</v>
      </c>
      <c r="FTO7">
        <v>0</v>
      </c>
      <c r="FTP7">
        <v>0</v>
      </c>
      <c r="FTQ7">
        <v>196.99</v>
      </c>
      <c r="FTR7">
        <v>0</v>
      </c>
      <c r="FTS7">
        <v>0</v>
      </c>
      <c r="FTT7">
        <v>0</v>
      </c>
      <c r="FTU7">
        <v>0</v>
      </c>
      <c r="FTV7">
        <v>956.94</v>
      </c>
      <c r="FTW7">
        <v>0</v>
      </c>
      <c r="FTX7">
        <v>0</v>
      </c>
      <c r="FTY7">
        <v>0</v>
      </c>
      <c r="FTZ7">
        <v>0</v>
      </c>
      <c r="FUA7">
        <v>0</v>
      </c>
      <c r="FUB7">
        <v>664.96</v>
      </c>
      <c r="FUC7">
        <v>1192.95</v>
      </c>
      <c r="FUD7">
        <v>0</v>
      </c>
      <c r="FUE7">
        <v>0</v>
      </c>
      <c r="FUF7">
        <v>0</v>
      </c>
      <c r="FUG7">
        <v>0</v>
      </c>
      <c r="FUH7">
        <v>0</v>
      </c>
      <c r="FUI7">
        <v>0</v>
      </c>
      <c r="FUJ7">
        <v>0</v>
      </c>
      <c r="FUK7">
        <v>0</v>
      </c>
      <c r="FUL7">
        <v>0</v>
      </c>
      <c r="FUM7">
        <v>0</v>
      </c>
      <c r="FUN7">
        <v>0</v>
      </c>
      <c r="FUO7">
        <v>0</v>
      </c>
      <c r="FUP7">
        <v>98.99</v>
      </c>
      <c r="FUQ7">
        <v>0</v>
      </c>
      <c r="FUR7">
        <v>201.99</v>
      </c>
      <c r="FUS7">
        <v>0</v>
      </c>
      <c r="FUT7">
        <v>0</v>
      </c>
      <c r="FUU7">
        <v>0</v>
      </c>
      <c r="FUV7">
        <v>0</v>
      </c>
      <c r="FUW7">
        <v>0</v>
      </c>
      <c r="FUX7">
        <v>0</v>
      </c>
      <c r="FUY7">
        <v>0</v>
      </c>
      <c r="FUZ7">
        <v>0</v>
      </c>
      <c r="FVA7">
        <v>0</v>
      </c>
      <c r="FVB7">
        <v>0</v>
      </c>
      <c r="FVC7">
        <v>137</v>
      </c>
      <c r="FVD7">
        <v>0</v>
      </c>
      <c r="FVE7">
        <v>1494.94</v>
      </c>
      <c r="FVF7">
        <v>0</v>
      </c>
      <c r="FVG7">
        <v>0</v>
      </c>
      <c r="FVH7">
        <v>0</v>
      </c>
      <c r="FVI7">
        <v>0</v>
      </c>
      <c r="FVJ7">
        <v>0</v>
      </c>
      <c r="FVK7">
        <v>361.98</v>
      </c>
      <c r="FVL7">
        <v>0</v>
      </c>
      <c r="FVM7">
        <v>0</v>
      </c>
      <c r="FVN7">
        <v>61.99</v>
      </c>
      <c r="FVO7">
        <v>248.98</v>
      </c>
      <c r="FVP7">
        <v>0</v>
      </c>
      <c r="FVQ7">
        <v>0</v>
      </c>
      <c r="FVR7">
        <v>0</v>
      </c>
      <c r="FVS7">
        <v>0</v>
      </c>
      <c r="FVT7">
        <v>0</v>
      </c>
      <c r="FVU7">
        <v>1551.86</v>
      </c>
      <c r="FVV7">
        <v>36</v>
      </c>
      <c r="FVW7">
        <v>0</v>
      </c>
      <c r="FVX7">
        <v>0</v>
      </c>
      <c r="FVY7">
        <v>27</v>
      </c>
      <c r="FVZ7">
        <v>0</v>
      </c>
      <c r="FWB7">
        <v>0</v>
      </c>
      <c r="FWC7">
        <v>0</v>
      </c>
      <c r="FWD7">
        <v>1534.82</v>
      </c>
      <c r="FWE7">
        <v>0</v>
      </c>
      <c r="FWF7">
        <v>111</v>
      </c>
      <c r="FWG7">
        <v>0</v>
      </c>
      <c r="FWH7">
        <v>0</v>
      </c>
      <c r="FWI7">
        <v>0</v>
      </c>
      <c r="FWJ7">
        <v>15</v>
      </c>
      <c r="FWK7">
        <v>0</v>
      </c>
      <c r="FWL7">
        <v>0</v>
      </c>
      <c r="FWM7">
        <v>114.99</v>
      </c>
      <c r="FWN7">
        <v>0</v>
      </c>
      <c r="FWO7">
        <v>0</v>
      </c>
      <c r="FWP7">
        <v>0</v>
      </c>
      <c r="FWQ7">
        <v>0</v>
      </c>
      <c r="FWR7">
        <v>0</v>
      </c>
      <c r="FWS7">
        <v>0</v>
      </c>
      <c r="FWT7">
        <v>21</v>
      </c>
      <c r="FWU7">
        <v>90</v>
      </c>
      <c r="FWV7">
        <v>421.96</v>
      </c>
      <c r="FWW7">
        <v>0</v>
      </c>
      <c r="FWX7">
        <v>80</v>
      </c>
      <c r="FWY7">
        <v>0</v>
      </c>
      <c r="FWZ7">
        <v>0</v>
      </c>
      <c r="FXA7">
        <v>0</v>
      </c>
      <c r="FXB7">
        <v>0</v>
      </c>
      <c r="FXC7">
        <v>188.99</v>
      </c>
      <c r="FXD7">
        <v>0</v>
      </c>
      <c r="FXE7">
        <v>0</v>
      </c>
      <c r="FXF7">
        <v>1186.96</v>
      </c>
      <c r="FXG7">
        <v>0</v>
      </c>
      <c r="FXH7">
        <v>0</v>
      </c>
      <c r="FXI7">
        <v>0</v>
      </c>
      <c r="FXJ7">
        <v>0</v>
      </c>
      <c r="FXK7">
        <v>0</v>
      </c>
      <c r="FXL7">
        <v>0</v>
      </c>
      <c r="FXM7">
        <v>0</v>
      </c>
      <c r="FXN7">
        <v>0</v>
      </c>
      <c r="FXO7">
        <v>0</v>
      </c>
      <c r="FXP7">
        <v>0</v>
      </c>
      <c r="FXQ7">
        <v>0</v>
      </c>
      <c r="FXR7">
        <v>0</v>
      </c>
      <c r="FXS7">
        <v>10</v>
      </c>
      <c r="FXT7">
        <v>0</v>
      </c>
      <c r="FXU7">
        <v>0</v>
      </c>
      <c r="FXV7">
        <v>0</v>
      </c>
      <c r="FXW7">
        <v>0</v>
      </c>
      <c r="FXX7">
        <v>0</v>
      </c>
      <c r="FXY7">
        <v>17</v>
      </c>
      <c r="FXZ7">
        <v>0</v>
      </c>
      <c r="FYA7">
        <v>0</v>
      </c>
      <c r="FYB7">
        <v>0</v>
      </c>
      <c r="FYC7">
        <v>0</v>
      </c>
      <c r="FYD7">
        <v>0</v>
      </c>
      <c r="FYE7">
        <v>0</v>
      </c>
      <c r="FYF7">
        <v>0</v>
      </c>
      <c r="FYG7">
        <v>0</v>
      </c>
      <c r="FYH7">
        <v>93</v>
      </c>
      <c r="FYI7">
        <v>476.98</v>
      </c>
      <c r="FYJ7">
        <v>0</v>
      </c>
      <c r="FYK7">
        <v>0</v>
      </c>
      <c r="FYL7">
        <v>0</v>
      </c>
      <c r="FYM7">
        <v>29</v>
      </c>
      <c r="FYN7">
        <v>148.99</v>
      </c>
      <c r="FYO7">
        <v>0</v>
      </c>
      <c r="FYP7">
        <v>115</v>
      </c>
      <c r="FYQ7">
        <v>0</v>
      </c>
      <c r="FYR7">
        <v>0</v>
      </c>
      <c r="FYS7">
        <v>0</v>
      </c>
      <c r="FYT7">
        <v>0</v>
      </c>
      <c r="FYU7">
        <v>0</v>
      </c>
      <c r="FYV7">
        <v>0</v>
      </c>
      <c r="FYW7">
        <v>0</v>
      </c>
      <c r="FYX7">
        <v>1637.87</v>
      </c>
      <c r="FYY7">
        <v>0</v>
      </c>
      <c r="FYZ7">
        <v>14</v>
      </c>
      <c r="FZA7">
        <v>10</v>
      </c>
      <c r="FZB7">
        <v>0</v>
      </c>
      <c r="FZC7">
        <v>253.99</v>
      </c>
      <c r="FZD7">
        <v>1863.86</v>
      </c>
      <c r="FZE7">
        <v>0</v>
      </c>
      <c r="FZF7">
        <v>0</v>
      </c>
      <c r="FZG7">
        <v>0</v>
      </c>
      <c r="FZH7">
        <v>0</v>
      </c>
      <c r="FZI7">
        <v>603.95000000000005</v>
      </c>
      <c r="FZJ7">
        <v>0</v>
      </c>
      <c r="FZK7">
        <v>71</v>
      </c>
      <c r="FZL7">
        <v>0</v>
      </c>
      <c r="FZM7">
        <v>24</v>
      </c>
      <c r="FZN7">
        <v>0</v>
      </c>
      <c r="FZO7">
        <v>0</v>
      </c>
      <c r="FZP7">
        <v>231</v>
      </c>
      <c r="FZQ7">
        <v>0</v>
      </c>
      <c r="FZR7">
        <v>0</v>
      </c>
      <c r="FZS7">
        <v>98.99</v>
      </c>
      <c r="FZT7">
        <v>0</v>
      </c>
      <c r="FZU7">
        <v>0</v>
      </c>
      <c r="FZV7">
        <v>0</v>
      </c>
      <c r="FZW7">
        <v>0</v>
      </c>
      <c r="FZX7">
        <v>0</v>
      </c>
      <c r="FZY7">
        <v>0</v>
      </c>
      <c r="FZZ7">
        <v>0</v>
      </c>
      <c r="GAA7">
        <v>0</v>
      </c>
      <c r="GAB7">
        <v>0</v>
      </c>
      <c r="GAC7">
        <v>0</v>
      </c>
      <c r="GAD7">
        <v>23</v>
      </c>
      <c r="GAE7">
        <v>0</v>
      </c>
      <c r="GAF7">
        <v>0</v>
      </c>
      <c r="GAG7">
        <v>0</v>
      </c>
      <c r="GAH7">
        <v>221.97</v>
      </c>
      <c r="GAI7">
        <v>0</v>
      </c>
      <c r="GAJ7">
        <v>0</v>
      </c>
      <c r="GAK7">
        <v>0</v>
      </c>
      <c r="GAL7">
        <v>219</v>
      </c>
      <c r="GAM7">
        <v>0</v>
      </c>
      <c r="GAN7">
        <v>0</v>
      </c>
      <c r="GAO7">
        <v>0</v>
      </c>
      <c r="GAP7">
        <v>0</v>
      </c>
      <c r="GAQ7">
        <v>0</v>
      </c>
      <c r="GAR7">
        <v>0</v>
      </c>
      <c r="GAS7">
        <v>0</v>
      </c>
      <c r="GAT7">
        <v>0</v>
      </c>
      <c r="GAU7">
        <v>0</v>
      </c>
      <c r="GAV7">
        <v>0</v>
      </c>
      <c r="GAW7">
        <v>0</v>
      </c>
      <c r="GAX7">
        <v>77</v>
      </c>
      <c r="GAY7">
        <v>290.97000000000003</v>
      </c>
      <c r="GAZ7">
        <v>0</v>
      </c>
      <c r="GBA7">
        <v>1960.9</v>
      </c>
      <c r="GBB7">
        <v>0</v>
      </c>
      <c r="GBC7">
        <v>0</v>
      </c>
      <c r="GBD7">
        <v>0</v>
      </c>
      <c r="GBE7">
        <v>0</v>
      </c>
      <c r="GBF7">
        <v>0</v>
      </c>
      <c r="GBG7">
        <v>358.96</v>
      </c>
      <c r="GBH7">
        <v>0</v>
      </c>
      <c r="GBI7">
        <v>0</v>
      </c>
      <c r="GBJ7">
        <v>0</v>
      </c>
      <c r="GBK7">
        <v>0</v>
      </c>
      <c r="GBL7">
        <v>0</v>
      </c>
      <c r="GBM7">
        <v>1954.85</v>
      </c>
      <c r="GBN7">
        <v>0</v>
      </c>
      <c r="GBO7">
        <v>108</v>
      </c>
      <c r="GBP7">
        <v>21.99</v>
      </c>
      <c r="GBQ7">
        <v>74.989999999999995</v>
      </c>
      <c r="GBR7">
        <v>7.99</v>
      </c>
      <c r="GBS7">
        <v>224.98</v>
      </c>
      <c r="GBT7">
        <v>0</v>
      </c>
      <c r="GBU7">
        <v>0</v>
      </c>
      <c r="GBV7">
        <v>0</v>
      </c>
      <c r="GBW7">
        <v>0</v>
      </c>
      <c r="GBX7">
        <v>84</v>
      </c>
      <c r="GBY7">
        <v>0</v>
      </c>
      <c r="GBZ7">
        <v>0</v>
      </c>
      <c r="GCA7">
        <v>0</v>
      </c>
      <c r="GCB7">
        <v>0</v>
      </c>
      <c r="GCC7">
        <v>0</v>
      </c>
      <c r="GCD7">
        <v>96.99</v>
      </c>
      <c r="GCE7">
        <v>0</v>
      </c>
      <c r="GCF7">
        <v>0</v>
      </c>
      <c r="GCG7">
        <v>0</v>
      </c>
      <c r="GCH7">
        <v>0</v>
      </c>
      <c r="GCI7">
        <v>0</v>
      </c>
      <c r="GCJ7">
        <v>0</v>
      </c>
      <c r="GCK7">
        <v>0</v>
      </c>
      <c r="GCL7">
        <v>0</v>
      </c>
      <c r="GCM7">
        <v>0</v>
      </c>
      <c r="GCN7">
        <v>6</v>
      </c>
      <c r="GCO7">
        <v>0</v>
      </c>
      <c r="GCP7">
        <v>0</v>
      </c>
      <c r="GCQ7">
        <v>0</v>
      </c>
      <c r="GCR7">
        <v>0</v>
      </c>
      <c r="GCS7">
        <v>0</v>
      </c>
      <c r="GCT7">
        <v>58</v>
      </c>
      <c r="GCU7">
        <v>0</v>
      </c>
      <c r="GCV7">
        <v>0</v>
      </c>
      <c r="GCW7">
        <v>0</v>
      </c>
      <c r="GCX7">
        <v>0</v>
      </c>
      <c r="GCY7">
        <v>0</v>
      </c>
      <c r="GCZ7">
        <v>0</v>
      </c>
      <c r="GDA7">
        <v>0</v>
      </c>
      <c r="GDB7">
        <v>101</v>
      </c>
      <c r="GDC7">
        <v>0</v>
      </c>
      <c r="GDD7">
        <v>0</v>
      </c>
      <c r="GDE7">
        <v>0</v>
      </c>
      <c r="GDF7">
        <v>632.94000000000005</v>
      </c>
      <c r="GDG7">
        <v>0</v>
      </c>
      <c r="GDH7">
        <v>0</v>
      </c>
      <c r="GDI7">
        <v>0</v>
      </c>
      <c r="GDJ7">
        <v>0</v>
      </c>
      <c r="GDK7">
        <v>0</v>
      </c>
      <c r="GDL7">
        <v>535.96</v>
      </c>
      <c r="GDM7">
        <v>55.99</v>
      </c>
      <c r="GDN7">
        <v>0</v>
      </c>
      <c r="GDO7">
        <v>0</v>
      </c>
      <c r="GDP7">
        <v>0</v>
      </c>
      <c r="GDQ7">
        <v>127</v>
      </c>
      <c r="GDR7">
        <v>0</v>
      </c>
      <c r="GDS7">
        <v>537.98</v>
      </c>
      <c r="GDT7">
        <v>0</v>
      </c>
      <c r="GDU7">
        <v>0</v>
      </c>
      <c r="GDV7">
        <v>0</v>
      </c>
      <c r="GDW7">
        <v>0</v>
      </c>
      <c r="GDX7">
        <v>14</v>
      </c>
      <c r="GDY7">
        <v>0</v>
      </c>
      <c r="GDZ7">
        <v>0</v>
      </c>
      <c r="GEA7">
        <v>0</v>
      </c>
      <c r="GEB7">
        <v>119.99</v>
      </c>
      <c r="GEC7">
        <v>0</v>
      </c>
      <c r="GED7">
        <v>0</v>
      </c>
      <c r="GEE7">
        <v>0</v>
      </c>
      <c r="GEF7">
        <v>704.96</v>
      </c>
      <c r="GEG7">
        <v>0</v>
      </c>
      <c r="GEH7">
        <v>0</v>
      </c>
      <c r="GEI7">
        <v>495.96</v>
      </c>
      <c r="GEJ7">
        <v>0</v>
      </c>
      <c r="GEK7">
        <v>0</v>
      </c>
      <c r="GEL7">
        <v>0</v>
      </c>
      <c r="GEM7">
        <v>0</v>
      </c>
      <c r="GEN7">
        <v>592.98</v>
      </c>
      <c r="GEO7">
        <v>72.989999999999995</v>
      </c>
      <c r="GEP7">
        <v>1028.95</v>
      </c>
      <c r="GEQ7">
        <v>0</v>
      </c>
      <c r="GER7">
        <v>115</v>
      </c>
      <c r="GES7">
        <v>0</v>
      </c>
      <c r="GET7">
        <v>0</v>
      </c>
      <c r="GEU7">
        <v>0</v>
      </c>
      <c r="GEV7">
        <v>97.99</v>
      </c>
      <c r="GEW7">
        <v>15</v>
      </c>
      <c r="GEX7">
        <v>0</v>
      </c>
      <c r="GEY7">
        <v>0</v>
      </c>
      <c r="GEZ7">
        <v>2377.8200000000002</v>
      </c>
      <c r="GFA7">
        <v>0</v>
      </c>
      <c r="GFB7">
        <v>102</v>
      </c>
      <c r="GFC7">
        <v>0</v>
      </c>
      <c r="GFD7">
        <v>1491.9</v>
      </c>
      <c r="GFE7">
        <v>0</v>
      </c>
      <c r="GFF7">
        <v>0</v>
      </c>
      <c r="GFG7">
        <v>0</v>
      </c>
      <c r="GFH7">
        <v>0</v>
      </c>
      <c r="GFI7">
        <v>0</v>
      </c>
      <c r="GFJ7">
        <v>0</v>
      </c>
      <c r="GFK7">
        <v>0</v>
      </c>
      <c r="GFL7">
        <v>0</v>
      </c>
      <c r="GFM7">
        <v>0</v>
      </c>
      <c r="GFN7">
        <v>0</v>
      </c>
      <c r="GFO7">
        <v>0</v>
      </c>
      <c r="GFP7">
        <v>0</v>
      </c>
      <c r="GFQ7">
        <v>0</v>
      </c>
      <c r="GFR7">
        <v>0</v>
      </c>
      <c r="GFS7">
        <v>0</v>
      </c>
      <c r="GFT7">
        <v>0</v>
      </c>
      <c r="GFU7">
        <v>0</v>
      </c>
      <c r="GFV7">
        <v>0</v>
      </c>
      <c r="GFW7">
        <v>864.94</v>
      </c>
      <c r="GFX7">
        <v>0</v>
      </c>
      <c r="GFY7">
        <v>1924.89</v>
      </c>
      <c r="GFZ7">
        <v>0</v>
      </c>
      <c r="GGA7">
        <v>127.99</v>
      </c>
      <c r="GGB7">
        <v>0</v>
      </c>
      <c r="GGC7">
        <v>0</v>
      </c>
      <c r="GGD7">
        <v>0</v>
      </c>
      <c r="GGE7">
        <v>0</v>
      </c>
      <c r="GGF7">
        <v>0</v>
      </c>
      <c r="GGG7">
        <v>728.94</v>
      </c>
      <c r="GGH7">
        <v>729.96</v>
      </c>
      <c r="GGI7">
        <v>0</v>
      </c>
      <c r="GGJ7">
        <v>0</v>
      </c>
      <c r="GGK7">
        <v>0</v>
      </c>
      <c r="GGL7">
        <v>18</v>
      </c>
      <c r="GGM7">
        <v>325.99</v>
      </c>
      <c r="GGN7">
        <v>0</v>
      </c>
      <c r="GGO7">
        <v>339.96</v>
      </c>
      <c r="GGP7">
        <v>0</v>
      </c>
      <c r="GGQ7">
        <v>0</v>
      </c>
      <c r="GGR7">
        <v>0</v>
      </c>
      <c r="GGS7">
        <v>0</v>
      </c>
      <c r="GGT7">
        <v>0</v>
      </c>
      <c r="GGU7">
        <v>0</v>
      </c>
      <c r="GGV7">
        <v>29.99</v>
      </c>
      <c r="GGW7">
        <v>1793.85</v>
      </c>
      <c r="GGX7">
        <v>0</v>
      </c>
      <c r="GGY7">
        <v>0</v>
      </c>
      <c r="GGZ7">
        <v>0</v>
      </c>
      <c r="GHA7">
        <v>0</v>
      </c>
      <c r="GHB7">
        <v>229.99</v>
      </c>
      <c r="GHC7">
        <v>246</v>
      </c>
      <c r="GHD7">
        <v>0</v>
      </c>
      <c r="GHE7">
        <v>120.99</v>
      </c>
      <c r="GHF7">
        <v>0</v>
      </c>
      <c r="GHG7">
        <v>0</v>
      </c>
      <c r="GHH7">
        <v>21</v>
      </c>
      <c r="GHI7">
        <v>0</v>
      </c>
      <c r="GHJ7">
        <v>2380.7600000000002</v>
      </c>
      <c r="GHK7">
        <v>0</v>
      </c>
      <c r="GHL7">
        <v>357.98</v>
      </c>
      <c r="GHM7">
        <v>0</v>
      </c>
      <c r="GHN7">
        <v>0</v>
      </c>
      <c r="GHO7">
        <v>74</v>
      </c>
      <c r="GHP7">
        <v>0</v>
      </c>
      <c r="GHQ7">
        <v>0</v>
      </c>
      <c r="GHR7">
        <v>188.98</v>
      </c>
      <c r="GHS7">
        <v>1575.9</v>
      </c>
      <c r="GHT7">
        <v>0</v>
      </c>
      <c r="GHU7">
        <v>0</v>
      </c>
      <c r="GHV7">
        <v>0</v>
      </c>
      <c r="GHW7">
        <v>0</v>
      </c>
      <c r="GHX7">
        <v>0</v>
      </c>
      <c r="GHY7">
        <v>0</v>
      </c>
      <c r="GHZ7">
        <v>840.95</v>
      </c>
      <c r="GIA7">
        <v>0</v>
      </c>
      <c r="GIB7">
        <v>31</v>
      </c>
      <c r="GIC7">
        <v>182.99</v>
      </c>
      <c r="GID7">
        <v>0</v>
      </c>
      <c r="GIE7">
        <v>0</v>
      </c>
      <c r="GIF7">
        <v>11</v>
      </c>
      <c r="GIG7">
        <v>0</v>
      </c>
      <c r="GIH7">
        <v>391.98</v>
      </c>
      <c r="GII7">
        <v>0</v>
      </c>
      <c r="GIJ7">
        <v>0</v>
      </c>
      <c r="GIK7">
        <v>233.99</v>
      </c>
      <c r="GIL7">
        <v>6</v>
      </c>
      <c r="GIM7">
        <v>352.95</v>
      </c>
      <c r="GIN7">
        <v>0</v>
      </c>
      <c r="GIO7">
        <v>0</v>
      </c>
      <c r="GIP7">
        <v>18</v>
      </c>
      <c r="GIQ7">
        <v>0</v>
      </c>
      <c r="GIR7">
        <v>0</v>
      </c>
      <c r="GIS7">
        <v>0</v>
      </c>
      <c r="GIT7">
        <v>58</v>
      </c>
      <c r="GIU7">
        <v>453.98</v>
      </c>
      <c r="GIV7">
        <v>0</v>
      </c>
      <c r="GIW7">
        <v>0</v>
      </c>
      <c r="GIX7">
        <v>0</v>
      </c>
      <c r="GIY7">
        <v>209.98</v>
      </c>
      <c r="GIZ7">
        <v>0</v>
      </c>
      <c r="GJA7">
        <v>33</v>
      </c>
      <c r="GJB7">
        <v>0</v>
      </c>
      <c r="GJC7">
        <v>0</v>
      </c>
      <c r="GJD7">
        <v>0</v>
      </c>
      <c r="GJE7">
        <v>0</v>
      </c>
      <c r="GJF7">
        <v>0</v>
      </c>
      <c r="GJG7">
        <v>0</v>
      </c>
      <c r="GJH7">
        <v>0</v>
      </c>
      <c r="GJI7">
        <v>0</v>
      </c>
      <c r="GJJ7">
        <v>0</v>
      </c>
      <c r="GJK7">
        <v>0</v>
      </c>
      <c r="GJL7">
        <v>0</v>
      </c>
      <c r="GJM7">
        <v>0</v>
      </c>
      <c r="GJN7">
        <v>0</v>
      </c>
      <c r="GJO7">
        <v>0</v>
      </c>
      <c r="GJP7">
        <v>387.98</v>
      </c>
      <c r="GJQ7">
        <v>0</v>
      </c>
      <c r="GJR7">
        <v>0</v>
      </c>
      <c r="GJS7">
        <v>0</v>
      </c>
      <c r="GJT7">
        <v>32</v>
      </c>
      <c r="GJU7">
        <v>2750.82</v>
      </c>
      <c r="GJV7">
        <v>0</v>
      </c>
      <c r="GJW7">
        <v>0</v>
      </c>
      <c r="GJX7">
        <v>12</v>
      </c>
      <c r="GJY7">
        <v>0</v>
      </c>
      <c r="GJZ7">
        <v>0</v>
      </c>
      <c r="GKA7">
        <v>0</v>
      </c>
      <c r="GKB7">
        <v>0</v>
      </c>
      <c r="GKC7">
        <v>180</v>
      </c>
      <c r="GKD7">
        <v>0</v>
      </c>
      <c r="GKE7">
        <v>0</v>
      </c>
      <c r="GKF7">
        <v>2407.86</v>
      </c>
      <c r="GKG7">
        <v>605.96</v>
      </c>
      <c r="GKH7">
        <v>0</v>
      </c>
      <c r="GKI7">
        <v>0</v>
      </c>
      <c r="GKJ7">
        <v>0</v>
      </c>
      <c r="GKK7">
        <v>636.95000000000005</v>
      </c>
      <c r="GKL7">
        <v>1613.88</v>
      </c>
      <c r="GKM7">
        <v>0</v>
      </c>
      <c r="GKN7">
        <v>0</v>
      </c>
      <c r="GKO7">
        <v>0</v>
      </c>
      <c r="GKP7">
        <v>195.96</v>
      </c>
      <c r="GKQ7">
        <v>0</v>
      </c>
      <c r="GKR7">
        <v>0</v>
      </c>
      <c r="GKS7">
        <v>49</v>
      </c>
      <c r="GKT7">
        <v>116</v>
      </c>
      <c r="GKU7">
        <v>0</v>
      </c>
      <c r="GKV7">
        <v>36</v>
      </c>
      <c r="GKW7">
        <v>0</v>
      </c>
      <c r="GKX7">
        <v>0</v>
      </c>
      <c r="GKY7">
        <v>1034.9100000000001</v>
      </c>
      <c r="GKZ7">
        <v>0</v>
      </c>
      <c r="GLA7">
        <v>1014.92</v>
      </c>
      <c r="GLB7">
        <v>0</v>
      </c>
      <c r="GLC7">
        <v>3737.81</v>
      </c>
      <c r="GLD7">
        <v>97.98</v>
      </c>
      <c r="GLE7">
        <v>0</v>
      </c>
      <c r="GLF7">
        <v>0</v>
      </c>
      <c r="GLG7">
        <v>0</v>
      </c>
      <c r="GLH7">
        <v>0</v>
      </c>
      <c r="GLI7">
        <v>0</v>
      </c>
      <c r="GLJ7">
        <v>0</v>
      </c>
      <c r="GLK7">
        <v>0</v>
      </c>
      <c r="GLL7">
        <v>4441.7</v>
      </c>
      <c r="GLM7">
        <v>0</v>
      </c>
      <c r="GLN7">
        <v>0</v>
      </c>
      <c r="GLO7">
        <v>0</v>
      </c>
      <c r="GLP7">
        <v>0</v>
      </c>
      <c r="GLQ7">
        <v>443</v>
      </c>
      <c r="GLR7">
        <v>2088.91</v>
      </c>
      <c r="GLS7">
        <v>3136.83</v>
      </c>
      <c r="GLT7">
        <v>198.98</v>
      </c>
      <c r="GLU7">
        <v>271.98</v>
      </c>
      <c r="GLV7">
        <v>4997.8</v>
      </c>
      <c r="GLW7">
        <v>2392.85</v>
      </c>
      <c r="GLX7">
        <v>0</v>
      </c>
      <c r="GLY7">
        <v>0</v>
      </c>
      <c r="GLZ7">
        <v>1109.9100000000001</v>
      </c>
      <c r="GMA7">
        <v>0</v>
      </c>
      <c r="GMB7">
        <v>0</v>
      </c>
      <c r="GMC7">
        <v>0</v>
      </c>
      <c r="GMD7">
        <v>0</v>
      </c>
      <c r="GME7">
        <v>328.99</v>
      </c>
      <c r="GMF7">
        <v>0</v>
      </c>
      <c r="GMG7">
        <v>0</v>
      </c>
      <c r="GMH7">
        <v>0</v>
      </c>
      <c r="GMI7">
        <v>967.94</v>
      </c>
      <c r="GMJ7">
        <v>0</v>
      </c>
      <c r="GMK7">
        <v>0</v>
      </c>
      <c r="GML7">
        <v>0</v>
      </c>
      <c r="GMM7">
        <v>0</v>
      </c>
      <c r="GMN7">
        <v>0</v>
      </c>
      <c r="GMO7">
        <v>1522.9</v>
      </c>
      <c r="GMP7">
        <v>0</v>
      </c>
      <c r="GMQ7">
        <v>0</v>
      </c>
      <c r="GMR7">
        <v>0</v>
      </c>
      <c r="GMS7">
        <v>0</v>
      </c>
      <c r="GMT7">
        <v>156</v>
      </c>
      <c r="GMU7">
        <v>0</v>
      </c>
      <c r="GMV7">
        <v>697.96</v>
      </c>
      <c r="GMW7">
        <v>97.99</v>
      </c>
      <c r="GMX7">
        <v>0</v>
      </c>
      <c r="GMY7">
        <v>63.99</v>
      </c>
      <c r="GMZ7">
        <v>0</v>
      </c>
      <c r="GNA7">
        <v>326.98</v>
      </c>
      <c r="GNB7">
        <v>0</v>
      </c>
      <c r="GNC7">
        <v>236.99</v>
      </c>
      <c r="GND7">
        <v>0</v>
      </c>
      <c r="GNE7">
        <v>0</v>
      </c>
      <c r="GNF7">
        <v>0</v>
      </c>
      <c r="GNG7">
        <v>2468.85</v>
      </c>
      <c r="GNH7">
        <v>91.98</v>
      </c>
      <c r="GNI7">
        <v>803.94</v>
      </c>
      <c r="GNJ7">
        <v>0</v>
      </c>
      <c r="GNK7">
        <v>0</v>
      </c>
      <c r="GNL7">
        <v>1691.89</v>
      </c>
      <c r="GNM7">
        <v>311.99</v>
      </c>
      <c r="GNN7">
        <v>0</v>
      </c>
      <c r="GNO7">
        <v>225.99</v>
      </c>
      <c r="GNP7">
        <v>1289.8800000000001</v>
      </c>
      <c r="GNQ7">
        <v>0</v>
      </c>
      <c r="GNR7">
        <v>933.93</v>
      </c>
      <c r="GNS7">
        <v>0</v>
      </c>
      <c r="GNT7">
        <v>263.98</v>
      </c>
      <c r="GNU7">
        <v>288.98</v>
      </c>
      <c r="GNV7">
        <v>2113.84</v>
      </c>
      <c r="GNW7">
        <v>15</v>
      </c>
      <c r="GNX7">
        <v>441.96</v>
      </c>
      <c r="GNY7">
        <v>869.97</v>
      </c>
      <c r="GNZ7">
        <v>226.98</v>
      </c>
      <c r="GOA7">
        <v>11</v>
      </c>
      <c r="GOB7">
        <v>29</v>
      </c>
      <c r="GOC7">
        <v>1409.81</v>
      </c>
      <c r="GOD7">
        <v>0</v>
      </c>
      <c r="GOE7">
        <v>0</v>
      </c>
      <c r="GOF7">
        <v>0</v>
      </c>
      <c r="GOG7">
        <v>0</v>
      </c>
      <c r="GOH7">
        <v>1569.9</v>
      </c>
      <c r="GOI7">
        <v>66</v>
      </c>
      <c r="GOJ7">
        <v>0</v>
      </c>
      <c r="GOK7">
        <v>0</v>
      </c>
      <c r="GOL7">
        <v>0</v>
      </c>
      <c r="GOM7">
        <v>1399.91</v>
      </c>
      <c r="GON7">
        <v>2946.8</v>
      </c>
      <c r="GOO7">
        <v>252.96</v>
      </c>
      <c r="GOP7">
        <v>0</v>
      </c>
      <c r="GOQ7">
        <v>0</v>
      </c>
      <c r="GOR7">
        <v>0</v>
      </c>
      <c r="GOS7">
        <v>1128.94</v>
      </c>
      <c r="GOT7">
        <v>0</v>
      </c>
      <c r="GOU7">
        <v>855.94</v>
      </c>
      <c r="GOV7">
        <v>43</v>
      </c>
      <c r="GOW7">
        <v>223.99</v>
      </c>
      <c r="GOX7">
        <v>0</v>
      </c>
      <c r="GOY7">
        <v>1703.84</v>
      </c>
      <c r="GOZ7">
        <v>697.96</v>
      </c>
      <c r="GPA7">
        <v>0</v>
      </c>
      <c r="GPB7">
        <v>378.99</v>
      </c>
      <c r="GPC7">
        <v>0</v>
      </c>
      <c r="GPD7">
        <v>0</v>
      </c>
      <c r="GPE7">
        <v>0</v>
      </c>
      <c r="GPF7">
        <v>0</v>
      </c>
      <c r="GPG7">
        <v>0</v>
      </c>
      <c r="GPH7">
        <v>186.98</v>
      </c>
      <c r="GPI7">
        <v>176.99</v>
      </c>
      <c r="GPJ7">
        <v>2269.81</v>
      </c>
      <c r="GPK7">
        <v>0</v>
      </c>
      <c r="GPL7">
        <v>0</v>
      </c>
      <c r="GPM7">
        <v>5001.6400000000003</v>
      </c>
      <c r="GPN7">
        <v>0</v>
      </c>
      <c r="GPO7">
        <v>39</v>
      </c>
      <c r="GPP7">
        <v>35</v>
      </c>
      <c r="GPQ7">
        <v>0</v>
      </c>
      <c r="GPR7">
        <v>18</v>
      </c>
      <c r="GPS7">
        <v>0</v>
      </c>
      <c r="GPT7">
        <v>0</v>
      </c>
      <c r="GPU7">
        <v>984.92</v>
      </c>
      <c r="GPV7">
        <v>0</v>
      </c>
      <c r="GPW7">
        <v>2515.81</v>
      </c>
      <c r="GPX7">
        <v>854.95</v>
      </c>
      <c r="GPY7">
        <v>125.98</v>
      </c>
      <c r="GPZ7">
        <v>863.94</v>
      </c>
      <c r="GQA7">
        <v>91.99</v>
      </c>
      <c r="GQB7">
        <v>13</v>
      </c>
      <c r="GQC7">
        <v>6726.4</v>
      </c>
      <c r="GQD7">
        <v>394.99</v>
      </c>
      <c r="GQE7">
        <v>813.95</v>
      </c>
      <c r="GQF7">
        <v>1087.94</v>
      </c>
      <c r="GQG7">
        <v>0</v>
      </c>
      <c r="GQH7">
        <v>0</v>
      </c>
      <c r="GQI7">
        <v>321.99</v>
      </c>
      <c r="GQJ7">
        <v>0</v>
      </c>
      <c r="GQK7">
        <v>496.96</v>
      </c>
      <c r="GQL7">
        <v>0</v>
      </c>
      <c r="GQM7">
        <v>384.97</v>
      </c>
      <c r="GQN7">
        <v>20</v>
      </c>
      <c r="GQO7">
        <v>0</v>
      </c>
      <c r="GQP7">
        <v>0</v>
      </c>
      <c r="GQQ7">
        <v>3397.75</v>
      </c>
      <c r="GQR7">
        <v>0</v>
      </c>
      <c r="GQS7">
        <v>0</v>
      </c>
      <c r="GQT7">
        <v>1937.82</v>
      </c>
      <c r="GQU7">
        <v>3644.78</v>
      </c>
      <c r="GQV7">
        <v>1546.91</v>
      </c>
      <c r="GQW7">
        <v>0</v>
      </c>
      <c r="GQX7">
        <v>4043.85</v>
      </c>
      <c r="GQY7">
        <v>529.98</v>
      </c>
      <c r="GQZ7">
        <v>122.99</v>
      </c>
      <c r="GRA7">
        <v>91</v>
      </c>
      <c r="GRB7">
        <v>0</v>
      </c>
      <c r="GRC7">
        <v>0</v>
      </c>
      <c r="GRD7">
        <v>0</v>
      </c>
      <c r="GRE7">
        <v>2300.86</v>
      </c>
      <c r="GRF7">
        <v>0</v>
      </c>
      <c r="GRG7">
        <v>27</v>
      </c>
      <c r="GRH7">
        <v>328.96</v>
      </c>
      <c r="GRI7">
        <v>3379.77</v>
      </c>
      <c r="GRJ7">
        <v>0</v>
      </c>
      <c r="GRK7">
        <v>198</v>
      </c>
      <c r="GRL7">
        <v>1345.92</v>
      </c>
      <c r="GRM7">
        <v>859.94</v>
      </c>
      <c r="GRN7">
        <v>0</v>
      </c>
      <c r="GRO7">
        <v>6558.51</v>
      </c>
      <c r="GRP7">
        <v>791.95</v>
      </c>
      <c r="GRQ7">
        <v>4969.66</v>
      </c>
      <c r="GRR7">
        <v>64.989999999999995</v>
      </c>
      <c r="GRS7">
        <v>1124.69</v>
      </c>
      <c r="GRT7">
        <v>0</v>
      </c>
      <c r="GRU7">
        <v>6391.59</v>
      </c>
      <c r="GRV7">
        <v>577.98</v>
      </c>
      <c r="GRW7">
        <v>2770.9</v>
      </c>
      <c r="GRX7">
        <v>1881.85</v>
      </c>
      <c r="GRY7">
        <v>2593.8000000000002</v>
      </c>
      <c r="GRZ7">
        <v>3056.75</v>
      </c>
      <c r="GSA7">
        <v>1161.94</v>
      </c>
      <c r="GSB7">
        <v>2984.75</v>
      </c>
      <c r="GSC7">
        <v>2767.83</v>
      </c>
      <c r="GSD7">
        <v>1932.82</v>
      </c>
      <c r="GSE7">
        <v>527.95000000000005</v>
      </c>
      <c r="GSF7">
        <v>12555.29</v>
      </c>
      <c r="GSG7">
        <v>5463.28</v>
      </c>
      <c r="GSH7">
        <v>719.95</v>
      </c>
      <c r="GSI7">
        <v>111</v>
      </c>
      <c r="GSJ7">
        <v>4713.7299999999996</v>
      </c>
      <c r="GSK7">
        <v>722.95</v>
      </c>
      <c r="GSL7">
        <v>1113.9000000000001</v>
      </c>
      <c r="GSM7">
        <v>598.98</v>
      </c>
      <c r="GSN7">
        <v>0</v>
      </c>
      <c r="GSO7">
        <v>4038.8</v>
      </c>
      <c r="GSP7">
        <v>4355.66</v>
      </c>
      <c r="GSQ7">
        <v>6200.51</v>
      </c>
      <c r="GSR7">
        <v>297444.5</v>
      </c>
    </row>
    <row r="8" spans="1:5244" x14ac:dyDescent="0.2">
      <c r="A8" s="7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4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5</v>
      </c>
      <c r="BY8">
        <v>5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6</v>
      </c>
      <c r="DT8">
        <v>6</v>
      </c>
      <c r="DU8">
        <v>6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7</v>
      </c>
      <c r="GQ8">
        <v>7</v>
      </c>
      <c r="GR8">
        <v>7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9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10</v>
      </c>
      <c r="MT8">
        <v>10</v>
      </c>
      <c r="MU8">
        <v>10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11</v>
      </c>
      <c r="OU8">
        <v>11</v>
      </c>
      <c r="OV8">
        <v>11</v>
      </c>
      <c r="OW8">
        <v>11</v>
      </c>
      <c r="OX8">
        <v>11</v>
      </c>
      <c r="OY8">
        <v>11</v>
      </c>
      <c r="OZ8">
        <v>11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12</v>
      </c>
      <c r="RB8">
        <v>12</v>
      </c>
      <c r="RC8">
        <v>12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13</v>
      </c>
      <c r="TH8">
        <v>13</v>
      </c>
      <c r="TI8">
        <v>13</v>
      </c>
      <c r="TJ8">
        <v>13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5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15</v>
      </c>
      <c r="XR8">
        <v>15</v>
      </c>
      <c r="XS8">
        <v>15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17</v>
      </c>
      <c r="ABF8">
        <v>17</v>
      </c>
      <c r="ABG8">
        <v>17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18</v>
      </c>
      <c r="ADE8">
        <v>18</v>
      </c>
      <c r="ADF8">
        <v>18</v>
      </c>
      <c r="ADG8">
        <v>18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19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21</v>
      </c>
      <c r="AJZ8">
        <v>21</v>
      </c>
      <c r="AKA8">
        <v>21</v>
      </c>
      <c r="AKB8">
        <v>21</v>
      </c>
      <c r="AKC8">
        <v>21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22</v>
      </c>
      <c r="ALW8">
        <v>22</v>
      </c>
      <c r="ALX8">
        <v>22</v>
      </c>
      <c r="ALY8">
        <v>22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24</v>
      </c>
      <c r="AOX8">
        <v>24</v>
      </c>
      <c r="AOY8">
        <v>24</v>
      </c>
      <c r="AOZ8">
        <v>24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25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12</v>
      </c>
      <c r="ASO8">
        <v>26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27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28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29.01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30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31</v>
      </c>
      <c r="AZQ8">
        <v>31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20</v>
      </c>
      <c r="BBZ8">
        <v>0</v>
      </c>
      <c r="BCA8">
        <v>0</v>
      </c>
      <c r="BCB8">
        <v>33</v>
      </c>
      <c r="BCC8">
        <v>33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6</v>
      </c>
      <c r="BGH8">
        <v>0</v>
      </c>
      <c r="BGI8">
        <v>0</v>
      </c>
      <c r="BGJ8">
        <v>0</v>
      </c>
      <c r="BGK8">
        <v>36</v>
      </c>
      <c r="BGL8">
        <v>36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37</v>
      </c>
      <c r="BHO8">
        <v>16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38</v>
      </c>
      <c r="BJA8">
        <v>38</v>
      </c>
      <c r="BJB8">
        <v>38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39</v>
      </c>
      <c r="BKI8">
        <v>39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26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41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42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43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45</v>
      </c>
      <c r="BQN8">
        <v>45</v>
      </c>
      <c r="BQO8">
        <v>45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48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49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50</v>
      </c>
      <c r="BVD8">
        <v>28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51</v>
      </c>
      <c r="BWH8">
        <v>51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52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53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0</v>
      </c>
      <c r="BYC8">
        <v>0</v>
      </c>
      <c r="BYD8">
        <v>0</v>
      </c>
      <c r="BYE8">
        <v>34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0</v>
      </c>
      <c r="BZA8">
        <v>0</v>
      </c>
      <c r="BZB8">
        <v>0</v>
      </c>
      <c r="BZC8">
        <v>0</v>
      </c>
      <c r="BZD8">
        <v>0</v>
      </c>
      <c r="BZE8">
        <v>0</v>
      </c>
      <c r="BZF8">
        <v>0</v>
      </c>
      <c r="BZG8">
        <v>55</v>
      </c>
      <c r="BZH8">
        <v>0</v>
      </c>
      <c r="BZI8">
        <v>0</v>
      </c>
      <c r="BZJ8">
        <v>0</v>
      </c>
      <c r="BZK8">
        <v>0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56</v>
      </c>
      <c r="BZY8">
        <v>56</v>
      </c>
      <c r="BZZ8">
        <v>0</v>
      </c>
      <c r="CAA8">
        <v>0</v>
      </c>
      <c r="CAB8">
        <v>0</v>
      </c>
      <c r="CAC8">
        <v>0</v>
      </c>
      <c r="CAD8">
        <v>0</v>
      </c>
      <c r="CAE8">
        <v>0</v>
      </c>
      <c r="CAF8">
        <v>0</v>
      </c>
      <c r="CAG8">
        <v>0</v>
      </c>
      <c r="CAH8">
        <v>0</v>
      </c>
      <c r="CAI8">
        <v>0</v>
      </c>
      <c r="CAJ8">
        <v>34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0</v>
      </c>
      <c r="CAW8">
        <v>0</v>
      </c>
      <c r="CAX8">
        <v>0</v>
      </c>
      <c r="CAY8">
        <v>0</v>
      </c>
      <c r="CAZ8">
        <v>0</v>
      </c>
      <c r="CBA8">
        <v>0</v>
      </c>
      <c r="CBB8">
        <v>0</v>
      </c>
      <c r="CBC8">
        <v>0</v>
      </c>
      <c r="CBD8">
        <v>0</v>
      </c>
      <c r="CBE8">
        <v>0</v>
      </c>
      <c r="CBF8">
        <v>58</v>
      </c>
      <c r="CBG8">
        <v>58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0</v>
      </c>
      <c r="CBU8">
        <v>0</v>
      </c>
      <c r="CBV8">
        <v>0</v>
      </c>
      <c r="CBW8">
        <v>0</v>
      </c>
      <c r="CBX8">
        <v>0</v>
      </c>
      <c r="CBY8">
        <v>0</v>
      </c>
      <c r="CBZ8">
        <v>0</v>
      </c>
      <c r="CCA8">
        <v>0</v>
      </c>
      <c r="CCB8">
        <v>0</v>
      </c>
      <c r="CCC8">
        <v>0</v>
      </c>
      <c r="CCD8">
        <v>0</v>
      </c>
      <c r="CCE8">
        <v>0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</v>
      </c>
      <c r="CCS8">
        <v>0</v>
      </c>
      <c r="CCT8">
        <v>0</v>
      </c>
      <c r="CCU8">
        <v>0</v>
      </c>
      <c r="CCV8">
        <v>47.01</v>
      </c>
      <c r="CCW8">
        <v>0</v>
      </c>
      <c r="CCX8">
        <v>0</v>
      </c>
      <c r="CCY8">
        <v>0</v>
      </c>
      <c r="CCZ8">
        <v>0</v>
      </c>
      <c r="CDA8">
        <v>0</v>
      </c>
      <c r="CDB8">
        <v>0</v>
      </c>
      <c r="CDC8">
        <v>0</v>
      </c>
      <c r="CDD8">
        <v>0</v>
      </c>
      <c r="CDE8">
        <v>0</v>
      </c>
      <c r="CDF8">
        <v>0</v>
      </c>
      <c r="CDG8">
        <v>0</v>
      </c>
      <c r="CDH8">
        <v>61</v>
      </c>
      <c r="CDI8">
        <v>18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0</v>
      </c>
      <c r="CDQ8">
        <v>0</v>
      </c>
      <c r="CDR8">
        <v>0</v>
      </c>
      <c r="CDS8">
        <v>0</v>
      </c>
      <c r="CDT8">
        <v>0</v>
      </c>
      <c r="CDU8">
        <v>0</v>
      </c>
      <c r="CDV8">
        <v>62</v>
      </c>
      <c r="CDW8">
        <v>0</v>
      </c>
      <c r="CDX8">
        <v>0</v>
      </c>
      <c r="CDY8">
        <v>0</v>
      </c>
      <c r="CDZ8">
        <v>0</v>
      </c>
      <c r="CEA8">
        <v>0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63</v>
      </c>
      <c r="CEL8">
        <v>0</v>
      </c>
      <c r="CEM8">
        <v>0</v>
      </c>
      <c r="CEN8">
        <v>0</v>
      </c>
      <c r="CEO8">
        <v>0</v>
      </c>
      <c r="CEP8">
        <v>0</v>
      </c>
      <c r="CEQ8">
        <v>0</v>
      </c>
      <c r="CER8">
        <v>0</v>
      </c>
      <c r="CES8">
        <v>0</v>
      </c>
      <c r="CET8">
        <v>0</v>
      </c>
      <c r="CEU8">
        <v>0</v>
      </c>
      <c r="CEV8">
        <v>0</v>
      </c>
      <c r="CEW8">
        <v>0</v>
      </c>
      <c r="CEX8">
        <v>0</v>
      </c>
      <c r="CEY8">
        <v>0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12</v>
      </c>
      <c r="CFG8">
        <v>64</v>
      </c>
      <c r="CFH8">
        <v>0</v>
      </c>
      <c r="CFI8">
        <v>0</v>
      </c>
      <c r="CFJ8">
        <v>0</v>
      </c>
      <c r="CFK8">
        <v>0</v>
      </c>
      <c r="CFL8">
        <v>0</v>
      </c>
      <c r="CFM8">
        <v>0</v>
      </c>
      <c r="CFN8">
        <v>0</v>
      </c>
      <c r="CFO8">
        <v>0</v>
      </c>
      <c r="CFP8">
        <v>0</v>
      </c>
      <c r="CFQ8">
        <v>0</v>
      </c>
      <c r="CFR8">
        <v>64.010000000000005</v>
      </c>
      <c r="CFS8">
        <v>0</v>
      </c>
      <c r="CFT8">
        <v>0</v>
      </c>
      <c r="CFU8">
        <v>0</v>
      </c>
      <c r="CFV8">
        <v>0</v>
      </c>
      <c r="CFW8">
        <v>0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29</v>
      </c>
      <c r="CGE8">
        <v>65</v>
      </c>
      <c r="CGF8">
        <v>0</v>
      </c>
      <c r="CGG8">
        <v>0</v>
      </c>
      <c r="CGH8">
        <v>0</v>
      </c>
      <c r="CGI8">
        <v>0</v>
      </c>
      <c r="CGJ8">
        <v>0</v>
      </c>
      <c r="CGK8">
        <v>0</v>
      </c>
      <c r="CGL8">
        <v>0</v>
      </c>
      <c r="CGM8">
        <v>0</v>
      </c>
      <c r="CGN8">
        <v>0</v>
      </c>
      <c r="CGO8">
        <v>0</v>
      </c>
      <c r="CGP8">
        <v>0</v>
      </c>
      <c r="CGQ8">
        <v>0</v>
      </c>
      <c r="CGR8">
        <v>0</v>
      </c>
      <c r="CGS8">
        <v>0</v>
      </c>
      <c r="CGT8">
        <v>0</v>
      </c>
      <c r="CGU8">
        <v>0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0</v>
      </c>
      <c r="CHI8">
        <v>0</v>
      </c>
      <c r="CHJ8">
        <v>0</v>
      </c>
      <c r="CHK8">
        <v>0</v>
      </c>
      <c r="CHL8">
        <v>0</v>
      </c>
      <c r="CHM8">
        <v>67</v>
      </c>
      <c r="CHN8">
        <v>40</v>
      </c>
      <c r="CHO8">
        <v>0</v>
      </c>
      <c r="CHP8">
        <v>0</v>
      </c>
      <c r="CHQ8">
        <v>0</v>
      </c>
      <c r="CHR8">
        <v>0</v>
      </c>
      <c r="CHS8">
        <v>0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67.989999999999995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0</v>
      </c>
      <c r="CIG8">
        <v>0</v>
      </c>
      <c r="CIH8">
        <v>0</v>
      </c>
      <c r="CII8">
        <v>0</v>
      </c>
      <c r="CIJ8">
        <v>0</v>
      </c>
      <c r="CIK8">
        <v>0</v>
      </c>
      <c r="CIL8">
        <v>0</v>
      </c>
      <c r="CIM8">
        <v>0</v>
      </c>
      <c r="CIN8">
        <v>0</v>
      </c>
      <c r="CIO8">
        <v>0</v>
      </c>
      <c r="CIP8">
        <v>0</v>
      </c>
      <c r="CIQ8">
        <v>0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0</v>
      </c>
      <c r="CJE8">
        <v>0</v>
      </c>
      <c r="CJF8">
        <v>38</v>
      </c>
      <c r="CJG8">
        <v>0</v>
      </c>
      <c r="CJH8">
        <v>0</v>
      </c>
      <c r="CJI8">
        <v>0</v>
      </c>
      <c r="CJJ8">
        <v>0</v>
      </c>
      <c r="CJK8">
        <v>0</v>
      </c>
      <c r="CJL8">
        <v>0</v>
      </c>
      <c r="CJM8">
        <v>0</v>
      </c>
      <c r="CJN8">
        <v>0</v>
      </c>
      <c r="CJO8">
        <v>0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0</v>
      </c>
      <c r="CKC8">
        <v>0</v>
      </c>
      <c r="CKD8">
        <v>0</v>
      </c>
      <c r="CKE8">
        <v>0</v>
      </c>
      <c r="CKF8">
        <v>0</v>
      </c>
      <c r="CKG8">
        <v>0</v>
      </c>
      <c r="CKH8">
        <v>0</v>
      </c>
      <c r="CKI8">
        <v>0</v>
      </c>
      <c r="CKJ8">
        <v>0</v>
      </c>
      <c r="CKK8">
        <v>0</v>
      </c>
      <c r="CKL8">
        <v>0</v>
      </c>
      <c r="CKM8">
        <v>0</v>
      </c>
      <c r="CKN8">
        <v>0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</v>
      </c>
      <c r="CLA8">
        <v>0</v>
      </c>
      <c r="CLB8">
        <v>0</v>
      </c>
      <c r="CLC8">
        <v>0</v>
      </c>
      <c r="CLD8">
        <v>0</v>
      </c>
      <c r="CLE8">
        <v>0</v>
      </c>
      <c r="CLF8">
        <v>0</v>
      </c>
      <c r="CLG8">
        <v>0</v>
      </c>
      <c r="CLH8">
        <v>0</v>
      </c>
      <c r="CLI8">
        <v>0</v>
      </c>
      <c r="CLJ8">
        <v>0</v>
      </c>
      <c r="CLK8">
        <v>0</v>
      </c>
      <c r="CLL8">
        <v>0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74</v>
      </c>
      <c r="CLY8">
        <v>74</v>
      </c>
      <c r="CLZ8">
        <v>0</v>
      </c>
      <c r="CMA8">
        <v>0</v>
      </c>
      <c r="CMB8">
        <v>0</v>
      </c>
      <c r="CMC8">
        <v>0</v>
      </c>
      <c r="CMD8">
        <v>0</v>
      </c>
      <c r="CME8">
        <v>0</v>
      </c>
      <c r="CMF8">
        <v>0</v>
      </c>
      <c r="CMG8">
        <v>0</v>
      </c>
      <c r="CMH8">
        <v>0</v>
      </c>
      <c r="CMI8">
        <v>0</v>
      </c>
      <c r="CMJ8">
        <v>0</v>
      </c>
      <c r="CMK8">
        <v>0</v>
      </c>
      <c r="CML8">
        <v>0</v>
      </c>
      <c r="CMM8">
        <v>0</v>
      </c>
      <c r="CMN8">
        <v>75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0</v>
      </c>
      <c r="CMW8">
        <v>0</v>
      </c>
      <c r="CMX8">
        <v>0</v>
      </c>
      <c r="CMY8">
        <v>0</v>
      </c>
      <c r="CMZ8">
        <v>0</v>
      </c>
      <c r="CNA8">
        <v>0</v>
      </c>
      <c r="CNB8">
        <v>0</v>
      </c>
      <c r="CNC8">
        <v>0</v>
      </c>
      <c r="CND8">
        <v>0</v>
      </c>
      <c r="CNE8">
        <v>0</v>
      </c>
      <c r="CNF8">
        <v>0</v>
      </c>
      <c r="CNG8">
        <v>0</v>
      </c>
      <c r="CNH8">
        <v>0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20.010000000000002</v>
      </c>
      <c r="CNR8">
        <v>0</v>
      </c>
      <c r="CNS8">
        <v>0</v>
      </c>
      <c r="CNT8">
        <v>0</v>
      </c>
      <c r="CNU8">
        <v>0</v>
      </c>
      <c r="CNV8">
        <v>0</v>
      </c>
      <c r="CNW8">
        <v>0</v>
      </c>
      <c r="CNX8">
        <v>0</v>
      </c>
      <c r="CNY8">
        <v>0</v>
      </c>
      <c r="CNZ8">
        <v>0</v>
      </c>
      <c r="COA8">
        <v>0</v>
      </c>
      <c r="COB8">
        <v>0</v>
      </c>
      <c r="COC8">
        <v>0</v>
      </c>
      <c r="COD8">
        <v>0</v>
      </c>
      <c r="COE8">
        <v>0</v>
      </c>
      <c r="COF8">
        <v>0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79</v>
      </c>
      <c r="COO8">
        <v>0</v>
      </c>
      <c r="COP8">
        <v>0</v>
      </c>
      <c r="COQ8">
        <v>0</v>
      </c>
      <c r="COR8">
        <v>0</v>
      </c>
      <c r="COS8">
        <v>0</v>
      </c>
      <c r="COT8">
        <v>0</v>
      </c>
      <c r="COU8">
        <v>0</v>
      </c>
      <c r="COV8">
        <v>0</v>
      </c>
      <c r="COW8">
        <v>0</v>
      </c>
      <c r="COX8">
        <v>0</v>
      </c>
      <c r="COY8">
        <v>0</v>
      </c>
      <c r="COZ8">
        <v>0</v>
      </c>
      <c r="CPA8">
        <v>0</v>
      </c>
      <c r="CPB8">
        <v>0</v>
      </c>
      <c r="CPC8">
        <v>0</v>
      </c>
      <c r="CPD8">
        <v>0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0</v>
      </c>
      <c r="CPQ8">
        <v>0</v>
      </c>
      <c r="CPR8">
        <v>0</v>
      </c>
      <c r="CPS8">
        <v>0</v>
      </c>
      <c r="CPT8">
        <v>0</v>
      </c>
      <c r="CPU8">
        <v>0</v>
      </c>
      <c r="CPV8">
        <v>0</v>
      </c>
      <c r="CPW8">
        <v>0</v>
      </c>
      <c r="CPX8">
        <v>0</v>
      </c>
      <c r="CPY8">
        <v>75</v>
      </c>
      <c r="CPZ8">
        <v>83</v>
      </c>
      <c r="CQA8">
        <v>83</v>
      </c>
      <c r="CQB8">
        <v>0</v>
      </c>
      <c r="CQC8">
        <v>0</v>
      </c>
      <c r="CQD8">
        <v>0</v>
      </c>
      <c r="CQE8">
        <v>0</v>
      </c>
      <c r="CQF8">
        <v>0</v>
      </c>
      <c r="CQG8">
        <v>84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</v>
      </c>
      <c r="CQO8">
        <v>0</v>
      </c>
      <c r="CQP8">
        <v>0</v>
      </c>
      <c r="CQQ8">
        <v>0</v>
      </c>
      <c r="CQR8">
        <v>0</v>
      </c>
      <c r="CQS8">
        <v>0</v>
      </c>
      <c r="CQT8">
        <v>0</v>
      </c>
      <c r="CQU8">
        <v>0</v>
      </c>
      <c r="CQV8">
        <v>0</v>
      </c>
      <c r="CQW8">
        <v>0</v>
      </c>
      <c r="CQX8">
        <v>0</v>
      </c>
      <c r="CQY8">
        <v>0</v>
      </c>
      <c r="CQZ8">
        <v>0</v>
      </c>
      <c r="CRA8">
        <v>0</v>
      </c>
      <c r="CRB8">
        <v>61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0</v>
      </c>
      <c r="CRM8">
        <v>0</v>
      </c>
      <c r="CRN8">
        <v>0</v>
      </c>
      <c r="CRO8">
        <v>0</v>
      </c>
      <c r="CRP8">
        <v>0</v>
      </c>
      <c r="CRQ8">
        <v>0</v>
      </c>
      <c r="CRR8">
        <v>0</v>
      </c>
      <c r="CRS8">
        <v>0</v>
      </c>
      <c r="CRT8">
        <v>0</v>
      </c>
      <c r="CRU8">
        <v>0</v>
      </c>
      <c r="CRV8">
        <v>0</v>
      </c>
      <c r="CRW8">
        <v>0</v>
      </c>
      <c r="CRX8">
        <v>51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0</v>
      </c>
      <c r="CSK8">
        <v>0</v>
      </c>
      <c r="CSL8">
        <v>0</v>
      </c>
      <c r="CSM8">
        <v>0</v>
      </c>
      <c r="CSN8">
        <v>23</v>
      </c>
      <c r="CSO8">
        <v>0</v>
      </c>
      <c r="CSP8">
        <v>0</v>
      </c>
      <c r="CSQ8">
        <v>0</v>
      </c>
      <c r="CSR8">
        <v>0</v>
      </c>
      <c r="CSS8">
        <v>0</v>
      </c>
      <c r="CST8">
        <v>0</v>
      </c>
      <c r="CSU8">
        <v>0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5</v>
      </c>
      <c r="CTB8">
        <v>0</v>
      </c>
      <c r="CTC8">
        <v>0</v>
      </c>
      <c r="CTD8">
        <v>36</v>
      </c>
      <c r="CTE8">
        <v>0</v>
      </c>
      <c r="CTF8">
        <v>81.040000000000006</v>
      </c>
      <c r="CTG8">
        <v>0</v>
      </c>
      <c r="CTH8">
        <v>0</v>
      </c>
      <c r="CTI8">
        <v>0</v>
      </c>
      <c r="CTJ8">
        <v>0</v>
      </c>
      <c r="CTK8">
        <v>0</v>
      </c>
      <c r="CTL8">
        <v>0</v>
      </c>
      <c r="CTM8">
        <v>0</v>
      </c>
      <c r="CTN8">
        <v>0</v>
      </c>
      <c r="CTO8">
        <v>91</v>
      </c>
      <c r="CTP8">
        <v>0</v>
      </c>
      <c r="CTQ8">
        <v>0</v>
      </c>
      <c r="CTR8">
        <v>0</v>
      </c>
      <c r="CTS8">
        <v>0</v>
      </c>
      <c r="CTT8">
        <v>0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12</v>
      </c>
      <c r="CUD8">
        <v>0</v>
      </c>
      <c r="CUE8">
        <v>0</v>
      </c>
      <c r="CUF8">
        <v>0</v>
      </c>
      <c r="CUG8">
        <v>0</v>
      </c>
      <c r="CUH8">
        <v>0</v>
      </c>
      <c r="CUI8">
        <v>0</v>
      </c>
      <c r="CUJ8">
        <v>0</v>
      </c>
      <c r="CUK8">
        <v>0</v>
      </c>
      <c r="CUL8">
        <v>0</v>
      </c>
      <c r="CUM8">
        <v>0</v>
      </c>
      <c r="CUN8">
        <v>94</v>
      </c>
      <c r="CUO8">
        <v>0</v>
      </c>
      <c r="CUP8">
        <v>0</v>
      </c>
      <c r="CUQ8">
        <v>0</v>
      </c>
      <c r="CUR8">
        <v>0</v>
      </c>
      <c r="CUS8">
        <v>0</v>
      </c>
      <c r="CUT8">
        <v>0</v>
      </c>
      <c r="CUU8">
        <v>0</v>
      </c>
      <c r="CUV8">
        <v>0</v>
      </c>
      <c r="CUW8">
        <v>95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0</v>
      </c>
      <c r="CVE8">
        <v>0</v>
      </c>
      <c r="CVF8">
        <v>0</v>
      </c>
      <c r="CVG8">
        <v>0</v>
      </c>
      <c r="CVH8">
        <v>0</v>
      </c>
      <c r="CVI8">
        <v>0</v>
      </c>
      <c r="CVJ8">
        <v>0</v>
      </c>
      <c r="CVK8">
        <v>0</v>
      </c>
      <c r="CVL8">
        <v>0</v>
      </c>
      <c r="CVM8">
        <v>0</v>
      </c>
      <c r="CVN8">
        <v>0</v>
      </c>
      <c r="CVO8">
        <v>0</v>
      </c>
      <c r="CVP8">
        <v>0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0</v>
      </c>
      <c r="CWC8">
        <v>0</v>
      </c>
      <c r="CWD8">
        <v>0</v>
      </c>
      <c r="CWE8">
        <v>0</v>
      </c>
      <c r="CWF8">
        <v>0</v>
      </c>
      <c r="CWG8">
        <v>0</v>
      </c>
      <c r="CWH8">
        <v>0</v>
      </c>
      <c r="CWI8">
        <v>0</v>
      </c>
      <c r="CWJ8">
        <v>0</v>
      </c>
      <c r="CWK8">
        <v>0</v>
      </c>
      <c r="CWL8">
        <v>0</v>
      </c>
      <c r="CWM8">
        <v>0</v>
      </c>
      <c r="CWN8">
        <v>0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0</v>
      </c>
      <c r="CXA8">
        <v>0</v>
      </c>
      <c r="CXB8">
        <v>0</v>
      </c>
      <c r="CXC8">
        <v>0</v>
      </c>
      <c r="CXD8">
        <v>0</v>
      </c>
      <c r="CXE8">
        <v>30</v>
      </c>
      <c r="CXF8">
        <v>0</v>
      </c>
      <c r="CXG8">
        <v>0</v>
      </c>
      <c r="CXH8">
        <v>0</v>
      </c>
      <c r="CXI8">
        <v>0</v>
      </c>
      <c r="CXJ8">
        <v>0</v>
      </c>
      <c r="CXK8">
        <v>0</v>
      </c>
      <c r="CXL8">
        <v>0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0</v>
      </c>
      <c r="CXY8">
        <v>0</v>
      </c>
      <c r="CXZ8">
        <v>64</v>
      </c>
      <c r="CYA8">
        <v>44</v>
      </c>
      <c r="CYB8">
        <v>0</v>
      </c>
      <c r="CYC8">
        <v>0</v>
      </c>
      <c r="CYD8">
        <v>0</v>
      </c>
      <c r="CYE8">
        <v>0</v>
      </c>
      <c r="CYF8">
        <v>0</v>
      </c>
      <c r="CYG8">
        <v>0</v>
      </c>
      <c r="CYH8">
        <v>0</v>
      </c>
      <c r="CYI8">
        <v>0</v>
      </c>
      <c r="CYJ8">
        <v>0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17</v>
      </c>
      <c r="CYW8">
        <v>0</v>
      </c>
      <c r="CYX8">
        <v>0</v>
      </c>
      <c r="CYY8">
        <v>0</v>
      </c>
      <c r="CYZ8">
        <v>104</v>
      </c>
      <c r="CZA8">
        <v>0</v>
      </c>
      <c r="CZB8">
        <v>0</v>
      </c>
      <c r="CZC8">
        <v>0</v>
      </c>
      <c r="CZD8">
        <v>0</v>
      </c>
      <c r="CZE8">
        <v>0</v>
      </c>
      <c r="CZF8">
        <v>0</v>
      </c>
      <c r="CZG8">
        <v>0</v>
      </c>
      <c r="CZH8">
        <v>28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0</v>
      </c>
      <c r="CZU8">
        <v>106</v>
      </c>
      <c r="CZV8">
        <v>106</v>
      </c>
      <c r="CZW8">
        <v>0</v>
      </c>
      <c r="CZX8">
        <v>0</v>
      </c>
      <c r="CZY8">
        <v>0</v>
      </c>
      <c r="CZZ8">
        <v>0</v>
      </c>
      <c r="DAA8">
        <v>0</v>
      </c>
      <c r="DAB8">
        <v>0</v>
      </c>
      <c r="DAC8">
        <v>0</v>
      </c>
      <c r="DAD8">
        <v>0</v>
      </c>
      <c r="DAE8">
        <v>0</v>
      </c>
      <c r="DAF8">
        <v>0</v>
      </c>
      <c r="DAG8">
        <v>0</v>
      </c>
      <c r="DAH8">
        <v>51.01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0</v>
      </c>
      <c r="DAR8">
        <v>0</v>
      </c>
      <c r="DAS8">
        <v>0</v>
      </c>
      <c r="DAT8">
        <v>0</v>
      </c>
      <c r="DAU8">
        <v>0</v>
      </c>
      <c r="DAV8">
        <v>0</v>
      </c>
      <c r="DAW8">
        <v>0</v>
      </c>
      <c r="DAX8">
        <v>0</v>
      </c>
      <c r="DAY8">
        <v>0</v>
      </c>
      <c r="DAZ8">
        <v>0</v>
      </c>
      <c r="DBA8">
        <v>0</v>
      </c>
      <c r="DBB8">
        <v>0</v>
      </c>
      <c r="DBC8">
        <v>0</v>
      </c>
      <c r="DBD8">
        <v>0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0</v>
      </c>
      <c r="DBQ8">
        <v>0</v>
      </c>
      <c r="DBR8">
        <v>111</v>
      </c>
      <c r="DBS8">
        <v>0</v>
      </c>
      <c r="DBT8">
        <v>0</v>
      </c>
      <c r="DBU8">
        <v>0</v>
      </c>
      <c r="DBV8">
        <v>0</v>
      </c>
      <c r="DBW8">
        <v>0</v>
      </c>
      <c r="DBX8">
        <v>0</v>
      </c>
      <c r="DBY8">
        <v>0</v>
      </c>
      <c r="DBZ8">
        <v>0</v>
      </c>
      <c r="DCA8">
        <v>22</v>
      </c>
      <c r="DCB8">
        <v>112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18</v>
      </c>
      <c r="DCM8">
        <v>0</v>
      </c>
      <c r="DCN8">
        <v>0</v>
      </c>
      <c r="DCO8">
        <v>0</v>
      </c>
      <c r="DCP8">
        <v>0</v>
      </c>
      <c r="DCQ8">
        <v>0</v>
      </c>
      <c r="DCR8">
        <v>0</v>
      </c>
      <c r="DCS8">
        <v>0</v>
      </c>
      <c r="DCT8">
        <v>0</v>
      </c>
      <c r="DCU8">
        <v>0</v>
      </c>
      <c r="DCV8">
        <v>0</v>
      </c>
      <c r="DCW8">
        <v>0</v>
      </c>
      <c r="DCX8">
        <v>0</v>
      </c>
      <c r="DCY8">
        <v>0</v>
      </c>
      <c r="DCZ8">
        <v>0</v>
      </c>
      <c r="DDA8">
        <v>0</v>
      </c>
      <c r="DDB8">
        <v>0</v>
      </c>
      <c r="DDC8">
        <v>0</v>
      </c>
      <c r="DDD8">
        <v>115.99</v>
      </c>
      <c r="DDE8">
        <v>0</v>
      </c>
      <c r="DDF8">
        <v>23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0</v>
      </c>
      <c r="DDM8">
        <v>0</v>
      </c>
      <c r="DDN8">
        <v>0</v>
      </c>
      <c r="DDO8">
        <v>0</v>
      </c>
      <c r="DDP8">
        <v>0</v>
      </c>
      <c r="DDQ8">
        <v>0</v>
      </c>
      <c r="DDR8">
        <v>0</v>
      </c>
      <c r="DDS8">
        <v>0</v>
      </c>
      <c r="DDT8">
        <v>0</v>
      </c>
      <c r="DDU8">
        <v>0</v>
      </c>
      <c r="DDV8">
        <v>0</v>
      </c>
      <c r="DDW8">
        <v>0</v>
      </c>
      <c r="DDX8">
        <v>0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0</v>
      </c>
      <c r="DEJ8">
        <v>0</v>
      </c>
      <c r="DEK8">
        <v>0</v>
      </c>
      <c r="DEL8">
        <v>0</v>
      </c>
      <c r="DEM8">
        <v>0</v>
      </c>
      <c r="DEN8">
        <v>0</v>
      </c>
      <c r="DEO8">
        <v>0</v>
      </c>
      <c r="DEP8">
        <v>0</v>
      </c>
      <c r="DEQ8">
        <v>0</v>
      </c>
      <c r="DER8">
        <v>0</v>
      </c>
      <c r="DES8">
        <v>0</v>
      </c>
      <c r="DET8">
        <v>0</v>
      </c>
      <c r="DEU8">
        <v>0</v>
      </c>
      <c r="DEV8">
        <v>0</v>
      </c>
      <c r="DEW8">
        <v>13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0</v>
      </c>
      <c r="DFH8">
        <v>0</v>
      </c>
      <c r="DFI8">
        <v>0</v>
      </c>
      <c r="DFJ8">
        <v>0</v>
      </c>
      <c r="DFK8">
        <v>0</v>
      </c>
      <c r="DFL8">
        <v>0</v>
      </c>
      <c r="DFM8">
        <v>0</v>
      </c>
      <c r="DFN8">
        <v>0</v>
      </c>
      <c r="DFO8">
        <v>0</v>
      </c>
      <c r="DFP8">
        <v>0</v>
      </c>
      <c r="DFQ8">
        <v>0</v>
      </c>
      <c r="DFR8">
        <v>0</v>
      </c>
      <c r="DFS8">
        <v>0</v>
      </c>
      <c r="DFT8">
        <v>0</v>
      </c>
      <c r="DFU8">
        <v>123.99</v>
      </c>
      <c r="DFV8">
        <v>0</v>
      </c>
      <c r="DFW8">
        <v>0</v>
      </c>
      <c r="DFX8">
        <v>0</v>
      </c>
      <c r="DFY8">
        <v>0</v>
      </c>
      <c r="DFZ8">
        <v>67</v>
      </c>
      <c r="DGA8">
        <v>0</v>
      </c>
      <c r="DGB8">
        <v>0</v>
      </c>
      <c r="DGC8">
        <v>0</v>
      </c>
      <c r="DGD8">
        <v>0</v>
      </c>
      <c r="DGE8">
        <v>0</v>
      </c>
      <c r="DGF8">
        <v>0</v>
      </c>
      <c r="DGG8">
        <v>0</v>
      </c>
      <c r="DGH8">
        <v>0</v>
      </c>
      <c r="DGI8">
        <v>0</v>
      </c>
      <c r="DGJ8">
        <v>0</v>
      </c>
      <c r="DGK8">
        <v>0</v>
      </c>
      <c r="DGL8">
        <v>0</v>
      </c>
      <c r="DGM8">
        <v>0</v>
      </c>
      <c r="DGN8">
        <v>0</v>
      </c>
      <c r="DGO8">
        <v>0</v>
      </c>
      <c r="DGP8">
        <v>0</v>
      </c>
      <c r="DGQ8">
        <v>0</v>
      </c>
      <c r="DGR8">
        <v>0</v>
      </c>
      <c r="DGS8">
        <v>0</v>
      </c>
      <c r="DGT8">
        <v>0</v>
      </c>
      <c r="DGU8">
        <v>10</v>
      </c>
      <c r="DGV8">
        <v>0</v>
      </c>
      <c r="DGW8">
        <v>127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0</v>
      </c>
      <c r="DHE8">
        <v>0</v>
      </c>
      <c r="DHF8">
        <v>0</v>
      </c>
      <c r="DHG8">
        <v>0</v>
      </c>
      <c r="DHH8">
        <v>0</v>
      </c>
      <c r="DHI8">
        <v>0</v>
      </c>
      <c r="DHJ8">
        <v>0</v>
      </c>
      <c r="DHK8">
        <v>0</v>
      </c>
      <c r="DHL8">
        <v>0</v>
      </c>
      <c r="DHM8">
        <v>0</v>
      </c>
      <c r="DHN8">
        <v>0</v>
      </c>
      <c r="DHO8">
        <v>0</v>
      </c>
      <c r="DHP8">
        <v>0</v>
      </c>
      <c r="DHQ8">
        <v>0</v>
      </c>
      <c r="DHR8">
        <v>0</v>
      </c>
      <c r="DHS8">
        <v>0</v>
      </c>
      <c r="DHT8">
        <v>23</v>
      </c>
      <c r="DHU8">
        <v>129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0</v>
      </c>
      <c r="DIB8">
        <v>0</v>
      </c>
      <c r="DIC8">
        <v>0</v>
      </c>
      <c r="DID8">
        <v>0</v>
      </c>
      <c r="DIE8">
        <v>0</v>
      </c>
      <c r="DIF8">
        <v>0</v>
      </c>
      <c r="DIG8">
        <v>0</v>
      </c>
      <c r="DIH8">
        <v>0</v>
      </c>
      <c r="DII8">
        <v>0</v>
      </c>
      <c r="DIJ8">
        <v>0</v>
      </c>
      <c r="DIK8">
        <v>0</v>
      </c>
      <c r="DIL8">
        <v>0</v>
      </c>
      <c r="DIM8">
        <v>0</v>
      </c>
      <c r="DIN8">
        <v>0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0</v>
      </c>
      <c r="DIZ8">
        <v>0</v>
      </c>
      <c r="DJA8">
        <v>0</v>
      </c>
      <c r="DJB8">
        <v>0</v>
      </c>
      <c r="DJC8">
        <v>0</v>
      </c>
      <c r="DJD8">
        <v>0</v>
      </c>
      <c r="DJE8">
        <v>0</v>
      </c>
      <c r="DJF8">
        <v>0</v>
      </c>
      <c r="DJG8">
        <v>82</v>
      </c>
      <c r="DJH8">
        <v>0</v>
      </c>
      <c r="DJI8">
        <v>0</v>
      </c>
      <c r="DJJ8">
        <v>0</v>
      </c>
      <c r="DJK8">
        <v>0</v>
      </c>
      <c r="DJL8">
        <v>0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30</v>
      </c>
      <c r="DJV8">
        <v>0</v>
      </c>
      <c r="DJW8">
        <v>0</v>
      </c>
      <c r="DJX8">
        <v>136</v>
      </c>
      <c r="DJY8">
        <v>20</v>
      </c>
      <c r="DJZ8">
        <v>0</v>
      </c>
      <c r="DKA8">
        <v>0</v>
      </c>
      <c r="DKB8">
        <v>0</v>
      </c>
      <c r="DKC8">
        <v>0</v>
      </c>
      <c r="DKD8">
        <v>0</v>
      </c>
      <c r="DKE8">
        <v>0</v>
      </c>
      <c r="DKF8">
        <v>0</v>
      </c>
      <c r="DKG8">
        <v>0</v>
      </c>
      <c r="DKH8">
        <v>0</v>
      </c>
      <c r="DKI8">
        <v>0</v>
      </c>
      <c r="DKJ8">
        <v>0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0</v>
      </c>
      <c r="DKV8">
        <v>0</v>
      </c>
      <c r="DKW8">
        <v>0</v>
      </c>
      <c r="DKX8">
        <v>0</v>
      </c>
      <c r="DKY8">
        <v>0</v>
      </c>
      <c r="DKZ8">
        <v>0</v>
      </c>
      <c r="DLA8">
        <v>0</v>
      </c>
      <c r="DLB8">
        <v>0</v>
      </c>
      <c r="DLC8">
        <v>0</v>
      </c>
      <c r="DLD8">
        <v>0</v>
      </c>
      <c r="DLE8">
        <v>0</v>
      </c>
      <c r="DLF8">
        <v>0</v>
      </c>
      <c r="DLG8">
        <v>0</v>
      </c>
      <c r="DLH8">
        <v>0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115</v>
      </c>
      <c r="DLQ8">
        <v>0</v>
      </c>
      <c r="DLR8">
        <v>0</v>
      </c>
      <c r="DLS8">
        <v>0</v>
      </c>
      <c r="DLT8">
        <v>0</v>
      </c>
      <c r="DLU8">
        <v>0</v>
      </c>
      <c r="DLV8">
        <v>0</v>
      </c>
      <c r="DLW8">
        <v>0</v>
      </c>
      <c r="DLX8">
        <v>0</v>
      </c>
      <c r="DLY8">
        <v>0</v>
      </c>
      <c r="DLZ8">
        <v>0</v>
      </c>
      <c r="DMA8">
        <v>0</v>
      </c>
      <c r="DMB8">
        <v>0</v>
      </c>
      <c r="DMC8">
        <v>0</v>
      </c>
      <c r="DMD8">
        <v>0</v>
      </c>
      <c r="DME8">
        <v>0</v>
      </c>
      <c r="DMF8">
        <v>0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</v>
      </c>
      <c r="DMS8">
        <v>0</v>
      </c>
      <c r="DMT8">
        <v>0</v>
      </c>
      <c r="DMU8">
        <v>0</v>
      </c>
      <c r="DMV8">
        <v>68</v>
      </c>
      <c r="DMW8">
        <v>0</v>
      </c>
      <c r="DMX8">
        <v>0</v>
      </c>
      <c r="DMY8">
        <v>18</v>
      </c>
      <c r="DMZ8">
        <v>0</v>
      </c>
      <c r="DNA8">
        <v>0</v>
      </c>
      <c r="DNB8">
        <v>149</v>
      </c>
      <c r="DNC8">
        <v>0</v>
      </c>
      <c r="DND8">
        <v>0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0</v>
      </c>
      <c r="DNP8">
        <v>0</v>
      </c>
      <c r="DNQ8">
        <v>85</v>
      </c>
      <c r="DNR8">
        <v>0</v>
      </c>
      <c r="DNS8">
        <v>0</v>
      </c>
      <c r="DNT8">
        <v>0</v>
      </c>
      <c r="DNU8">
        <v>0</v>
      </c>
      <c r="DNV8">
        <v>0</v>
      </c>
      <c r="DNW8">
        <v>0</v>
      </c>
      <c r="DNX8">
        <v>0</v>
      </c>
      <c r="DNY8">
        <v>0</v>
      </c>
      <c r="DNZ8">
        <v>0</v>
      </c>
      <c r="DOA8">
        <v>0</v>
      </c>
      <c r="DOB8">
        <v>0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0</v>
      </c>
      <c r="DON8">
        <v>0</v>
      </c>
      <c r="DOO8">
        <v>0</v>
      </c>
      <c r="DOP8">
        <v>0</v>
      </c>
      <c r="DOQ8">
        <v>0</v>
      </c>
      <c r="DOR8">
        <v>0</v>
      </c>
      <c r="DOS8">
        <v>0</v>
      </c>
      <c r="DOT8">
        <v>0</v>
      </c>
      <c r="DOU8">
        <v>0</v>
      </c>
      <c r="DOV8">
        <v>155</v>
      </c>
      <c r="DOW8">
        <v>0</v>
      </c>
      <c r="DOX8">
        <v>155.99</v>
      </c>
      <c r="DOY8">
        <v>0</v>
      </c>
      <c r="DOZ8">
        <v>0</v>
      </c>
      <c r="DPA8">
        <v>0</v>
      </c>
      <c r="DPB8">
        <v>0</v>
      </c>
      <c r="DPC8">
        <v>0</v>
      </c>
      <c r="DPD8">
        <v>0</v>
      </c>
      <c r="DPE8">
        <v>15</v>
      </c>
      <c r="DPF8">
        <v>0</v>
      </c>
      <c r="DPG8">
        <v>158</v>
      </c>
      <c r="DPH8">
        <v>0</v>
      </c>
      <c r="DPI8">
        <v>0</v>
      </c>
      <c r="DPJ8">
        <v>0</v>
      </c>
      <c r="DPK8">
        <v>0</v>
      </c>
      <c r="DPL8">
        <v>0</v>
      </c>
      <c r="DPM8">
        <v>0</v>
      </c>
      <c r="DPN8">
        <v>0</v>
      </c>
      <c r="DPO8">
        <v>0</v>
      </c>
      <c r="DPP8">
        <v>0</v>
      </c>
      <c r="DPQ8">
        <v>0</v>
      </c>
      <c r="DPR8">
        <v>0</v>
      </c>
      <c r="DPS8">
        <v>0</v>
      </c>
      <c r="DPT8">
        <v>0</v>
      </c>
      <c r="DPU8">
        <v>0</v>
      </c>
      <c r="DPV8">
        <v>0</v>
      </c>
      <c r="DPW8">
        <v>160</v>
      </c>
      <c r="DPX8">
        <v>0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19</v>
      </c>
      <c r="DQG8">
        <v>0</v>
      </c>
      <c r="DQH8">
        <v>36</v>
      </c>
      <c r="DQI8">
        <v>0</v>
      </c>
      <c r="DQJ8">
        <v>0</v>
      </c>
      <c r="DQK8">
        <v>0</v>
      </c>
      <c r="DQL8">
        <v>0</v>
      </c>
      <c r="DQM8">
        <v>0</v>
      </c>
      <c r="DQN8">
        <v>138</v>
      </c>
      <c r="DQO8">
        <v>0</v>
      </c>
      <c r="DQP8">
        <v>0</v>
      </c>
      <c r="DQQ8">
        <v>0</v>
      </c>
      <c r="DQR8">
        <v>0</v>
      </c>
      <c r="DQS8">
        <v>0</v>
      </c>
      <c r="DQT8">
        <v>0</v>
      </c>
      <c r="DQU8">
        <v>0</v>
      </c>
      <c r="DQV8">
        <v>0</v>
      </c>
      <c r="DQW8">
        <v>22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167</v>
      </c>
      <c r="DRF8">
        <v>0</v>
      </c>
      <c r="DRG8">
        <v>0</v>
      </c>
      <c r="DRH8">
        <v>50</v>
      </c>
      <c r="DRI8">
        <v>0</v>
      </c>
      <c r="DRJ8">
        <v>0</v>
      </c>
      <c r="DRK8">
        <v>0</v>
      </c>
      <c r="DRL8">
        <v>0</v>
      </c>
      <c r="DRM8">
        <v>150</v>
      </c>
      <c r="DRN8">
        <v>0</v>
      </c>
      <c r="DRO8">
        <v>0</v>
      </c>
      <c r="DRP8">
        <v>0</v>
      </c>
      <c r="DRQ8">
        <v>0</v>
      </c>
      <c r="DRR8">
        <v>0</v>
      </c>
      <c r="DRS8">
        <v>0</v>
      </c>
      <c r="DRT8">
        <v>0</v>
      </c>
      <c r="DRU8">
        <v>0</v>
      </c>
      <c r="DRV8">
        <v>0</v>
      </c>
      <c r="DRW8">
        <v>16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0</v>
      </c>
      <c r="DSF8">
        <v>0</v>
      </c>
      <c r="DSG8">
        <v>0</v>
      </c>
      <c r="DSH8">
        <v>0</v>
      </c>
      <c r="DSI8">
        <v>0</v>
      </c>
      <c r="DSJ8">
        <v>0</v>
      </c>
      <c r="DSK8">
        <v>0</v>
      </c>
      <c r="DSL8">
        <v>0</v>
      </c>
      <c r="DSM8">
        <v>173.99</v>
      </c>
      <c r="DSN8">
        <v>0</v>
      </c>
      <c r="DSO8">
        <v>0</v>
      </c>
      <c r="DSP8">
        <v>0</v>
      </c>
      <c r="DSQ8">
        <v>0</v>
      </c>
      <c r="DSR8">
        <v>0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6</v>
      </c>
      <c r="DTC8">
        <v>0</v>
      </c>
      <c r="DTD8">
        <v>0</v>
      </c>
      <c r="DTE8">
        <v>0</v>
      </c>
      <c r="DTF8">
        <v>36.01</v>
      </c>
      <c r="DTG8">
        <v>0</v>
      </c>
      <c r="DTH8">
        <v>0</v>
      </c>
      <c r="DTI8">
        <v>0</v>
      </c>
      <c r="DTJ8">
        <v>0</v>
      </c>
      <c r="DTK8">
        <v>0</v>
      </c>
      <c r="DTL8">
        <v>0</v>
      </c>
      <c r="DTM8">
        <v>0</v>
      </c>
      <c r="DTN8">
        <v>0</v>
      </c>
      <c r="DTO8">
        <v>65</v>
      </c>
      <c r="DTP8">
        <v>30</v>
      </c>
      <c r="DTQ8">
        <v>0</v>
      </c>
      <c r="DTR8">
        <v>0</v>
      </c>
      <c r="DTS8">
        <v>0</v>
      </c>
      <c r="DTT8">
        <v>33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0</v>
      </c>
      <c r="DUB8">
        <v>0</v>
      </c>
      <c r="DUC8">
        <v>0</v>
      </c>
      <c r="DUD8">
        <v>0</v>
      </c>
      <c r="DUE8">
        <v>0</v>
      </c>
      <c r="DUF8">
        <v>0</v>
      </c>
      <c r="DUG8">
        <v>0</v>
      </c>
      <c r="DUH8">
        <v>0</v>
      </c>
      <c r="DUI8">
        <v>0</v>
      </c>
      <c r="DUJ8">
        <v>183</v>
      </c>
      <c r="DUK8">
        <v>0</v>
      </c>
      <c r="DUL8">
        <v>0</v>
      </c>
      <c r="DUM8">
        <v>0</v>
      </c>
      <c r="DUN8">
        <v>0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13</v>
      </c>
      <c r="DUX8">
        <v>0</v>
      </c>
      <c r="DUY8">
        <v>0</v>
      </c>
      <c r="DUZ8">
        <v>37</v>
      </c>
      <c r="DVA8">
        <v>0</v>
      </c>
      <c r="DVB8">
        <v>0</v>
      </c>
      <c r="DVC8">
        <v>0</v>
      </c>
      <c r="DVD8">
        <v>0</v>
      </c>
      <c r="DVE8">
        <v>0</v>
      </c>
      <c r="DVF8">
        <v>0</v>
      </c>
      <c r="DVG8">
        <v>0</v>
      </c>
      <c r="DVH8">
        <v>0</v>
      </c>
      <c r="DVI8">
        <v>0</v>
      </c>
      <c r="DVJ8">
        <v>0</v>
      </c>
      <c r="DVK8">
        <v>0</v>
      </c>
      <c r="DVL8">
        <v>0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0</v>
      </c>
      <c r="DVX8">
        <v>0</v>
      </c>
      <c r="DVY8">
        <v>0</v>
      </c>
      <c r="DVZ8">
        <v>0</v>
      </c>
      <c r="DWA8">
        <v>0</v>
      </c>
      <c r="DWB8">
        <v>0</v>
      </c>
      <c r="DWC8">
        <v>0</v>
      </c>
      <c r="DWD8">
        <v>0</v>
      </c>
      <c r="DWE8">
        <v>0</v>
      </c>
      <c r="DWF8">
        <v>0</v>
      </c>
      <c r="DWG8">
        <v>0</v>
      </c>
      <c r="DWH8">
        <v>0</v>
      </c>
      <c r="DWI8">
        <v>0</v>
      </c>
      <c r="DWJ8">
        <v>0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52</v>
      </c>
      <c r="DWU8">
        <v>32</v>
      </c>
      <c r="DWV8">
        <v>200</v>
      </c>
      <c r="DWW8">
        <v>0</v>
      </c>
      <c r="DWX8">
        <v>0</v>
      </c>
      <c r="DWY8">
        <v>0</v>
      </c>
      <c r="DWZ8">
        <v>0</v>
      </c>
      <c r="DXA8">
        <v>0</v>
      </c>
      <c r="DXB8">
        <v>0</v>
      </c>
      <c r="DXC8">
        <v>0</v>
      </c>
      <c r="DXD8">
        <v>0</v>
      </c>
      <c r="DXE8">
        <v>0</v>
      </c>
      <c r="DXF8">
        <v>0</v>
      </c>
      <c r="DXG8">
        <v>89</v>
      </c>
      <c r="DXH8">
        <v>0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52</v>
      </c>
      <c r="DXR8">
        <v>73</v>
      </c>
      <c r="DXS8">
        <v>0</v>
      </c>
      <c r="DXT8">
        <v>206</v>
      </c>
      <c r="DXU8">
        <v>0</v>
      </c>
      <c r="DXV8">
        <v>0</v>
      </c>
      <c r="DXW8">
        <v>0</v>
      </c>
      <c r="DXX8">
        <v>60</v>
      </c>
      <c r="DXY8">
        <v>0</v>
      </c>
      <c r="DXZ8">
        <v>0</v>
      </c>
      <c r="DYA8">
        <v>0</v>
      </c>
      <c r="DYB8">
        <v>0</v>
      </c>
      <c r="DYC8">
        <v>0</v>
      </c>
      <c r="DYD8">
        <v>0</v>
      </c>
      <c r="DYE8">
        <v>0</v>
      </c>
      <c r="DYF8">
        <v>0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8</v>
      </c>
      <c r="DYP8">
        <v>0</v>
      </c>
      <c r="DYQ8">
        <v>0</v>
      </c>
      <c r="DYR8">
        <v>0</v>
      </c>
      <c r="DYS8">
        <v>0</v>
      </c>
      <c r="DYT8">
        <v>0</v>
      </c>
      <c r="DYU8">
        <v>0</v>
      </c>
      <c r="DYV8">
        <v>0</v>
      </c>
      <c r="DYW8">
        <v>0</v>
      </c>
      <c r="DYX8">
        <v>0</v>
      </c>
      <c r="DYY8">
        <v>0</v>
      </c>
      <c r="DYZ8">
        <v>0</v>
      </c>
      <c r="DZA8">
        <v>0</v>
      </c>
      <c r="DZB8">
        <v>0</v>
      </c>
      <c r="DZC8">
        <v>0</v>
      </c>
      <c r="DZD8">
        <v>0</v>
      </c>
      <c r="DZE8">
        <v>0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0</v>
      </c>
      <c r="DZP8">
        <v>0</v>
      </c>
      <c r="DZQ8">
        <v>0</v>
      </c>
      <c r="DZR8">
        <v>0</v>
      </c>
      <c r="DZS8">
        <v>0</v>
      </c>
      <c r="DZT8">
        <v>0</v>
      </c>
      <c r="DZU8">
        <v>0</v>
      </c>
      <c r="DZV8">
        <v>0</v>
      </c>
      <c r="DZW8">
        <v>0</v>
      </c>
      <c r="DZX8">
        <v>0</v>
      </c>
      <c r="DZY8">
        <v>220.99</v>
      </c>
      <c r="DZZ8">
        <v>0</v>
      </c>
      <c r="EAA8">
        <v>0</v>
      </c>
      <c r="EAB8">
        <v>0</v>
      </c>
      <c r="EAC8">
        <v>0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30.99</v>
      </c>
      <c r="EAJ8">
        <v>0</v>
      </c>
      <c r="EAK8">
        <v>0</v>
      </c>
      <c r="EAL8">
        <v>0</v>
      </c>
      <c r="EAM8">
        <v>0</v>
      </c>
      <c r="EAN8">
        <v>0</v>
      </c>
      <c r="EAO8">
        <v>0</v>
      </c>
      <c r="EAP8">
        <v>0</v>
      </c>
      <c r="EAQ8">
        <v>12</v>
      </c>
      <c r="EAR8">
        <v>0</v>
      </c>
      <c r="EAS8">
        <v>0</v>
      </c>
      <c r="EAT8">
        <v>0</v>
      </c>
      <c r="EAU8">
        <v>0</v>
      </c>
      <c r="EAV8">
        <v>0</v>
      </c>
      <c r="EAW8">
        <v>0</v>
      </c>
      <c r="EAX8">
        <v>0</v>
      </c>
      <c r="EAY8">
        <v>0</v>
      </c>
      <c r="EAZ8">
        <v>0</v>
      </c>
      <c r="EBA8">
        <v>204</v>
      </c>
      <c r="EBB8">
        <v>0</v>
      </c>
      <c r="EBC8">
        <v>0</v>
      </c>
      <c r="EBD8">
        <v>0</v>
      </c>
      <c r="EBE8">
        <v>13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0</v>
      </c>
      <c r="EBM8">
        <v>0</v>
      </c>
      <c r="EBN8">
        <v>0</v>
      </c>
      <c r="EBO8">
        <v>0</v>
      </c>
      <c r="EBP8">
        <v>0</v>
      </c>
      <c r="EBQ8">
        <v>0</v>
      </c>
      <c r="EBR8">
        <v>0</v>
      </c>
      <c r="EBS8">
        <v>0</v>
      </c>
      <c r="EBT8">
        <v>26</v>
      </c>
      <c r="EBU8">
        <v>0</v>
      </c>
      <c r="EBV8">
        <v>235</v>
      </c>
      <c r="EBW8">
        <v>0</v>
      </c>
      <c r="EBX8">
        <v>0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0</v>
      </c>
      <c r="ECJ8">
        <v>0</v>
      </c>
      <c r="ECK8">
        <v>0</v>
      </c>
      <c r="ECL8">
        <v>0</v>
      </c>
      <c r="ECM8">
        <v>0</v>
      </c>
      <c r="ECN8">
        <v>0</v>
      </c>
      <c r="ECO8">
        <v>0</v>
      </c>
      <c r="ECP8">
        <v>0</v>
      </c>
      <c r="ECQ8">
        <v>0</v>
      </c>
      <c r="ECR8">
        <v>0</v>
      </c>
      <c r="ECS8">
        <v>0</v>
      </c>
      <c r="ECT8">
        <v>0</v>
      </c>
      <c r="ECU8">
        <v>0</v>
      </c>
      <c r="ECV8">
        <v>0</v>
      </c>
      <c r="ECW8">
        <v>0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0</v>
      </c>
      <c r="EDH8">
        <v>0</v>
      </c>
      <c r="EDI8">
        <v>0</v>
      </c>
      <c r="EDJ8">
        <v>0</v>
      </c>
      <c r="EDK8">
        <v>0</v>
      </c>
      <c r="EDL8">
        <v>0</v>
      </c>
      <c r="EDM8">
        <v>0</v>
      </c>
      <c r="EDN8">
        <v>0</v>
      </c>
      <c r="EDO8">
        <v>0</v>
      </c>
      <c r="EDP8">
        <v>0</v>
      </c>
      <c r="EDQ8">
        <v>0</v>
      </c>
      <c r="EDR8">
        <v>0</v>
      </c>
      <c r="EDS8">
        <v>0</v>
      </c>
      <c r="EDT8">
        <v>0</v>
      </c>
      <c r="EDU8">
        <v>0</v>
      </c>
      <c r="EDV8">
        <v>0</v>
      </c>
      <c r="EDW8">
        <v>55.02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0</v>
      </c>
      <c r="EEF8">
        <v>0</v>
      </c>
      <c r="EEG8">
        <v>0</v>
      </c>
      <c r="EEH8">
        <v>0</v>
      </c>
      <c r="EEI8">
        <v>0</v>
      </c>
      <c r="EEJ8">
        <v>0</v>
      </c>
      <c r="EEK8">
        <v>0</v>
      </c>
      <c r="EEL8">
        <v>0</v>
      </c>
      <c r="EEM8">
        <v>0</v>
      </c>
      <c r="EEN8">
        <v>0</v>
      </c>
      <c r="EEO8">
        <v>0</v>
      </c>
      <c r="EEP8">
        <v>0</v>
      </c>
      <c r="EEQ8">
        <v>0</v>
      </c>
      <c r="EER8">
        <v>0</v>
      </c>
      <c r="EES8">
        <v>0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0</v>
      </c>
      <c r="EFD8">
        <v>0</v>
      </c>
      <c r="EFE8">
        <v>0</v>
      </c>
      <c r="EFF8">
        <v>0</v>
      </c>
      <c r="EFG8">
        <v>0</v>
      </c>
      <c r="EFH8">
        <v>0</v>
      </c>
      <c r="EFI8">
        <v>0</v>
      </c>
      <c r="EFJ8">
        <v>0</v>
      </c>
      <c r="EFK8">
        <v>0</v>
      </c>
      <c r="EFL8">
        <v>0</v>
      </c>
      <c r="EFM8">
        <v>0</v>
      </c>
      <c r="EFN8">
        <v>0</v>
      </c>
      <c r="EFO8">
        <v>0</v>
      </c>
      <c r="EFP8">
        <v>74.010000000000005</v>
      </c>
      <c r="EFQ8">
        <v>0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0</v>
      </c>
      <c r="EGB8">
        <v>0</v>
      </c>
      <c r="EGC8">
        <v>0</v>
      </c>
      <c r="EGD8">
        <v>54</v>
      </c>
      <c r="EGE8">
        <v>0</v>
      </c>
      <c r="EGF8">
        <v>0</v>
      </c>
      <c r="EGG8">
        <v>0</v>
      </c>
      <c r="EGH8">
        <v>0</v>
      </c>
      <c r="EGI8">
        <v>0</v>
      </c>
      <c r="EGJ8">
        <v>0</v>
      </c>
      <c r="EGK8">
        <v>0</v>
      </c>
      <c r="EGL8">
        <v>0</v>
      </c>
      <c r="EGM8">
        <v>0</v>
      </c>
      <c r="EGN8">
        <v>0</v>
      </c>
      <c r="EGO8">
        <v>0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84.99</v>
      </c>
      <c r="EGX8">
        <v>0</v>
      </c>
      <c r="EGY8">
        <v>0</v>
      </c>
      <c r="EGZ8">
        <v>0</v>
      </c>
      <c r="EHA8">
        <v>0</v>
      </c>
      <c r="EHB8">
        <v>0</v>
      </c>
      <c r="EHC8">
        <v>0</v>
      </c>
      <c r="EHD8">
        <v>0</v>
      </c>
      <c r="EHE8">
        <v>0</v>
      </c>
      <c r="EHF8">
        <v>0</v>
      </c>
      <c r="EHG8">
        <v>0</v>
      </c>
      <c r="EHH8">
        <v>0</v>
      </c>
      <c r="EHI8">
        <v>0</v>
      </c>
      <c r="EHJ8">
        <v>36</v>
      </c>
      <c r="EHK8">
        <v>0</v>
      </c>
      <c r="EHL8">
        <v>5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0</v>
      </c>
      <c r="EHX8">
        <v>0</v>
      </c>
      <c r="EHY8">
        <v>0</v>
      </c>
      <c r="EHZ8">
        <v>0</v>
      </c>
      <c r="EIA8">
        <v>0</v>
      </c>
      <c r="EIB8">
        <v>0</v>
      </c>
      <c r="EIC8">
        <v>0</v>
      </c>
      <c r="EID8">
        <v>0</v>
      </c>
      <c r="EIE8">
        <v>0</v>
      </c>
      <c r="EIF8">
        <v>0</v>
      </c>
      <c r="EIG8">
        <v>0</v>
      </c>
      <c r="EIH8">
        <v>0</v>
      </c>
      <c r="EII8">
        <v>10.01</v>
      </c>
      <c r="EIJ8">
        <v>0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0</v>
      </c>
      <c r="EIV8">
        <v>0</v>
      </c>
      <c r="EIW8">
        <v>0</v>
      </c>
      <c r="EIX8">
        <v>0</v>
      </c>
      <c r="EIY8">
        <v>0</v>
      </c>
      <c r="EIZ8">
        <v>0</v>
      </c>
      <c r="EJA8">
        <v>0</v>
      </c>
      <c r="EJB8">
        <v>0</v>
      </c>
      <c r="EJC8">
        <v>0</v>
      </c>
      <c r="EJD8">
        <v>0</v>
      </c>
      <c r="EJE8">
        <v>119</v>
      </c>
      <c r="EJF8">
        <v>0</v>
      </c>
      <c r="EJG8">
        <v>0</v>
      </c>
      <c r="EJH8">
        <v>0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0</v>
      </c>
      <c r="EJT8">
        <v>0</v>
      </c>
      <c r="EJU8">
        <v>0</v>
      </c>
      <c r="EJV8">
        <v>0</v>
      </c>
      <c r="EJW8">
        <v>0</v>
      </c>
      <c r="EJX8">
        <v>0</v>
      </c>
      <c r="EJY8">
        <v>0</v>
      </c>
      <c r="EJZ8">
        <v>0</v>
      </c>
      <c r="EKA8">
        <v>0</v>
      </c>
      <c r="EKB8">
        <v>0</v>
      </c>
      <c r="EKC8">
        <v>0</v>
      </c>
      <c r="EKD8">
        <v>0</v>
      </c>
      <c r="EKE8">
        <v>0</v>
      </c>
      <c r="EKF8">
        <v>0</v>
      </c>
      <c r="EKG8">
        <v>37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36</v>
      </c>
      <c r="EKR8">
        <v>36</v>
      </c>
      <c r="EKS8">
        <v>0</v>
      </c>
      <c r="EKT8">
        <v>0</v>
      </c>
      <c r="EKU8">
        <v>0</v>
      </c>
      <c r="EKV8">
        <v>0</v>
      </c>
      <c r="EKW8">
        <v>0</v>
      </c>
      <c r="EKX8">
        <v>0</v>
      </c>
      <c r="EKY8">
        <v>0</v>
      </c>
      <c r="EKZ8">
        <v>44</v>
      </c>
      <c r="ELA8">
        <v>0</v>
      </c>
      <c r="ELB8">
        <v>0</v>
      </c>
      <c r="ELC8">
        <v>0</v>
      </c>
      <c r="ELD8">
        <v>0</v>
      </c>
      <c r="ELE8">
        <v>0</v>
      </c>
      <c r="ELF8">
        <v>0</v>
      </c>
      <c r="ELG8">
        <v>327</v>
      </c>
      <c r="ELH8">
        <v>0</v>
      </c>
      <c r="ELI8">
        <v>0</v>
      </c>
      <c r="ELJ8">
        <v>0</v>
      </c>
      <c r="ELK8">
        <v>0</v>
      </c>
      <c r="ELL8">
        <v>10</v>
      </c>
      <c r="ELM8">
        <v>0</v>
      </c>
      <c r="ELN8">
        <v>0</v>
      </c>
      <c r="ELO8">
        <v>0</v>
      </c>
      <c r="ELP8">
        <v>0</v>
      </c>
      <c r="ELQ8">
        <v>0</v>
      </c>
      <c r="ELR8">
        <v>0</v>
      </c>
      <c r="ELS8">
        <v>0</v>
      </c>
      <c r="ELT8">
        <v>0</v>
      </c>
      <c r="ELU8">
        <v>0</v>
      </c>
      <c r="ELV8">
        <v>0</v>
      </c>
      <c r="ELW8">
        <v>0</v>
      </c>
      <c r="ELX8">
        <v>0</v>
      </c>
      <c r="ELY8">
        <v>0</v>
      </c>
      <c r="ELZ8">
        <v>0</v>
      </c>
      <c r="EMA8">
        <v>0</v>
      </c>
      <c r="EMB8">
        <v>0</v>
      </c>
      <c r="EMC8">
        <v>0</v>
      </c>
      <c r="EMD8">
        <v>0</v>
      </c>
      <c r="EME8">
        <v>0</v>
      </c>
      <c r="EMF8">
        <v>0</v>
      </c>
      <c r="EMG8">
        <v>76</v>
      </c>
      <c r="EMH8">
        <v>84</v>
      </c>
      <c r="EMI8">
        <v>0</v>
      </c>
      <c r="EMJ8">
        <v>0</v>
      </c>
      <c r="EMK8">
        <v>0</v>
      </c>
      <c r="EML8">
        <v>0</v>
      </c>
      <c r="EMM8">
        <v>11</v>
      </c>
      <c r="EMN8">
        <v>0</v>
      </c>
      <c r="EMO8">
        <v>0</v>
      </c>
      <c r="EMP8">
        <v>0</v>
      </c>
      <c r="EMQ8">
        <v>0</v>
      </c>
      <c r="EMR8">
        <v>0</v>
      </c>
      <c r="EMS8">
        <v>102</v>
      </c>
      <c r="EMT8">
        <v>0</v>
      </c>
      <c r="EMU8">
        <v>0</v>
      </c>
      <c r="EMV8">
        <v>0</v>
      </c>
      <c r="EMW8">
        <v>0</v>
      </c>
      <c r="EMX8">
        <v>0</v>
      </c>
      <c r="EMY8">
        <v>0</v>
      </c>
      <c r="EMZ8">
        <v>349.99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0</v>
      </c>
      <c r="ENL8">
        <v>0</v>
      </c>
      <c r="ENM8">
        <v>0</v>
      </c>
      <c r="ENN8">
        <v>0</v>
      </c>
      <c r="ENO8">
        <v>0</v>
      </c>
      <c r="ENP8">
        <v>0</v>
      </c>
      <c r="ENQ8">
        <v>0</v>
      </c>
      <c r="ENR8">
        <v>0</v>
      </c>
      <c r="ENS8">
        <v>0</v>
      </c>
      <c r="ENT8">
        <v>0</v>
      </c>
      <c r="ENU8">
        <v>0</v>
      </c>
      <c r="ENV8">
        <v>0</v>
      </c>
      <c r="ENW8">
        <v>0</v>
      </c>
      <c r="ENX8">
        <v>0</v>
      </c>
      <c r="ENY8">
        <v>30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148</v>
      </c>
      <c r="EOF8">
        <v>0</v>
      </c>
      <c r="EOG8">
        <v>0</v>
      </c>
      <c r="EOH8">
        <v>0</v>
      </c>
      <c r="EOI8">
        <v>0</v>
      </c>
      <c r="EOJ8">
        <v>0</v>
      </c>
      <c r="EOK8">
        <v>0</v>
      </c>
      <c r="EOL8">
        <v>0</v>
      </c>
      <c r="EOM8">
        <v>0</v>
      </c>
      <c r="EON8">
        <v>80</v>
      </c>
      <c r="EOO8">
        <v>27</v>
      </c>
      <c r="EOP8">
        <v>0</v>
      </c>
      <c r="EOQ8">
        <v>0</v>
      </c>
      <c r="EOR8">
        <v>0</v>
      </c>
      <c r="EOS8">
        <v>0</v>
      </c>
      <c r="EOT8">
        <v>0</v>
      </c>
      <c r="EOU8">
        <v>374</v>
      </c>
      <c r="EOV8">
        <v>0</v>
      </c>
      <c r="EOW8">
        <v>0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0</v>
      </c>
      <c r="EPH8">
        <v>0</v>
      </c>
      <c r="EPI8">
        <v>0</v>
      </c>
      <c r="EPJ8">
        <v>0</v>
      </c>
      <c r="EPK8">
        <v>0</v>
      </c>
      <c r="EPL8">
        <v>0</v>
      </c>
      <c r="EPM8">
        <v>0</v>
      </c>
      <c r="EPN8">
        <v>0</v>
      </c>
      <c r="EPO8">
        <v>0</v>
      </c>
      <c r="EPP8">
        <v>0</v>
      </c>
      <c r="EPQ8">
        <v>0</v>
      </c>
      <c r="EPR8">
        <v>0</v>
      </c>
      <c r="EPS8">
        <v>0</v>
      </c>
      <c r="EPT8">
        <v>0</v>
      </c>
      <c r="EPU8">
        <v>0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0</v>
      </c>
      <c r="EQF8">
        <v>0</v>
      </c>
      <c r="EQG8">
        <v>0</v>
      </c>
      <c r="EQH8">
        <v>0</v>
      </c>
      <c r="EQI8">
        <v>0</v>
      </c>
      <c r="EQJ8">
        <v>0</v>
      </c>
      <c r="EQK8">
        <v>0</v>
      </c>
      <c r="EQL8">
        <v>0</v>
      </c>
      <c r="EQM8">
        <v>0</v>
      </c>
      <c r="EQN8">
        <v>0</v>
      </c>
      <c r="EQO8">
        <v>0</v>
      </c>
      <c r="EQP8">
        <v>0</v>
      </c>
      <c r="EQQ8">
        <v>0</v>
      </c>
      <c r="EQR8">
        <v>0</v>
      </c>
      <c r="EQS8">
        <v>0</v>
      </c>
      <c r="EQT8">
        <v>394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0</v>
      </c>
      <c r="ERD8">
        <v>0</v>
      </c>
      <c r="ERE8">
        <v>400</v>
      </c>
      <c r="ERF8">
        <v>0</v>
      </c>
      <c r="ERG8">
        <v>0</v>
      </c>
      <c r="ERH8">
        <v>0</v>
      </c>
      <c r="ERI8">
        <v>0</v>
      </c>
      <c r="ERJ8">
        <v>0</v>
      </c>
      <c r="ERK8">
        <v>0</v>
      </c>
      <c r="ERL8">
        <v>0</v>
      </c>
      <c r="ERM8">
        <v>0</v>
      </c>
      <c r="ERN8">
        <v>0</v>
      </c>
      <c r="ERO8">
        <v>0</v>
      </c>
      <c r="ERP8">
        <v>0</v>
      </c>
      <c r="ERQ8">
        <v>0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18</v>
      </c>
      <c r="ESB8">
        <v>0</v>
      </c>
      <c r="ESC8">
        <v>0</v>
      </c>
      <c r="ESD8">
        <v>0</v>
      </c>
      <c r="ESE8">
        <v>0</v>
      </c>
      <c r="ESF8">
        <v>0</v>
      </c>
      <c r="ESG8">
        <v>419</v>
      </c>
      <c r="ESH8">
        <v>0</v>
      </c>
      <c r="ESI8">
        <v>0</v>
      </c>
      <c r="ESJ8">
        <v>0</v>
      </c>
      <c r="ESK8">
        <v>423</v>
      </c>
      <c r="ESL8">
        <v>0</v>
      </c>
      <c r="ESM8">
        <v>0</v>
      </c>
      <c r="ESN8">
        <v>0</v>
      </c>
      <c r="ESO8">
        <v>0</v>
      </c>
      <c r="ESP8">
        <v>41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15</v>
      </c>
      <c r="ESY8">
        <v>0</v>
      </c>
      <c r="ESZ8">
        <v>29</v>
      </c>
      <c r="ETA8">
        <v>0</v>
      </c>
      <c r="ETB8">
        <v>0</v>
      </c>
      <c r="ETC8">
        <v>0</v>
      </c>
      <c r="ETD8">
        <v>0</v>
      </c>
      <c r="ETE8">
        <v>0</v>
      </c>
      <c r="ETF8">
        <v>0</v>
      </c>
      <c r="ETG8">
        <v>0</v>
      </c>
      <c r="ETH8">
        <v>0</v>
      </c>
      <c r="ETI8">
        <v>0</v>
      </c>
      <c r="ETJ8">
        <v>0</v>
      </c>
      <c r="ETK8">
        <v>0</v>
      </c>
      <c r="ETL8">
        <v>0</v>
      </c>
      <c r="ETM8">
        <v>0</v>
      </c>
      <c r="ETN8">
        <v>437</v>
      </c>
      <c r="ETO8">
        <v>0</v>
      </c>
      <c r="ETP8">
        <v>0</v>
      </c>
      <c r="ETQ8">
        <v>25</v>
      </c>
      <c r="ETR8">
        <v>0</v>
      </c>
      <c r="ETS8">
        <v>64</v>
      </c>
      <c r="ETT8">
        <v>0</v>
      </c>
      <c r="ETU8">
        <v>0</v>
      </c>
      <c r="ETV8">
        <v>0</v>
      </c>
      <c r="ETW8">
        <v>0</v>
      </c>
      <c r="ETX8">
        <v>0</v>
      </c>
      <c r="ETY8">
        <v>0</v>
      </c>
      <c r="ETZ8">
        <v>0</v>
      </c>
      <c r="EUA8">
        <v>0</v>
      </c>
      <c r="EUB8">
        <v>8</v>
      </c>
      <c r="EUC8">
        <v>0</v>
      </c>
      <c r="EUD8">
        <v>0</v>
      </c>
      <c r="EUE8">
        <v>0</v>
      </c>
      <c r="EUF8">
        <v>14</v>
      </c>
      <c r="EUG8">
        <v>0</v>
      </c>
      <c r="EUH8">
        <v>0</v>
      </c>
      <c r="EUI8">
        <v>0</v>
      </c>
      <c r="EUJ8">
        <v>0</v>
      </c>
      <c r="EUK8">
        <v>0</v>
      </c>
      <c r="EUL8">
        <v>15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339</v>
      </c>
      <c r="EUT8">
        <v>0</v>
      </c>
      <c r="EUU8">
        <v>0</v>
      </c>
      <c r="EUV8">
        <v>0</v>
      </c>
      <c r="EUW8">
        <v>17</v>
      </c>
      <c r="EUX8">
        <v>0</v>
      </c>
      <c r="EUY8">
        <v>9</v>
      </c>
      <c r="EUZ8">
        <v>0</v>
      </c>
      <c r="EVA8">
        <v>0</v>
      </c>
      <c r="EVB8">
        <v>0</v>
      </c>
      <c r="EVC8">
        <v>291</v>
      </c>
      <c r="EVD8">
        <v>0</v>
      </c>
      <c r="EVE8">
        <v>19</v>
      </c>
      <c r="EVF8">
        <v>0</v>
      </c>
      <c r="EVG8">
        <v>0</v>
      </c>
      <c r="EVH8">
        <v>0</v>
      </c>
      <c r="EVI8">
        <v>0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0</v>
      </c>
      <c r="EVT8">
        <v>0</v>
      </c>
      <c r="EVU8">
        <v>0</v>
      </c>
      <c r="EVV8">
        <v>0</v>
      </c>
      <c r="EVW8">
        <v>0</v>
      </c>
      <c r="EVX8">
        <v>0</v>
      </c>
      <c r="EVY8">
        <v>0</v>
      </c>
      <c r="EVZ8">
        <v>477.99</v>
      </c>
      <c r="EWA8">
        <v>0</v>
      </c>
      <c r="EWB8">
        <v>0</v>
      </c>
      <c r="EWC8">
        <v>0</v>
      </c>
      <c r="EWD8">
        <v>0</v>
      </c>
      <c r="EWE8">
        <v>326.01</v>
      </c>
      <c r="EWF8">
        <v>0</v>
      </c>
      <c r="EWG8">
        <v>0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10</v>
      </c>
      <c r="EWO8">
        <v>0</v>
      </c>
      <c r="EWP8">
        <v>0</v>
      </c>
      <c r="EWQ8">
        <v>0</v>
      </c>
      <c r="EWR8">
        <v>0</v>
      </c>
      <c r="EWS8">
        <v>0</v>
      </c>
      <c r="EWT8">
        <v>0</v>
      </c>
      <c r="EWU8">
        <v>0</v>
      </c>
      <c r="EWV8">
        <v>0</v>
      </c>
      <c r="EWW8">
        <v>0</v>
      </c>
      <c r="EWX8">
        <v>0</v>
      </c>
      <c r="EWY8">
        <v>0</v>
      </c>
      <c r="EWZ8">
        <v>0</v>
      </c>
      <c r="EXA8">
        <v>0</v>
      </c>
      <c r="EXB8">
        <v>0</v>
      </c>
      <c r="EXC8">
        <v>30</v>
      </c>
      <c r="EXD8">
        <v>0</v>
      </c>
      <c r="EXE8">
        <v>0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63</v>
      </c>
      <c r="EXN8">
        <v>0</v>
      </c>
      <c r="EXO8">
        <v>0</v>
      </c>
      <c r="EXP8">
        <v>0</v>
      </c>
      <c r="EXQ8">
        <v>0</v>
      </c>
      <c r="EXR8">
        <v>0</v>
      </c>
      <c r="EXS8">
        <v>254</v>
      </c>
      <c r="EXT8">
        <v>512</v>
      </c>
      <c r="EXU8">
        <v>0</v>
      </c>
      <c r="EXV8">
        <v>0</v>
      </c>
      <c r="EXW8">
        <v>0</v>
      </c>
      <c r="EXX8">
        <v>0</v>
      </c>
      <c r="EXY8">
        <v>0</v>
      </c>
      <c r="EXZ8">
        <v>244.99</v>
      </c>
      <c r="EYA8">
        <v>0</v>
      </c>
      <c r="EYB8">
        <v>0</v>
      </c>
      <c r="EYC8">
        <v>0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296</v>
      </c>
      <c r="EYK8">
        <v>0</v>
      </c>
      <c r="EYL8">
        <v>0</v>
      </c>
      <c r="EYM8">
        <v>0</v>
      </c>
      <c r="EYN8">
        <v>0</v>
      </c>
      <c r="EYO8">
        <v>0</v>
      </c>
      <c r="EYP8">
        <v>0</v>
      </c>
      <c r="EYQ8">
        <v>0</v>
      </c>
      <c r="EYR8">
        <v>0</v>
      </c>
      <c r="EYS8">
        <v>0</v>
      </c>
      <c r="EYT8">
        <v>0</v>
      </c>
      <c r="EYU8">
        <v>166</v>
      </c>
      <c r="EYV8">
        <v>0</v>
      </c>
      <c r="EYW8">
        <v>0</v>
      </c>
      <c r="EYX8">
        <v>531</v>
      </c>
      <c r="EYY8">
        <v>0</v>
      </c>
      <c r="EYZ8">
        <v>0</v>
      </c>
      <c r="EZA8">
        <v>0</v>
      </c>
      <c r="EZB8">
        <v>0</v>
      </c>
      <c r="EZC8">
        <v>78</v>
      </c>
      <c r="EZD8">
        <v>0</v>
      </c>
      <c r="EZE8">
        <v>0</v>
      </c>
      <c r="EZF8">
        <v>0</v>
      </c>
      <c r="EZG8">
        <v>541</v>
      </c>
      <c r="EZH8">
        <v>0</v>
      </c>
      <c r="EZI8">
        <v>323</v>
      </c>
      <c r="EZJ8">
        <v>0</v>
      </c>
      <c r="EZK8">
        <v>36</v>
      </c>
      <c r="EZL8">
        <v>0</v>
      </c>
      <c r="EZM8">
        <v>0</v>
      </c>
      <c r="EZN8">
        <v>0</v>
      </c>
      <c r="EZO8">
        <v>0</v>
      </c>
      <c r="EZP8">
        <v>0</v>
      </c>
      <c r="EZQ8">
        <v>0</v>
      </c>
      <c r="EZR8">
        <v>0</v>
      </c>
      <c r="EZS8">
        <v>0</v>
      </c>
      <c r="EZT8">
        <v>487</v>
      </c>
      <c r="EZU8">
        <v>0</v>
      </c>
      <c r="EZV8">
        <v>0</v>
      </c>
      <c r="EZW8">
        <v>0</v>
      </c>
      <c r="EZX8">
        <v>0</v>
      </c>
      <c r="EZY8">
        <v>0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0</v>
      </c>
      <c r="FAJ8">
        <v>0</v>
      </c>
      <c r="FAK8">
        <v>0</v>
      </c>
      <c r="FAL8">
        <v>0</v>
      </c>
      <c r="FAM8">
        <v>0</v>
      </c>
      <c r="FAN8">
        <v>569.99</v>
      </c>
      <c r="FAO8">
        <v>0</v>
      </c>
      <c r="FAP8">
        <v>0</v>
      </c>
      <c r="FAQ8">
        <v>0</v>
      </c>
      <c r="FAR8">
        <v>0</v>
      </c>
      <c r="FAS8">
        <v>0</v>
      </c>
      <c r="FAT8">
        <v>0</v>
      </c>
      <c r="FAU8">
        <v>0</v>
      </c>
      <c r="FAV8">
        <v>351</v>
      </c>
      <c r="FAW8">
        <v>0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584</v>
      </c>
      <c r="FBF8">
        <v>0</v>
      </c>
      <c r="FBG8">
        <v>586.01</v>
      </c>
      <c r="FBH8">
        <v>0</v>
      </c>
      <c r="FBI8">
        <v>0</v>
      </c>
      <c r="FBJ8">
        <v>0</v>
      </c>
      <c r="FBK8">
        <v>0</v>
      </c>
      <c r="FBL8">
        <v>0</v>
      </c>
      <c r="FBM8">
        <v>0</v>
      </c>
      <c r="FBN8">
        <v>0</v>
      </c>
      <c r="FBO8">
        <v>0</v>
      </c>
      <c r="FBP8">
        <v>0</v>
      </c>
      <c r="FBQ8">
        <v>0</v>
      </c>
      <c r="FBR8">
        <v>3</v>
      </c>
      <c r="FBS8">
        <v>0</v>
      </c>
      <c r="FBT8">
        <v>0</v>
      </c>
      <c r="FBU8">
        <v>0</v>
      </c>
      <c r="FBV8">
        <v>250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0</v>
      </c>
      <c r="FCF8">
        <v>0</v>
      </c>
      <c r="FCG8">
        <v>0</v>
      </c>
      <c r="FCH8">
        <v>0</v>
      </c>
      <c r="FCI8">
        <v>0</v>
      </c>
      <c r="FCJ8">
        <v>0</v>
      </c>
      <c r="FCK8">
        <v>0</v>
      </c>
      <c r="FCL8">
        <v>0</v>
      </c>
      <c r="FCM8">
        <v>0</v>
      </c>
      <c r="FCN8">
        <v>0</v>
      </c>
      <c r="FCO8">
        <v>0</v>
      </c>
      <c r="FCP8">
        <v>0</v>
      </c>
      <c r="FCQ8">
        <v>0</v>
      </c>
      <c r="FCR8">
        <v>628</v>
      </c>
      <c r="FCS8">
        <v>0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24</v>
      </c>
      <c r="FDC8">
        <v>0</v>
      </c>
      <c r="FDD8">
        <v>0</v>
      </c>
      <c r="FDE8">
        <v>0</v>
      </c>
      <c r="FDF8">
        <v>2</v>
      </c>
      <c r="FDG8">
        <v>214</v>
      </c>
      <c r="FDH8">
        <v>0</v>
      </c>
      <c r="FDI8">
        <v>0</v>
      </c>
      <c r="FDJ8">
        <v>15</v>
      </c>
      <c r="FDK8">
        <v>0</v>
      </c>
      <c r="FDL8">
        <v>0</v>
      </c>
      <c r="FDM8">
        <v>0</v>
      </c>
      <c r="FDN8">
        <v>0</v>
      </c>
      <c r="FDO8">
        <v>0</v>
      </c>
      <c r="FDP8">
        <v>651.01</v>
      </c>
      <c r="FDQ8">
        <v>652</v>
      </c>
      <c r="FDR8">
        <v>20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0</v>
      </c>
      <c r="FEB8">
        <v>0</v>
      </c>
      <c r="FEC8">
        <v>255.99</v>
      </c>
      <c r="FED8">
        <v>0</v>
      </c>
      <c r="FEE8">
        <v>0</v>
      </c>
      <c r="FEF8">
        <v>0</v>
      </c>
      <c r="FEG8">
        <v>0</v>
      </c>
      <c r="FEH8">
        <v>0</v>
      </c>
      <c r="FEI8">
        <v>0</v>
      </c>
      <c r="FEJ8">
        <v>49</v>
      </c>
      <c r="FEK8">
        <v>184</v>
      </c>
      <c r="FEL8">
        <v>0</v>
      </c>
      <c r="FEM8">
        <v>26</v>
      </c>
      <c r="FEN8">
        <v>0</v>
      </c>
      <c r="FEO8">
        <v>0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673</v>
      </c>
      <c r="FEW8">
        <v>0</v>
      </c>
      <c r="FEX8">
        <v>0</v>
      </c>
      <c r="FEY8">
        <v>0</v>
      </c>
      <c r="FEZ8">
        <v>0</v>
      </c>
      <c r="FFA8">
        <v>0</v>
      </c>
      <c r="FFB8">
        <v>0</v>
      </c>
      <c r="FFC8">
        <v>0</v>
      </c>
      <c r="FFD8">
        <v>0</v>
      </c>
      <c r="FFE8">
        <v>0</v>
      </c>
      <c r="FFF8">
        <v>0</v>
      </c>
      <c r="FFG8">
        <v>0</v>
      </c>
      <c r="FFH8">
        <v>17</v>
      </c>
      <c r="FFI8">
        <v>0</v>
      </c>
      <c r="FFJ8">
        <v>0</v>
      </c>
      <c r="FFK8">
        <v>0</v>
      </c>
      <c r="FFL8">
        <v>0</v>
      </c>
      <c r="FFM8">
        <v>721</v>
      </c>
      <c r="FFN8">
        <v>0</v>
      </c>
      <c r="FFO8">
        <v>0</v>
      </c>
      <c r="FFP8">
        <v>0</v>
      </c>
      <c r="FFQ8">
        <v>16.010000000000002</v>
      </c>
      <c r="FFR8">
        <v>0</v>
      </c>
      <c r="FFS8">
        <v>40</v>
      </c>
      <c r="FFT8">
        <v>0</v>
      </c>
      <c r="FFU8">
        <v>0</v>
      </c>
      <c r="FFV8">
        <v>728.99</v>
      </c>
      <c r="FFW8">
        <v>0</v>
      </c>
      <c r="FFX8">
        <v>0</v>
      </c>
      <c r="FFY8">
        <v>0</v>
      </c>
      <c r="FFZ8">
        <v>0</v>
      </c>
      <c r="FGA8">
        <v>0</v>
      </c>
      <c r="FGB8">
        <v>0</v>
      </c>
      <c r="FGC8">
        <v>0</v>
      </c>
      <c r="FGD8">
        <v>0</v>
      </c>
      <c r="FGE8">
        <v>58</v>
      </c>
      <c r="FGF8">
        <v>0</v>
      </c>
      <c r="FGG8">
        <v>548</v>
      </c>
      <c r="FGH8">
        <v>53</v>
      </c>
      <c r="FGI8">
        <v>0</v>
      </c>
      <c r="FGJ8">
        <v>0</v>
      </c>
      <c r="FGK8">
        <v>70</v>
      </c>
      <c r="FGL8">
        <v>592</v>
      </c>
      <c r="FGM8">
        <v>746.99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0</v>
      </c>
      <c r="FGV8">
        <v>0</v>
      </c>
      <c r="FGW8">
        <v>0</v>
      </c>
      <c r="FGX8">
        <v>0</v>
      </c>
      <c r="FGY8">
        <v>755.99</v>
      </c>
      <c r="FGZ8">
        <v>0</v>
      </c>
      <c r="FHA8">
        <v>0</v>
      </c>
      <c r="FHB8">
        <v>0</v>
      </c>
      <c r="FHC8">
        <v>201</v>
      </c>
      <c r="FHD8">
        <v>0</v>
      </c>
      <c r="FHE8">
        <v>0</v>
      </c>
      <c r="FHF8">
        <v>0</v>
      </c>
      <c r="FHG8">
        <v>0</v>
      </c>
      <c r="FHH8">
        <v>0</v>
      </c>
      <c r="FHI8">
        <v>0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0</v>
      </c>
      <c r="FHT8">
        <v>0</v>
      </c>
      <c r="FHU8">
        <v>129.04</v>
      </c>
      <c r="FHV8">
        <v>0</v>
      </c>
      <c r="FHW8">
        <v>0</v>
      </c>
      <c r="FHX8">
        <v>24</v>
      </c>
      <c r="FHY8">
        <v>784.99</v>
      </c>
      <c r="FHZ8">
        <v>0</v>
      </c>
      <c r="FIA8">
        <v>0</v>
      </c>
      <c r="FIB8">
        <v>55</v>
      </c>
      <c r="FIC8">
        <v>0</v>
      </c>
      <c r="FID8">
        <v>0</v>
      </c>
      <c r="FIE8">
        <v>0</v>
      </c>
      <c r="FIF8">
        <v>0</v>
      </c>
      <c r="FIG8">
        <v>0</v>
      </c>
      <c r="FIH8">
        <v>0</v>
      </c>
      <c r="FII8">
        <v>0</v>
      </c>
      <c r="FIJ8">
        <v>0</v>
      </c>
      <c r="FIK8">
        <v>56</v>
      </c>
      <c r="FIL8">
        <v>0</v>
      </c>
      <c r="FIM8">
        <v>471</v>
      </c>
      <c r="FIN8">
        <v>0</v>
      </c>
      <c r="FIO8">
        <v>16</v>
      </c>
      <c r="FIP8">
        <v>205.01</v>
      </c>
      <c r="FIQ8">
        <v>0</v>
      </c>
      <c r="FIR8">
        <v>0</v>
      </c>
      <c r="FIS8">
        <v>0</v>
      </c>
      <c r="FIT8">
        <v>0</v>
      </c>
      <c r="FIU8">
        <v>0</v>
      </c>
      <c r="FIV8">
        <v>0</v>
      </c>
      <c r="FIW8">
        <v>0</v>
      </c>
      <c r="FIX8">
        <v>0</v>
      </c>
      <c r="FIY8">
        <v>0</v>
      </c>
      <c r="FIZ8">
        <v>0</v>
      </c>
      <c r="FJA8">
        <v>0</v>
      </c>
      <c r="FJB8">
        <v>0</v>
      </c>
      <c r="FJC8">
        <v>0</v>
      </c>
      <c r="FJD8">
        <v>0</v>
      </c>
      <c r="FJE8">
        <v>0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697.96</v>
      </c>
      <c r="FJM8">
        <v>0</v>
      </c>
      <c r="FJN8">
        <v>0</v>
      </c>
      <c r="FJO8">
        <v>0</v>
      </c>
      <c r="FJP8">
        <v>0</v>
      </c>
      <c r="FJQ8">
        <v>0</v>
      </c>
      <c r="FJR8">
        <v>0</v>
      </c>
      <c r="FJS8">
        <v>0</v>
      </c>
      <c r="FJT8">
        <v>29</v>
      </c>
      <c r="FJU8">
        <v>200</v>
      </c>
      <c r="FJV8">
        <v>0</v>
      </c>
      <c r="FJW8">
        <v>0</v>
      </c>
      <c r="FJX8">
        <v>80.03</v>
      </c>
      <c r="FJY8">
        <v>0</v>
      </c>
      <c r="FJZ8">
        <v>0</v>
      </c>
      <c r="FKA8">
        <v>0</v>
      </c>
      <c r="FKB8">
        <v>0</v>
      </c>
      <c r="FKC8">
        <v>0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0</v>
      </c>
      <c r="FKN8">
        <v>0</v>
      </c>
      <c r="FKO8">
        <v>0</v>
      </c>
      <c r="FKP8">
        <v>0</v>
      </c>
      <c r="FKQ8">
        <v>0</v>
      </c>
      <c r="FKR8">
        <v>0</v>
      </c>
      <c r="FKS8">
        <v>0</v>
      </c>
      <c r="FKT8">
        <v>0</v>
      </c>
      <c r="FKU8">
        <v>0</v>
      </c>
      <c r="FKV8">
        <v>0</v>
      </c>
      <c r="FKW8">
        <v>121.99</v>
      </c>
      <c r="FKX8">
        <v>36</v>
      </c>
      <c r="FKY8">
        <v>0</v>
      </c>
      <c r="FKZ8">
        <v>0</v>
      </c>
      <c r="FLA8">
        <v>0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905</v>
      </c>
      <c r="FLL8">
        <v>0</v>
      </c>
      <c r="FLM8">
        <v>0</v>
      </c>
      <c r="FLN8">
        <v>0</v>
      </c>
      <c r="FLO8">
        <v>0</v>
      </c>
      <c r="FLP8">
        <v>0</v>
      </c>
      <c r="FLQ8">
        <v>368.99</v>
      </c>
      <c r="FLR8">
        <v>0</v>
      </c>
      <c r="FLS8">
        <v>0</v>
      </c>
      <c r="FLT8">
        <v>0</v>
      </c>
      <c r="FLU8">
        <v>0</v>
      </c>
      <c r="FLV8">
        <v>927.98</v>
      </c>
      <c r="FLW8">
        <v>0</v>
      </c>
      <c r="FLX8">
        <v>0</v>
      </c>
      <c r="FLY8">
        <v>0</v>
      </c>
      <c r="FLZ8">
        <v>0</v>
      </c>
      <c r="FMA8">
        <v>0</v>
      </c>
      <c r="FMB8">
        <v>0</v>
      </c>
      <c r="FMC8">
        <v>0</v>
      </c>
      <c r="FMD8">
        <v>102</v>
      </c>
      <c r="FME8">
        <v>0</v>
      </c>
      <c r="FMF8">
        <v>0</v>
      </c>
      <c r="FMG8">
        <v>0</v>
      </c>
      <c r="FMH8">
        <v>0</v>
      </c>
      <c r="FMI8">
        <v>0</v>
      </c>
      <c r="FMJ8">
        <v>0</v>
      </c>
      <c r="FMK8">
        <v>0</v>
      </c>
      <c r="FML8">
        <v>0</v>
      </c>
      <c r="FMM8">
        <v>0</v>
      </c>
      <c r="FMN8">
        <v>0</v>
      </c>
      <c r="FMO8">
        <v>108</v>
      </c>
      <c r="FMP8">
        <v>0</v>
      </c>
      <c r="FMQ8">
        <v>0</v>
      </c>
      <c r="FMR8">
        <v>0</v>
      </c>
      <c r="FMS8">
        <v>0</v>
      </c>
      <c r="FMT8">
        <v>5</v>
      </c>
      <c r="FMU8">
        <v>732.96</v>
      </c>
      <c r="FMV8">
        <v>0</v>
      </c>
      <c r="FMW8">
        <v>0</v>
      </c>
      <c r="FMX8">
        <v>235.01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60</v>
      </c>
      <c r="FNE8">
        <v>0</v>
      </c>
      <c r="FNF8">
        <v>0</v>
      </c>
      <c r="FNG8">
        <v>0</v>
      </c>
      <c r="FNH8">
        <v>0</v>
      </c>
      <c r="FNI8">
        <v>0</v>
      </c>
      <c r="FNJ8">
        <v>0</v>
      </c>
      <c r="FNK8">
        <v>0</v>
      </c>
      <c r="FNL8">
        <v>0</v>
      </c>
      <c r="FNM8">
        <v>999.99</v>
      </c>
      <c r="FNN8">
        <v>0</v>
      </c>
      <c r="FNO8">
        <v>0</v>
      </c>
      <c r="FNP8">
        <v>0</v>
      </c>
      <c r="FNQ8">
        <v>0</v>
      </c>
      <c r="FNR8">
        <v>0</v>
      </c>
      <c r="FNS8">
        <v>1006.98</v>
      </c>
      <c r="FNT8">
        <v>0</v>
      </c>
      <c r="FNU8">
        <v>0</v>
      </c>
      <c r="FNV8">
        <v>244.99</v>
      </c>
      <c r="FNW8">
        <v>0</v>
      </c>
      <c r="FNX8">
        <v>0</v>
      </c>
      <c r="FNY8">
        <v>0</v>
      </c>
      <c r="FNZ8">
        <v>0</v>
      </c>
      <c r="FOA8">
        <v>15</v>
      </c>
      <c r="FOB8">
        <v>0</v>
      </c>
      <c r="FOC8">
        <v>0</v>
      </c>
      <c r="FOD8">
        <v>0</v>
      </c>
      <c r="FOE8">
        <v>0</v>
      </c>
      <c r="FOF8">
        <v>0</v>
      </c>
      <c r="FOG8">
        <v>112.02</v>
      </c>
      <c r="FOH8">
        <v>0</v>
      </c>
      <c r="FOI8">
        <v>0</v>
      </c>
      <c r="FOJ8">
        <v>0</v>
      </c>
      <c r="FOK8">
        <v>0</v>
      </c>
      <c r="FOL8">
        <v>40</v>
      </c>
      <c r="FOM8">
        <v>0</v>
      </c>
      <c r="FON8">
        <v>1043.99</v>
      </c>
      <c r="FOO8">
        <v>0</v>
      </c>
      <c r="FOP8">
        <v>0</v>
      </c>
      <c r="FOQ8">
        <v>0</v>
      </c>
      <c r="FOR8">
        <v>0</v>
      </c>
      <c r="FOS8">
        <v>0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120</v>
      </c>
      <c r="FPC8">
        <v>117</v>
      </c>
      <c r="FPD8">
        <v>0</v>
      </c>
      <c r="FPE8">
        <v>78</v>
      </c>
      <c r="FPF8">
        <v>0</v>
      </c>
      <c r="FPG8">
        <v>0</v>
      </c>
      <c r="FPH8">
        <v>0</v>
      </c>
      <c r="FPI8">
        <v>0</v>
      </c>
      <c r="FPJ8">
        <v>0</v>
      </c>
      <c r="FPK8">
        <v>0</v>
      </c>
      <c r="FPL8">
        <v>0</v>
      </c>
      <c r="FPM8">
        <v>0</v>
      </c>
      <c r="FPN8">
        <v>0</v>
      </c>
      <c r="FPO8">
        <v>0</v>
      </c>
      <c r="FPP8">
        <v>0</v>
      </c>
      <c r="FPQ8">
        <v>56</v>
      </c>
      <c r="FPR8">
        <v>0</v>
      </c>
      <c r="FPS8">
        <v>12.01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0</v>
      </c>
      <c r="FQB8">
        <v>0</v>
      </c>
      <c r="FQC8">
        <v>1122</v>
      </c>
      <c r="FQD8">
        <v>29</v>
      </c>
      <c r="FQE8">
        <v>95</v>
      </c>
      <c r="FQF8">
        <v>55</v>
      </c>
      <c r="FQG8">
        <v>0</v>
      </c>
      <c r="FQH8">
        <v>0</v>
      </c>
      <c r="FQI8">
        <v>0</v>
      </c>
      <c r="FQJ8">
        <v>0</v>
      </c>
      <c r="FQK8">
        <v>0</v>
      </c>
      <c r="FQL8">
        <v>0</v>
      </c>
      <c r="FQM8">
        <v>0</v>
      </c>
      <c r="FQN8">
        <v>0</v>
      </c>
      <c r="FQO8">
        <v>0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0</v>
      </c>
      <c r="FQZ8">
        <v>0</v>
      </c>
      <c r="FRA8">
        <v>0</v>
      </c>
      <c r="FRB8">
        <v>91.99</v>
      </c>
      <c r="FRC8">
        <v>0</v>
      </c>
      <c r="FRD8">
        <v>0</v>
      </c>
      <c r="FRE8">
        <v>0</v>
      </c>
      <c r="FRF8">
        <v>0</v>
      </c>
      <c r="FRG8">
        <v>0</v>
      </c>
      <c r="FRH8">
        <v>59</v>
      </c>
      <c r="FRI8">
        <v>60</v>
      </c>
      <c r="FRJ8">
        <v>0</v>
      </c>
      <c r="FRK8">
        <v>11</v>
      </c>
      <c r="FRL8">
        <v>0</v>
      </c>
      <c r="FRM8">
        <v>0</v>
      </c>
      <c r="FRN8">
        <v>76.010000000000005</v>
      </c>
      <c r="FRO8">
        <v>0</v>
      </c>
      <c r="FRP8">
        <v>0</v>
      </c>
      <c r="FRQ8">
        <v>362</v>
      </c>
      <c r="FRR8">
        <v>0</v>
      </c>
      <c r="FRS8">
        <v>0</v>
      </c>
      <c r="FRT8">
        <v>0</v>
      </c>
      <c r="FRU8">
        <v>891.98</v>
      </c>
      <c r="FRV8">
        <v>0</v>
      </c>
      <c r="FRW8">
        <v>0</v>
      </c>
      <c r="FRX8">
        <v>0</v>
      </c>
      <c r="FRY8">
        <v>0</v>
      </c>
      <c r="FRZ8">
        <v>0</v>
      </c>
      <c r="FSA8">
        <v>0</v>
      </c>
      <c r="FSB8">
        <v>0</v>
      </c>
      <c r="FSC8">
        <v>0</v>
      </c>
      <c r="FSD8">
        <v>0</v>
      </c>
      <c r="FSE8">
        <v>0</v>
      </c>
      <c r="FSF8">
        <v>0</v>
      </c>
      <c r="FSG8">
        <v>0</v>
      </c>
      <c r="FSH8">
        <v>0</v>
      </c>
      <c r="FSI8">
        <v>80</v>
      </c>
      <c r="FSJ8">
        <v>0</v>
      </c>
      <c r="FSK8">
        <v>8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1332</v>
      </c>
      <c r="FST8">
        <v>0</v>
      </c>
      <c r="FSU8">
        <v>0</v>
      </c>
      <c r="FSV8">
        <v>0</v>
      </c>
      <c r="FSW8">
        <v>0</v>
      </c>
      <c r="FSX8">
        <v>0</v>
      </c>
      <c r="FSY8">
        <v>0</v>
      </c>
      <c r="FSZ8">
        <v>0</v>
      </c>
      <c r="FTA8">
        <v>563</v>
      </c>
      <c r="FTB8">
        <v>0</v>
      </c>
      <c r="FTC8">
        <v>1365.96</v>
      </c>
      <c r="FTD8">
        <v>0</v>
      </c>
      <c r="FTE8">
        <v>0</v>
      </c>
      <c r="FTF8">
        <v>16</v>
      </c>
      <c r="FTG8">
        <v>0</v>
      </c>
      <c r="FTH8">
        <v>0</v>
      </c>
      <c r="FTI8">
        <v>0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322.99</v>
      </c>
      <c r="FTP8">
        <v>0</v>
      </c>
      <c r="FTQ8">
        <v>0</v>
      </c>
      <c r="FTR8">
        <v>0</v>
      </c>
      <c r="FTS8">
        <v>0</v>
      </c>
      <c r="FTT8">
        <v>0</v>
      </c>
      <c r="FTU8">
        <v>0</v>
      </c>
      <c r="FTV8">
        <v>0</v>
      </c>
      <c r="FTW8">
        <v>0</v>
      </c>
      <c r="FTX8">
        <v>532.98</v>
      </c>
      <c r="FTY8">
        <v>0</v>
      </c>
      <c r="FTZ8">
        <v>0</v>
      </c>
      <c r="FUA8">
        <v>0</v>
      </c>
      <c r="FUB8">
        <v>0</v>
      </c>
      <c r="FUC8">
        <v>0</v>
      </c>
      <c r="FUD8">
        <v>0</v>
      </c>
      <c r="FUE8">
        <v>0</v>
      </c>
      <c r="FUF8">
        <v>0</v>
      </c>
      <c r="FUG8">
        <v>0</v>
      </c>
      <c r="FUH8">
        <v>0</v>
      </c>
      <c r="FUI8">
        <v>0</v>
      </c>
      <c r="FUJ8">
        <v>967.96</v>
      </c>
      <c r="FUK8">
        <v>1434.01</v>
      </c>
      <c r="FUL8">
        <v>0</v>
      </c>
      <c r="FUM8">
        <v>0</v>
      </c>
      <c r="FUN8">
        <v>0</v>
      </c>
      <c r="FUO8">
        <v>0</v>
      </c>
      <c r="FUP8">
        <v>121.04</v>
      </c>
      <c r="FUQ8">
        <v>0</v>
      </c>
      <c r="FUR8">
        <v>0</v>
      </c>
      <c r="FUS8">
        <v>30</v>
      </c>
      <c r="FUT8">
        <v>0</v>
      </c>
      <c r="FUU8">
        <v>0</v>
      </c>
      <c r="FUV8">
        <v>0</v>
      </c>
      <c r="FUW8">
        <v>1481.95</v>
      </c>
      <c r="FUX8">
        <v>0</v>
      </c>
      <c r="FUY8">
        <v>0</v>
      </c>
      <c r="FUZ8">
        <v>118</v>
      </c>
      <c r="FVA8">
        <v>0</v>
      </c>
      <c r="FVB8">
        <v>0</v>
      </c>
      <c r="FVC8">
        <v>0</v>
      </c>
      <c r="FVD8">
        <v>0</v>
      </c>
      <c r="FVE8">
        <v>0</v>
      </c>
      <c r="FVF8">
        <v>0</v>
      </c>
      <c r="FVG8">
        <v>0</v>
      </c>
      <c r="FVH8">
        <v>0</v>
      </c>
      <c r="FVI8">
        <v>0</v>
      </c>
      <c r="FVJ8">
        <v>880.01</v>
      </c>
      <c r="FVK8">
        <v>0</v>
      </c>
      <c r="FVL8">
        <v>0</v>
      </c>
      <c r="FVM8">
        <v>0</v>
      </c>
      <c r="FVN8">
        <v>0</v>
      </c>
      <c r="FVO8">
        <v>100</v>
      </c>
      <c r="FVP8">
        <v>169.99</v>
      </c>
      <c r="FVQ8">
        <v>248</v>
      </c>
      <c r="FVR8">
        <v>243</v>
      </c>
      <c r="FVS8">
        <v>0</v>
      </c>
      <c r="FVT8">
        <v>0</v>
      </c>
      <c r="FVU8">
        <v>0</v>
      </c>
      <c r="FVV8">
        <v>0</v>
      </c>
      <c r="FVW8">
        <v>0</v>
      </c>
      <c r="FVX8">
        <v>158</v>
      </c>
      <c r="FVY8">
        <v>0</v>
      </c>
      <c r="FVZ8">
        <v>0</v>
      </c>
      <c r="FWB8">
        <v>129</v>
      </c>
      <c r="FWC8">
        <v>17</v>
      </c>
      <c r="FWD8">
        <v>0</v>
      </c>
      <c r="FWE8">
        <v>0</v>
      </c>
      <c r="FWF8">
        <v>32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29</v>
      </c>
      <c r="FWN8">
        <v>0</v>
      </c>
      <c r="FWO8">
        <v>0</v>
      </c>
      <c r="FWP8">
        <v>0</v>
      </c>
      <c r="FWQ8">
        <v>0</v>
      </c>
      <c r="FWR8">
        <v>0</v>
      </c>
      <c r="FWS8">
        <v>622.99</v>
      </c>
      <c r="FWT8">
        <v>0</v>
      </c>
      <c r="FWU8">
        <v>0</v>
      </c>
      <c r="FWV8">
        <v>0</v>
      </c>
      <c r="FWW8">
        <v>489</v>
      </c>
      <c r="FWX8">
        <v>0</v>
      </c>
      <c r="FWY8">
        <v>0</v>
      </c>
      <c r="FWZ8">
        <v>0</v>
      </c>
      <c r="FXA8">
        <v>0</v>
      </c>
      <c r="FXB8">
        <v>17</v>
      </c>
      <c r="FXC8">
        <v>36</v>
      </c>
      <c r="FXD8">
        <v>0</v>
      </c>
      <c r="FXE8">
        <v>0</v>
      </c>
      <c r="FXF8">
        <v>0</v>
      </c>
      <c r="FXG8">
        <v>0</v>
      </c>
      <c r="FXH8">
        <v>36</v>
      </c>
      <c r="FXI8">
        <v>0</v>
      </c>
      <c r="FXJ8">
        <v>0</v>
      </c>
      <c r="FXK8">
        <v>51</v>
      </c>
      <c r="FXL8">
        <v>0</v>
      </c>
      <c r="FXM8">
        <v>0</v>
      </c>
      <c r="FXN8">
        <v>0</v>
      </c>
      <c r="FXO8">
        <v>0</v>
      </c>
      <c r="FXP8">
        <v>0</v>
      </c>
      <c r="FXQ8">
        <v>0</v>
      </c>
      <c r="FXR8">
        <v>0</v>
      </c>
      <c r="FXS8">
        <v>0</v>
      </c>
      <c r="FXT8">
        <v>0</v>
      </c>
      <c r="FXU8">
        <v>0</v>
      </c>
      <c r="FXV8">
        <v>0</v>
      </c>
      <c r="FXW8">
        <v>0</v>
      </c>
      <c r="FXX8">
        <v>154</v>
      </c>
      <c r="FXY8">
        <v>0</v>
      </c>
      <c r="FXZ8">
        <v>1756.99</v>
      </c>
      <c r="FYA8">
        <v>0</v>
      </c>
      <c r="FYB8">
        <v>34</v>
      </c>
      <c r="FYC8">
        <v>0</v>
      </c>
      <c r="FYD8">
        <v>0</v>
      </c>
      <c r="FYE8">
        <v>1784</v>
      </c>
      <c r="FYF8">
        <v>0</v>
      </c>
      <c r="FYG8">
        <v>27</v>
      </c>
      <c r="FYH8">
        <v>79</v>
      </c>
      <c r="FYI8">
        <v>0</v>
      </c>
      <c r="FYJ8">
        <v>988.98</v>
      </c>
      <c r="FYK8">
        <v>1807.95</v>
      </c>
      <c r="FYL8">
        <v>0</v>
      </c>
      <c r="FYM8">
        <v>449</v>
      </c>
      <c r="FYN8">
        <v>13</v>
      </c>
      <c r="FYO8">
        <v>0</v>
      </c>
      <c r="FYP8">
        <v>1065</v>
      </c>
      <c r="FYQ8">
        <v>0</v>
      </c>
      <c r="FYR8">
        <v>0</v>
      </c>
      <c r="FYS8">
        <v>0</v>
      </c>
      <c r="FYT8">
        <v>0</v>
      </c>
      <c r="FYU8">
        <v>0</v>
      </c>
      <c r="FYV8">
        <v>0</v>
      </c>
      <c r="FYW8">
        <v>0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</v>
      </c>
      <c r="FZH8">
        <v>0</v>
      </c>
      <c r="FZI8">
        <v>0</v>
      </c>
      <c r="FZJ8">
        <v>0</v>
      </c>
      <c r="FZK8">
        <v>162.99</v>
      </c>
      <c r="FZL8">
        <v>1027.99</v>
      </c>
      <c r="FZM8">
        <v>0</v>
      </c>
      <c r="FZN8">
        <v>0</v>
      </c>
      <c r="FZO8">
        <v>0</v>
      </c>
      <c r="FZP8">
        <v>0</v>
      </c>
      <c r="FZQ8">
        <v>0</v>
      </c>
      <c r="FZR8">
        <v>0</v>
      </c>
      <c r="FZS8">
        <v>0</v>
      </c>
      <c r="FZT8">
        <v>0</v>
      </c>
      <c r="FZU8">
        <v>0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971.95</v>
      </c>
      <c r="GAC8">
        <v>0</v>
      </c>
      <c r="GAD8">
        <v>47</v>
      </c>
      <c r="GAE8">
        <v>0</v>
      </c>
      <c r="GAF8">
        <v>1977</v>
      </c>
      <c r="GAG8">
        <v>0</v>
      </c>
      <c r="GAH8">
        <v>12</v>
      </c>
      <c r="GAI8">
        <v>0</v>
      </c>
      <c r="GAJ8">
        <v>0</v>
      </c>
      <c r="GAK8">
        <v>0</v>
      </c>
      <c r="GAL8">
        <v>113.04</v>
      </c>
      <c r="GAM8">
        <v>0</v>
      </c>
      <c r="GAN8">
        <v>0</v>
      </c>
      <c r="GAO8">
        <v>83.99</v>
      </c>
      <c r="GAP8">
        <v>0</v>
      </c>
      <c r="GAQ8">
        <v>0</v>
      </c>
      <c r="GAR8">
        <v>0</v>
      </c>
      <c r="GAS8">
        <v>0</v>
      </c>
      <c r="GAT8">
        <v>419.99</v>
      </c>
      <c r="GAU8">
        <v>0</v>
      </c>
      <c r="GAV8">
        <v>0</v>
      </c>
      <c r="GAW8">
        <v>0</v>
      </c>
      <c r="GAX8">
        <v>29</v>
      </c>
      <c r="GAY8">
        <v>0</v>
      </c>
      <c r="GAZ8">
        <v>0</v>
      </c>
      <c r="GBA8">
        <v>0</v>
      </c>
      <c r="GBB8">
        <v>0</v>
      </c>
      <c r="GBC8">
        <v>0</v>
      </c>
      <c r="GBD8">
        <v>0</v>
      </c>
      <c r="GBE8">
        <v>0</v>
      </c>
      <c r="GBF8">
        <v>0</v>
      </c>
      <c r="GBG8">
        <v>0</v>
      </c>
      <c r="GBH8">
        <v>0</v>
      </c>
      <c r="GBI8">
        <v>0</v>
      </c>
      <c r="GBJ8">
        <v>2084.91</v>
      </c>
      <c r="GBK8">
        <v>0</v>
      </c>
      <c r="GBL8">
        <v>0</v>
      </c>
      <c r="GBM8">
        <v>0</v>
      </c>
      <c r="GBN8">
        <v>0</v>
      </c>
      <c r="GBO8">
        <v>80</v>
      </c>
      <c r="GBP8">
        <v>0</v>
      </c>
      <c r="GBQ8">
        <v>175.99</v>
      </c>
      <c r="GBR8">
        <v>0</v>
      </c>
      <c r="GBS8">
        <v>320.11</v>
      </c>
      <c r="GBT8">
        <v>0</v>
      </c>
      <c r="GBU8">
        <v>0</v>
      </c>
      <c r="GBV8">
        <v>896</v>
      </c>
      <c r="GBW8">
        <v>0</v>
      </c>
      <c r="GBX8">
        <v>0</v>
      </c>
      <c r="GBY8">
        <v>0</v>
      </c>
      <c r="GBZ8">
        <v>0</v>
      </c>
      <c r="GCA8">
        <v>0</v>
      </c>
      <c r="GCB8">
        <v>133</v>
      </c>
      <c r="GCC8">
        <v>0</v>
      </c>
      <c r="GCD8">
        <v>264</v>
      </c>
      <c r="GCE8">
        <v>0</v>
      </c>
      <c r="GCF8">
        <v>0</v>
      </c>
      <c r="GCG8">
        <v>116</v>
      </c>
      <c r="GCH8">
        <v>587</v>
      </c>
      <c r="GCI8">
        <v>0</v>
      </c>
      <c r="GCJ8">
        <v>0</v>
      </c>
      <c r="GCK8">
        <v>2257.91</v>
      </c>
      <c r="GCL8">
        <v>0</v>
      </c>
      <c r="GCM8">
        <v>0</v>
      </c>
      <c r="GCN8">
        <v>34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1966.98</v>
      </c>
      <c r="GCU8">
        <v>0</v>
      </c>
      <c r="GCV8">
        <v>0</v>
      </c>
      <c r="GCW8">
        <v>0</v>
      </c>
      <c r="GCX8">
        <v>0</v>
      </c>
      <c r="GCY8">
        <v>0</v>
      </c>
      <c r="GCZ8">
        <v>0</v>
      </c>
      <c r="GDA8">
        <v>0</v>
      </c>
      <c r="GDB8">
        <v>0</v>
      </c>
      <c r="GDC8">
        <v>323</v>
      </c>
      <c r="GDD8">
        <v>0</v>
      </c>
      <c r="GDE8">
        <v>0</v>
      </c>
      <c r="GDF8">
        <v>63</v>
      </c>
      <c r="GDG8">
        <v>758</v>
      </c>
      <c r="GDH8">
        <v>0</v>
      </c>
      <c r="GDI8">
        <v>0</v>
      </c>
      <c r="GDJ8">
        <v>0</v>
      </c>
      <c r="GDK8">
        <v>0</v>
      </c>
      <c r="GDL8">
        <v>0</v>
      </c>
      <c r="GDM8">
        <v>0</v>
      </c>
      <c r="GDN8">
        <v>0</v>
      </c>
      <c r="GDO8">
        <v>0</v>
      </c>
      <c r="GDP8">
        <v>0</v>
      </c>
      <c r="GDQ8">
        <v>69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10</v>
      </c>
      <c r="GDX8">
        <v>0</v>
      </c>
      <c r="GDY8">
        <v>0</v>
      </c>
      <c r="GDZ8">
        <v>0</v>
      </c>
      <c r="GEA8">
        <v>0</v>
      </c>
      <c r="GEB8">
        <v>18</v>
      </c>
      <c r="GEC8">
        <v>0</v>
      </c>
      <c r="GED8">
        <v>0</v>
      </c>
      <c r="GEE8">
        <v>0</v>
      </c>
      <c r="GEF8">
        <v>0</v>
      </c>
      <c r="GEG8">
        <v>0</v>
      </c>
      <c r="GEH8">
        <v>106</v>
      </c>
      <c r="GEI8">
        <v>159</v>
      </c>
      <c r="GEJ8">
        <v>0</v>
      </c>
      <c r="GEK8">
        <v>0</v>
      </c>
      <c r="GEL8">
        <v>0</v>
      </c>
      <c r="GEM8">
        <v>0</v>
      </c>
      <c r="GEN8">
        <v>0</v>
      </c>
      <c r="GEO8">
        <v>68.010000000000005</v>
      </c>
      <c r="GEP8">
        <v>0</v>
      </c>
      <c r="GEQ8">
        <v>0</v>
      </c>
      <c r="GER8">
        <v>0</v>
      </c>
      <c r="GES8">
        <v>0</v>
      </c>
      <c r="GET8">
        <v>1055.01</v>
      </c>
      <c r="GEU8">
        <v>0</v>
      </c>
      <c r="GEV8">
        <v>223</v>
      </c>
      <c r="GEW8">
        <v>341.99</v>
      </c>
      <c r="GEX8">
        <v>0</v>
      </c>
      <c r="GEY8">
        <v>0</v>
      </c>
      <c r="GEZ8">
        <v>0</v>
      </c>
      <c r="GFA8">
        <v>0</v>
      </c>
      <c r="GFB8">
        <v>0</v>
      </c>
      <c r="GFC8">
        <v>0</v>
      </c>
      <c r="GFD8">
        <v>0</v>
      </c>
      <c r="GFE8">
        <v>0</v>
      </c>
      <c r="GFF8">
        <v>0</v>
      </c>
      <c r="GFG8">
        <v>0</v>
      </c>
      <c r="GFH8">
        <v>0</v>
      </c>
      <c r="GFI8">
        <v>0</v>
      </c>
      <c r="GFJ8">
        <v>1275</v>
      </c>
      <c r="GFK8">
        <v>0</v>
      </c>
      <c r="GFL8">
        <v>0</v>
      </c>
      <c r="GFM8">
        <v>402.98</v>
      </c>
      <c r="GFN8">
        <v>0</v>
      </c>
      <c r="GFO8">
        <v>0</v>
      </c>
      <c r="GFP8">
        <v>0</v>
      </c>
      <c r="GFQ8">
        <v>2728.91</v>
      </c>
      <c r="GFR8">
        <v>0</v>
      </c>
      <c r="GFS8">
        <v>1990.93</v>
      </c>
      <c r="GFT8">
        <v>999.01</v>
      </c>
      <c r="GFU8">
        <v>392.01</v>
      </c>
      <c r="GFV8">
        <v>0</v>
      </c>
      <c r="GFW8">
        <v>0</v>
      </c>
      <c r="GFX8">
        <v>0</v>
      </c>
      <c r="GFY8">
        <v>0</v>
      </c>
      <c r="GFZ8">
        <v>0</v>
      </c>
      <c r="GGA8">
        <v>156</v>
      </c>
      <c r="GGB8">
        <v>0</v>
      </c>
      <c r="GGC8">
        <v>0</v>
      </c>
      <c r="GGD8">
        <v>0</v>
      </c>
      <c r="GGE8">
        <v>0</v>
      </c>
      <c r="GGF8">
        <v>0</v>
      </c>
      <c r="GGG8">
        <v>0</v>
      </c>
      <c r="GGH8">
        <v>0</v>
      </c>
      <c r="GGI8">
        <v>0</v>
      </c>
      <c r="GGJ8">
        <v>0</v>
      </c>
      <c r="GGK8">
        <v>0</v>
      </c>
      <c r="GGL8">
        <v>1059.97</v>
      </c>
      <c r="GGM8">
        <v>0</v>
      </c>
      <c r="GGN8">
        <v>528.98</v>
      </c>
      <c r="GGO8">
        <v>0</v>
      </c>
      <c r="GGP8">
        <v>0</v>
      </c>
      <c r="GGQ8">
        <v>0</v>
      </c>
      <c r="GGR8">
        <v>2117.9</v>
      </c>
      <c r="GGS8">
        <v>0</v>
      </c>
      <c r="GGT8">
        <v>0</v>
      </c>
      <c r="GGU8">
        <v>0</v>
      </c>
      <c r="GGV8">
        <v>0</v>
      </c>
      <c r="GGW8">
        <v>0</v>
      </c>
      <c r="GGX8">
        <v>0</v>
      </c>
      <c r="GGY8">
        <v>3100.98</v>
      </c>
      <c r="GGZ8">
        <v>0</v>
      </c>
      <c r="GHA8">
        <v>63</v>
      </c>
      <c r="GHB8">
        <v>0</v>
      </c>
      <c r="GHC8">
        <v>58</v>
      </c>
      <c r="GHD8">
        <v>0</v>
      </c>
      <c r="GHE8">
        <v>0</v>
      </c>
      <c r="GHF8">
        <v>0</v>
      </c>
      <c r="GHG8">
        <v>0</v>
      </c>
      <c r="GHH8">
        <v>0</v>
      </c>
      <c r="GHI8">
        <v>162</v>
      </c>
      <c r="GHJ8">
        <v>0</v>
      </c>
      <c r="GHK8">
        <v>0</v>
      </c>
      <c r="GHL8">
        <v>17</v>
      </c>
      <c r="GHM8">
        <v>289</v>
      </c>
      <c r="GHN8">
        <v>0</v>
      </c>
      <c r="GHO8">
        <v>29</v>
      </c>
      <c r="GHP8">
        <v>0</v>
      </c>
      <c r="GHQ8">
        <v>0</v>
      </c>
      <c r="GHR8">
        <v>54</v>
      </c>
      <c r="GHS8">
        <v>535</v>
      </c>
      <c r="GHT8">
        <v>0</v>
      </c>
      <c r="GHU8">
        <v>0</v>
      </c>
      <c r="GHV8">
        <v>0</v>
      </c>
      <c r="GHW8">
        <v>0</v>
      </c>
      <c r="GHX8">
        <v>0</v>
      </c>
      <c r="GHY8">
        <v>0</v>
      </c>
      <c r="GHZ8">
        <v>2062.9899999999998</v>
      </c>
      <c r="GIA8">
        <v>0</v>
      </c>
      <c r="GIB8">
        <v>0</v>
      </c>
      <c r="GIC8">
        <v>89</v>
      </c>
      <c r="GID8">
        <v>0</v>
      </c>
      <c r="GIE8">
        <v>0</v>
      </c>
      <c r="GIF8">
        <v>0</v>
      </c>
      <c r="GIG8">
        <v>0</v>
      </c>
      <c r="GIH8">
        <v>169</v>
      </c>
      <c r="GII8">
        <v>3459</v>
      </c>
      <c r="GIJ8">
        <v>0</v>
      </c>
      <c r="GIK8">
        <v>0</v>
      </c>
      <c r="GIL8">
        <v>0</v>
      </c>
      <c r="GIM8">
        <v>0</v>
      </c>
      <c r="GIN8">
        <v>3557.9</v>
      </c>
      <c r="GIO8">
        <v>0</v>
      </c>
      <c r="GIP8">
        <v>0</v>
      </c>
      <c r="GIQ8">
        <v>209</v>
      </c>
      <c r="GIR8">
        <v>0</v>
      </c>
      <c r="GIS8">
        <v>0</v>
      </c>
      <c r="GIT8">
        <v>0</v>
      </c>
      <c r="GIU8">
        <v>1990.99</v>
      </c>
      <c r="GIV8">
        <v>0</v>
      </c>
      <c r="GIW8">
        <v>0</v>
      </c>
      <c r="GIX8">
        <v>0</v>
      </c>
      <c r="GIY8">
        <v>163</v>
      </c>
      <c r="GIZ8">
        <v>0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30</v>
      </c>
      <c r="GJH8">
        <v>0</v>
      </c>
      <c r="GJI8">
        <v>870.99</v>
      </c>
      <c r="GJJ8">
        <v>0</v>
      </c>
      <c r="GJK8">
        <v>0</v>
      </c>
      <c r="GJL8">
        <v>0</v>
      </c>
      <c r="GJM8">
        <v>0</v>
      </c>
      <c r="GJN8">
        <v>0</v>
      </c>
      <c r="GJO8">
        <v>4080.86</v>
      </c>
      <c r="GJP8">
        <v>0</v>
      </c>
      <c r="GJQ8">
        <v>10</v>
      </c>
      <c r="GJR8">
        <v>73</v>
      </c>
      <c r="GJS8">
        <v>0</v>
      </c>
      <c r="GJT8">
        <v>22</v>
      </c>
      <c r="GJU8">
        <v>0</v>
      </c>
      <c r="GJV8">
        <v>0</v>
      </c>
      <c r="GJW8">
        <v>0</v>
      </c>
      <c r="GJX8">
        <v>0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419.99</v>
      </c>
      <c r="GKF8">
        <v>0</v>
      </c>
      <c r="GKG8">
        <v>0</v>
      </c>
      <c r="GKH8">
        <v>0</v>
      </c>
      <c r="GKI8">
        <v>0</v>
      </c>
      <c r="GKJ8">
        <v>0</v>
      </c>
      <c r="GKK8">
        <v>15.99</v>
      </c>
      <c r="GKL8">
        <v>23</v>
      </c>
      <c r="GKM8">
        <v>1536.95</v>
      </c>
      <c r="GKN8">
        <v>0</v>
      </c>
      <c r="GKO8">
        <v>0</v>
      </c>
      <c r="GKP8">
        <v>0</v>
      </c>
      <c r="GKQ8">
        <v>4411</v>
      </c>
      <c r="GKR8">
        <v>0</v>
      </c>
      <c r="GKS8">
        <v>0</v>
      </c>
      <c r="GKT8">
        <v>29</v>
      </c>
      <c r="GKU8">
        <v>0</v>
      </c>
      <c r="GKV8">
        <v>218</v>
      </c>
      <c r="GKW8">
        <v>0</v>
      </c>
      <c r="GKX8">
        <v>0</v>
      </c>
      <c r="GKY8">
        <v>0</v>
      </c>
      <c r="GKZ8">
        <v>0</v>
      </c>
      <c r="GLA8">
        <v>118</v>
      </c>
      <c r="GLB8">
        <v>0</v>
      </c>
      <c r="GLC8">
        <v>0</v>
      </c>
      <c r="GLD8">
        <v>157</v>
      </c>
      <c r="GLE8">
        <v>721.99</v>
      </c>
      <c r="GLF8">
        <v>75</v>
      </c>
      <c r="GLG8">
        <v>4859.95</v>
      </c>
      <c r="GLH8">
        <v>0</v>
      </c>
      <c r="GLI8">
        <v>0</v>
      </c>
      <c r="GLJ8">
        <v>0</v>
      </c>
      <c r="GLK8">
        <v>0</v>
      </c>
      <c r="GLL8">
        <v>0</v>
      </c>
      <c r="GLM8">
        <v>0</v>
      </c>
      <c r="GLN8">
        <v>0</v>
      </c>
      <c r="GLO8">
        <v>0</v>
      </c>
      <c r="GLP8">
        <v>0</v>
      </c>
      <c r="GLQ8">
        <v>0</v>
      </c>
      <c r="GLR8">
        <v>0</v>
      </c>
      <c r="GLS8">
        <v>0</v>
      </c>
      <c r="GLT8">
        <v>245.02</v>
      </c>
      <c r="GLU8">
        <v>460.99</v>
      </c>
      <c r="GLV8">
        <v>0</v>
      </c>
      <c r="GLW8">
        <v>0</v>
      </c>
      <c r="GLX8">
        <v>0</v>
      </c>
      <c r="GLY8">
        <v>0</v>
      </c>
      <c r="GLZ8">
        <v>2270.9899999999998</v>
      </c>
      <c r="GMA8">
        <v>0</v>
      </c>
      <c r="GMB8">
        <v>0</v>
      </c>
      <c r="GMC8">
        <v>0</v>
      </c>
      <c r="GMD8">
        <v>0</v>
      </c>
      <c r="GME8">
        <v>0</v>
      </c>
      <c r="GMF8">
        <v>2085.91</v>
      </c>
      <c r="GMG8">
        <v>0</v>
      </c>
      <c r="GMH8">
        <v>0</v>
      </c>
      <c r="GMI8">
        <v>0</v>
      </c>
      <c r="GMJ8">
        <v>2341</v>
      </c>
      <c r="GMK8">
        <v>0</v>
      </c>
      <c r="GML8">
        <v>0</v>
      </c>
      <c r="GMM8">
        <v>73</v>
      </c>
      <c r="GMN8">
        <v>316.99</v>
      </c>
      <c r="GMO8">
        <v>0</v>
      </c>
      <c r="GMP8">
        <v>0</v>
      </c>
      <c r="GMQ8">
        <v>1342.03</v>
      </c>
      <c r="GMR8">
        <v>0</v>
      </c>
      <c r="GMS8">
        <v>0</v>
      </c>
      <c r="GMT8">
        <v>0</v>
      </c>
      <c r="GMU8">
        <v>0</v>
      </c>
      <c r="GMV8">
        <v>148.99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5395.96</v>
      </c>
      <c r="GNC8">
        <v>96</v>
      </c>
      <c r="GND8">
        <v>0</v>
      </c>
      <c r="GNE8">
        <v>0</v>
      </c>
      <c r="GNF8">
        <v>9</v>
      </c>
      <c r="GNG8">
        <v>0</v>
      </c>
      <c r="GNH8">
        <v>0</v>
      </c>
      <c r="GNI8">
        <v>0</v>
      </c>
      <c r="GNJ8">
        <v>533.99</v>
      </c>
      <c r="GNK8">
        <v>0</v>
      </c>
      <c r="GNL8">
        <v>1831.92</v>
      </c>
      <c r="GNM8">
        <v>58</v>
      </c>
      <c r="GNN8">
        <v>0</v>
      </c>
      <c r="GNO8">
        <v>860.01</v>
      </c>
      <c r="GNP8">
        <v>292</v>
      </c>
      <c r="GNQ8">
        <v>0</v>
      </c>
      <c r="GNR8">
        <v>5</v>
      </c>
      <c r="GNS8">
        <v>0</v>
      </c>
      <c r="GNT8">
        <v>0</v>
      </c>
      <c r="GNU8">
        <v>18</v>
      </c>
      <c r="GNV8">
        <v>76.989999999999995</v>
      </c>
      <c r="GNW8">
        <v>1445</v>
      </c>
      <c r="GNX8">
        <v>0</v>
      </c>
      <c r="GNY8">
        <v>2518.98</v>
      </c>
      <c r="GNZ8">
        <v>0</v>
      </c>
      <c r="GOA8">
        <v>0</v>
      </c>
      <c r="GOB8">
        <v>237</v>
      </c>
      <c r="GOC8">
        <v>210</v>
      </c>
      <c r="GOD8">
        <v>0</v>
      </c>
      <c r="GOE8">
        <v>0</v>
      </c>
      <c r="GOF8">
        <v>0</v>
      </c>
      <c r="GOG8">
        <v>1868</v>
      </c>
      <c r="GOH8">
        <v>669.97</v>
      </c>
      <c r="GOI8">
        <v>358</v>
      </c>
      <c r="GOJ8">
        <v>0</v>
      </c>
      <c r="GOK8">
        <v>0</v>
      </c>
      <c r="GOL8">
        <v>0</v>
      </c>
      <c r="GOM8">
        <v>2207.91</v>
      </c>
      <c r="GON8">
        <v>723.96</v>
      </c>
      <c r="GOO8">
        <v>268.01</v>
      </c>
      <c r="GOP8">
        <v>0</v>
      </c>
      <c r="GOQ8">
        <v>0</v>
      </c>
      <c r="GOR8">
        <v>0</v>
      </c>
      <c r="GOS8">
        <v>264</v>
      </c>
      <c r="GOT8">
        <v>668.99</v>
      </c>
      <c r="GOU8">
        <v>35</v>
      </c>
      <c r="GOV8">
        <v>0</v>
      </c>
      <c r="GOW8">
        <v>0</v>
      </c>
      <c r="GOX8">
        <v>9485.7199999999993</v>
      </c>
      <c r="GOY8">
        <v>0</v>
      </c>
      <c r="GOZ8">
        <v>164</v>
      </c>
      <c r="GPA8">
        <v>0</v>
      </c>
      <c r="GPB8">
        <v>220.98</v>
      </c>
      <c r="GPC8">
        <v>0</v>
      </c>
      <c r="GPD8">
        <v>108</v>
      </c>
      <c r="GPE8">
        <v>5780.85</v>
      </c>
      <c r="GPF8">
        <v>0</v>
      </c>
      <c r="GPG8">
        <v>0</v>
      </c>
      <c r="GPH8">
        <v>746.99</v>
      </c>
      <c r="GPI8">
        <v>1584.01</v>
      </c>
      <c r="GPJ8">
        <v>28</v>
      </c>
      <c r="GPK8">
        <v>0</v>
      </c>
      <c r="GPL8">
        <v>0</v>
      </c>
      <c r="GPM8">
        <v>0</v>
      </c>
      <c r="GPN8">
        <v>19</v>
      </c>
      <c r="GPO8">
        <v>3509.95</v>
      </c>
      <c r="GPP8">
        <v>0</v>
      </c>
      <c r="GPQ8">
        <v>767.01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0</v>
      </c>
      <c r="GPX8">
        <v>1006.96</v>
      </c>
      <c r="GPY8">
        <v>477.99</v>
      </c>
      <c r="GPZ8">
        <v>0</v>
      </c>
      <c r="GQA8">
        <v>3</v>
      </c>
      <c r="GQB8">
        <v>416</v>
      </c>
      <c r="GQC8">
        <v>0</v>
      </c>
      <c r="GQD8">
        <v>117</v>
      </c>
      <c r="GQE8">
        <v>4382.01</v>
      </c>
      <c r="GQF8">
        <v>669.01</v>
      </c>
      <c r="GQG8">
        <v>713.99</v>
      </c>
      <c r="GQH8">
        <v>0</v>
      </c>
      <c r="GQI8">
        <v>629</v>
      </c>
      <c r="GQJ8">
        <v>0</v>
      </c>
      <c r="GQK8">
        <v>3536.99</v>
      </c>
      <c r="GQL8">
        <v>0</v>
      </c>
      <c r="GQM8">
        <v>52</v>
      </c>
      <c r="GQN8">
        <v>0</v>
      </c>
      <c r="GQO8">
        <v>0</v>
      </c>
      <c r="GQP8">
        <v>0</v>
      </c>
      <c r="GQQ8">
        <v>928.97</v>
      </c>
      <c r="GQR8">
        <v>1294.95</v>
      </c>
      <c r="GQS8">
        <v>6152.88</v>
      </c>
      <c r="GQT8">
        <v>1033.97</v>
      </c>
      <c r="GQU8">
        <v>0</v>
      </c>
      <c r="GQV8">
        <v>471.14</v>
      </c>
      <c r="GQW8">
        <v>0</v>
      </c>
      <c r="GQX8">
        <v>373.99</v>
      </c>
      <c r="GQY8">
        <v>1301.96</v>
      </c>
      <c r="GQZ8">
        <v>0</v>
      </c>
      <c r="GRA8">
        <v>144</v>
      </c>
      <c r="GRB8">
        <v>469</v>
      </c>
      <c r="GRC8">
        <v>1217</v>
      </c>
      <c r="GRD8">
        <v>442</v>
      </c>
      <c r="GRE8">
        <v>0</v>
      </c>
      <c r="GRF8">
        <v>105</v>
      </c>
      <c r="GRG8">
        <v>906</v>
      </c>
      <c r="GRH8">
        <v>5648.06</v>
      </c>
      <c r="GRI8">
        <v>884</v>
      </c>
      <c r="GRJ8">
        <v>0</v>
      </c>
      <c r="GRK8">
        <v>7234.81</v>
      </c>
      <c r="GRL8">
        <v>1159.04</v>
      </c>
      <c r="GRM8">
        <v>699.06</v>
      </c>
      <c r="GRN8">
        <v>0</v>
      </c>
      <c r="GRO8">
        <v>460.99</v>
      </c>
      <c r="GRP8">
        <v>2571</v>
      </c>
      <c r="GRQ8">
        <v>234</v>
      </c>
      <c r="GRR8">
        <v>225</v>
      </c>
      <c r="GRS8">
        <v>604.04</v>
      </c>
      <c r="GRT8">
        <v>422.99</v>
      </c>
      <c r="GRU8">
        <v>4118.8500000000004</v>
      </c>
      <c r="GRV8">
        <v>8544.8799999999992</v>
      </c>
      <c r="GRW8">
        <v>1077</v>
      </c>
      <c r="GRX8">
        <v>500.99</v>
      </c>
      <c r="GRY8">
        <v>225</v>
      </c>
      <c r="GRZ8">
        <v>6033.86</v>
      </c>
      <c r="GSA8">
        <v>3780.01</v>
      </c>
      <c r="GSB8">
        <v>1029.1199999999999</v>
      </c>
      <c r="GSC8">
        <v>6168.91</v>
      </c>
      <c r="GSD8">
        <v>1209</v>
      </c>
      <c r="GSE8">
        <v>499.99</v>
      </c>
      <c r="GSF8">
        <v>4606.95</v>
      </c>
      <c r="GSG8">
        <v>825.98</v>
      </c>
      <c r="GSH8">
        <v>632.01</v>
      </c>
      <c r="GSI8">
        <v>3890.92</v>
      </c>
      <c r="GSJ8">
        <v>29</v>
      </c>
      <c r="GSK8">
        <v>156</v>
      </c>
      <c r="GSL8">
        <v>560</v>
      </c>
      <c r="GSM8">
        <v>676</v>
      </c>
      <c r="GSN8">
        <v>0</v>
      </c>
      <c r="GSO8">
        <v>1931.95</v>
      </c>
      <c r="GSP8">
        <v>2418.91</v>
      </c>
      <c r="GSQ8">
        <v>23374.46</v>
      </c>
      <c r="GSR8">
        <v>296390.52</v>
      </c>
    </row>
    <row r="9" spans="1:5244" x14ac:dyDescent="0.2">
      <c r="A9" s="7">
        <v>48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4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5</v>
      </c>
      <c r="CA9">
        <v>5</v>
      </c>
      <c r="CB9">
        <v>5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6</v>
      </c>
      <c r="DW9">
        <v>6</v>
      </c>
      <c r="DX9">
        <v>6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7</v>
      </c>
      <c r="GT9">
        <v>7</v>
      </c>
      <c r="GU9">
        <v>7</v>
      </c>
      <c r="GV9">
        <v>7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8</v>
      </c>
      <c r="IT9">
        <v>8</v>
      </c>
      <c r="IU9">
        <v>8</v>
      </c>
      <c r="IV9">
        <v>8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4</v>
      </c>
      <c r="KK9">
        <v>0</v>
      </c>
      <c r="KL9">
        <v>0</v>
      </c>
      <c r="KM9">
        <v>0</v>
      </c>
      <c r="KN9">
        <v>9</v>
      </c>
      <c r="KO9">
        <v>9</v>
      </c>
      <c r="KP9">
        <v>9</v>
      </c>
      <c r="KQ9">
        <v>9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4</v>
      </c>
      <c r="PB9">
        <v>11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12</v>
      </c>
      <c r="RE9">
        <v>12</v>
      </c>
      <c r="RF9">
        <v>12</v>
      </c>
      <c r="RG9">
        <v>12</v>
      </c>
      <c r="RH9">
        <v>12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13</v>
      </c>
      <c r="TL9">
        <v>13</v>
      </c>
      <c r="TM9">
        <v>13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5.99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14</v>
      </c>
      <c r="VL9">
        <v>7</v>
      </c>
      <c r="VM9">
        <v>14</v>
      </c>
      <c r="VN9">
        <v>14</v>
      </c>
      <c r="VO9">
        <v>14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14.99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15</v>
      </c>
      <c r="XU9">
        <v>15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12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16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17</v>
      </c>
      <c r="ABI9">
        <v>17</v>
      </c>
      <c r="ABJ9">
        <v>17</v>
      </c>
      <c r="ABK9">
        <v>17</v>
      </c>
      <c r="ABL9">
        <v>17</v>
      </c>
      <c r="ABM9">
        <v>17</v>
      </c>
      <c r="ABN9">
        <v>17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18</v>
      </c>
      <c r="ADI9">
        <v>18</v>
      </c>
      <c r="ADJ9">
        <v>18</v>
      </c>
      <c r="ADK9">
        <v>18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4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19</v>
      </c>
      <c r="AFW9">
        <v>19</v>
      </c>
      <c r="AFX9">
        <v>19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14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20</v>
      </c>
      <c r="AHZ9">
        <v>20</v>
      </c>
      <c r="AIA9">
        <v>20</v>
      </c>
      <c r="AIB9">
        <v>20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21</v>
      </c>
      <c r="AKE9">
        <v>21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22</v>
      </c>
      <c r="AMA9">
        <v>22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23</v>
      </c>
      <c r="ANT9">
        <v>23</v>
      </c>
      <c r="ANU9">
        <v>7</v>
      </c>
      <c r="ANV9">
        <v>16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24</v>
      </c>
      <c r="APB9">
        <v>24</v>
      </c>
      <c r="APC9">
        <v>24</v>
      </c>
      <c r="APD9">
        <v>7</v>
      </c>
      <c r="APE9">
        <v>19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25</v>
      </c>
      <c r="AQN9">
        <v>25</v>
      </c>
      <c r="AQO9">
        <v>25</v>
      </c>
      <c r="AQP9">
        <v>25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25.99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14</v>
      </c>
      <c r="ASO9">
        <v>0</v>
      </c>
      <c r="ASP9">
        <v>26</v>
      </c>
      <c r="ASQ9">
        <v>26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27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27.99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28</v>
      </c>
      <c r="AVK9">
        <v>9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28.99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16</v>
      </c>
      <c r="AYD9">
        <v>30</v>
      </c>
      <c r="AYE9">
        <v>30</v>
      </c>
      <c r="AYF9">
        <v>30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8</v>
      </c>
      <c r="BAQ9">
        <v>0</v>
      </c>
      <c r="BAR9">
        <v>0</v>
      </c>
      <c r="BAS9">
        <v>0</v>
      </c>
      <c r="BAT9">
        <v>32</v>
      </c>
      <c r="BAU9">
        <v>32</v>
      </c>
      <c r="BAV9">
        <v>25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33</v>
      </c>
      <c r="BCE9">
        <v>33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34</v>
      </c>
      <c r="BDO9">
        <v>34</v>
      </c>
      <c r="BDP9">
        <v>34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9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35</v>
      </c>
      <c r="BFK9">
        <v>35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36</v>
      </c>
      <c r="BGN9">
        <v>36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36.99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37</v>
      </c>
      <c r="BHQ9">
        <v>37</v>
      </c>
      <c r="BHR9">
        <v>37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33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3</v>
      </c>
      <c r="BJD9">
        <v>38</v>
      </c>
      <c r="BJE9">
        <v>38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13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8</v>
      </c>
      <c r="BKH9">
        <v>0</v>
      </c>
      <c r="BKI9">
        <v>0</v>
      </c>
      <c r="BKJ9">
        <v>39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40</v>
      </c>
      <c r="BLN9">
        <v>40</v>
      </c>
      <c r="BLO9">
        <v>40</v>
      </c>
      <c r="BLP9">
        <v>40</v>
      </c>
      <c r="BLQ9">
        <v>40</v>
      </c>
      <c r="BLR9">
        <v>11</v>
      </c>
      <c r="BLS9">
        <v>40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13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8</v>
      </c>
      <c r="BNL9">
        <v>21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35</v>
      </c>
      <c r="BOK9">
        <v>0</v>
      </c>
      <c r="BOL9">
        <v>0</v>
      </c>
      <c r="BOM9">
        <v>0</v>
      </c>
      <c r="BON9">
        <v>0</v>
      </c>
      <c r="BOO9">
        <v>35</v>
      </c>
      <c r="BOP9">
        <v>0</v>
      </c>
      <c r="BOQ9">
        <v>43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44</v>
      </c>
      <c r="BPQ9">
        <v>44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10.99</v>
      </c>
      <c r="BQE9">
        <v>44.99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19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47</v>
      </c>
      <c r="BSI9">
        <v>27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47.99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36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20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51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52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26</v>
      </c>
      <c r="BXO9">
        <v>0</v>
      </c>
      <c r="BXP9">
        <v>0</v>
      </c>
      <c r="BXQ9">
        <v>0</v>
      </c>
      <c r="BXR9">
        <v>0</v>
      </c>
      <c r="BXS9">
        <v>53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36.99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17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54.99</v>
      </c>
      <c r="BYU9">
        <v>0</v>
      </c>
      <c r="BYV9">
        <v>0</v>
      </c>
      <c r="BYW9">
        <v>0</v>
      </c>
      <c r="BYX9">
        <v>0</v>
      </c>
      <c r="BYY9">
        <v>0</v>
      </c>
      <c r="BYZ9">
        <v>0</v>
      </c>
      <c r="BZA9">
        <v>0</v>
      </c>
      <c r="BZB9">
        <v>0</v>
      </c>
      <c r="BZC9">
        <v>0</v>
      </c>
      <c r="BZD9">
        <v>0</v>
      </c>
      <c r="BZE9">
        <v>0</v>
      </c>
      <c r="BZF9">
        <v>0</v>
      </c>
      <c r="BZG9">
        <v>0</v>
      </c>
      <c r="BZH9">
        <v>40</v>
      </c>
      <c r="BZI9">
        <v>0</v>
      </c>
      <c r="BZJ9">
        <v>0</v>
      </c>
      <c r="BZK9">
        <v>0</v>
      </c>
      <c r="BZL9">
        <v>0</v>
      </c>
      <c r="BZM9">
        <v>0</v>
      </c>
      <c r="BZN9">
        <v>0</v>
      </c>
      <c r="BZO9">
        <v>0</v>
      </c>
      <c r="BZP9">
        <v>0</v>
      </c>
      <c r="BZQ9">
        <v>0</v>
      </c>
      <c r="BZR9">
        <v>0</v>
      </c>
      <c r="BZS9">
        <v>0</v>
      </c>
      <c r="BZT9">
        <v>0</v>
      </c>
      <c r="BZU9">
        <v>0</v>
      </c>
      <c r="BZV9">
        <v>0</v>
      </c>
      <c r="BZW9">
        <v>0</v>
      </c>
      <c r="BZX9">
        <v>0</v>
      </c>
      <c r="BZY9">
        <v>0</v>
      </c>
      <c r="BZZ9">
        <v>35</v>
      </c>
      <c r="CAA9">
        <v>0</v>
      </c>
      <c r="CAB9">
        <v>0</v>
      </c>
      <c r="CAC9">
        <v>0</v>
      </c>
      <c r="CAD9">
        <v>0</v>
      </c>
      <c r="CAE9">
        <v>0</v>
      </c>
      <c r="CAF9">
        <v>0</v>
      </c>
      <c r="CAG9">
        <v>0</v>
      </c>
      <c r="CAH9">
        <v>0</v>
      </c>
      <c r="CAI9">
        <v>0</v>
      </c>
      <c r="CAJ9">
        <v>0</v>
      </c>
      <c r="CAK9">
        <v>0</v>
      </c>
      <c r="CAL9">
        <v>57</v>
      </c>
      <c r="CAM9">
        <v>0</v>
      </c>
      <c r="CAN9">
        <v>0</v>
      </c>
      <c r="CAO9">
        <v>0</v>
      </c>
      <c r="CAP9">
        <v>0</v>
      </c>
      <c r="CAQ9">
        <v>0</v>
      </c>
      <c r="CAR9">
        <v>0</v>
      </c>
      <c r="CAS9">
        <v>0</v>
      </c>
      <c r="CAT9">
        <v>0</v>
      </c>
      <c r="CAU9">
        <v>0</v>
      </c>
      <c r="CAV9">
        <v>0</v>
      </c>
      <c r="CAW9">
        <v>0</v>
      </c>
      <c r="CAX9">
        <v>0</v>
      </c>
      <c r="CAY9">
        <v>0</v>
      </c>
      <c r="CAZ9">
        <v>0</v>
      </c>
      <c r="CBA9">
        <v>0</v>
      </c>
      <c r="CBB9">
        <v>0</v>
      </c>
      <c r="CBC9">
        <v>0</v>
      </c>
      <c r="CBD9">
        <v>0</v>
      </c>
      <c r="CBE9">
        <v>0</v>
      </c>
      <c r="CBF9">
        <v>0</v>
      </c>
      <c r="CBG9">
        <v>0</v>
      </c>
      <c r="CBH9">
        <v>0</v>
      </c>
      <c r="CBI9">
        <v>0</v>
      </c>
      <c r="CBJ9">
        <v>0</v>
      </c>
      <c r="CBK9">
        <v>0</v>
      </c>
      <c r="CBL9">
        <v>0</v>
      </c>
      <c r="CBM9">
        <v>0</v>
      </c>
      <c r="CBN9">
        <v>0</v>
      </c>
      <c r="CBO9">
        <v>0</v>
      </c>
      <c r="CBP9">
        <v>0</v>
      </c>
      <c r="CBQ9">
        <v>0</v>
      </c>
      <c r="CBR9">
        <v>0</v>
      </c>
      <c r="CBS9">
        <v>0</v>
      </c>
      <c r="CBT9">
        <v>0</v>
      </c>
      <c r="CBU9">
        <v>0</v>
      </c>
      <c r="CBV9">
        <v>0</v>
      </c>
      <c r="CBW9">
        <v>0</v>
      </c>
      <c r="CBX9">
        <v>0</v>
      </c>
      <c r="CBY9">
        <v>0</v>
      </c>
      <c r="CBZ9">
        <v>0</v>
      </c>
      <c r="CCA9">
        <v>0</v>
      </c>
      <c r="CCB9">
        <v>0</v>
      </c>
      <c r="CCC9">
        <v>0</v>
      </c>
      <c r="CCD9">
        <v>0</v>
      </c>
      <c r="CCE9">
        <v>0</v>
      </c>
      <c r="CCF9">
        <v>0</v>
      </c>
      <c r="CCG9">
        <v>0</v>
      </c>
      <c r="CCH9">
        <v>0</v>
      </c>
      <c r="CCI9">
        <v>0</v>
      </c>
      <c r="CCJ9">
        <v>0</v>
      </c>
      <c r="CCK9">
        <v>0</v>
      </c>
      <c r="CCL9">
        <v>0</v>
      </c>
      <c r="CCM9">
        <v>0</v>
      </c>
      <c r="CCN9">
        <v>0</v>
      </c>
      <c r="CCO9">
        <v>0</v>
      </c>
      <c r="CCP9">
        <v>0</v>
      </c>
      <c r="CCQ9">
        <v>0</v>
      </c>
      <c r="CCR9">
        <v>0</v>
      </c>
      <c r="CCS9">
        <v>0</v>
      </c>
      <c r="CCT9">
        <v>0</v>
      </c>
      <c r="CCU9">
        <v>0</v>
      </c>
      <c r="CCV9">
        <v>0</v>
      </c>
      <c r="CCW9">
        <v>0</v>
      </c>
      <c r="CCX9">
        <v>0</v>
      </c>
      <c r="CCY9">
        <v>0</v>
      </c>
      <c r="CCZ9">
        <v>0</v>
      </c>
      <c r="CDA9">
        <v>0</v>
      </c>
      <c r="CDB9">
        <v>0</v>
      </c>
      <c r="CDC9">
        <v>0</v>
      </c>
      <c r="CDD9">
        <v>0</v>
      </c>
      <c r="CDE9">
        <v>0</v>
      </c>
      <c r="CDF9">
        <v>0</v>
      </c>
      <c r="CDG9">
        <v>0</v>
      </c>
      <c r="CDH9">
        <v>0</v>
      </c>
      <c r="CDI9">
        <v>0</v>
      </c>
      <c r="CDJ9">
        <v>0</v>
      </c>
      <c r="CDK9">
        <v>0</v>
      </c>
      <c r="CDL9">
        <v>0</v>
      </c>
      <c r="CDM9">
        <v>0</v>
      </c>
      <c r="CDN9">
        <v>0</v>
      </c>
      <c r="CDO9">
        <v>0</v>
      </c>
      <c r="CDP9">
        <v>0</v>
      </c>
      <c r="CDQ9">
        <v>0</v>
      </c>
      <c r="CDR9">
        <v>0</v>
      </c>
      <c r="CDS9">
        <v>0</v>
      </c>
      <c r="CDT9">
        <v>0</v>
      </c>
      <c r="CDU9">
        <v>0</v>
      </c>
      <c r="CDV9">
        <v>0</v>
      </c>
      <c r="CDW9">
        <v>62</v>
      </c>
      <c r="CDX9">
        <v>0</v>
      </c>
      <c r="CDY9">
        <v>0</v>
      </c>
      <c r="CDZ9">
        <v>0</v>
      </c>
      <c r="CEA9">
        <v>0</v>
      </c>
      <c r="CEB9">
        <v>0</v>
      </c>
      <c r="CEC9">
        <v>0</v>
      </c>
      <c r="CED9">
        <v>0</v>
      </c>
      <c r="CEE9">
        <v>0</v>
      </c>
      <c r="CEF9">
        <v>0</v>
      </c>
      <c r="CEG9">
        <v>0</v>
      </c>
      <c r="CEH9">
        <v>0</v>
      </c>
      <c r="CEI9">
        <v>0</v>
      </c>
      <c r="CEJ9">
        <v>0</v>
      </c>
      <c r="CEK9">
        <v>0</v>
      </c>
      <c r="CEL9">
        <v>63</v>
      </c>
      <c r="CEM9">
        <v>0</v>
      </c>
      <c r="CEN9">
        <v>0</v>
      </c>
      <c r="CEO9">
        <v>0</v>
      </c>
      <c r="CEP9">
        <v>0</v>
      </c>
      <c r="CEQ9">
        <v>0</v>
      </c>
      <c r="CER9">
        <v>0</v>
      </c>
      <c r="CES9">
        <v>0</v>
      </c>
      <c r="CET9">
        <v>0</v>
      </c>
      <c r="CEU9">
        <v>0</v>
      </c>
      <c r="CEV9">
        <v>0</v>
      </c>
      <c r="CEW9">
        <v>0</v>
      </c>
      <c r="CEX9">
        <v>63.99</v>
      </c>
      <c r="CEY9">
        <v>0</v>
      </c>
      <c r="CEZ9">
        <v>0</v>
      </c>
      <c r="CFA9">
        <v>0</v>
      </c>
      <c r="CFB9">
        <v>0</v>
      </c>
      <c r="CFC9">
        <v>0</v>
      </c>
      <c r="CFD9">
        <v>0</v>
      </c>
      <c r="CFE9">
        <v>0</v>
      </c>
      <c r="CFF9">
        <v>0</v>
      </c>
      <c r="CFG9">
        <v>0</v>
      </c>
      <c r="CFH9">
        <v>64</v>
      </c>
      <c r="CFI9">
        <v>0</v>
      </c>
      <c r="CFJ9">
        <v>0</v>
      </c>
      <c r="CFK9">
        <v>0</v>
      </c>
      <c r="CFL9">
        <v>0</v>
      </c>
      <c r="CFM9">
        <v>0</v>
      </c>
      <c r="CFN9">
        <v>0</v>
      </c>
      <c r="CFO9">
        <v>0</v>
      </c>
      <c r="CFP9">
        <v>0</v>
      </c>
      <c r="CFQ9">
        <v>10</v>
      </c>
      <c r="CFR9">
        <v>0</v>
      </c>
      <c r="CFS9">
        <v>0</v>
      </c>
      <c r="CFT9">
        <v>0</v>
      </c>
      <c r="CFU9">
        <v>0</v>
      </c>
      <c r="CFV9">
        <v>0</v>
      </c>
      <c r="CFW9">
        <v>0</v>
      </c>
      <c r="CFX9">
        <v>0</v>
      </c>
      <c r="CFY9">
        <v>0</v>
      </c>
      <c r="CFZ9">
        <v>0</v>
      </c>
      <c r="CGA9">
        <v>24</v>
      </c>
      <c r="CGB9">
        <v>27</v>
      </c>
      <c r="CGC9">
        <v>0</v>
      </c>
      <c r="CGD9">
        <v>0</v>
      </c>
      <c r="CGE9">
        <v>0</v>
      </c>
      <c r="CGF9">
        <v>17</v>
      </c>
      <c r="CGG9">
        <v>65</v>
      </c>
      <c r="CGH9">
        <v>0</v>
      </c>
      <c r="CGI9">
        <v>0</v>
      </c>
      <c r="CGJ9">
        <v>0</v>
      </c>
      <c r="CGK9">
        <v>0</v>
      </c>
      <c r="CGL9">
        <v>0</v>
      </c>
      <c r="CGM9">
        <v>0</v>
      </c>
      <c r="CGN9">
        <v>0</v>
      </c>
      <c r="CGO9">
        <v>0</v>
      </c>
      <c r="CGP9">
        <v>0</v>
      </c>
      <c r="CGQ9">
        <v>0</v>
      </c>
      <c r="CGR9">
        <v>0</v>
      </c>
      <c r="CGS9">
        <v>0</v>
      </c>
      <c r="CGT9">
        <v>47</v>
      </c>
      <c r="CGU9">
        <v>0</v>
      </c>
      <c r="CGV9">
        <v>0</v>
      </c>
      <c r="CGW9">
        <v>0</v>
      </c>
      <c r="CGX9">
        <v>0</v>
      </c>
      <c r="CGY9">
        <v>0</v>
      </c>
      <c r="CGZ9">
        <v>0</v>
      </c>
      <c r="CHA9">
        <v>0</v>
      </c>
      <c r="CHB9">
        <v>0</v>
      </c>
      <c r="CHC9">
        <v>0</v>
      </c>
      <c r="CHD9">
        <v>0</v>
      </c>
      <c r="CHE9">
        <v>10</v>
      </c>
      <c r="CHF9">
        <v>0</v>
      </c>
      <c r="CHG9">
        <v>0</v>
      </c>
      <c r="CHH9">
        <v>0</v>
      </c>
      <c r="CHI9">
        <v>0</v>
      </c>
      <c r="CHJ9">
        <v>0</v>
      </c>
      <c r="CHK9">
        <v>0</v>
      </c>
      <c r="CHL9">
        <v>0</v>
      </c>
      <c r="CHM9">
        <v>0</v>
      </c>
      <c r="CHN9">
        <v>0</v>
      </c>
      <c r="CHO9">
        <v>0</v>
      </c>
      <c r="CHP9">
        <v>0</v>
      </c>
      <c r="CHQ9">
        <v>0</v>
      </c>
      <c r="CHR9">
        <v>0</v>
      </c>
      <c r="CHS9">
        <v>0</v>
      </c>
      <c r="CHT9">
        <v>0</v>
      </c>
      <c r="CHU9">
        <v>0</v>
      </c>
      <c r="CHV9">
        <v>0</v>
      </c>
      <c r="CHW9">
        <v>0</v>
      </c>
      <c r="CHX9">
        <v>0</v>
      </c>
      <c r="CHY9">
        <v>0</v>
      </c>
      <c r="CHZ9">
        <v>67.989999999999995</v>
      </c>
      <c r="CIA9">
        <v>0</v>
      </c>
      <c r="CIB9">
        <v>0</v>
      </c>
      <c r="CIC9">
        <v>0</v>
      </c>
      <c r="CID9">
        <v>0</v>
      </c>
      <c r="CIE9">
        <v>0</v>
      </c>
      <c r="CIF9">
        <v>0</v>
      </c>
      <c r="CIG9">
        <v>0</v>
      </c>
      <c r="CIH9">
        <v>0</v>
      </c>
      <c r="CII9">
        <v>0</v>
      </c>
      <c r="CIJ9">
        <v>0</v>
      </c>
      <c r="CIK9">
        <v>0</v>
      </c>
      <c r="CIL9">
        <v>0</v>
      </c>
      <c r="CIM9">
        <v>0</v>
      </c>
      <c r="CIN9">
        <v>0</v>
      </c>
      <c r="CIO9">
        <v>0</v>
      </c>
      <c r="CIP9">
        <v>0</v>
      </c>
      <c r="CIQ9">
        <v>0</v>
      </c>
      <c r="CIR9">
        <v>0</v>
      </c>
      <c r="CIS9">
        <v>0</v>
      </c>
      <c r="CIT9">
        <v>0</v>
      </c>
      <c r="CIU9">
        <v>0</v>
      </c>
      <c r="CIV9">
        <v>0</v>
      </c>
      <c r="CIW9">
        <v>0</v>
      </c>
      <c r="CIX9">
        <v>0</v>
      </c>
      <c r="CIY9">
        <v>0</v>
      </c>
      <c r="CIZ9">
        <v>0</v>
      </c>
      <c r="CJA9">
        <v>0</v>
      </c>
      <c r="CJB9">
        <v>0</v>
      </c>
      <c r="CJC9">
        <v>0</v>
      </c>
      <c r="CJD9">
        <v>0</v>
      </c>
      <c r="CJE9">
        <v>0</v>
      </c>
      <c r="CJF9">
        <v>0</v>
      </c>
      <c r="CJG9">
        <v>69</v>
      </c>
      <c r="CJH9">
        <v>0</v>
      </c>
      <c r="CJI9">
        <v>0</v>
      </c>
      <c r="CJJ9">
        <v>0</v>
      </c>
      <c r="CJK9">
        <v>0</v>
      </c>
      <c r="CJL9">
        <v>0</v>
      </c>
      <c r="CJM9">
        <v>0</v>
      </c>
      <c r="CJN9">
        <v>0</v>
      </c>
      <c r="CJO9">
        <v>0</v>
      </c>
      <c r="CJP9">
        <v>69.989999999999995</v>
      </c>
      <c r="CJQ9">
        <v>0</v>
      </c>
      <c r="CJR9">
        <v>0</v>
      </c>
      <c r="CJS9">
        <v>0</v>
      </c>
      <c r="CJT9">
        <v>0</v>
      </c>
      <c r="CJU9">
        <v>70</v>
      </c>
      <c r="CJV9">
        <v>21</v>
      </c>
      <c r="CJW9">
        <v>40</v>
      </c>
      <c r="CJX9">
        <v>0</v>
      </c>
      <c r="CJY9">
        <v>0</v>
      </c>
      <c r="CJZ9">
        <v>0</v>
      </c>
      <c r="CKA9">
        <v>0</v>
      </c>
      <c r="CKB9">
        <v>0</v>
      </c>
      <c r="CKC9">
        <v>0</v>
      </c>
      <c r="CKD9">
        <v>0</v>
      </c>
      <c r="CKE9">
        <v>0</v>
      </c>
      <c r="CKF9">
        <v>0</v>
      </c>
      <c r="CKG9">
        <v>0</v>
      </c>
      <c r="CKH9">
        <v>0</v>
      </c>
      <c r="CKI9">
        <v>0</v>
      </c>
      <c r="CKJ9">
        <v>0</v>
      </c>
      <c r="CKK9">
        <v>0</v>
      </c>
      <c r="CKL9">
        <v>0</v>
      </c>
      <c r="CKM9">
        <v>0</v>
      </c>
      <c r="CKN9">
        <v>0</v>
      </c>
      <c r="CKO9">
        <v>0</v>
      </c>
      <c r="CKP9">
        <v>0</v>
      </c>
      <c r="CKQ9">
        <v>0</v>
      </c>
      <c r="CKR9">
        <v>0</v>
      </c>
      <c r="CKS9">
        <v>0</v>
      </c>
      <c r="CKT9">
        <v>0</v>
      </c>
      <c r="CKU9">
        <v>0</v>
      </c>
      <c r="CKV9">
        <v>71.989999999999995</v>
      </c>
      <c r="CKW9">
        <v>0</v>
      </c>
      <c r="CKX9">
        <v>0</v>
      </c>
      <c r="CKY9">
        <v>0</v>
      </c>
      <c r="CKZ9">
        <v>0</v>
      </c>
      <c r="CLA9">
        <v>0</v>
      </c>
      <c r="CLB9">
        <v>24</v>
      </c>
      <c r="CLC9">
        <v>0</v>
      </c>
      <c r="CLD9">
        <v>0</v>
      </c>
      <c r="CLE9">
        <v>0</v>
      </c>
      <c r="CLF9">
        <v>0</v>
      </c>
      <c r="CLG9">
        <v>0</v>
      </c>
      <c r="CLH9">
        <v>72.989999999999995</v>
      </c>
      <c r="CLI9">
        <v>0</v>
      </c>
      <c r="CLJ9">
        <v>0</v>
      </c>
      <c r="CLK9">
        <v>0</v>
      </c>
      <c r="CLL9">
        <v>0</v>
      </c>
      <c r="CLM9">
        <v>0</v>
      </c>
      <c r="CLN9">
        <v>0</v>
      </c>
      <c r="CLO9">
        <v>0</v>
      </c>
      <c r="CLP9">
        <v>0</v>
      </c>
      <c r="CLQ9">
        <v>0</v>
      </c>
      <c r="CLR9">
        <v>0</v>
      </c>
      <c r="CLS9">
        <v>0</v>
      </c>
      <c r="CLT9">
        <v>0</v>
      </c>
      <c r="CLU9">
        <v>0</v>
      </c>
      <c r="CLV9">
        <v>0</v>
      </c>
      <c r="CLW9">
        <v>0</v>
      </c>
      <c r="CLX9">
        <v>0</v>
      </c>
      <c r="CLY9">
        <v>0</v>
      </c>
      <c r="CLZ9">
        <v>0</v>
      </c>
      <c r="CMA9">
        <v>0</v>
      </c>
      <c r="CMB9">
        <v>0</v>
      </c>
      <c r="CMC9">
        <v>0</v>
      </c>
      <c r="CMD9">
        <v>0</v>
      </c>
      <c r="CME9">
        <v>0</v>
      </c>
      <c r="CMF9">
        <v>0</v>
      </c>
      <c r="CMG9">
        <v>0</v>
      </c>
      <c r="CMH9">
        <v>0</v>
      </c>
      <c r="CMI9">
        <v>74.989999999999995</v>
      </c>
      <c r="CMJ9">
        <v>0</v>
      </c>
      <c r="CMK9">
        <v>0</v>
      </c>
      <c r="CML9">
        <v>0</v>
      </c>
      <c r="CMM9">
        <v>0</v>
      </c>
      <c r="CMN9">
        <v>0</v>
      </c>
      <c r="CMO9">
        <v>0</v>
      </c>
      <c r="CMP9">
        <v>0</v>
      </c>
      <c r="CMQ9">
        <v>0</v>
      </c>
      <c r="CMR9">
        <v>0</v>
      </c>
      <c r="CMS9">
        <v>0</v>
      </c>
      <c r="CMT9">
        <v>0</v>
      </c>
      <c r="CMU9">
        <v>0</v>
      </c>
      <c r="CMV9">
        <v>0</v>
      </c>
      <c r="CMW9">
        <v>0</v>
      </c>
      <c r="CMX9">
        <v>0</v>
      </c>
      <c r="CMY9">
        <v>0</v>
      </c>
      <c r="CMZ9">
        <v>0</v>
      </c>
      <c r="CNA9">
        <v>0</v>
      </c>
      <c r="CNB9">
        <v>0</v>
      </c>
      <c r="CNC9">
        <v>0</v>
      </c>
      <c r="CND9">
        <v>0</v>
      </c>
      <c r="CNE9">
        <v>0</v>
      </c>
      <c r="CNF9">
        <v>0</v>
      </c>
      <c r="CNG9">
        <v>0</v>
      </c>
      <c r="CNH9">
        <v>0</v>
      </c>
      <c r="CNI9">
        <v>0</v>
      </c>
      <c r="CNJ9">
        <v>0</v>
      </c>
      <c r="CNK9">
        <v>0</v>
      </c>
      <c r="CNL9">
        <v>0</v>
      </c>
      <c r="CNM9">
        <v>0</v>
      </c>
      <c r="CNN9">
        <v>0</v>
      </c>
      <c r="CNO9">
        <v>0</v>
      </c>
      <c r="CNP9">
        <v>0</v>
      </c>
      <c r="CNQ9">
        <v>0</v>
      </c>
      <c r="CNR9">
        <v>0</v>
      </c>
      <c r="CNS9">
        <v>0</v>
      </c>
      <c r="CNT9">
        <v>0</v>
      </c>
      <c r="CNU9">
        <v>0</v>
      </c>
      <c r="CNV9">
        <v>0</v>
      </c>
      <c r="CNW9">
        <v>0</v>
      </c>
      <c r="CNX9">
        <v>0</v>
      </c>
      <c r="CNY9">
        <v>0</v>
      </c>
      <c r="CNZ9">
        <v>0</v>
      </c>
      <c r="COA9">
        <v>0</v>
      </c>
      <c r="COB9">
        <v>0</v>
      </c>
      <c r="COC9">
        <v>0</v>
      </c>
      <c r="COD9">
        <v>0</v>
      </c>
      <c r="COE9">
        <v>0</v>
      </c>
      <c r="COF9">
        <v>0</v>
      </c>
      <c r="COG9">
        <v>0</v>
      </c>
      <c r="COH9">
        <v>0</v>
      </c>
      <c r="COI9">
        <v>0</v>
      </c>
      <c r="COJ9">
        <v>0</v>
      </c>
      <c r="COK9">
        <v>0</v>
      </c>
      <c r="COL9">
        <v>0</v>
      </c>
      <c r="COM9">
        <v>0</v>
      </c>
      <c r="CON9">
        <v>0</v>
      </c>
      <c r="COO9">
        <v>0</v>
      </c>
      <c r="COP9">
        <v>0</v>
      </c>
      <c r="COQ9">
        <v>0</v>
      </c>
      <c r="COR9">
        <v>0</v>
      </c>
      <c r="COS9">
        <v>0</v>
      </c>
      <c r="COT9">
        <v>0</v>
      </c>
      <c r="COU9">
        <v>0</v>
      </c>
      <c r="COV9">
        <v>0</v>
      </c>
      <c r="COW9">
        <v>0</v>
      </c>
      <c r="COX9">
        <v>16</v>
      </c>
      <c r="COY9">
        <v>0</v>
      </c>
      <c r="COZ9">
        <v>0</v>
      </c>
      <c r="CPA9">
        <v>36</v>
      </c>
      <c r="CPB9">
        <v>0</v>
      </c>
      <c r="CPC9">
        <v>0</v>
      </c>
      <c r="CPD9">
        <v>0</v>
      </c>
      <c r="CPE9">
        <v>0</v>
      </c>
      <c r="CPF9">
        <v>0</v>
      </c>
      <c r="CPG9">
        <v>0</v>
      </c>
      <c r="CPH9">
        <v>0</v>
      </c>
      <c r="CPI9">
        <v>0</v>
      </c>
      <c r="CPJ9">
        <v>0</v>
      </c>
      <c r="CPK9">
        <v>0</v>
      </c>
      <c r="CPL9">
        <v>0</v>
      </c>
      <c r="CPM9">
        <v>0</v>
      </c>
      <c r="CPN9">
        <v>0</v>
      </c>
      <c r="CPO9">
        <v>0</v>
      </c>
      <c r="CPP9">
        <v>0</v>
      </c>
      <c r="CPQ9">
        <v>0</v>
      </c>
      <c r="CPR9">
        <v>0</v>
      </c>
      <c r="CPS9">
        <v>0</v>
      </c>
      <c r="CPT9">
        <v>0</v>
      </c>
      <c r="CPU9">
        <v>0</v>
      </c>
      <c r="CPV9">
        <v>0</v>
      </c>
      <c r="CPW9">
        <v>0</v>
      </c>
      <c r="CPX9">
        <v>0</v>
      </c>
      <c r="CPY9">
        <v>0</v>
      </c>
      <c r="CPZ9">
        <v>0</v>
      </c>
      <c r="CQA9">
        <v>0</v>
      </c>
      <c r="CQB9">
        <v>0</v>
      </c>
      <c r="CQC9">
        <v>0</v>
      </c>
      <c r="CQD9">
        <v>0</v>
      </c>
      <c r="CQE9">
        <v>65.989999999999995</v>
      </c>
      <c r="CQF9">
        <v>0</v>
      </c>
      <c r="CQG9">
        <v>0</v>
      </c>
      <c r="CQH9">
        <v>84</v>
      </c>
      <c r="CQI9">
        <v>0</v>
      </c>
      <c r="CQJ9">
        <v>0</v>
      </c>
      <c r="CQK9">
        <v>0</v>
      </c>
      <c r="CQL9">
        <v>0</v>
      </c>
      <c r="CQM9">
        <v>0</v>
      </c>
      <c r="CQN9">
        <v>0</v>
      </c>
      <c r="CQO9">
        <v>0</v>
      </c>
      <c r="CQP9">
        <v>0</v>
      </c>
      <c r="CQQ9">
        <v>0</v>
      </c>
      <c r="CQR9">
        <v>0</v>
      </c>
      <c r="CQS9">
        <v>0</v>
      </c>
      <c r="CQT9">
        <v>0</v>
      </c>
      <c r="CQU9">
        <v>0</v>
      </c>
      <c r="CQV9">
        <v>61</v>
      </c>
      <c r="CQW9">
        <v>85</v>
      </c>
      <c r="CQX9">
        <v>0</v>
      </c>
      <c r="CQY9">
        <v>0</v>
      </c>
      <c r="CQZ9">
        <v>53</v>
      </c>
      <c r="CRA9">
        <v>0</v>
      </c>
      <c r="CRB9">
        <v>0</v>
      </c>
      <c r="CRC9">
        <v>0</v>
      </c>
      <c r="CRD9">
        <v>31</v>
      </c>
      <c r="CRE9">
        <v>0</v>
      </c>
      <c r="CRF9">
        <v>0</v>
      </c>
      <c r="CRG9">
        <v>0</v>
      </c>
      <c r="CRH9">
        <v>0</v>
      </c>
      <c r="CRI9">
        <v>37.99</v>
      </c>
      <c r="CRJ9">
        <v>0</v>
      </c>
      <c r="CRK9">
        <v>0</v>
      </c>
      <c r="CRL9">
        <v>0</v>
      </c>
      <c r="CRM9">
        <v>0</v>
      </c>
      <c r="CRN9">
        <v>0</v>
      </c>
      <c r="CRO9">
        <v>0</v>
      </c>
      <c r="CRP9">
        <v>0</v>
      </c>
      <c r="CRQ9">
        <v>0</v>
      </c>
      <c r="CRR9">
        <v>0</v>
      </c>
      <c r="CRS9">
        <v>0</v>
      </c>
      <c r="CRT9">
        <v>32</v>
      </c>
      <c r="CRU9">
        <v>0</v>
      </c>
      <c r="CRV9">
        <v>0</v>
      </c>
      <c r="CRW9">
        <v>0</v>
      </c>
      <c r="CRX9">
        <v>0</v>
      </c>
      <c r="CRY9">
        <v>0</v>
      </c>
      <c r="CRZ9">
        <v>0</v>
      </c>
      <c r="CSA9">
        <v>52</v>
      </c>
      <c r="CSB9">
        <v>0</v>
      </c>
      <c r="CSC9">
        <v>0</v>
      </c>
      <c r="CSD9">
        <v>0</v>
      </c>
      <c r="CSE9">
        <v>0</v>
      </c>
      <c r="CSF9">
        <v>0</v>
      </c>
      <c r="CSG9">
        <v>40</v>
      </c>
      <c r="CSH9">
        <v>0</v>
      </c>
      <c r="CSI9">
        <v>0</v>
      </c>
      <c r="CSJ9">
        <v>0</v>
      </c>
      <c r="CSK9">
        <v>0</v>
      </c>
      <c r="CSL9">
        <v>0</v>
      </c>
      <c r="CSM9">
        <v>0</v>
      </c>
      <c r="CSN9">
        <v>0</v>
      </c>
      <c r="CSO9">
        <v>53</v>
      </c>
      <c r="CSP9">
        <v>0</v>
      </c>
      <c r="CSQ9">
        <v>0</v>
      </c>
      <c r="CSR9">
        <v>0</v>
      </c>
      <c r="CSS9">
        <v>0</v>
      </c>
      <c r="CST9">
        <v>0</v>
      </c>
      <c r="CSU9">
        <v>0</v>
      </c>
      <c r="CSV9">
        <v>0</v>
      </c>
      <c r="CSW9">
        <v>10</v>
      </c>
      <c r="CSX9">
        <v>0</v>
      </c>
      <c r="CSY9">
        <v>0</v>
      </c>
      <c r="CSZ9">
        <v>0</v>
      </c>
      <c r="CTA9">
        <v>0</v>
      </c>
      <c r="CTB9">
        <v>0</v>
      </c>
      <c r="CTC9">
        <v>0</v>
      </c>
      <c r="CTD9">
        <v>0</v>
      </c>
      <c r="CTE9">
        <v>0</v>
      </c>
      <c r="CTF9">
        <v>0</v>
      </c>
      <c r="CTG9">
        <v>0</v>
      </c>
      <c r="CTH9">
        <v>0</v>
      </c>
      <c r="CTI9">
        <v>0</v>
      </c>
      <c r="CTJ9">
        <v>0</v>
      </c>
      <c r="CTK9">
        <v>0</v>
      </c>
      <c r="CTL9">
        <v>0</v>
      </c>
      <c r="CTM9">
        <v>0</v>
      </c>
      <c r="CTN9">
        <v>0</v>
      </c>
      <c r="CTO9">
        <v>0</v>
      </c>
      <c r="CTP9">
        <v>0</v>
      </c>
      <c r="CTQ9">
        <v>0</v>
      </c>
      <c r="CTR9">
        <v>0</v>
      </c>
      <c r="CTS9">
        <v>0</v>
      </c>
      <c r="CTT9">
        <v>0</v>
      </c>
      <c r="CTU9">
        <v>0</v>
      </c>
      <c r="CTV9">
        <v>41</v>
      </c>
      <c r="CTW9">
        <v>0</v>
      </c>
      <c r="CTX9">
        <v>0</v>
      </c>
      <c r="CTY9">
        <v>0</v>
      </c>
      <c r="CTZ9">
        <v>0</v>
      </c>
      <c r="CUA9">
        <v>0</v>
      </c>
      <c r="CUB9">
        <v>0</v>
      </c>
      <c r="CUC9">
        <v>0</v>
      </c>
      <c r="CUD9">
        <v>0</v>
      </c>
      <c r="CUE9">
        <v>0</v>
      </c>
      <c r="CUF9">
        <v>0</v>
      </c>
      <c r="CUG9">
        <v>0</v>
      </c>
      <c r="CUH9">
        <v>0</v>
      </c>
      <c r="CUI9">
        <v>0</v>
      </c>
      <c r="CUJ9">
        <v>0</v>
      </c>
      <c r="CUK9">
        <v>0</v>
      </c>
      <c r="CUL9">
        <v>0</v>
      </c>
      <c r="CUM9">
        <v>0</v>
      </c>
      <c r="CUN9">
        <v>0</v>
      </c>
      <c r="CUO9">
        <v>0</v>
      </c>
      <c r="CUP9">
        <v>0</v>
      </c>
      <c r="CUQ9">
        <v>0</v>
      </c>
      <c r="CUR9">
        <v>0</v>
      </c>
      <c r="CUS9">
        <v>0</v>
      </c>
      <c r="CUT9">
        <v>0</v>
      </c>
      <c r="CUU9">
        <v>6</v>
      </c>
      <c r="CUV9">
        <v>0</v>
      </c>
      <c r="CUW9">
        <v>0</v>
      </c>
      <c r="CUX9">
        <v>0</v>
      </c>
      <c r="CUY9">
        <v>0</v>
      </c>
      <c r="CUZ9">
        <v>0</v>
      </c>
      <c r="CVA9">
        <v>0</v>
      </c>
      <c r="CVB9">
        <v>0</v>
      </c>
      <c r="CVC9">
        <v>0</v>
      </c>
      <c r="CVD9">
        <v>0</v>
      </c>
      <c r="CVE9">
        <v>0</v>
      </c>
      <c r="CVF9">
        <v>0</v>
      </c>
      <c r="CVG9">
        <v>0</v>
      </c>
      <c r="CVH9">
        <v>0</v>
      </c>
      <c r="CVI9">
        <v>0</v>
      </c>
      <c r="CVJ9">
        <v>0</v>
      </c>
      <c r="CVK9">
        <v>0</v>
      </c>
      <c r="CVL9">
        <v>0</v>
      </c>
      <c r="CVM9">
        <v>0</v>
      </c>
      <c r="CVN9">
        <v>0</v>
      </c>
      <c r="CVO9">
        <v>0</v>
      </c>
      <c r="CVP9">
        <v>0</v>
      </c>
      <c r="CVQ9">
        <v>0</v>
      </c>
      <c r="CVR9">
        <v>0</v>
      </c>
      <c r="CVS9">
        <v>0</v>
      </c>
      <c r="CVT9">
        <v>0</v>
      </c>
      <c r="CVU9">
        <v>0</v>
      </c>
      <c r="CVV9">
        <v>0</v>
      </c>
      <c r="CVW9">
        <v>0</v>
      </c>
      <c r="CVX9">
        <v>0</v>
      </c>
      <c r="CVY9">
        <v>0</v>
      </c>
      <c r="CVZ9">
        <v>0</v>
      </c>
      <c r="CWA9">
        <v>0</v>
      </c>
      <c r="CWB9">
        <v>0</v>
      </c>
      <c r="CWC9">
        <v>0</v>
      </c>
      <c r="CWD9">
        <v>0</v>
      </c>
      <c r="CWE9">
        <v>0</v>
      </c>
      <c r="CWF9">
        <v>0</v>
      </c>
      <c r="CWG9">
        <v>0</v>
      </c>
      <c r="CWH9">
        <v>0</v>
      </c>
      <c r="CWI9">
        <v>0</v>
      </c>
      <c r="CWJ9">
        <v>0</v>
      </c>
      <c r="CWK9">
        <v>0</v>
      </c>
      <c r="CWL9">
        <v>0</v>
      </c>
      <c r="CWM9">
        <v>0</v>
      </c>
      <c r="CWN9">
        <v>0</v>
      </c>
      <c r="CWO9">
        <v>76</v>
      </c>
      <c r="CWP9">
        <v>0</v>
      </c>
      <c r="CWQ9">
        <v>0</v>
      </c>
      <c r="CWR9">
        <v>0</v>
      </c>
      <c r="CWS9">
        <v>0</v>
      </c>
      <c r="CWT9">
        <v>0</v>
      </c>
      <c r="CWU9">
        <v>0</v>
      </c>
      <c r="CWV9">
        <v>0</v>
      </c>
      <c r="CWW9">
        <v>0</v>
      </c>
      <c r="CWX9">
        <v>0</v>
      </c>
      <c r="CWY9">
        <v>0</v>
      </c>
      <c r="CWZ9">
        <v>0</v>
      </c>
      <c r="CXA9">
        <v>0</v>
      </c>
      <c r="CXB9">
        <v>0</v>
      </c>
      <c r="CXC9">
        <v>0</v>
      </c>
      <c r="CXD9">
        <v>0</v>
      </c>
      <c r="CXE9">
        <v>0</v>
      </c>
      <c r="CXF9">
        <v>56</v>
      </c>
      <c r="CXG9">
        <v>0</v>
      </c>
      <c r="CXH9">
        <v>0</v>
      </c>
      <c r="CXI9">
        <v>0</v>
      </c>
      <c r="CXJ9">
        <v>0</v>
      </c>
      <c r="CXK9">
        <v>0</v>
      </c>
      <c r="CXL9">
        <v>0</v>
      </c>
      <c r="CXM9">
        <v>0</v>
      </c>
      <c r="CXN9">
        <v>0</v>
      </c>
      <c r="CXO9">
        <v>0</v>
      </c>
      <c r="CXP9">
        <v>0</v>
      </c>
      <c r="CXQ9">
        <v>0</v>
      </c>
      <c r="CXR9">
        <v>101</v>
      </c>
      <c r="CXS9">
        <v>0</v>
      </c>
      <c r="CXT9">
        <v>0</v>
      </c>
      <c r="CXU9">
        <v>8</v>
      </c>
      <c r="CXV9">
        <v>0</v>
      </c>
      <c r="CXW9">
        <v>0</v>
      </c>
      <c r="CXX9">
        <v>0</v>
      </c>
      <c r="CXY9">
        <v>14</v>
      </c>
      <c r="CXZ9">
        <v>0</v>
      </c>
      <c r="CYA9">
        <v>0</v>
      </c>
      <c r="CYB9">
        <v>0</v>
      </c>
      <c r="CYC9">
        <v>0</v>
      </c>
      <c r="CYD9">
        <v>0</v>
      </c>
      <c r="CYE9">
        <v>0</v>
      </c>
      <c r="CYF9">
        <v>0</v>
      </c>
      <c r="CYG9">
        <v>0</v>
      </c>
      <c r="CYH9">
        <v>0</v>
      </c>
      <c r="CYI9">
        <v>0</v>
      </c>
      <c r="CYJ9">
        <v>0</v>
      </c>
      <c r="CYK9">
        <v>0</v>
      </c>
      <c r="CYL9">
        <v>0</v>
      </c>
      <c r="CYM9">
        <v>0</v>
      </c>
      <c r="CYN9">
        <v>0</v>
      </c>
      <c r="CYO9">
        <v>0</v>
      </c>
      <c r="CYP9">
        <v>0</v>
      </c>
      <c r="CYQ9">
        <v>0</v>
      </c>
      <c r="CYR9">
        <v>0</v>
      </c>
      <c r="CYS9">
        <v>0</v>
      </c>
      <c r="CYT9">
        <v>0</v>
      </c>
      <c r="CYU9">
        <v>0</v>
      </c>
      <c r="CYV9">
        <v>26</v>
      </c>
      <c r="CYW9">
        <v>6</v>
      </c>
      <c r="CYX9">
        <v>0</v>
      </c>
      <c r="CYY9">
        <v>0</v>
      </c>
      <c r="CYZ9">
        <v>0</v>
      </c>
      <c r="CZA9">
        <v>0</v>
      </c>
      <c r="CZB9">
        <v>0</v>
      </c>
      <c r="CZC9">
        <v>0</v>
      </c>
      <c r="CZD9">
        <v>0</v>
      </c>
      <c r="CZE9">
        <v>0</v>
      </c>
      <c r="CZF9">
        <v>0</v>
      </c>
      <c r="CZG9">
        <v>0</v>
      </c>
      <c r="CZH9">
        <v>0</v>
      </c>
      <c r="CZI9">
        <v>51</v>
      </c>
      <c r="CZJ9">
        <v>0</v>
      </c>
      <c r="CZK9">
        <v>0</v>
      </c>
      <c r="CZL9">
        <v>0</v>
      </c>
      <c r="CZM9">
        <v>0</v>
      </c>
      <c r="CZN9">
        <v>0</v>
      </c>
      <c r="CZO9">
        <v>0</v>
      </c>
      <c r="CZP9">
        <v>0</v>
      </c>
      <c r="CZQ9">
        <v>0</v>
      </c>
      <c r="CZR9">
        <v>0</v>
      </c>
      <c r="CZS9">
        <v>0</v>
      </c>
      <c r="CZT9">
        <v>0</v>
      </c>
      <c r="CZU9">
        <v>0</v>
      </c>
      <c r="CZV9">
        <v>0</v>
      </c>
      <c r="CZW9">
        <v>0</v>
      </c>
      <c r="CZX9">
        <v>0</v>
      </c>
      <c r="CZY9">
        <v>0</v>
      </c>
      <c r="CZZ9">
        <v>0</v>
      </c>
      <c r="DAA9">
        <v>0</v>
      </c>
      <c r="DAB9">
        <v>0</v>
      </c>
      <c r="DAC9">
        <v>0</v>
      </c>
      <c r="DAD9">
        <v>0</v>
      </c>
      <c r="DAE9">
        <v>0</v>
      </c>
      <c r="DAF9">
        <v>0</v>
      </c>
      <c r="DAG9">
        <v>0</v>
      </c>
      <c r="DAH9">
        <v>0</v>
      </c>
      <c r="DAI9">
        <v>0</v>
      </c>
      <c r="DAJ9">
        <v>0</v>
      </c>
      <c r="DAK9">
        <v>0</v>
      </c>
      <c r="DAL9">
        <v>0</v>
      </c>
      <c r="DAM9">
        <v>0</v>
      </c>
      <c r="DAN9">
        <v>0</v>
      </c>
      <c r="DAO9">
        <v>0</v>
      </c>
      <c r="DAP9">
        <v>0</v>
      </c>
      <c r="DAQ9">
        <v>0</v>
      </c>
      <c r="DAR9">
        <v>0</v>
      </c>
      <c r="DAS9">
        <v>0</v>
      </c>
      <c r="DAT9">
        <v>0</v>
      </c>
      <c r="DAU9">
        <v>0</v>
      </c>
      <c r="DAV9">
        <v>0</v>
      </c>
      <c r="DAW9">
        <v>0</v>
      </c>
      <c r="DAX9">
        <v>7</v>
      </c>
      <c r="DAY9">
        <v>0</v>
      </c>
      <c r="DAZ9">
        <v>0</v>
      </c>
      <c r="DBA9">
        <v>0</v>
      </c>
      <c r="DBB9">
        <v>0</v>
      </c>
      <c r="DBC9">
        <v>0</v>
      </c>
      <c r="DBD9">
        <v>0</v>
      </c>
      <c r="DBE9">
        <v>0</v>
      </c>
      <c r="DBF9">
        <v>0</v>
      </c>
      <c r="DBG9">
        <v>0</v>
      </c>
      <c r="DBH9">
        <v>0</v>
      </c>
      <c r="DBI9">
        <v>0</v>
      </c>
      <c r="DBJ9">
        <v>0</v>
      </c>
      <c r="DBK9">
        <v>0</v>
      </c>
      <c r="DBL9">
        <v>0</v>
      </c>
      <c r="DBM9">
        <v>0</v>
      </c>
      <c r="DBN9">
        <v>0</v>
      </c>
      <c r="DBO9">
        <v>0</v>
      </c>
      <c r="DBP9">
        <v>0</v>
      </c>
      <c r="DBQ9">
        <v>0</v>
      </c>
      <c r="DBR9">
        <v>0</v>
      </c>
      <c r="DBS9">
        <v>0</v>
      </c>
      <c r="DBT9">
        <v>0</v>
      </c>
      <c r="DBU9">
        <v>0</v>
      </c>
      <c r="DBV9">
        <v>49</v>
      </c>
      <c r="DBW9">
        <v>101.99</v>
      </c>
      <c r="DBX9">
        <v>0</v>
      </c>
      <c r="DBY9">
        <v>0</v>
      </c>
      <c r="DBZ9">
        <v>0</v>
      </c>
      <c r="DCA9">
        <v>0</v>
      </c>
      <c r="DCB9">
        <v>0</v>
      </c>
      <c r="DCC9">
        <v>61</v>
      </c>
      <c r="DCD9">
        <v>0</v>
      </c>
      <c r="DCE9">
        <v>0</v>
      </c>
      <c r="DCF9">
        <v>0</v>
      </c>
      <c r="DCG9">
        <v>0</v>
      </c>
      <c r="DCH9">
        <v>0</v>
      </c>
      <c r="DCI9">
        <v>0</v>
      </c>
      <c r="DCJ9">
        <v>0</v>
      </c>
      <c r="DCK9">
        <v>0</v>
      </c>
      <c r="DCL9">
        <v>27</v>
      </c>
      <c r="DCM9">
        <v>0</v>
      </c>
      <c r="DCN9">
        <v>0</v>
      </c>
      <c r="DCO9">
        <v>0</v>
      </c>
      <c r="DCP9">
        <v>114</v>
      </c>
      <c r="DCQ9">
        <v>0</v>
      </c>
      <c r="DCR9">
        <v>0</v>
      </c>
      <c r="DCS9">
        <v>0</v>
      </c>
      <c r="DCT9">
        <v>0</v>
      </c>
      <c r="DCU9">
        <v>0</v>
      </c>
      <c r="DCV9">
        <v>4</v>
      </c>
      <c r="DCW9">
        <v>0</v>
      </c>
      <c r="DCX9">
        <v>0</v>
      </c>
      <c r="DCY9">
        <v>0</v>
      </c>
      <c r="DCZ9">
        <v>4</v>
      </c>
      <c r="DDA9">
        <v>0</v>
      </c>
      <c r="DDB9">
        <v>0</v>
      </c>
      <c r="DDC9">
        <v>0</v>
      </c>
      <c r="DDD9">
        <v>0</v>
      </c>
      <c r="DDE9">
        <v>0</v>
      </c>
      <c r="DDF9">
        <v>0</v>
      </c>
      <c r="DDG9">
        <v>0</v>
      </c>
      <c r="DDH9">
        <v>116</v>
      </c>
      <c r="DDI9">
        <v>116</v>
      </c>
      <c r="DDJ9">
        <v>0</v>
      </c>
      <c r="DDK9">
        <v>0</v>
      </c>
      <c r="DDL9">
        <v>0</v>
      </c>
      <c r="DDM9">
        <v>0</v>
      </c>
      <c r="DDN9">
        <v>0</v>
      </c>
      <c r="DDO9">
        <v>0</v>
      </c>
      <c r="DDP9">
        <v>0</v>
      </c>
      <c r="DDQ9">
        <v>0</v>
      </c>
      <c r="DDR9">
        <v>0</v>
      </c>
      <c r="DDS9">
        <v>0</v>
      </c>
      <c r="DDT9">
        <v>0</v>
      </c>
      <c r="DDU9">
        <v>0</v>
      </c>
      <c r="DDV9">
        <v>0</v>
      </c>
      <c r="DDW9">
        <v>0</v>
      </c>
      <c r="DDX9">
        <v>0</v>
      </c>
      <c r="DDY9">
        <v>0</v>
      </c>
      <c r="DDZ9">
        <v>0</v>
      </c>
      <c r="DEA9">
        <v>0</v>
      </c>
      <c r="DEB9">
        <v>0</v>
      </c>
      <c r="DEC9">
        <v>0</v>
      </c>
      <c r="DED9">
        <v>118</v>
      </c>
      <c r="DEE9">
        <v>0</v>
      </c>
      <c r="DEF9">
        <v>40</v>
      </c>
      <c r="DEG9">
        <v>0</v>
      </c>
      <c r="DEH9">
        <v>0</v>
      </c>
      <c r="DEI9">
        <v>0</v>
      </c>
      <c r="DEJ9">
        <v>0</v>
      </c>
      <c r="DEK9">
        <v>0</v>
      </c>
      <c r="DEL9">
        <v>0</v>
      </c>
      <c r="DEM9">
        <v>0</v>
      </c>
      <c r="DEN9">
        <v>0</v>
      </c>
      <c r="DEO9">
        <v>0</v>
      </c>
      <c r="DEP9">
        <v>0</v>
      </c>
      <c r="DEQ9">
        <v>0</v>
      </c>
      <c r="DER9">
        <v>119.99</v>
      </c>
      <c r="DES9">
        <v>0</v>
      </c>
      <c r="DET9">
        <v>0</v>
      </c>
      <c r="DEU9">
        <v>0</v>
      </c>
      <c r="DEV9">
        <v>0</v>
      </c>
      <c r="DEW9">
        <v>6</v>
      </c>
      <c r="DEX9">
        <v>0</v>
      </c>
      <c r="DEY9">
        <v>0</v>
      </c>
      <c r="DEZ9">
        <v>0</v>
      </c>
      <c r="DFA9">
        <v>0</v>
      </c>
      <c r="DFB9">
        <v>0</v>
      </c>
      <c r="DFC9">
        <v>0</v>
      </c>
      <c r="DFD9">
        <v>0</v>
      </c>
      <c r="DFE9">
        <v>0</v>
      </c>
      <c r="DFF9">
        <v>49</v>
      </c>
      <c r="DFG9">
        <v>0</v>
      </c>
      <c r="DFH9">
        <v>0</v>
      </c>
      <c r="DFI9">
        <v>0</v>
      </c>
      <c r="DFJ9">
        <v>121.99</v>
      </c>
      <c r="DFK9">
        <v>0</v>
      </c>
      <c r="DFL9">
        <v>30</v>
      </c>
      <c r="DFM9">
        <v>0</v>
      </c>
      <c r="DFN9">
        <v>0</v>
      </c>
      <c r="DFO9">
        <v>0</v>
      </c>
      <c r="DFP9">
        <v>0</v>
      </c>
      <c r="DFQ9">
        <v>0</v>
      </c>
      <c r="DFR9">
        <v>0</v>
      </c>
      <c r="DFS9">
        <v>0</v>
      </c>
      <c r="DFT9">
        <v>0</v>
      </c>
      <c r="DFU9">
        <v>0</v>
      </c>
      <c r="DFV9">
        <v>0</v>
      </c>
      <c r="DFW9">
        <v>88</v>
      </c>
      <c r="DFX9">
        <v>0</v>
      </c>
      <c r="DFY9">
        <v>0</v>
      </c>
      <c r="DFZ9">
        <v>0</v>
      </c>
      <c r="DGA9">
        <v>0</v>
      </c>
      <c r="DGB9">
        <v>0</v>
      </c>
      <c r="DGC9">
        <v>0</v>
      </c>
      <c r="DGD9">
        <v>0</v>
      </c>
      <c r="DGE9">
        <v>118</v>
      </c>
      <c r="DGF9">
        <v>0</v>
      </c>
      <c r="DGG9">
        <v>0</v>
      </c>
      <c r="DGH9">
        <v>0</v>
      </c>
      <c r="DGI9">
        <v>0</v>
      </c>
      <c r="DGJ9">
        <v>0</v>
      </c>
      <c r="DGK9">
        <v>0</v>
      </c>
      <c r="DGL9">
        <v>0</v>
      </c>
      <c r="DGM9">
        <v>0</v>
      </c>
      <c r="DGN9">
        <v>0</v>
      </c>
      <c r="DGO9">
        <v>0</v>
      </c>
      <c r="DGP9">
        <v>0</v>
      </c>
      <c r="DGQ9">
        <v>0</v>
      </c>
      <c r="DGR9">
        <v>0</v>
      </c>
      <c r="DGS9">
        <v>0</v>
      </c>
      <c r="DGT9">
        <v>0</v>
      </c>
      <c r="DGU9">
        <v>81</v>
      </c>
      <c r="DGV9">
        <v>0</v>
      </c>
      <c r="DGW9">
        <v>0</v>
      </c>
      <c r="DGX9">
        <v>0</v>
      </c>
      <c r="DGY9">
        <v>0</v>
      </c>
      <c r="DGZ9">
        <v>0</v>
      </c>
      <c r="DHA9">
        <v>0</v>
      </c>
      <c r="DHB9">
        <v>0</v>
      </c>
      <c r="DHC9">
        <v>0</v>
      </c>
      <c r="DHD9">
        <v>0</v>
      </c>
      <c r="DHE9">
        <v>0</v>
      </c>
      <c r="DHF9">
        <v>0</v>
      </c>
      <c r="DHG9">
        <v>0</v>
      </c>
      <c r="DHH9">
        <v>0</v>
      </c>
      <c r="DHI9">
        <v>0</v>
      </c>
      <c r="DHJ9">
        <v>42</v>
      </c>
      <c r="DHK9">
        <v>0</v>
      </c>
      <c r="DHL9">
        <v>0</v>
      </c>
      <c r="DHM9">
        <v>0</v>
      </c>
      <c r="DHN9">
        <v>45.99</v>
      </c>
      <c r="DHO9">
        <v>0</v>
      </c>
      <c r="DHP9">
        <v>0</v>
      </c>
      <c r="DHQ9">
        <v>0</v>
      </c>
      <c r="DHR9">
        <v>0</v>
      </c>
      <c r="DHS9">
        <v>0</v>
      </c>
      <c r="DHT9">
        <v>0</v>
      </c>
      <c r="DHU9">
        <v>0</v>
      </c>
      <c r="DHV9">
        <v>0</v>
      </c>
      <c r="DHW9">
        <v>0</v>
      </c>
      <c r="DHX9">
        <v>13</v>
      </c>
      <c r="DHY9">
        <v>83.99</v>
      </c>
      <c r="DHZ9">
        <v>0</v>
      </c>
      <c r="DIA9">
        <v>15</v>
      </c>
      <c r="DIB9">
        <v>0</v>
      </c>
      <c r="DIC9">
        <v>0</v>
      </c>
      <c r="DID9">
        <v>0</v>
      </c>
      <c r="DIE9">
        <v>130.99</v>
      </c>
      <c r="DIF9">
        <v>0</v>
      </c>
      <c r="DIG9">
        <v>0</v>
      </c>
      <c r="DIH9">
        <v>0</v>
      </c>
      <c r="DII9">
        <v>0</v>
      </c>
      <c r="DIJ9">
        <v>0</v>
      </c>
      <c r="DIK9">
        <v>0</v>
      </c>
      <c r="DIL9">
        <v>0</v>
      </c>
      <c r="DIM9">
        <v>0</v>
      </c>
      <c r="DIN9">
        <v>0</v>
      </c>
      <c r="DIO9">
        <v>0</v>
      </c>
      <c r="DIP9">
        <v>0</v>
      </c>
      <c r="DIQ9">
        <v>0</v>
      </c>
      <c r="DIR9">
        <v>0</v>
      </c>
      <c r="DIS9">
        <v>0</v>
      </c>
      <c r="DIT9">
        <v>0</v>
      </c>
      <c r="DIU9">
        <v>0</v>
      </c>
      <c r="DIV9">
        <v>0</v>
      </c>
      <c r="DIW9">
        <v>0</v>
      </c>
      <c r="DIX9">
        <v>0</v>
      </c>
      <c r="DIY9">
        <v>0</v>
      </c>
      <c r="DIZ9">
        <v>0</v>
      </c>
      <c r="DJA9">
        <v>0</v>
      </c>
      <c r="DJB9">
        <v>0</v>
      </c>
      <c r="DJC9">
        <v>0</v>
      </c>
      <c r="DJD9">
        <v>0</v>
      </c>
      <c r="DJE9">
        <v>0</v>
      </c>
      <c r="DJF9">
        <v>0</v>
      </c>
      <c r="DJG9">
        <v>0</v>
      </c>
      <c r="DJH9">
        <v>0</v>
      </c>
      <c r="DJI9">
        <v>0</v>
      </c>
      <c r="DJJ9">
        <v>0</v>
      </c>
      <c r="DJK9">
        <v>0</v>
      </c>
      <c r="DJL9">
        <v>0</v>
      </c>
      <c r="DJM9">
        <v>0</v>
      </c>
      <c r="DJN9">
        <v>0</v>
      </c>
      <c r="DJO9">
        <v>135</v>
      </c>
      <c r="DJP9">
        <v>0</v>
      </c>
      <c r="DJQ9">
        <v>0</v>
      </c>
      <c r="DJR9">
        <v>0</v>
      </c>
      <c r="DJS9">
        <v>0</v>
      </c>
      <c r="DJT9">
        <v>0</v>
      </c>
      <c r="DJU9">
        <v>0</v>
      </c>
      <c r="DJV9">
        <v>135.99</v>
      </c>
      <c r="DJW9">
        <v>0</v>
      </c>
      <c r="DJX9">
        <v>0</v>
      </c>
      <c r="DJY9">
        <v>0</v>
      </c>
      <c r="DJZ9">
        <v>0</v>
      </c>
      <c r="DKA9">
        <v>0</v>
      </c>
      <c r="DKB9">
        <v>0</v>
      </c>
      <c r="DKC9">
        <v>0</v>
      </c>
      <c r="DKD9">
        <v>136.97999999999999</v>
      </c>
      <c r="DKE9">
        <v>0</v>
      </c>
      <c r="DKF9">
        <v>0</v>
      </c>
      <c r="DKG9">
        <v>0</v>
      </c>
      <c r="DKH9">
        <v>0</v>
      </c>
      <c r="DKI9">
        <v>0</v>
      </c>
      <c r="DKJ9">
        <v>0</v>
      </c>
      <c r="DKK9">
        <v>0</v>
      </c>
      <c r="DKL9">
        <v>0</v>
      </c>
      <c r="DKM9">
        <v>0</v>
      </c>
      <c r="DKN9">
        <v>138</v>
      </c>
      <c r="DKO9">
        <v>0</v>
      </c>
      <c r="DKP9">
        <v>0</v>
      </c>
      <c r="DKQ9">
        <v>0</v>
      </c>
      <c r="DKR9">
        <v>0</v>
      </c>
      <c r="DKS9">
        <v>0</v>
      </c>
      <c r="DKT9">
        <v>0</v>
      </c>
      <c r="DKU9">
        <v>0</v>
      </c>
      <c r="DKV9">
        <v>0</v>
      </c>
      <c r="DKW9">
        <v>0</v>
      </c>
      <c r="DKX9">
        <v>0</v>
      </c>
      <c r="DKY9">
        <v>0</v>
      </c>
      <c r="DKZ9">
        <v>0</v>
      </c>
      <c r="DLA9">
        <v>140</v>
      </c>
      <c r="DLB9">
        <v>0</v>
      </c>
      <c r="DLC9">
        <v>0</v>
      </c>
      <c r="DLD9">
        <v>0</v>
      </c>
      <c r="DLE9">
        <v>0</v>
      </c>
      <c r="DLF9">
        <v>0</v>
      </c>
      <c r="DLG9">
        <v>0</v>
      </c>
      <c r="DLH9">
        <v>0</v>
      </c>
      <c r="DLI9">
        <v>0</v>
      </c>
      <c r="DLJ9">
        <v>0</v>
      </c>
      <c r="DLK9">
        <v>0</v>
      </c>
      <c r="DLL9">
        <v>0</v>
      </c>
      <c r="DLM9">
        <v>0</v>
      </c>
      <c r="DLN9">
        <v>0</v>
      </c>
      <c r="DLO9">
        <v>0</v>
      </c>
      <c r="DLP9">
        <v>0</v>
      </c>
      <c r="DLQ9">
        <v>0</v>
      </c>
      <c r="DLR9">
        <v>0</v>
      </c>
      <c r="DLS9">
        <v>0</v>
      </c>
      <c r="DLT9">
        <v>143</v>
      </c>
      <c r="DLU9">
        <v>21</v>
      </c>
      <c r="DLV9">
        <v>0</v>
      </c>
      <c r="DLW9">
        <v>0</v>
      </c>
      <c r="DLX9">
        <v>0</v>
      </c>
      <c r="DLY9">
        <v>0</v>
      </c>
      <c r="DLZ9">
        <v>0</v>
      </c>
      <c r="DMA9">
        <v>0</v>
      </c>
      <c r="DMB9">
        <v>0</v>
      </c>
      <c r="DMC9">
        <v>0</v>
      </c>
      <c r="DMD9">
        <v>0</v>
      </c>
      <c r="DME9">
        <v>0</v>
      </c>
      <c r="DMF9">
        <v>0</v>
      </c>
      <c r="DMG9">
        <v>0</v>
      </c>
      <c r="DMH9">
        <v>0</v>
      </c>
      <c r="DMI9">
        <v>0</v>
      </c>
      <c r="DMJ9">
        <v>0</v>
      </c>
      <c r="DMK9">
        <v>0</v>
      </c>
      <c r="DML9">
        <v>0</v>
      </c>
      <c r="DMM9">
        <v>0</v>
      </c>
      <c r="DMN9">
        <v>0</v>
      </c>
      <c r="DMO9">
        <v>9</v>
      </c>
      <c r="DMP9">
        <v>147</v>
      </c>
      <c r="DMQ9">
        <v>0</v>
      </c>
      <c r="DMR9">
        <v>0</v>
      </c>
      <c r="DMS9">
        <v>0</v>
      </c>
      <c r="DMT9">
        <v>0</v>
      </c>
      <c r="DMU9">
        <v>0</v>
      </c>
      <c r="DMV9">
        <v>0</v>
      </c>
      <c r="DMW9">
        <v>148</v>
      </c>
      <c r="DMX9">
        <v>0</v>
      </c>
      <c r="DMY9">
        <v>0</v>
      </c>
      <c r="DMZ9">
        <v>0</v>
      </c>
      <c r="DNA9">
        <v>0</v>
      </c>
      <c r="DNB9">
        <v>0</v>
      </c>
      <c r="DNC9">
        <v>149</v>
      </c>
      <c r="DND9">
        <v>0</v>
      </c>
      <c r="DNE9">
        <v>0</v>
      </c>
      <c r="DNF9">
        <v>0</v>
      </c>
      <c r="DNG9">
        <v>0</v>
      </c>
      <c r="DNH9">
        <v>0</v>
      </c>
      <c r="DNI9">
        <v>0</v>
      </c>
      <c r="DNJ9">
        <v>0</v>
      </c>
      <c r="DNK9">
        <v>0</v>
      </c>
      <c r="DNL9">
        <v>0</v>
      </c>
      <c r="DNM9">
        <v>0</v>
      </c>
      <c r="DNN9">
        <v>0</v>
      </c>
      <c r="DNO9">
        <v>0</v>
      </c>
      <c r="DNP9">
        <v>0</v>
      </c>
      <c r="DNQ9">
        <v>0</v>
      </c>
      <c r="DNR9">
        <v>0</v>
      </c>
      <c r="DNS9">
        <v>128.99</v>
      </c>
      <c r="DNT9">
        <v>0</v>
      </c>
      <c r="DNU9">
        <v>0</v>
      </c>
      <c r="DNV9">
        <v>0</v>
      </c>
      <c r="DNW9">
        <v>0</v>
      </c>
      <c r="DNX9">
        <v>0</v>
      </c>
      <c r="DNY9">
        <v>36</v>
      </c>
      <c r="DNZ9">
        <v>0</v>
      </c>
      <c r="DOA9">
        <v>0</v>
      </c>
      <c r="DOB9">
        <v>0</v>
      </c>
      <c r="DOC9">
        <v>33.99</v>
      </c>
      <c r="DOD9">
        <v>16</v>
      </c>
      <c r="DOE9">
        <v>0</v>
      </c>
      <c r="DOF9">
        <v>0</v>
      </c>
      <c r="DOG9">
        <v>0</v>
      </c>
      <c r="DOH9">
        <v>0</v>
      </c>
      <c r="DOI9">
        <v>0</v>
      </c>
      <c r="DOJ9">
        <v>0</v>
      </c>
      <c r="DOK9">
        <v>0</v>
      </c>
      <c r="DOL9">
        <v>0</v>
      </c>
      <c r="DOM9">
        <v>0</v>
      </c>
      <c r="DON9">
        <v>0</v>
      </c>
      <c r="DOO9">
        <v>0</v>
      </c>
      <c r="DOP9">
        <v>0</v>
      </c>
      <c r="DOQ9">
        <v>0</v>
      </c>
      <c r="DOR9">
        <v>0</v>
      </c>
      <c r="DOS9">
        <v>0</v>
      </c>
      <c r="DOT9">
        <v>0</v>
      </c>
      <c r="DOU9">
        <v>0</v>
      </c>
      <c r="DOV9">
        <v>0</v>
      </c>
      <c r="DOW9">
        <v>0</v>
      </c>
      <c r="DOX9">
        <v>0</v>
      </c>
      <c r="DOY9">
        <v>0</v>
      </c>
      <c r="DOZ9">
        <v>0</v>
      </c>
      <c r="DPA9">
        <v>0</v>
      </c>
      <c r="DPB9">
        <v>0</v>
      </c>
      <c r="DPC9">
        <v>0</v>
      </c>
      <c r="DPD9">
        <v>0</v>
      </c>
      <c r="DPE9">
        <v>0</v>
      </c>
      <c r="DPF9">
        <v>0</v>
      </c>
      <c r="DPG9">
        <v>0</v>
      </c>
      <c r="DPH9">
        <v>0</v>
      </c>
      <c r="DPI9">
        <v>0</v>
      </c>
      <c r="DPJ9">
        <v>0</v>
      </c>
      <c r="DPK9">
        <v>0</v>
      </c>
      <c r="DPL9">
        <v>0</v>
      </c>
      <c r="DPM9">
        <v>34</v>
      </c>
      <c r="DPN9">
        <v>0</v>
      </c>
      <c r="DPO9">
        <v>0</v>
      </c>
      <c r="DPP9">
        <v>0</v>
      </c>
      <c r="DPQ9">
        <v>0</v>
      </c>
      <c r="DPR9">
        <v>0</v>
      </c>
      <c r="DPS9">
        <v>0</v>
      </c>
      <c r="DPT9">
        <v>0</v>
      </c>
      <c r="DPU9">
        <v>0</v>
      </c>
      <c r="DPV9">
        <v>0</v>
      </c>
      <c r="DPW9">
        <v>0</v>
      </c>
      <c r="DPX9">
        <v>0</v>
      </c>
      <c r="DPY9">
        <v>0</v>
      </c>
      <c r="DPZ9">
        <v>0</v>
      </c>
      <c r="DQA9">
        <v>0</v>
      </c>
      <c r="DQB9">
        <v>0</v>
      </c>
      <c r="DQC9">
        <v>0</v>
      </c>
      <c r="DQD9">
        <v>0</v>
      </c>
      <c r="DQE9">
        <v>0</v>
      </c>
      <c r="DQF9">
        <v>35</v>
      </c>
      <c r="DQG9">
        <v>0</v>
      </c>
      <c r="DQH9">
        <v>0</v>
      </c>
      <c r="DQI9">
        <v>0</v>
      </c>
      <c r="DQJ9">
        <v>0</v>
      </c>
      <c r="DQK9">
        <v>0</v>
      </c>
      <c r="DQL9">
        <v>0</v>
      </c>
      <c r="DQM9">
        <v>0</v>
      </c>
      <c r="DQN9">
        <v>0</v>
      </c>
      <c r="DQO9">
        <v>0</v>
      </c>
      <c r="DQP9">
        <v>0</v>
      </c>
      <c r="DQQ9">
        <v>0</v>
      </c>
      <c r="DQR9">
        <v>0</v>
      </c>
      <c r="DQS9">
        <v>0</v>
      </c>
      <c r="DQT9">
        <v>0</v>
      </c>
      <c r="DQU9">
        <v>0</v>
      </c>
      <c r="DQV9">
        <v>0</v>
      </c>
      <c r="DQW9">
        <v>0</v>
      </c>
      <c r="DQX9">
        <v>0</v>
      </c>
      <c r="DQY9">
        <v>0</v>
      </c>
      <c r="DQZ9">
        <v>0</v>
      </c>
      <c r="DRA9">
        <v>0</v>
      </c>
      <c r="DRB9">
        <v>166.98</v>
      </c>
      <c r="DRC9">
        <v>0</v>
      </c>
      <c r="DRD9">
        <v>0</v>
      </c>
      <c r="DRE9">
        <v>0</v>
      </c>
      <c r="DRF9">
        <v>0</v>
      </c>
      <c r="DRG9">
        <v>0</v>
      </c>
      <c r="DRH9">
        <v>0</v>
      </c>
      <c r="DRI9">
        <v>0</v>
      </c>
      <c r="DRJ9">
        <v>0</v>
      </c>
      <c r="DRK9">
        <v>0</v>
      </c>
      <c r="DRL9">
        <v>0</v>
      </c>
      <c r="DRM9">
        <v>0</v>
      </c>
      <c r="DRN9">
        <v>42</v>
      </c>
      <c r="DRO9">
        <v>0</v>
      </c>
      <c r="DRP9">
        <v>0</v>
      </c>
      <c r="DRQ9">
        <v>0</v>
      </c>
      <c r="DRR9">
        <v>0</v>
      </c>
      <c r="DRS9">
        <v>0</v>
      </c>
      <c r="DRT9">
        <v>0</v>
      </c>
      <c r="DRU9">
        <v>0</v>
      </c>
      <c r="DRV9">
        <v>0</v>
      </c>
      <c r="DRW9">
        <v>18</v>
      </c>
      <c r="DRX9">
        <v>21</v>
      </c>
      <c r="DRY9">
        <v>0</v>
      </c>
      <c r="DRZ9">
        <v>0</v>
      </c>
      <c r="DSA9">
        <v>0</v>
      </c>
      <c r="DSB9">
        <v>0</v>
      </c>
      <c r="DSC9">
        <v>172.99</v>
      </c>
      <c r="DSD9">
        <v>0</v>
      </c>
      <c r="DSE9">
        <v>0</v>
      </c>
      <c r="DSF9">
        <v>0</v>
      </c>
      <c r="DSG9">
        <v>0</v>
      </c>
      <c r="DSH9">
        <v>0</v>
      </c>
      <c r="DSI9">
        <v>0</v>
      </c>
      <c r="DSJ9">
        <v>0</v>
      </c>
      <c r="DSK9">
        <v>0</v>
      </c>
      <c r="DSL9">
        <v>0</v>
      </c>
      <c r="DSM9">
        <v>0</v>
      </c>
      <c r="DSN9">
        <v>0</v>
      </c>
      <c r="DSO9">
        <v>0</v>
      </c>
      <c r="DSP9">
        <v>0</v>
      </c>
      <c r="DSQ9">
        <v>0</v>
      </c>
      <c r="DSR9">
        <v>0</v>
      </c>
      <c r="DSS9">
        <v>0</v>
      </c>
      <c r="DST9">
        <v>0</v>
      </c>
      <c r="DSU9">
        <v>0</v>
      </c>
      <c r="DSV9">
        <v>0</v>
      </c>
      <c r="DSW9">
        <v>0</v>
      </c>
      <c r="DSX9">
        <v>0</v>
      </c>
      <c r="DSY9">
        <v>0</v>
      </c>
      <c r="DSZ9">
        <v>0</v>
      </c>
      <c r="DTA9">
        <v>0</v>
      </c>
      <c r="DTB9">
        <v>5</v>
      </c>
      <c r="DTC9">
        <v>0</v>
      </c>
      <c r="DTD9">
        <v>0</v>
      </c>
      <c r="DTE9">
        <v>0</v>
      </c>
      <c r="DTF9">
        <v>62</v>
      </c>
      <c r="DTG9">
        <v>0</v>
      </c>
      <c r="DTH9">
        <v>0</v>
      </c>
      <c r="DTI9">
        <v>0</v>
      </c>
      <c r="DTJ9">
        <v>0</v>
      </c>
      <c r="DTK9">
        <v>0</v>
      </c>
      <c r="DTL9">
        <v>0</v>
      </c>
      <c r="DTM9">
        <v>0</v>
      </c>
      <c r="DTN9">
        <v>0</v>
      </c>
      <c r="DTO9">
        <v>0</v>
      </c>
      <c r="DTP9">
        <v>64</v>
      </c>
      <c r="DTQ9">
        <v>0</v>
      </c>
      <c r="DTR9">
        <v>0</v>
      </c>
      <c r="DTS9">
        <v>0</v>
      </c>
      <c r="DTT9">
        <v>0</v>
      </c>
      <c r="DTU9">
        <v>110.99</v>
      </c>
      <c r="DTV9">
        <v>0</v>
      </c>
      <c r="DTW9">
        <v>0</v>
      </c>
      <c r="DTX9">
        <v>30</v>
      </c>
      <c r="DTY9">
        <v>0</v>
      </c>
      <c r="DTZ9">
        <v>0</v>
      </c>
      <c r="DUA9">
        <v>0</v>
      </c>
      <c r="DUB9">
        <v>0</v>
      </c>
      <c r="DUC9">
        <v>0</v>
      </c>
      <c r="DUD9">
        <v>0</v>
      </c>
      <c r="DUE9">
        <v>0</v>
      </c>
      <c r="DUF9">
        <v>0</v>
      </c>
      <c r="DUG9">
        <v>0</v>
      </c>
      <c r="DUH9">
        <v>0</v>
      </c>
      <c r="DUI9">
        <v>0</v>
      </c>
      <c r="DUJ9">
        <v>0</v>
      </c>
      <c r="DUK9">
        <v>0</v>
      </c>
      <c r="DUL9">
        <v>0</v>
      </c>
      <c r="DUM9">
        <v>0</v>
      </c>
      <c r="DUN9">
        <v>184</v>
      </c>
      <c r="DUO9">
        <v>0</v>
      </c>
      <c r="DUP9">
        <v>0</v>
      </c>
      <c r="DUQ9">
        <v>26</v>
      </c>
      <c r="DUR9">
        <v>0</v>
      </c>
      <c r="DUS9">
        <v>128</v>
      </c>
      <c r="DUT9">
        <v>109</v>
      </c>
      <c r="DUU9">
        <v>0</v>
      </c>
      <c r="DUV9">
        <v>0</v>
      </c>
      <c r="DUW9">
        <v>0</v>
      </c>
      <c r="DUX9">
        <v>0</v>
      </c>
      <c r="DUY9">
        <v>0</v>
      </c>
      <c r="DUZ9">
        <v>37</v>
      </c>
      <c r="DVA9">
        <v>0</v>
      </c>
      <c r="DVB9">
        <v>0</v>
      </c>
      <c r="DVC9">
        <v>0</v>
      </c>
      <c r="DVD9">
        <v>0</v>
      </c>
      <c r="DVE9">
        <v>0</v>
      </c>
      <c r="DVF9">
        <v>0</v>
      </c>
      <c r="DVG9">
        <v>189</v>
      </c>
      <c r="DVH9">
        <v>0</v>
      </c>
      <c r="DVI9">
        <v>0</v>
      </c>
      <c r="DVJ9">
        <v>0</v>
      </c>
      <c r="DVK9">
        <v>0</v>
      </c>
      <c r="DVL9">
        <v>17</v>
      </c>
      <c r="DVM9">
        <v>0</v>
      </c>
      <c r="DVN9">
        <v>0</v>
      </c>
      <c r="DVO9">
        <v>0</v>
      </c>
      <c r="DVP9">
        <v>0</v>
      </c>
      <c r="DVQ9">
        <v>0</v>
      </c>
      <c r="DVR9">
        <v>0</v>
      </c>
      <c r="DVS9">
        <v>0</v>
      </c>
      <c r="DVT9">
        <v>192.99</v>
      </c>
      <c r="DVU9">
        <v>0</v>
      </c>
      <c r="DVV9">
        <v>0</v>
      </c>
      <c r="DVW9">
        <v>0</v>
      </c>
      <c r="DVX9">
        <v>0</v>
      </c>
      <c r="DVY9">
        <v>0</v>
      </c>
      <c r="DVZ9">
        <v>0</v>
      </c>
      <c r="DWA9">
        <v>0</v>
      </c>
      <c r="DWB9">
        <v>0</v>
      </c>
      <c r="DWC9">
        <v>0</v>
      </c>
      <c r="DWD9">
        <v>0</v>
      </c>
      <c r="DWE9">
        <v>0</v>
      </c>
      <c r="DWF9">
        <v>195.98</v>
      </c>
      <c r="DWG9">
        <v>0</v>
      </c>
      <c r="DWH9">
        <v>0</v>
      </c>
      <c r="DWI9">
        <v>0</v>
      </c>
      <c r="DWJ9">
        <v>196.99</v>
      </c>
      <c r="DWK9">
        <v>0</v>
      </c>
      <c r="DWL9">
        <v>0</v>
      </c>
      <c r="DWM9">
        <v>0</v>
      </c>
      <c r="DWN9">
        <v>0</v>
      </c>
      <c r="DWO9">
        <v>0</v>
      </c>
      <c r="DWP9">
        <v>0</v>
      </c>
      <c r="DWQ9">
        <v>0</v>
      </c>
      <c r="DWR9">
        <v>0</v>
      </c>
      <c r="DWS9">
        <v>0</v>
      </c>
      <c r="DWT9">
        <v>0</v>
      </c>
      <c r="DWU9">
        <v>14</v>
      </c>
      <c r="DWV9">
        <v>0</v>
      </c>
      <c r="DWW9">
        <v>0</v>
      </c>
      <c r="DWX9">
        <v>0</v>
      </c>
      <c r="DWY9">
        <v>0</v>
      </c>
      <c r="DWZ9">
        <v>0</v>
      </c>
      <c r="DXA9">
        <v>0</v>
      </c>
      <c r="DXB9">
        <v>0</v>
      </c>
      <c r="DXC9">
        <v>0</v>
      </c>
      <c r="DXD9">
        <v>0</v>
      </c>
      <c r="DXE9">
        <v>202</v>
      </c>
      <c r="DXF9">
        <v>0</v>
      </c>
      <c r="DXG9">
        <v>0</v>
      </c>
      <c r="DXH9">
        <v>0</v>
      </c>
      <c r="DXI9">
        <v>0</v>
      </c>
      <c r="DXJ9">
        <v>0</v>
      </c>
      <c r="DXK9">
        <v>0</v>
      </c>
      <c r="DXL9">
        <v>0</v>
      </c>
      <c r="DXM9">
        <v>0</v>
      </c>
      <c r="DXN9">
        <v>0</v>
      </c>
      <c r="DXO9">
        <v>0</v>
      </c>
      <c r="DXP9">
        <v>0</v>
      </c>
      <c r="DXQ9">
        <v>0</v>
      </c>
      <c r="DXR9">
        <v>0</v>
      </c>
      <c r="DXS9">
        <v>0</v>
      </c>
      <c r="DXT9">
        <v>0</v>
      </c>
      <c r="DXU9">
        <v>0</v>
      </c>
      <c r="DXV9">
        <v>0</v>
      </c>
      <c r="DXW9">
        <v>0</v>
      </c>
      <c r="DXX9">
        <v>0</v>
      </c>
      <c r="DXY9">
        <v>0</v>
      </c>
      <c r="DXZ9">
        <v>0</v>
      </c>
      <c r="DYA9">
        <v>0</v>
      </c>
      <c r="DYB9">
        <v>0</v>
      </c>
      <c r="DYC9">
        <v>0</v>
      </c>
      <c r="DYD9">
        <v>0</v>
      </c>
      <c r="DYE9">
        <v>0</v>
      </c>
      <c r="DYF9">
        <v>0</v>
      </c>
      <c r="DYG9">
        <v>0</v>
      </c>
      <c r="DYH9">
        <v>0</v>
      </c>
      <c r="DYI9">
        <v>0</v>
      </c>
      <c r="DYJ9">
        <v>0</v>
      </c>
      <c r="DYK9">
        <v>0</v>
      </c>
      <c r="DYL9">
        <v>0</v>
      </c>
      <c r="DYM9">
        <v>0</v>
      </c>
      <c r="DYN9">
        <v>0</v>
      </c>
      <c r="DYO9">
        <v>0</v>
      </c>
      <c r="DYP9">
        <v>0</v>
      </c>
      <c r="DYQ9">
        <v>0</v>
      </c>
      <c r="DYR9">
        <v>0</v>
      </c>
      <c r="DYS9">
        <v>9</v>
      </c>
      <c r="DYT9">
        <v>0</v>
      </c>
      <c r="DYU9">
        <v>0</v>
      </c>
      <c r="DYV9">
        <v>0</v>
      </c>
      <c r="DYW9">
        <v>0</v>
      </c>
      <c r="DYX9">
        <v>0</v>
      </c>
      <c r="DYY9">
        <v>0</v>
      </c>
      <c r="DYZ9">
        <v>0</v>
      </c>
      <c r="DZA9">
        <v>0</v>
      </c>
      <c r="DZB9">
        <v>0</v>
      </c>
      <c r="DZC9">
        <v>0</v>
      </c>
      <c r="DZD9">
        <v>0</v>
      </c>
      <c r="DZE9">
        <v>0</v>
      </c>
      <c r="DZF9">
        <v>0</v>
      </c>
      <c r="DZG9">
        <v>0</v>
      </c>
      <c r="DZH9">
        <v>0</v>
      </c>
      <c r="DZI9">
        <v>0</v>
      </c>
      <c r="DZJ9">
        <v>0</v>
      </c>
      <c r="DZK9">
        <v>11.99</v>
      </c>
      <c r="DZL9">
        <v>0</v>
      </c>
      <c r="DZM9">
        <v>0</v>
      </c>
      <c r="DZN9">
        <v>0</v>
      </c>
      <c r="DZO9">
        <v>0</v>
      </c>
      <c r="DZP9">
        <v>0</v>
      </c>
      <c r="DZQ9">
        <v>0</v>
      </c>
      <c r="DZR9">
        <v>0</v>
      </c>
      <c r="DZS9">
        <v>0</v>
      </c>
      <c r="DZT9">
        <v>0</v>
      </c>
      <c r="DZU9">
        <v>0</v>
      </c>
      <c r="DZV9">
        <v>0</v>
      </c>
      <c r="DZW9">
        <v>0</v>
      </c>
      <c r="DZX9">
        <v>0</v>
      </c>
      <c r="DZY9">
        <v>0</v>
      </c>
      <c r="DZZ9">
        <v>0</v>
      </c>
      <c r="EAA9">
        <v>0</v>
      </c>
      <c r="EAB9">
        <v>0</v>
      </c>
      <c r="EAC9">
        <v>0</v>
      </c>
      <c r="EAD9">
        <v>0</v>
      </c>
      <c r="EAE9">
        <v>0</v>
      </c>
      <c r="EAF9">
        <v>0</v>
      </c>
      <c r="EAG9">
        <v>0</v>
      </c>
      <c r="EAH9">
        <v>0</v>
      </c>
      <c r="EAI9">
        <v>0</v>
      </c>
      <c r="EAJ9">
        <v>0</v>
      </c>
      <c r="EAK9">
        <v>0</v>
      </c>
      <c r="EAL9">
        <v>0</v>
      </c>
      <c r="EAM9">
        <v>0</v>
      </c>
      <c r="EAN9">
        <v>0</v>
      </c>
      <c r="EAO9">
        <v>0</v>
      </c>
      <c r="EAP9">
        <v>0</v>
      </c>
      <c r="EAQ9">
        <v>0</v>
      </c>
      <c r="EAR9">
        <v>46.99</v>
      </c>
      <c r="EAS9">
        <v>0</v>
      </c>
      <c r="EAT9">
        <v>0</v>
      </c>
      <c r="EAU9">
        <v>0</v>
      </c>
      <c r="EAV9">
        <v>0</v>
      </c>
      <c r="EAW9">
        <v>89</v>
      </c>
      <c r="EAX9">
        <v>0</v>
      </c>
      <c r="EAY9">
        <v>0</v>
      </c>
      <c r="EAZ9">
        <v>14</v>
      </c>
      <c r="EBA9">
        <v>0</v>
      </c>
      <c r="EBB9">
        <v>0</v>
      </c>
      <c r="EBC9">
        <v>0</v>
      </c>
      <c r="EBD9">
        <v>0</v>
      </c>
      <c r="EBE9">
        <v>9</v>
      </c>
      <c r="EBF9">
        <v>46</v>
      </c>
      <c r="EBG9">
        <v>0</v>
      </c>
      <c r="EBH9">
        <v>0</v>
      </c>
      <c r="EBI9">
        <v>0</v>
      </c>
      <c r="EBJ9">
        <v>0</v>
      </c>
      <c r="EBK9">
        <v>0</v>
      </c>
      <c r="EBL9">
        <v>0</v>
      </c>
      <c r="EBM9">
        <v>0</v>
      </c>
      <c r="EBN9">
        <v>0</v>
      </c>
      <c r="EBO9">
        <v>0</v>
      </c>
      <c r="EBP9">
        <v>0</v>
      </c>
      <c r="EBQ9">
        <v>0</v>
      </c>
      <c r="EBR9">
        <v>0</v>
      </c>
      <c r="EBS9">
        <v>0</v>
      </c>
      <c r="EBT9">
        <v>0</v>
      </c>
      <c r="EBU9">
        <v>0</v>
      </c>
      <c r="EBV9">
        <v>0</v>
      </c>
      <c r="EBW9">
        <v>0</v>
      </c>
      <c r="EBX9">
        <v>0</v>
      </c>
      <c r="EBY9">
        <v>33</v>
      </c>
      <c r="EBZ9">
        <v>0</v>
      </c>
      <c r="ECA9">
        <v>0</v>
      </c>
      <c r="ECB9">
        <v>0</v>
      </c>
      <c r="ECC9">
        <v>0</v>
      </c>
      <c r="ECD9">
        <v>0</v>
      </c>
      <c r="ECE9">
        <v>0</v>
      </c>
      <c r="ECF9">
        <v>81</v>
      </c>
      <c r="ECG9">
        <v>0</v>
      </c>
      <c r="ECH9">
        <v>0</v>
      </c>
      <c r="ECI9">
        <v>0</v>
      </c>
      <c r="ECJ9">
        <v>29</v>
      </c>
      <c r="ECK9">
        <v>0</v>
      </c>
      <c r="ECL9">
        <v>155.99</v>
      </c>
      <c r="ECM9">
        <v>0</v>
      </c>
      <c r="ECN9">
        <v>0</v>
      </c>
      <c r="ECO9">
        <v>0</v>
      </c>
      <c r="ECP9">
        <v>0</v>
      </c>
      <c r="ECQ9">
        <v>0</v>
      </c>
      <c r="ECR9">
        <v>0</v>
      </c>
      <c r="ECS9">
        <v>0</v>
      </c>
      <c r="ECT9">
        <v>243.99</v>
      </c>
      <c r="ECU9">
        <v>0</v>
      </c>
      <c r="ECV9">
        <v>0</v>
      </c>
      <c r="ECW9">
        <v>0</v>
      </c>
      <c r="ECX9">
        <v>70.97</v>
      </c>
      <c r="ECY9">
        <v>0</v>
      </c>
      <c r="ECZ9">
        <v>0</v>
      </c>
      <c r="EDA9">
        <v>0</v>
      </c>
      <c r="EDB9">
        <v>0</v>
      </c>
      <c r="EDC9">
        <v>0</v>
      </c>
      <c r="EDD9">
        <v>0</v>
      </c>
      <c r="EDE9">
        <v>0</v>
      </c>
      <c r="EDF9">
        <v>0</v>
      </c>
      <c r="EDG9">
        <v>124.99</v>
      </c>
      <c r="EDH9">
        <v>0</v>
      </c>
      <c r="EDI9">
        <v>0</v>
      </c>
      <c r="EDJ9">
        <v>0</v>
      </c>
      <c r="EDK9">
        <v>0</v>
      </c>
      <c r="EDL9">
        <v>5</v>
      </c>
      <c r="EDM9">
        <v>0</v>
      </c>
      <c r="EDN9">
        <v>14</v>
      </c>
      <c r="EDO9">
        <v>0</v>
      </c>
      <c r="EDP9">
        <v>0</v>
      </c>
      <c r="EDQ9">
        <v>0</v>
      </c>
      <c r="EDR9">
        <v>0</v>
      </c>
      <c r="EDS9">
        <v>0</v>
      </c>
      <c r="EDT9">
        <v>0</v>
      </c>
      <c r="EDU9">
        <v>0</v>
      </c>
      <c r="EDV9">
        <v>21</v>
      </c>
      <c r="EDW9">
        <v>16</v>
      </c>
      <c r="EDX9">
        <v>0</v>
      </c>
      <c r="EDY9">
        <v>0</v>
      </c>
      <c r="EDZ9">
        <v>0</v>
      </c>
      <c r="EEA9">
        <v>0</v>
      </c>
      <c r="EEB9">
        <v>0</v>
      </c>
      <c r="EEC9">
        <v>0</v>
      </c>
      <c r="EED9">
        <v>0</v>
      </c>
      <c r="EEE9">
        <v>0</v>
      </c>
      <c r="EEF9">
        <v>0</v>
      </c>
      <c r="EEG9">
        <v>0</v>
      </c>
      <c r="EEH9">
        <v>0</v>
      </c>
      <c r="EEI9">
        <v>0</v>
      </c>
      <c r="EEJ9">
        <v>0</v>
      </c>
      <c r="EEK9">
        <v>0</v>
      </c>
      <c r="EEL9">
        <v>0</v>
      </c>
      <c r="EEM9">
        <v>0</v>
      </c>
      <c r="EEN9">
        <v>0</v>
      </c>
      <c r="EEO9">
        <v>0</v>
      </c>
      <c r="EEP9">
        <v>0</v>
      </c>
      <c r="EEQ9">
        <v>0</v>
      </c>
      <c r="EER9">
        <v>0</v>
      </c>
      <c r="EES9">
        <v>0</v>
      </c>
      <c r="EET9">
        <v>0</v>
      </c>
      <c r="EEU9">
        <v>0</v>
      </c>
      <c r="EEV9">
        <v>0</v>
      </c>
      <c r="EEW9">
        <v>0</v>
      </c>
      <c r="EEX9">
        <v>0</v>
      </c>
      <c r="EEY9">
        <v>0</v>
      </c>
      <c r="EEZ9">
        <v>0</v>
      </c>
      <c r="EFA9">
        <v>0</v>
      </c>
      <c r="EFB9">
        <v>0</v>
      </c>
      <c r="EFC9">
        <v>0</v>
      </c>
      <c r="EFD9">
        <v>0</v>
      </c>
      <c r="EFE9">
        <v>0</v>
      </c>
      <c r="EFF9">
        <v>0</v>
      </c>
      <c r="EFG9">
        <v>264.99</v>
      </c>
      <c r="EFH9">
        <v>264.99</v>
      </c>
      <c r="EFI9">
        <v>0</v>
      </c>
      <c r="EFJ9">
        <v>0</v>
      </c>
      <c r="EFK9">
        <v>265.99</v>
      </c>
      <c r="EFL9">
        <v>0</v>
      </c>
      <c r="EFM9">
        <v>0</v>
      </c>
      <c r="EFN9">
        <v>32</v>
      </c>
      <c r="EFO9">
        <v>0</v>
      </c>
      <c r="EFP9">
        <v>40</v>
      </c>
      <c r="EFQ9">
        <v>0</v>
      </c>
      <c r="EFR9">
        <v>0</v>
      </c>
      <c r="EFS9">
        <v>0</v>
      </c>
      <c r="EFT9">
        <v>0</v>
      </c>
      <c r="EFU9">
        <v>0</v>
      </c>
      <c r="EFV9">
        <v>0</v>
      </c>
      <c r="EFW9">
        <v>0</v>
      </c>
      <c r="EFX9">
        <v>0</v>
      </c>
      <c r="EFY9">
        <v>58</v>
      </c>
      <c r="EFZ9">
        <v>0</v>
      </c>
      <c r="EGA9">
        <v>0</v>
      </c>
      <c r="EGB9">
        <v>0</v>
      </c>
      <c r="EGC9">
        <v>0</v>
      </c>
      <c r="EGD9">
        <v>59</v>
      </c>
      <c r="EGE9">
        <v>0</v>
      </c>
      <c r="EGF9">
        <v>140</v>
      </c>
      <c r="EGG9">
        <v>0</v>
      </c>
      <c r="EGH9">
        <v>0</v>
      </c>
      <c r="EGI9">
        <v>0</v>
      </c>
      <c r="EGJ9">
        <v>0</v>
      </c>
      <c r="EGK9">
        <v>0</v>
      </c>
      <c r="EGL9">
        <v>0</v>
      </c>
      <c r="EGM9">
        <v>0</v>
      </c>
      <c r="EGN9">
        <v>0</v>
      </c>
      <c r="EGO9">
        <v>0</v>
      </c>
      <c r="EGP9">
        <v>0</v>
      </c>
      <c r="EGQ9">
        <v>0</v>
      </c>
      <c r="EGR9">
        <v>0</v>
      </c>
      <c r="EGS9">
        <v>0</v>
      </c>
      <c r="EGT9">
        <v>0</v>
      </c>
      <c r="EGU9">
        <v>70</v>
      </c>
      <c r="EGV9">
        <v>0</v>
      </c>
      <c r="EGW9">
        <v>0</v>
      </c>
      <c r="EGX9">
        <v>0</v>
      </c>
      <c r="EGY9">
        <v>0</v>
      </c>
      <c r="EGZ9">
        <v>0</v>
      </c>
      <c r="EHA9">
        <v>0</v>
      </c>
      <c r="EHB9">
        <v>0</v>
      </c>
      <c r="EHC9">
        <v>0</v>
      </c>
      <c r="EHD9">
        <v>0</v>
      </c>
      <c r="EHE9">
        <v>0</v>
      </c>
      <c r="EHF9">
        <v>0</v>
      </c>
      <c r="EHG9">
        <v>0</v>
      </c>
      <c r="EHH9">
        <v>0</v>
      </c>
      <c r="EHI9">
        <v>0</v>
      </c>
      <c r="EHJ9">
        <v>77</v>
      </c>
      <c r="EHK9">
        <v>0</v>
      </c>
      <c r="EHL9">
        <v>0</v>
      </c>
      <c r="EHM9">
        <v>0</v>
      </c>
      <c r="EHN9">
        <v>0</v>
      </c>
      <c r="EHO9">
        <v>0</v>
      </c>
      <c r="EHP9">
        <v>0</v>
      </c>
      <c r="EHQ9">
        <v>0</v>
      </c>
      <c r="EHR9">
        <v>0</v>
      </c>
      <c r="EHS9">
        <v>0</v>
      </c>
      <c r="EHT9">
        <v>0</v>
      </c>
      <c r="EHU9">
        <v>0</v>
      </c>
      <c r="EHV9">
        <v>0</v>
      </c>
      <c r="EHW9">
        <v>0</v>
      </c>
      <c r="EHX9">
        <v>0</v>
      </c>
      <c r="EHY9">
        <v>0</v>
      </c>
      <c r="EHZ9">
        <v>0</v>
      </c>
      <c r="EIA9">
        <v>0</v>
      </c>
      <c r="EIB9">
        <v>0</v>
      </c>
      <c r="EIC9">
        <v>0</v>
      </c>
      <c r="EID9">
        <v>0</v>
      </c>
      <c r="EIE9">
        <v>54</v>
      </c>
      <c r="EIF9">
        <v>296.99</v>
      </c>
      <c r="EIG9">
        <v>0</v>
      </c>
      <c r="EIH9">
        <v>0</v>
      </c>
      <c r="EII9">
        <v>35</v>
      </c>
      <c r="EIJ9">
        <v>298</v>
      </c>
      <c r="EIK9">
        <v>0</v>
      </c>
      <c r="EIL9">
        <v>0</v>
      </c>
      <c r="EIM9">
        <v>0</v>
      </c>
      <c r="EIN9">
        <v>0</v>
      </c>
      <c r="EIO9">
        <v>299</v>
      </c>
      <c r="EIP9">
        <v>0</v>
      </c>
      <c r="EIQ9">
        <v>0</v>
      </c>
      <c r="EIR9">
        <v>0</v>
      </c>
      <c r="EIS9">
        <v>0</v>
      </c>
      <c r="EIT9">
        <v>9</v>
      </c>
      <c r="EIU9">
        <v>0</v>
      </c>
      <c r="EIV9">
        <v>21</v>
      </c>
      <c r="EIW9">
        <v>0</v>
      </c>
      <c r="EIX9">
        <v>52</v>
      </c>
      <c r="EIY9">
        <v>0</v>
      </c>
      <c r="EIZ9">
        <v>0</v>
      </c>
      <c r="EJA9">
        <v>0</v>
      </c>
      <c r="EJB9">
        <v>0</v>
      </c>
      <c r="EJC9">
        <v>0</v>
      </c>
      <c r="EJD9">
        <v>0</v>
      </c>
      <c r="EJE9">
        <v>0</v>
      </c>
      <c r="EJF9">
        <v>0</v>
      </c>
      <c r="EJG9">
        <v>305.95</v>
      </c>
      <c r="EJH9">
        <v>0</v>
      </c>
      <c r="EJI9">
        <v>0</v>
      </c>
      <c r="EJJ9">
        <v>0</v>
      </c>
      <c r="EJK9">
        <v>0</v>
      </c>
      <c r="EJL9">
        <v>0</v>
      </c>
      <c r="EJM9">
        <v>0</v>
      </c>
      <c r="EJN9">
        <v>0</v>
      </c>
      <c r="EJO9">
        <v>0</v>
      </c>
      <c r="EJP9">
        <v>0</v>
      </c>
      <c r="EJQ9">
        <v>0</v>
      </c>
      <c r="EJR9">
        <v>0</v>
      </c>
      <c r="EJS9">
        <v>8</v>
      </c>
      <c r="EJT9">
        <v>6</v>
      </c>
      <c r="EJU9">
        <v>0</v>
      </c>
      <c r="EJV9">
        <v>0</v>
      </c>
      <c r="EJW9">
        <v>0</v>
      </c>
      <c r="EJX9">
        <v>0</v>
      </c>
      <c r="EJY9">
        <v>0</v>
      </c>
      <c r="EJZ9">
        <v>0</v>
      </c>
      <c r="EKA9">
        <v>0</v>
      </c>
      <c r="EKB9">
        <v>0</v>
      </c>
      <c r="EKC9">
        <v>14</v>
      </c>
      <c r="EKD9">
        <v>316</v>
      </c>
      <c r="EKE9">
        <v>0</v>
      </c>
      <c r="EKF9">
        <v>0</v>
      </c>
      <c r="EKG9">
        <v>51.97</v>
      </c>
      <c r="EKH9">
        <v>0</v>
      </c>
      <c r="EKI9">
        <v>318.95</v>
      </c>
      <c r="EKJ9">
        <v>0</v>
      </c>
      <c r="EKK9">
        <v>0</v>
      </c>
      <c r="EKL9">
        <v>0</v>
      </c>
      <c r="EKM9">
        <v>0</v>
      </c>
      <c r="EKN9">
        <v>0</v>
      </c>
      <c r="EKO9">
        <v>0</v>
      </c>
      <c r="EKP9">
        <v>12</v>
      </c>
      <c r="EKQ9">
        <v>0</v>
      </c>
      <c r="EKR9">
        <v>0</v>
      </c>
      <c r="EKS9">
        <v>57</v>
      </c>
      <c r="EKT9">
        <v>0</v>
      </c>
      <c r="EKU9">
        <v>0</v>
      </c>
      <c r="EKV9">
        <v>0</v>
      </c>
      <c r="EKW9">
        <v>0</v>
      </c>
      <c r="EKX9">
        <v>109</v>
      </c>
      <c r="EKY9">
        <v>0</v>
      </c>
      <c r="EKZ9">
        <v>0</v>
      </c>
      <c r="ELA9">
        <v>0</v>
      </c>
      <c r="ELB9">
        <v>84.99</v>
      </c>
      <c r="ELC9">
        <v>0</v>
      </c>
      <c r="ELD9">
        <v>0</v>
      </c>
      <c r="ELE9">
        <v>0</v>
      </c>
      <c r="ELF9">
        <v>0</v>
      </c>
      <c r="ELG9">
        <v>0</v>
      </c>
      <c r="ELH9">
        <v>138.99</v>
      </c>
      <c r="ELI9">
        <v>0</v>
      </c>
      <c r="ELJ9">
        <v>0</v>
      </c>
      <c r="ELK9">
        <v>0</v>
      </c>
      <c r="ELL9">
        <v>319.95</v>
      </c>
      <c r="ELM9">
        <v>0</v>
      </c>
      <c r="ELN9">
        <v>0</v>
      </c>
      <c r="ELO9">
        <v>0</v>
      </c>
      <c r="ELP9">
        <v>331.94</v>
      </c>
      <c r="ELQ9">
        <v>0</v>
      </c>
      <c r="ELR9">
        <v>0</v>
      </c>
      <c r="ELS9">
        <v>0</v>
      </c>
      <c r="ELT9">
        <v>0</v>
      </c>
      <c r="ELU9">
        <v>0</v>
      </c>
      <c r="ELV9">
        <v>0</v>
      </c>
      <c r="ELW9">
        <v>0</v>
      </c>
      <c r="ELX9">
        <v>0</v>
      </c>
      <c r="ELY9">
        <v>0</v>
      </c>
      <c r="ELZ9">
        <v>0</v>
      </c>
      <c r="EMA9">
        <v>0</v>
      </c>
      <c r="EMB9">
        <v>53.99</v>
      </c>
      <c r="EMC9">
        <v>0</v>
      </c>
      <c r="EMD9">
        <v>0</v>
      </c>
      <c r="EME9">
        <v>0</v>
      </c>
      <c r="EMF9">
        <v>0</v>
      </c>
      <c r="EMG9">
        <v>0</v>
      </c>
      <c r="EMH9">
        <v>0</v>
      </c>
      <c r="EMI9">
        <v>0</v>
      </c>
      <c r="EMJ9">
        <v>0</v>
      </c>
      <c r="EMK9">
        <v>0</v>
      </c>
      <c r="EML9">
        <v>0</v>
      </c>
      <c r="EMM9">
        <v>0</v>
      </c>
      <c r="EMN9">
        <v>0</v>
      </c>
      <c r="EMO9">
        <v>0</v>
      </c>
      <c r="EMP9">
        <v>0</v>
      </c>
      <c r="EMQ9">
        <v>0</v>
      </c>
      <c r="EMR9">
        <v>0</v>
      </c>
      <c r="EMS9">
        <v>0</v>
      </c>
      <c r="EMT9">
        <v>22</v>
      </c>
      <c r="EMU9">
        <v>346.99</v>
      </c>
      <c r="EMV9">
        <v>0</v>
      </c>
      <c r="EMW9">
        <v>0</v>
      </c>
      <c r="EMX9">
        <v>0</v>
      </c>
      <c r="EMY9">
        <v>0</v>
      </c>
      <c r="EMZ9">
        <v>0</v>
      </c>
      <c r="ENA9">
        <v>0</v>
      </c>
      <c r="ENB9">
        <v>0</v>
      </c>
      <c r="ENC9">
        <v>0</v>
      </c>
      <c r="END9">
        <v>307.98</v>
      </c>
      <c r="ENE9">
        <v>0</v>
      </c>
      <c r="ENF9">
        <v>0</v>
      </c>
      <c r="ENG9">
        <v>0</v>
      </c>
      <c r="ENH9">
        <v>0</v>
      </c>
      <c r="ENI9">
        <v>0</v>
      </c>
      <c r="ENJ9">
        <v>0</v>
      </c>
      <c r="ENK9">
        <v>0</v>
      </c>
      <c r="ENL9">
        <v>0</v>
      </c>
      <c r="ENM9">
        <v>0</v>
      </c>
      <c r="ENN9">
        <v>0</v>
      </c>
      <c r="ENO9">
        <v>0</v>
      </c>
      <c r="ENP9">
        <v>0</v>
      </c>
      <c r="ENQ9">
        <v>0</v>
      </c>
      <c r="ENR9">
        <v>267.99</v>
      </c>
      <c r="ENS9">
        <v>0</v>
      </c>
      <c r="ENT9">
        <v>0</v>
      </c>
      <c r="ENU9">
        <v>0</v>
      </c>
      <c r="ENV9">
        <v>0</v>
      </c>
      <c r="ENW9">
        <v>0</v>
      </c>
      <c r="ENX9">
        <v>0</v>
      </c>
      <c r="ENY9">
        <v>18</v>
      </c>
      <c r="ENZ9">
        <v>0</v>
      </c>
      <c r="EOA9">
        <v>0</v>
      </c>
      <c r="EOB9">
        <v>0</v>
      </c>
      <c r="EOC9">
        <v>0</v>
      </c>
      <c r="EOD9">
        <v>0</v>
      </c>
      <c r="EOE9">
        <v>217.99</v>
      </c>
      <c r="EOF9">
        <v>0</v>
      </c>
      <c r="EOG9">
        <v>0</v>
      </c>
      <c r="EOH9">
        <v>0</v>
      </c>
      <c r="EOI9">
        <v>0</v>
      </c>
      <c r="EOJ9">
        <v>0</v>
      </c>
      <c r="EOK9">
        <v>0</v>
      </c>
      <c r="EOL9">
        <v>0</v>
      </c>
      <c r="EOM9">
        <v>0</v>
      </c>
      <c r="EON9">
        <v>0</v>
      </c>
      <c r="EOO9">
        <v>0</v>
      </c>
      <c r="EOP9">
        <v>0</v>
      </c>
      <c r="EOQ9">
        <v>372.99</v>
      </c>
      <c r="EOR9">
        <v>0</v>
      </c>
      <c r="EOS9">
        <v>0</v>
      </c>
      <c r="EOT9">
        <v>0</v>
      </c>
      <c r="EOU9">
        <v>0</v>
      </c>
      <c r="EOV9">
        <v>0</v>
      </c>
      <c r="EOW9">
        <v>0</v>
      </c>
      <c r="EOX9">
        <v>23</v>
      </c>
      <c r="EOY9">
        <v>0</v>
      </c>
      <c r="EOZ9">
        <v>0</v>
      </c>
      <c r="EPA9">
        <v>0</v>
      </c>
      <c r="EPB9">
        <v>0</v>
      </c>
      <c r="EPC9">
        <v>0</v>
      </c>
      <c r="EPD9">
        <v>0</v>
      </c>
      <c r="EPE9">
        <v>0</v>
      </c>
      <c r="EPF9">
        <v>0</v>
      </c>
      <c r="EPG9">
        <v>0</v>
      </c>
      <c r="EPH9">
        <v>0</v>
      </c>
      <c r="EPI9">
        <v>0</v>
      </c>
      <c r="EPJ9">
        <v>0</v>
      </c>
      <c r="EPK9">
        <v>10</v>
      </c>
      <c r="EPL9">
        <v>168.99</v>
      </c>
      <c r="EPM9">
        <v>0</v>
      </c>
      <c r="EPN9">
        <v>0</v>
      </c>
      <c r="EPO9">
        <v>0</v>
      </c>
      <c r="EPP9">
        <v>0</v>
      </c>
      <c r="EPQ9">
        <v>0</v>
      </c>
      <c r="EPR9">
        <v>0</v>
      </c>
      <c r="EPS9">
        <v>0</v>
      </c>
      <c r="EPT9">
        <v>0</v>
      </c>
      <c r="EPU9">
        <v>0</v>
      </c>
      <c r="EPV9">
        <v>0</v>
      </c>
      <c r="EPW9">
        <v>0</v>
      </c>
      <c r="EPX9">
        <v>0</v>
      </c>
      <c r="EPY9">
        <v>0</v>
      </c>
      <c r="EPZ9">
        <v>0</v>
      </c>
      <c r="EQA9">
        <v>0</v>
      </c>
      <c r="EQB9">
        <v>0</v>
      </c>
      <c r="EQC9">
        <v>0</v>
      </c>
      <c r="EQD9">
        <v>0</v>
      </c>
      <c r="EQE9">
        <v>0</v>
      </c>
      <c r="EQF9">
        <v>0</v>
      </c>
      <c r="EQG9">
        <v>0</v>
      </c>
      <c r="EQH9">
        <v>0</v>
      </c>
      <c r="EQI9">
        <v>0</v>
      </c>
      <c r="EQJ9">
        <v>0</v>
      </c>
      <c r="EQK9">
        <v>0</v>
      </c>
      <c r="EQL9">
        <v>0</v>
      </c>
      <c r="EQM9">
        <v>0</v>
      </c>
      <c r="EQN9">
        <v>0</v>
      </c>
      <c r="EQO9">
        <v>34.99</v>
      </c>
      <c r="EQP9">
        <v>0</v>
      </c>
      <c r="EQQ9">
        <v>30</v>
      </c>
      <c r="EQR9">
        <v>0</v>
      </c>
      <c r="EQS9">
        <v>0</v>
      </c>
      <c r="EQT9">
        <v>0</v>
      </c>
      <c r="EQU9">
        <v>0</v>
      </c>
      <c r="EQV9">
        <v>0</v>
      </c>
      <c r="EQW9">
        <v>0</v>
      </c>
      <c r="EQX9">
        <v>0</v>
      </c>
      <c r="EQY9">
        <v>203</v>
      </c>
      <c r="EQZ9">
        <v>0</v>
      </c>
      <c r="ERA9">
        <v>0</v>
      </c>
      <c r="ERB9">
        <v>0</v>
      </c>
      <c r="ERC9">
        <v>100.99</v>
      </c>
      <c r="ERD9">
        <v>0</v>
      </c>
      <c r="ERE9">
        <v>0</v>
      </c>
      <c r="ERF9">
        <v>0</v>
      </c>
      <c r="ERG9">
        <v>96</v>
      </c>
      <c r="ERH9">
        <v>330.99</v>
      </c>
      <c r="ERI9">
        <v>0</v>
      </c>
      <c r="ERJ9">
        <v>0</v>
      </c>
      <c r="ERK9">
        <v>0</v>
      </c>
      <c r="ERL9">
        <v>0</v>
      </c>
      <c r="ERM9">
        <v>25</v>
      </c>
      <c r="ERN9">
        <v>0</v>
      </c>
      <c r="ERO9">
        <v>0</v>
      </c>
      <c r="ERP9">
        <v>0</v>
      </c>
      <c r="ERQ9">
        <v>0</v>
      </c>
      <c r="ERR9">
        <v>0</v>
      </c>
      <c r="ERS9">
        <v>0</v>
      </c>
      <c r="ERT9">
        <v>6</v>
      </c>
      <c r="ERU9">
        <v>0</v>
      </c>
      <c r="ERV9">
        <v>0</v>
      </c>
      <c r="ERW9">
        <v>0</v>
      </c>
      <c r="ERX9">
        <v>0</v>
      </c>
      <c r="ERY9">
        <v>0</v>
      </c>
      <c r="ERZ9">
        <v>0</v>
      </c>
      <c r="ESA9">
        <v>0</v>
      </c>
      <c r="ESB9">
        <v>0</v>
      </c>
      <c r="ESC9">
        <v>0</v>
      </c>
      <c r="ESD9">
        <v>0</v>
      </c>
      <c r="ESE9">
        <v>0</v>
      </c>
      <c r="ESF9">
        <v>0</v>
      </c>
      <c r="ESG9">
        <v>0</v>
      </c>
      <c r="ESH9">
        <v>421.98</v>
      </c>
      <c r="ESI9">
        <v>422.96</v>
      </c>
      <c r="ESJ9">
        <v>0</v>
      </c>
      <c r="ESK9">
        <v>0</v>
      </c>
      <c r="ESL9">
        <v>0</v>
      </c>
      <c r="ESM9">
        <v>0</v>
      </c>
      <c r="ESN9">
        <v>0</v>
      </c>
      <c r="ESO9">
        <v>0</v>
      </c>
      <c r="ESP9">
        <v>17</v>
      </c>
      <c r="ESQ9">
        <v>425</v>
      </c>
      <c r="ESR9">
        <v>0</v>
      </c>
      <c r="ESS9">
        <v>0</v>
      </c>
      <c r="EST9">
        <v>0</v>
      </c>
      <c r="ESU9">
        <v>0</v>
      </c>
      <c r="ESV9">
        <v>0</v>
      </c>
      <c r="ESW9">
        <v>0</v>
      </c>
      <c r="ESX9">
        <v>0</v>
      </c>
      <c r="ESY9">
        <v>0</v>
      </c>
      <c r="ESZ9">
        <v>40</v>
      </c>
      <c r="ETA9">
        <v>0</v>
      </c>
      <c r="ETB9">
        <v>0</v>
      </c>
      <c r="ETC9">
        <v>0</v>
      </c>
      <c r="ETD9">
        <v>0</v>
      </c>
      <c r="ETE9">
        <v>23.01</v>
      </c>
      <c r="ETF9">
        <v>0</v>
      </c>
      <c r="ETG9">
        <v>0</v>
      </c>
      <c r="ETH9">
        <v>200.99</v>
      </c>
      <c r="ETI9">
        <v>0</v>
      </c>
      <c r="ETJ9">
        <v>0</v>
      </c>
      <c r="ETK9">
        <v>0</v>
      </c>
      <c r="ETL9">
        <v>0</v>
      </c>
      <c r="ETM9">
        <v>0</v>
      </c>
      <c r="ETN9">
        <v>0</v>
      </c>
      <c r="ETO9">
        <v>0</v>
      </c>
      <c r="ETP9">
        <v>8</v>
      </c>
      <c r="ETQ9">
        <v>0</v>
      </c>
      <c r="ETR9">
        <v>0</v>
      </c>
      <c r="ETS9">
        <v>98.97</v>
      </c>
      <c r="ETT9">
        <v>0</v>
      </c>
      <c r="ETU9">
        <v>0</v>
      </c>
      <c r="ETV9">
        <v>0</v>
      </c>
      <c r="ETW9">
        <v>0</v>
      </c>
      <c r="ETX9">
        <v>0</v>
      </c>
      <c r="ETY9">
        <v>0</v>
      </c>
      <c r="ETZ9">
        <v>0</v>
      </c>
      <c r="EUA9">
        <v>0</v>
      </c>
      <c r="EUB9">
        <v>0</v>
      </c>
      <c r="EUC9">
        <v>0</v>
      </c>
      <c r="EUD9">
        <v>0</v>
      </c>
      <c r="EUE9">
        <v>0</v>
      </c>
      <c r="EUF9">
        <v>0</v>
      </c>
      <c r="EUG9">
        <v>0</v>
      </c>
      <c r="EUH9">
        <v>0</v>
      </c>
      <c r="EUI9">
        <v>0</v>
      </c>
      <c r="EUJ9">
        <v>0</v>
      </c>
      <c r="EUK9">
        <v>0</v>
      </c>
      <c r="EUL9">
        <v>53</v>
      </c>
      <c r="EUM9">
        <v>0</v>
      </c>
      <c r="EUN9">
        <v>0</v>
      </c>
      <c r="EUO9">
        <v>0</v>
      </c>
      <c r="EUP9">
        <v>0</v>
      </c>
      <c r="EUQ9">
        <v>0</v>
      </c>
      <c r="EUR9">
        <v>0</v>
      </c>
      <c r="EUS9">
        <v>0</v>
      </c>
      <c r="EUT9">
        <v>454.98</v>
      </c>
      <c r="EUU9">
        <v>0</v>
      </c>
      <c r="EUV9">
        <v>0</v>
      </c>
      <c r="EUW9">
        <v>11</v>
      </c>
      <c r="EUX9">
        <v>0</v>
      </c>
      <c r="EUY9">
        <v>15</v>
      </c>
      <c r="EUZ9">
        <v>457.98</v>
      </c>
      <c r="EVA9">
        <v>0</v>
      </c>
      <c r="EVB9">
        <v>0</v>
      </c>
      <c r="EVC9">
        <v>0</v>
      </c>
      <c r="EVD9">
        <v>0</v>
      </c>
      <c r="EVE9">
        <v>0</v>
      </c>
      <c r="EVF9">
        <v>0</v>
      </c>
      <c r="EVG9">
        <v>0</v>
      </c>
      <c r="EVH9">
        <v>0</v>
      </c>
      <c r="EVI9">
        <v>0</v>
      </c>
      <c r="EVJ9">
        <v>0</v>
      </c>
      <c r="EVK9">
        <v>0</v>
      </c>
      <c r="EVL9">
        <v>128.99</v>
      </c>
      <c r="EVM9">
        <v>0</v>
      </c>
      <c r="EVN9">
        <v>0</v>
      </c>
      <c r="EVO9">
        <v>0</v>
      </c>
      <c r="EVP9">
        <v>0</v>
      </c>
      <c r="EVQ9">
        <v>0</v>
      </c>
      <c r="EVR9">
        <v>0</v>
      </c>
      <c r="EVS9">
        <v>0</v>
      </c>
      <c r="EVT9">
        <v>0</v>
      </c>
      <c r="EVU9">
        <v>0</v>
      </c>
      <c r="EVV9">
        <v>0</v>
      </c>
      <c r="EVW9">
        <v>31</v>
      </c>
      <c r="EVX9">
        <v>0</v>
      </c>
      <c r="EVY9">
        <v>98</v>
      </c>
      <c r="EVZ9">
        <v>0</v>
      </c>
      <c r="EWA9">
        <v>0</v>
      </c>
      <c r="EWB9">
        <v>0</v>
      </c>
      <c r="EWC9">
        <v>0</v>
      </c>
      <c r="EWD9">
        <v>0</v>
      </c>
      <c r="EWE9">
        <v>0</v>
      </c>
      <c r="EWF9">
        <v>0</v>
      </c>
      <c r="EWG9">
        <v>0</v>
      </c>
      <c r="EWH9">
        <v>0</v>
      </c>
      <c r="EWI9">
        <v>0</v>
      </c>
      <c r="EWJ9">
        <v>483.98</v>
      </c>
      <c r="EWK9">
        <v>0</v>
      </c>
      <c r="EWL9">
        <v>0</v>
      </c>
      <c r="EWM9">
        <v>0</v>
      </c>
      <c r="EWN9">
        <v>0</v>
      </c>
      <c r="EWO9">
        <v>0</v>
      </c>
      <c r="EWP9">
        <v>0</v>
      </c>
      <c r="EWQ9">
        <v>10</v>
      </c>
      <c r="EWR9">
        <v>0</v>
      </c>
      <c r="EWS9">
        <v>40.99</v>
      </c>
      <c r="EWT9">
        <v>0</v>
      </c>
      <c r="EWU9">
        <v>0</v>
      </c>
      <c r="EWV9">
        <v>0</v>
      </c>
      <c r="EWW9">
        <v>0</v>
      </c>
      <c r="EWX9">
        <v>0</v>
      </c>
      <c r="EWY9">
        <v>0</v>
      </c>
      <c r="EWZ9">
        <v>0</v>
      </c>
      <c r="EXA9">
        <v>0</v>
      </c>
      <c r="EXB9">
        <v>0</v>
      </c>
      <c r="EXC9">
        <v>27</v>
      </c>
      <c r="EXD9">
        <v>0</v>
      </c>
      <c r="EXE9">
        <v>0</v>
      </c>
      <c r="EXF9">
        <v>0</v>
      </c>
      <c r="EXG9">
        <v>0</v>
      </c>
      <c r="EXH9">
        <v>0</v>
      </c>
      <c r="EXI9">
        <v>0</v>
      </c>
      <c r="EXJ9">
        <v>0</v>
      </c>
      <c r="EXK9">
        <v>0</v>
      </c>
      <c r="EXL9">
        <v>0</v>
      </c>
      <c r="EXM9">
        <v>359.95</v>
      </c>
      <c r="EXN9">
        <v>436</v>
      </c>
      <c r="EXO9">
        <v>0</v>
      </c>
      <c r="EXP9">
        <v>0</v>
      </c>
      <c r="EXQ9">
        <v>0</v>
      </c>
      <c r="EXR9">
        <v>0</v>
      </c>
      <c r="EXS9">
        <v>0</v>
      </c>
      <c r="EXT9">
        <v>0</v>
      </c>
      <c r="EXU9">
        <v>0</v>
      </c>
      <c r="EXV9">
        <v>0</v>
      </c>
      <c r="EXW9">
        <v>49</v>
      </c>
      <c r="EXX9">
        <v>0</v>
      </c>
      <c r="EXY9">
        <v>0</v>
      </c>
      <c r="EXZ9">
        <v>68</v>
      </c>
      <c r="EYA9">
        <v>0</v>
      </c>
      <c r="EYB9">
        <v>0</v>
      </c>
      <c r="EYC9">
        <v>0</v>
      </c>
      <c r="EYD9">
        <v>0</v>
      </c>
      <c r="EYE9">
        <v>177</v>
      </c>
      <c r="EYF9">
        <v>0</v>
      </c>
      <c r="EYG9">
        <v>0</v>
      </c>
      <c r="EYH9">
        <v>0</v>
      </c>
      <c r="EYI9">
        <v>0</v>
      </c>
      <c r="EYJ9">
        <v>0</v>
      </c>
      <c r="EYK9">
        <v>0</v>
      </c>
      <c r="EYL9">
        <v>0</v>
      </c>
      <c r="EYM9">
        <v>0</v>
      </c>
      <c r="EYN9">
        <v>0</v>
      </c>
      <c r="EYO9">
        <v>0</v>
      </c>
      <c r="EYP9">
        <v>0</v>
      </c>
      <c r="EYQ9">
        <v>0</v>
      </c>
      <c r="EYR9">
        <v>0</v>
      </c>
      <c r="EYS9">
        <v>0</v>
      </c>
      <c r="EYT9">
        <v>0</v>
      </c>
      <c r="EYU9">
        <v>0</v>
      </c>
      <c r="EYV9">
        <v>530.98</v>
      </c>
      <c r="EYW9">
        <v>0</v>
      </c>
      <c r="EYX9">
        <v>0</v>
      </c>
      <c r="EYY9">
        <v>0</v>
      </c>
      <c r="EYZ9">
        <v>0</v>
      </c>
      <c r="EZA9">
        <v>0</v>
      </c>
      <c r="EZB9">
        <v>0</v>
      </c>
      <c r="EZC9">
        <v>0</v>
      </c>
      <c r="EZD9">
        <v>0</v>
      </c>
      <c r="EZE9">
        <v>0</v>
      </c>
      <c r="EZF9">
        <v>0</v>
      </c>
      <c r="EZG9">
        <v>0</v>
      </c>
      <c r="EZH9">
        <v>0</v>
      </c>
      <c r="EZI9">
        <v>0</v>
      </c>
      <c r="EZJ9">
        <v>0</v>
      </c>
      <c r="EZK9">
        <v>0</v>
      </c>
      <c r="EZL9">
        <v>0</v>
      </c>
      <c r="EZM9">
        <v>0</v>
      </c>
      <c r="EZN9">
        <v>0</v>
      </c>
      <c r="EZO9">
        <v>0</v>
      </c>
      <c r="EZP9">
        <v>546.99</v>
      </c>
      <c r="EZQ9">
        <v>0</v>
      </c>
      <c r="EZR9">
        <v>0</v>
      </c>
      <c r="EZS9">
        <v>0</v>
      </c>
      <c r="EZT9">
        <v>45.99</v>
      </c>
      <c r="EZU9">
        <v>0</v>
      </c>
      <c r="EZV9">
        <v>0</v>
      </c>
      <c r="EZW9">
        <v>0</v>
      </c>
      <c r="EZX9">
        <v>0</v>
      </c>
      <c r="EZY9">
        <v>0</v>
      </c>
      <c r="EZZ9">
        <v>0</v>
      </c>
      <c r="FAA9">
        <v>0</v>
      </c>
      <c r="FAB9">
        <v>0</v>
      </c>
      <c r="FAC9">
        <v>0</v>
      </c>
      <c r="FAD9">
        <v>0</v>
      </c>
      <c r="FAE9">
        <v>0</v>
      </c>
      <c r="FAF9">
        <v>0</v>
      </c>
      <c r="FAG9">
        <v>0</v>
      </c>
      <c r="FAH9">
        <v>0</v>
      </c>
      <c r="FAI9">
        <v>0</v>
      </c>
      <c r="FAJ9">
        <v>0</v>
      </c>
      <c r="FAK9">
        <v>0</v>
      </c>
      <c r="FAL9">
        <v>0</v>
      </c>
      <c r="FAM9">
        <v>0</v>
      </c>
      <c r="FAN9">
        <v>0</v>
      </c>
      <c r="FAO9">
        <v>0</v>
      </c>
      <c r="FAP9">
        <v>0</v>
      </c>
      <c r="FAQ9">
        <v>0</v>
      </c>
      <c r="FAR9">
        <v>0</v>
      </c>
      <c r="FAS9">
        <v>0</v>
      </c>
      <c r="FAT9">
        <v>0</v>
      </c>
      <c r="FAU9">
        <v>0</v>
      </c>
      <c r="FAV9">
        <v>99.99</v>
      </c>
      <c r="FAW9">
        <v>0</v>
      </c>
      <c r="FAX9">
        <v>0</v>
      </c>
      <c r="FAY9">
        <v>496.98</v>
      </c>
      <c r="FAZ9">
        <v>0</v>
      </c>
      <c r="FBA9">
        <v>0</v>
      </c>
      <c r="FBB9">
        <v>581.98</v>
      </c>
      <c r="FBC9">
        <v>0</v>
      </c>
      <c r="FBD9">
        <v>0</v>
      </c>
      <c r="FBE9">
        <v>0</v>
      </c>
      <c r="FBF9">
        <v>0</v>
      </c>
      <c r="FBG9">
        <v>0</v>
      </c>
      <c r="FBH9">
        <v>0</v>
      </c>
      <c r="FBI9">
        <v>0</v>
      </c>
      <c r="FBJ9">
        <v>0</v>
      </c>
      <c r="FBK9">
        <v>0</v>
      </c>
      <c r="FBL9">
        <v>0</v>
      </c>
      <c r="FBM9">
        <v>0</v>
      </c>
      <c r="FBN9">
        <v>0</v>
      </c>
      <c r="FBO9">
        <v>0</v>
      </c>
      <c r="FBP9">
        <v>0</v>
      </c>
      <c r="FBQ9">
        <v>0</v>
      </c>
      <c r="FBR9">
        <v>0</v>
      </c>
      <c r="FBS9">
        <v>0</v>
      </c>
      <c r="FBT9">
        <v>0</v>
      </c>
      <c r="FBU9">
        <v>0</v>
      </c>
      <c r="FBV9">
        <v>0</v>
      </c>
      <c r="FBW9">
        <v>0</v>
      </c>
      <c r="FBX9">
        <v>0</v>
      </c>
      <c r="FBY9">
        <v>0</v>
      </c>
      <c r="FBZ9">
        <v>0</v>
      </c>
      <c r="FCA9">
        <v>0</v>
      </c>
      <c r="FCB9">
        <v>609.98</v>
      </c>
      <c r="FCC9">
        <v>0</v>
      </c>
      <c r="FCD9">
        <v>0</v>
      </c>
      <c r="FCE9">
        <v>0</v>
      </c>
      <c r="FCF9">
        <v>0</v>
      </c>
      <c r="FCG9">
        <v>0</v>
      </c>
      <c r="FCH9">
        <v>0</v>
      </c>
      <c r="FCI9">
        <v>0</v>
      </c>
      <c r="FCJ9">
        <v>0</v>
      </c>
      <c r="FCK9">
        <v>0</v>
      </c>
      <c r="FCL9">
        <v>0</v>
      </c>
      <c r="FCM9">
        <v>0</v>
      </c>
      <c r="FCN9">
        <v>129</v>
      </c>
      <c r="FCO9">
        <v>61</v>
      </c>
      <c r="FCP9">
        <v>0</v>
      </c>
      <c r="FCQ9">
        <v>0</v>
      </c>
      <c r="FCR9">
        <v>0</v>
      </c>
      <c r="FCS9">
        <v>0</v>
      </c>
      <c r="FCT9">
        <v>0</v>
      </c>
      <c r="FCU9">
        <v>0</v>
      </c>
      <c r="FCV9">
        <v>0</v>
      </c>
      <c r="FCW9">
        <v>0</v>
      </c>
      <c r="FCX9">
        <v>0</v>
      </c>
      <c r="FCY9">
        <v>0</v>
      </c>
      <c r="FCZ9">
        <v>0</v>
      </c>
      <c r="FDA9">
        <v>0</v>
      </c>
      <c r="FDB9">
        <v>0</v>
      </c>
      <c r="FDC9">
        <v>0</v>
      </c>
      <c r="FDD9">
        <v>0</v>
      </c>
      <c r="FDE9">
        <v>0</v>
      </c>
      <c r="FDF9">
        <v>31</v>
      </c>
      <c r="FDG9">
        <v>0</v>
      </c>
      <c r="FDH9">
        <v>0</v>
      </c>
      <c r="FDI9">
        <v>0</v>
      </c>
      <c r="FDJ9">
        <v>0</v>
      </c>
      <c r="FDK9">
        <v>0</v>
      </c>
      <c r="FDL9">
        <v>0</v>
      </c>
      <c r="FDM9">
        <v>0</v>
      </c>
      <c r="FDN9">
        <v>0</v>
      </c>
      <c r="FDO9">
        <v>0</v>
      </c>
      <c r="FDP9">
        <v>0</v>
      </c>
      <c r="FDQ9">
        <v>0</v>
      </c>
      <c r="FDR9">
        <v>21</v>
      </c>
      <c r="FDS9">
        <v>0</v>
      </c>
      <c r="FDT9">
        <v>0</v>
      </c>
      <c r="FDU9">
        <v>23</v>
      </c>
      <c r="FDV9">
        <v>0</v>
      </c>
      <c r="FDW9">
        <v>616.98</v>
      </c>
      <c r="FDX9">
        <v>0</v>
      </c>
      <c r="FDY9">
        <v>0</v>
      </c>
      <c r="FDZ9">
        <v>662.92</v>
      </c>
      <c r="FEA9">
        <v>8</v>
      </c>
      <c r="FEB9">
        <v>0</v>
      </c>
      <c r="FEC9">
        <v>0</v>
      </c>
      <c r="FED9">
        <v>0</v>
      </c>
      <c r="FEE9">
        <v>0</v>
      </c>
      <c r="FEF9">
        <v>0</v>
      </c>
      <c r="FEG9">
        <v>0</v>
      </c>
      <c r="FEH9">
        <v>0</v>
      </c>
      <c r="FEI9">
        <v>543.98</v>
      </c>
      <c r="FEJ9">
        <v>0</v>
      </c>
      <c r="FEK9">
        <v>0</v>
      </c>
      <c r="FEL9">
        <v>0</v>
      </c>
      <c r="FEM9">
        <v>0</v>
      </c>
      <c r="FEN9">
        <v>0</v>
      </c>
      <c r="FEO9">
        <v>0</v>
      </c>
      <c r="FEP9">
        <v>0</v>
      </c>
      <c r="FEQ9">
        <v>0</v>
      </c>
      <c r="FER9">
        <v>0</v>
      </c>
      <c r="FES9">
        <v>0</v>
      </c>
      <c r="FET9">
        <v>0</v>
      </c>
      <c r="FEU9">
        <v>0</v>
      </c>
      <c r="FEV9">
        <v>0</v>
      </c>
      <c r="FEW9">
        <v>0</v>
      </c>
      <c r="FEX9">
        <v>0</v>
      </c>
      <c r="FEY9">
        <v>0</v>
      </c>
      <c r="FEZ9">
        <v>0</v>
      </c>
      <c r="FFA9">
        <v>0</v>
      </c>
      <c r="FFB9">
        <v>697.96</v>
      </c>
      <c r="FFC9">
        <v>0</v>
      </c>
      <c r="FFD9">
        <v>0</v>
      </c>
      <c r="FFE9">
        <v>0</v>
      </c>
      <c r="FFF9">
        <v>0</v>
      </c>
      <c r="FFG9">
        <v>0</v>
      </c>
      <c r="FFH9">
        <v>0</v>
      </c>
      <c r="FFI9">
        <v>0</v>
      </c>
      <c r="FFJ9">
        <v>0</v>
      </c>
      <c r="FFK9">
        <v>0</v>
      </c>
      <c r="FFL9">
        <v>0</v>
      </c>
      <c r="FFM9">
        <v>0</v>
      </c>
      <c r="FFN9">
        <v>0</v>
      </c>
      <c r="FFO9">
        <v>0</v>
      </c>
      <c r="FFP9">
        <v>0</v>
      </c>
      <c r="FFQ9">
        <v>0</v>
      </c>
      <c r="FFR9">
        <v>0</v>
      </c>
      <c r="FFS9">
        <v>0</v>
      </c>
      <c r="FFT9">
        <v>0</v>
      </c>
      <c r="FFU9">
        <v>0</v>
      </c>
      <c r="FFV9">
        <v>0</v>
      </c>
      <c r="FFW9">
        <v>0</v>
      </c>
      <c r="FFX9">
        <v>731</v>
      </c>
      <c r="FFY9">
        <v>0</v>
      </c>
      <c r="FFZ9">
        <v>0</v>
      </c>
      <c r="FGA9">
        <v>0</v>
      </c>
      <c r="FGB9">
        <v>0</v>
      </c>
      <c r="FGC9">
        <v>0</v>
      </c>
      <c r="FGD9">
        <v>0</v>
      </c>
      <c r="FGE9">
        <v>27</v>
      </c>
      <c r="FGF9">
        <v>0</v>
      </c>
      <c r="FGG9">
        <v>0</v>
      </c>
      <c r="FGH9">
        <v>64</v>
      </c>
      <c r="FGI9">
        <v>0</v>
      </c>
      <c r="FGJ9">
        <v>0</v>
      </c>
      <c r="FGK9">
        <v>0</v>
      </c>
      <c r="FGL9">
        <v>0</v>
      </c>
      <c r="FGM9">
        <v>0</v>
      </c>
      <c r="FGN9">
        <v>0</v>
      </c>
      <c r="FGO9">
        <v>254</v>
      </c>
      <c r="FGP9">
        <v>0</v>
      </c>
      <c r="FGQ9">
        <v>0</v>
      </c>
      <c r="FGR9">
        <v>0</v>
      </c>
      <c r="FGS9">
        <v>261.99</v>
      </c>
      <c r="FGT9">
        <v>0</v>
      </c>
      <c r="FGU9">
        <v>0</v>
      </c>
      <c r="FGV9">
        <v>64</v>
      </c>
      <c r="FGW9">
        <v>27</v>
      </c>
      <c r="FGX9">
        <v>4.99</v>
      </c>
      <c r="FGY9">
        <v>0</v>
      </c>
      <c r="FGZ9">
        <v>0</v>
      </c>
      <c r="FHA9">
        <v>0</v>
      </c>
      <c r="FHB9">
        <v>0</v>
      </c>
      <c r="FHC9">
        <v>0</v>
      </c>
      <c r="FHD9">
        <v>330.99</v>
      </c>
      <c r="FHE9">
        <v>0</v>
      </c>
      <c r="FHF9">
        <v>0</v>
      </c>
      <c r="FHG9">
        <v>0</v>
      </c>
      <c r="FHH9">
        <v>0</v>
      </c>
      <c r="FHI9">
        <v>62</v>
      </c>
      <c r="FHJ9">
        <v>0</v>
      </c>
      <c r="FHK9">
        <v>0</v>
      </c>
      <c r="FHL9">
        <v>0</v>
      </c>
      <c r="FHM9">
        <v>0</v>
      </c>
      <c r="FHN9">
        <v>0</v>
      </c>
      <c r="FHO9">
        <v>0</v>
      </c>
      <c r="FHP9">
        <v>0</v>
      </c>
      <c r="FHQ9">
        <v>0</v>
      </c>
      <c r="FHR9">
        <v>0</v>
      </c>
      <c r="FHS9">
        <v>0</v>
      </c>
      <c r="FHT9">
        <v>0</v>
      </c>
      <c r="FHU9">
        <v>0</v>
      </c>
      <c r="FHV9">
        <v>0</v>
      </c>
      <c r="FHW9">
        <v>0</v>
      </c>
      <c r="FHX9">
        <v>0</v>
      </c>
      <c r="FHY9">
        <v>0</v>
      </c>
      <c r="FHZ9">
        <v>0</v>
      </c>
      <c r="FIA9">
        <v>0</v>
      </c>
      <c r="FIB9">
        <v>0</v>
      </c>
      <c r="FIC9">
        <v>0</v>
      </c>
      <c r="FID9">
        <v>0</v>
      </c>
      <c r="FIE9">
        <v>0</v>
      </c>
      <c r="FIF9">
        <v>0</v>
      </c>
      <c r="FIG9">
        <v>0</v>
      </c>
      <c r="FIH9">
        <v>0</v>
      </c>
      <c r="FII9">
        <v>0</v>
      </c>
      <c r="FIJ9">
        <v>0</v>
      </c>
      <c r="FIK9">
        <v>0</v>
      </c>
      <c r="FIL9">
        <v>0</v>
      </c>
      <c r="FIM9">
        <v>0</v>
      </c>
      <c r="FIN9">
        <v>0</v>
      </c>
      <c r="FIO9">
        <v>0</v>
      </c>
      <c r="FIP9">
        <v>8</v>
      </c>
      <c r="FIQ9">
        <v>0</v>
      </c>
      <c r="FIR9">
        <v>0</v>
      </c>
      <c r="FIS9">
        <v>0</v>
      </c>
      <c r="FIT9">
        <v>0</v>
      </c>
      <c r="FIU9">
        <v>0</v>
      </c>
      <c r="FIV9">
        <v>0</v>
      </c>
      <c r="FIW9">
        <v>0</v>
      </c>
      <c r="FIX9">
        <v>0</v>
      </c>
      <c r="FIY9">
        <v>0</v>
      </c>
      <c r="FIZ9">
        <v>819.98</v>
      </c>
      <c r="FJA9">
        <v>0</v>
      </c>
      <c r="FJB9">
        <v>0</v>
      </c>
      <c r="FJC9">
        <v>0</v>
      </c>
      <c r="FJD9">
        <v>0</v>
      </c>
      <c r="FJE9">
        <v>0</v>
      </c>
      <c r="FJF9">
        <v>831.86</v>
      </c>
      <c r="FJG9">
        <v>0</v>
      </c>
      <c r="FJH9">
        <v>0</v>
      </c>
      <c r="FJI9">
        <v>0</v>
      </c>
      <c r="FJJ9">
        <v>0</v>
      </c>
      <c r="FJK9">
        <v>0</v>
      </c>
      <c r="FJL9">
        <v>0</v>
      </c>
      <c r="FJM9">
        <v>0</v>
      </c>
      <c r="FJN9">
        <v>0</v>
      </c>
      <c r="FJO9">
        <v>0</v>
      </c>
      <c r="FJP9">
        <v>0</v>
      </c>
      <c r="FJQ9">
        <v>0</v>
      </c>
      <c r="FJR9">
        <v>0</v>
      </c>
      <c r="FJS9">
        <v>0</v>
      </c>
      <c r="FJT9">
        <v>75.989999999999995</v>
      </c>
      <c r="FJU9">
        <v>0</v>
      </c>
      <c r="FJV9">
        <v>0</v>
      </c>
      <c r="FJW9">
        <v>80.989999999999995</v>
      </c>
      <c r="FJX9">
        <v>10</v>
      </c>
      <c r="FJY9">
        <v>0</v>
      </c>
      <c r="FJZ9">
        <v>0</v>
      </c>
      <c r="FKA9">
        <v>79.97</v>
      </c>
      <c r="FKB9">
        <v>0</v>
      </c>
      <c r="FKC9">
        <v>0</v>
      </c>
      <c r="FKD9">
        <v>0</v>
      </c>
      <c r="FKE9">
        <v>0</v>
      </c>
      <c r="FKF9">
        <v>0</v>
      </c>
      <c r="FKG9">
        <v>0</v>
      </c>
      <c r="FKH9">
        <v>0</v>
      </c>
      <c r="FKI9">
        <v>0</v>
      </c>
      <c r="FKJ9">
        <v>193</v>
      </c>
      <c r="FKK9">
        <v>0</v>
      </c>
      <c r="FKL9">
        <v>0</v>
      </c>
      <c r="FKM9">
        <v>0</v>
      </c>
      <c r="FKN9">
        <v>0</v>
      </c>
      <c r="FKO9">
        <v>0</v>
      </c>
      <c r="FKP9">
        <v>0</v>
      </c>
      <c r="FKQ9">
        <v>0</v>
      </c>
      <c r="FKR9">
        <v>0</v>
      </c>
      <c r="FKS9">
        <v>0</v>
      </c>
      <c r="FKT9">
        <v>0</v>
      </c>
      <c r="FKU9">
        <v>0</v>
      </c>
      <c r="FKV9">
        <v>0</v>
      </c>
      <c r="FKW9">
        <v>235</v>
      </c>
      <c r="FKX9">
        <v>0</v>
      </c>
      <c r="FKY9">
        <v>0</v>
      </c>
      <c r="FKZ9">
        <v>0</v>
      </c>
      <c r="FLA9">
        <v>0</v>
      </c>
      <c r="FLB9">
        <v>0</v>
      </c>
      <c r="FLC9">
        <v>0</v>
      </c>
      <c r="FLD9">
        <v>0</v>
      </c>
      <c r="FLE9">
        <v>0</v>
      </c>
      <c r="FLF9">
        <v>0</v>
      </c>
      <c r="FLG9">
        <v>0</v>
      </c>
      <c r="FLH9">
        <v>0</v>
      </c>
      <c r="FLI9">
        <v>0</v>
      </c>
      <c r="FLJ9">
        <v>0</v>
      </c>
      <c r="FLK9">
        <v>0</v>
      </c>
      <c r="FLL9">
        <v>0</v>
      </c>
      <c r="FLM9">
        <v>0</v>
      </c>
      <c r="FLN9">
        <v>0</v>
      </c>
      <c r="FLO9">
        <v>0</v>
      </c>
      <c r="FLP9">
        <v>0</v>
      </c>
      <c r="FLQ9">
        <v>110</v>
      </c>
      <c r="FLR9">
        <v>0</v>
      </c>
      <c r="FLS9">
        <v>0</v>
      </c>
      <c r="FLT9">
        <v>0</v>
      </c>
      <c r="FLU9">
        <v>913.96</v>
      </c>
      <c r="FLV9">
        <v>0</v>
      </c>
      <c r="FLW9">
        <v>0</v>
      </c>
      <c r="FLX9">
        <v>932.95</v>
      </c>
      <c r="FLY9">
        <v>0</v>
      </c>
      <c r="FLZ9">
        <v>0</v>
      </c>
      <c r="FMA9">
        <v>0</v>
      </c>
      <c r="FMB9">
        <v>0</v>
      </c>
      <c r="FMC9">
        <v>0</v>
      </c>
      <c r="FMD9">
        <v>0</v>
      </c>
      <c r="FME9">
        <v>0</v>
      </c>
      <c r="FMF9">
        <v>0</v>
      </c>
      <c r="FMG9">
        <v>0</v>
      </c>
      <c r="FMH9">
        <v>0</v>
      </c>
      <c r="FMI9">
        <v>0</v>
      </c>
      <c r="FMJ9">
        <v>0</v>
      </c>
      <c r="FMK9">
        <v>115</v>
      </c>
      <c r="FML9">
        <v>0</v>
      </c>
      <c r="FMM9">
        <v>0</v>
      </c>
      <c r="FMN9">
        <v>0</v>
      </c>
      <c r="FMO9">
        <v>0</v>
      </c>
      <c r="FMP9">
        <v>0</v>
      </c>
      <c r="FMQ9">
        <v>0</v>
      </c>
      <c r="FMR9">
        <v>0</v>
      </c>
      <c r="FMS9">
        <v>0</v>
      </c>
      <c r="FMT9">
        <v>0</v>
      </c>
      <c r="FMU9">
        <v>0</v>
      </c>
      <c r="FMV9">
        <v>0</v>
      </c>
      <c r="FMW9">
        <v>0</v>
      </c>
      <c r="FMX9">
        <v>91</v>
      </c>
      <c r="FMY9">
        <v>0</v>
      </c>
      <c r="FMZ9">
        <v>0</v>
      </c>
      <c r="FNA9">
        <v>0</v>
      </c>
      <c r="FNB9">
        <v>0</v>
      </c>
      <c r="FNC9">
        <v>0</v>
      </c>
      <c r="FND9">
        <v>0</v>
      </c>
      <c r="FNE9">
        <v>0</v>
      </c>
      <c r="FNF9">
        <v>0</v>
      </c>
      <c r="FNG9">
        <v>0</v>
      </c>
      <c r="FNH9">
        <v>0</v>
      </c>
      <c r="FNI9">
        <v>0</v>
      </c>
      <c r="FNJ9">
        <v>0</v>
      </c>
      <c r="FNK9">
        <v>0</v>
      </c>
      <c r="FNL9">
        <v>0</v>
      </c>
      <c r="FNM9">
        <v>0</v>
      </c>
      <c r="FNN9">
        <v>0</v>
      </c>
      <c r="FNO9">
        <v>0</v>
      </c>
      <c r="FNP9">
        <v>0</v>
      </c>
      <c r="FNQ9">
        <v>0</v>
      </c>
      <c r="FNR9">
        <v>0</v>
      </c>
      <c r="FNS9">
        <v>0</v>
      </c>
      <c r="FNT9">
        <v>0</v>
      </c>
      <c r="FNU9">
        <v>0</v>
      </c>
      <c r="FNV9">
        <v>0</v>
      </c>
      <c r="FNW9">
        <v>0</v>
      </c>
      <c r="FNX9">
        <v>0</v>
      </c>
      <c r="FNY9">
        <v>0</v>
      </c>
      <c r="FNZ9">
        <v>0</v>
      </c>
      <c r="FOA9">
        <v>0</v>
      </c>
      <c r="FOB9">
        <v>0</v>
      </c>
      <c r="FOC9">
        <v>0</v>
      </c>
      <c r="FOD9">
        <v>0</v>
      </c>
      <c r="FOE9">
        <v>0</v>
      </c>
      <c r="FOF9">
        <v>0</v>
      </c>
      <c r="FOG9">
        <v>3</v>
      </c>
      <c r="FOH9">
        <v>0</v>
      </c>
      <c r="FOI9">
        <v>0</v>
      </c>
      <c r="FOJ9">
        <v>0</v>
      </c>
      <c r="FOK9">
        <v>0</v>
      </c>
      <c r="FOL9">
        <v>193.99</v>
      </c>
      <c r="FOM9">
        <v>0</v>
      </c>
      <c r="FON9">
        <v>0</v>
      </c>
      <c r="FOO9">
        <v>18</v>
      </c>
      <c r="FOP9">
        <v>0</v>
      </c>
      <c r="FOQ9">
        <v>0</v>
      </c>
      <c r="FOR9">
        <v>0</v>
      </c>
      <c r="FOS9">
        <v>112.99</v>
      </c>
      <c r="FOT9">
        <v>0</v>
      </c>
      <c r="FOU9">
        <v>0</v>
      </c>
      <c r="FOV9">
        <v>0</v>
      </c>
      <c r="FOW9">
        <v>0</v>
      </c>
      <c r="FOX9">
        <v>0</v>
      </c>
      <c r="FOY9">
        <v>0</v>
      </c>
      <c r="FOZ9">
        <v>0</v>
      </c>
      <c r="FPA9">
        <v>0</v>
      </c>
      <c r="FPB9">
        <v>199</v>
      </c>
      <c r="FPC9">
        <v>140</v>
      </c>
      <c r="FPD9">
        <v>0</v>
      </c>
      <c r="FPE9">
        <v>0</v>
      </c>
      <c r="FPF9">
        <v>0</v>
      </c>
      <c r="FPG9">
        <v>64</v>
      </c>
      <c r="FPH9">
        <v>52</v>
      </c>
      <c r="FPI9">
        <v>0</v>
      </c>
      <c r="FPJ9">
        <v>0</v>
      </c>
      <c r="FPK9">
        <v>0</v>
      </c>
      <c r="FPL9">
        <v>0</v>
      </c>
      <c r="FPM9">
        <v>0</v>
      </c>
      <c r="FPN9">
        <v>0</v>
      </c>
      <c r="FPO9">
        <v>0</v>
      </c>
      <c r="FPP9">
        <v>0</v>
      </c>
      <c r="FPQ9">
        <v>45.99</v>
      </c>
      <c r="FPR9">
        <v>0</v>
      </c>
      <c r="FPS9">
        <v>5</v>
      </c>
      <c r="FPT9">
        <v>104</v>
      </c>
      <c r="FPU9">
        <v>0</v>
      </c>
      <c r="FPV9">
        <v>0</v>
      </c>
      <c r="FPW9">
        <v>0</v>
      </c>
      <c r="FPX9">
        <v>0</v>
      </c>
      <c r="FPY9">
        <v>0</v>
      </c>
      <c r="FPZ9">
        <v>0</v>
      </c>
      <c r="FQA9">
        <v>0</v>
      </c>
      <c r="FQB9">
        <v>0</v>
      </c>
      <c r="FQC9">
        <v>0</v>
      </c>
      <c r="FQD9">
        <v>60</v>
      </c>
      <c r="FQE9">
        <v>139.99</v>
      </c>
      <c r="FQF9">
        <v>94</v>
      </c>
      <c r="FQG9">
        <v>0</v>
      </c>
      <c r="FQH9">
        <v>0</v>
      </c>
      <c r="FQI9">
        <v>0</v>
      </c>
      <c r="FQJ9">
        <v>0</v>
      </c>
      <c r="FQK9">
        <v>0</v>
      </c>
      <c r="FQL9">
        <v>0</v>
      </c>
      <c r="FQM9">
        <v>0</v>
      </c>
      <c r="FQN9">
        <v>0</v>
      </c>
      <c r="FQO9">
        <v>0</v>
      </c>
      <c r="FQP9">
        <v>42</v>
      </c>
      <c r="FQQ9">
        <v>932.92</v>
      </c>
      <c r="FQR9">
        <v>0</v>
      </c>
      <c r="FQS9">
        <v>0</v>
      </c>
      <c r="FQT9">
        <v>1182.95</v>
      </c>
      <c r="FQU9">
        <v>0</v>
      </c>
      <c r="FQV9">
        <v>0</v>
      </c>
      <c r="FQW9">
        <v>0</v>
      </c>
      <c r="FQX9">
        <v>0</v>
      </c>
      <c r="FQY9">
        <v>0</v>
      </c>
      <c r="FQZ9">
        <v>0</v>
      </c>
      <c r="FRA9">
        <v>0</v>
      </c>
      <c r="FRB9">
        <v>0</v>
      </c>
      <c r="FRC9">
        <v>0</v>
      </c>
      <c r="FRD9">
        <v>0</v>
      </c>
      <c r="FRE9">
        <v>295.99</v>
      </c>
      <c r="FRF9">
        <v>0</v>
      </c>
      <c r="FRG9">
        <v>0</v>
      </c>
      <c r="FRH9">
        <v>194</v>
      </c>
      <c r="FRI9">
        <v>22</v>
      </c>
      <c r="FRJ9">
        <v>0</v>
      </c>
      <c r="FRK9">
        <v>0</v>
      </c>
      <c r="FRL9">
        <v>0</v>
      </c>
      <c r="FRM9">
        <v>0</v>
      </c>
      <c r="FRN9">
        <v>0</v>
      </c>
      <c r="FRO9">
        <v>0</v>
      </c>
      <c r="FRP9">
        <v>0</v>
      </c>
      <c r="FRQ9">
        <v>0</v>
      </c>
      <c r="FRR9">
        <v>189.98</v>
      </c>
      <c r="FRS9">
        <v>0</v>
      </c>
      <c r="FRT9">
        <v>0</v>
      </c>
      <c r="FRU9">
        <v>0</v>
      </c>
      <c r="FRV9">
        <v>0</v>
      </c>
      <c r="FRW9">
        <v>0</v>
      </c>
      <c r="FRX9">
        <v>0</v>
      </c>
      <c r="FRY9">
        <v>0</v>
      </c>
      <c r="FRZ9">
        <v>193.99</v>
      </c>
      <c r="FSA9">
        <v>0</v>
      </c>
      <c r="FSB9">
        <v>0</v>
      </c>
      <c r="FSC9">
        <v>0</v>
      </c>
      <c r="FSD9">
        <v>0</v>
      </c>
      <c r="FSE9">
        <v>0</v>
      </c>
      <c r="FSF9">
        <v>0</v>
      </c>
      <c r="FSG9">
        <v>0</v>
      </c>
      <c r="FSH9">
        <v>0</v>
      </c>
      <c r="FSI9">
        <v>0</v>
      </c>
      <c r="FSJ9">
        <v>0</v>
      </c>
      <c r="FSK9">
        <v>114.99</v>
      </c>
      <c r="FSL9">
        <v>0</v>
      </c>
      <c r="FSM9">
        <v>0</v>
      </c>
      <c r="FSN9">
        <v>0</v>
      </c>
      <c r="FSO9">
        <v>21</v>
      </c>
      <c r="FSP9">
        <v>26</v>
      </c>
      <c r="FSQ9">
        <v>0</v>
      </c>
      <c r="FSR9">
        <v>0</v>
      </c>
      <c r="FSS9">
        <v>0</v>
      </c>
      <c r="FST9">
        <v>0</v>
      </c>
      <c r="FSU9">
        <v>0</v>
      </c>
      <c r="FSV9">
        <v>0</v>
      </c>
      <c r="FSW9">
        <v>0</v>
      </c>
      <c r="FSX9">
        <v>0</v>
      </c>
      <c r="FSY9">
        <v>0</v>
      </c>
      <c r="FSZ9">
        <v>0</v>
      </c>
      <c r="FTA9">
        <v>0</v>
      </c>
      <c r="FTB9">
        <v>0</v>
      </c>
      <c r="FTC9">
        <v>0</v>
      </c>
      <c r="FTD9">
        <v>1371.92</v>
      </c>
      <c r="FTE9">
        <v>0</v>
      </c>
      <c r="FTF9">
        <v>417.98</v>
      </c>
      <c r="FTG9">
        <v>0</v>
      </c>
      <c r="FTH9">
        <v>0</v>
      </c>
      <c r="FTI9">
        <v>93</v>
      </c>
      <c r="FTJ9">
        <v>0</v>
      </c>
      <c r="FTK9">
        <v>0</v>
      </c>
      <c r="FTL9">
        <v>0</v>
      </c>
      <c r="FTM9">
        <v>0</v>
      </c>
      <c r="FTN9">
        <v>9</v>
      </c>
      <c r="FTO9">
        <v>0</v>
      </c>
      <c r="FTP9">
        <v>0</v>
      </c>
      <c r="FTQ9">
        <v>0</v>
      </c>
      <c r="FTR9">
        <v>0</v>
      </c>
      <c r="FTS9">
        <v>0</v>
      </c>
      <c r="FTT9">
        <v>0</v>
      </c>
      <c r="FTU9">
        <v>0</v>
      </c>
      <c r="FTV9">
        <v>0</v>
      </c>
      <c r="FTW9">
        <v>0</v>
      </c>
      <c r="FTX9">
        <v>0</v>
      </c>
      <c r="FTY9">
        <v>0</v>
      </c>
      <c r="FTZ9">
        <v>0</v>
      </c>
      <c r="FUA9">
        <v>0</v>
      </c>
      <c r="FUB9">
        <v>0</v>
      </c>
      <c r="FUC9">
        <v>0</v>
      </c>
      <c r="FUD9">
        <v>0</v>
      </c>
      <c r="FUE9">
        <v>0</v>
      </c>
      <c r="FUF9">
        <v>0</v>
      </c>
      <c r="FUG9">
        <v>20</v>
      </c>
      <c r="FUH9">
        <v>0</v>
      </c>
      <c r="FUI9">
        <v>0</v>
      </c>
      <c r="FUJ9">
        <v>0</v>
      </c>
      <c r="FUK9">
        <v>0</v>
      </c>
      <c r="FUL9">
        <v>0</v>
      </c>
      <c r="FUM9">
        <v>0</v>
      </c>
      <c r="FUN9">
        <v>0</v>
      </c>
      <c r="FUO9">
        <v>0</v>
      </c>
      <c r="FUP9">
        <v>551</v>
      </c>
      <c r="FUQ9">
        <v>0</v>
      </c>
      <c r="FUR9">
        <v>13</v>
      </c>
      <c r="FUS9">
        <v>0</v>
      </c>
      <c r="FUT9">
        <v>0</v>
      </c>
      <c r="FUU9">
        <v>0</v>
      </c>
      <c r="FUV9">
        <v>0</v>
      </c>
      <c r="FUW9">
        <v>0</v>
      </c>
      <c r="FUX9">
        <v>0</v>
      </c>
      <c r="FUY9">
        <v>0</v>
      </c>
      <c r="FUZ9">
        <v>0</v>
      </c>
      <c r="FVA9">
        <v>0</v>
      </c>
      <c r="FVB9">
        <v>0</v>
      </c>
      <c r="FVC9">
        <v>0</v>
      </c>
      <c r="FVD9">
        <v>0</v>
      </c>
      <c r="FVE9">
        <v>0</v>
      </c>
      <c r="FVF9">
        <v>0</v>
      </c>
      <c r="FVG9">
        <v>0</v>
      </c>
      <c r="FVH9">
        <v>0</v>
      </c>
      <c r="FVI9">
        <v>0</v>
      </c>
      <c r="FVJ9">
        <v>465</v>
      </c>
      <c r="FVK9">
        <v>0</v>
      </c>
      <c r="FVL9">
        <v>0</v>
      </c>
      <c r="FVM9">
        <v>0</v>
      </c>
      <c r="FVN9">
        <v>0</v>
      </c>
      <c r="FVO9">
        <v>190</v>
      </c>
      <c r="FVP9">
        <v>0</v>
      </c>
      <c r="FVQ9">
        <v>0</v>
      </c>
      <c r="FVR9">
        <v>946.01</v>
      </c>
      <c r="FVS9">
        <v>0</v>
      </c>
      <c r="FVT9">
        <v>103</v>
      </c>
      <c r="FVU9">
        <v>0</v>
      </c>
      <c r="FVV9">
        <v>0</v>
      </c>
      <c r="FVW9">
        <v>0</v>
      </c>
      <c r="FVX9">
        <v>0</v>
      </c>
      <c r="FVY9">
        <v>28</v>
      </c>
      <c r="FVZ9">
        <v>0</v>
      </c>
      <c r="FWB9">
        <v>0</v>
      </c>
      <c r="FWC9">
        <v>0</v>
      </c>
      <c r="FWD9">
        <v>0</v>
      </c>
      <c r="FWE9">
        <v>0</v>
      </c>
      <c r="FWF9">
        <v>0</v>
      </c>
      <c r="FWG9">
        <v>0</v>
      </c>
      <c r="FWH9">
        <v>0</v>
      </c>
      <c r="FWI9">
        <v>0</v>
      </c>
      <c r="FWJ9">
        <v>0</v>
      </c>
      <c r="FWK9">
        <v>0</v>
      </c>
      <c r="FWL9">
        <v>0</v>
      </c>
      <c r="FWM9">
        <v>0</v>
      </c>
      <c r="FWN9">
        <v>0</v>
      </c>
      <c r="FWO9">
        <v>0</v>
      </c>
      <c r="FWP9">
        <v>0</v>
      </c>
      <c r="FWQ9">
        <v>0</v>
      </c>
      <c r="FWR9">
        <v>1003.95</v>
      </c>
      <c r="FWS9">
        <v>0</v>
      </c>
      <c r="FWT9">
        <v>0</v>
      </c>
      <c r="FWU9">
        <v>19</v>
      </c>
      <c r="FWV9">
        <v>32</v>
      </c>
      <c r="FWW9">
        <v>0</v>
      </c>
      <c r="FWX9">
        <v>0</v>
      </c>
      <c r="FWY9">
        <v>0</v>
      </c>
      <c r="FWZ9">
        <v>0</v>
      </c>
      <c r="FXA9">
        <v>0</v>
      </c>
      <c r="FXB9">
        <v>0</v>
      </c>
      <c r="FXC9">
        <v>278</v>
      </c>
      <c r="FXD9">
        <v>350.99</v>
      </c>
      <c r="FXE9">
        <v>0</v>
      </c>
      <c r="FXF9">
        <v>0</v>
      </c>
      <c r="FXG9">
        <v>0</v>
      </c>
      <c r="FXH9">
        <v>0</v>
      </c>
      <c r="FXI9">
        <v>0</v>
      </c>
      <c r="FXJ9">
        <v>0</v>
      </c>
      <c r="FXK9">
        <v>0</v>
      </c>
      <c r="FXL9">
        <v>0</v>
      </c>
      <c r="FXM9">
        <v>0</v>
      </c>
      <c r="FXN9">
        <v>0</v>
      </c>
      <c r="FXO9">
        <v>0</v>
      </c>
      <c r="FXP9">
        <v>1711.91</v>
      </c>
      <c r="FXQ9">
        <v>0</v>
      </c>
      <c r="FXR9">
        <v>0</v>
      </c>
      <c r="FXS9">
        <v>1704.95</v>
      </c>
      <c r="FXT9">
        <v>0</v>
      </c>
      <c r="FXU9">
        <v>0</v>
      </c>
      <c r="FXV9">
        <v>0</v>
      </c>
      <c r="FXW9">
        <v>0</v>
      </c>
      <c r="FXX9">
        <v>0</v>
      </c>
      <c r="FXY9">
        <v>0</v>
      </c>
      <c r="FXZ9">
        <v>0</v>
      </c>
      <c r="FYA9">
        <v>0</v>
      </c>
      <c r="FYB9">
        <v>0</v>
      </c>
      <c r="FYC9">
        <v>0</v>
      </c>
      <c r="FYD9">
        <v>0</v>
      </c>
      <c r="FYE9">
        <v>0</v>
      </c>
      <c r="FYF9">
        <v>0</v>
      </c>
      <c r="FYG9">
        <v>0</v>
      </c>
      <c r="FYH9">
        <v>9</v>
      </c>
      <c r="FYI9">
        <v>0</v>
      </c>
      <c r="FYJ9">
        <v>0</v>
      </c>
      <c r="FYK9">
        <v>0</v>
      </c>
      <c r="FYL9">
        <v>23</v>
      </c>
      <c r="FYM9">
        <v>0</v>
      </c>
      <c r="FYN9">
        <v>29</v>
      </c>
      <c r="FYO9">
        <v>0</v>
      </c>
      <c r="FYP9">
        <v>128.99</v>
      </c>
      <c r="FYQ9">
        <v>245.99</v>
      </c>
      <c r="FYR9">
        <v>0</v>
      </c>
      <c r="FYS9">
        <v>0</v>
      </c>
      <c r="FYT9">
        <v>0</v>
      </c>
      <c r="FYU9">
        <v>0</v>
      </c>
      <c r="FYV9">
        <v>1044.95</v>
      </c>
      <c r="FYW9">
        <v>0</v>
      </c>
      <c r="FYX9">
        <v>0</v>
      </c>
      <c r="FYY9">
        <v>247.95</v>
      </c>
      <c r="FYZ9">
        <v>0</v>
      </c>
      <c r="FZA9">
        <v>0</v>
      </c>
      <c r="FZB9">
        <v>0</v>
      </c>
      <c r="FZC9">
        <v>0</v>
      </c>
      <c r="FZD9">
        <v>0</v>
      </c>
      <c r="FZE9">
        <v>0</v>
      </c>
      <c r="FZF9">
        <v>0</v>
      </c>
      <c r="FZG9">
        <v>0</v>
      </c>
      <c r="FZH9">
        <v>1153.94</v>
      </c>
      <c r="FZI9">
        <v>0</v>
      </c>
      <c r="FZJ9">
        <v>0</v>
      </c>
      <c r="FZK9">
        <v>929.94</v>
      </c>
      <c r="FZL9">
        <v>0</v>
      </c>
      <c r="FZM9">
        <v>0</v>
      </c>
      <c r="FZN9">
        <v>0</v>
      </c>
      <c r="FZO9">
        <v>0</v>
      </c>
      <c r="FZP9">
        <v>0</v>
      </c>
      <c r="FZQ9">
        <v>1830.9</v>
      </c>
      <c r="FZR9">
        <v>0</v>
      </c>
      <c r="FZS9">
        <v>152.99</v>
      </c>
      <c r="FZT9">
        <v>0</v>
      </c>
      <c r="FZU9">
        <v>0</v>
      </c>
      <c r="FZV9">
        <v>0</v>
      </c>
      <c r="FZW9">
        <v>0</v>
      </c>
      <c r="FZX9">
        <v>0</v>
      </c>
      <c r="FZY9">
        <v>415.99</v>
      </c>
      <c r="FZZ9">
        <v>0</v>
      </c>
      <c r="GAA9">
        <v>0</v>
      </c>
      <c r="GAB9">
        <v>0</v>
      </c>
      <c r="GAC9">
        <v>0</v>
      </c>
      <c r="GAD9">
        <v>17</v>
      </c>
      <c r="GAE9">
        <v>0</v>
      </c>
      <c r="GAF9">
        <v>0</v>
      </c>
      <c r="GAG9">
        <v>0</v>
      </c>
      <c r="GAH9">
        <v>140.01</v>
      </c>
      <c r="GAI9">
        <v>0</v>
      </c>
      <c r="GAJ9">
        <v>0</v>
      </c>
      <c r="GAK9">
        <v>34</v>
      </c>
      <c r="GAL9">
        <v>68</v>
      </c>
      <c r="GAM9">
        <v>0</v>
      </c>
      <c r="GAN9">
        <v>0</v>
      </c>
      <c r="GAO9">
        <v>0</v>
      </c>
      <c r="GAP9">
        <v>0</v>
      </c>
      <c r="GAQ9">
        <v>0</v>
      </c>
      <c r="GAR9">
        <v>0</v>
      </c>
      <c r="GAS9">
        <v>0</v>
      </c>
      <c r="GAT9">
        <v>325</v>
      </c>
      <c r="GAU9">
        <v>0</v>
      </c>
      <c r="GAV9">
        <v>0</v>
      </c>
      <c r="GAW9">
        <v>0</v>
      </c>
      <c r="GAX9">
        <v>0</v>
      </c>
      <c r="GAY9">
        <v>0</v>
      </c>
      <c r="GAZ9">
        <v>2054.9</v>
      </c>
      <c r="GBA9">
        <v>0</v>
      </c>
      <c r="GBB9">
        <v>0</v>
      </c>
      <c r="GBC9">
        <v>0</v>
      </c>
      <c r="GBD9">
        <v>0</v>
      </c>
      <c r="GBE9">
        <v>0</v>
      </c>
      <c r="GBF9">
        <v>0</v>
      </c>
      <c r="GBG9">
        <v>0</v>
      </c>
      <c r="GBH9">
        <v>0</v>
      </c>
      <c r="GBI9">
        <v>0</v>
      </c>
      <c r="GBJ9">
        <v>0</v>
      </c>
      <c r="GBK9">
        <v>0</v>
      </c>
      <c r="GBL9">
        <v>0</v>
      </c>
      <c r="GBM9">
        <v>0</v>
      </c>
      <c r="GBN9">
        <v>0</v>
      </c>
      <c r="GBO9">
        <v>0</v>
      </c>
      <c r="GBP9">
        <v>430.99</v>
      </c>
      <c r="GBQ9">
        <v>0</v>
      </c>
      <c r="GBR9">
        <v>0</v>
      </c>
      <c r="GBS9">
        <v>370.99</v>
      </c>
      <c r="GBT9">
        <v>0</v>
      </c>
      <c r="GBU9">
        <v>0</v>
      </c>
      <c r="GBV9">
        <v>0</v>
      </c>
      <c r="GBW9">
        <v>0</v>
      </c>
      <c r="GBX9">
        <v>0</v>
      </c>
      <c r="GBY9">
        <v>42</v>
      </c>
      <c r="GBZ9">
        <v>0</v>
      </c>
      <c r="GCA9">
        <v>0</v>
      </c>
      <c r="GCB9">
        <v>924.95</v>
      </c>
      <c r="GCC9">
        <v>0</v>
      </c>
      <c r="GCD9">
        <v>85.99</v>
      </c>
      <c r="GCE9">
        <v>0</v>
      </c>
      <c r="GCF9">
        <v>0</v>
      </c>
      <c r="GCG9">
        <v>376.99</v>
      </c>
      <c r="GCH9">
        <v>16</v>
      </c>
      <c r="GCI9">
        <v>20</v>
      </c>
      <c r="GCJ9">
        <v>0</v>
      </c>
      <c r="GCK9">
        <v>0</v>
      </c>
      <c r="GCL9">
        <v>0</v>
      </c>
      <c r="GCM9">
        <v>2262.89</v>
      </c>
      <c r="GCN9">
        <v>300.99</v>
      </c>
      <c r="GCO9">
        <v>0</v>
      </c>
      <c r="GCP9">
        <v>13</v>
      </c>
      <c r="GCQ9">
        <v>0</v>
      </c>
      <c r="GCR9">
        <v>0</v>
      </c>
      <c r="GCS9">
        <v>0</v>
      </c>
      <c r="GCT9">
        <v>0</v>
      </c>
      <c r="GCU9">
        <v>0</v>
      </c>
      <c r="GCV9">
        <v>0</v>
      </c>
      <c r="GCW9">
        <v>0</v>
      </c>
      <c r="GCX9">
        <v>0</v>
      </c>
      <c r="GCY9">
        <v>0</v>
      </c>
      <c r="GCZ9">
        <v>0</v>
      </c>
      <c r="GDA9">
        <v>16</v>
      </c>
      <c r="GDB9">
        <v>0</v>
      </c>
      <c r="GDC9">
        <v>16</v>
      </c>
      <c r="GDD9">
        <v>0</v>
      </c>
      <c r="GDE9">
        <v>0</v>
      </c>
      <c r="GDF9">
        <v>106</v>
      </c>
      <c r="GDG9">
        <v>0</v>
      </c>
      <c r="GDH9">
        <v>0</v>
      </c>
      <c r="GDI9">
        <v>0</v>
      </c>
      <c r="GDJ9">
        <v>0</v>
      </c>
      <c r="GDK9">
        <v>0</v>
      </c>
      <c r="GDL9">
        <v>0</v>
      </c>
      <c r="GDM9">
        <v>173.99</v>
      </c>
      <c r="GDN9">
        <v>0</v>
      </c>
      <c r="GDO9">
        <v>0</v>
      </c>
      <c r="GDP9">
        <v>0</v>
      </c>
      <c r="GDQ9">
        <v>408.99</v>
      </c>
      <c r="GDR9">
        <v>0</v>
      </c>
      <c r="GDS9">
        <v>0</v>
      </c>
      <c r="GDT9">
        <v>0</v>
      </c>
      <c r="GDU9">
        <v>0</v>
      </c>
      <c r="GDV9">
        <v>0</v>
      </c>
      <c r="GDW9">
        <v>0</v>
      </c>
      <c r="GDX9">
        <v>11</v>
      </c>
      <c r="GDY9">
        <v>0</v>
      </c>
      <c r="GDZ9">
        <v>0</v>
      </c>
      <c r="GEA9">
        <v>0</v>
      </c>
      <c r="GEB9">
        <v>37</v>
      </c>
      <c r="GEC9">
        <v>0</v>
      </c>
      <c r="GED9">
        <v>749.96</v>
      </c>
      <c r="GEE9">
        <v>0</v>
      </c>
      <c r="GEF9">
        <v>0</v>
      </c>
      <c r="GEG9">
        <v>2083.9</v>
      </c>
      <c r="GEH9">
        <v>0</v>
      </c>
      <c r="GEI9">
        <v>0</v>
      </c>
      <c r="GEJ9">
        <v>0</v>
      </c>
      <c r="GEK9">
        <v>0</v>
      </c>
      <c r="GEL9">
        <v>0</v>
      </c>
      <c r="GEM9">
        <v>0</v>
      </c>
      <c r="GEN9">
        <v>0</v>
      </c>
      <c r="GEO9">
        <v>233</v>
      </c>
      <c r="GEP9">
        <v>0</v>
      </c>
      <c r="GEQ9">
        <v>0</v>
      </c>
      <c r="GER9">
        <v>2345.9299999999998</v>
      </c>
      <c r="GES9">
        <v>0</v>
      </c>
      <c r="GET9">
        <v>328.98</v>
      </c>
      <c r="GEU9">
        <v>0</v>
      </c>
      <c r="GEV9">
        <v>16</v>
      </c>
      <c r="GEW9">
        <v>0</v>
      </c>
      <c r="GEX9">
        <v>0</v>
      </c>
      <c r="GEY9">
        <v>0</v>
      </c>
      <c r="GEZ9">
        <v>0</v>
      </c>
      <c r="GFA9">
        <v>258.99</v>
      </c>
      <c r="GFB9">
        <v>148</v>
      </c>
      <c r="GFC9">
        <v>0</v>
      </c>
      <c r="GFD9">
        <v>0</v>
      </c>
      <c r="GFE9">
        <v>0</v>
      </c>
      <c r="GFF9">
        <v>0</v>
      </c>
      <c r="GFG9">
        <v>0</v>
      </c>
      <c r="GFH9">
        <v>1810.91</v>
      </c>
      <c r="GFI9">
        <v>0</v>
      </c>
      <c r="GFJ9">
        <v>0</v>
      </c>
      <c r="GFK9">
        <v>0</v>
      </c>
      <c r="GFL9">
        <v>0</v>
      </c>
      <c r="GFM9">
        <v>0</v>
      </c>
      <c r="GFN9">
        <v>0</v>
      </c>
      <c r="GFO9">
        <v>0</v>
      </c>
      <c r="GFP9">
        <v>0</v>
      </c>
      <c r="GFQ9">
        <v>0</v>
      </c>
      <c r="GFR9">
        <v>0</v>
      </c>
      <c r="GFS9">
        <v>0</v>
      </c>
      <c r="GFT9">
        <v>0</v>
      </c>
      <c r="GFU9">
        <v>267.99</v>
      </c>
      <c r="GFV9">
        <v>244.01</v>
      </c>
      <c r="GFW9">
        <v>0</v>
      </c>
      <c r="GFX9">
        <v>0</v>
      </c>
      <c r="GFY9">
        <v>0</v>
      </c>
      <c r="GFZ9">
        <v>0</v>
      </c>
      <c r="GGA9">
        <v>0</v>
      </c>
      <c r="GGB9">
        <v>0</v>
      </c>
      <c r="GGC9">
        <v>0</v>
      </c>
      <c r="GGD9">
        <v>1308</v>
      </c>
      <c r="GGE9">
        <v>0</v>
      </c>
      <c r="GGF9">
        <v>0</v>
      </c>
      <c r="GGG9">
        <v>0</v>
      </c>
      <c r="GGH9">
        <v>0</v>
      </c>
      <c r="GGI9">
        <v>0</v>
      </c>
      <c r="GGJ9">
        <v>165</v>
      </c>
      <c r="GGK9">
        <v>0</v>
      </c>
      <c r="GGL9">
        <v>0</v>
      </c>
      <c r="GGM9">
        <v>16</v>
      </c>
      <c r="GGN9">
        <v>0</v>
      </c>
      <c r="GGO9">
        <v>54</v>
      </c>
      <c r="GGP9">
        <v>360.99</v>
      </c>
      <c r="GGQ9">
        <v>0</v>
      </c>
      <c r="GGR9">
        <v>0</v>
      </c>
      <c r="GGS9">
        <v>0</v>
      </c>
      <c r="GGT9">
        <v>0</v>
      </c>
      <c r="GGU9">
        <v>0</v>
      </c>
      <c r="GGV9">
        <v>0</v>
      </c>
      <c r="GGW9">
        <v>0</v>
      </c>
      <c r="GGX9">
        <v>0</v>
      </c>
      <c r="GGY9">
        <v>0</v>
      </c>
      <c r="GGZ9">
        <v>0</v>
      </c>
      <c r="GHA9">
        <v>167.01</v>
      </c>
      <c r="GHB9">
        <v>1711.94</v>
      </c>
      <c r="GHC9">
        <v>100</v>
      </c>
      <c r="GHD9">
        <v>0</v>
      </c>
      <c r="GHE9">
        <v>0</v>
      </c>
      <c r="GHF9">
        <v>0</v>
      </c>
      <c r="GHG9">
        <v>0</v>
      </c>
      <c r="GHH9">
        <v>421.99</v>
      </c>
      <c r="GHI9">
        <v>0</v>
      </c>
      <c r="GHJ9">
        <v>0</v>
      </c>
      <c r="GHK9">
        <v>0</v>
      </c>
      <c r="GHL9">
        <v>0</v>
      </c>
      <c r="GHM9">
        <v>1219.95</v>
      </c>
      <c r="GHN9">
        <v>0</v>
      </c>
      <c r="GHO9">
        <v>479.92</v>
      </c>
      <c r="GHP9">
        <v>0</v>
      </c>
      <c r="GHQ9">
        <v>0</v>
      </c>
      <c r="GHR9">
        <v>821.98</v>
      </c>
      <c r="GHS9">
        <v>0</v>
      </c>
      <c r="GHT9">
        <v>0</v>
      </c>
      <c r="GHU9">
        <v>0</v>
      </c>
      <c r="GHV9">
        <v>0</v>
      </c>
      <c r="GHW9">
        <v>0</v>
      </c>
      <c r="GHX9">
        <v>0</v>
      </c>
      <c r="GHY9">
        <v>0</v>
      </c>
      <c r="GHZ9">
        <v>0</v>
      </c>
      <c r="GIA9">
        <v>271.99</v>
      </c>
      <c r="GIB9">
        <v>0</v>
      </c>
      <c r="GIC9">
        <v>99</v>
      </c>
      <c r="GID9">
        <v>0</v>
      </c>
      <c r="GIE9">
        <v>0</v>
      </c>
      <c r="GIF9">
        <v>0</v>
      </c>
      <c r="GIG9">
        <v>2050.91</v>
      </c>
      <c r="GIH9">
        <v>191</v>
      </c>
      <c r="GII9">
        <v>0</v>
      </c>
      <c r="GIJ9">
        <v>0</v>
      </c>
      <c r="GIK9">
        <v>772.96</v>
      </c>
      <c r="GIL9">
        <v>99</v>
      </c>
      <c r="GIM9">
        <v>31</v>
      </c>
      <c r="GIN9">
        <v>0</v>
      </c>
      <c r="GIO9">
        <v>0</v>
      </c>
      <c r="GIP9">
        <v>0</v>
      </c>
      <c r="GIQ9">
        <v>68.989999999999995</v>
      </c>
      <c r="GIR9">
        <v>347.99</v>
      </c>
      <c r="GIS9">
        <v>0</v>
      </c>
      <c r="GIT9">
        <v>1271.94</v>
      </c>
      <c r="GIU9">
        <v>0</v>
      </c>
      <c r="GIV9">
        <v>0</v>
      </c>
      <c r="GIW9">
        <v>3682.86</v>
      </c>
      <c r="GIX9">
        <v>0</v>
      </c>
      <c r="GIY9">
        <v>79</v>
      </c>
      <c r="GIZ9">
        <v>0</v>
      </c>
      <c r="GJA9">
        <v>113.98</v>
      </c>
      <c r="GJB9">
        <v>0</v>
      </c>
      <c r="GJC9">
        <v>0</v>
      </c>
      <c r="GJD9">
        <v>0</v>
      </c>
      <c r="GJE9">
        <v>0</v>
      </c>
      <c r="GJF9">
        <v>0</v>
      </c>
      <c r="GJG9">
        <v>0</v>
      </c>
      <c r="GJH9">
        <v>0</v>
      </c>
      <c r="GJI9">
        <v>0</v>
      </c>
      <c r="GJJ9">
        <v>0</v>
      </c>
      <c r="GJK9">
        <v>0</v>
      </c>
      <c r="GJL9">
        <v>0</v>
      </c>
      <c r="GJM9">
        <v>0</v>
      </c>
      <c r="GJN9">
        <v>0</v>
      </c>
      <c r="GJO9">
        <v>0</v>
      </c>
      <c r="GJP9">
        <v>247.98</v>
      </c>
      <c r="GJQ9">
        <v>626.9</v>
      </c>
      <c r="GJR9">
        <v>0</v>
      </c>
      <c r="GJS9">
        <v>0</v>
      </c>
      <c r="GJT9">
        <v>167</v>
      </c>
      <c r="GJU9">
        <v>0</v>
      </c>
      <c r="GJV9">
        <v>0</v>
      </c>
      <c r="GJW9">
        <v>0</v>
      </c>
      <c r="GJX9">
        <v>0</v>
      </c>
      <c r="GJY9">
        <v>0</v>
      </c>
      <c r="GJZ9">
        <v>0</v>
      </c>
      <c r="GKA9">
        <v>0</v>
      </c>
      <c r="GKB9">
        <v>4376.2700000000004</v>
      </c>
      <c r="GKC9">
        <v>0</v>
      </c>
      <c r="GKD9">
        <v>0</v>
      </c>
      <c r="GKE9">
        <v>138.99</v>
      </c>
      <c r="GKF9">
        <v>0</v>
      </c>
      <c r="GKG9">
        <v>2248.9899999999998</v>
      </c>
      <c r="GKH9">
        <v>465.91</v>
      </c>
      <c r="GKI9">
        <v>4290.79</v>
      </c>
      <c r="GKJ9">
        <v>0</v>
      </c>
      <c r="GKK9">
        <v>748.99</v>
      </c>
      <c r="GKL9">
        <v>0</v>
      </c>
      <c r="GKM9">
        <v>66.989999999999995</v>
      </c>
      <c r="GKN9">
        <v>0</v>
      </c>
      <c r="GKO9">
        <v>0</v>
      </c>
      <c r="GKP9">
        <v>0</v>
      </c>
      <c r="GKQ9">
        <v>0</v>
      </c>
      <c r="GKR9">
        <v>0</v>
      </c>
      <c r="GKS9">
        <v>0</v>
      </c>
      <c r="GKT9">
        <v>42</v>
      </c>
      <c r="GKU9">
        <v>0</v>
      </c>
      <c r="GKV9">
        <v>529.99</v>
      </c>
      <c r="GKW9">
        <v>0</v>
      </c>
      <c r="GKX9">
        <v>0</v>
      </c>
      <c r="GKY9">
        <v>7</v>
      </c>
      <c r="GKZ9">
        <v>0</v>
      </c>
      <c r="GLA9">
        <v>673</v>
      </c>
      <c r="GLB9">
        <v>0</v>
      </c>
      <c r="GLC9">
        <v>0</v>
      </c>
      <c r="GLD9">
        <v>10.99</v>
      </c>
      <c r="GLE9">
        <v>943.96</v>
      </c>
      <c r="GLF9">
        <v>0</v>
      </c>
      <c r="GLG9">
        <v>0</v>
      </c>
      <c r="GLH9">
        <v>0</v>
      </c>
      <c r="GLI9">
        <v>0</v>
      </c>
      <c r="GLJ9">
        <v>0</v>
      </c>
      <c r="GLK9">
        <v>0</v>
      </c>
      <c r="GLL9">
        <v>0</v>
      </c>
      <c r="GLM9">
        <v>0</v>
      </c>
      <c r="GLN9">
        <v>0</v>
      </c>
      <c r="GLO9">
        <v>0</v>
      </c>
      <c r="GLP9">
        <v>0</v>
      </c>
      <c r="GLQ9">
        <v>2161.89</v>
      </c>
      <c r="GLR9">
        <v>0</v>
      </c>
      <c r="GLS9">
        <v>0</v>
      </c>
      <c r="GLT9">
        <v>705.99</v>
      </c>
      <c r="GLU9">
        <v>0</v>
      </c>
      <c r="GLV9">
        <v>0</v>
      </c>
      <c r="GLW9">
        <v>423.99</v>
      </c>
      <c r="GLX9">
        <v>0</v>
      </c>
      <c r="GLY9">
        <v>0</v>
      </c>
      <c r="GLZ9">
        <v>0</v>
      </c>
      <c r="GMA9">
        <v>0</v>
      </c>
      <c r="GMB9">
        <v>0</v>
      </c>
      <c r="GMC9">
        <v>0</v>
      </c>
      <c r="GMD9">
        <v>0</v>
      </c>
      <c r="GME9">
        <v>0</v>
      </c>
      <c r="GMF9">
        <v>83</v>
      </c>
      <c r="GMG9">
        <v>0</v>
      </c>
      <c r="GMH9">
        <v>5508.06</v>
      </c>
      <c r="GMI9">
        <v>1521.98</v>
      </c>
      <c r="GMJ9">
        <v>0</v>
      </c>
      <c r="GMK9">
        <v>0</v>
      </c>
      <c r="GML9">
        <v>0</v>
      </c>
      <c r="GMM9">
        <v>0</v>
      </c>
      <c r="GMN9">
        <v>0</v>
      </c>
      <c r="GMO9">
        <v>3728.81</v>
      </c>
      <c r="GMP9">
        <v>0</v>
      </c>
      <c r="GMQ9">
        <v>31</v>
      </c>
      <c r="GMR9">
        <v>0</v>
      </c>
      <c r="GMS9">
        <v>0</v>
      </c>
      <c r="GMT9">
        <v>72.989999999999995</v>
      </c>
      <c r="GMU9">
        <v>0</v>
      </c>
      <c r="GMV9">
        <v>745.98</v>
      </c>
      <c r="GMW9">
        <v>2101.94</v>
      </c>
      <c r="GMX9">
        <v>6605.4</v>
      </c>
      <c r="GMY9">
        <v>0</v>
      </c>
      <c r="GMZ9">
        <v>4840.7700000000004</v>
      </c>
      <c r="GNA9">
        <v>0</v>
      </c>
      <c r="GNB9">
        <v>0</v>
      </c>
      <c r="GNC9">
        <v>31</v>
      </c>
      <c r="GND9">
        <v>0</v>
      </c>
      <c r="GNE9">
        <v>0</v>
      </c>
      <c r="GNF9">
        <v>6443.54</v>
      </c>
      <c r="GNG9">
        <v>916.96</v>
      </c>
      <c r="GNH9">
        <v>931</v>
      </c>
      <c r="GNI9">
        <v>0</v>
      </c>
      <c r="GNJ9">
        <v>3488.82</v>
      </c>
      <c r="GNK9">
        <v>0</v>
      </c>
      <c r="GNL9">
        <v>0</v>
      </c>
      <c r="GNM9">
        <v>655.96</v>
      </c>
      <c r="GNN9">
        <v>71</v>
      </c>
      <c r="GNO9">
        <v>37</v>
      </c>
      <c r="GNP9">
        <v>410</v>
      </c>
      <c r="GNQ9">
        <v>0</v>
      </c>
      <c r="GNR9">
        <v>654.94000000000005</v>
      </c>
      <c r="GNS9">
        <v>1481.94</v>
      </c>
      <c r="GNT9">
        <v>980.98</v>
      </c>
      <c r="GNU9">
        <v>0</v>
      </c>
      <c r="GNV9">
        <v>0</v>
      </c>
      <c r="GNW9">
        <v>0</v>
      </c>
      <c r="GNX9">
        <v>1440.96</v>
      </c>
      <c r="GNY9">
        <v>0</v>
      </c>
      <c r="GNZ9">
        <v>0</v>
      </c>
      <c r="GOA9">
        <v>0</v>
      </c>
      <c r="GOB9">
        <v>18</v>
      </c>
      <c r="GOC9">
        <v>434</v>
      </c>
      <c r="GOD9">
        <v>8397.59</v>
      </c>
      <c r="GOE9">
        <v>8423.59</v>
      </c>
      <c r="GOF9">
        <v>0</v>
      </c>
      <c r="GOG9">
        <v>466.99</v>
      </c>
      <c r="GOH9">
        <v>0</v>
      </c>
      <c r="GOI9">
        <v>275.98</v>
      </c>
      <c r="GOJ9">
        <v>0</v>
      </c>
      <c r="GOK9">
        <v>0</v>
      </c>
      <c r="GOL9">
        <v>0</v>
      </c>
      <c r="GOM9">
        <v>0</v>
      </c>
      <c r="GON9">
        <v>0</v>
      </c>
      <c r="GOO9">
        <v>975.98</v>
      </c>
      <c r="GOP9">
        <v>0</v>
      </c>
      <c r="GOQ9">
        <v>1735.98</v>
      </c>
      <c r="GOR9">
        <v>0</v>
      </c>
      <c r="GOS9">
        <v>1609.94</v>
      </c>
      <c r="GOT9">
        <v>0</v>
      </c>
      <c r="GOU9">
        <v>1007.98</v>
      </c>
      <c r="GOV9">
        <v>2255.98</v>
      </c>
      <c r="GOW9">
        <v>5</v>
      </c>
      <c r="GOX9">
        <v>0</v>
      </c>
      <c r="GOY9">
        <v>1103.95</v>
      </c>
      <c r="GOZ9">
        <v>0</v>
      </c>
      <c r="GPA9">
        <v>0</v>
      </c>
      <c r="GPB9">
        <v>199.99</v>
      </c>
      <c r="GPC9">
        <v>0</v>
      </c>
      <c r="GPD9">
        <v>1494.91</v>
      </c>
      <c r="GPE9">
        <v>0</v>
      </c>
      <c r="GPF9">
        <v>0</v>
      </c>
      <c r="GPG9">
        <v>0</v>
      </c>
      <c r="GPH9">
        <v>85</v>
      </c>
      <c r="GPI9">
        <v>3007.85</v>
      </c>
      <c r="GPJ9">
        <v>0</v>
      </c>
      <c r="GPK9">
        <v>0</v>
      </c>
      <c r="GPL9">
        <v>0</v>
      </c>
      <c r="GPM9">
        <v>131.99</v>
      </c>
      <c r="GPN9">
        <v>0</v>
      </c>
      <c r="GPO9">
        <v>0</v>
      </c>
      <c r="GPP9">
        <v>0</v>
      </c>
      <c r="GPQ9">
        <v>0</v>
      </c>
      <c r="GPR9">
        <v>1427.95</v>
      </c>
      <c r="GPS9">
        <v>0</v>
      </c>
      <c r="GPT9">
        <v>468.99</v>
      </c>
      <c r="GPU9">
        <v>2765.94</v>
      </c>
      <c r="GPV9">
        <v>0</v>
      </c>
      <c r="GPW9">
        <v>0</v>
      </c>
      <c r="GPX9">
        <v>497.94</v>
      </c>
      <c r="GPY9">
        <v>1609.89</v>
      </c>
      <c r="GPZ9">
        <v>3455.82</v>
      </c>
      <c r="GQA9">
        <v>0</v>
      </c>
      <c r="GQB9">
        <v>0</v>
      </c>
      <c r="GQC9">
        <v>0</v>
      </c>
      <c r="GQD9">
        <v>1053.94</v>
      </c>
      <c r="GQE9">
        <v>0</v>
      </c>
      <c r="GQF9">
        <v>317.99</v>
      </c>
      <c r="GQG9">
        <v>675.99</v>
      </c>
      <c r="GQH9">
        <v>0</v>
      </c>
      <c r="GQI9">
        <v>1122.96</v>
      </c>
      <c r="GQJ9">
        <v>0</v>
      </c>
      <c r="GQK9">
        <v>0</v>
      </c>
      <c r="GQL9">
        <v>0</v>
      </c>
      <c r="GQM9">
        <v>208.99</v>
      </c>
      <c r="GQN9">
        <v>0</v>
      </c>
      <c r="GQO9">
        <v>0</v>
      </c>
      <c r="GQP9">
        <v>1001.95</v>
      </c>
      <c r="GQQ9">
        <v>327.94</v>
      </c>
      <c r="GQR9">
        <v>0</v>
      </c>
      <c r="GQS9">
        <v>1302</v>
      </c>
      <c r="GQT9">
        <v>1211.03</v>
      </c>
      <c r="GQU9">
        <v>0</v>
      </c>
      <c r="GQV9">
        <v>692.95</v>
      </c>
      <c r="GQW9">
        <v>0</v>
      </c>
      <c r="GQX9">
        <v>0</v>
      </c>
      <c r="GQY9">
        <v>1324.95</v>
      </c>
      <c r="GQZ9">
        <v>18</v>
      </c>
      <c r="GRA9">
        <v>177.99</v>
      </c>
      <c r="GRB9">
        <v>999.01</v>
      </c>
      <c r="GRC9">
        <v>0</v>
      </c>
      <c r="GRD9">
        <v>657.98</v>
      </c>
      <c r="GRE9">
        <v>0</v>
      </c>
      <c r="GRF9">
        <v>2699.91</v>
      </c>
      <c r="GRG9">
        <v>146</v>
      </c>
      <c r="GRH9">
        <v>131</v>
      </c>
      <c r="GRI9">
        <v>192</v>
      </c>
      <c r="GRJ9">
        <v>0</v>
      </c>
      <c r="GRK9">
        <v>883.94</v>
      </c>
      <c r="GRL9">
        <v>320</v>
      </c>
      <c r="GRM9">
        <v>1438.97</v>
      </c>
      <c r="GRN9">
        <v>0</v>
      </c>
      <c r="GRO9">
        <v>0</v>
      </c>
      <c r="GRP9">
        <v>0</v>
      </c>
      <c r="GRQ9">
        <v>0</v>
      </c>
      <c r="GRR9">
        <v>328</v>
      </c>
      <c r="GRS9">
        <v>414.98</v>
      </c>
      <c r="GRT9">
        <v>0</v>
      </c>
      <c r="GRU9">
        <v>2636.85</v>
      </c>
      <c r="GRV9">
        <v>0</v>
      </c>
      <c r="GRW9">
        <v>1817.92</v>
      </c>
      <c r="GRX9">
        <v>558.96</v>
      </c>
      <c r="GRY9">
        <v>0</v>
      </c>
      <c r="GRZ9">
        <v>1902.9</v>
      </c>
      <c r="GSA9">
        <v>13</v>
      </c>
      <c r="GSB9">
        <v>1777.98</v>
      </c>
      <c r="GSC9">
        <v>1017.95</v>
      </c>
      <c r="GSD9">
        <v>4313.8599999999997</v>
      </c>
      <c r="GSE9">
        <v>291.98</v>
      </c>
      <c r="GSF9">
        <v>2180.9</v>
      </c>
      <c r="GSG9">
        <v>3244.87</v>
      </c>
      <c r="GSH9">
        <v>17</v>
      </c>
      <c r="GSI9">
        <v>3502.84</v>
      </c>
      <c r="GSJ9">
        <v>1308.95</v>
      </c>
      <c r="GSK9">
        <v>270</v>
      </c>
      <c r="GSL9">
        <v>599.97</v>
      </c>
      <c r="GSM9">
        <v>97.99</v>
      </c>
      <c r="GSN9">
        <v>0</v>
      </c>
      <c r="GSO9">
        <v>19431.2</v>
      </c>
      <c r="GSP9">
        <v>1128.99</v>
      </c>
      <c r="GSQ9">
        <v>16323.5</v>
      </c>
      <c r="GSR9">
        <v>271751.81</v>
      </c>
    </row>
    <row r="10" spans="1:5244" x14ac:dyDescent="0.2">
      <c r="A10" s="7">
        <v>49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5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6</v>
      </c>
      <c r="DZ10">
        <v>6</v>
      </c>
      <c r="EA10">
        <v>6</v>
      </c>
      <c r="EB10">
        <v>6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7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8</v>
      </c>
      <c r="IX10">
        <v>8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9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10</v>
      </c>
      <c r="MW10">
        <v>10</v>
      </c>
      <c r="MX10">
        <v>10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12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12.01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13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14</v>
      </c>
      <c r="VQ10">
        <v>14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15</v>
      </c>
      <c r="XW10">
        <v>15</v>
      </c>
      <c r="XX10">
        <v>15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16</v>
      </c>
      <c r="ZW10">
        <v>16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17</v>
      </c>
      <c r="ABP10">
        <v>17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18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19</v>
      </c>
      <c r="AFZ10">
        <v>19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8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12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20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20.99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22</v>
      </c>
      <c r="AMC10">
        <v>22</v>
      </c>
      <c r="AMD10">
        <v>22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23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24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25</v>
      </c>
      <c r="AQR10">
        <v>25</v>
      </c>
      <c r="AQS10">
        <v>25</v>
      </c>
      <c r="AQT10">
        <v>25</v>
      </c>
      <c r="AQU10">
        <v>25</v>
      </c>
      <c r="AQV10">
        <v>25</v>
      </c>
      <c r="AQW10">
        <v>25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25.99</v>
      </c>
      <c r="ARX10">
        <v>25.99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26</v>
      </c>
      <c r="ASS10">
        <v>26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6.01</v>
      </c>
      <c r="ATG10">
        <v>26.01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27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28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29</v>
      </c>
      <c r="AWT10">
        <v>29</v>
      </c>
      <c r="AWU10">
        <v>29</v>
      </c>
      <c r="AWV10">
        <v>29</v>
      </c>
      <c r="AWW10">
        <v>29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32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29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34</v>
      </c>
      <c r="BDR10">
        <v>34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24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35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11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36</v>
      </c>
      <c r="BGP10">
        <v>36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21</v>
      </c>
      <c r="BHT10">
        <v>37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38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39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41.01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42</v>
      </c>
      <c r="BNN10">
        <v>42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44.99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45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46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18.989999999999998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12</v>
      </c>
      <c r="BTF10">
        <v>48</v>
      </c>
      <c r="BTG10">
        <v>48</v>
      </c>
      <c r="BTH10">
        <v>42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32.99</v>
      </c>
      <c r="BWQ10">
        <v>51.99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52.99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53</v>
      </c>
      <c r="BXU10">
        <v>48</v>
      </c>
      <c r="BXV10">
        <v>53</v>
      </c>
      <c r="BXW10">
        <v>0</v>
      </c>
      <c r="BXX10">
        <v>0</v>
      </c>
      <c r="BXY10">
        <v>0</v>
      </c>
      <c r="BXZ10">
        <v>0</v>
      </c>
      <c r="BYA10">
        <v>0</v>
      </c>
      <c r="BYB10">
        <v>0</v>
      </c>
      <c r="BYC10">
        <v>17</v>
      </c>
      <c r="BYD10">
        <v>0</v>
      </c>
      <c r="BYE10">
        <v>0</v>
      </c>
      <c r="BYF10">
        <v>0</v>
      </c>
      <c r="BYG10">
        <v>0</v>
      </c>
      <c r="BYH10">
        <v>0</v>
      </c>
      <c r="BYI10">
        <v>0</v>
      </c>
      <c r="BYJ10">
        <v>0</v>
      </c>
      <c r="BYK10">
        <v>0</v>
      </c>
      <c r="BYL10">
        <v>0</v>
      </c>
      <c r="BYM10">
        <v>0</v>
      </c>
      <c r="BYN10">
        <v>0</v>
      </c>
      <c r="BYO10">
        <v>0</v>
      </c>
      <c r="BYP10">
        <v>0</v>
      </c>
      <c r="BYQ10">
        <v>0</v>
      </c>
      <c r="BYR10">
        <v>0</v>
      </c>
      <c r="BYS10">
        <v>0</v>
      </c>
      <c r="BYT10">
        <v>0</v>
      </c>
      <c r="BYU10">
        <v>0</v>
      </c>
      <c r="BYV10">
        <v>0</v>
      </c>
      <c r="BYW10">
        <v>0</v>
      </c>
      <c r="BYX10">
        <v>0</v>
      </c>
      <c r="BYY10">
        <v>0</v>
      </c>
      <c r="BYZ10">
        <v>0</v>
      </c>
      <c r="BZA10">
        <v>41</v>
      </c>
      <c r="BZB10">
        <v>0</v>
      </c>
      <c r="BZC10">
        <v>0</v>
      </c>
      <c r="BZD10">
        <v>0</v>
      </c>
      <c r="BZE10">
        <v>0</v>
      </c>
      <c r="BZF10">
        <v>0</v>
      </c>
      <c r="BZG10">
        <v>0</v>
      </c>
      <c r="BZH10">
        <v>0</v>
      </c>
      <c r="BZI10">
        <v>0</v>
      </c>
      <c r="BZJ10">
        <v>0</v>
      </c>
      <c r="BZK10">
        <v>0</v>
      </c>
      <c r="BZL10">
        <v>0</v>
      </c>
      <c r="BZM10">
        <v>0</v>
      </c>
      <c r="BZN10">
        <v>0</v>
      </c>
      <c r="BZO10">
        <v>0</v>
      </c>
      <c r="BZP10">
        <v>0</v>
      </c>
      <c r="BZQ10">
        <v>0</v>
      </c>
      <c r="BZR10">
        <v>0</v>
      </c>
      <c r="BZS10">
        <v>0</v>
      </c>
      <c r="BZT10">
        <v>0</v>
      </c>
      <c r="BZU10">
        <v>0</v>
      </c>
      <c r="BZV10">
        <v>0</v>
      </c>
      <c r="BZW10">
        <v>0</v>
      </c>
      <c r="BZX10">
        <v>0</v>
      </c>
      <c r="BZY10">
        <v>0</v>
      </c>
      <c r="BZZ10">
        <v>21</v>
      </c>
      <c r="CAA10">
        <v>56</v>
      </c>
      <c r="CAB10">
        <v>0</v>
      </c>
      <c r="CAC10">
        <v>0</v>
      </c>
      <c r="CAD10">
        <v>0</v>
      </c>
      <c r="CAE10">
        <v>0</v>
      </c>
      <c r="CAF10">
        <v>0</v>
      </c>
      <c r="CAG10">
        <v>0</v>
      </c>
      <c r="CAH10">
        <v>0</v>
      </c>
      <c r="CAI10">
        <v>0</v>
      </c>
      <c r="CAJ10">
        <v>0</v>
      </c>
      <c r="CAK10">
        <v>0</v>
      </c>
      <c r="CAL10">
        <v>0</v>
      </c>
      <c r="CAM10">
        <v>0</v>
      </c>
      <c r="CAN10">
        <v>0</v>
      </c>
      <c r="CAO10">
        <v>0</v>
      </c>
      <c r="CAP10">
        <v>0</v>
      </c>
      <c r="CAQ10">
        <v>0</v>
      </c>
      <c r="CAR10">
        <v>0</v>
      </c>
      <c r="CAS10">
        <v>0</v>
      </c>
      <c r="CAT10">
        <v>0</v>
      </c>
      <c r="CAU10">
        <v>57.01</v>
      </c>
      <c r="CAV10">
        <v>0</v>
      </c>
      <c r="CAW10">
        <v>0</v>
      </c>
      <c r="CAX10">
        <v>0</v>
      </c>
      <c r="CAY10">
        <v>0</v>
      </c>
      <c r="CAZ10">
        <v>0</v>
      </c>
      <c r="CBA10">
        <v>0</v>
      </c>
      <c r="CBB10">
        <v>0</v>
      </c>
      <c r="CBC10">
        <v>0</v>
      </c>
      <c r="CBD10">
        <v>0</v>
      </c>
      <c r="CBE10">
        <v>0</v>
      </c>
      <c r="CBF10">
        <v>0</v>
      </c>
      <c r="CBG10">
        <v>0</v>
      </c>
      <c r="CBH10">
        <v>0</v>
      </c>
      <c r="CBI10">
        <v>0</v>
      </c>
      <c r="CBJ10">
        <v>0</v>
      </c>
      <c r="CBK10">
        <v>0</v>
      </c>
      <c r="CBL10">
        <v>0</v>
      </c>
      <c r="CBM10">
        <v>0</v>
      </c>
      <c r="CBN10">
        <v>0</v>
      </c>
      <c r="CBO10">
        <v>0</v>
      </c>
      <c r="CBP10">
        <v>0</v>
      </c>
      <c r="CBQ10">
        <v>0</v>
      </c>
      <c r="CBR10">
        <v>0</v>
      </c>
      <c r="CBS10">
        <v>0</v>
      </c>
      <c r="CBT10">
        <v>0</v>
      </c>
      <c r="CBU10">
        <v>0</v>
      </c>
      <c r="CBV10">
        <v>0</v>
      </c>
      <c r="CBW10">
        <v>0</v>
      </c>
      <c r="CBX10">
        <v>16</v>
      </c>
      <c r="CBY10">
        <v>0</v>
      </c>
      <c r="CBZ10">
        <v>0</v>
      </c>
      <c r="CCA10">
        <v>0</v>
      </c>
      <c r="CCB10">
        <v>0</v>
      </c>
      <c r="CCC10">
        <v>0</v>
      </c>
      <c r="CCD10">
        <v>0</v>
      </c>
      <c r="CCE10">
        <v>0</v>
      </c>
      <c r="CCF10">
        <v>0</v>
      </c>
      <c r="CCG10">
        <v>0</v>
      </c>
      <c r="CCH10">
        <v>0</v>
      </c>
      <c r="CCI10">
        <v>0</v>
      </c>
      <c r="CCJ10">
        <v>0</v>
      </c>
      <c r="CCK10">
        <v>0</v>
      </c>
      <c r="CCL10">
        <v>0</v>
      </c>
      <c r="CCM10">
        <v>0</v>
      </c>
      <c r="CCN10">
        <v>0</v>
      </c>
      <c r="CCO10">
        <v>0</v>
      </c>
      <c r="CCP10">
        <v>0</v>
      </c>
      <c r="CCQ10">
        <v>0</v>
      </c>
      <c r="CCR10">
        <v>0</v>
      </c>
      <c r="CCS10">
        <v>0</v>
      </c>
      <c r="CCT10">
        <v>0</v>
      </c>
      <c r="CCU10">
        <v>0</v>
      </c>
      <c r="CCV10">
        <v>0</v>
      </c>
      <c r="CCW10">
        <v>0</v>
      </c>
      <c r="CCX10">
        <v>0</v>
      </c>
      <c r="CCY10">
        <v>0</v>
      </c>
      <c r="CCZ10">
        <v>0</v>
      </c>
      <c r="CDA10">
        <v>0</v>
      </c>
      <c r="CDB10">
        <v>0</v>
      </c>
      <c r="CDC10">
        <v>0</v>
      </c>
      <c r="CDD10">
        <v>23</v>
      </c>
      <c r="CDE10">
        <v>0</v>
      </c>
      <c r="CDF10">
        <v>0</v>
      </c>
      <c r="CDG10">
        <v>0</v>
      </c>
      <c r="CDH10">
        <v>0</v>
      </c>
      <c r="CDI10">
        <v>0</v>
      </c>
      <c r="CDJ10">
        <v>0</v>
      </c>
      <c r="CDK10">
        <v>0</v>
      </c>
      <c r="CDL10">
        <v>0</v>
      </c>
      <c r="CDM10">
        <v>0</v>
      </c>
      <c r="CDN10">
        <v>0</v>
      </c>
      <c r="CDO10">
        <v>0</v>
      </c>
      <c r="CDP10">
        <v>0</v>
      </c>
      <c r="CDQ10">
        <v>0</v>
      </c>
      <c r="CDR10">
        <v>0</v>
      </c>
      <c r="CDS10">
        <v>0</v>
      </c>
      <c r="CDT10">
        <v>0</v>
      </c>
      <c r="CDU10">
        <v>0</v>
      </c>
      <c r="CDV10">
        <v>0</v>
      </c>
      <c r="CDW10">
        <v>0</v>
      </c>
      <c r="CDX10">
        <v>0</v>
      </c>
      <c r="CDY10">
        <v>0</v>
      </c>
      <c r="CDZ10">
        <v>0</v>
      </c>
      <c r="CEA10">
        <v>0</v>
      </c>
      <c r="CEB10">
        <v>0</v>
      </c>
      <c r="CEC10">
        <v>0</v>
      </c>
      <c r="CED10">
        <v>0</v>
      </c>
      <c r="CEE10">
        <v>0</v>
      </c>
      <c r="CEF10">
        <v>0</v>
      </c>
      <c r="CEG10">
        <v>0</v>
      </c>
      <c r="CEH10">
        <v>0</v>
      </c>
      <c r="CEI10">
        <v>0</v>
      </c>
      <c r="CEJ10">
        <v>0</v>
      </c>
      <c r="CEK10">
        <v>0</v>
      </c>
      <c r="CEL10">
        <v>0</v>
      </c>
      <c r="CEM10">
        <v>0</v>
      </c>
      <c r="CEN10">
        <v>0</v>
      </c>
      <c r="CEO10">
        <v>0</v>
      </c>
      <c r="CEP10">
        <v>0</v>
      </c>
      <c r="CEQ10">
        <v>0</v>
      </c>
      <c r="CER10">
        <v>0</v>
      </c>
      <c r="CES10">
        <v>0</v>
      </c>
      <c r="CET10">
        <v>0</v>
      </c>
      <c r="CEU10">
        <v>0</v>
      </c>
      <c r="CEV10">
        <v>0</v>
      </c>
      <c r="CEW10">
        <v>0</v>
      </c>
      <c r="CEX10">
        <v>0</v>
      </c>
      <c r="CEY10">
        <v>63.99</v>
      </c>
      <c r="CEZ10">
        <v>0</v>
      </c>
      <c r="CFA10">
        <v>0</v>
      </c>
      <c r="CFB10">
        <v>0</v>
      </c>
      <c r="CFC10">
        <v>0</v>
      </c>
      <c r="CFD10">
        <v>0</v>
      </c>
      <c r="CFE10">
        <v>0</v>
      </c>
      <c r="CFF10">
        <v>24</v>
      </c>
      <c r="CFG10">
        <v>0</v>
      </c>
      <c r="CFH10">
        <v>0</v>
      </c>
      <c r="CFI10">
        <v>0</v>
      </c>
      <c r="CFJ10">
        <v>0</v>
      </c>
      <c r="CFK10">
        <v>0</v>
      </c>
      <c r="CFL10">
        <v>0</v>
      </c>
      <c r="CFM10">
        <v>0</v>
      </c>
      <c r="CFN10">
        <v>0</v>
      </c>
      <c r="CFO10">
        <v>0</v>
      </c>
      <c r="CFP10">
        <v>0</v>
      </c>
      <c r="CFQ10">
        <v>54.01</v>
      </c>
      <c r="CFR10">
        <v>0</v>
      </c>
      <c r="CFS10">
        <v>0</v>
      </c>
      <c r="CFT10">
        <v>0</v>
      </c>
      <c r="CFU10">
        <v>11</v>
      </c>
      <c r="CFV10">
        <v>0</v>
      </c>
      <c r="CFW10">
        <v>0</v>
      </c>
      <c r="CFX10">
        <v>0</v>
      </c>
      <c r="CFY10">
        <v>0</v>
      </c>
      <c r="CFZ10">
        <v>0</v>
      </c>
      <c r="CGA10">
        <v>0</v>
      </c>
      <c r="CGB10">
        <v>10</v>
      </c>
      <c r="CGC10">
        <v>0</v>
      </c>
      <c r="CGD10">
        <v>0</v>
      </c>
      <c r="CGE10">
        <v>0</v>
      </c>
      <c r="CGF10">
        <v>4</v>
      </c>
      <c r="CGG10">
        <v>0</v>
      </c>
      <c r="CGH10">
        <v>0</v>
      </c>
      <c r="CGI10">
        <v>0</v>
      </c>
      <c r="CGJ10">
        <v>0</v>
      </c>
      <c r="CGK10">
        <v>0</v>
      </c>
      <c r="CGL10">
        <v>0</v>
      </c>
      <c r="CGM10">
        <v>0</v>
      </c>
      <c r="CGN10">
        <v>0</v>
      </c>
      <c r="CGO10">
        <v>0</v>
      </c>
      <c r="CGP10">
        <v>0</v>
      </c>
      <c r="CGQ10">
        <v>0</v>
      </c>
      <c r="CGR10">
        <v>0</v>
      </c>
      <c r="CGS10">
        <v>0</v>
      </c>
      <c r="CGT10">
        <v>0</v>
      </c>
      <c r="CGU10">
        <v>0</v>
      </c>
      <c r="CGV10">
        <v>0</v>
      </c>
      <c r="CGW10">
        <v>0</v>
      </c>
      <c r="CGX10">
        <v>0</v>
      </c>
      <c r="CGY10">
        <v>0</v>
      </c>
      <c r="CGZ10">
        <v>0</v>
      </c>
      <c r="CHA10">
        <v>0</v>
      </c>
      <c r="CHB10">
        <v>0</v>
      </c>
      <c r="CHC10">
        <v>0</v>
      </c>
      <c r="CHD10">
        <v>0</v>
      </c>
      <c r="CHE10">
        <v>0</v>
      </c>
      <c r="CHF10">
        <v>0</v>
      </c>
      <c r="CHG10">
        <v>0</v>
      </c>
      <c r="CHH10">
        <v>0</v>
      </c>
      <c r="CHI10">
        <v>0</v>
      </c>
      <c r="CHJ10">
        <v>0</v>
      </c>
      <c r="CHK10">
        <v>0</v>
      </c>
      <c r="CHL10">
        <v>0</v>
      </c>
      <c r="CHM10">
        <v>0</v>
      </c>
      <c r="CHN10">
        <v>0</v>
      </c>
      <c r="CHO10">
        <v>0</v>
      </c>
      <c r="CHP10">
        <v>0</v>
      </c>
      <c r="CHQ10">
        <v>0</v>
      </c>
      <c r="CHR10">
        <v>0</v>
      </c>
      <c r="CHS10">
        <v>0</v>
      </c>
      <c r="CHT10">
        <v>0</v>
      </c>
      <c r="CHU10">
        <v>0</v>
      </c>
      <c r="CHV10">
        <v>0</v>
      </c>
      <c r="CHW10">
        <v>0</v>
      </c>
      <c r="CHX10">
        <v>0</v>
      </c>
      <c r="CHY10">
        <v>0</v>
      </c>
      <c r="CHZ10">
        <v>0</v>
      </c>
      <c r="CIA10">
        <v>0</v>
      </c>
      <c r="CIB10">
        <v>0</v>
      </c>
      <c r="CIC10">
        <v>0</v>
      </c>
      <c r="CID10">
        <v>0</v>
      </c>
      <c r="CIE10">
        <v>0</v>
      </c>
      <c r="CIF10">
        <v>0</v>
      </c>
      <c r="CIG10">
        <v>0</v>
      </c>
      <c r="CIH10">
        <v>0</v>
      </c>
      <c r="CII10">
        <v>0</v>
      </c>
      <c r="CIJ10">
        <v>0</v>
      </c>
      <c r="CIK10">
        <v>0</v>
      </c>
      <c r="CIL10">
        <v>0</v>
      </c>
      <c r="CIM10">
        <v>0</v>
      </c>
      <c r="CIN10">
        <v>0</v>
      </c>
      <c r="CIO10">
        <v>0</v>
      </c>
      <c r="CIP10">
        <v>0</v>
      </c>
      <c r="CIQ10">
        <v>12</v>
      </c>
      <c r="CIR10">
        <v>0</v>
      </c>
      <c r="CIS10">
        <v>0</v>
      </c>
      <c r="CIT10">
        <v>0</v>
      </c>
      <c r="CIU10">
        <v>0</v>
      </c>
      <c r="CIV10">
        <v>0</v>
      </c>
      <c r="CIW10">
        <v>0</v>
      </c>
      <c r="CIX10">
        <v>0</v>
      </c>
      <c r="CIY10">
        <v>0</v>
      </c>
      <c r="CIZ10">
        <v>0</v>
      </c>
      <c r="CJA10">
        <v>0</v>
      </c>
      <c r="CJB10">
        <v>0</v>
      </c>
      <c r="CJC10">
        <v>0</v>
      </c>
      <c r="CJD10">
        <v>0</v>
      </c>
      <c r="CJE10">
        <v>0</v>
      </c>
      <c r="CJF10">
        <v>0</v>
      </c>
      <c r="CJG10">
        <v>0</v>
      </c>
      <c r="CJH10">
        <v>69</v>
      </c>
      <c r="CJI10">
        <v>0</v>
      </c>
      <c r="CJJ10">
        <v>0</v>
      </c>
      <c r="CJK10">
        <v>0</v>
      </c>
      <c r="CJL10">
        <v>0</v>
      </c>
      <c r="CJM10">
        <v>0</v>
      </c>
      <c r="CJN10">
        <v>0</v>
      </c>
      <c r="CJO10">
        <v>0</v>
      </c>
      <c r="CJP10">
        <v>0</v>
      </c>
      <c r="CJQ10">
        <v>0</v>
      </c>
      <c r="CJR10">
        <v>0</v>
      </c>
      <c r="CJS10">
        <v>0</v>
      </c>
      <c r="CJT10">
        <v>0</v>
      </c>
      <c r="CJU10">
        <v>0</v>
      </c>
      <c r="CJV10">
        <v>0</v>
      </c>
      <c r="CJW10">
        <v>0</v>
      </c>
      <c r="CJX10">
        <v>70</v>
      </c>
      <c r="CJY10">
        <v>70</v>
      </c>
      <c r="CJZ10">
        <v>0</v>
      </c>
      <c r="CKA10">
        <v>0</v>
      </c>
      <c r="CKB10">
        <v>0</v>
      </c>
      <c r="CKC10">
        <v>0</v>
      </c>
      <c r="CKD10">
        <v>0</v>
      </c>
      <c r="CKE10">
        <v>0</v>
      </c>
      <c r="CKF10">
        <v>0</v>
      </c>
      <c r="CKG10">
        <v>0</v>
      </c>
      <c r="CKH10">
        <v>0</v>
      </c>
      <c r="CKI10">
        <v>0</v>
      </c>
      <c r="CKJ10">
        <v>0</v>
      </c>
      <c r="CKK10">
        <v>0</v>
      </c>
      <c r="CKL10">
        <v>0</v>
      </c>
      <c r="CKM10">
        <v>0</v>
      </c>
      <c r="CKN10">
        <v>0</v>
      </c>
      <c r="CKO10">
        <v>0</v>
      </c>
      <c r="CKP10">
        <v>0</v>
      </c>
      <c r="CKQ10">
        <v>0</v>
      </c>
      <c r="CKR10">
        <v>0</v>
      </c>
      <c r="CKS10">
        <v>0</v>
      </c>
      <c r="CKT10">
        <v>0</v>
      </c>
      <c r="CKU10">
        <v>0</v>
      </c>
      <c r="CKV10">
        <v>0</v>
      </c>
      <c r="CKW10">
        <v>0</v>
      </c>
      <c r="CKX10">
        <v>0</v>
      </c>
      <c r="CKY10">
        <v>0</v>
      </c>
      <c r="CKZ10">
        <v>0</v>
      </c>
      <c r="CLA10">
        <v>0</v>
      </c>
      <c r="CLB10">
        <v>23</v>
      </c>
      <c r="CLC10">
        <v>0</v>
      </c>
      <c r="CLD10">
        <v>0</v>
      </c>
      <c r="CLE10">
        <v>72</v>
      </c>
      <c r="CLF10">
        <v>0</v>
      </c>
      <c r="CLG10">
        <v>0</v>
      </c>
      <c r="CLH10">
        <v>0</v>
      </c>
      <c r="CLI10">
        <v>72.989999999999995</v>
      </c>
      <c r="CLJ10">
        <v>0</v>
      </c>
      <c r="CLK10">
        <v>0</v>
      </c>
      <c r="CLL10">
        <v>0</v>
      </c>
      <c r="CLM10">
        <v>0</v>
      </c>
      <c r="CLN10">
        <v>0</v>
      </c>
      <c r="CLO10">
        <v>0</v>
      </c>
      <c r="CLP10">
        <v>0</v>
      </c>
      <c r="CLQ10">
        <v>0</v>
      </c>
      <c r="CLR10">
        <v>0</v>
      </c>
      <c r="CLS10">
        <v>0</v>
      </c>
      <c r="CLT10">
        <v>0</v>
      </c>
      <c r="CLU10">
        <v>0</v>
      </c>
      <c r="CLV10">
        <v>0</v>
      </c>
      <c r="CLW10">
        <v>0</v>
      </c>
      <c r="CLX10">
        <v>0</v>
      </c>
      <c r="CLY10">
        <v>0</v>
      </c>
      <c r="CLZ10">
        <v>23</v>
      </c>
      <c r="CMA10">
        <v>56</v>
      </c>
      <c r="CMB10">
        <v>0</v>
      </c>
      <c r="CMC10">
        <v>0</v>
      </c>
      <c r="CMD10">
        <v>0</v>
      </c>
      <c r="CME10">
        <v>0</v>
      </c>
      <c r="CMF10">
        <v>0</v>
      </c>
      <c r="CMG10">
        <v>0</v>
      </c>
      <c r="CMH10">
        <v>0</v>
      </c>
      <c r="CMI10">
        <v>0</v>
      </c>
      <c r="CMJ10">
        <v>0</v>
      </c>
      <c r="CMK10">
        <v>0</v>
      </c>
      <c r="CML10">
        <v>0</v>
      </c>
      <c r="CMM10">
        <v>0</v>
      </c>
      <c r="CMN10">
        <v>0</v>
      </c>
      <c r="CMO10">
        <v>0</v>
      </c>
      <c r="CMP10">
        <v>0</v>
      </c>
      <c r="CMQ10">
        <v>0</v>
      </c>
      <c r="CMR10">
        <v>0</v>
      </c>
      <c r="CMS10">
        <v>0</v>
      </c>
      <c r="CMT10">
        <v>0</v>
      </c>
      <c r="CMU10">
        <v>0</v>
      </c>
      <c r="CMV10">
        <v>0</v>
      </c>
      <c r="CMW10">
        <v>0</v>
      </c>
      <c r="CMX10">
        <v>0</v>
      </c>
      <c r="CMY10">
        <v>0</v>
      </c>
      <c r="CMZ10">
        <v>0</v>
      </c>
      <c r="CNA10">
        <v>0</v>
      </c>
      <c r="CNB10">
        <v>0</v>
      </c>
      <c r="CNC10">
        <v>0</v>
      </c>
      <c r="CND10">
        <v>0</v>
      </c>
      <c r="CNE10">
        <v>0</v>
      </c>
      <c r="CNF10">
        <v>0</v>
      </c>
      <c r="CNG10">
        <v>0</v>
      </c>
      <c r="CNH10">
        <v>0</v>
      </c>
      <c r="CNI10">
        <v>0</v>
      </c>
      <c r="CNJ10">
        <v>0</v>
      </c>
      <c r="CNK10">
        <v>0</v>
      </c>
      <c r="CNL10">
        <v>77</v>
      </c>
      <c r="CNM10">
        <v>0</v>
      </c>
      <c r="CNN10">
        <v>0</v>
      </c>
      <c r="CNO10">
        <v>0</v>
      </c>
      <c r="CNP10">
        <v>0</v>
      </c>
      <c r="CNQ10">
        <v>0</v>
      </c>
      <c r="CNR10">
        <v>0</v>
      </c>
      <c r="CNS10">
        <v>77.989999999999995</v>
      </c>
      <c r="CNT10">
        <v>0</v>
      </c>
      <c r="CNU10">
        <v>0</v>
      </c>
      <c r="CNV10">
        <v>0</v>
      </c>
      <c r="CNW10">
        <v>0</v>
      </c>
      <c r="CNX10">
        <v>0</v>
      </c>
      <c r="CNY10">
        <v>0</v>
      </c>
      <c r="CNZ10">
        <v>0</v>
      </c>
      <c r="COA10">
        <v>0</v>
      </c>
      <c r="COB10">
        <v>78</v>
      </c>
      <c r="COC10">
        <v>0</v>
      </c>
      <c r="COD10">
        <v>0</v>
      </c>
      <c r="COE10">
        <v>0</v>
      </c>
      <c r="COF10">
        <v>0</v>
      </c>
      <c r="COG10">
        <v>0</v>
      </c>
      <c r="COH10">
        <v>0</v>
      </c>
      <c r="COI10">
        <v>0</v>
      </c>
      <c r="COJ10">
        <v>0</v>
      </c>
      <c r="COK10">
        <v>0</v>
      </c>
      <c r="COL10">
        <v>0</v>
      </c>
      <c r="COM10">
        <v>0</v>
      </c>
      <c r="CON10">
        <v>0</v>
      </c>
      <c r="COO10">
        <v>0</v>
      </c>
      <c r="COP10">
        <v>0</v>
      </c>
      <c r="COQ10">
        <v>0</v>
      </c>
      <c r="COR10">
        <v>0</v>
      </c>
      <c r="COS10">
        <v>0</v>
      </c>
      <c r="COT10">
        <v>0</v>
      </c>
      <c r="COU10">
        <v>0</v>
      </c>
      <c r="COV10">
        <v>0</v>
      </c>
      <c r="COW10">
        <v>0</v>
      </c>
      <c r="COX10">
        <v>0</v>
      </c>
      <c r="COY10">
        <v>0</v>
      </c>
      <c r="COZ10">
        <v>0</v>
      </c>
      <c r="CPA10">
        <v>44</v>
      </c>
      <c r="CPB10">
        <v>80</v>
      </c>
      <c r="CPC10">
        <v>0</v>
      </c>
      <c r="CPD10">
        <v>0</v>
      </c>
      <c r="CPE10">
        <v>0</v>
      </c>
      <c r="CPF10">
        <v>0</v>
      </c>
      <c r="CPG10">
        <v>0</v>
      </c>
      <c r="CPH10">
        <v>0</v>
      </c>
      <c r="CPI10">
        <v>0</v>
      </c>
      <c r="CPJ10">
        <v>0</v>
      </c>
      <c r="CPK10">
        <v>0</v>
      </c>
      <c r="CPL10">
        <v>0</v>
      </c>
      <c r="CPM10">
        <v>0</v>
      </c>
      <c r="CPN10">
        <v>0</v>
      </c>
      <c r="CPO10">
        <v>0</v>
      </c>
      <c r="CPP10">
        <v>0</v>
      </c>
      <c r="CPQ10">
        <v>0</v>
      </c>
      <c r="CPR10">
        <v>0</v>
      </c>
      <c r="CPS10">
        <v>0</v>
      </c>
      <c r="CPT10">
        <v>0</v>
      </c>
      <c r="CPU10">
        <v>0</v>
      </c>
      <c r="CPV10">
        <v>0</v>
      </c>
      <c r="CPW10">
        <v>0</v>
      </c>
      <c r="CPX10">
        <v>0</v>
      </c>
      <c r="CPY10">
        <v>0</v>
      </c>
      <c r="CPZ10">
        <v>0</v>
      </c>
      <c r="CQA10">
        <v>0</v>
      </c>
      <c r="CQB10">
        <v>0</v>
      </c>
      <c r="CQC10">
        <v>0</v>
      </c>
      <c r="CQD10">
        <v>0</v>
      </c>
      <c r="CQE10">
        <v>0</v>
      </c>
      <c r="CQF10">
        <v>0</v>
      </c>
      <c r="CQG10">
        <v>0</v>
      </c>
      <c r="CQH10">
        <v>0</v>
      </c>
      <c r="CQI10">
        <v>0</v>
      </c>
      <c r="CQJ10">
        <v>0</v>
      </c>
      <c r="CQK10">
        <v>0</v>
      </c>
      <c r="CQL10">
        <v>0</v>
      </c>
      <c r="CQM10">
        <v>0</v>
      </c>
      <c r="CQN10">
        <v>0</v>
      </c>
      <c r="CQO10">
        <v>0</v>
      </c>
      <c r="CQP10">
        <v>0</v>
      </c>
      <c r="CQQ10">
        <v>0</v>
      </c>
      <c r="CQR10">
        <v>0</v>
      </c>
      <c r="CQS10">
        <v>0</v>
      </c>
      <c r="CQT10">
        <v>0</v>
      </c>
      <c r="CQU10">
        <v>0</v>
      </c>
      <c r="CQV10">
        <v>0</v>
      </c>
      <c r="CQW10">
        <v>0</v>
      </c>
      <c r="CQX10">
        <v>0</v>
      </c>
      <c r="CQY10">
        <v>0</v>
      </c>
      <c r="CQZ10">
        <v>0</v>
      </c>
      <c r="CRA10">
        <v>0</v>
      </c>
      <c r="CRB10">
        <v>0</v>
      </c>
      <c r="CRC10">
        <v>0</v>
      </c>
      <c r="CRD10">
        <v>0</v>
      </c>
      <c r="CRE10">
        <v>0</v>
      </c>
      <c r="CRF10">
        <v>0</v>
      </c>
      <c r="CRG10">
        <v>0</v>
      </c>
      <c r="CRH10">
        <v>0</v>
      </c>
      <c r="CRI10">
        <v>0</v>
      </c>
      <c r="CRJ10">
        <v>0</v>
      </c>
      <c r="CRK10">
        <v>0</v>
      </c>
      <c r="CRL10">
        <v>0</v>
      </c>
      <c r="CRM10">
        <v>0</v>
      </c>
      <c r="CRN10">
        <v>0</v>
      </c>
      <c r="CRO10">
        <v>0</v>
      </c>
      <c r="CRP10">
        <v>0</v>
      </c>
      <c r="CRQ10">
        <v>0</v>
      </c>
      <c r="CRR10">
        <v>0</v>
      </c>
      <c r="CRS10">
        <v>0</v>
      </c>
      <c r="CRT10">
        <v>0</v>
      </c>
      <c r="CRU10">
        <v>0</v>
      </c>
      <c r="CRV10">
        <v>0</v>
      </c>
      <c r="CRW10">
        <v>0</v>
      </c>
      <c r="CRX10">
        <v>0</v>
      </c>
      <c r="CRY10">
        <v>0</v>
      </c>
      <c r="CRZ10">
        <v>0</v>
      </c>
      <c r="CSA10">
        <v>20</v>
      </c>
      <c r="CSB10">
        <v>0</v>
      </c>
      <c r="CSC10">
        <v>0</v>
      </c>
      <c r="CSD10">
        <v>0</v>
      </c>
      <c r="CSE10">
        <v>0</v>
      </c>
      <c r="CSF10">
        <v>0</v>
      </c>
      <c r="CSG10">
        <v>48.99</v>
      </c>
      <c r="CSH10">
        <v>0</v>
      </c>
      <c r="CSI10">
        <v>0</v>
      </c>
      <c r="CSJ10">
        <v>0</v>
      </c>
      <c r="CSK10">
        <v>0</v>
      </c>
      <c r="CSL10">
        <v>0</v>
      </c>
      <c r="CSM10">
        <v>0</v>
      </c>
      <c r="CSN10">
        <v>0</v>
      </c>
      <c r="CSO10">
        <v>0</v>
      </c>
      <c r="CSP10">
        <v>0</v>
      </c>
      <c r="CSQ10">
        <v>0</v>
      </c>
      <c r="CSR10">
        <v>0</v>
      </c>
      <c r="CSS10">
        <v>0</v>
      </c>
      <c r="CST10">
        <v>0</v>
      </c>
      <c r="CSU10">
        <v>0</v>
      </c>
      <c r="CSV10">
        <v>0</v>
      </c>
      <c r="CSW10">
        <v>0</v>
      </c>
      <c r="CSX10">
        <v>0</v>
      </c>
      <c r="CSY10">
        <v>0</v>
      </c>
      <c r="CSZ10">
        <v>0</v>
      </c>
      <c r="CTA10">
        <v>0</v>
      </c>
      <c r="CTB10">
        <v>0</v>
      </c>
      <c r="CTC10">
        <v>0</v>
      </c>
      <c r="CTD10">
        <v>0</v>
      </c>
      <c r="CTE10">
        <v>0</v>
      </c>
      <c r="CTF10">
        <v>0</v>
      </c>
      <c r="CTG10">
        <v>0</v>
      </c>
      <c r="CTH10">
        <v>0</v>
      </c>
      <c r="CTI10">
        <v>0</v>
      </c>
      <c r="CTJ10">
        <v>0</v>
      </c>
      <c r="CTK10">
        <v>0</v>
      </c>
      <c r="CTL10">
        <v>0</v>
      </c>
      <c r="CTM10">
        <v>0</v>
      </c>
      <c r="CTN10">
        <v>0</v>
      </c>
      <c r="CTO10">
        <v>0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0</v>
      </c>
      <c r="CTZ10">
        <v>0</v>
      </c>
      <c r="CUA10">
        <v>0</v>
      </c>
      <c r="CUB10">
        <v>0</v>
      </c>
      <c r="CUC10">
        <v>0</v>
      </c>
      <c r="CUD10">
        <v>0</v>
      </c>
      <c r="CUE10">
        <v>85</v>
      </c>
      <c r="CUF10">
        <v>0</v>
      </c>
      <c r="CUG10">
        <v>0</v>
      </c>
      <c r="CUH10">
        <v>0</v>
      </c>
      <c r="CUI10">
        <v>0</v>
      </c>
      <c r="CUJ10">
        <v>0</v>
      </c>
      <c r="CUK10">
        <v>0</v>
      </c>
      <c r="CUL10">
        <v>0</v>
      </c>
      <c r="CUM10">
        <v>0</v>
      </c>
      <c r="CUN10">
        <v>0</v>
      </c>
      <c r="CUO10">
        <v>0</v>
      </c>
      <c r="CUP10">
        <v>0</v>
      </c>
      <c r="CUQ10">
        <v>0</v>
      </c>
      <c r="CUR10">
        <v>0</v>
      </c>
      <c r="CUS10">
        <v>0</v>
      </c>
      <c r="CUT10">
        <v>14</v>
      </c>
      <c r="CUU10">
        <v>0</v>
      </c>
      <c r="CUV10">
        <v>0</v>
      </c>
      <c r="CUW10">
        <v>0</v>
      </c>
      <c r="CUX10">
        <v>0</v>
      </c>
      <c r="CUY10">
        <v>0</v>
      </c>
      <c r="CUZ10">
        <v>0</v>
      </c>
      <c r="CVA10">
        <v>0</v>
      </c>
      <c r="CVB10">
        <v>0</v>
      </c>
      <c r="CVC10">
        <v>0</v>
      </c>
      <c r="CVD10">
        <v>0</v>
      </c>
      <c r="CVE10">
        <v>0</v>
      </c>
      <c r="CVF10">
        <v>0</v>
      </c>
      <c r="CVG10">
        <v>0</v>
      </c>
      <c r="CVH10">
        <v>0</v>
      </c>
      <c r="CVI10">
        <v>0</v>
      </c>
      <c r="CVJ10">
        <v>0</v>
      </c>
      <c r="CVK10">
        <v>0</v>
      </c>
      <c r="CVL10">
        <v>0</v>
      </c>
      <c r="CVM10">
        <v>0</v>
      </c>
      <c r="CVN10">
        <v>0</v>
      </c>
      <c r="CVO10">
        <v>0</v>
      </c>
      <c r="CVP10">
        <v>0</v>
      </c>
      <c r="CVQ10">
        <v>0</v>
      </c>
      <c r="CVR10">
        <v>0</v>
      </c>
      <c r="CVS10">
        <v>0</v>
      </c>
      <c r="CVT10">
        <v>0</v>
      </c>
      <c r="CVU10">
        <v>0</v>
      </c>
      <c r="CVV10">
        <v>0</v>
      </c>
      <c r="CVW10">
        <v>0</v>
      </c>
      <c r="CVX10">
        <v>0</v>
      </c>
      <c r="CVY10">
        <v>0</v>
      </c>
      <c r="CVZ10">
        <v>0</v>
      </c>
      <c r="CWA10">
        <v>0</v>
      </c>
      <c r="CWB10">
        <v>0</v>
      </c>
      <c r="CWC10">
        <v>0</v>
      </c>
      <c r="CWD10">
        <v>0</v>
      </c>
      <c r="CWE10">
        <v>0</v>
      </c>
      <c r="CWF10">
        <v>20</v>
      </c>
      <c r="CWG10">
        <v>0</v>
      </c>
      <c r="CWH10">
        <v>0</v>
      </c>
      <c r="CWI10">
        <v>0</v>
      </c>
      <c r="CWJ10">
        <v>0</v>
      </c>
      <c r="CWK10">
        <v>0</v>
      </c>
      <c r="CWL10">
        <v>0</v>
      </c>
      <c r="CWM10">
        <v>0</v>
      </c>
      <c r="CWN10">
        <v>0</v>
      </c>
      <c r="CWO10">
        <v>0</v>
      </c>
      <c r="CWP10">
        <v>0</v>
      </c>
      <c r="CWQ10">
        <v>0</v>
      </c>
      <c r="CWR10">
        <v>0</v>
      </c>
      <c r="CWS10">
        <v>0</v>
      </c>
      <c r="CWT10">
        <v>0</v>
      </c>
      <c r="CWU10">
        <v>0</v>
      </c>
      <c r="CWV10">
        <v>0</v>
      </c>
      <c r="CWW10">
        <v>0</v>
      </c>
      <c r="CWX10">
        <v>0</v>
      </c>
      <c r="CWY10">
        <v>0</v>
      </c>
      <c r="CWZ10">
        <v>0</v>
      </c>
      <c r="CXA10">
        <v>0</v>
      </c>
      <c r="CXB10">
        <v>0</v>
      </c>
      <c r="CXC10">
        <v>0</v>
      </c>
      <c r="CXD10">
        <v>0</v>
      </c>
      <c r="CXE10">
        <v>0</v>
      </c>
      <c r="CXF10">
        <v>44</v>
      </c>
      <c r="CXG10">
        <v>0</v>
      </c>
      <c r="CXH10">
        <v>0</v>
      </c>
      <c r="CXI10">
        <v>0</v>
      </c>
      <c r="CXJ10">
        <v>0</v>
      </c>
      <c r="CXK10">
        <v>0</v>
      </c>
      <c r="CXL10">
        <v>0</v>
      </c>
      <c r="CXM10">
        <v>0</v>
      </c>
      <c r="CXN10">
        <v>0</v>
      </c>
      <c r="CXO10">
        <v>0</v>
      </c>
      <c r="CXP10">
        <v>0</v>
      </c>
      <c r="CXQ10">
        <v>0</v>
      </c>
      <c r="CXR10">
        <v>0</v>
      </c>
      <c r="CXS10">
        <v>0</v>
      </c>
      <c r="CXT10">
        <v>0</v>
      </c>
      <c r="CXU10">
        <v>93.03</v>
      </c>
      <c r="CXV10">
        <v>0</v>
      </c>
      <c r="CXW10">
        <v>0</v>
      </c>
      <c r="CXX10">
        <v>0</v>
      </c>
      <c r="CXY10">
        <v>0</v>
      </c>
      <c r="CXZ10">
        <v>0</v>
      </c>
      <c r="CYA10">
        <v>0</v>
      </c>
      <c r="CYB10">
        <v>48</v>
      </c>
      <c r="CYC10">
        <v>0</v>
      </c>
      <c r="CYD10">
        <v>0</v>
      </c>
      <c r="CYE10">
        <v>0</v>
      </c>
      <c r="CYF10">
        <v>0</v>
      </c>
      <c r="CYG10">
        <v>0</v>
      </c>
      <c r="CYH10">
        <v>0</v>
      </c>
      <c r="CYI10">
        <v>0</v>
      </c>
      <c r="CYJ10">
        <v>0</v>
      </c>
      <c r="CYK10">
        <v>0</v>
      </c>
      <c r="CYL10">
        <v>0</v>
      </c>
      <c r="CYM10">
        <v>0</v>
      </c>
      <c r="CYN10">
        <v>0</v>
      </c>
      <c r="CYO10">
        <v>0</v>
      </c>
      <c r="CYP10">
        <v>0</v>
      </c>
      <c r="CYQ10">
        <v>0</v>
      </c>
      <c r="CYR10">
        <v>0</v>
      </c>
      <c r="CYS10">
        <v>0</v>
      </c>
      <c r="CYT10">
        <v>0</v>
      </c>
      <c r="CYU10">
        <v>0</v>
      </c>
      <c r="CYV10">
        <v>0</v>
      </c>
      <c r="CYW10">
        <v>0</v>
      </c>
      <c r="CYX10">
        <v>0</v>
      </c>
      <c r="CYY10">
        <v>0</v>
      </c>
      <c r="CYZ10">
        <v>0</v>
      </c>
      <c r="CZA10">
        <v>0</v>
      </c>
      <c r="CZB10">
        <v>0</v>
      </c>
      <c r="CZC10">
        <v>0</v>
      </c>
      <c r="CZD10">
        <v>0</v>
      </c>
      <c r="CZE10">
        <v>0</v>
      </c>
      <c r="CZF10">
        <v>0</v>
      </c>
      <c r="CZG10">
        <v>0</v>
      </c>
      <c r="CZH10">
        <v>0</v>
      </c>
      <c r="CZI10">
        <v>0</v>
      </c>
      <c r="CZJ10">
        <v>105</v>
      </c>
      <c r="CZK10">
        <v>0</v>
      </c>
      <c r="CZL10">
        <v>0</v>
      </c>
      <c r="CZM10">
        <v>0</v>
      </c>
      <c r="CZN10">
        <v>0</v>
      </c>
      <c r="CZO10">
        <v>0</v>
      </c>
      <c r="CZP10">
        <v>0</v>
      </c>
      <c r="CZQ10">
        <v>0</v>
      </c>
      <c r="CZR10">
        <v>0</v>
      </c>
      <c r="CZS10">
        <v>0</v>
      </c>
      <c r="CZT10">
        <v>0</v>
      </c>
      <c r="CZU10">
        <v>0</v>
      </c>
      <c r="CZV10">
        <v>0</v>
      </c>
      <c r="CZW10">
        <v>0</v>
      </c>
      <c r="CZX10">
        <v>0</v>
      </c>
      <c r="CZY10">
        <v>0</v>
      </c>
      <c r="CZZ10">
        <v>0</v>
      </c>
      <c r="DAA10">
        <v>0</v>
      </c>
      <c r="DAB10">
        <v>0</v>
      </c>
      <c r="DAC10">
        <v>0</v>
      </c>
      <c r="DAD10">
        <v>0</v>
      </c>
      <c r="DAE10">
        <v>0</v>
      </c>
      <c r="DAF10">
        <v>0</v>
      </c>
      <c r="DAG10">
        <v>0</v>
      </c>
      <c r="DAH10">
        <v>0</v>
      </c>
      <c r="DAI10">
        <v>0</v>
      </c>
      <c r="DAJ10">
        <v>0</v>
      </c>
      <c r="DAK10">
        <v>0</v>
      </c>
      <c r="DAL10">
        <v>0</v>
      </c>
      <c r="DAM10">
        <v>0</v>
      </c>
      <c r="DAN10">
        <v>0</v>
      </c>
      <c r="DAO10">
        <v>0</v>
      </c>
      <c r="DAP10">
        <v>0</v>
      </c>
      <c r="DAQ10">
        <v>0</v>
      </c>
      <c r="DAR10">
        <v>0</v>
      </c>
      <c r="DAS10">
        <v>0</v>
      </c>
      <c r="DAT10">
        <v>0</v>
      </c>
      <c r="DAU10">
        <v>0</v>
      </c>
      <c r="DAV10">
        <v>0</v>
      </c>
      <c r="DAW10">
        <v>0</v>
      </c>
      <c r="DAX10">
        <v>8</v>
      </c>
      <c r="DAY10">
        <v>0</v>
      </c>
      <c r="DAZ10">
        <v>0</v>
      </c>
      <c r="DBA10">
        <v>0</v>
      </c>
      <c r="DBB10">
        <v>0</v>
      </c>
      <c r="DBC10">
        <v>0</v>
      </c>
      <c r="DBD10">
        <v>0</v>
      </c>
      <c r="DBE10">
        <v>0</v>
      </c>
      <c r="DBF10">
        <v>0</v>
      </c>
      <c r="DBG10">
        <v>26</v>
      </c>
      <c r="DBH10">
        <v>0</v>
      </c>
      <c r="DBI10">
        <v>0</v>
      </c>
      <c r="DBJ10">
        <v>0</v>
      </c>
      <c r="DBK10">
        <v>0</v>
      </c>
      <c r="DBL10">
        <v>0</v>
      </c>
      <c r="DBM10">
        <v>0</v>
      </c>
      <c r="DBN10">
        <v>0</v>
      </c>
      <c r="DBO10">
        <v>0</v>
      </c>
      <c r="DBP10">
        <v>0</v>
      </c>
      <c r="DBQ10">
        <v>32</v>
      </c>
      <c r="DBR10">
        <v>0</v>
      </c>
      <c r="DBS10">
        <v>0</v>
      </c>
      <c r="DBT10">
        <v>0</v>
      </c>
      <c r="DBU10">
        <v>0</v>
      </c>
      <c r="DBV10">
        <v>0</v>
      </c>
      <c r="DBW10">
        <v>0</v>
      </c>
      <c r="DBX10">
        <v>0</v>
      </c>
      <c r="DBY10">
        <v>0</v>
      </c>
      <c r="DBZ10">
        <v>0</v>
      </c>
      <c r="DCA10">
        <v>6</v>
      </c>
      <c r="DCB10">
        <v>0</v>
      </c>
      <c r="DCC10">
        <v>0</v>
      </c>
      <c r="DCD10">
        <v>0</v>
      </c>
      <c r="DCE10">
        <v>0</v>
      </c>
      <c r="DCF10">
        <v>0</v>
      </c>
      <c r="DCG10">
        <v>0</v>
      </c>
      <c r="DCH10">
        <v>0</v>
      </c>
      <c r="DCI10">
        <v>0</v>
      </c>
      <c r="DCJ10">
        <v>0</v>
      </c>
      <c r="DCK10">
        <v>0</v>
      </c>
      <c r="DCL10">
        <v>0</v>
      </c>
      <c r="DCM10">
        <v>0</v>
      </c>
      <c r="DCN10">
        <v>0</v>
      </c>
      <c r="DCO10">
        <v>0</v>
      </c>
      <c r="DCP10">
        <v>0</v>
      </c>
      <c r="DCQ10">
        <v>0</v>
      </c>
      <c r="DCR10">
        <v>0</v>
      </c>
      <c r="DCS10">
        <v>0</v>
      </c>
      <c r="DCT10">
        <v>0</v>
      </c>
      <c r="DCU10">
        <v>0</v>
      </c>
      <c r="DCV10">
        <v>0</v>
      </c>
      <c r="DCW10">
        <v>0</v>
      </c>
      <c r="DCX10">
        <v>0</v>
      </c>
      <c r="DCY10">
        <v>0</v>
      </c>
      <c r="DCZ10">
        <v>0</v>
      </c>
      <c r="DDA10">
        <v>0</v>
      </c>
      <c r="DDB10">
        <v>0</v>
      </c>
      <c r="DDC10">
        <v>0</v>
      </c>
      <c r="DDD10">
        <v>0</v>
      </c>
      <c r="DDE10">
        <v>0</v>
      </c>
      <c r="DDF10">
        <v>0</v>
      </c>
      <c r="DDG10">
        <v>0</v>
      </c>
      <c r="DDH10">
        <v>0</v>
      </c>
      <c r="DDI10">
        <v>0</v>
      </c>
      <c r="DDJ10">
        <v>0</v>
      </c>
      <c r="DDK10">
        <v>0</v>
      </c>
      <c r="DDL10">
        <v>0</v>
      </c>
      <c r="DDM10">
        <v>0</v>
      </c>
      <c r="DDN10">
        <v>0</v>
      </c>
      <c r="DDO10">
        <v>0</v>
      </c>
      <c r="DDP10">
        <v>0</v>
      </c>
      <c r="DDQ10">
        <v>0</v>
      </c>
      <c r="DDR10">
        <v>0</v>
      </c>
      <c r="DDS10">
        <v>0</v>
      </c>
      <c r="DDT10">
        <v>0</v>
      </c>
      <c r="DDU10">
        <v>0</v>
      </c>
      <c r="DDV10">
        <v>0</v>
      </c>
      <c r="DDW10">
        <v>0</v>
      </c>
      <c r="DDX10">
        <v>0</v>
      </c>
      <c r="DDY10">
        <v>0</v>
      </c>
      <c r="DDZ10">
        <v>0</v>
      </c>
      <c r="DEA10">
        <v>0</v>
      </c>
      <c r="DEB10">
        <v>0</v>
      </c>
      <c r="DEC10">
        <v>0</v>
      </c>
      <c r="DED10">
        <v>0</v>
      </c>
      <c r="DEE10">
        <v>0</v>
      </c>
      <c r="DEF10">
        <v>0</v>
      </c>
      <c r="DEG10">
        <v>0</v>
      </c>
      <c r="DEH10">
        <v>0</v>
      </c>
      <c r="DEI10">
        <v>0</v>
      </c>
      <c r="DEJ10">
        <v>0</v>
      </c>
      <c r="DEK10">
        <v>0</v>
      </c>
      <c r="DEL10">
        <v>0</v>
      </c>
      <c r="DEM10">
        <v>0</v>
      </c>
      <c r="DEN10">
        <v>0</v>
      </c>
      <c r="DEO10">
        <v>0</v>
      </c>
      <c r="DEP10">
        <v>0</v>
      </c>
      <c r="DEQ10">
        <v>0</v>
      </c>
      <c r="DER10">
        <v>0</v>
      </c>
      <c r="DES10">
        <v>11</v>
      </c>
      <c r="DET10">
        <v>119.99</v>
      </c>
      <c r="DEU10">
        <v>0</v>
      </c>
      <c r="DEV10">
        <v>0</v>
      </c>
      <c r="DEW10">
        <v>0</v>
      </c>
      <c r="DEX10">
        <v>0</v>
      </c>
      <c r="DEY10">
        <v>0</v>
      </c>
      <c r="DEZ10">
        <v>120</v>
      </c>
      <c r="DFA10">
        <v>0</v>
      </c>
      <c r="DFB10">
        <v>0</v>
      </c>
      <c r="DFC10">
        <v>0</v>
      </c>
      <c r="DFD10">
        <v>0</v>
      </c>
      <c r="DFE10">
        <v>0</v>
      </c>
      <c r="DFF10">
        <v>0</v>
      </c>
      <c r="DFG10">
        <v>0</v>
      </c>
      <c r="DFH10">
        <v>0</v>
      </c>
      <c r="DFI10">
        <v>0</v>
      </c>
      <c r="DFJ10">
        <v>0</v>
      </c>
      <c r="DFK10">
        <v>0</v>
      </c>
      <c r="DFL10">
        <v>0</v>
      </c>
      <c r="DFM10">
        <v>0</v>
      </c>
      <c r="DFN10">
        <v>0</v>
      </c>
      <c r="DFO10">
        <v>0</v>
      </c>
      <c r="DFP10">
        <v>0</v>
      </c>
      <c r="DFQ10">
        <v>73</v>
      </c>
      <c r="DFR10">
        <v>0</v>
      </c>
      <c r="DFS10">
        <v>0</v>
      </c>
      <c r="DFT10">
        <v>0</v>
      </c>
      <c r="DFU10">
        <v>0</v>
      </c>
      <c r="DFV10">
        <v>0</v>
      </c>
      <c r="DFW10">
        <v>0</v>
      </c>
      <c r="DFX10">
        <v>0</v>
      </c>
      <c r="DFY10">
        <v>0</v>
      </c>
      <c r="DFZ10">
        <v>0</v>
      </c>
      <c r="DGA10">
        <v>12</v>
      </c>
      <c r="DGB10">
        <v>0</v>
      </c>
      <c r="DGC10">
        <v>0</v>
      </c>
      <c r="DGD10">
        <v>0</v>
      </c>
      <c r="DGE10">
        <v>0</v>
      </c>
      <c r="DGF10">
        <v>39</v>
      </c>
      <c r="DGG10">
        <v>0</v>
      </c>
      <c r="DGH10">
        <v>0</v>
      </c>
      <c r="DGI10">
        <v>0</v>
      </c>
      <c r="DGJ10">
        <v>0</v>
      </c>
      <c r="DGK10">
        <v>0</v>
      </c>
      <c r="DGL10">
        <v>39</v>
      </c>
      <c r="DGM10">
        <v>0</v>
      </c>
      <c r="DGN10">
        <v>0</v>
      </c>
      <c r="DGO10">
        <v>0</v>
      </c>
      <c r="DGP10">
        <v>0</v>
      </c>
      <c r="DGQ10">
        <v>0</v>
      </c>
      <c r="DGR10">
        <v>0</v>
      </c>
      <c r="DGS10">
        <v>0</v>
      </c>
      <c r="DGT10">
        <v>0</v>
      </c>
      <c r="DGU10">
        <v>0</v>
      </c>
      <c r="DGV10">
        <v>0</v>
      </c>
      <c r="DGW10">
        <v>0</v>
      </c>
      <c r="DGX10">
        <v>0</v>
      </c>
      <c r="DGY10">
        <v>0</v>
      </c>
      <c r="DGZ10">
        <v>0</v>
      </c>
      <c r="DHA10">
        <v>0</v>
      </c>
      <c r="DHB10">
        <v>0</v>
      </c>
      <c r="DHC10">
        <v>0</v>
      </c>
      <c r="DHD10">
        <v>0</v>
      </c>
      <c r="DHE10">
        <v>0</v>
      </c>
      <c r="DHF10">
        <v>0</v>
      </c>
      <c r="DHG10">
        <v>0</v>
      </c>
      <c r="DHH10">
        <v>0</v>
      </c>
      <c r="DHI10">
        <v>0</v>
      </c>
      <c r="DHJ10">
        <v>0</v>
      </c>
      <c r="DHK10">
        <v>0</v>
      </c>
      <c r="DHL10">
        <v>0</v>
      </c>
      <c r="DHM10">
        <v>0</v>
      </c>
      <c r="DHN10">
        <v>0</v>
      </c>
      <c r="DHO10">
        <v>0</v>
      </c>
      <c r="DHP10">
        <v>0</v>
      </c>
      <c r="DHQ10">
        <v>0</v>
      </c>
      <c r="DHR10">
        <v>0</v>
      </c>
      <c r="DHS10">
        <v>0</v>
      </c>
      <c r="DHT10">
        <v>0</v>
      </c>
      <c r="DHU10">
        <v>0</v>
      </c>
      <c r="DHV10">
        <v>0</v>
      </c>
      <c r="DHW10">
        <v>0</v>
      </c>
      <c r="DHX10">
        <v>0</v>
      </c>
      <c r="DHY10">
        <v>0</v>
      </c>
      <c r="DHZ10">
        <v>0</v>
      </c>
      <c r="DIA10">
        <v>0</v>
      </c>
      <c r="DIB10">
        <v>0</v>
      </c>
      <c r="DIC10">
        <v>0</v>
      </c>
      <c r="DID10">
        <v>0</v>
      </c>
      <c r="DIE10">
        <v>0</v>
      </c>
      <c r="DIF10">
        <v>0</v>
      </c>
      <c r="DIG10">
        <v>0</v>
      </c>
      <c r="DIH10">
        <v>0</v>
      </c>
      <c r="DII10">
        <v>0</v>
      </c>
      <c r="DIJ10">
        <v>30</v>
      </c>
      <c r="DIK10">
        <v>0</v>
      </c>
      <c r="DIL10">
        <v>131</v>
      </c>
      <c r="DIM10">
        <v>0</v>
      </c>
      <c r="DIN10">
        <v>0</v>
      </c>
      <c r="DIO10">
        <v>0</v>
      </c>
      <c r="DIP10">
        <v>0</v>
      </c>
      <c r="DIQ10">
        <v>0</v>
      </c>
      <c r="DIR10">
        <v>119.03</v>
      </c>
      <c r="DIS10">
        <v>0</v>
      </c>
      <c r="DIT10">
        <v>0</v>
      </c>
      <c r="DIU10">
        <v>0</v>
      </c>
      <c r="DIV10">
        <v>0</v>
      </c>
      <c r="DIW10">
        <v>0</v>
      </c>
      <c r="DIX10">
        <v>0</v>
      </c>
      <c r="DIY10">
        <v>0</v>
      </c>
      <c r="DIZ10">
        <v>0</v>
      </c>
      <c r="DJA10">
        <v>0</v>
      </c>
      <c r="DJB10">
        <v>0</v>
      </c>
      <c r="DJC10">
        <v>0</v>
      </c>
      <c r="DJD10">
        <v>0</v>
      </c>
      <c r="DJE10">
        <v>133.99</v>
      </c>
      <c r="DJF10">
        <v>0</v>
      </c>
      <c r="DJG10">
        <v>0</v>
      </c>
      <c r="DJH10">
        <v>134</v>
      </c>
      <c r="DJI10">
        <v>0</v>
      </c>
      <c r="DJJ10">
        <v>0</v>
      </c>
      <c r="DJK10">
        <v>0</v>
      </c>
      <c r="DJL10">
        <v>0</v>
      </c>
      <c r="DJM10">
        <v>0</v>
      </c>
      <c r="DJN10">
        <v>0</v>
      </c>
      <c r="DJO10">
        <v>0</v>
      </c>
      <c r="DJP10">
        <v>0</v>
      </c>
      <c r="DJQ10">
        <v>0</v>
      </c>
      <c r="DJR10">
        <v>0</v>
      </c>
      <c r="DJS10">
        <v>0</v>
      </c>
      <c r="DJT10">
        <v>0</v>
      </c>
      <c r="DJU10">
        <v>0</v>
      </c>
      <c r="DJV10">
        <v>0</v>
      </c>
      <c r="DJW10">
        <v>0</v>
      </c>
      <c r="DJX10">
        <v>0</v>
      </c>
      <c r="DJY10">
        <v>0</v>
      </c>
      <c r="DJZ10">
        <v>0</v>
      </c>
      <c r="DKA10">
        <v>0</v>
      </c>
      <c r="DKB10">
        <v>0</v>
      </c>
      <c r="DKC10">
        <v>0</v>
      </c>
      <c r="DKD10">
        <v>0</v>
      </c>
      <c r="DKE10">
        <v>0</v>
      </c>
      <c r="DKF10">
        <v>0</v>
      </c>
      <c r="DKG10">
        <v>0</v>
      </c>
      <c r="DKH10">
        <v>0</v>
      </c>
      <c r="DKI10">
        <v>0</v>
      </c>
      <c r="DKJ10">
        <v>0</v>
      </c>
      <c r="DKK10">
        <v>0</v>
      </c>
      <c r="DKL10">
        <v>0</v>
      </c>
      <c r="DKM10">
        <v>0</v>
      </c>
      <c r="DKN10">
        <v>0</v>
      </c>
      <c r="DKO10">
        <v>0</v>
      </c>
      <c r="DKP10">
        <v>0</v>
      </c>
      <c r="DKQ10">
        <v>0</v>
      </c>
      <c r="DKR10">
        <v>0</v>
      </c>
      <c r="DKS10">
        <v>0</v>
      </c>
      <c r="DKT10">
        <v>0</v>
      </c>
      <c r="DKU10">
        <v>0</v>
      </c>
      <c r="DKV10">
        <v>0</v>
      </c>
      <c r="DKW10">
        <v>0</v>
      </c>
      <c r="DKX10">
        <v>0</v>
      </c>
      <c r="DKY10">
        <v>0</v>
      </c>
      <c r="DKZ10">
        <v>0</v>
      </c>
      <c r="DLA10">
        <v>0</v>
      </c>
      <c r="DLB10">
        <v>0</v>
      </c>
      <c r="DLC10">
        <v>0</v>
      </c>
      <c r="DLD10">
        <v>0</v>
      </c>
      <c r="DLE10">
        <v>0</v>
      </c>
      <c r="DLF10">
        <v>0</v>
      </c>
      <c r="DLG10">
        <v>24</v>
      </c>
      <c r="DLH10">
        <v>0</v>
      </c>
      <c r="DLI10">
        <v>0</v>
      </c>
      <c r="DLJ10">
        <v>0</v>
      </c>
      <c r="DLK10">
        <v>0</v>
      </c>
      <c r="DLL10">
        <v>0</v>
      </c>
      <c r="DLM10">
        <v>0</v>
      </c>
      <c r="DLN10">
        <v>0</v>
      </c>
      <c r="DLO10">
        <v>0</v>
      </c>
      <c r="DLP10">
        <v>0</v>
      </c>
      <c r="DLQ10">
        <v>0</v>
      </c>
      <c r="DLR10">
        <v>0</v>
      </c>
      <c r="DLS10">
        <v>0</v>
      </c>
      <c r="DLT10">
        <v>0</v>
      </c>
      <c r="DLU10">
        <v>0</v>
      </c>
      <c r="DLV10">
        <v>0</v>
      </c>
      <c r="DLW10">
        <v>0</v>
      </c>
      <c r="DLX10">
        <v>0</v>
      </c>
      <c r="DLY10">
        <v>0</v>
      </c>
      <c r="DLZ10">
        <v>0</v>
      </c>
      <c r="DMA10">
        <v>0</v>
      </c>
      <c r="DMB10">
        <v>0</v>
      </c>
      <c r="DMC10">
        <v>0</v>
      </c>
      <c r="DMD10">
        <v>0</v>
      </c>
      <c r="DME10">
        <v>0</v>
      </c>
      <c r="DMF10">
        <v>0</v>
      </c>
      <c r="DMG10">
        <v>0</v>
      </c>
      <c r="DMH10">
        <v>0</v>
      </c>
      <c r="DMI10">
        <v>0</v>
      </c>
      <c r="DMJ10">
        <v>0</v>
      </c>
      <c r="DMK10">
        <v>0</v>
      </c>
      <c r="DML10">
        <v>0</v>
      </c>
      <c r="DMM10">
        <v>0</v>
      </c>
      <c r="DMN10">
        <v>0</v>
      </c>
      <c r="DMO10">
        <v>0</v>
      </c>
      <c r="DMP10">
        <v>0</v>
      </c>
      <c r="DMQ10">
        <v>0</v>
      </c>
      <c r="DMR10">
        <v>0</v>
      </c>
      <c r="DMS10">
        <v>0</v>
      </c>
      <c r="DMT10">
        <v>0</v>
      </c>
      <c r="DMU10">
        <v>0</v>
      </c>
      <c r="DMV10">
        <v>0</v>
      </c>
      <c r="DMW10">
        <v>0</v>
      </c>
      <c r="DMX10">
        <v>0</v>
      </c>
      <c r="DMY10">
        <v>0</v>
      </c>
      <c r="DMZ10">
        <v>0</v>
      </c>
      <c r="DNA10">
        <v>0</v>
      </c>
      <c r="DNB10">
        <v>0</v>
      </c>
      <c r="DNC10">
        <v>0</v>
      </c>
      <c r="DND10">
        <v>0</v>
      </c>
      <c r="DNE10">
        <v>0</v>
      </c>
      <c r="DNF10">
        <v>0</v>
      </c>
      <c r="DNG10">
        <v>0</v>
      </c>
      <c r="DNH10">
        <v>0</v>
      </c>
      <c r="DNI10">
        <v>149.97</v>
      </c>
      <c r="DNJ10">
        <v>0</v>
      </c>
      <c r="DNK10">
        <v>0</v>
      </c>
      <c r="DNL10">
        <v>0</v>
      </c>
      <c r="DNM10">
        <v>0</v>
      </c>
      <c r="DNN10">
        <v>0</v>
      </c>
      <c r="DNO10">
        <v>0</v>
      </c>
      <c r="DNP10">
        <v>0</v>
      </c>
      <c r="DNQ10">
        <v>0</v>
      </c>
      <c r="DNR10">
        <v>0</v>
      </c>
      <c r="DNS10">
        <v>0</v>
      </c>
      <c r="DNT10">
        <v>0</v>
      </c>
      <c r="DNU10">
        <v>0</v>
      </c>
      <c r="DNV10">
        <v>0</v>
      </c>
      <c r="DNW10">
        <v>0</v>
      </c>
      <c r="DNX10">
        <v>0</v>
      </c>
      <c r="DNY10">
        <v>0</v>
      </c>
      <c r="DNZ10">
        <v>0</v>
      </c>
      <c r="DOA10">
        <v>0</v>
      </c>
      <c r="DOB10">
        <v>0</v>
      </c>
      <c r="DOC10">
        <v>79.03</v>
      </c>
      <c r="DOD10">
        <v>0</v>
      </c>
      <c r="DOE10">
        <v>0</v>
      </c>
      <c r="DOF10">
        <v>0</v>
      </c>
      <c r="DOG10">
        <v>0</v>
      </c>
      <c r="DOH10">
        <v>0</v>
      </c>
      <c r="DOI10">
        <v>0</v>
      </c>
      <c r="DOJ10">
        <v>0</v>
      </c>
      <c r="DOK10">
        <v>0</v>
      </c>
      <c r="DOL10">
        <v>0</v>
      </c>
      <c r="DOM10">
        <v>0</v>
      </c>
      <c r="DON10">
        <v>0</v>
      </c>
      <c r="DOO10">
        <v>0</v>
      </c>
      <c r="DOP10">
        <v>0</v>
      </c>
      <c r="DOQ10">
        <v>0</v>
      </c>
      <c r="DOR10">
        <v>0</v>
      </c>
      <c r="DOS10">
        <v>0</v>
      </c>
      <c r="DOT10">
        <v>0</v>
      </c>
      <c r="DOU10">
        <v>0</v>
      </c>
      <c r="DOV10">
        <v>0</v>
      </c>
      <c r="DOW10">
        <v>0</v>
      </c>
      <c r="DOX10">
        <v>0</v>
      </c>
      <c r="DOY10">
        <v>0</v>
      </c>
      <c r="DOZ10">
        <v>0</v>
      </c>
      <c r="DPA10">
        <v>0</v>
      </c>
      <c r="DPB10">
        <v>0</v>
      </c>
      <c r="DPC10">
        <v>0</v>
      </c>
      <c r="DPD10">
        <v>0</v>
      </c>
      <c r="DPE10">
        <v>0</v>
      </c>
      <c r="DPF10">
        <v>0</v>
      </c>
      <c r="DPG10">
        <v>0</v>
      </c>
      <c r="DPH10">
        <v>0</v>
      </c>
      <c r="DPI10">
        <v>0</v>
      </c>
      <c r="DPJ10">
        <v>0</v>
      </c>
      <c r="DPK10">
        <v>0</v>
      </c>
      <c r="DPL10">
        <v>0</v>
      </c>
      <c r="DPM10">
        <v>0</v>
      </c>
      <c r="DPN10">
        <v>0</v>
      </c>
      <c r="DPO10">
        <v>0</v>
      </c>
      <c r="DPP10">
        <v>0</v>
      </c>
      <c r="DPQ10">
        <v>0</v>
      </c>
      <c r="DPR10">
        <v>0</v>
      </c>
      <c r="DPS10">
        <v>0</v>
      </c>
      <c r="DPT10">
        <v>9</v>
      </c>
      <c r="DPU10">
        <v>0</v>
      </c>
      <c r="DPV10">
        <v>0</v>
      </c>
      <c r="DPW10">
        <v>0</v>
      </c>
      <c r="DPX10">
        <v>0</v>
      </c>
      <c r="DPY10">
        <v>0</v>
      </c>
      <c r="DPZ10">
        <v>0</v>
      </c>
      <c r="DQA10">
        <v>0</v>
      </c>
      <c r="DQB10">
        <v>0</v>
      </c>
      <c r="DQC10">
        <v>0</v>
      </c>
      <c r="DQD10">
        <v>0</v>
      </c>
      <c r="DQE10">
        <v>0</v>
      </c>
      <c r="DQF10">
        <v>24</v>
      </c>
      <c r="DQG10">
        <v>0</v>
      </c>
      <c r="DQH10">
        <v>0</v>
      </c>
      <c r="DQI10">
        <v>0</v>
      </c>
      <c r="DQJ10">
        <v>0</v>
      </c>
      <c r="DQK10">
        <v>0</v>
      </c>
      <c r="DQL10">
        <v>0</v>
      </c>
      <c r="DQM10">
        <v>0</v>
      </c>
      <c r="DQN10">
        <v>0</v>
      </c>
      <c r="DQO10">
        <v>0</v>
      </c>
      <c r="DQP10">
        <v>0</v>
      </c>
      <c r="DQQ10">
        <v>0</v>
      </c>
      <c r="DQR10">
        <v>0</v>
      </c>
      <c r="DQS10">
        <v>0</v>
      </c>
      <c r="DQT10">
        <v>0</v>
      </c>
      <c r="DQU10">
        <v>0</v>
      </c>
      <c r="DQV10">
        <v>0</v>
      </c>
      <c r="DQW10">
        <v>0</v>
      </c>
      <c r="DQX10">
        <v>0</v>
      </c>
      <c r="DQY10">
        <v>0</v>
      </c>
      <c r="DQZ10">
        <v>0</v>
      </c>
      <c r="DRA10">
        <v>0</v>
      </c>
      <c r="DRB10">
        <v>0</v>
      </c>
      <c r="DRC10">
        <v>0</v>
      </c>
      <c r="DRD10">
        <v>0</v>
      </c>
      <c r="DRE10">
        <v>0</v>
      </c>
      <c r="DRF10">
        <v>0</v>
      </c>
      <c r="DRG10">
        <v>0</v>
      </c>
      <c r="DRH10">
        <v>0</v>
      </c>
      <c r="DRI10">
        <v>0</v>
      </c>
      <c r="DRJ10">
        <v>0</v>
      </c>
      <c r="DRK10">
        <v>0</v>
      </c>
      <c r="DRL10">
        <v>0</v>
      </c>
      <c r="DRM10">
        <v>0</v>
      </c>
      <c r="DRN10">
        <v>0</v>
      </c>
      <c r="DRO10">
        <v>0</v>
      </c>
      <c r="DRP10">
        <v>0</v>
      </c>
      <c r="DRQ10">
        <v>0</v>
      </c>
      <c r="DRR10">
        <v>0</v>
      </c>
      <c r="DRS10">
        <v>0</v>
      </c>
      <c r="DRT10">
        <v>0</v>
      </c>
      <c r="DRU10">
        <v>0</v>
      </c>
      <c r="DRV10">
        <v>0</v>
      </c>
      <c r="DRW10">
        <v>11</v>
      </c>
      <c r="DRX10">
        <v>11</v>
      </c>
      <c r="DRY10">
        <v>0</v>
      </c>
      <c r="DRZ10">
        <v>0</v>
      </c>
      <c r="DSA10">
        <v>0</v>
      </c>
      <c r="DSB10">
        <v>0</v>
      </c>
      <c r="DSC10">
        <v>0</v>
      </c>
      <c r="DSD10">
        <v>0</v>
      </c>
      <c r="DSE10">
        <v>0</v>
      </c>
      <c r="DSF10">
        <v>0</v>
      </c>
      <c r="DSG10">
        <v>0</v>
      </c>
      <c r="DSH10">
        <v>0</v>
      </c>
      <c r="DSI10">
        <v>0</v>
      </c>
      <c r="DSJ10">
        <v>0</v>
      </c>
      <c r="DSK10">
        <v>0</v>
      </c>
      <c r="DSL10">
        <v>0</v>
      </c>
      <c r="DSM10">
        <v>0</v>
      </c>
      <c r="DSN10">
        <v>0</v>
      </c>
      <c r="DSO10">
        <v>0</v>
      </c>
      <c r="DSP10">
        <v>0</v>
      </c>
      <c r="DSQ10">
        <v>0</v>
      </c>
      <c r="DSR10">
        <v>0</v>
      </c>
      <c r="DSS10">
        <v>0</v>
      </c>
      <c r="DST10">
        <v>0</v>
      </c>
      <c r="DSU10">
        <v>0</v>
      </c>
      <c r="DSV10">
        <v>0</v>
      </c>
      <c r="DSW10">
        <v>0</v>
      </c>
      <c r="DSX10">
        <v>0</v>
      </c>
      <c r="DSY10">
        <v>175.03</v>
      </c>
      <c r="DSZ10">
        <v>0</v>
      </c>
      <c r="DTA10">
        <v>0</v>
      </c>
      <c r="DTB10">
        <v>0</v>
      </c>
      <c r="DTC10">
        <v>0</v>
      </c>
      <c r="DTD10">
        <v>0</v>
      </c>
      <c r="DTE10">
        <v>0</v>
      </c>
      <c r="DTF10">
        <v>0</v>
      </c>
      <c r="DTG10">
        <v>0</v>
      </c>
      <c r="DTH10">
        <v>0</v>
      </c>
      <c r="DTI10">
        <v>0</v>
      </c>
      <c r="DTJ10">
        <v>0</v>
      </c>
      <c r="DTK10">
        <v>0</v>
      </c>
      <c r="DTL10">
        <v>0</v>
      </c>
      <c r="DTM10">
        <v>0</v>
      </c>
      <c r="DTN10">
        <v>0</v>
      </c>
      <c r="DTO10">
        <v>0</v>
      </c>
      <c r="DTP10">
        <v>0</v>
      </c>
      <c r="DTQ10">
        <v>0</v>
      </c>
      <c r="DTR10">
        <v>0</v>
      </c>
      <c r="DTS10">
        <v>0</v>
      </c>
      <c r="DTT10">
        <v>27</v>
      </c>
      <c r="DTU10">
        <v>0</v>
      </c>
      <c r="DTV10">
        <v>0</v>
      </c>
      <c r="DTW10">
        <v>0</v>
      </c>
      <c r="DTX10">
        <v>18</v>
      </c>
      <c r="DTY10">
        <v>0</v>
      </c>
      <c r="DTZ10">
        <v>0</v>
      </c>
      <c r="DUA10">
        <v>0</v>
      </c>
      <c r="DUB10">
        <v>0</v>
      </c>
      <c r="DUC10">
        <v>0</v>
      </c>
      <c r="DUD10">
        <v>0</v>
      </c>
      <c r="DUE10">
        <v>0</v>
      </c>
      <c r="DUF10">
        <v>0</v>
      </c>
      <c r="DUG10">
        <v>182</v>
      </c>
      <c r="DUH10">
        <v>0</v>
      </c>
      <c r="DUI10">
        <v>0</v>
      </c>
      <c r="DUJ10">
        <v>0</v>
      </c>
      <c r="DUK10">
        <v>0</v>
      </c>
      <c r="DUL10">
        <v>0</v>
      </c>
      <c r="DUM10">
        <v>0</v>
      </c>
      <c r="DUN10">
        <v>0</v>
      </c>
      <c r="DUO10">
        <v>0</v>
      </c>
      <c r="DUP10">
        <v>0</v>
      </c>
      <c r="DUQ10">
        <v>0</v>
      </c>
      <c r="DUR10">
        <v>0</v>
      </c>
      <c r="DUS10">
        <v>57</v>
      </c>
      <c r="DUT10">
        <v>32</v>
      </c>
      <c r="DUU10">
        <v>0</v>
      </c>
      <c r="DUV10">
        <v>0</v>
      </c>
      <c r="DUW10">
        <v>0</v>
      </c>
      <c r="DUX10">
        <v>0</v>
      </c>
      <c r="DUY10">
        <v>0</v>
      </c>
      <c r="DUZ10">
        <v>0</v>
      </c>
      <c r="DVA10">
        <v>0</v>
      </c>
      <c r="DVB10">
        <v>0</v>
      </c>
      <c r="DVC10">
        <v>0</v>
      </c>
      <c r="DVD10">
        <v>0</v>
      </c>
      <c r="DVE10">
        <v>0</v>
      </c>
      <c r="DVF10">
        <v>0</v>
      </c>
      <c r="DVG10">
        <v>0</v>
      </c>
      <c r="DVH10">
        <v>0</v>
      </c>
      <c r="DVI10">
        <v>0</v>
      </c>
      <c r="DVJ10">
        <v>0</v>
      </c>
      <c r="DVK10">
        <v>11</v>
      </c>
      <c r="DVL10">
        <v>76.010000000000005</v>
      </c>
      <c r="DVM10">
        <v>0</v>
      </c>
      <c r="DVN10">
        <v>0</v>
      </c>
      <c r="DVO10">
        <v>0</v>
      </c>
      <c r="DVP10">
        <v>0</v>
      </c>
      <c r="DVQ10">
        <v>0</v>
      </c>
      <c r="DVR10">
        <v>0</v>
      </c>
      <c r="DVS10">
        <v>0</v>
      </c>
      <c r="DVT10">
        <v>0</v>
      </c>
      <c r="DVU10">
        <v>0</v>
      </c>
      <c r="DVV10">
        <v>0</v>
      </c>
      <c r="DVW10">
        <v>0</v>
      </c>
      <c r="DVX10">
        <v>0</v>
      </c>
      <c r="DVY10">
        <v>0</v>
      </c>
      <c r="DVZ10">
        <v>0</v>
      </c>
      <c r="DWA10">
        <v>0</v>
      </c>
      <c r="DWB10">
        <v>0</v>
      </c>
      <c r="DWC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J10">
        <v>0</v>
      </c>
      <c r="DWK10">
        <v>0</v>
      </c>
      <c r="DWL10">
        <v>0</v>
      </c>
      <c r="DWM10">
        <v>0</v>
      </c>
      <c r="DWN10">
        <v>0</v>
      </c>
      <c r="DWO10">
        <v>0</v>
      </c>
      <c r="DWP10">
        <v>0</v>
      </c>
      <c r="DWQ10">
        <v>0</v>
      </c>
      <c r="DWR10">
        <v>0</v>
      </c>
      <c r="DWS10">
        <v>0</v>
      </c>
      <c r="DWT10">
        <v>0</v>
      </c>
      <c r="DWU10">
        <v>0</v>
      </c>
      <c r="DWV10">
        <v>0</v>
      </c>
      <c r="DWW10">
        <v>0</v>
      </c>
      <c r="DWX10">
        <v>0</v>
      </c>
      <c r="DWY10">
        <v>0</v>
      </c>
      <c r="DWZ10">
        <v>0</v>
      </c>
      <c r="DXA10">
        <v>0</v>
      </c>
      <c r="DXB10">
        <v>0</v>
      </c>
      <c r="DXC10">
        <v>0</v>
      </c>
      <c r="DXD10">
        <v>0</v>
      </c>
      <c r="DXE10">
        <v>0</v>
      </c>
      <c r="DXF10">
        <v>0</v>
      </c>
      <c r="DXG10">
        <v>0</v>
      </c>
      <c r="DXH10">
        <v>0</v>
      </c>
      <c r="DXI10">
        <v>0</v>
      </c>
      <c r="DXJ10">
        <v>0</v>
      </c>
      <c r="DXK10">
        <v>0</v>
      </c>
      <c r="DXL10">
        <v>0</v>
      </c>
      <c r="DXM10">
        <v>0</v>
      </c>
      <c r="DXN10">
        <v>0</v>
      </c>
      <c r="DXO10">
        <v>0</v>
      </c>
      <c r="DXP10">
        <v>0</v>
      </c>
      <c r="DXQ10">
        <v>0</v>
      </c>
      <c r="DXR10">
        <v>0</v>
      </c>
      <c r="DXS10">
        <v>0</v>
      </c>
      <c r="DXT10">
        <v>0</v>
      </c>
      <c r="DXU10">
        <v>0</v>
      </c>
      <c r="DXV10">
        <v>0</v>
      </c>
      <c r="DXW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D10">
        <v>0</v>
      </c>
      <c r="DYE10">
        <v>0</v>
      </c>
      <c r="DYF10">
        <v>0</v>
      </c>
      <c r="DYG10">
        <v>0</v>
      </c>
      <c r="DYH10">
        <v>0</v>
      </c>
      <c r="DYI10">
        <v>0</v>
      </c>
      <c r="DYJ10">
        <v>0</v>
      </c>
      <c r="DYK10">
        <v>0</v>
      </c>
      <c r="DYL10">
        <v>0</v>
      </c>
      <c r="DYM10">
        <v>0</v>
      </c>
      <c r="DYN10">
        <v>0</v>
      </c>
      <c r="DYO10">
        <v>0</v>
      </c>
      <c r="DYP10">
        <v>0</v>
      </c>
      <c r="DYQ10">
        <v>0</v>
      </c>
      <c r="DYR10">
        <v>0</v>
      </c>
      <c r="DYS10">
        <v>0</v>
      </c>
      <c r="DYT10">
        <v>0</v>
      </c>
      <c r="DYU10">
        <v>0</v>
      </c>
      <c r="DYV10">
        <v>10</v>
      </c>
      <c r="DYW10">
        <v>0</v>
      </c>
      <c r="DYX10">
        <v>0</v>
      </c>
      <c r="DYY10">
        <v>0</v>
      </c>
      <c r="DYZ10">
        <v>0</v>
      </c>
      <c r="DZA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G10">
        <v>0</v>
      </c>
      <c r="DZH10">
        <v>0</v>
      </c>
      <c r="DZI10">
        <v>7</v>
      </c>
      <c r="DZJ10">
        <v>0</v>
      </c>
      <c r="DZK10">
        <v>204.99</v>
      </c>
      <c r="DZL10">
        <v>0</v>
      </c>
      <c r="DZM10">
        <v>0</v>
      </c>
      <c r="DZN10">
        <v>0</v>
      </c>
      <c r="DZO10">
        <v>0</v>
      </c>
      <c r="DZP10">
        <v>0</v>
      </c>
      <c r="DZQ10">
        <v>0</v>
      </c>
      <c r="DZR10">
        <v>0</v>
      </c>
      <c r="DZS10">
        <v>0</v>
      </c>
      <c r="DZT10">
        <v>0</v>
      </c>
      <c r="DZU10">
        <v>9</v>
      </c>
      <c r="DZV10">
        <v>0</v>
      </c>
      <c r="DZW10">
        <v>0</v>
      </c>
      <c r="DZX10">
        <v>0</v>
      </c>
      <c r="DZY10">
        <v>0</v>
      </c>
      <c r="DZZ10">
        <v>0</v>
      </c>
      <c r="EAA10">
        <v>0</v>
      </c>
      <c r="EAB10">
        <v>0</v>
      </c>
      <c r="EAC10">
        <v>0</v>
      </c>
      <c r="EAD10">
        <v>0</v>
      </c>
      <c r="EAE10">
        <v>210</v>
      </c>
      <c r="EAF10">
        <v>0</v>
      </c>
      <c r="EAG10">
        <v>0</v>
      </c>
      <c r="EAH10">
        <v>0</v>
      </c>
      <c r="EAI10">
        <v>0</v>
      </c>
      <c r="EAJ10">
        <v>0</v>
      </c>
      <c r="EAK10">
        <v>0</v>
      </c>
      <c r="EAL10">
        <v>0</v>
      </c>
      <c r="EAM10">
        <v>0</v>
      </c>
      <c r="EAN10">
        <v>0</v>
      </c>
      <c r="EAO10">
        <v>0</v>
      </c>
      <c r="EAP10">
        <v>0</v>
      </c>
      <c r="EAQ10">
        <v>0</v>
      </c>
      <c r="EAR10">
        <v>0</v>
      </c>
      <c r="EAS10">
        <v>0</v>
      </c>
      <c r="EAT10">
        <v>0</v>
      </c>
      <c r="EAU10">
        <v>0</v>
      </c>
      <c r="EAV10">
        <v>0</v>
      </c>
      <c r="EAW10">
        <v>0</v>
      </c>
      <c r="EAX10">
        <v>0</v>
      </c>
      <c r="EAY10">
        <v>46</v>
      </c>
      <c r="EAZ10">
        <v>0</v>
      </c>
      <c r="EBA10">
        <v>0</v>
      </c>
      <c r="EBB10">
        <v>0</v>
      </c>
      <c r="EBC10">
        <v>0</v>
      </c>
      <c r="EBD10">
        <v>0</v>
      </c>
      <c r="EBE10">
        <v>0</v>
      </c>
      <c r="EBF10">
        <v>0</v>
      </c>
      <c r="EBG10">
        <v>0</v>
      </c>
      <c r="EBH10">
        <v>0</v>
      </c>
      <c r="EBI10">
        <v>0</v>
      </c>
      <c r="EBJ10">
        <v>0</v>
      </c>
      <c r="EBK10">
        <v>0</v>
      </c>
      <c r="EBL10">
        <v>0</v>
      </c>
      <c r="EBM10">
        <v>0</v>
      </c>
      <c r="EBN10">
        <v>0</v>
      </c>
      <c r="EBO10">
        <v>0</v>
      </c>
      <c r="EBP10">
        <v>0</v>
      </c>
      <c r="EBQ10">
        <v>0</v>
      </c>
      <c r="EBR10">
        <v>0</v>
      </c>
      <c r="EBS10">
        <v>0</v>
      </c>
      <c r="EBT10">
        <v>0</v>
      </c>
      <c r="EBU10">
        <v>0</v>
      </c>
      <c r="EBV10">
        <v>0</v>
      </c>
      <c r="EBW10">
        <v>0</v>
      </c>
      <c r="EBX10">
        <v>0</v>
      </c>
      <c r="EBY10">
        <v>65.989999999999995</v>
      </c>
      <c r="EBZ10">
        <v>0</v>
      </c>
      <c r="ECA10">
        <v>0</v>
      </c>
      <c r="ECB10">
        <v>0</v>
      </c>
      <c r="ECC10">
        <v>0</v>
      </c>
      <c r="ECD10">
        <v>0</v>
      </c>
      <c r="ECE10">
        <v>0</v>
      </c>
      <c r="ECF10">
        <v>10</v>
      </c>
      <c r="ECG10">
        <v>0</v>
      </c>
      <c r="ECH10">
        <v>0</v>
      </c>
      <c r="ECI10">
        <v>69</v>
      </c>
      <c r="ECJ10">
        <v>0</v>
      </c>
      <c r="ECK10">
        <v>0</v>
      </c>
      <c r="ECL10">
        <v>0</v>
      </c>
      <c r="ECM10">
        <v>0</v>
      </c>
      <c r="ECN10">
        <v>0</v>
      </c>
      <c r="ECO10">
        <v>0</v>
      </c>
      <c r="ECP10">
        <v>0</v>
      </c>
      <c r="ECQ10">
        <v>0</v>
      </c>
      <c r="ECR10">
        <v>0</v>
      </c>
      <c r="ECS10">
        <v>0</v>
      </c>
      <c r="ECT10">
        <v>0</v>
      </c>
      <c r="ECU10">
        <v>0</v>
      </c>
      <c r="ECV10">
        <v>0</v>
      </c>
      <c r="ECW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247.99</v>
      </c>
      <c r="EDE10">
        <v>0</v>
      </c>
      <c r="EDF10">
        <v>0</v>
      </c>
      <c r="EDG10">
        <v>0</v>
      </c>
      <c r="EDH10">
        <v>0</v>
      </c>
      <c r="EDI10">
        <v>0</v>
      </c>
      <c r="EDJ10">
        <v>0</v>
      </c>
      <c r="EDK10">
        <v>0</v>
      </c>
      <c r="EDL10">
        <v>0</v>
      </c>
      <c r="EDM10">
        <v>0</v>
      </c>
      <c r="EDN10">
        <v>0</v>
      </c>
      <c r="EDO10">
        <v>0</v>
      </c>
      <c r="EDP10">
        <v>189.96</v>
      </c>
      <c r="EDQ10">
        <v>0</v>
      </c>
      <c r="EDR10">
        <v>0</v>
      </c>
      <c r="EDS10">
        <v>0</v>
      </c>
      <c r="EDT10">
        <v>0</v>
      </c>
      <c r="EDU10">
        <v>0</v>
      </c>
      <c r="EDV10">
        <v>0</v>
      </c>
      <c r="EDW10">
        <v>0</v>
      </c>
      <c r="EDX10">
        <v>0</v>
      </c>
      <c r="EDY10">
        <v>0</v>
      </c>
      <c r="EDZ10">
        <v>193.99</v>
      </c>
      <c r="EEA10">
        <v>0</v>
      </c>
      <c r="EEB10">
        <v>0</v>
      </c>
      <c r="EEC10">
        <v>0</v>
      </c>
      <c r="EED10">
        <v>0</v>
      </c>
      <c r="EEE10">
        <v>0</v>
      </c>
      <c r="EEF10">
        <v>0</v>
      </c>
      <c r="EEG10">
        <v>0</v>
      </c>
      <c r="EEH10">
        <v>0</v>
      </c>
      <c r="EEI10">
        <v>0</v>
      </c>
      <c r="EEJ10">
        <v>0</v>
      </c>
      <c r="EEK10">
        <v>0</v>
      </c>
      <c r="EEL10">
        <v>0</v>
      </c>
      <c r="EEM10">
        <v>0</v>
      </c>
      <c r="EEN10">
        <v>0</v>
      </c>
      <c r="EEO10">
        <v>0</v>
      </c>
      <c r="EEP10">
        <v>0</v>
      </c>
      <c r="EEQ10">
        <v>0</v>
      </c>
      <c r="EER10">
        <v>0</v>
      </c>
      <c r="EES10">
        <v>0</v>
      </c>
      <c r="EET10">
        <v>0</v>
      </c>
      <c r="EEU10">
        <v>0</v>
      </c>
      <c r="EEV10">
        <v>0</v>
      </c>
      <c r="EEW10">
        <v>0</v>
      </c>
      <c r="EEX10">
        <v>0</v>
      </c>
      <c r="EEY10">
        <v>0</v>
      </c>
      <c r="EEZ10">
        <v>0</v>
      </c>
      <c r="EFA10">
        <v>0</v>
      </c>
      <c r="EFB10">
        <v>0</v>
      </c>
      <c r="EFC10">
        <v>0</v>
      </c>
      <c r="EFD10">
        <v>0</v>
      </c>
      <c r="EFE10">
        <v>0</v>
      </c>
      <c r="EFF10">
        <v>0</v>
      </c>
      <c r="EFG10">
        <v>0</v>
      </c>
      <c r="EFH10">
        <v>0</v>
      </c>
      <c r="EFI10">
        <v>0</v>
      </c>
      <c r="EFJ10">
        <v>0</v>
      </c>
      <c r="EFK10">
        <v>0</v>
      </c>
      <c r="EFL10">
        <v>0</v>
      </c>
      <c r="EFM10">
        <v>0</v>
      </c>
      <c r="EFN10">
        <v>0</v>
      </c>
      <c r="EFO10">
        <v>232.99</v>
      </c>
      <c r="EFP10">
        <v>0</v>
      </c>
      <c r="EFQ10">
        <v>0</v>
      </c>
      <c r="EFR10">
        <v>0</v>
      </c>
      <c r="EFS10">
        <v>0</v>
      </c>
      <c r="EFT10">
        <v>0</v>
      </c>
      <c r="EFU10">
        <v>0</v>
      </c>
      <c r="EFV10">
        <v>0</v>
      </c>
      <c r="EFW10">
        <v>0</v>
      </c>
      <c r="EFX10">
        <v>0</v>
      </c>
      <c r="EFY10">
        <v>0</v>
      </c>
      <c r="EFZ10">
        <v>0</v>
      </c>
      <c r="EGA10">
        <v>0</v>
      </c>
      <c r="EGB10">
        <v>0</v>
      </c>
      <c r="EGC10">
        <v>0</v>
      </c>
      <c r="EGD10">
        <v>0</v>
      </c>
      <c r="EGE10">
        <v>0</v>
      </c>
      <c r="EGF10">
        <v>0</v>
      </c>
      <c r="EGG10">
        <v>0</v>
      </c>
      <c r="EGH10">
        <v>0</v>
      </c>
      <c r="EGI10">
        <v>0</v>
      </c>
      <c r="EGJ10">
        <v>0</v>
      </c>
      <c r="EGK10">
        <v>0</v>
      </c>
      <c r="EGL10">
        <v>0</v>
      </c>
      <c r="EGM10">
        <v>0</v>
      </c>
      <c r="EGN10">
        <v>36</v>
      </c>
      <c r="EGO10">
        <v>0</v>
      </c>
      <c r="EGP10">
        <v>0</v>
      </c>
      <c r="EGQ10">
        <v>0</v>
      </c>
      <c r="EGR10">
        <v>0</v>
      </c>
      <c r="EGS10">
        <v>22</v>
      </c>
      <c r="EGT10">
        <v>0</v>
      </c>
      <c r="EGU10">
        <v>52</v>
      </c>
      <c r="EGV10">
        <v>0</v>
      </c>
      <c r="EGW10">
        <v>0</v>
      </c>
      <c r="EGX10">
        <v>17</v>
      </c>
      <c r="EGY10">
        <v>0</v>
      </c>
      <c r="EGZ10">
        <v>0</v>
      </c>
      <c r="EHA10">
        <v>0</v>
      </c>
      <c r="EHB10">
        <v>0</v>
      </c>
      <c r="EHC10">
        <v>0</v>
      </c>
      <c r="EHD10">
        <v>0</v>
      </c>
      <c r="EHE10">
        <v>0</v>
      </c>
      <c r="EHF10">
        <v>0</v>
      </c>
      <c r="EHG10">
        <v>0</v>
      </c>
      <c r="EHH10">
        <v>0</v>
      </c>
      <c r="EHI10">
        <v>0</v>
      </c>
      <c r="EHJ10">
        <v>0</v>
      </c>
      <c r="EHK10">
        <v>0</v>
      </c>
      <c r="EHL10">
        <v>0</v>
      </c>
      <c r="EHM10">
        <v>0</v>
      </c>
      <c r="EHN10">
        <v>0</v>
      </c>
      <c r="EHO10">
        <v>0</v>
      </c>
      <c r="EHP10">
        <v>0</v>
      </c>
      <c r="EHQ10">
        <v>244</v>
      </c>
      <c r="EHR10">
        <v>0</v>
      </c>
      <c r="EHS10">
        <v>0</v>
      </c>
      <c r="EHT10">
        <v>0</v>
      </c>
      <c r="EHU10">
        <v>0</v>
      </c>
      <c r="EHV10">
        <v>0</v>
      </c>
      <c r="EHW10">
        <v>0</v>
      </c>
      <c r="EHX10">
        <v>0</v>
      </c>
      <c r="EHY10">
        <v>0</v>
      </c>
      <c r="EHZ10">
        <v>0</v>
      </c>
      <c r="EIA10">
        <v>0</v>
      </c>
      <c r="EIB10">
        <v>0</v>
      </c>
      <c r="EIC10">
        <v>0</v>
      </c>
      <c r="EID10">
        <v>0</v>
      </c>
      <c r="EIE10">
        <v>21</v>
      </c>
      <c r="EIF10">
        <v>0</v>
      </c>
      <c r="EIG10">
        <v>0</v>
      </c>
      <c r="EIH10">
        <v>0</v>
      </c>
      <c r="EII10">
        <v>0</v>
      </c>
      <c r="EIJ10">
        <v>0</v>
      </c>
      <c r="EIK10">
        <v>0</v>
      </c>
      <c r="EIL10">
        <v>0</v>
      </c>
      <c r="EIM10">
        <v>0</v>
      </c>
      <c r="EIN10">
        <v>0</v>
      </c>
      <c r="EIO10">
        <v>0</v>
      </c>
      <c r="EIP10">
        <v>0</v>
      </c>
      <c r="EIQ10">
        <v>0</v>
      </c>
      <c r="EIR10">
        <v>0</v>
      </c>
      <c r="EIS10">
        <v>0</v>
      </c>
      <c r="EIT10">
        <v>44</v>
      </c>
      <c r="EIU10">
        <v>0</v>
      </c>
      <c r="EIV10">
        <v>0</v>
      </c>
      <c r="EIW10">
        <v>0</v>
      </c>
      <c r="EIX10">
        <v>20.99</v>
      </c>
      <c r="EIY10">
        <v>0</v>
      </c>
      <c r="EIZ10">
        <v>0</v>
      </c>
      <c r="EJA10">
        <v>29</v>
      </c>
      <c r="EJB10">
        <v>0</v>
      </c>
      <c r="EJC10">
        <v>0</v>
      </c>
      <c r="EJD10">
        <v>0</v>
      </c>
      <c r="EJE10">
        <v>0</v>
      </c>
      <c r="EJF10">
        <v>0</v>
      </c>
      <c r="EJG10">
        <v>0</v>
      </c>
      <c r="EJH10">
        <v>0</v>
      </c>
      <c r="EJI10">
        <v>0</v>
      </c>
      <c r="EJJ10">
        <v>0</v>
      </c>
      <c r="EJK10">
        <v>0</v>
      </c>
      <c r="EJL10">
        <v>0</v>
      </c>
      <c r="EJM10">
        <v>0</v>
      </c>
      <c r="EJN10">
        <v>0</v>
      </c>
      <c r="EJO10">
        <v>0</v>
      </c>
      <c r="EJP10">
        <v>0</v>
      </c>
      <c r="EJQ10">
        <v>0</v>
      </c>
      <c r="EJR10">
        <v>0</v>
      </c>
      <c r="EJS10">
        <v>0</v>
      </c>
      <c r="EJT10">
        <v>0</v>
      </c>
      <c r="EJU10">
        <v>0</v>
      </c>
      <c r="EJV10">
        <v>0</v>
      </c>
      <c r="EJW10">
        <v>0</v>
      </c>
      <c r="EJX10">
        <v>268</v>
      </c>
      <c r="EJY10">
        <v>0</v>
      </c>
      <c r="EJZ10">
        <v>0</v>
      </c>
      <c r="EKA10">
        <v>0</v>
      </c>
      <c r="EKB10">
        <v>0</v>
      </c>
      <c r="EKC10">
        <v>0</v>
      </c>
      <c r="EKD10">
        <v>0</v>
      </c>
      <c r="EKE10">
        <v>0</v>
      </c>
      <c r="EKF10">
        <v>0</v>
      </c>
      <c r="EKG10">
        <v>0</v>
      </c>
      <c r="EKH10">
        <v>0</v>
      </c>
      <c r="EKI10">
        <v>0</v>
      </c>
      <c r="EKJ10">
        <v>0</v>
      </c>
      <c r="EKK10">
        <v>0</v>
      </c>
      <c r="EKL10">
        <v>0</v>
      </c>
      <c r="EKM10">
        <v>0</v>
      </c>
      <c r="EKN10">
        <v>0</v>
      </c>
      <c r="EKO10">
        <v>0</v>
      </c>
      <c r="EKP10">
        <v>0</v>
      </c>
      <c r="EKQ10">
        <v>0</v>
      </c>
      <c r="EKR10">
        <v>0</v>
      </c>
      <c r="EKS10">
        <v>0</v>
      </c>
      <c r="EKT10">
        <v>0</v>
      </c>
      <c r="EKU10">
        <v>0</v>
      </c>
      <c r="EKV10">
        <v>0</v>
      </c>
      <c r="EKW10">
        <v>0</v>
      </c>
      <c r="EKX10">
        <v>0</v>
      </c>
      <c r="EKY10">
        <v>0</v>
      </c>
      <c r="EKZ10">
        <v>0</v>
      </c>
      <c r="ELA10">
        <v>0</v>
      </c>
      <c r="ELB10">
        <v>0</v>
      </c>
      <c r="ELC10">
        <v>0</v>
      </c>
      <c r="ELD10">
        <v>0</v>
      </c>
      <c r="ELE10">
        <v>0</v>
      </c>
      <c r="ELF10">
        <v>0</v>
      </c>
      <c r="ELG10">
        <v>0</v>
      </c>
      <c r="ELH10">
        <v>0</v>
      </c>
      <c r="ELI10">
        <v>0</v>
      </c>
      <c r="ELJ10">
        <v>0</v>
      </c>
      <c r="ELK10">
        <v>0</v>
      </c>
      <c r="ELL10">
        <v>0</v>
      </c>
      <c r="ELM10">
        <v>0</v>
      </c>
      <c r="ELN10">
        <v>0</v>
      </c>
      <c r="ELO10">
        <v>0</v>
      </c>
      <c r="ELP10">
        <v>0</v>
      </c>
      <c r="ELQ10">
        <v>0</v>
      </c>
      <c r="ELR10">
        <v>0</v>
      </c>
      <c r="ELS10">
        <v>0</v>
      </c>
      <c r="ELT10">
        <v>0</v>
      </c>
      <c r="ELU10">
        <v>0</v>
      </c>
      <c r="ELV10">
        <v>167</v>
      </c>
      <c r="ELW10">
        <v>0</v>
      </c>
      <c r="ELX10">
        <v>0</v>
      </c>
      <c r="ELY10">
        <v>0</v>
      </c>
      <c r="ELZ10">
        <v>0</v>
      </c>
      <c r="EMA10">
        <v>0</v>
      </c>
      <c r="EMB10">
        <v>84</v>
      </c>
      <c r="EMC10">
        <v>0</v>
      </c>
      <c r="EMD10">
        <v>0</v>
      </c>
      <c r="EME10">
        <v>0</v>
      </c>
      <c r="EMF10">
        <v>0</v>
      </c>
      <c r="EMG10">
        <v>0</v>
      </c>
      <c r="EMH10">
        <v>0</v>
      </c>
      <c r="EMI10">
        <v>0</v>
      </c>
      <c r="EMJ10">
        <v>0</v>
      </c>
      <c r="EMK10">
        <v>0</v>
      </c>
      <c r="EML10">
        <v>0</v>
      </c>
      <c r="EMM10">
        <v>0</v>
      </c>
      <c r="EMN10">
        <v>0</v>
      </c>
      <c r="EMO10">
        <v>0</v>
      </c>
      <c r="EMP10">
        <v>0</v>
      </c>
      <c r="EMQ10">
        <v>0</v>
      </c>
      <c r="EMR10">
        <v>0</v>
      </c>
      <c r="EMS10">
        <v>0</v>
      </c>
      <c r="EMT10">
        <v>0</v>
      </c>
      <c r="EMU10">
        <v>0</v>
      </c>
      <c r="EMV10">
        <v>0</v>
      </c>
      <c r="EMW10">
        <v>0</v>
      </c>
      <c r="EMX10">
        <v>0</v>
      </c>
      <c r="EMY10">
        <v>0</v>
      </c>
      <c r="EMZ10">
        <v>0</v>
      </c>
      <c r="ENA10">
        <v>0</v>
      </c>
      <c r="ENB10">
        <v>0</v>
      </c>
      <c r="ENC10">
        <v>0</v>
      </c>
      <c r="END10">
        <v>0</v>
      </c>
      <c r="ENE10">
        <v>0</v>
      </c>
      <c r="ENF10">
        <v>0</v>
      </c>
      <c r="ENG10">
        <v>0</v>
      </c>
      <c r="ENH10">
        <v>0</v>
      </c>
      <c r="ENI10">
        <v>0</v>
      </c>
      <c r="ENJ10">
        <v>0</v>
      </c>
      <c r="ENK10">
        <v>0</v>
      </c>
      <c r="ENL10">
        <v>0</v>
      </c>
      <c r="ENM10">
        <v>0</v>
      </c>
      <c r="ENN10">
        <v>0</v>
      </c>
      <c r="ENO10">
        <v>0</v>
      </c>
      <c r="ENP10">
        <v>0</v>
      </c>
      <c r="ENQ10">
        <v>0</v>
      </c>
      <c r="ENR10">
        <v>0</v>
      </c>
      <c r="ENS10">
        <v>0</v>
      </c>
      <c r="ENT10">
        <v>0</v>
      </c>
      <c r="ENU10">
        <v>0</v>
      </c>
      <c r="ENV10">
        <v>0</v>
      </c>
      <c r="ENW10">
        <v>0</v>
      </c>
      <c r="ENX10">
        <v>0</v>
      </c>
      <c r="ENY10">
        <v>0</v>
      </c>
      <c r="ENZ10">
        <v>0</v>
      </c>
      <c r="EOA10">
        <v>0</v>
      </c>
      <c r="EOB10">
        <v>0</v>
      </c>
      <c r="EOC10">
        <v>0</v>
      </c>
      <c r="EOD10">
        <v>0</v>
      </c>
      <c r="EOE10">
        <v>0</v>
      </c>
      <c r="EOF10">
        <v>0</v>
      </c>
      <c r="EOG10">
        <v>0</v>
      </c>
      <c r="EOH10">
        <v>0</v>
      </c>
      <c r="EOI10">
        <v>0</v>
      </c>
      <c r="EOJ10">
        <v>0</v>
      </c>
      <c r="EOK10">
        <v>0</v>
      </c>
      <c r="EOL10">
        <v>0</v>
      </c>
      <c r="EOM10">
        <v>0</v>
      </c>
      <c r="EON10">
        <v>0</v>
      </c>
      <c r="EOO10">
        <v>0</v>
      </c>
      <c r="EOP10">
        <v>0</v>
      </c>
      <c r="EOQ10">
        <v>0</v>
      </c>
      <c r="EOR10">
        <v>0</v>
      </c>
      <c r="EOS10">
        <v>0</v>
      </c>
      <c r="EOT10">
        <v>134.01</v>
      </c>
      <c r="EOU10">
        <v>0</v>
      </c>
      <c r="EOV10">
        <v>0</v>
      </c>
      <c r="EOW10">
        <v>72</v>
      </c>
      <c r="EOX10">
        <v>0</v>
      </c>
      <c r="EOY10">
        <v>0</v>
      </c>
      <c r="EOZ10">
        <v>0</v>
      </c>
      <c r="EPA10">
        <v>0</v>
      </c>
      <c r="EPB10">
        <v>0</v>
      </c>
      <c r="EPC10">
        <v>0</v>
      </c>
      <c r="EPD10">
        <v>0</v>
      </c>
      <c r="EPE10">
        <v>0</v>
      </c>
      <c r="EPF10">
        <v>0</v>
      </c>
      <c r="EPG10">
        <v>0</v>
      </c>
      <c r="EPH10">
        <v>0</v>
      </c>
      <c r="EPI10">
        <v>0</v>
      </c>
      <c r="EPJ10">
        <v>0</v>
      </c>
      <c r="EPK10">
        <v>0</v>
      </c>
      <c r="EPL10">
        <v>22</v>
      </c>
      <c r="EPM10">
        <v>0</v>
      </c>
      <c r="EPN10">
        <v>0</v>
      </c>
      <c r="EPO10">
        <v>0</v>
      </c>
      <c r="EPP10">
        <v>0</v>
      </c>
      <c r="EPQ10">
        <v>0</v>
      </c>
      <c r="EPR10">
        <v>116.02</v>
      </c>
      <c r="EPS10">
        <v>0</v>
      </c>
      <c r="EPT10">
        <v>0</v>
      </c>
      <c r="EPU10">
        <v>0</v>
      </c>
      <c r="EPV10">
        <v>0</v>
      </c>
      <c r="EPW10">
        <v>0</v>
      </c>
      <c r="EPX10">
        <v>0</v>
      </c>
      <c r="EPY10">
        <v>0</v>
      </c>
      <c r="EPZ10">
        <v>0</v>
      </c>
      <c r="EQA10">
        <v>0</v>
      </c>
      <c r="EQB10">
        <v>0</v>
      </c>
      <c r="EQC10">
        <v>0</v>
      </c>
      <c r="EQD10">
        <v>0</v>
      </c>
      <c r="EQE10">
        <v>0</v>
      </c>
      <c r="EQF10">
        <v>0</v>
      </c>
      <c r="EQG10">
        <v>0</v>
      </c>
      <c r="EQH10">
        <v>0</v>
      </c>
      <c r="EQI10">
        <v>0</v>
      </c>
      <c r="EQJ10">
        <v>0</v>
      </c>
      <c r="EQK10">
        <v>0</v>
      </c>
      <c r="EQL10">
        <v>0</v>
      </c>
      <c r="EQM10">
        <v>0</v>
      </c>
      <c r="EQN10">
        <v>0</v>
      </c>
      <c r="EQO10">
        <v>183</v>
      </c>
      <c r="EQP10">
        <v>0</v>
      </c>
      <c r="EQQ10">
        <v>0</v>
      </c>
      <c r="EQR10">
        <v>0</v>
      </c>
      <c r="EQS10">
        <v>0</v>
      </c>
      <c r="EQT10">
        <v>0</v>
      </c>
      <c r="EQU10">
        <v>0</v>
      </c>
      <c r="EQV10">
        <v>0</v>
      </c>
      <c r="EQW10">
        <v>0</v>
      </c>
      <c r="EQX10">
        <v>0</v>
      </c>
      <c r="EQY10">
        <v>0</v>
      </c>
      <c r="EQZ10">
        <v>0</v>
      </c>
      <c r="ERA10">
        <v>0</v>
      </c>
      <c r="ERB10">
        <v>0</v>
      </c>
      <c r="ERC10">
        <v>0</v>
      </c>
      <c r="ERD10">
        <v>0</v>
      </c>
      <c r="ERE10">
        <v>0</v>
      </c>
      <c r="ERF10">
        <v>0</v>
      </c>
      <c r="ERG10">
        <v>159</v>
      </c>
      <c r="ERH10">
        <v>0</v>
      </c>
      <c r="ERI10">
        <v>0</v>
      </c>
      <c r="ERJ10">
        <v>0</v>
      </c>
      <c r="ERK10">
        <v>379.99</v>
      </c>
      <c r="ERL10">
        <v>0</v>
      </c>
      <c r="ERM10">
        <v>0</v>
      </c>
      <c r="ERN10">
        <v>0</v>
      </c>
      <c r="ERO10">
        <v>0</v>
      </c>
      <c r="ERP10">
        <v>0</v>
      </c>
      <c r="ERQ10">
        <v>0</v>
      </c>
      <c r="ERR10">
        <v>0</v>
      </c>
      <c r="ERS10">
        <v>0</v>
      </c>
      <c r="ERT10">
        <v>0</v>
      </c>
      <c r="ERU10">
        <v>0</v>
      </c>
      <c r="ERV10">
        <v>0</v>
      </c>
      <c r="ERW10">
        <v>0</v>
      </c>
      <c r="ERX10">
        <v>0</v>
      </c>
      <c r="ERY10">
        <v>0</v>
      </c>
      <c r="ERZ10">
        <v>0</v>
      </c>
      <c r="ESA10">
        <v>0</v>
      </c>
      <c r="ESB10">
        <v>0</v>
      </c>
      <c r="ESC10">
        <v>0</v>
      </c>
      <c r="ESD10">
        <v>0</v>
      </c>
      <c r="ESE10">
        <v>0</v>
      </c>
      <c r="ESF10">
        <v>0</v>
      </c>
      <c r="ESG10">
        <v>0</v>
      </c>
      <c r="ESH10">
        <v>0</v>
      </c>
      <c r="ESI10">
        <v>0</v>
      </c>
      <c r="ESJ10">
        <v>0</v>
      </c>
      <c r="ESK10">
        <v>0</v>
      </c>
      <c r="ESL10">
        <v>0</v>
      </c>
      <c r="ESM10">
        <v>424.97</v>
      </c>
      <c r="ESN10">
        <v>0</v>
      </c>
      <c r="ESO10">
        <v>0</v>
      </c>
      <c r="ESP10">
        <v>0</v>
      </c>
      <c r="ESQ10">
        <v>0</v>
      </c>
      <c r="ESR10">
        <v>0</v>
      </c>
      <c r="ESS10">
        <v>0</v>
      </c>
      <c r="EST10">
        <v>0</v>
      </c>
      <c r="ESU10">
        <v>0</v>
      </c>
      <c r="ESV10">
        <v>0</v>
      </c>
      <c r="ESW10">
        <v>0</v>
      </c>
      <c r="ESX10">
        <v>0</v>
      </c>
      <c r="ESY10">
        <v>0</v>
      </c>
      <c r="ESZ10">
        <v>0</v>
      </c>
      <c r="ETA10">
        <v>0</v>
      </c>
      <c r="ETB10">
        <v>0</v>
      </c>
      <c r="ETC10">
        <v>0</v>
      </c>
      <c r="ETD10">
        <v>0</v>
      </c>
      <c r="ETE10">
        <v>0</v>
      </c>
      <c r="ETF10">
        <v>0</v>
      </c>
      <c r="ETG10">
        <v>0</v>
      </c>
      <c r="ETH10">
        <v>4</v>
      </c>
      <c r="ETI10">
        <v>0</v>
      </c>
      <c r="ETJ10">
        <v>0</v>
      </c>
      <c r="ETK10">
        <v>0</v>
      </c>
      <c r="ETL10">
        <v>0</v>
      </c>
      <c r="ETM10">
        <v>0</v>
      </c>
      <c r="ETN10">
        <v>0</v>
      </c>
      <c r="ETO10">
        <v>0</v>
      </c>
      <c r="ETP10">
        <v>0</v>
      </c>
      <c r="ETQ10">
        <v>0</v>
      </c>
      <c r="ETR10">
        <v>0</v>
      </c>
      <c r="ETS10">
        <v>0</v>
      </c>
      <c r="ETT10">
        <v>0</v>
      </c>
      <c r="ETU10">
        <v>0</v>
      </c>
      <c r="ETV10">
        <v>0</v>
      </c>
      <c r="ETW10">
        <v>0</v>
      </c>
      <c r="ETX10">
        <v>0</v>
      </c>
      <c r="ETY10">
        <v>0</v>
      </c>
      <c r="ETZ10">
        <v>0</v>
      </c>
      <c r="EUA10">
        <v>0</v>
      </c>
      <c r="EUB10">
        <v>430.99</v>
      </c>
      <c r="EUC10">
        <v>0</v>
      </c>
      <c r="EUD10">
        <v>0</v>
      </c>
      <c r="EUE10">
        <v>0</v>
      </c>
      <c r="EUF10">
        <v>0</v>
      </c>
      <c r="EUG10">
        <v>435.92</v>
      </c>
      <c r="EUH10">
        <v>0</v>
      </c>
      <c r="EUI10">
        <v>0</v>
      </c>
      <c r="EUJ10">
        <v>0</v>
      </c>
      <c r="EUK10">
        <v>0</v>
      </c>
      <c r="EUL10">
        <v>0</v>
      </c>
      <c r="EUM10">
        <v>0</v>
      </c>
      <c r="EUN10">
        <v>0</v>
      </c>
      <c r="EUO10">
        <v>0</v>
      </c>
      <c r="EUP10">
        <v>0</v>
      </c>
      <c r="EUQ10">
        <v>0</v>
      </c>
      <c r="EUR10">
        <v>0</v>
      </c>
      <c r="EUS10">
        <v>115</v>
      </c>
      <c r="EUT10">
        <v>0</v>
      </c>
      <c r="EUU10">
        <v>0</v>
      </c>
      <c r="EUV10">
        <v>0</v>
      </c>
      <c r="EUW10">
        <v>35.99</v>
      </c>
      <c r="EUX10">
        <v>0</v>
      </c>
      <c r="EUY10">
        <v>0</v>
      </c>
      <c r="EUZ10">
        <v>0</v>
      </c>
      <c r="EVA10">
        <v>0</v>
      </c>
      <c r="EVB10">
        <v>0</v>
      </c>
      <c r="EVC10">
        <v>0</v>
      </c>
      <c r="EVD10">
        <v>0</v>
      </c>
      <c r="EVE10">
        <v>0</v>
      </c>
      <c r="EVF10">
        <v>0</v>
      </c>
      <c r="EVG10">
        <v>0</v>
      </c>
      <c r="EVH10">
        <v>0</v>
      </c>
      <c r="EVI10">
        <v>0</v>
      </c>
      <c r="EVJ10">
        <v>0</v>
      </c>
      <c r="EVK10">
        <v>0</v>
      </c>
      <c r="EVL10">
        <v>19</v>
      </c>
      <c r="EVM10">
        <v>0</v>
      </c>
      <c r="EVN10">
        <v>0</v>
      </c>
      <c r="EVO10">
        <v>0</v>
      </c>
      <c r="EVP10">
        <v>145.99</v>
      </c>
      <c r="EVQ10">
        <v>0</v>
      </c>
      <c r="EVR10">
        <v>0</v>
      </c>
      <c r="EVS10">
        <v>0</v>
      </c>
      <c r="EVT10">
        <v>0</v>
      </c>
      <c r="EVU10">
        <v>0</v>
      </c>
      <c r="EVV10">
        <v>0</v>
      </c>
      <c r="EVW10">
        <v>0</v>
      </c>
      <c r="EVX10">
        <v>0</v>
      </c>
      <c r="EVY10">
        <v>44</v>
      </c>
      <c r="EVZ10">
        <v>0</v>
      </c>
      <c r="EWA10">
        <v>0</v>
      </c>
      <c r="EWB10">
        <v>0</v>
      </c>
      <c r="EWC10">
        <v>0</v>
      </c>
      <c r="EWD10">
        <v>79.010000000000005</v>
      </c>
      <c r="EWE10">
        <v>0</v>
      </c>
      <c r="EWF10">
        <v>0</v>
      </c>
      <c r="EWG10">
        <v>0</v>
      </c>
      <c r="EWH10">
        <v>0</v>
      </c>
      <c r="EWI10">
        <v>0</v>
      </c>
      <c r="EWJ10">
        <v>0</v>
      </c>
      <c r="EWK10">
        <v>0</v>
      </c>
      <c r="EWL10">
        <v>0</v>
      </c>
      <c r="EWM10">
        <v>0</v>
      </c>
      <c r="EWN10">
        <v>0</v>
      </c>
      <c r="EWO10">
        <v>0</v>
      </c>
      <c r="EWP10">
        <v>0</v>
      </c>
      <c r="EWQ10">
        <v>0</v>
      </c>
      <c r="EWR10">
        <v>0</v>
      </c>
      <c r="EWS10">
        <v>0</v>
      </c>
      <c r="EWT10">
        <v>0</v>
      </c>
      <c r="EWU10">
        <v>0</v>
      </c>
      <c r="EWV10">
        <v>0</v>
      </c>
      <c r="EWW10">
        <v>493.98</v>
      </c>
      <c r="EWX10">
        <v>0</v>
      </c>
      <c r="EWY10">
        <v>0</v>
      </c>
      <c r="EWZ10">
        <v>0</v>
      </c>
      <c r="EXA10">
        <v>0</v>
      </c>
      <c r="EXB10">
        <v>0</v>
      </c>
      <c r="EXC10">
        <v>0</v>
      </c>
      <c r="EXD10">
        <v>0</v>
      </c>
      <c r="EXE10">
        <v>0</v>
      </c>
      <c r="EXF10">
        <v>0</v>
      </c>
      <c r="EXG10">
        <v>0</v>
      </c>
      <c r="EXH10">
        <v>34</v>
      </c>
      <c r="EXI10">
        <v>0</v>
      </c>
      <c r="EXJ10">
        <v>0</v>
      </c>
      <c r="EXK10">
        <v>0</v>
      </c>
      <c r="EXL10">
        <v>0</v>
      </c>
      <c r="EXM10">
        <v>0</v>
      </c>
      <c r="EXN10">
        <v>0</v>
      </c>
      <c r="EXO10">
        <v>0</v>
      </c>
      <c r="EXP10">
        <v>508.99</v>
      </c>
      <c r="EXQ10">
        <v>0</v>
      </c>
      <c r="EXR10">
        <v>0</v>
      </c>
      <c r="EXS10">
        <v>0</v>
      </c>
      <c r="EXT10">
        <v>0</v>
      </c>
      <c r="EXU10">
        <v>0</v>
      </c>
      <c r="EXV10">
        <v>0</v>
      </c>
      <c r="EXW10">
        <v>25</v>
      </c>
      <c r="EXX10">
        <v>0</v>
      </c>
      <c r="EXY10">
        <v>0</v>
      </c>
      <c r="EXZ10">
        <v>0</v>
      </c>
      <c r="EYA10">
        <v>0</v>
      </c>
      <c r="EYB10">
        <v>0</v>
      </c>
      <c r="EYC10">
        <v>0</v>
      </c>
      <c r="EYD10">
        <v>0</v>
      </c>
      <c r="EYE10">
        <v>0</v>
      </c>
      <c r="EYF10">
        <v>0</v>
      </c>
      <c r="EYG10">
        <v>0</v>
      </c>
      <c r="EYH10">
        <v>0</v>
      </c>
      <c r="EYI10">
        <v>0</v>
      </c>
      <c r="EYJ10">
        <v>227.99</v>
      </c>
      <c r="EYK10">
        <v>0</v>
      </c>
      <c r="EYL10">
        <v>0</v>
      </c>
      <c r="EYM10">
        <v>0</v>
      </c>
      <c r="EYN10">
        <v>0</v>
      </c>
      <c r="EYO10">
        <v>0</v>
      </c>
      <c r="EYP10">
        <v>0</v>
      </c>
      <c r="EYQ10">
        <v>0</v>
      </c>
      <c r="EYR10">
        <v>18</v>
      </c>
      <c r="EYS10">
        <v>0</v>
      </c>
      <c r="EYT10">
        <v>0</v>
      </c>
      <c r="EYU10">
        <v>0</v>
      </c>
      <c r="EYV10">
        <v>0</v>
      </c>
      <c r="EYW10">
        <v>0</v>
      </c>
      <c r="EYX10">
        <v>0</v>
      </c>
      <c r="EYY10">
        <v>0</v>
      </c>
      <c r="EYZ10">
        <v>0</v>
      </c>
      <c r="EZA10">
        <v>0</v>
      </c>
      <c r="EZB10">
        <v>0</v>
      </c>
      <c r="EZC10">
        <v>0</v>
      </c>
      <c r="EZD10">
        <v>0</v>
      </c>
      <c r="EZE10">
        <v>0</v>
      </c>
      <c r="EZF10">
        <v>0</v>
      </c>
      <c r="EZG10">
        <v>0</v>
      </c>
      <c r="EZH10">
        <v>541.98</v>
      </c>
      <c r="EZI10">
        <v>0</v>
      </c>
      <c r="EZJ10">
        <v>0</v>
      </c>
      <c r="EZK10">
        <v>0</v>
      </c>
      <c r="EZL10">
        <v>0</v>
      </c>
      <c r="EZM10">
        <v>0</v>
      </c>
      <c r="EZN10">
        <v>0</v>
      </c>
      <c r="EZO10">
        <v>0</v>
      </c>
      <c r="EZP10">
        <v>0</v>
      </c>
      <c r="EZQ10">
        <v>0</v>
      </c>
      <c r="EZR10">
        <v>0</v>
      </c>
      <c r="EZS10">
        <v>0</v>
      </c>
      <c r="EZT10">
        <v>0</v>
      </c>
      <c r="EZU10">
        <v>0</v>
      </c>
      <c r="EZV10">
        <v>0</v>
      </c>
      <c r="EZW10">
        <v>27</v>
      </c>
      <c r="EZX10">
        <v>0</v>
      </c>
      <c r="EZY10">
        <v>0</v>
      </c>
      <c r="EZZ10">
        <v>0</v>
      </c>
      <c r="FAA10">
        <v>0</v>
      </c>
      <c r="FAB10">
        <v>0</v>
      </c>
      <c r="FAC10">
        <v>0</v>
      </c>
      <c r="FAD10">
        <v>0</v>
      </c>
      <c r="FAE10">
        <v>0</v>
      </c>
      <c r="FAF10">
        <v>0</v>
      </c>
      <c r="FAG10">
        <v>0</v>
      </c>
      <c r="FAH10">
        <v>428.97</v>
      </c>
      <c r="FAI10">
        <v>0</v>
      </c>
      <c r="FAJ10">
        <v>0</v>
      </c>
      <c r="FAK10">
        <v>0</v>
      </c>
      <c r="FAL10">
        <v>0</v>
      </c>
      <c r="FAM10">
        <v>0</v>
      </c>
      <c r="FAN10">
        <v>0</v>
      </c>
      <c r="FAO10">
        <v>0</v>
      </c>
      <c r="FAP10">
        <v>0</v>
      </c>
      <c r="FAQ10">
        <v>0</v>
      </c>
      <c r="FAR10">
        <v>0</v>
      </c>
      <c r="FAS10">
        <v>103</v>
      </c>
      <c r="FAT10">
        <v>0</v>
      </c>
      <c r="FAU10">
        <v>216</v>
      </c>
      <c r="FAV10">
        <v>0</v>
      </c>
      <c r="FAW10">
        <v>0</v>
      </c>
      <c r="FAX10">
        <v>0</v>
      </c>
      <c r="FAY10">
        <v>0</v>
      </c>
      <c r="FAZ10">
        <v>0</v>
      </c>
      <c r="FBA10">
        <v>0</v>
      </c>
      <c r="FBB10">
        <v>0</v>
      </c>
      <c r="FBC10">
        <v>0</v>
      </c>
      <c r="FBD10">
        <v>0</v>
      </c>
      <c r="FBE10">
        <v>0</v>
      </c>
      <c r="FBF10">
        <v>0</v>
      </c>
      <c r="FBG10">
        <v>0</v>
      </c>
      <c r="FBH10">
        <v>0</v>
      </c>
      <c r="FBI10">
        <v>0</v>
      </c>
      <c r="FBJ10">
        <v>0</v>
      </c>
      <c r="FBK10">
        <v>0</v>
      </c>
      <c r="FBL10">
        <v>0</v>
      </c>
      <c r="FBM10">
        <v>0</v>
      </c>
      <c r="FBN10">
        <v>0</v>
      </c>
      <c r="FBO10">
        <v>0</v>
      </c>
      <c r="FBP10">
        <v>0</v>
      </c>
      <c r="FBQ10">
        <v>0</v>
      </c>
      <c r="FBR10">
        <v>0</v>
      </c>
      <c r="FBS10">
        <v>0</v>
      </c>
      <c r="FBT10">
        <v>0</v>
      </c>
      <c r="FBU10">
        <v>0</v>
      </c>
      <c r="FBV10">
        <v>0</v>
      </c>
      <c r="FBW10">
        <v>0</v>
      </c>
      <c r="FBX10">
        <v>0</v>
      </c>
      <c r="FBY10">
        <v>0</v>
      </c>
      <c r="FBZ10">
        <v>0</v>
      </c>
      <c r="FCA10">
        <v>0</v>
      </c>
      <c r="FCB10">
        <v>0</v>
      </c>
      <c r="FCC10">
        <v>0</v>
      </c>
      <c r="FCD10">
        <v>0</v>
      </c>
      <c r="FCE10">
        <v>0</v>
      </c>
      <c r="FCF10">
        <v>0</v>
      </c>
      <c r="FCG10">
        <v>0</v>
      </c>
      <c r="FCH10">
        <v>0</v>
      </c>
      <c r="FCI10">
        <v>0</v>
      </c>
      <c r="FCJ10">
        <v>0</v>
      </c>
      <c r="FCK10">
        <v>0</v>
      </c>
      <c r="FCL10">
        <v>31</v>
      </c>
      <c r="FCM10">
        <v>0</v>
      </c>
      <c r="FCN10">
        <v>144.02000000000001</v>
      </c>
      <c r="FCO10">
        <v>67</v>
      </c>
      <c r="FCP10">
        <v>0</v>
      </c>
      <c r="FCQ10">
        <v>0</v>
      </c>
      <c r="FCR10">
        <v>0</v>
      </c>
      <c r="FCS10">
        <v>0</v>
      </c>
      <c r="FCT10">
        <v>0</v>
      </c>
      <c r="FCU10">
        <v>0</v>
      </c>
      <c r="FCV10">
        <v>0</v>
      </c>
      <c r="FCW10">
        <v>0</v>
      </c>
      <c r="FCX10">
        <v>0</v>
      </c>
      <c r="FCY10">
        <v>0</v>
      </c>
      <c r="FCZ10">
        <v>0</v>
      </c>
      <c r="FDA10">
        <v>0</v>
      </c>
      <c r="FDB10">
        <v>614.98</v>
      </c>
      <c r="FDC10">
        <v>0</v>
      </c>
      <c r="FDD10">
        <v>0</v>
      </c>
      <c r="FDE10">
        <v>0</v>
      </c>
      <c r="FDF10">
        <v>0</v>
      </c>
      <c r="FDG10">
        <v>0</v>
      </c>
      <c r="FDH10">
        <v>0</v>
      </c>
      <c r="FDI10">
        <v>0</v>
      </c>
      <c r="FDJ10">
        <v>38</v>
      </c>
      <c r="FDK10">
        <v>0</v>
      </c>
      <c r="FDL10">
        <v>0</v>
      </c>
      <c r="FDM10">
        <v>0</v>
      </c>
      <c r="FDN10">
        <v>0</v>
      </c>
      <c r="FDO10">
        <v>0</v>
      </c>
      <c r="FDP10">
        <v>0</v>
      </c>
      <c r="FDQ10">
        <v>0</v>
      </c>
      <c r="FDR10">
        <v>0</v>
      </c>
      <c r="FDS10">
        <v>0</v>
      </c>
      <c r="FDT10">
        <v>0</v>
      </c>
      <c r="FDU10">
        <v>0</v>
      </c>
      <c r="FDV10">
        <v>0</v>
      </c>
      <c r="FDW10">
        <v>0</v>
      </c>
      <c r="FDX10">
        <v>23</v>
      </c>
      <c r="FDY10">
        <v>0</v>
      </c>
      <c r="FDZ10">
        <v>0</v>
      </c>
      <c r="FEA10">
        <v>0</v>
      </c>
      <c r="FEB10">
        <v>0</v>
      </c>
      <c r="FEC10">
        <v>0</v>
      </c>
      <c r="FED10">
        <v>20</v>
      </c>
      <c r="FEE10">
        <v>0</v>
      </c>
      <c r="FEF10">
        <v>0</v>
      </c>
      <c r="FEG10">
        <v>481</v>
      </c>
      <c r="FEH10">
        <v>0</v>
      </c>
      <c r="FEI10">
        <v>64</v>
      </c>
      <c r="FEJ10">
        <v>4</v>
      </c>
      <c r="FEK10">
        <v>18.989999999999998</v>
      </c>
      <c r="FEL10">
        <v>0</v>
      </c>
      <c r="FEM10">
        <v>0</v>
      </c>
      <c r="FEN10">
        <v>0</v>
      </c>
      <c r="FEO10">
        <v>0</v>
      </c>
      <c r="FEP10">
        <v>0</v>
      </c>
      <c r="FEQ10">
        <v>0</v>
      </c>
      <c r="FER10">
        <v>0</v>
      </c>
      <c r="FES10">
        <v>0</v>
      </c>
      <c r="FET10">
        <v>0</v>
      </c>
      <c r="FEU10">
        <v>0</v>
      </c>
      <c r="FEV10">
        <v>0</v>
      </c>
      <c r="FEW10">
        <v>0</v>
      </c>
      <c r="FEX10">
        <v>0</v>
      </c>
      <c r="FEY10">
        <v>0</v>
      </c>
      <c r="FEZ10">
        <v>0</v>
      </c>
      <c r="FFA10">
        <v>696.96</v>
      </c>
      <c r="FFB10">
        <v>0</v>
      </c>
      <c r="FFC10">
        <v>0</v>
      </c>
      <c r="FFD10">
        <v>0</v>
      </c>
      <c r="FFE10">
        <v>0</v>
      </c>
      <c r="FFF10">
        <v>0</v>
      </c>
      <c r="FFG10">
        <v>0</v>
      </c>
      <c r="FFH10">
        <v>0</v>
      </c>
      <c r="FFI10">
        <v>0</v>
      </c>
      <c r="FFJ10">
        <v>0</v>
      </c>
      <c r="FFK10">
        <v>0</v>
      </c>
      <c r="FFL10">
        <v>0</v>
      </c>
      <c r="FFM10">
        <v>0</v>
      </c>
      <c r="FFN10">
        <v>73</v>
      </c>
      <c r="FFO10">
        <v>0</v>
      </c>
      <c r="FFP10">
        <v>0</v>
      </c>
      <c r="FFQ10">
        <v>546.98</v>
      </c>
      <c r="FFR10">
        <v>0</v>
      </c>
      <c r="FFS10">
        <v>11</v>
      </c>
      <c r="FFT10">
        <v>0</v>
      </c>
      <c r="FFU10">
        <v>0</v>
      </c>
      <c r="FFV10">
        <v>0</v>
      </c>
      <c r="FFW10">
        <v>0</v>
      </c>
      <c r="FFX10">
        <v>0</v>
      </c>
      <c r="FFY10">
        <v>0</v>
      </c>
      <c r="FFZ10">
        <v>0</v>
      </c>
      <c r="FGA10">
        <v>0</v>
      </c>
      <c r="FGB10">
        <v>0</v>
      </c>
      <c r="FGC10">
        <v>0</v>
      </c>
      <c r="FGD10">
        <v>0</v>
      </c>
      <c r="FGE10">
        <v>0</v>
      </c>
      <c r="FGF10">
        <v>0</v>
      </c>
      <c r="FGG10">
        <v>25</v>
      </c>
      <c r="FGH10">
        <v>117</v>
      </c>
      <c r="FGI10">
        <v>0</v>
      </c>
      <c r="FGJ10">
        <v>0</v>
      </c>
      <c r="FGK10">
        <v>0</v>
      </c>
      <c r="FGL10">
        <v>0</v>
      </c>
      <c r="FGM10">
        <v>0</v>
      </c>
      <c r="FGN10">
        <v>747.16</v>
      </c>
      <c r="FGO10">
        <v>493.98</v>
      </c>
      <c r="FGP10">
        <v>0</v>
      </c>
      <c r="FGQ10">
        <v>0</v>
      </c>
      <c r="FGR10">
        <v>0</v>
      </c>
      <c r="FGS10">
        <v>0</v>
      </c>
      <c r="FGT10">
        <v>41.01</v>
      </c>
      <c r="FGU10">
        <v>0</v>
      </c>
      <c r="FGV10">
        <v>0</v>
      </c>
      <c r="FGW10">
        <v>0</v>
      </c>
      <c r="FGX10">
        <v>611.91</v>
      </c>
      <c r="FGY10">
        <v>0</v>
      </c>
      <c r="FGZ10">
        <v>0</v>
      </c>
      <c r="FHA10">
        <v>0</v>
      </c>
      <c r="FHB10">
        <v>0</v>
      </c>
      <c r="FHC10">
        <v>0</v>
      </c>
      <c r="FHD10">
        <v>0</v>
      </c>
      <c r="FHE10">
        <v>0</v>
      </c>
      <c r="FHF10">
        <v>0</v>
      </c>
      <c r="FHG10">
        <v>0</v>
      </c>
      <c r="FHH10">
        <v>0</v>
      </c>
      <c r="FHI10">
        <v>39.020000000000003</v>
      </c>
      <c r="FHJ10">
        <v>59</v>
      </c>
      <c r="FHK10">
        <v>0</v>
      </c>
      <c r="FHL10">
        <v>0</v>
      </c>
      <c r="FHM10">
        <v>0</v>
      </c>
      <c r="FHN10">
        <v>0</v>
      </c>
      <c r="FHO10">
        <v>39</v>
      </c>
      <c r="FHP10">
        <v>0</v>
      </c>
      <c r="FHQ10">
        <v>0</v>
      </c>
      <c r="FHR10">
        <v>0</v>
      </c>
      <c r="FHS10">
        <v>0</v>
      </c>
      <c r="FHT10">
        <v>0</v>
      </c>
      <c r="FHU10">
        <v>0</v>
      </c>
      <c r="FHV10">
        <v>0</v>
      </c>
      <c r="FHW10">
        <v>0</v>
      </c>
      <c r="FHX10">
        <v>26</v>
      </c>
      <c r="FHY10">
        <v>0</v>
      </c>
      <c r="FHZ10">
        <v>0</v>
      </c>
      <c r="FIA10">
        <v>0</v>
      </c>
      <c r="FIB10">
        <v>0</v>
      </c>
      <c r="FIC10">
        <v>0</v>
      </c>
      <c r="FID10">
        <v>0</v>
      </c>
      <c r="FIE10">
        <v>0</v>
      </c>
      <c r="FIF10">
        <v>260.02</v>
      </c>
      <c r="FIG10">
        <v>0</v>
      </c>
      <c r="FIH10">
        <v>0</v>
      </c>
      <c r="FII10">
        <v>0</v>
      </c>
      <c r="FIJ10">
        <v>0</v>
      </c>
      <c r="FIK10">
        <v>0</v>
      </c>
      <c r="FIL10">
        <v>0</v>
      </c>
      <c r="FIM10">
        <v>0</v>
      </c>
      <c r="FIN10">
        <v>0</v>
      </c>
      <c r="FIO10">
        <v>0</v>
      </c>
      <c r="FIP10">
        <v>19</v>
      </c>
      <c r="FIQ10">
        <v>0</v>
      </c>
      <c r="FIR10">
        <v>809.98</v>
      </c>
      <c r="FIS10">
        <v>0</v>
      </c>
      <c r="FIT10">
        <v>34.99</v>
      </c>
      <c r="FIU10">
        <v>0</v>
      </c>
      <c r="FIV10">
        <v>0</v>
      </c>
      <c r="FIW10">
        <v>0</v>
      </c>
      <c r="FIX10">
        <v>0</v>
      </c>
      <c r="FIY10">
        <v>0</v>
      </c>
      <c r="FIZ10">
        <v>0</v>
      </c>
      <c r="FJA10">
        <v>0</v>
      </c>
      <c r="FJB10">
        <v>0</v>
      </c>
      <c r="FJC10">
        <v>0</v>
      </c>
      <c r="FJD10">
        <v>0</v>
      </c>
      <c r="FJE10">
        <v>0</v>
      </c>
      <c r="FJF10">
        <v>0</v>
      </c>
      <c r="FJG10">
        <v>0</v>
      </c>
      <c r="FJH10">
        <v>833.97</v>
      </c>
      <c r="FJI10">
        <v>0</v>
      </c>
      <c r="FJJ10">
        <v>0</v>
      </c>
      <c r="FJK10">
        <v>0</v>
      </c>
      <c r="FJL10">
        <v>0</v>
      </c>
      <c r="FJM10">
        <v>0</v>
      </c>
      <c r="FJN10">
        <v>295.99</v>
      </c>
      <c r="FJO10">
        <v>0</v>
      </c>
      <c r="FJP10">
        <v>0</v>
      </c>
      <c r="FJQ10">
        <v>0</v>
      </c>
      <c r="FJR10">
        <v>0</v>
      </c>
      <c r="FJS10">
        <v>0</v>
      </c>
      <c r="FJT10">
        <v>0</v>
      </c>
      <c r="FJU10">
        <v>42</v>
      </c>
      <c r="FJV10">
        <v>0</v>
      </c>
      <c r="FJW10">
        <v>538.95000000000005</v>
      </c>
      <c r="FJX10">
        <v>22</v>
      </c>
      <c r="FJY10">
        <v>0</v>
      </c>
      <c r="FJZ10">
        <v>0</v>
      </c>
      <c r="FKA10">
        <v>47.97</v>
      </c>
      <c r="FKB10">
        <v>0</v>
      </c>
      <c r="FKC10">
        <v>0</v>
      </c>
      <c r="FKD10">
        <v>0</v>
      </c>
      <c r="FKE10">
        <v>0</v>
      </c>
      <c r="FKF10">
        <v>0</v>
      </c>
      <c r="FKG10">
        <v>0</v>
      </c>
      <c r="FKH10">
        <v>0</v>
      </c>
      <c r="FKI10">
        <v>861.85</v>
      </c>
      <c r="FKJ10">
        <v>0</v>
      </c>
      <c r="FKK10">
        <v>0</v>
      </c>
      <c r="FKL10">
        <v>865.94</v>
      </c>
      <c r="FKM10">
        <v>0</v>
      </c>
      <c r="FKN10">
        <v>0</v>
      </c>
      <c r="FKO10">
        <v>0</v>
      </c>
      <c r="FKP10">
        <v>0</v>
      </c>
      <c r="FKQ10">
        <v>0</v>
      </c>
      <c r="FKR10">
        <v>0</v>
      </c>
      <c r="FKS10">
        <v>0</v>
      </c>
      <c r="FKT10">
        <v>0</v>
      </c>
      <c r="FKU10">
        <v>0</v>
      </c>
      <c r="FKV10">
        <v>0</v>
      </c>
      <c r="FKW10">
        <v>0</v>
      </c>
      <c r="FKX10">
        <v>0</v>
      </c>
      <c r="FKY10">
        <v>0</v>
      </c>
      <c r="FKZ10">
        <v>0</v>
      </c>
      <c r="FLA10">
        <v>0</v>
      </c>
      <c r="FLB10">
        <v>0</v>
      </c>
      <c r="FLC10">
        <v>0</v>
      </c>
      <c r="FLD10">
        <v>0</v>
      </c>
      <c r="FLE10">
        <v>0</v>
      </c>
      <c r="FLF10">
        <v>0</v>
      </c>
      <c r="FLG10">
        <v>0</v>
      </c>
      <c r="FLH10">
        <v>0</v>
      </c>
      <c r="FLI10">
        <v>0</v>
      </c>
      <c r="FLJ10">
        <v>0</v>
      </c>
      <c r="FLK10">
        <v>0</v>
      </c>
      <c r="FLL10">
        <v>0</v>
      </c>
      <c r="FLM10">
        <v>452.99</v>
      </c>
      <c r="FLN10">
        <v>0</v>
      </c>
      <c r="FLO10">
        <v>0</v>
      </c>
      <c r="FLP10">
        <v>0</v>
      </c>
      <c r="FLQ10">
        <v>0</v>
      </c>
      <c r="FLR10">
        <v>0</v>
      </c>
      <c r="FLS10">
        <v>0</v>
      </c>
      <c r="FLT10">
        <v>0</v>
      </c>
      <c r="FLU10">
        <v>0</v>
      </c>
      <c r="FLV10">
        <v>0</v>
      </c>
      <c r="FLW10">
        <v>0</v>
      </c>
      <c r="FLX10">
        <v>0</v>
      </c>
      <c r="FLY10">
        <v>0</v>
      </c>
      <c r="FLZ10">
        <v>0</v>
      </c>
      <c r="FMA10">
        <v>0</v>
      </c>
      <c r="FMB10">
        <v>0</v>
      </c>
      <c r="FMC10">
        <v>0</v>
      </c>
      <c r="FMD10">
        <v>0</v>
      </c>
      <c r="FME10">
        <v>0</v>
      </c>
      <c r="FMF10">
        <v>0</v>
      </c>
      <c r="FMG10">
        <v>0</v>
      </c>
      <c r="FMH10">
        <v>0</v>
      </c>
      <c r="FMI10">
        <v>0</v>
      </c>
      <c r="FMJ10">
        <v>0</v>
      </c>
      <c r="FMK10">
        <v>39</v>
      </c>
      <c r="FML10">
        <v>0</v>
      </c>
      <c r="FMM10">
        <v>0</v>
      </c>
      <c r="FMN10">
        <v>0</v>
      </c>
      <c r="FMO10">
        <v>0</v>
      </c>
      <c r="FMP10">
        <v>0</v>
      </c>
      <c r="FMQ10">
        <v>956.96</v>
      </c>
      <c r="FMR10">
        <v>0</v>
      </c>
      <c r="FMS10">
        <v>0</v>
      </c>
      <c r="FMT10">
        <v>0</v>
      </c>
      <c r="FMU10">
        <v>0</v>
      </c>
      <c r="FMV10">
        <v>0</v>
      </c>
      <c r="FMW10">
        <v>35.99</v>
      </c>
      <c r="FMX10">
        <v>0</v>
      </c>
      <c r="FMY10">
        <v>0</v>
      </c>
      <c r="FMZ10">
        <v>0</v>
      </c>
      <c r="FNA10">
        <v>0</v>
      </c>
      <c r="FNB10">
        <v>0</v>
      </c>
      <c r="FNC10">
        <v>0</v>
      </c>
      <c r="FND10">
        <v>0</v>
      </c>
      <c r="FNE10">
        <v>0</v>
      </c>
      <c r="FNF10">
        <v>0</v>
      </c>
      <c r="FNG10">
        <v>0</v>
      </c>
      <c r="FNH10">
        <v>0</v>
      </c>
      <c r="FNI10">
        <v>0</v>
      </c>
      <c r="FNJ10">
        <v>0</v>
      </c>
      <c r="FNK10">
        <v>0</v>
      </c>
      <c r="FNL10">
        <v>0</v>
      </c>
      <c r="FNM10">
        <v>0</v>
      </c>
      <c r="FNN10">
        <v>0</v>
      </c>
      <c r="FNO10">
        <v>0</v>
      </c>
      <c r="FNP10">
        <v>0</v>
      </c>
      <c r="FNQ10">
        <v>0</v>
      </c>
      <c r="FNR10">
        <v>0</v>
      </c>
      <c r="FNS10">
        <v>0</v>
      </c>
      <c r="FNT10">
        <v>0</v>
      </c>
      <c r="FNU10">
        <v>0</v>
      </c>
      <c r="FNV10">
        <v>39</v>
      </c>
      <c r="FNW10">
        <v>0</v>
      </c>
      <c r="FNX10">
        <v>0</v>
      </c>
      <c r="FNY10">
        <v>0</v>
      </c>
      <c r="FNZ10">
        <v>0</v>
      </c>
      <c r="FOA10">
        <v>0</v>
      </c>
      <c r="FOB10">
        <v>0</v>
      </c>
      <c r="FOC10">
        <v>0</v>
      </c>
      <c r="FOD10">
        <v>0</v>
      </c>
      <c r="FOE10">
        <v>49</v>
      </c>
      <c r="FOF10">
        <v>0</v>
      </c>
      <c r="FOG10">
        <v>0</v>
      </c>
      <c r="FOH10">
        <v>0</v>
      </c>
      <c r="FOI10">
        <v>0</v>
      </c>
      <c r="FOJ10">
        <v>0</v>
      </c>
      <c r="FOK10">
        <v>0</v>
      </c>
      <c r="FOL10">
        <v>0</v>
      </c>
      <c r="FOM10">
        <v>815.91</v>
      </c>
      <c r="FON10">
        <v>0</v>
      </c>
      <c r="FOO10">
        <v>0</v>
      </c>
      <c r="FOP10">
        <v>0</v>
      </c>
      <c r="FOQ10">
        <v>0</v>
      </c>
      <c r="FOR10">
        <v>0</v>
      </c>
      <c r="FOS10">
        <v>0</v>
      </c>
      <c r="FOT10">
        <v>0</v>
      </c>
      <c r="FOU10">
        <v>0</v>
      </c>
      <c r="FOV10">
        <v>0</v>
      </c>
      <c r="FOW10">
        <v>0</v>
      </c>
      <c r="FOX10">
        <v>0</v>
      </c>
      <c r="FOY10">
        <v>0</v>
      </c>
      <c r="FOZ10">
        <v>0</v>
      </c>
      <c r="FPA10">
        <v>0</v>
      </c>
      <c r="FPB10">
        <v>24.01</v>
      </c>
      <c r="FPC10">
        <v>0</v>
      </c>
      <c r="FPD10">
        <v>0</v>
      </c>
      <c r="FPE10">
        <v>550.96</v>
      </c>
      <c r="FPF10">
        <v>0</v>
      </c>
      <c r="FPG10">
        <v>0</v>
      </c>
      <c r="FPH10">
        <v>0</v>
      </c>
      <c r="FPI10">
        <v>0</v>
      </c>
      <c r="FPJ10">
        <v>0</v>
      </c>
      <c r="FPK10">
        <v>0</v>
      </c>
      <c r="FPL10">
        <v>0</v>
      </c>
      <c r="FPM10">
        <v>0</v>
      </c>
      <c r="FPN10">
        <v>0</v>
      </c>
      <c r="FPO10">
        <v>0</v>
      </c>
      <c r="FPP10">
        <v>0</v>
      </c>
      <c r="FPQ10">
        <v>97</v>
      </c>
      <c r="FPR10">
        <v>0</v>
      </c>
      <c r="FPS10">
        <v>0</v>
      </c>
      <c r="FPT10">
        <v>839.2</v>
      </c>
      <c r="FPU10">
        <v>0</v>
      </c>
      <c r="FPV10">
        <v>0</v>
      </c>
      <c r="FPW10">
        <v>0</v>
      </c>
      <c r="FPX10">
        <v>0</v>
      </c>
      <c r="FPY10">
        <v>0</v>
      </c>
      <c r="FPZ10">
        <v>1115.96</v>
      </c>
      <c r="FQA10">
        <v>0</v>
      </c>
      <c r="FQB10">
        <v>0</v>
      </c>
      <c r="FQC10">
        <v>0</v>
      </c>
      <c r="FQD10">
        <v>0</v>
      </c>
      <c r="FQE10">
        <v>0</v>
      </c>
      <c r="FQF10">
        <v>80</v>
      </c>
      <c r="FQG10">
        <v>0</v>
      </c>
      <c r="FQH10">
        <v>0</v>
      </c>
      <c r="FQI10">
        <v>1141.96</v>
      </c>
      <c r="FQJ10">
        <v>0</v>
      </c>
      <c r="FQK10">
        <v>0</v>
      </c>
      <c r="FQL10">
        <v>1154.96</v>
      </c>
      <c r="FQM10">
        <v>0</v>
      </c>
      <c r="FQN10">
        <v>0</v>
      </c>
      <c r="FQO10">
        <v>0</v>
      </c>
      <c r="FQP10">
        <v>0</v>
      </c>
      <c r="FQQ10">
        <v>0</v>
      </c>
      <c r="FQR10">
        <v>0</v>
      </c>
      <c r="FQS10">
        <v>0</v>
      </c>
      <c r="FQT10">
        <v>0</v>
      </c>
      <c r="FQU10">
        <v>0</v>
      </c>
      <c r="FQV10">
        <v>0</v>
      </c>
      <c r="FQW10">
        <v>0</v>
      </c>
      <c r="FQX10">
        <v>0</v>
      </c>
      <c r="FQY10">
        <v>0</v>
      </c>
      <c r="FQZ10">
        <v>76</v>
      </c>
      <c r="FRA10">
        <v>0</v>
      </c>
      <c r="FRB10">
        <v>0</v>
      </c>
      <c r="FRC10">
        <v>0</v>
      </c>
      <c r="FRD10">
        <v>0</v>
      </c>
      <c r="FRE10">
        <v>0</v>
      </c>
      <c r="FRF10">
        <v>0</v>
      </c>
      <c r="FRG10">
        <v>0</v>
      </c>
      <c r="FRH10">
        <v>26</v>
      </c>
      <c r="FRI10">
        <v>366.98</v>
      </c>
      <c r="FRJ10">
        <v>0</v>
      </c>
      <c r="FRK10">
        <v>0</v>
      </c>
      <c r="FRL10">
        <v>0</v>
      </c>
      <c r="FRM10">
        <v>0</v>
      </c>
      <c r="FRN10">
        <v>0</v>
      </c>
      <c r="FRO10">
        <v>0</v>
      </c>
      <c r="FRP10">
        <v>0</v>
      </c>
      <c r="FRQ10">
        <v>45</v>
      </c>
      <c r="FRR10">
        <v>417.95</v>
      </c>
      <c r="FRS10">
        <v>0</v>
      </c>
      <c r="FRT10">
        <v>0</v>
      </c>
      <c r="FRU10">
        <v>361.98</v>
      </c>
      <c r="FRV10">
        <v>0</v>
      </c>
      <c r="FRW10">
        <v>0</v>
      </c>
      <c r="FRX10">
        <v>0</v>
      </c>
      <c r="FRY10">
        <v>0</v>
      </c>
      <c r="FRZ10">
        <v>213.96</v>
      </c>
      <c r="FSA10">
        <v>0</v>
      </c>
      <c r="FSB10">
        <v>0</v>
      </c>
      <c r="FSC10">
        <v>0</v>
      </c>
      <c r="FSD10">
        <v>0</v>
      </c>
      <c r="FSE10">
        <v>0</v>
      </c>
      <c r="FSF10">
        <v>0</v>
      </c>
      <c r="FSG10">
        <v>0</v>
      </c>
      <c r="FSH10">
        <v>0</v>
      </c>
      <c r="FSI10">
        <v>0</v>
      </c>
      <c r="FSJ10">
        <v>250.98</v>
      </c>
      <c r="FSK10">
        <v>0</v>
      </c>
      <c r="FSL10">
        <v>0</v>
      </c>
      <c r="FSM10">
        <v>55</v>
      </c>
      <c r="FSN10">
        <v>0</v>
      </c>
      <c r="FSO10">
        <v>191.99</v>
      </c>
      <c r="FSP10">
        <v>0</v>
      </c>
      <c r="FSQ10">
        <v>0</v>
      </c>
      <c r="FSR10">
        <v>320.98</v>
      </c>
      <c r="FSS10">
        <v>0</v>
      </c>
      <c r="FST10">
        <v>0</v>
      </c>
      <c r="FSU10">
        <v>0</v>
      </c>
      <c r="FSV10">
        <v>0</v>
      </c>
      <c r="FSW10">
        <v>0</v>
      </c>
      <c r="FSX10">
        <v>0</v>
      </c>
      <c r="FSY10">
        <v>0</v>
      </c>
      <c r="FSZ10">
        <v>0</v>
      </c>
      <c r="FTA10">
        <v>0</v>
      </c>
      <c r="FTB10">
        <v>0</v>
      </c>
      <c r="FTC10">
        <v>0</v>
      </c>
      <c r="FTD10">
        <v>0</v>
      </c>
      <c r="FTE10">
        <v>0</v>
      </c>
      <c r="FTF10">
        <v>84</v>
      </c>
      <c r="FTG10">
        <v>247</v>
      </c>
      <c r="FTH10">
        <v>0</v>
      </c>
      <c r="FTI10">
        <v>0</v>
      </c>
      <c r="FTJ10">
        <v>0</v>
      </c>
      <c r="FTK10">
        <v>0</v>
      </c>
      <c r="FTL10">
        <v>0</v>
      </c>
      <c r="FTM10">
        <v>0</v>
      </c>
      <c r="FTN10">
        <v>0</v>
      </c>
      <c r="FTO10">
        <v>0</v>
      </c>
      <c r="FTP10">
        <v>0</v>
      </c>
      <c r="FTQ10">
        <v>0</v>
      </c>
      <c r="FTR10">
        <v>0</v>
      </c>
      <c r="FTS10">
        <v>0</v>
      </c>
      <c r="FTT10">
        <v>0</v>
      </c>
      <c r="FTU10">
        <v>0</v>
      </c>
      <c r="FTV10">
        <v>0</v>
      </c>
      <c r="FTW10">
        <v>0</v>
      </c>
      <c r="FTX10">
        <v>0</v>
      </c>
      <c r="FTY10">
        <v>11</v>
      </c>
      <c r="FTZ10">
        <v>0</v>
      </c>
      <c r="FUA10">
        <v>143.99</v>
      </c>
      <c r="FUB10">
        <v>0</v>
      </c>
      <c r="FUC10">
        <v>0</v>
      </c>
      <c r="FUD10">
        <v>0</v>
      </c>
      <c r="FUE10">
        <v>1421.94</v>
      </c>
      <c r="FUF10">
        <v>0</v>
      </c>
      <c r="FUG10">
        <v>136.99</v>
      </c>
      <c r="FUH10">
        <v>0</v>
      </c>
      <c r="FUI10">
        <v>0</v>
      </c>
      <c r="FUJ10">
        <v>0</v>
      </c>
      <c r="FUK10">
        <v>0</v>
      </c>
      <c r="FUL10">
        <v>0</v>
      </c>
      <c r="FUM10">
        <v>0</v>
      </c>
      <c r="FUN10">
        <v>0</v>
      </c>
      <c r="FUO10">
        <v>0</v>
      </c>
      <c r="FUP10">
        <v>0</v>
      </c>
      <c r="FUQ10">
        <v>0</v>
      </c>
      <c r="FUR10">
        <v>19</v>
      </c>
      <c r="FUS10">
        <v>0</v>
      </c>
      <c r="FUT10">
        <v>0</v>
      </c>
      <c r="FUU10">
        <v>0</v>
      </c>
      <c r="FUV10">
        <v>0</v>
      </c>
      <c r="FUW10">
        <v>0</v>
      </c>
      <c r="FUX10">
        <v>0</v>
      </c>
      <c r="FUY10">
        <v>0</v>
      </c>
      <c r="FUZ10">
        <v>1095.95</v>
      </c>
      <c r="FVA10">
        <v>0</v>
      </c>
      <c r="FVB10">
        <v>0</v>
      </c>
      <c r="FVC10">
        <v>224.99</v>
      </c>
      <c r="FVD10">
        <v>0</v>
      </c>
      <c r="FVE10">
        <v>0</v>
      </c>
      <c r="FVF10">
        <v>0</v>
      </c>
      <c r="FVG10">
        <v>0</v>
      </c>
      <c r="FVH10">
        <v>0</v>
      </c>
      <c r="FVI10">
        <v>0</v>
      </c>
      <c r="FVJ10">
        <v>0</v>
      </c>
      <c r="FVK10">
        <v>0</v>
      </c>
      <c r="FVL10">
        <v>0</v>
      </c>
      <c r="FVM10">
        <v>0</v>
      </c>
      <c r="FVN10">
        <v>0</v>
      </c>
      <c r="FVO10">
        <v>46.02</v>
      </c>
      <c r="FVP10">
        <v>0</v>
      </c>
      <c r="FVQ10">
        <v>0</v>
      </c>
      <c r="FVR10">
        <v>0</v>
      </c>
      <c r="FVS10">
        <v>0</v>
      </c>
      <c r="FVT10">
        <v>191</v>
      </c>
      <c r="FVU10">
        <v>0</v>
      </c>
      <c r="FVV10">
        <v>0</v>
      </c>
      <c r="FVW10">
        <v>0</v>
      </c>
      <c r="FVX10">
        <v>717.94</v>
      </c>
      <c r="FVY10">
        <v>0</v>
      </c>
      <c r="FVZ10">
        <v>0</v>
      </c>
      <c r="FWB10">
        <v>0</v>
      </c>
      <c r="FWC10">
        <v>0</v>
      </c>
      <c r="FWD10">
        <v>42</v>
      </c>
      <c r="FWE10">
        <v>0</v>
      </c>
      <c r="FWF10">
        <v>0</v>
      </c>
      <c r="FWG10">
        <v>0</v>
      </c>
      <c r="FWH10">
        <v>0</v>
      </c>
      <c r="FWI10">
        <v>1592.94</v>
      </c>
      <c r="FWJ10">
        <v>0</v>
      </c>
      <c r="FWK10">
        <v>0</v>
      </c>
      <c r="FWL10">
        <v>0</v>
      </c>
      <c r="FWM10">
        <v>86.98</v>
      </c>
      <c r="FWN10">
        <v>0</v>
      </c>
      <c r="FWO10">
        <v>0</v>
      </c>
      <c r="FWP10">
        <v>0</v>
      </c>
      <c r="FWQ10">
        <v>0</v>
      </c>
      <c r="FWR10">
        <v>0</v>
      </c>
      <c r="FWS10">
        <v>0</v>
      </c>
      <c r="FWT10">
        <v>0</v>
      </c>
      <c r="FWU10">
        <v>0</v>
      </c>
      <c r="FWV10">
        <v>144.99</v>
      </c>
      <c r="FWW10">
        <v>221.99</v>
      </c>
      <c r="FWX10">
        <v>0</v>
      </c>
      <c r="FWY10">
        <v>0</v>
      </c>
      <c r="FWZ10">
        <v>1667.95</v>
      </c>
      <c r="FXA10">
        <v>0</v>
      </c>
      <c r="FXB10">
        <v>0</v>
      </c>
      <c r="FXC10">
        <v>27.02</v>
      </c>
      <c r="FXD10">
        <v>178.04</v>
      </c>
      <c r="FXE10">
        <v>0</v>
      </c>
      <c r="FXF10">
        <v>0</v>
      </c>
      <c r="FXG10">
        <v>0</v>
      </c>
      <c r="FXH10">
        <v>50</v>
      </c>
      <c r="FXI10">
        <v>1689.93</v>
      </c>
      <c r="FXJ10">
        <v>0</v>
      </c>
      <c r="FXK10">
        <v>70.989999999999995</v>
      </c>
      <c r="FXL10">
        <v>0</v>
      </c>
      <c r="FXM10">
        <v>0</v>
      </c>
      <c r="FXN10">
        <v>0</v>
      </c>
      <c r="FXO10">
        <v>0</v>
      </c>
      <c r="FXP10">
        <v>0</v>
      </c>
      <c r="FXQ10">
        <v>0</v>
      </c>
      <c r="FXR10">
        <v>0</v>
      </c>
      <c r="FXS10">
        <v>0</v>
      </c>
      <c r="FXT10">
        <v>0</v>
      </c>
      <c r="FXU10">
        <v>0</v>
      </c>
      <c r="FXV10">
        <v>0</v>
      </c>
      <c r="FXW10">
        <v>0</v>
      </c>
      <c r="FXX10">
        <v>0</v>
      </c>
      <c r="FXY10">
        <v>1043.96</v>
      </c>
      <c r="FXZ10">
        <v>0</v>
      </c>
      <c r="FYA10">
        <v>0</v>
      </c>
      <c r="FYB10">
        <v>0</v>
      </c>
      <c r="FYC10">
        <v>1007.96</v>
      </c>
      <c r="FYD10">
        <v>0</v>
      </c>
      <c r="FYE10">
        <v>0</v>
      </c>
      <c r="FYF10">
        <v>0</v>
      </c>
      <c r="FYG10">
        <v>0</v>
      </c>
      <c r="FYH10">
        <v>263</v>
      </c>
      <c r="FYI10">
        <v>0</v>
      </c>
      <c r="FYJ10">
        <v>0</v>
      </c>
      <c r="FYK10">
        <v>0</v>
      </c>
      <c r="FYL10">
        <v>0</v>
      </c>
      <c r="FYM10">
        <v>0</v>
      </c>
      <c r="FYN10">
        <v>83.98</v>
      </c>
      <c r="FYO10">
        <v>0</v>
      </c>
      <c r="FYP10">
        <v>0</v>
      </c>
      <c r="FYQ10">
        <v>0</v>
      </c>
      <c r="FYR10">
        <v>0</v>
      </c>
      <c r="FYS10">
        <v>0</v>
      </c>
      <c r="FYT10">
        <v>0</v>
      </c>
      <c r="FYU10">
        <v>0</v>
      </c>
      <c r="FYV10">
        <v>0</v>
      </c>
      <c r="FYW10">
        <v>1848.92</v>
      </c>
      <c r="FYX10">
        <v>0</v>
      </c>
      <c r="FYY10">
        <v>49</v>
      </c>
      <c r="FYZ10">
        <v>0</v>
      </c>
      <c r="FZA10">
        <v>0</v>
      </c>
      <c r="FZB10">
        <v>0</v>
      </c>
      <c r="FZC10">
        <v>214.99</v>
      </c>
      <c r="FZD10">
        <v>0</v>
      </c>
      <c r="FZE10">
        <v>0</v>
      </c>
      <c r="FZF10">
        <v>0</v>
      </c>
      <c r="FZG10">
        <v>0</v>
      </c>
      <c r="FZH10">
        <v>0</v>
      </c>
      <c r="FZI10">
        <v>0</v>
      </c>
      <c r="FZJ10">
        <v>0</v>
      </c>
      <c r="FZK10">
        <v>223.99</v>
      </c>
      <c r="FZL10">
        <v>0</v>
      </c>
      <c r="FZM10">
        <v>0</v>
      </c>
      <c r="FZN10">
        <v>0</v>
      </c>
      <c r="FZO10">
        <v>0</v>
      </c>
      <c r="FZP10">
        <v>0</v>
      </c>
      <c r="FZQ10">
        <v>0</v>
      </c>
      <c r="FZR10">
        <v>0</v>
      </c>
      <c r="FZS10">
        <v>0</v>
      </c>
      <c r="FZT10">
        <v>0</v>
      </c>
      <c r="FZU10">
        <v>0</v>
      </c>
      <c r="FZV10">
        <v>0</v>
      </c>
      <c r="FZW10">
        <v>0</v>
      </c>
      <c r="FZX10">
        <v>0</v>
      </c>
      <c r="FZY10">
        <v>0</v>
      </c>
      <c r="FZZ10">
        <v>0</v>
      </c>
      <c r="GAA10">
        <v>0</v>
      </c>
      <c r="GAB10">
        <v>0</v>
      </c>
      <c r="GAC10">
        <v>0</v>
      </c>
      <c r="GAD10">
        <v>0</v>
      </c>
      <c r="GAE10">
        <v>0</v>
      </c>
      <c r="GAF10">
        <v>0</v>
      </c>
      <c r="GAG10">
        <v>0</v>
      </c>
      <c r="GAH10">
        <v>0</v>
      </c>
      <c r="GAI10">
        <v>341.99</v>
      </c>
      <c r="GAJ10">
        <v>1991.9</v>
      </c>
      <c r="GAK10">
        <v>0</v>
      </c>
      <c r="GAL10">
        <v>38</v>
      </c>
      <c r="GAM10">
        <v>0</v>
      </c>
      <c r="GAN10">
        <v>0</v>
      </c>
      <c r="GAO10">
        <v>0</v>
      </c>
      <c r="GAP10">
        <v>0</v>
      </c>
      <c r="GAQ10">
        <v>0</v>
      </c>
      <c r="GAR10">
        <v>2023.03</v>
      </c>
      <c r="GAS10">
        <v>0</v>
      </c>
      <c r="GAT10">
        <v>0</v>
      </c>
      <c r="GAU10">
        <v>0</v>
      </c>
      <c r="GAV10">
        <v>0</v>
      </c>
      <c r="GAW10">
        <v>0</v>
      </c>
      <c r="GAX10">
        <v>220.98</v>
      </c>
      <c r="GAY10">
        <v>1759.96</v>
      </c>
      <c r="GAZ10">
        <v>0</v>
      </c>
      <c r="GBA10">
        <v>0</v>
      </c>
      <c r="GBB10">
        <v>0</v>
      </c>
      <c r="GBC10">
        <v>0</v>
      </c>
      <c r="GBD10">
        <v>0</v>
      </c>
      <c r="GBE10">
        <v>0</v>
      </c>
      <c r="GBF10">
        <v>0</v>
      </c>
      <c r="GBG10">
        <v>0</v>
      </c>
      <c r="GBH10">
        <v>2081.91</v>
      </c>
      <c r="GBI10">
        <v>1749.02</v>
      </c>
      <c r="GBJ10">
        <v>0</v>
      </c>
      <c r="GBK10">
        <v>0</v>
      </c>
      <c r="GBL10">
        <v>0</v>
      </c>
      <c r="GBM10">
        <v>0</v>
      </c>
      <c r="GBN10">
        <v>0</v>
      </c>
      <c r="GBO10">
        <v>40</v>
      </c>
      <c r="GBP10">
        <v>0</v>
      </c>
      <c r="GBQ10">
        <v>0</v>
      </c>
      <c r="GBR10">
        <v>0</v>
      </c>
      <c r="GBS10">
        <v>0</v>
      </c>
      <c r="GBT10">
        <v>0</v>
      </c>
      <c r="GBU10">
        <v>0</v>
      </c>
      <c r="GBV10">
        <v>0</v>
      </c>
      <c r="GBW10">
        <v>0</v>
      </c>
      <c r="GBX10">
        <v>0</v>
      </c>
      <c r="GBY10">
        <v>1086.95</v>
      </c>
      <c r="GBZ10">
        <v>0</v>
      </c>
      <c r="GCA10">
        <v>0</v>
      </c>
      <c r="GCB10">
        <v>0</v>
      </c>
      <c r="GCC10">
        <v>0</v>
      </c>
      <c r="GCD10">
        <v>0</v>
      </c>
      <c r="GCE10">
        <v>2194.89</v>
      </c>
      <c r="GCF10">
        <v>0</v>
      </c>
      <c r="GCG10">
        <v>0</v>
      </c>
      <c r="GCH10">
        <v>0</v>
      </c>
      <c r="GCI10">
        <v>0</v>
      </c>
      <c r="GCJ10">
        <v>0</v>
      </c>
      <c r="GCK10">
        <v>0</v>
      </c>
      <c r="GCL10">
        <v>0</v>
      </c>
      <c r="GCM10">
        <v>0</v>
      </c>
      <c r="GCN10">
        <v>342.95</v>
      </c>
      <c r="GCO10">
        <v>0</v>
      </c>
      <c r="GCP10">
        <v>0</v>
      </c>
      <c r="GCQ10">
        <v>0</v>
      </c>
      <c r="GCR10">
        <v>0</v>
      </c>
      <c r="GCS10">
        <v>0</v>
      </c>
      <c r="GCT10">
        <v>0</v>
      </c>
      <c r="GCU10">
        <v>1614.94</v>
      </c>
      <c r="GCV10">
        <v>0</v>
      </c>
      <c r="GCW10">
        <v>2283.9</v>
      </c>
      <c r="GCX10">
        <v>0</v>
      </c>
      <c r="GCY10">
        <v>0</v>
      </c>
      <c r="GCZ10">
        <v>2295.0100000000002</v>
      </c>
      <c r="GDA10">
        <v>0</v>
      </c>
      <c r="GDB10">
        <v>857.95</v>
      </c>
      <c r="GDC10">
        <v>14</v>
      </c>
      <c r="GDD10">
        <v>0</v>
      </c>
      <c r="GDE10">
        <v>0</v>
      </c>
      <c r="GDF10">
        <v>60.03</v>
      </c>
      <c r="GDG10">
        <v>0</v>
      </c>
      <c r="GDH10">
        <v>0</v>
      </c>
      <c r="GDI10">
        <v>0</v>
      </c>
      <c r="GDJ10">
        <v>0</v>
      </c>
      <c r="GDK10">
        <v>0</v>
      </c>
      <c r="GDL10">
        <v>0</v>
      </c>
      <c r="GDM10">
        <v>8</v>
      </c>
      <c r="GDN10">
        <v>0</v>
      </c>
      <c r="GDO10">
        <v>0</v>
      </c>
      <c r="GDP10">
        <v>0</v>
      </c>
      <c r="GDQ10">
        <v>55</v>
      </c>
      <c r="GDR10">
        <v>0</v>
      </c>
      <c r="GDS10">
        <v>0</v>
      </c>
      <c r="GDT10">
        <v>0</v>
      </c>
      <c r="GDU10">
        <v>0</v>
      </c>
      <c r="GDV10">
        <v>0</v>
      </c>
      <c r="GDW10">
        <v>0</v>
      </c>
      <c r="GDX10">
        <v>1389.3</v>
      </c>
      <c r="GDY10">
        <v>2398.86</v>
      </c>
      <c r="GDZ10">
        <v>0</v>
      </c>
      <c r="GEA10">
        <v>0</v>
      </c>
      <c r="GEB10">
        <v>12</v>
      </c>
      <c r="GEC10">
        <v>0</v>
      </c>
      <c r="GED10">
        <v>0</v>
      </c>
      <c r="GEE10">
        <v>27</v>
      </c>
      <c r="GEF10">
        <v>0</v>
      </c>
      <c r="GEG10">
        <v>0</v>
      </c>
      <c r="GEH10">
        <v>0</v>
      </c>
      <c r="GEI10">
        <v>83</v>
      </c>
      <c r="GEJ10">
        <v>0</v>
      </c>
      <c r="GEK10">
        <v>0</v>
      </c>
      <c r="GEL10">
        <v>0</v>
      </c>
      <c r="GEM10">
        <v>0</v>
      </c>
      <c r="GEN10">
        <v>104.99</v>
      </c>
      <c r="GEO10">
        <v>7</v>
      </c>
      <c r="GEP10">
        <v>0</v>
      </c>
      <c r="GEQ10">
        <v>0</v>
      </c>
      <c r="GER10">
        <v>0</v>
      </c>
      <c r="GES10">
        <v>0</v>
      </c>
      <c r="GET10">
        <v>0</v>
      </c>
      <c r="GEU10">
        <v>0</v>
      </c>
      <c r="GEV10">
        <v>0</v>
      </c>
      <c r="GEW10">
        <v>316.99</v>
      </c>
      <c r="GEX10">
        <v>0</v>
      </c>
      <c r="GEY10">
        <v>0</v>
      </c>
      <c r="GEZ10">
        <v>226.99</v>
      </c>
      <c r="GFA10">
        <v>0</v>
      </c>
      <c r="GFB10">
        <v>0</v>
      </c>
      <c r="GFC10">
        <v>0</v>
      </c>
      <c r="GFD10">
        <v>986.99</v>
      </c>
      <c r="GFE10">
        <v>2652.9</v>
      </c>
      <c r="GFF10">
        <v>0</v>
      </c>
      <c r="GFG10">
        <v>0</v>
      </c>
      <c r="GFH10">
        <v>0</v>
      </c>
      <c r="GFI10">
        <v>2506.88</v>
      </c>
      <c r="GFJ10">
        <v>426</v>
      </c>
      <c r="GFK10">
        <v>0</v>
      </c>
      <c r="GFL10">
        <v>0</v>
      </c>
      <c r="GFM10">
        <v>0</v>
      </c>
      <c r="GFN10">
        <v>0</v>
      </c>
      <c r="GFO10">
        <v>0</v>
      </c>
      <c r="GFP10">
        <v>0</v>
      </c>
      <c r="GFQ10">
        <v>0</v>
      </c>
      <c r="GFR10">
        <v>0</v>
      </c>
      <c r="GFS10">
        <v>0</v>
      </c>
      <c r="GFT10">
        <v>0</v>
      </c>
      <c r="GFU10">
        <v>669.94</v>
      </c>
      <c r="GFV10">
        <v>0</v>
      </c>
      <c r="GFW10">
        <v>0</v>
      </c>
      <c r="GFX10">
        <v>0</v>
      </c>
      <c r="GFY10">
        <v>0</v>
      </c>
      <c r="GFZ10">
        <v>0</v>
      </c>
      <c r="GGA10">
        <v>0</v>
      </c>
      <c r="GGB10">
        <v>988.84</v>
      </c>
      <c r="GGC10">
        <v>0</v>
      </c>
      <c r="GGD10">
        <v>0</v>
      </c>
      <c r="GGE10">
        <v>2905.89</v>
      </c>
      <c r="GGF10">
        <v>0</v>
      </c>
      <c r="GGG10">
        <v>0</v>
      </c>
      <c r="GGH10">
        <v>0</v>
      </c>
      <c r="GGI10">
        <v>0</v>
      </c>
      <c r="GGJ10">
        <v>0</v>
      </c>
      <c r="GGK10">
        <v>0</v>
      </c>
      <c r="GGL10">
        <v>0</v>
      </c>
      <c r="GGM10">
        <v>0</v>
      </c>
      <c r="GGN10">
        <v>292.95999999999998</v>
      </c>
      <c r="GGO10">
        <v>587.92999999999995</v>
      </c>
      <c r="GGP10">
        <v>0</v>
      </c>
      <c r="GGQ10">
        <v>0</v>
      </c>
      <c r="GGR10">
        <v>257.99</v>
      </c>
      <c r="GGS10">
        <v>0</v>
      </c>
      <c r="GGT10">
        <v>0</v>
      </c>
      <c r="GGU10">
        <v>0</v>
      </c>
      <c r="GGV10">
        <v>0</v>
      </c>
      <c r="GGW10">
        <v>0</v>
      </c>
      <c r="GGX10">
        <v>0</v>
      </c>
      <c r="GGY10">
        <v>0</v>
      </c>
      <c r="GGZ10">
        <v>0</v>
      </c>
      <c r="GHA10">
        <v>137.97999999999999</v>
      </c>
      <c r="GHB10">
        <v>0</v>
      </c>
      <c r="GHC10">
        <v>0</v>
      </c>
      <c r="GHD10">
        <v>3129.88</v>
      </c>
      <c r="GHE10">
        <v>60</v>
      </c>
      <c r="GHF10">
        <v>0</v>
      </c>
      <c r="GHG10">
        <v>15</v>
      </c>
      <c r="GHH10">
        <v>0</v>
      </c>
      <c r="GHI10">
        <v>0</v>
      </c>
      <c r="GHJ10">
        <v>0</v>
      </c>
      <c r="GHK10">
        <v>0</v>
      </c>
      <c r="GHL10">
        <v>0</v>
      </c>
      <c r="GHM10">
        <v>0</v>
      </c>
      <c r="GHN10">
        <v>0</v>
      </c>
      <c r="GHO10">
        <v>670.14</v>
      </c>
      <c r="GHP10">
        <v>0</v>
      </c>
      <c r="GHQ10">
        <v>0</v>
      </c>
      <c r="GHR10">
        <v>0</v>
      </c>
      <c r="GHS10">
        <v>0</v>
      </c>
      <c r="GHT10">
        <v>0</v>
      </c>
      <c r="GHU10">
        <v>0</v>
      </c>
      <c r="GHV10">
        <v>0</v>
      </c>
      <c r="GHW10">
        <v>0</v>
      </c>
      <c r="GHX10">
        <v>0</v>
      </c>
      <c r="GHY10">
        <v>0</v>
      </c>
      <c r="GHZ10">
        <v>0</v>
      </c>
      <c r="GIA10">
        <v>0</v>
      </c>
      <c r="GIB10">
        <v>0</v>
      </c>
      <c r="GIC10">
        <v>51</v>
      </c>
      <c r="GID10">
        <v>0</v>
      </c>
      <c r="GIE10">
        <v>0</v>
      </c>
      <c r="GIF10">
        <v>0</v>
      </c>
      <c r="GIG10">
        <v>0</v>
      </c>
      <c r="GIH10">
        <v>99.99</v>
      </c>
      <c r="GII10">
        <v>0</v>
      </c>
      <c r="GIJ10">
        <v>517</v>
      </c>
      <c r="GIK10">
        <v>5</v>
      </c>
      <c r="GIL10">
        <v>0</v>
      </c>
      <c r="GIM10">
        <v>315.95</v>
      </c>
      <c r="GIN10">
        <v>0</v>
      </c>
      <c r="GIO10">
        <v>1223.95</v>
      </c>
      <c r="GIP10">
        <v>0</v>
      </c>
      <c r="GIQ10">
        <v>559.98</v>
      </c>
      <c r="GIR10">
        <v>0</v>
      </c>
      <c r="GIS10">
        <v>0</v>
      </c>
      <c r="GIT10">
        <v>0</v>
      </c>
      <c r="GIU10">
        <v>0</v>
      </c>
      <c r="GIV10">
        <v>0</v>
      </c>
      <c r="GIW10">
        <v>0</v>
      </c>
      <c r="GIX10">
        <v>0</v>
      </c>
      <c r="GIY10">
        <v>92.98</v>
      </c>
      <c r="GIZ10">
        <v>0</v>
      </c>
      <c r="GJA10">
        <v>0</v>
      </c>
      <c r="GJB10">
        <v>0</v>
      </c>
      <c r="GJC10">
        <v>0</v>
      </c>
      <c r="GJD10">
        <v>0</v>
      </c>
      <c r="GJE10">
        <v>0</v>
      </c>
      <c r="GJF10">
        <v>0</v>
      </c>
      <c r="GJG10">
        <v>0</v>
      </c>
      <c r="GJH10">
        <v>0</v>
      </c>
      <c r="GJI10">
        <v>0</v>
      </c>
      <c r="GJJ10">
        <v>0</v>
      </c>
      <c r="GJK10">
        <v>0</v>
      </c>
      <c r="GJL10">
        <v>0</v>
      </c>
      <c r="GJM10">
        <v>0</v>
      </c>
      <c r="GJN10">
        <v>0</v>
      </c>
      <c r="GJO10">
        <v>0</v>
      </c>
      <c r="GJP10">
        <v>69</v>
      </c>
      <c r="GJQ10">
        <v>1320.76</v>
      </c>
      <c r="GJR10">
        <v>0</v>
      </c>
      <c r="GJS10">
        <v>2929.85</v>
      </c>
      <c r="GJT10">
        <v>0</v>
      </c>
      <c r="GJU10">
        <v>0</v>
      </c>
      <c r="GJV10">
        <v>0</v>
      </c>
      <c r="GJW10">
        <v>0</v>
      </c>
      <c r="GJX10">
        <v>274.99</v>
      </c>
      <c r="GJY10">
        <v>0</v>
      </c>
      <c r="GJZ10">
        <v>0</v>
      </c>
      <c r="GKA10">
        <v>0</v>
      </c>
      <c r="GKB10">
        <v>0</v>
      </c>
      <c r="GKC10">
        <v>0</v>
      </c>
      <c r="GKD10">
        <v>0</v>
      </c>
      <c r="GKE10">
        <v>0</v>
      </c>
      <c r="GKF10">
        <v>2083.88</v>
      </c>
      <c r="GKG10">
        <v>0</v>
      </c>
      <c r="GKH10">
        <v>1677.95</v>
      </c>
      <c r="GKI10">
        <v>0</v>
      </c>
      <c r="GKJ10">
        <v>0</v>
      </c>
      <c r="GKK10">
        <v>80.989999999999995</v>
      </c>
      <c r="GKL10">
        <v>0</v>
      </c>
      <c r="GKM10">
        <v>0</v>
      </c>
      <c r="GKN10">
        <v>0</v>
      </c>
      <c r="GKO10">
        <v>0</v>
      </c>
      <c r="GKP10">
        <v>16</v>
      </c>
      <c r="GKQ10">
        <v>0</v>
      </c>
      <c r="GKR10">
        <v>0</v>
      </c>
      <c r="GKS10">
        <v>0</v>
      </c>
      <c r="GKT10">
        <v>265.99</v>
      </c>
      <c r="GKU10">
        <v>0</v>
      </c>
      <c r="GKV10">
        <v>11</v>
      </c>
      <c r="GKW10">
        <v>0</v>
      </c>
      <c r="GKX10">
        <v>0</v>
      </c>
      <c r="GKY10">
        <v>2603.8200000000002</v>
      </c>
      <c r="GKZ10">
        <v>0</v>
      </c>
      <c r="GLA10">
        <v>34.01</v>
      </c>
      <c r="GLB10">
        <v>0</v>
      </c>
      <c r="GLC10">
        <v>31</v>
      </c>
      <c r="GLD10">
        <v>0</v>
      </c>
      <c r="GLE10">
        <v>0</v>
      </c>
      <c r="GLF10">
        <v>0</v>
      </c>
      <c r="GLG10">
        <v>526.99</v>
      </c>
      <c r="GLH10">
        <v>938.92</v>
      </c>
      <c r="GLI10">
        <v>0</v>
      </c>
      <c r="GLJ10">
        <v>0</v>
      </c>
      <c r="GLK10">
        <v>0</v>
      </c>
      <c r="GLL10">
        <v>0</v>
      </c>
      <c r="GLM10">
        <v>0</v>
      </c>
      <c r="GLN10">
        <v>0</v>
      </c>
      <c r="GLO10">
        <v>1427.88</v>
      </c>
      <c r="GLP10">
        <v>0</v>
      </c>
      <c r="GLQ10">
        <v>1407.94</v>
      </c>
      <c r="GLR10">
        <v>0</v>
      </c>
      <c r="GLS10">
        <v>0</v>
      </c>
      <c r="GLT10">
        <v>0</v>
      </c>
      <c r="GLU10">
        <v>0</v>
      </c>
      <c r="GLV10">
        <v>0</v>
      </c>
      <c r="GLW10">
        <v>1502.94</v>
      </c>
      <c r="GLX10">
        <v>0</v>
      </c>
      <c r="GLY10">
        <v>0</v>
      </c>
      <c r="GLZ10">
        <v>0</v>
      </c>
      <c r="GMA10">
        <v>1353.96</v>
      </c>
      <c r="GMB10">
        <v>0</v>
      </c>
      <c r="GMC10">
        <v>0</v>
      </c>
      <c r="GMD10">
        <v>0</v>
      </c>
      <c r="GME10">
        <v>0</v>
      </c>
      <c r="GMF10">
        <v>0</v>
      </c>
      <c r="GMG10">
        <v>0</v>
      </c>
      <c r="GMH10">
        <v>0</v>
      </c>
      <c r="GMI10">
        <v>0</v>
      </c>
      <c r="GMJ10">
        <v>0</v>
      </c>
      <c r="GMK10">
        <v>1636.78</v>
      </c>
      <c r="GML10">
        <v>0</v>
      </c>
      <c r="GMM10">
        <v>0</v>
      </c>
      <c r="GMN10">
        <v>0</v>
      </c>
      <c r="GMO10">
        <v>64</v>
      </c>
      <c r="GMP10">
        <v>0</v>
      </c>
      <c r="GMQ10">
        <v>0</v>
      </c>
      <c r="GMR10">
        <v>0</v>
      </c>
      <c r="GMS10">
        <v>0</v>
      </c>
      <c r="GMT10">
        <v>299.99</v>
      </c>
      <c r="GMU10">
        <v>0</v>
      </c>
      <c r="GMV10">
        <v>226.97</v>
      </c>
      <c r="GMW10">
        <v>0</v>
      </c>
      <c r="GMX10">
        <v>0</v>
      </c>
      <c r="GMY10">
        <v>0</v>
      </c>
      <c r="GMZ10">
        <v>0</v>
      </c>
      <c r="GNA10">
        <v>0</v>
      </c>
      <c r="GNB10">
        <v>0</v>
      </c>
      <c r="GNC10">
        <v>129</v>
      </c>
      <c r="GND10">
        <v>0</v>
      </c>
      <c r="GNE10">
        <v>100</v>
      </c>
      <c r="GNF10">
        <v>0</v>
      </c>
      <c r="GNG10">
        <v>0</v>
      </c>
      <c r="GNH10">
        <v>385.99</v>
      </c>
      <c r="GNI10">
        <v>0</v>
      </c>
      <c r="GNJ10">
        <v>0</v>
      </c>
      <c r="GNK10">
        <v>0</v>
      </c>
      <c r="GNL10">
        <v>0</v>
      </c>
      <c r="GNM10">
        <v>10</v>
      </c>
      <c r="GNN10">
        <v>0</v>
      </c>
      <c r="GNO10">
        <v>0</v>
      </c>
      <c r="GNP10">
        <v>580.89</v>
      </c>
      <c r="GNQ10">
        <v>0</v>
      </c>
      <c r="GNR10">
        <v>90</v>
      </c>
      <c r="GNS10">
        <v>0</v>
      </c>
      <c r="GNT10">
        <v>0</v>
      </c>
      <c r="GNU10">
        <v>0</v>
      </c>
      <c r="GNV10">
        <v>0</v>
      </c>
      <c r="GNW10">
        <v>2338.91</v>
      </c>
      <c r="GNX10">
        <v>816.92</v>
      </c>
      <c r="GNY10">
        <v>76</v>
      </c>
      <c r="GNZ10">
        <v>0</v>
      </c>
      <c r="GOA10">
        <v>0</v>
      </c>
      <c r="GOB10">
        <v>237</v>
      </c>
      <c r="GOC10">
        <v>96</v>
      </c>
      <c r="GOD10">
        <v>0</v>
      </c>
      <c r="GOE10">
        <v>0</v>
      </c>
      <c r="GOF10">
        <v>0</v>
      </c>
      <c r="GOG10">
        <v>824.94</v>
      </c>
      <c r="GOH10">
        <v>833.97</v>
      </c>
      <c r="GOI10">
        <v>859.96</v>
      </c>
      <c r="GOJ10">
        <v>0</v>
      </c>
      <c r="GOK10">
        <v>9108.2900000000009</v>
      </c>
      <c r="GOL10">
        <v>14</v>
      </c>
      <c r="GOM10">
        <v>231.99</v>
      </c>
      <c r="GON10">
        <v>4376.9799999999996</v>
      </c>
      <c r="GOO10">
        <v>175.96</v>
      </c>
      <c r="GOP10">
        <v>0</v>
      </c>
      <c r="GOQ10">
        <v>0</v>
      </c>
      <c r="GOR10">
        <v>0</v>
      </c>
      <c r="GOS10">
        <v>201.01</v>
      </c>
      <c r="GOT10">
        <v>0</v>
      </c>
      <c r="GOU10">
        <v>72.989999999999995</v>
      </c>
      <c r="GOV10">
        <v>0</v>
      </c>
      <c r="GOW10">
        <v>192</v>
      </c>
      <c r="GOX10">
        <v>0</v>
      </c>
      <c r="GOY10">
        <v>177.99</v>
      </c>
      <c r="GOZ10">
        <v>0</v>
      </c>
      <c r="GPA10">
        <v>1398</v>
      </c>
      <c r="GPB10">
        <v>0</v>
      </c>
      <c r="GPC10">
        <v>0</v>
      </c>
      <c r="GPD10">
        <v>2436.91</v>
      </c>
      <c r="GPE10">
        <v>1691.71</v>
      </c>
      <c r="GPF10">
        <v>0</v>
      </c>
      <c r="GPG10">
        <v>6</v>
      </c>
      <c r="GPH10">
        <v>25</v>
      </c>
      <c r="GPI10">
        <v>1325.91</v>
      </c>
      <c r="GPJ10">
        <v>0</v>
      </c>
      <c r="GPK10">
        <v>0</v>
      </c>
      <c r="GPL10">
        <v>0</v>
      </c>
      <c r="GPM10">
        <v>5940.78</v>
      </c>
      <c r="GPN10">
        <v>28</v>
      </c>
      <c r="GPO10">
        <v>1900.71</v>
      </c>
      <c r="GPP10">
        <v>0</v>
      </c>
      <c r="GPQ10">
        <v>0</v>
      </c>
      <c r="GPR10">
        <v>504.95</v>
      </c>
      <c r="GPS10">
        <v>42</v>
      </c>
      <c r="GPT10">
        <v>0</v>
      </c>
      <c r="GPU10">
        <v>0</v>
      </c>
      <c r="GPV10">
        <v>0</v>
      </c>
      <c r="GPW10">
        <v>0</v>
      </c>
      <c r="GPX10">
        <v>1195.94</v>
      </c>
      <c r="GPY10">
        <v>1058.99</v>
      </c>
      <c r="GPZ10">
        <v>3712.2</v>
      </c>
      <c r="GQA10">
        <v>0</v>
      </c>
      <c r="GQB10">
        <v>7113.65</v>
      </c>
      <c r="GQC10">
        <v>2951.74</v>
      </c>
      <c r="GQD10">
        <v>0</v>
      </c>
      <c r="GQE10">
        <v>0</v>
      </c>
      <c r="GQF10">
        <v>323.98</v>
      </c>
      <c r="GQG10">
        <v>535.99</v>
      </c>
      <c r="GQH10">
        <v>0</v>
      </c>
      <c r="GQI10">
        <v>21.99</v>
      </c>
      <c r="GQJ10">
        <v>0</v>
      </c>
      <c r="GQK10">
        <v>0</v>
      </c>
      <c r="GQL10">
        <v>0</v>
      </c>
      <c r="GQM10">
        <v>209.98</v>
      </c>
      <c r="GQN10">
        <v>1030.01</v>
      </c>
      <c r="GQO10">
        <v>0</v>
      </c>
      <c r="GQP10">
        <v>17902.75</v>
      </c>
      <c r="GQQ10">
        <v>7524.44</v>
      </c>
      <c r="GQR10">
        <v>1224.79</v>
      </c>
      <c r="GQS10">
        <v>0</v>
      </c>
      <c r="GQT10">
        <v>0</v>
      </c>
      <c r="GQU10">
        <v>14982.49</v>
      </c>
      <c r="GQV10">
        <v>402.96</v>
      </c>
      <c r="GQW10">
        <v>0</v>
      </c>
      <c r="GQX10">
        <v>829.98</v>
      </c>
      <c r="GQY10">
        <v>64.989999999999995</v>
      </c>
      <c r="GQZ10">
        <v>6763.82</v>
      </c>
      <c r="GRA10">
        <v>0</v>
      </c>
      <c r="GRB10">
        <v>0</v>
      </c>
      <c r="GRC10">
        <v>0</v>
      </c>
      <c r="GRD10">
        <v>3258.85</v>
      </c>
      <c r="GRE10">
        <v>0</v>
      </c>
      <c r="GRF10">
        <v>0</v>
      </c>
      <c r="GRG10">
        <v>0</v>
      </c>
      <c r="GRH10">
        <v>6119.73</v>
      </c>
      <c r="GRI10">
        <v>2753.98</v>
      </c>
      <c r="GRJ10">
        <v>0</v>
      </c>
      <c r="GRK10">
        <v>1346.76</v>
      </c>
      <c r="GRL10">
        <v>0</v>
      </c>
      <c r="GRM10">
        <v>663.96</v>
      </c>
      <c r="GRN10">
        <v>572.9</v>
      </c>
      <c r="GRO10">
        <v>16297.25</v>
      </c>
      <c r="GRP10">
        <v>7109.01</v>
      </c>
      <c r="GRQ10">
        <v>0</v>
      </c>
      <c r="GRR10">
        <v>1108.8900000000001</v>
      </c>
      <c r="GRS10">
        <v>634.15</v>
      </c>
      <c r="GRT10">
        <v>1896.81</v>
      </c>
      <c r="GRU10">
        <v>176</v>
      </c>
      <c r="GRV10">
        <v>110</v>
      </c>
      <c r="GRW10">
        <v>2645.84</v>
      </c>
      <c r="GRX10">
        <v>152.99</v>
      </c>
      <c r="GRY10">
        <v>0</v>
      </c>
      <c r="GRZ10">
        <v>16242.5</v>
      </c>
      <c r="GSA10">
        <v>1074.05</v>
      </c>
      <c r="GSB10">
        <v>124.02</v>
      </c>
      <c r="GSC10">
        <v>349.98</v>
      </c>
      <c r="GSD10">
        <v>14</v>
      </c>
      <c r="GSE10">
        <v>4147.62</v>
      </c>
      <c r="GSF10">
        <v>88</v>
      </c>
      <c r="GSG10">
        <v>6695.12</v>
      </c>
      <c r="GSH10">
        <v>136.99</v>
      </c>
      <c r="GSI10">
        <v>3077.82</v>
      </c>
      <c r="GSJ10">
        <v>782.91</v>
      </c>
      <c r="GSK10">
        <v>3207.79</v>
      </c>
      <c r="GSL10">
        <v>957.9</v>
      </c>
      <c r="GSM10">
        <v>3290.79</v>
      </c>
      <c r="GSN10">
        <v>0</v>
      </c>
      <c r="GSO10">
        <v>696.94</v>
      </c>
      <c r="GSP10">
        <v>5083.38</v>
      </c>
      <c r="GSQ10">
        <v>22542.29</v>
      </c>
      <c r="GSR10">
        <v>331926.37</v>
      </c>
    </row>
    <row r="11" spans="1:5244" x14ac:dyDescent="0.2">
      <c r="A11" s="7">
        <v>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4</v>
      </c>
      <c r="AV11">
        <v>4</v>
      </c>
      <c r="AW11">
        <v>4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4.99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5</v>
      </c>
      <c r="CE11">
        <v>4</v>
      </c>
      <c r="CF11">
        <v>5</v>
      </c>
      <c r="CG11">
        <v>5</v>
      </c>
      <c r="CH11">
        <v>5</v>
      </c>
      <c r="CI11">
        <v>5</v>
      </c>
      <c r="CJ11">
        <v>5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6</v>
      </c>
      <c r="ED11">
        <v>6</v>
      </c>
      <c r="EE11">
        <v>6</v>
      </c>
      <c r="EF11">
        <v>6</v>
      </c>
      <c r="EG11">
        <v>6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6.99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7</v>
      </c>
      <c r="GY11">
        <v>7</v>
      </c>
      <c r="GZ11">
        <v>7</v>
      </c>
      <c r="HA11">
        <v>7</v>
      </c>
      <c r="HB11">
        <v>7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8</v>
      </c>
      <c r="IZ11">
        <v>8</v>
      </c>
      <c r="JA11">
        <v>8</v>
      </c>
      <c r="JB11">
        <v>8</v>
      </c>
      <c r="JC11">
        <v>8</v>
      </c>
      <c r="JD11">
        <v>8</v>
      </c>
      <c r="JE11">
        <v>8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9</v>
      </c>
      <c r="KT11">
        <v>9</v>
      </c>
      <c r="KU11">
        <v>9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10</v>
      </c>
      <c r="MZ11">
        <v>10</v>
      </c>
      <c r="NA11">
        <v>10</v>
      </c>
      <c r="NB11">
        <v>10</v>
      </c>
      <c r="NC11">
        <v>10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11</v>
      </c>
      <c r="PD11">
        <v>11</v>
      </c>
      <c r="PE11">
        <v>11</v>
      </c>
      <c r="PF11">
        <v>11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11.99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12</v>
      </c>
      <c r="RK11">
        <v>12</v>
      </c>
      <c r="RL11">
        <v>12</v>
      </c>
      <c r="RM11">
        <v>12</v>
      </c>
      <c r="RN11">
        <v>12</v>
      </c>
      <c r="RO11">
        <v>12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13</v>
      </c>
      <c r="TP11">
        <v>13</v>
      </c>
      <c r="TQ11">
        <v>13</v>
      </c>
      <c r="TR11">
        <v>13</v>
      </c>
      <c r="TS11">
        <v>13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7.99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7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14</v>
      </c>
      <c r="VS11">
        <v>14</v>
      </c>
      <c r="VT11">
        <v>14</v>
      </c>
      <c r="VU11">
        <v>14</v>
      </c>
      <c r="VV11">
        <v>14</v>
      </c>
      <c r="VW11">
        <v>14</v>
      </c>
      <c r="VX11">
        <v>14</v>
      </c>
      <c r="VY11">
        <v>14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15</v>
      </c>
      <c r="XZ11">
        <v>15</v>
      </c>
      <c r="YA11">
        <v>15</v>
      </c>
      <c r="YB11">
        <v>15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16</v>
      </c>
      <c r="ZY11">
        <v>16</v>
      </c>
      <c r="ZZ11">
        <v>16</v>
      </c>
      <c r="AAA11">
        <v>16</v>
      </c>
      <c r="AAB11">
        <v>16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17</v>
      </c>
      <c r="ABR11">
        <v>17</v>
      </c>
      <c r="ABS11">
        <v>17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9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18</v>
      </c>
      <c r="ADN11">
        <v>18</v>
      </c>
      <c r="ADO11">
        <v>18</v>
      </c>
      <c r="ADP11">
        <v>18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10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19</v>
      </c>
      <c r="AGB11">
        <v>19</v>
      </c>
      <c r="AGC11">
        <v>19</v>
      </c>
      <c r="AGD11">
        <v>19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20</v>
      </c>
      <c r="AIE11">
        <v>20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20.99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21</v>
      </c>
      <c r="AKG11">
        <v>21</v>
      </c>
      <c r="AKH11">
        <v>21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22</v>
      </c>
      <c r="AMF11">
        <v>22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16</v>
      </c>
      <c r="ANV11">
        <v>7</v>
      </c>
      <c r="ANW11">
        <v>0</v>
      </c>
      <c r="ANX11">
        <v>23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24</v>
      </c>
      <c r="APH11">
        <v>24</v>
      </c>
      <c r="API11">
        <v>24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12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25</v>
      </c>
      <c r="AQY11">
        <v>25</v>
      </c>
      <c r="AQZ11">
        <v>25</v>
      </c>
      <c r="ARA11">
        <v>25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27</v>
      </c>
      <c r="AUD11">
        <v>27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27.99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19</v>
      </c>
      <c r="AVL11">
        <v>0</v>
      </c>
      <c r="AVM11">
        <v>2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29</v>
      </c>
      <c r="AWY11">
        <v>29</v>
      </c>
      <c r="AWZ11">
        <v>29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14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21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31.99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33</v>
      </c>
      <c r="BCH11">
        <v>33</v>
      </c>
      <c r="BCI11">
        <v>33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34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34.99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35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11.99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36</v>
      </c>
      <c r="BGR11">
        <v>18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36.99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21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37</v>
      </c>
      <c r="BHV11">
        <v>37</v>
      </c>
      <c r="BHW11">
        <v>37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37.99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38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38.99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39</v>
      </c>
      <c r="BKM11">
        <v>39</v>
      </c>
      <c r="BKN11">
        <v>39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29</v>
      </c>
      <c r="BLS11">
        <v>0</v>
      </c>
      <c r="BLT11">
        <v>40</v>
      </c>
      <c r="BLU11">
        <v>40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12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41</v>
      </c>
      <c r="BMO11">
        <v>41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21</v>
      </c>
      <c r="BNM11">
        <v>0</v>
      </c>
      <c r="BNN11">
        <v>0</v>
      </c>
      <c r="BNO11">
        <v>42</v>
      </c>
      <c r="BNP11">
        <v>14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28.99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44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14</v>
      </c>
      <c r="BQC11">
        <v>0</v>
      </c>
      <c r="BQD11">
        <v>16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45</v>
      </c>
      <c r="BQS11">
        <v>45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16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47</v>
      </c>
      <c r="BSK11">
        <v>47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47.99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48</v>
      </c>
      <c r="BTJ11">
        <v>48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49</v>
      </c>
      <c r="BUE11">
        <v>49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8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51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51.99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  <c r="BXY11">
        <v>0</v>
      </c>
      <c r="BXZ11">
        <v>0</v>
      </c>
      <c r="BYA11">
        <v>18.989999999999998</v>
      </c>
      <c r="BYB11">
        <v>20.99</v>
      </c>
      <c r="BYC11">
        <v>0</v>
      </c>
      <c r="BYD11">
        <v>0</v>
      </c>
      <c r="BYE11">
        <v>0</v>
      </c>
      <c r="BYF11">
        <v>0</v>
      </c>
      <c r="BYG11">
        <v>0</v>
      </c>
      <c r="BYH11">
        <v>0</v>
      </c>
      <c r="BYI11">
        <v>0</v>
      </c>
      <c r="BYJ11">
        <v>0</v>
      </c>
      <c r="BYK11">
        <v>0</v>
      </c>
      <c r="BYL11">
        <v>0</v>
      </c>
      <c r="BYM11">
        <v>0</v>
      </c>
      <c r="BYN11">
        <v>0</v>
      </c>
      <c r="BYO11">
        <v>54.01</v>
      </c>
      <c r="BYP11">
        <v>0</v>
      </c>
      <c r="BYQ11">
        <v>0</v>
      </c>
      <c r="BYR11">
        <v>0</v>
      </c>
      <c r="BYS11">
        <v>0</v>
      </c>
      <c r="BYT11">
        <v>0</v>
      </c>
      <c r="BYU11">
        <v>0</v>
      </c>
      <c r="BYV11">
        <v>0</v>
      </c>
      <c r="BYW11">
        <v>0</v>
      </c>
      <c r="BYX11">
        <v>0</v>
      </c>
      <c r="BYY11">
        <v>0</v>
      </c>
      <c r="BYZ11">
        <v>0</v>
      </c>
      <c r="BZA11">
        <v>0</v>
      </c>
      <c r="BZB11">
        <v>0</v>
      </c>
      <c r="BZC11">
        <v>0</v>
      </c>
      <c r="BZD11">
        <v>0</v>
      </c>
      <c r="BZE11">
        <v>0</v>
      </c>
      <c r="BZF11">
        <v>0</v>
      </c>
      <c r="BZG11">
        <v>0</v>
      </c>
      <c r="BZH11">
        <v>0</v>
      </c>
      <c r="BZI11">
        <v>55</v>
      </c>
      <c r="BZJ11">
        <v>55</v>
      </c>
      <c r="BZK11">
        <v>0</v>
      </c>
      <c r="BZL11">
        <v>0</v>
      </c>
      <c r="BZM11">
        <v>0</v>
      </c>
      <c r="BZN11">
        <v>0</v>
      </c>
      <c r="BZO11">
        <v>0</v>
      </c>
      <c r="BZP11">
        <v>0</v>
      </c>
      <c r="BZQ11">
        <v>0</v>
      </c>
      <c r="BZR11">
        <v>0</v>
      </c>
      <c r="BZS11">
        <v>0</v>
      </c>
      <c r="BZT11">
        <v>0</v>
      </c>
      <c r="BZU11">
        <v>0</v>
      </c>
      <c r="BZV11">
        <v>0</v>
      </c>
      <c r="BZW11">
        <v>0</v>
      </c>
      <c r="BZX11">
        <v>0</v>
      </c>
      <c r="BZY11">
        <v>0</v>
      </c>
      <c r="BZZ11">
        <v>0</v>
      </c>
      <c r="CAA11">
        <v>0</v>
      </c>
      <c r="CAB11">
        <v>0</v>
      </c>
      <c r="CAC11">
        <v>0</v>
      </c>
      <c r="CAD11">
        <v>0</v>
      </c>
      <c r="CAE11">
        <v>0</v>
      </c>
      <c r="CAF11">
        <v>16</v>
      </c>
      <c r="CAG11">
        <v>0</v>
      </c>
      <c r="CAH11">
        <v>0</v>
      </c>
      <c r="CAI11">
        <v>0</v>
      </c>
      <c r="CAJ11">
        <v>0</v>
      </c>
      <c r="CAK11">
        <v>0</v>
      </c>
      <c r="CAL11">
        <v>0</v>
      </c>
      <c r="CAM11">
        <v>57</v>
      </c>
      <c r="CAN11">
        <v>0</v>
      </c>
      <c r="CAO11">
        <v>0</v>
      </c>
      <c r="CAP11">
        <v>0</v>
      </c>
      <c r="CAQ11">
        <v>0</v>
      </c>
      <c r="CAR11">
        <v>0</v>
      </c>
      <c r="CAS11">
        <v>0</v>
      </c>
      <c r="CAT11">
        <v>0</v>
      </c>
      <c r="CAU11">
        <v>0</v>
      </c>
      <c r="CAV11">
        <v>0</v>
      </c>
      <c r="CAW11">
        <v>0</v>
      </c>
      <c r="CAX11">
        <v>0</v>
      </c>
      <c r="CAY11">
        <v>0</v>
      </c>
      <c r="CAZ11">
        <v>0</v>
      </c>
      <c r="CBA11">
        <v>0</v>
      </c>
      <c r="CBB11">
        <v>0</v>
      </c>
      <c r="CBC11">
        <v>0</v>
      </c>
      <c r="CBD11">
        <v>0</v>
      </c>
      <c r="CBE11">
        <v>0</v>
      </c>
      <c r="CBF11">
        <v>0</v>
      </c>
      <c r="CBG11">
        <v>0</v>
      </c>
      <c r="CBH11">
        <v>58</v>
      </c>
      <c r="CBI11">
        <v>0</v>
      </c>
      <c r="CBJ11">
        <v>0</v>
      </c>
      <c r="CBK11">
        <v>0</v>
      </c>
      <c r="CBL11">
        <v>0</v>
      </c>
      <c r="CBM11">
        <v>0</v>
      </c>
      <c r="CBN11">
        <v>0</v>
      </c>
      <c r="CBO11">
        <v>0</v>
      </c>
      <c r="CBP11">
        <v>0</v>
      </c>
      <c r="CBQ11">
        <v>0</v>
      </c>
      <c r="CBR11">
        <v>0</v>
      </c>
      <c r="CBS11">
        <v>0</v>
      </c>
      <c r="CBT11">
        <v>0</v>
      </c>
      <c r="CBU11">
        <v>0</v>
      </c>
      <c r="CBV11">
        <v>0</v>
      </c>
      <c r="CBW11">
        <v>0</v>
      </c>
      <c r="CBX11">
        <v>0</v>
      </c>
      <c r="CBY11">
        <v>0</v>
      </c>
      <c r="CBZ11">
        <v>0</v>
      </c>
      <c r="CCA11">
        <v>0</v>
      </c>
      <c r="CCB11">
        <v>0</v>
      </c>
      <c r="CCC11">
        <v>0</v>
      </c>
      <c r="CCD11">
        <v>0</v>
      </c>
      <c r="CCE11">
        <v>0</v>
      </c>
      <c r="CCF11">
        <v>0</v>
      </c>
      <c r="CCG11">
        <v>0</v>
      </c>
      <c r="CCH11">
        <v>0</v>
      </c>
      <c r="CCI11">
        <v>0</v>
      </c>
      <c r="CCJ11">
        <v>0</v>
      </c>
      <c r="CCK11">
        <v>0</v>
      </c>
      <c r="CCL11">
        <v>0</v>
      </c>
      <c r="CCM11">
        <v>0</v>
      </c>
      <c r="CCN11">
        <v>0</v>
      </c>
      <c r="CCO11">
        <v>0</v>
      </c>
      <c r="CCP11">
        <v>0</v>
      </c>
      <c r="CCQ11">
        <v>0</v>
      </c>
      <c r="CCR11">
        <v>0</v>
      </c>
      <c r="CCS11">
        <v>0</v>
      </c>
      <c r="CCT11">
        <v>0</v>
      </c>
      <c r="CCU11">
        <v>0</v>
      </c>
      <c r="CCV11">
        <v>0</v>
      </c>
      <c r="CCW11">
        <v>60.64</v>
      </c>
      <c r="CCX11">
        <v>0</v>
      </c>
      <c r="CCY11">
        <v>0</v>
      </c>
      <c r="CCZ11">
        <v>60.99</v>
      </c>
      <c r="CDA11">
        <v>0</v>
      </c>
      <c r="CDB11">
        <v>0</v>
      </c>
      <c r="CDC11">
        <v>0</v>
      </c>
      <c r="CDD11">
        <v>0</v>
      </c>
      <c r="CDE11">
        <v>0</v>
      </c>
      <c r="CDF11">
        <v>0</v>
      </c>
      <c r="CDG11">
        <v>0</v>
      </c>
      <c r="CDH11">
        <v>0</v>
      </c>
      <c r="CDI11">
        <v>0</v>
      </c>
      <c r="CDJ11">
        <v>61</v>
      </c>
      <c r="CDK11">
        <v>61</v>
      </c>
      <c r="CDL11">
        <v>0</v>
      </c>
      <c r="CDM11">
        <v>0</v>
      </c>
      <c r="CDN11">
        <v>0</v>
      </c>
      <c r="CDO11">
        <v>0</v>
      </c>
      <c r="CDP11">
        <v>0</v>
      </c>
      <c r="CDQ11">
        <v>0</v>
      </c>
      <c r="CDR11">
        <v>0</v>
      </c>
      <c r="CDS11">
        <v>0</v>
      </c>
      <c r="CDT11">
        <v>0</v>
      </c>
      <c r="CDU11">
        <v>0</v>
      </c>
      <c r="CDV11">
        <v>0</v>
      </c>
      <c r="CDW11">
        <v>0</v>
      </c>
      <c r="CDX11">
        <v>62</v>
      </c>
      <c r="CDY11">
        <v>0</v>
      </c>
      <c r="CDZ11">
        <v>0</v>
      </c>
      <c r="CEA11">
        <v>0</v>
      </c>
      <c r="CEB11">
        <v>0</v>
      </c>
      <c r="CEC11">
        <v>0</v>
      </c>
      <c r="CED11">
        <v>0</v>
      </c>
      <c r="CEE11">
        <v>0</v>
      </c>
      <c r="CEF11">
        <v>0</v>
      </c>
      <c r="CEG11">
        <v>0</v>
      </c>
      <c r="CEH11">
        <v>0</v>
      </c>
      <c r="CEI11">
        <v>0</v>
      </c>
      <c r="CEJ11">
        <v>0</v>
      </c>
      <c r="CEK11">
        <v>0</v>
      </c>
      <c r="CEL11">
        <v>0</v>
      </c>
      <c r="CEM11">
        <v>63</v>
      </c>
      <c r="CEN11">
        <v>0</v>
      </c>
      <c r="CEO11">
        <v>0</v>
      </c>
      <c r="CEP11">
        <v>0</v>
      </c>
      <c r="CEQ11">
        <v>0</v>
      </c>
      <c r="CER11">
        <v>0</v>
      </c>
      <c r="CES11">
        <v>0</v>
      </c>
      <c r="CET11">
        <v>0</v>
      </c>
      <c r="CEU11">
        <v>0</v>
      </c>
      <c r="CEV11">
        <v>0</v>
      </c>
      <c r="CEW11">
        <v>0</v>
      </c>
      <c r="CEX11">
        <v>0</v>
      </c>
      <c r="CEY11">
        <v>0</v>
      </c>
      <c r="CEZ11">
        <v>0</v>
      </c>
      <c r="CFA11">
        <v>0</v>
      </c>
      <c r="CFB11">
        <v>0</v>
      </c>
      <c r="CFC11">
        <v>0</v>
      </c>
      <c r="CFD11">
        <v>57</v>
      </c>
      <c r="CFE11">
        <v>0</v>
      </c>
      <c r="CFF11">
        <v>0</v>
      </c>
      <c r="CFG11">
        <v>0</v>
      </c>
      <c r="CFH11">
        <v>0</v>
      </c>
      <c r="CFI11">
        <v>64</v>
      </c>
      <c r="CFJ11">
        <v>0</v>
      </c>
      <c r="CFK11">
        <v>0</v>
      </c>
      <c r="CFL11">
        <v>0</v>
      </c>
      <c r="CFM11">
        <v>0</v>
      </c>
      <c r="CFN11">
        <v>0</v>
      </c>
      <c r="CFO11">
        <v>0</v>
      </c>
      <c r="CFP11">
        <v>0</v>
      </c>
      <c r="CFQ11">
        <v>0</v>
      </c>
      <c r="CFR11">
        <v>0</v>
      </c>
      <c r="CFS11">
        <v>8</v>
      </c>
      <c r="CFT11">
        <v>0</v>
      </c>
      <c r="CFU11">
        <v>0</v>
      </c>
      <c r="CFV11">
        <v>0</v>
      </c>
      <c r="CFW11">
        <v>0</v>
      </c>
      <c r="CFX11">
        <v>0</v>
      </c>
      <c r="CFY11">
        <v>0</v>
      </c>
      <c r="CFZ11">
        <v>0</v>
      </c>
      <c r="CGA11">
        <v>0</v>
      </c>
      <c r="CGB11">
        <v>0</v>
      </c>
      <c r="CGC11">
        <v>0</v>
      </c>
      <c r="CGD11">
        <v>0</v>
      </c>
      <c r="CGE11">
        <v>0</v>
      </c>
      <c r="CGF11">
        <v>0</v>
      </c>
      <c r="CGG11">
        <v>0</v>
      </c>
      <c r="CGH11">
        <v>65</v>
      </c>
      <c r="CGI11">
        <v>65</v>
      </c>
      <c r="CGJ11">
        <v>0</v>
      </c>
      <c r="CGK11">
        <v>0</v>
      </c>
      <c r="CGL11">
        <v>0</v>
      </c>
      <c r="CGM11">
        <v>0</v>
      </c>
      <c r="CGN11">
        <v>0</v>
      </c>
      <c r="CGO11">
        <v>0</v>
      </c>
      <c r="CGP11">
        <v>0</v>
      </c>
      <c r="CGQ11">
        <v>0</v>
      </c>
      <c r="CGR11">
        <v>0</v>
      </c>
      <c r="CGS11">
        <v>0</v>
      </c>
      <c r="CGT11">
        <v>0</v>
      </c>
      <c r="CGU11">
        <v>0</v>
      </c>
      <c r="CGV11">
        <v>0</v>
      </c>
      <c r="CGW11">
        <v>0</v>
      </c>
      <c r="CGX11">
        <v>0</v>
      </c>
      <c r="CGY11">
        <v>0</v>
      </c>
      <c r="CGZ11">
        <v>0</v>
      </c>
      <c r="CHA11">
        <v>0</v>
      </c>
      <c r="CHB11">
        <v>0</v>
      </c>
      <c r="CHC11">
        <v>0</v>
      </c>
      <c r="CHD11">
        <v>0</v>
      </c>
      <c r="CHE11">
        <v>0</v>
      </c>
      <c r="CHF11">
        <v>66.989999999999995</v>
      </c>
      <c r="CHG11">
        <v>0</v>
      </c>
      <c r="CHH11">
        <v>0</v>
      </c>
      <c r="CHI11">
        <v>0</v>
      </c>
      <c r="CHJ11">
        <v>0</v>
      </c>
      <c r="CHK11">
        <v>0</v>
      </c>
      <c r="CHL11">
        <v>0</v>
      </c>
      <c r="CHM11">
        <v>0</v>
      </c>
      <c r="CHN11">
        <v>27</v>
      </c>
      <c r="CHO11">
        <v>67</v>
      </c>
      <c r="CHP11">
        <v>0</v>
      </c>
      <c r="CHQ11">
        <v>0</v>
      </c>
      <c r="CHR11">
        <v>0</v>
      </c>
      <c r="CHS11">
        <v>0</v>
      </c>
      <c r="CHT11">
        <v>0</v>
      </c>
      <c r="CHU11">
        <v>0</v>
      </c>
      <c r="CHV11">
        <v>0</v>
      </c>
      <c r="CHW11">
        <v>0</v>
      </c>
      <c r="CHX11">
        <v>0</v>
      </c>
      <c r="CHY11">
        <v>0</v>
      </c>
      <c r="CHZ11">
        <v>0</v>
      </c>
      <c r="CIA11">
        <v>0</v>
      </c>
      <c r="CIB11">
        <v>0</v>
      </c>
      <c r="CIC11">
        <v>0</v>
      </c>
      <c r="CID11">
        <v>0</v>
      </c>
      <c r="CIE11">
        <v>0</v>
      </c>
      <c r="CIF11">
        <v>17</v>
      </c>
      <c r="CIG11">
        <v>0</v>
      </c>
      <c r="CIH11">
        <v>0</v>
      </c>
      <c r="CII11">
        <v>0</v>
      </c>
      <c r="CIJ11">
        <v>0</v>
      </c>
      <c r="CIK11">
        <v>0</v>
      </c>
      <c r="CIL11">
        <v>0</v>
      </c>
      <c r="CIM11">
        <v>0</v>
      </c>
      <c r="CIN11">
        <v>0</v>
      </c>
      <c r="CIO11">
        <v>0</v>
      </c>
      <c r="CIP11">
        <v>0</v>
      </c>
      <c r="CIQ11">
        <v>0</v>
      </c>
      <c r="CIR11">
        <v>0</v>
      </c>
      <c r="CIS11">
        <v>0</v>
      </c>
      <c r="CIT11">
        <v>0</v>
      </c>
      <c r="CIU11">
        <v>0</v>
      </c>
      <c r="CIV11">
        <v>0</v>
      </c>
      <c r="CIW11">
        <v>0</v>
      </c>
      <c r="CIX11">
        <v>0</v>
      </c>
      <c r="CIY11">
        <v>0</v>
      </c>
      <c r="CIZ11">
        <v>0</v>
      </c>
      <c r="CJA11">
        <v>0</v>
      </c>
      <c r="CJB11">
        <v>0</v>
      </c>
      <c r="CJC11">
        <v>0</v>
      </c>
      <c r="CJD11">
        <v>0</v>
      </c>
      <c r="CJE11">
        <v>0</v>
      </c>
      <c r="CJF11">
        <v>0</v>
      </c>
      <c r="CJG11">
        <v>0</v>
      </c>
      <c r="CJH11">
        <v>0</v>
      </c>
      <c r="CJI11">
        <v>69</v>
      </c>
      <c r="CJJ11">
        <v>0</v>
      </c>
      <c r="CJK11">
        <v>0</v>
      </c>
      <c r="CJL11">
        <v>0</v>
      </c>
      <c r="CJM11">
        <v>0</v>
      </c>
      <c r="CJN11">
        <v>0</v>
      </c>
      <c r="CJO11">
        <v>0</v>
      </c>
      <c r="CJP11">
        <v>0</v>
      </c>
      <c r="CJQ11">
        <v>0</v>
      </c>
      <c r="CJR11">
        <v>0</v>
      </c>
      <c r="CJS11">
        <v>0</v>
      </c>
      <c r="CJT11">
        <v>0</v>
      </c>
      <c r="CJU11">
        <v>0</v>
      </c>
      <c r="CJV11">
        <v>49</v>
      </c>
      <c r="CJW11">
        <v>0</v>
      </c>
      <c r="CJX11">
        <v>0</v>
      </c>
      <c r="CJY11">
        <v>0</v>
      </c>
      <c r="CJZ11">
        <v>0</v>
      </c>
      <c r="CKA11">
        <v>0</v>
      </c>
      <c r="CKB11">
        <v>0</v>
      </c>
      <c r="CKC11">
        <v>0</v>
      </c>
      <c r="CKD11">
        <v>0</v>
      </c>
      <c r="CKE11">
        <v>0</v>
      </c>
      <c r="CKF11">
        <v>0</v>
      </c>
      <c r="CKG11">
        <v>0</v>
      </c>
      <c r="CKH11">
        <v>0</v>
      </c>
      <c r="CKI11">
        <v>0</v>
      </c>
      <c r="CKJ11">
        <v>0</v>
      </c>
      <c r="CKK11">
        <v>0</v>
      </c>
      <c r="CKL11">
        <v>0</v>
      </c>
      <c r="CKM11">
        <v>0</v>
      </c>
      <c r="CKN11">
        <v>0</v>
      </c>
      <c r="CKO11">
        <v>71</v>
      </c>
      <c r="CKP11">
        <v>46</v>
      </c>
      <c r="CKQ11">
        <v>0</v>
      </c>
      <c r="CKR11">
        <v>0</v>
      </c>
      <c r="CKS11">
        <v>0</v>
      </c>
      <c r="CKT11">
        <v>0</v>
      </c>
      <c r="CKU11">
        <v>0</v>
      </c>
      <c r="CKV11">
        <v>0</v>
      </c>
      <c r="CKW11">
        <v>0</v>
      </c>
      <c r="CKX11">
        <v>0</v>
      </c>
      <c r="CKY11">
        <v>0</v>
      </c>
      <c r="CKZ11">
        <v>0</v>
      </c>
      <c r="CLA11">
        <v>53</v>
      </c>
      <c r="CLB11">
        <v>0</v>
      </c>
      <c r="CLC11">
        <v>0</v>
      </c>
      <c r="CLD11">
        <v>0</v>
      </c>
      <c r="CLE11">
        <v>0</v>
      </c>
      <c r="CLF11">
        <v>0</v>
      </c>
      <c r="CLG11">
        <v>0</v>
      </c>
      <c r="CLH11">
        <v>0</v>
      </c>
      <c r="CLI11">
        <v>0</v>
      </c>
      <c r="CLJ11">
        <v>72.989999999999995</v>
      </c>
      <c r="CLK11">
        <v>0</v>
      </c>
      <c r="CLL11">
        <v>0</v>
      </c>
      <c r="CLM11">
        <v>0</v>
      </c>
      <c r="CLN11">
        <v>0</v>
      </c>
      <c r="CLO11">
        <v>73</v>
      </c>
      <c r="CLP11">
        <v>0</v>
      </c>
      <c r="CLQ11">
        <v>0</v>
      </c>
      <c r="CLR11">
        <v>0</v>
      </c>
      <c r="CLS11">
        <v>0</v>
      </c>
      <c r="CLT11">
        <v>0</v>
      </c>
      <c r="CLU11">
        <v>0</v>
      </c>
      <c r="CLV11">
        <v>0</v>
      </c>
      <c r="CLW11">
        <v>0</v>
      </c>
      <c r="CLX11">
        <v>0</v>
      </c>
      <c r="CLY11">
        <v>0</v>
      </c>
      <c r="CLZ11">
        <v>0</v>
      </c>
      <c r="CMA11">
        <v>0</v>
      </c>
      <c r="CMB11">
        <v>74</v>
      </c>
      <c r="CMC11">
        <v>74</v>
      </c>
      <c r="CMD11">
        <v>0</v>
      </c>
      <c r="CME11">
        <v>0</v>
      </c>
      <c r="CMF11">
        <v>0</v>
      </c>
      <c r="CMG11">
        <v>0</v>
      </c>
      <c r="CMH11">
        <v>0</v>
      </c>
      <c r="CMI11">
        <v>0</v>
      </c>
      <c r="CMJ11">
        <v>0</v>
      </c>
      <c r="CMK11">
        <v>0</v>
      </c>
      <c r="CML11">
        <v>0</v>
      </c>
      <c r="CMM11">
        <v>0</v>
      </c>
      <c r="CMN11">
        <v>0</v>
      </c>
      <c r="CMO11">
        <v>0</v>
      </c>
      <c r="CMP11">
        <v>0</v>
      </c>
      <c r="CMQ11">
        <v>0</v>
      </c>
      <c r="CMR11">
        <v>0</v>
      </c>
      <c r="CMS11">
        <v>0</v>
      </c>
      <c r="CMT11">
        <v>0</v>
      </c>
      <c r="CMU11">
        <v>0</v>
      </c>
      <c r="CMV11">
        <v>0</v>
      </c>
      <c r="CMW11">
        <v>76</v>
      </c>
      <c r="CMX11">
        <v>8</v>
      </c>
      <c r="CMY11">
        <v>0</v>
      </c>
      <c r="CMZ11">
        <v>0</v>
      </c>
      <c r="CNA11">
        <v>0</v>
      </c>
      <c r="CNB11">
        <v>0</v>
      </c>
      <c r="CNC11">
        <v>0</v>
      </c>
      <c r="CND11">
        <v>0</v>
      </c>
      <c r="CNE11">
        <v>0</v>
      </c>
      <c r="CNF11">
        <v>0</v>
      </c>
      <c r="CNG11">
        <v>0</v>
      </c>
      <c r="CNH11">
        <v>0</v>
      </c>
      <c r="CNI11">
        <v>0</v>
      </c>
      <c r="CNJ11">
        <v>0</v>
      </c>
      <c r="CNK11">
        <v>0</v>
      </c>
      <c r="CNL11">
        <v>0</v>
      </c>
      <c r="CNM11">
        <v>0</v>
      </c>
      <c r="CNN11">
        <v>0</v>
      </c>
      <c r="CNO11">
        <v>0</v>
      </c>
      <c r="CNP11">
        <v>0</v>
      </c>
      <c r="CNQ11">
        <v>0</v>
      </c>
      <c r="CNR11">
        <v>0</v>
      </c>
      <c r="CNS11">
        <v>0</v>
      </c>
      <c r="CNT11">
        <v>0</v>
      </c>
      <c r="CNU11">
        <v>0</v>
      </c>
      <c r="CNV11">
        <v>0</v>
      </c>
      <c r="CNW11">
        <v>0</v>
      </c>
      <c r="CNX11">
        <v>0</v>
      </c>
      <c r="CNY11">
        <v>0</v>
      </c>
      <c r="CNZ11">
        <v>0</v>
      </c>
      <c r="COA11">
        <v>0</v>
      </c>
      <c r="COB11">
        <v>0</v>
      </c>
      <c r="COC11">
        <v>32</v>
      </c>
      <c r="COD11">
        <v>0</v>
      </c>
      <c r="COE11">
        <v>0</v>
      </c>
      <c r="COF11">
        <v>0</v>
      </c>
      <c r="COG11">
        <v>0</v>
      </c>
      <c r="COH11">
        <v>0</v>
      </c>
      <c r="COI11">
        <v>0</v>
      </c>
      <c r="COJ11">
        <v>78.989999999999995</v>
      </c>
      <c r="COK11">
        <v>0</v>
      </c>
      <c r="COL11">
        <v>0</v>
      </c>
      <c r="COM11">
        <v>0</v>
      </c>
      <c r="CON11">
        <v>0</v>
      </c>
      <c r="COO11">
        <v>20</v>
      </c>
      <c r="COP11">
        <v>0</v>
      </c>
      <c r="COQ11">
        <v>0</v>
      </c>
      <c r="COR11">
        <v>0</v>
      </c>
      <c r="COS11">
        <v>0</v>
      </c>
      <c r="COT11">
        <v>0</v>
      </c>
      <c r="COU11">
        <v>0</v>
      </c>
      <c r="COV11">
        <v>10</v>
      </c>
      <c r="COW11">
        <v>79.989999999999995</v>
      </c>
      <c r="COX11">
        <v>0</v>
      </c>
      <c r="COY11">
        <v>0</v>
      </c>
      <c r="COZ11">
        <v>0</v>
      </c>
      <c r="CPA11">
        <v>0</v>
      </c>
      <c r="CPB11">
        <v>0</v>
      </c>
      <c r="CPC11">
        <v>40</v>
      </c>
      <c r="CPD11">
        <v>0</v>
      </c>
      <c r="CPE11">
        <v>0</v>
      </c>
      <c r="CPF11">
        <v>0</v>
      </c>
      <c r="CPG11">
        <v>0</v>
      </c>
      <c r="CPH11">
        <v>0</v>
      </c>
      <c r="CPI11">
        <v>0</v>
      </c>
      <c r="CPJ11">
        <v>0</v>
      </c>
      <c r="CPK11">
        <v>81</v>
      </c>
      <c r="CPL11">
        <v>0</v>
      </c>
      <c r="CPM11">
        <v>0</v>
      </c>
      <c r="CPN11">
        <v>0</v>
      </c>
      <c r="CPO11">
        <v>0</v>
      </c>
      <c r="CPP11">
        <v>0</v>
      </c>
      <c r="CPQ11">
        <v>0</v>
      </c>
      <c r="CPR11">
        <v>0</v>
      </c>
      <c r="CPS11">
        <v>0</v>
      </c>
      <c r="CPT11">
        <v>0</v>
      </c>
      <c r="CPU11">
        <v>0</v>
      </c>
      <c r="CPV11">
        <v>0</v>
      </c>
      <c r="CPW11">
        <v>0</v>
      </c>
      <c r="CPX11">
        <v>0</v>
      </c>
      <c r="CPY11">
        <v>0</v>
      </c>
      <c r="CPZ11">
        <v>0</v>
      </c>
      <c r="CQA11">
        <v>0</v>
      </c>
      <c r="CQB11">
        <v>0</v>
      </c>
      <c r="CQC11">
        <v>0</v>
      </c>
      <c r="CQD11">
        <v>0</v>
      </c>
      <c r="CQE11">
        <v>0</v>
      </c>
      <c r="CQF11">
        <v>0</v>
      </c>
      <c r="CQG11">
        <v>0</v>
      </c>
      <c r="CQH11">
        <v>0</v>
      </c>
      <c r="CQI11">
        <v>0</v>
      </c>
      <c r="CQJ11">
        <v>0</v>
      </c>
      <c r="CQK11">
        <v>0</v>
      </c>
      <c r="CQL11">
        <v>0</v>
      </c>
      <c r="CQM11">
        <v>0</v>
      </c>
      <c r="CQN11">
        <v>84.99</v>
      </c>
      <c r="CQO11">
        <v>0</v>
      </c>
      <c r="CQP11">
        <v>0</v>
      </c>
      <c r="CQQ11">
        <v>0</v>
      </c>
      <c r="CQR11">
        <v>0</v>
      </c>
      <c r="CQS11">
        <v>0</v>
      </c>
      <c r="CQT11">
        <v>0</v>
      </c>
      <c r="CQU11">
        <v>0</v>
      </c>
      <c r="CQV11">
        <v>24</v>
      </c>
      <c r="CQW11">
        <v>0</v>
      </c>
      <c r="CQX11">
        <v>0</v>
      </c>
      <c r="CQY11">
        <v>0</v>
      </c>
      <c r="CQZ11">
        <v>0</v>
      </c>
      <c r="CRA11">
        <v>0</v>
      </c>
      <c r="CRB11">
        <v>0</v>
      </c>
      <c r="CRC11">
        <v>0</v>
      </c>
      <c r="CRD11">
        <v>0</v>
      </c>
      <c r="CRE11">
        <v>0</v>
      </c>
      <c r="CRF11">
        <v>86</v>
      </c>
      <c r="CRG11">
        <v>0</v>
      </c>
      <c r="CRH11">
        <v>0</v>
      </c>
      <c r="CRI11">
        <v>0</v>
      </c>
      <c r="CRJ11">
        <v>0</v>
      </c>
      <c r="CRK11">
        <v>0</v>
      </c>
      <c r="CRL11">
        <v>0</v>
      </c>
      <c r="CRM11">
        <v>0</v>
      </c>
      <c r="CRN11">
        <v>0</v>
      </c>
      <c r="CRO11">
        <v>0</v>
      </c>
      <c r="CRP11">
        <v>0</v>
      </c>
      <c r="CRQ11">
        <v>0</v>
      </c>
      <c r="CRR11">
        <v>0</v>
      </c>
      <c r="CRS11">
        <v>0</v>
      </c>
      <c r="CRT11">
        <v>0</v>
      </c>
      <c r="CRU11">
        <v>0</v>
      </c>
      <c r="CRV11">
        <v>0</v>
      </c>
      <c r="CRW11">
        <v>0</v>
      </c>
      <c r="CRX11">
        <v>0</v>
      </c>
      <c r="CRY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E11">
        <v>0</v>
      </c>
      <c r="CSF11">
        <v>0</v>
      </c>
      <c r="CSG11">
        <v>0</v>
      </c>
      <c r="CSH11">
        <v>0</v>
      </c>
      <c r="CSI11">
        <v>0</v>
      </c>
      <c r="CSJ11">
        <v>0</v>
      </c>
      <c r="CSK11">
        <v>0</v>
      </c>
      <c r="CSL11">
        <v>0</v>
      </c>
      <c r="CSM11">
        <v>0</v>
      </c>
      <c r="CSN11">
        <v>0</v>
      </c>
      <c r="CSO11">
        <v>0</v>
      </c>
      <c r="CSP11">
        <v>89</v>
      </c>
      <c r="CSQ11">
        <v>0</v>
      </c>
      <c r="CSR11">
        <v>0</v>
      </c>
      <c r="CSS11">
        <v>0</v>
      </c>
      <c r="CST11">
        <v>0</v>
      </c>
      <c r="CSU11">
        <v>0</v>
      </c>
      <c r="CSV11">
        <v>0</v>
      </c>
      <c r="CSW11">
        <v>0</v>
      </c>
      <c r="CSX11">
        <v>0</v>
      </c>
      <c r="CSY11">
        <v>0</v>
      </c>
      <c r="CSZ11">
        <v>0</v>
      </c>
      <c r="CTA11">
        <v>0</v>
      </c>
      <c r="CTB11">
        <v>0</v>
      </c>
      <c r="CTC11">
        <v>23</v>
      </c>
      <c r="CTD11">
        <v>0</v>
      </c>
      <c r="CTE11">
        <v>0</v>
      </c>
      <c r="CTF11">
        <v>0</v>
      </c>
      <c r="CTG11">
        <v>0</v>
      </c>
      <c r="CTH11">
        <v>0</v>
      </c>
      <c r="CTI11">
        <v>0</v>
      </c>
      <c r="CTJ11">
        <v>0</v>
      </c>
      <c r="CTK11">
        <v>0</v>
      </c>
      <c r="CTL11">
        <v>0</v>
      </c>
      <c r="CTM11">
        <v>0</v>
      </c>
      <c r="CTN11">
        <v>0</v>
      </c>
      <c r="CTO11">
        <v>0</v>
      </c>
      <c r="CTP11">
        <v>91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0</v>
      </c>
      <c r="CTW11">
        <v>0</v>
      </c>
      <c r="CTX11">
        <v>0</v>
      </c>
      <c r="CTY11">
        <v>5</v>
      </c>
      <c r="CTZ11">
        <v>0</v>
      </c>
      <c r="CUA11">
        <v>0</v>
      </c>
      <c r="CUB11">
        <v>92.92</v>
      </c>
      <c r="CUC11">
        <v>0</v>
      </c>
      <c r="CUD11">
        <v>0</v>
      </c>
      <c r="CUE11">
        <v>0</v>
      </c>
      <c r="CUF11">
        <v>93</v>
      </c>
      <c r="CUG11">
        <v>0</v>
      </c>
      <c r="CUH11">
        <v>0</v>
      </c>
      <c r="CUI11">
        <v>0</v>
      </c>
      <c r="CUJ11">
        <v>0</v>
      </c>
      <c r="CUK11">
        <v>0</v>
      </c>
      <c r="CUL11">
        <v>0</v>
      </c>
      <c r="CUM11">
        <v>0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T11">
        <v>57</v>
      </c>
      <c r="CUU11">
        <v>0</v>
      </c>
      <c r="CUV11">
        <v>0</v>
      </c>
      <c r="CUW11">
        <v>0</v>
      </c>
      <c r="CUX11">
        <v>95</v>
      </c>
      <c r="CUY11">
        <v>0</v>
      </c>
      <c r="CUZ11">
        <v>0</v>
      </c>
      <c r="CVA11">
        <v>0</v>
      </c>
      <c r="CVB11">
        <v>0</v>
      </c>
      <c r="CVC11">
        <v>0</v>
      </c>
      <c r="CVD11">
        <v>0</v>
      </c>
      <c r="CVE11">
        <v>0</v>
      </c>
      <c r="CVF11">
        <v>0</v>
      </c>
      <c r="CVG11">
        <v>0</v>
      </c>
      <c r="CVH11">
        <v>0</v>
      </c>
      <c r="CVI11">
        <v>95.99</v>
      </c>
      <c r="CVJ11">
        <v>0</v>
      </c>
      <c r="CVK11">
        <v>0</v>
      </c>
      <c r="CVL11">
        <v>0</v>
      </c>
      <c r="CVM11">
        <v>0</v>
      </c>
      <c r="CVN11">
        <v>0</v>
      </c>
      <c r="CVO11">
        <v>96</v>
      </c>
      <c r="CVP11">
        <v>0</v>
      </c>
      <c r="CVQ11">
        <v>0</v>
      </c>
      <c r="CVR11">
        <v>96.99</v>
      </c>
      <c r="CVS11">
        <v>50</v>
      </c>
      <c r="CVT11">
        <v>0</v>
      </c>
      <c r="CVU11">
        <v>0</v>
      </c>
      <c r="CVV11">
        <v>0</v>
      </c>
      <c r="CVW11">
        <v>0</v>
      </c>
      <c r="CVX11">
        <v>0</v>
      </c>
      <c r="CVY11">
        <v>0</v>
      </c>
      <c r="CVZ11">
        <v>0</v>
      </c>
      <c r="CWA11">
        <v>0</v>
      </c>
      <c r="CWB11">
        <v>0</v>
      </c>
      <c r="CWC11">
        <v>0</v>
      </c>
      <c r="CWD11">
        <v>0</v>
      </c>
      <c r="CWE11">
        <v>0</v>
      </c>
      <c r="CWF11">
        <v>24.99</v>
      </c>
      <c r="CWG11">
        <v>0</v>
      </c>
      <c r="CWH11">
        <v>0</v>
      </c>
      <c r="CWI11">
        <v>0</v>
      </c>
      <c r="CWJ11">
        <v>98</v>
      </c>
      <c r="CWK11">
        <v>98</v>
      </c>
      <c r="CWL11">
        <v>0</v>
      </c>
      <c r="CWM11">
        <v>0</v>
      </c>
      <c r="CWN11">
        <v>0</v>
      </c>
      <c r="CWO11">
        <v>0</v>
      </c>
      <c r="CWP11">
        <v>0</v>
      </c>
      <c r="CWQ11">
        <v>0</v>
      </c>
      <c r="CWR11">
        <v>39</v>
      </c>
      <c r="CWS11">
        <v>0</v>
      </c>
      <c r="CWT11">
        <v>99</v>
      </c>
      <c r="CWU11">
        <v>0</v>
      </c>
      <c r="CWV11">
        <v>0</v>
      </c>
      <c r="CWW11">
        <v>0</v>
      </c>
      <c r="CWX11">
        <v>0</v>
      </c>
      <c r="CWY11">
        <v>0</v>
      </c>
      <c r="CWZ11">
        <v>0</v>
      </c>
      <c r="CXA11">
        <v>0</v>
      </c>
      <c r="CXB11">
        <v>0</v>
      </c>
      <c r="CXC11">
        <v>0</v>
      </c>
      <c r="CXD11">
        <v>0</v>
      </c>
      <c r="CXE11">
        <v>0</v>
      </c>
      <c r="CXF11">
        <v>0</v>
      </c>
      <c r="CXG11">
        <v>100</v>
      </c>
      <c r="CXH11">
        <v>0</v>
      </c>
      <c r="CXI11">
        <v>0</v>
      </c>
      <c r="CXJ11">
        <v>0</v>
      </c>
      <c r="CXK11">
        <v>0</v>
      </c>
      <c r="CXL11">
        <v>0</v>
      </c>
      <c r="CXM11">
        <v>0</v>
      </c>
      <c r="CXN11">
        <v>0</v>
      </c>
      <c r="CXO11">
        <v>0</v>
      </c>
      <c r="CXP11">
        <v>0</v>
      </c>
      <c r="CXQ11">
        <v>0</v>
      </c>
      <c r="CXR11">
        <v>0</v>
      </c>
      <c r="CXS11">
        <v>0</v>
      </c>
      <c r="CXT11">
        <v>0</v>
      </c>
      <c r="CXU11">
        <v>0</v>
      </c>
      <c r="CXV11">
        <v>0</v>
      </c>
      <c r="CXW11">
        <v>0</v>
      </c>
      <c r="CXX11">
        <v>0</v>
      </c>
      <c r="CXY11">
        <v>41</v>
      </c>
      <c r="CXZ11">
        <v>0</v>
      </c>
      <c r="CYA11">
        <v>11</v>
      </c>
      <c r="CYB11">
        <v>0</v>
      </c>
      <c r="CYC11">
        <v>0</v>
      </c>
      <c r="CYD11">
        <v>0</v>
      </c>
      <c r="CYE11">
        <v>0</v>
      </c>
      <c r="CYF11">
        <v>0</v>
      </c>
      <c r="CYG11">
        <v>102.99</v>
      </c>
      <c r="CYH11">
        <v>0</v>
      </c>
      <c r="CYI11">
        <v>0</v>
      </c>
      <c r="CYJ11">
        <v>0</v>
      </c>
      <c r="CYK11">
        <v>0</v>
      </c>
      <c r="CYL11">
        <v>0</v>
      </c>
      <c r="CYM11">
        <v>0</v>
      </c>
      <c r="CYN11">
        <v>0</v>
      </c>
      <c r="CYO11">
        <v>0</v>
      </c>
      <c r="CYP11">
        <v>0</v>
      </c>
      <c r="CYQ11">
        <v>0</v>
      </c>
      <c r="CYR11">
        <v>0</v>
      </c>
      <c r="CYS11">
        <v>0</v>
      </c>
      <c r="CYT11">
        <v>0</v>
      </c>
      <c r="CYU11">
        <v>0</v>
      </c>
      <c r="CYV11">
        <v>0</v>
      </c>
      <c r="CYW11">
        <v>0</v>
      </c>
      <c r="CYX11">
        <v>0</v>
      </c>
      <c r="CYY11">
        <v>0</v>
      </c>
      <c r="CYZ11">
        <v>0</v>
      </c>
      <c r="CZA11">
        <v>0</v>
      </c>
      <c r="CZB11">
        <v>0</v>
      </c>
      <c r="CZC11">
        <v>0</v>
      </c>
      <c r="CZD11">
        <v>0</v>
      </c>
      <c r="CZE11">
        <v>0</v>
      </c>
      <c r="CZF11">
        <v>0</v>
      </c>
      <c r="CZG11">
        <v>0</v>
      </c>
      <c r="CZH11">
        <v>0</v>
      </c>
      <c r="CZI11">
        <v>0</v>
      </c>
      <c r="CZJ11">
        <v>0</v>
      </c>
      <c r="CZK11">
        <v>105</v>
      </c>
      <c r="CZL11">
        <v>105</v>
      </c>
      <c r="CZM11">
        <v>0</v>
      </c>
      <c r="CZN11">
        <v>0</v>
      </c>
      <c r="CZO11">
        <v>0</v>
      </c>
      <c r="CZP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V11">
        <v>0</v>
      </c>
      <c r="CZW11">
        <v>0</v>
      </c>
      <c r="CZX11">
        <v>0</v>
      </c>
      <c r="CZY11">
        <v>0</v>
      </c>
      <c r="CZZ11">
        <v>0</v>
      </c>
      <c r="DAA11">
        <v>0</v>
      </c>
      <c r="DAB11">
        <v>0</v>
      </c>
      <c r="DAC11">
        <v>16</v>
      </c>
      <c r="DAD11">
        <v>0</v>
      </c>
      <c r="DAE11">
        <v>0</v>
      </c>
      <c r="DAF11">
        <v>0</v>
      </c>
      <c r="DAG11">
        <v>0</v>
      </c>
      <c r="DAH11">
        <v>0</v>
      </c>
      <c r="DAI11">
        <v>0</v>
      </c>
      <c r="DAJ11">
        <v>0</v>
      </c>
      <c r="DAK11">
        <v>66.989999999999995</v>
      </c>
      <c r="DAL11">
        <v>30</v>
      </c>
      <c r="DAM11">
        <v>0</v>
      </c>
      <c r="DAN11">
        <v>0</v>
      </c>
      <c r="DAO11">
        <v>0</v>
      </c>
      <c r="DAP11">
        <v>0</v>
      </c>
      <c r="DAQ11">
        <v>0</v>
      </c>
      <c r="DAR11">
        <v>0</v>
      </c>
      <c r="DAS11">
        <v>0</v>
      </c>
      <c r="DAT11">
        <v>0</v>
      </c>
      <c r="DAU11">
        <v>0</v>
      </c>
      <c r="DAV11">
        <v>0</v>
      </c>
      <c r="DAW11">
        <v>0</v>
      </c>
      <c r="DAX11">
        <v>11</v>
      </c>
      <c r="DAY11">
        <v>0</v>
      </c>
      <c r="DAZ11">
        <v>0</v>
      </c>
      <c r="DBA11">
        <v>0</v>
      </c>
      <c r="DBB11">
        <v>0</v>
      </c>
      <c r="DBC11">
        <v>0</v>
      </c>
      <c r="DBD11">
        <v>0</v>
      </c>
      <c r="DBE11">
        <v>0</v>
      </c>
      <c r="DBF11">
        <v>0</v>
      </c>
      <c r="DBG11">
        <v>0</v>
      </c>
      <c r="DBH11">
        <v>0</v>
      </c>
      <c r="DBI11">
        <v>110</v>
      </c>
      <c r="DBJ11">
        <v>0</v>
      </c>
      <c r="DBK11">
        <v>0</v>
      </c>
      <c r="DBL11">
        <v>0</v>
      </c>
      <c r="DBM11">
        <v>0</v>
      </c>
      <c r="DBN11">
        <v>0</v>
      </c>
      <c r="DBO11">
        <v>0</v>
      </c>
      <c r="DBP11">
        <v>0</v>
      </c>
      <c r="DBQ11">
        <v>0</v>
      </c>
      <c r="DBR11">
        <v>0</v>
      </c>
      <c r="DBS11">
        <v>56</v>
      </c>
      <c r="DBT11">
        <v>0</v>
      </c>
      <c r="DBU11">
        <v>0</v>
      </c>
      <c r="DBV11">
        <v>0</v>
      </c>
      <c r="DBW11">
        <v>0</v>
      </c>
      <c r="DBX11">
        <v>0</v>
      </c>
      <c r="DBY11">
        <v>0</v>
      </c>
      <c r="DBZ11">
        <v>0</v>
      </c>
      <c r="DCA11">
        <v>0</v>
      </c>
      <c r="DCB11">
        <v>0</v>
      </c>
      <c r="DCC11">
        <v>0</v>
      </c>
      <c r="DCD11">
        <v>0</v>
      </c>
      <c r="DCE11">
        <v>0</v>
      </c>
      <c r="DCF11">
        <v>0</v>
      </c>
      <c r="DCG11">
        <v>0</v>
      </c>
      <c r="DCH11">
        <v>0</v>
      </c>
      <c r="DCI11">
        <v>0</v>
      </c>
      <c r="DCJ11">
        <v>0</v>
      </c>
      <c r="DCK11">
        <v>113.98</v>
      </c>
      <c r="DCL11">
        <v>68.989999999999995</v>
      </c>
      <c r="DCM11">
        <v>0</v>
      </c>
      <c r="DCN11">
        <v>0</v>
      </c>
      <c r="DCO11">
        <v>0</v>
      </c>
      <c r="DCP11">
        <v>0</v>
      </c>
      <c r="DCQ11">
        <v>0</v>
      </c>
      <c r="DCR11">
        <v>0</v>
      </c>
      <c r="DCS11">
        <v>0</v>
      </c>
      <c r="DCT11">
        <v>0</v>
      </c>
      <c r="DCU11">
        <v>0</v>
      </c>
      <c r="DCV11">
        <v>0</v>
      </c>
      <c r="DCW11">
        <v>0</v>
      </c>
      <c r="DCX11">
        <v>0</v>
      </c>
      <c r="DCY11">
        <v>0</v>
      </c>
      <c r="DCZ11">
        <v>0</v>
      </c>
      <c r="DDA11">
        <v>0</v>
      </c>
      <c r="DDB11">
        <v>0</v>
      </c>
      <c r="DDC11">
        <v>81</v>
      </c>
      <c r="DDD11">
        <v>0</v>
      </c>
      <c r="DDE11">
        <v>0</v>
      </c>
      <c r="DDF11">
        <v>0</v>
      </c>
      <c r="DDG11">
        <v>0</v>
      </c>
      <c r="DDH11">
        <v>0</v>
      </c>
      <c r="DDI11">
        <v>0</v>
      </c>
      <c r="DDJ11">
        <v>0</v>
      </c>
      <c r="DDK11">
        <v>0</v>
      </c>
      <c r="DDL11">
        <v>0</v>
      </c>
      <c r="DDM11">
        <v>0</v>
      </c>
      <c r="DDN11">
        <v>0</v>
      </c>
      <c r="DDO11">
        <v>0</v>
      </c>
      <c r="DDP11">
        <v>0</v>
      </c>
      <c r="DDQ11">
        <v>0</v>
      </c>
      <c r="DDR11">
        <v>0</v>
      </c>
      <c r="DDS11">
        <v>12</v>
      </c>
      <c r="DDT11">
        <v>0</v>
      </c>
      <c r="DDU11">
        <v>0</v>
      </c>
      <c r="DDV11">
        <v>0</v>
      </c>
      <c r="DDW11">
        <v>0</v>
      </c>
      <c r="DDX11">
        <v>0</v>
      </c>
      <c r="DDY11">
        <v>0</v>
      </c>
      <c r="DDZ11">
        <v>0</v>
      </c>
      <c r="DEA11">
        <v>0</v>
      </c>
      <c r="DEB11">
        <v>0</v>
      </c>
      <c r="DEC11">
        <v>87</v>
      </c>
      <c r="DED11">
        <v>0</v>
      </c>
      <c r="DEE11">
        <v>0</v>
      </c>
      <c r="DEF11">
        <v>0</v>
      </c>
      <c r="DEG11">
        <v>0</v>
      </c>
      <c r="DEH11">
        <v>118.99</v>
      </c>
      <c r="DEI11">
        <v>0</v>
      </c>
      <c r="DEJ11">
        <v>0</v>
      </c>
      <c r="DEK11">
        <v>0</v>
      </c>
      <c r="DEL11">
        <v>0</v>
      </c>
      <c r="DEM11">
        <v>57</v>
      </c>
      <c r="DEN11">
        <v>0</v>
      </c>
      <c r="DEO11">
        <v>0</v>
      </c>
      <c r="DEP11">
        <v>0</v>
      </c>
      <c r="DEQ11">
        <v>0</v>
      </c>
      <c r="DER11">
        <v>0</v>
      </c>
      <c r="DES11">
        <v>108.99</v>
      </c>
      <c r="DET11">
        <v>0</v>
      </c>
      <c r="DEU11">
        <v>0</v>
      </c>
      <c r="DEV11">
        <v>0</v>
      </c>
      <c r="DEW11">
        <v>6</v>
      </c>
      <c r="DEX11">
        <v>0</v>
      </c>
      <c r="DEY11">
        <v>0</v>
      </c>
      <c r="DEZ11">
        <v>0</v>
      </c>
      <c r="DFA11">
        <v>0</v>
      </c>
      <c r="DFB11">
        <v>0</v>
      </c>
      <c r="DFC11">
        <v>0</v>
      </c>
      <c r="DFD11">
        <v>0</v>
      </c>
      <c r="DFE11">
        <v>0</v>
      </c>
      <c r="DFF11">
        <v>0</v>
      </c>
      <c r="DFG11">
        <v>0</v>
      </c>
      <c r="DFH11">
        <v>0</v>
      </c>
      <c r="DFI11">
        <v>0</v>
      </c>
      <c r="DFJ11">
        <v>0</v>
      </c>
      <c r="DFK11">
        <v>0</v>
      </c>
      <c r="DFL11">
        <v>0</v>
      </c>
      <c r="DFM11">
        <v>0</v>
      </c>
      <c r="DFN11">
        <v>0</v>
      </c>
      <c r="DFO11">
        <v>0</v>
      </c>
      <c r="DFP11">
        <v>0</v>
      </c>
      <c r="DFQ11">
        <v>0</v>
      </c>
      <c r="DFR11">
        <v>0</v>
      </c>
      <c r="DFS11">
        <v>0</v>
      </c>
      <c r="DFT11">
        <v>30.99</v>
      </c>
      <c r="DFU11">
        <v>0</v>
      </c>
      <c r="DFV11">
        <v>0</v>
      </c>
      <c r="DFW11">
        <v>18</v>
      </c>
      <c r="DFX11">
        <v>0</v>
      </c>
      <c r="DFY11">
        <v>0</v>
      </c>
      <c r="DFZ11">
        <v>0</v>
      </c>
      <c r="DGA11">
        <v>0</v>
      </c>
      <c r="DGB11">
        <v>0</v>
      </c>
      <c r="DGC11">
        <v>0</v>
      </c>
      <c r="DGD11">
        <v>0</v>
      </c>
      <c r="DGE11">
        <v>0</v>
      </c>
      <c r="DGF11">
        <v>0</v>
      </c>
      <c r="DGG11">
        <v>0</v>
      </c>
      <c r="DGH11">
        <v>0</v>
      </c>
      <c r="DGI11">
        <v>0</v>
      </c>
      <c r="DGJ11">
        <v>0</v>
      </c>
      <c r="DGK11">
        <v>0</v>
      </c>
      <c r="DGL11">
        <v>0</v>
      </c>
      <c r="DGM11">
        <v>0</v>
      </c>
      <c r="DGN11">
        <v>0</v>
      </c>
      <c r="DGO11">
        <v>0</v>
      </c>
      <c r="DGP11">
        <v>0</v>
      </c>
      <c r="DGQ11">
        <v>126.89</v>
      </c>
      <c r="DGR11">
        <v>0</v>
      </c>
      <c r="DGS11">
        <v>0</v>
      </c>
      <c r="DGT11">
        <v>0</v>
      </c>
      <c r="DGU11">
        <v>0</v>
      </c>
      <c r="DGV11">
        <v>0</v>
      </c>
      <c r="DGW11">
        <v>0</v>
      </c>
      <c r="DGX11">
        <v>0</v>
      </c>
      <c r="DGY11">
        <v>0</v>
      </c>
      <c r="DGZ11">
        <v>0</v>
      </c>
      <c r="DHA11">
        <v>0</v>
      </c>
      <c r="DHB11">
        <v>0</v>
      </c>
      <c r="DHC11">
        <v>0</v>
      </c>
      <c r="DHD11">
        <v>0</v>
      </c>
      <c r="DHE11">
        <v>0</v>
      </c>
      <c r="DHF11">
        <v>0</v>
      </c>
      <c r="DHG11">
        <v>0</v>
      </c>
      <c r="DHH11">
        <v>0</v>
      </c>
      <c r="DHI11">
        <v>0</v>
      </c>
      <c r="DHJ11">
        <v>0</v>
      </c>
      <c r="DHK11">
        <v>0</v>
      </c>
      <c r="DHL11">
        <v>0</v>
      </c>
      <c r="DHM11">
        <v>0</v>
      </c>
      <c r="DHN11">
        <v>0</v>
      </c>
      <c r="DHO11">
        <v>0</v>
      </c>
      <c r="DHP11">
        <v>0</v>
      </c>
      <c r="DHQ11">
        <v>0</v>
      </c>
      <c r="DHR11">
        <v>0</v>
      </c>
      <c r="DHS11">
        <v>0</v>
      </c>
      <c r="DHT11">
        <v>0</v>
      </c>
      <c r="DHU11">
        <v>0</v>
      </c>
      <c r="DHV11">
        <v>0</v>
      </c>
      <c r="DHW11">
        <v>0</v>
      </c>
      <c r="DHX11">
        <v>0</v>
      </c>
      <c r="DHY11">
        <v>46</v>
      </c>
      <c r="DHZ11">
        <v>0</v>
      </c>
      <c r="DIA11">
        <v>0</v>
      </c>
      <c r="DIB11">
        <v>0</v>
      </c>
      <c r="DIC11">
        <v>0</v>
      </c>
      <c r="DID11">
        <v>0</v>
      </c>
      <c r="DIE11">
        <v>0</v>
      </c>
      <c r="DIF11">
        <v>0</v>
      </c>
      <c r="DIG11">
        <v>0</v>
      </c>
      <c r="DIH11">
        <v>0</v>
      </c>
      <c r="DII11">
        <v>0</v>
      </c>
      <c r="DIJ11">
        <v>0</v>
      </c>
      <c r="DIK11">
        <v>0</v>
      </c>
      <c r="DIL11">
        <v>0</v>
      </c>
      <c r="DIM11">
        <v>0</v>
      </c>
      <c r="DIN11">
        <v>0</v>
      </c>
      <c r="DIO11">
        <v>0</v>
      </c>
      <c r="DIP11">
        <v>0</v>
      </c>
      <c r="DIQ11">
        <v>0</v>
      </c>
      <c r="DIR11">
        <v>0</v>
      </c>
      <c r="DIS11">
        <v>0</v>
      </c>
      <c r="DIT11">
        <v>0</v>
      </c>
      <c r="DIU11">
        <v>0</v>
      </c>
      <c r="DIV11">
        <v>132</v>
      </c>
      <c r="DIW11">
        <v>0</v>
      </c>
      <c r="DIX11">
        <v>132.99</v>
      </c>
      <c r="DIY11">
        <v>0</v>
      </c>
      <c r="DIZ11">
        <v>0</v>
      </c>
      <c r="DJA11">
        <v>0</v>
      </c>
      <c r="DJB11">
        <v>0</v>
      </c>
      <c r="DJC11">
        <v>0</v>
      </c>
      <c r="DJD11">
        <v>0</v>
      </c>
      <c r="DJE11">
        <v>0</v>
      </c>
      <c r="DJF11">
        <v>133.99</v>
      </c>
      <c r="DJG11">
        <v>0</v>
      </c>
      <c r="DJH11">
        <v>0</v>
      </c>
      <c r="DJI11">
        <v>134</v>
      </c>
      <c r="DJJ11">
        <v>0</v>
      </c>
      <c r="DJK11">
        <v>0</v>
      </c>
      <c r="DJL11">
        <v>0</v>
      </c>
      <c r="DJM11">
        <v>0</v>
      </c>
      <c r="DJN11">
        <v>0</v>
      </c>
      <c r="DJO11">
        <v>0</v>
      </c>
      <c r="DJP11">
        <v>0</v>
      </c>
      <c r="DJQ11">
        <v>0</v>
      </c>
      <c r="DJR11">
        <v>0</v>
      </c>
      <c r="DJS11">
        <v>0</v>
      </c>
      <c r="DJT11">
        <v>0</v>
      </c>
      <c r="DJU11">
        <v>0</v>
      </c>
      <c r="DJV11">
        <v>0</v>
      </c>
      <c r="DJW11">
        <v>0</v>
      </c>
      <c r="DJX11">
        <v>0</v>
      </c>
      <c r="DJY11">
        <v>0</v>
      </c>
      <c r="DJZ11">
        <v>0</v>
      </c>
      <c r="DKA11">
        <v>0</v>
      </c>
      <c r="DKB11">
        <v>0</v>
      </c>
      <c r="DKC11">
        <v>0</v>
      </c>
      <c r="DKD11">
        <v>0</v>
      </c>
      <c r="DKE11">
        <v>0</v>
      </c>
      <c r="DKF11">
        <v>0</v>
      </c>
      <c r="DKG11">
        <v>0</v>
      </c>
      <c r="DKH11">
        <v>0</v>
      </c>
      <c r="DKI11">
        <v>0</v>
      </c>
      <c r="DKJ11">
        <v>0</v>
      </c>
      <c r="DKK11">
        <v>0</v>
      </c>
      <c r="DKL11">
        <v>0</v>
      </c>
      <c r="DKM11">
        <v>0</v>
      </c>
      <c r="DKN11">
        <v>0</v>
      </c>
      <c r="DKO11">
        <v>0</v>
      </c>
      <c r="DKP11">
        <v>0</v>
      </c>
      <c r="DKQ11">
        <v>0</v>
      </c>
      <c r="DKR11">
        <v>0</v>
      </c>
      <c r="DKS11">
        <v>0</v>
      </c>
      <c r="DKT11">
        <v>0</v>
      </c>
      <c r="DKU11">
        <v>0</v>
      </c>
      <c r="DKV11">
        <v>0</v>
      </c>
      <c r="DKW11">
        <v>0</v>
      </c>
      <c r="DKX11">
        <v>139.99</v>
      </c>
      <c r="DKY11">
        <v>0</v>
      </c>
      <c r="DKZ11">
        <v>0</v>
      </c>
      <c r="DLA11">
        <v>0</v>
      </c>
      <c r="DLB11">
        <v>0</v>
      </c>
      <c r="DLC11">
        <v>0</v>
      </c>
      <c r="DLD11">
        <v>0</v>
      </c>
      <c r="DLE11">
        <v>0</v>
      </c>
      <c r="DLF11">
        <v>0</v>
      </c>
      <c r="DLG11">
        <v>0</v>
      </c>
      <c r="DLH11">
        <v>0</v>
      </c>
      <c r="DLI11">
        <v>141</v>
      </c>
      <c r="DLJ11">
        <v>0</v>
      </c>
      <c r="DLK11">
        <v>0</v>
      </c>
      <c r="DLL11">
        <v>0</v>
      </c>
      <c r="DLM11">
        <v>0</v>
      </c>
      <c r="DLN11">
        <v>0</v>
      </c>
      <c r="DLO11">
        <v>25.98</v>
      </c>
      <c r="DLP11">
        <v>0</v>
      </c>
      <c r="DLQ11">
        <v>0</v>
      </c>
      <c r="DLR11">
        <v>0</v>
      </c>
      <c r="DLS11">
        <v>0</v>
      </c>
      <c r="DLT11">
        <v>0</v>
      </c>
      <c r="DLU11">
        <v>0</v>
      </c>
      <c r="DLV11">
        <v>0</v>
      </c>
      <c r="DLW11">
        <v>0</v>
      </c>
      <c r="DLX11">
        <v>0</v>
      </c>
      <c r="DLY11">
        <v>88.99</v>
      </c>
      <c r="DLZ11">
        <v>0</v>
      </c>
      <c r="DMA11">
        <v>0</v>
      </c>
      <c r="DMB11">
        <v>0</v>
      </c>
      <c r="DMC11">
        <v>0</v>
      </c>
      <c r="DMD11">
        <v>0</v>
      </c>
      <c r="DME11">
        <v>0</v>
      </c>
      <c r="DMF11">
        <v>146</v>
      </c>
      <c r="DMG11">
        <v>0</v>
      </c>
      <c r="DMH11">
        <v>0</v>
      </c>
      <c r="DMI11">
        <v>24</v>
      </c>
      <c r="DMJ11">
        <v>0</v>
      </c>
      <c r="DMK11">
        <v>0</v>
      </c>
      <c r="DML11">
        <v>0</v>
      </c>
      <c r="DMM11">
        <v>0</v>
      </c>
      <c r="DMN11">
        <v>0</v>
      </c>
      <c r="DMO11">
        <v>8</v>
      </c>
      <c r="DMP11">
        <v>0</v>
      </c>
      <c r="DMQ11">
        <v>147</v>
      </c>
      <c r="DMR11">
        <v>0</v>
      </c>
      <c r="DMS11">
        <v>0</v>
      </c>
      <c r="DMT11">
        <v>0</v>
      </c>
      <c r="DMU11">
        <v>0</v>
      </c>
      <c r="DMV11">
        <v>0</v>
      </c>
      <c r="DMW11">
        <v>0</v>
      </c>
      <c r="DMX11">
        <v>0</v>
      </c>
      <c r="DMY11">
        <v>0</v>
      </c>
      <c r="DMZ11">
        <v>0</v>
      </c>
      <c r="DNA11">
        <v>0</v>
      </c>
      <c r="DNB11">
        <v>0</v>
      </c>
      <c r="DNC11">
        <v>0</v>
      </c>
      <c r="DND11">
        <v>149</v>
      </c>
      <c r="DNE11">
        <v>0</v>
      </c>
      <c r="DNF11">
        <v>0</v>
      </c>
      <c r="DNG11">
        <v>0</v>
      </c>
      <c r="DNH11">
        <v>0</v>
      </c>
      <c r="DNI11">
        <v>0</v>
      </c>
      <c r="DNJ11">
        <v>0</v>
      </c>
      <c r="DNK11">
        <v>0</v>
      </c>
      <c r="DNL11">
        <v>0</v>
      </c>
      <c r="DNM11">
        <v>0</v>
      </c>
      <c r="DNN11">
        <v>0</v>
      </c>
      <c r="DNO11">
        <v>0</v>
      </c>
      <c r="DNP11">
        <v>0</v>
      </c>
      <c r="DNQ11">
        <v>0</v>
      </c>
      <c r="DNR11">
        <v>0</v>
      </c>
      <c r="DNS11">
        <v>0</v>
      </c>
      <c r="DNT11">
        <v>0</v>
      </c>
      <c r="DNU11">
        <v>0</v>
      </c>
      <c r="DNV11">
        <v>0</v>
      </c>
      <c r="DNW11">
        <v>0</v>
      </c>
      <c r="DNX11">
        <v>0</v>
      </c>
      <c r="DNY11">
        <v>0</v>
      </c>
      <c r="DNZ11">
        <v>0</v>
      </c>
      <c r="DOA11">
        <v>0</v>
      </c>
      <c r="DOB11">
        <v>0</v>
      </c>
      <c r="DOC11">
        <v>38</v>
      </c>
      <c r="DOD11">
        <v>0</v>
      </c>
      <c r="DOE11">
        <v>0</v>
      </c>
      <c r="DOF11">
        <v>0</v>
      </c>
      <c r="DOG11">
        <v>0</v>
      </c>
      <c r="DOH11">
        <v>0</v>
      </c>
      <c r="DOI11">
        <v>0</v>
      </c>
      <c r="DOJ11">
        <v>0</v>
      </c>
      <c r="DOK11">
        <v>0</v>
      </c>
      <c r="DOL11">
        <v>0</v>
      </c>
      <c r="DOM11">
        <v>0</v>
      </c>
      <c r="DON11">
        <v>9</v>
      </c>
      <c r="DOO11">
        <v>0</v>
      </c>
      <c r="DOP11">
        <v>0</v>
      </c>
      <c r="DOQ11">
        <v>0</v>
      </c>
      <c r="DOR11">
        <v>0</v>
      </c>
      <c r="DOS11">
        <v>0</v>
      </c>
      <c r="DOT11">
        <v>0</v>
      </c>
      <c r="DOU11">
        <v>0</v>
      </c>
      <c r="DOV11">
        <v>0</v>
      </c>
      <c r="DOW11">
        <v>0</v>
      </c>
      <c r="DOX11">
        <v>0</v>
      </c>
      <c r="DOY11">
        <v>0</v>
      </c>
      <c r="DOZ11">
        <v>0</v>
      </c>
      <c r="DPA11">
        <v>0</v>
      </c>
      <c r="DPB11">
        <v>0</v>
      </c>
      <c r="DPC11">
        <v>142</v>
      </c>
      <c r="DPD11">
        <v>0</v>
      </c>
      <c r="DPE11">
        <v>0</v>
      </c>
      <c r="DPF11">
        <v>0</v>
      </c>
      <c r="DPG11">
        <v>0</v>
      </c>
      <c r="DPH11">
        <v>0</v>
      </c>
      <c r="DPI11">
        <v>0</v>
      </c>
      <c r="DPJ11">
        <v>0</v>
      </c>
      <c r="DPK11">
        <v>0</v>
      </c>
      <c r="DPL11">
        <v>0</v>
      </c>
      <c r="DPM11">
        <v>0</v>
      </c>
      <c r="DPN11">
        <v>158.99</v>
      </c>
      <c r="DPO11">
        <v>0</v>
      </c>
      <c r="DPP11">
        <v>0</v>
      </c>
      <c r="DPQ11">
        <v>0</v>
      </c>
      <c r="DPR11">
        <v>0</v>
      </c>
      <c r="DPS11">
        <v>159</v>
      </c>
      <c r="DPT11">
        <v>0</v>
      </c>
      <c r="DPU11">
        <v>0</v>
      </c>
      <c r="DPV11">
        <v>50</v>
      </c>
      <c r="DPW11">
        <v>0</v>
      </c>
      <c r="DPX11">
        <v>0</v>
      </c>
      <c r="DPY11">
        <v>0</v>
      </c>
      <c r="DPZ11">
        <v>0</v>
      </c>
      <c r="DQA11">
        <v>0</v>
      </c>
      <c r="DQB11">
        <v>0</v>
      </c>
      <c r="DQC11">
        <v>0</v>
      </c>
      <c r="DQD11">
        <v>0</v>
      </c>
      <c r="DQE11">
        <v>0</v>
      </c>
      <c r="DQF11">
        <v>78.989999999999995</v>
      </c>
      <c r="DQG11">
        <v>0</v>
      </c>
      <c r="DQH11">
        <v>0</v>
      </c>
      <c r="DQI11">
        <v>0</v>
      </c>
      <c r="DQJ11">
        <v>0</v>
      </c>
      <c r="DQK11">
        <v>0</v>
      </c>
      <c r="DQL11">
        <v>163.99</v>
      </c>
      <c r="DQM11">
        <v>0</v>
      </c>
      <c r="DQN11">
        <v>0</v>
      </c>
      <c r="DQO11">
        <v>164</v>
      </c>
      <c r="DQP11">
        <v>91.99</v>
      </c>
      <c r="DQQ11">
        <v>0</v>
      </c>
      <c r="DQR11">
        <v>0</v>
      </c>
      <c r="DQS11">
        <v>0</v>
      </c>
      <c r="DQT11">
        <v>46.99</v>
      </c>
      <c r="DQU11">
        <v>165</v>
      </c>
      <c r="DQV11">
        <v>0</v>
      </c>
      <c r="DQW11">
        <v>0</v>
      </c>
      <c r="DQX11">
        <v>39</v>
      </c>
      <c r="DQY11">
        <v>166</v>
      </c>
      <c r="DQZ11">
        <v>0</v>
      </c>
      <c r="DRA11">
        <v>0</v>
      </c>
      <c r="DRB11">
        <v>0</v>
      </c>
      <c r="DRC11">
        <v>0</v>
      </c>
      <c r="DRD11">
        <v>0</v>
      </c>
      <c r="DRE11">
        <v>0</v>
      </c>
      <c r="DRF11">
        <v>0</v>
      </c>
      <c r="DRG11">
        <v>0</v>
      </c>
      <c r="DRH11">
        <v>0</v>
      </c>
      <c r="DRI11">
        <v>0</v>
      </c>
      <c r="DRJ11">
        <v>0</v>
      </c>
      <c r="DRK11">
        <v>0</v>
      </c>
      <c r="DRL11">
        <v>0</v>
      </c>
      <c r="DRM11">
        <v>0</v>
      </c>
      <c r="DRN11">
        <v>0</v>
      </c>
      <c r="DRO11">
        <v>0</v>
      </c>
      <c r="DRP11">
        <v>0</v>
      </c>
      <c r="DRQ11">
        <v>0</v>
      </c>
      <c r="DRR11">
        <v>0</v>
      </c>
      <c r="DRS11">
        <v>170.99</v>
      </c>
      <c r="DRT11">
        <v>0</v>
      </c>
      <c r="DRU11">
        <v>0</v>
      </c>
      <c r="DRV11">
        <v>0</v>
      </c>
      <c r="DRW11">
        <v>28</v>
      </c>
      <c r="DRX11">
        <v>0</v>
      </c>
      <c r="DRY11">
        <v>0</v>
      </c>
      <c r="DRZ11">
        <v>0</v>
      </c>
      <c r="DSA11">
        <v>0</v>
      </c>
      <c r="DSB11">
        <v>0</v>
      </c>
      <c r="DSC11">
        <v>0</v>
      </c>
      <c r="DSD11">
        <v>0</v>
      </c>
      <c r="DSE11">
        <v>0</v>
      </c>
      <c r="DSF11">
        <v>173</v>
      </c>
      <c r="DSG11">
        <v>173</v>
      </c>
      <c r="DSH11">
        <v>0</v>
      </c>
      <c r="DSI11">
        <v>0</v>
      </c>
      <c r="DSJ11">
        <v>0</v>
      </c>
      <c r="DSK11">
        <v>0</v>
      </c>
      <c r="DSL11">
        <v>145.99</v>
      </c>
      <c r="DSM11">
        <v>0</v>
      </c>
      <c r="DSN11">
        <v>0</v>
      </c>
      <c r="DSO11">
        <v>0</v>
      </c>
      <c r="DSP11">
        <v>0</v>
      </c>
      <c r="DSQ11">
        <v>0</v>
      </c>
      <c r="DSR11">
        <v>0</v>
      </c>
      <c r="DSS11">
        <v>0</v>
      </c>
      <c r="DST11">
        <v>0</v>
      </c>
      <c r="DSU11">
        <v>0</v>
      </c>
      <c r="DSV11">
        <v>174.99</v>
      </c>
      <c r="DSW11">
        <v>0</v>
      </c>
      <c r="DSX11">
        <v>0</v>
      </c>
      <c r="DSY11">
        <v>0</v>
      </c>
      <c r="DSZ11">
        <v>0</v>
      </c>
      <c r="DTA11">
        <v>0</v>
      </c>
      <c r="DTB11">
        <v>0</v>
      </c>
      <c r="DTC11">
        <v>0</v>
      </c>
      <c r="DTD11">
        <v>0</v>
      </c>
      <c r="DTE11">
        <v>0</v>
      </c>
      <c r="DTF11">
        <v>0</v>
      </c>
      <c r="DTG11">
        <v>177.96</v>
      </c>
      <c r="DTH11">
        <v>0</v>
      </c>
      <c r="DTI11">
        <v>0</v>
      </c>
      <c r="DTJ11">
        <v>0</v>
      </c>
      <c r="DTK11">
        <v>178.99</v>
      </c>
      <c r="DTL11">
        <v>0</v>
      </c>
      <c r="DTM11">
        <v>0</v>
      </c>
      <c r="DTN11">
        <v>0</v>
      </c>
      <c r="DTO11">
        <v>0</v>
      </c>
      <c r="DTP11">
        <v>0</v>
      </c>
      <c r="DTQ11">
        <v>0</v>
      </c>
      <c r="DTR11">
        <v>180</v>
      </c>
      <c r="DTS11">
        <v>0</v>
      </c>
      <c r="DTT11">
        <v>0</v>
      </c>
      <c r="DTU11">
        <v>0</v>
      </c>
      <c r="DTV11">
        <v>0</v>
      </c>
      <c r="DTW11">
        <v>0</v>
      </c>
      <c r="DTX11">
        <v>0</v>
      </c>
      <c r="DTY11">
        <v>0</v>
      </c>
      <c r="DTZ11">
        <v>66</v>
      </c>
      <c r="DUA11">
        <v>0</v>
      </c>
      <c r="DUB11">
        <v>0</v>
      </c>
      <c r="DUC11">
        <v>0</v>
      </c>
      <c r="DUD11">
        <v>0</v>
      </c>
      <c r="DUE11">
        <v>9</v>
      </c>
      <c r="DUF11">
        <v>0</v>
      </c>
      <c r="DUG11">
        <v>0</v>
      </c>
      <c r="DUH11">
        <v>0</v>
      </c>
      <c r="DUI11">
        <v>0</v>
      </c>
      <c r="DUJ11">
        <v>0</v>
      </c>
      <c r="DUK11">
        <v>0</v>
      </c>
      <c r="DUL11">
        <v>0</v>
      </c>
      <c r="DUM11">
        <v>0</v>
      </c>
      <c r="DUN11">
        <v>0</v>
      </c>
      <c r="DUO11">
        <v>0</v>
      </c>
      <c r="DUP11">
        <v>0</v>
      </c>
      <c r="DUQ11">
        <v>0</v>
      </c>
      <c r="DUR11">
        <v>0</v>
      </c>
      <c r="DUS11">
        <v>0</v>
      </c>
      <c r="DUT11">
        <v>31</v>
      </c>
      <c r="DUU11">
        <v>0</v>
      </c>
      <c r="DUV11">
        <v>0</v>
      </c>
      <c r="DUW11">
        <v>0</v>
      </c>
      <c r="DUX11">
        <v>0</v>
      </c>
      <c r="DUY11">
        <v>0</v>
      </c>
      <c r="DUZ11">
        <v>0</v>
      </c>
      <c r="DVA11">
        <v>0</v>
      </c>
      <c r="DVB11">
        <v>0</v>
      </c>
      <c r="DVC11">
        <v>0</v>
      </c>
      <c r="DVD11">
        <v>187.99</v>
      </c>
      <c r="DVE11">
        <v>0</v>
      </c>
      <c r="DVF11">
        <v>0</v>
      </c>
      <c r="DVG11">
        <v>0</v>
      </c>
      <c r="DVH11">
        <v>0</v>
      </c>
      <c r="DVI11">
        <v>0</v>
      </c>
      <c r="DVJ11">
        <v>0</v>
      </c>
      <c r="DVK11">
        <v>0</v>
      </c>
      <c r="DVL11">
        <v>41</v>
      </c>
      <c r="DVM11">
        <v>0</v>
      </c>
      <c r="DVN11">
        <v>0</v>
      </c>
      <c r="DVO11">
        <v>0</v>
      </c>
      <c r="DVP11">
        <v>0</v>
      </c>
      <c r="DVQ11">
        <v>0</v>
      </c>
      <c r="DVR11">
        <v>0</v>
      </c>
      <c r="DVS11">
        <v>0</v>
      </c>
      <c r="DVT11">
        <v>0</v>
      </c>
      <c r="DVU11">
        <v>0</v>
      </c>
      <c r="DVV11">
        <v>144</v>
      </c>
      <c r="DVW11">
        <v>193.98</v>
      </c>
      <c r="DVX11">
        <v>0</v>
      </c>
      <c r="DVY11">
        <v>0</v>
      </c>
      <c r="DVZ11">
        <v>0</v>
      </c>
      <c r="DWA11">
        <v>0</v>
      </c>
      <c r="DWB11">
        <v>0</v>
      </c>
      <c r="DWC11">
        <v>0</v>
      </c>
      <c r="DWD11">
        <v>59.95</v>
      </c>
      <c r="DWE11">
        <v>0</v>
      </c>
      <c r="DWF11">
        <v>0</v>
      </c>
      <c r="DWG11">
        <v>0</v>
      </c>
      <c r="DWH11">
        <v>0</v>
      </c>
      <c r="DWI11">
        <v>0</v>
      </c>
      <c r="DWJ11">
        <v>0</v>
      </c>
      <c r="DWK11">
        <v>0</v>
      </c>
      <c r="DWL11">
        <v>0</v>
      </c>
      <c r="DWM11">
        <v>0</v>
      </c>
      <c r="DWN11">
        <v>0</v>
      </c>
      <c r="DWO11">
        <v>0</v>
      </c>
      <c r="DWP11">
        <v>199</v>
      </c>
      <c r="DWQ11">
        <v>0</v>
      </c>
      <c r="DWR11">
        <v>0</v>
      </c>
      <c r="DWS11">
        <v>199.99</v>
      </c>
      <c r="DWT11">
        <v>0</v>
      </c>
      <c r="DWU11">
        <v>8</v>
      </c>
      <c r="DWV11">
        <v>0</v>
      </c>
      <c r="DWW11">
        <v>0</v>
      </c>
      <c r="DWX11">
        <v>0</v>
      </c>
      <c r="DWY11">
        <v>0</v>
      </c>
      <c r="DWZ11">
        <v>0</v>
      </c>
      <c r="DXA11">
        <v>0</v>
      </c>
      <c r="DXB11">
        <v>0</v>
      </c>
      <c r="DXC11">
        <v>0</v>
      </c>
      <c r="DXD11">
        <v>0</v>
      </c>
      <c r="DXE11">
        <v>0</v>
      </c>
      <c r="DXF11">
        <v>0</v>
      </c>
      <c r="DXG11">
        <v>113.99</v>
      </c>
      <c r="DXH11">
        <v>0</v>
      </c>
      <c r="DXI11">
        <v>0</v>
      </c>
      <c r="DXJ11">
        <v>0</v>
      </c>
      <c r="DXK11">
        <v>0</v>
      </c>
      <c r="DXL11">
        <v>0</v>
      </c>
      <c r="DXM11">
        <v>12</v>
      </c>
      <c r="DXN11">
        <v>0</v>
      </c>
      <c r="DXO11">
        <v>0</v>
      </c>
      <c r="DXP11">
        <v>0</v>
      </c>
      <c r="DXQ11">
        <v>0</v>
      </c>
      <c r="DXR11">
        <v>68</v>
      </c>
      <c r="DXS11">
        <v>0</v>
      </c>
      <c r="DXT11">
        <v>0</v>
      </c>
      <c r="DXU11">
        <v>0</v>
      </c>
      <c r="DXV11">
        <v>0</v>
      </c>
      <c r="DXW11">
        <v>0</v>
      </c>
      <c r="DXX11">
        <v>0</v>
      </c>
      <c r="DXY11">
        <v>0</v>
      </c>
      <c r="DXZ11">
        <v>0</v>
      </c>
      <c r="DYA11">
        <v>89.99</v>
      </c>
      <c r="DYB11">
        <v>0</v>
      </c>
      <c r="DYC11">
        <v>0</v>
      </c>
      <c r="DYD11">
        <v>0</v>
      </c>
      <c r="DYE11">
        <v>0</v>
      </c>
      <c r="DYF11">
        <v>0</v>
      </c>
      <c r="DYG11">
        <v>0</v>
      </c>
      <c r="DYH11">
        <v>0</v>
      </c>
      <c r="DYI11">
        <v>0</v>
      </c>
      <c r="DYJ11">
        <v>0</v>
      </c>
      <c r="DYK11">
        <v>0</v>
      </c>
      <c r="DYL11">
        <v>0</v>
      </c>
      <c r="DYM11">
        <v>0</v>
      </c>
      <c r="DYN11">
        <v>0</v>
      </c>
      <c r="DYO11">
        <v>0</v>
      </c>
      <c r="DYP11">
        <v>0</v>
      </c>
      <c r="DYQ11">
        <v>0</v>
      </c>
      <c r="DYR11">
        <v>0</v>
      </c>
      <c r="DYS11">
        <v>0</v>
      </c>
      <c r="DYT11">
        <v>0</v>
      </c>
      <c r="DYU11">
        <v>0</v>
      </c>
      <c r="DYV11">
        <v>173</v>
      </c>
      <c r="DYW11">
        <v>0</v>
      </c>
      <c r="DYX11">
        <v>0</v>
      </c>
      <c r="DYY11">
        <v>0</v>
      </c>
      <c r="DYZ11">
        <v>0</v>
      </c>
      <c r="DZA11">
        <v>0</v>
      </c>
      <c r="DZB11">
        <v>0</v>
      </c>
      <c r="DZC11">
        <v>215</v>
      </c>
      <c r="DZD11">
        <v>0</v>
      </c>
      <c r="DZE11">
        <v>0</v>
      </c>
      <c r="DZF11">
        <v>0</v>
      </c>
      <c r="DZG11">
        <v>0</v>
      </c>
      <c r="DZH11">
        <v>0</v>
      </c>
      <c r="DZI11">
        <v>0</v>
      </c>
      <c r="DZJ11">
        <v>40</v>
      </c>
      <c r="DZK11">
        <v>0</v>
      </c>
      <c r="DZL11">
        <v>0</v>
      </c>
      <c r="DZM11">
        <v>165.99</v>
      </c>
      <c r="DZN11">
        <v>216.99</v>
      </c>
      <c r="DZO11">
        <v>0</v>
      </c>
      <c r="DZP11">
        <v>0</v>
      </c>
      <c r="DZQ11">
        <v>0</v>
      </c>
      <c r="DZR11">
        <v>0</v>
      </c>
      <c r="DZS11">
        <v>0</v>
      </c>
      <c r="DZT11">
        <v>0</v>
      </c>
      <c r="DZU11">
        <v>0</v>
      </c>
      <c r="DZV11">
        <v>0</v>
      </c>
      <c r="DZW11">
        <v>0</v>
      </c>
      <c r="DZX11">
        <v>0</v>
      </c>
      <c r="DZY11">
        <v>0</v>
      </c>
      <c r="DZZ11">
        <v>0</v>
      </c>
      <c r="EAA11">
        <v>0</v>
      </c>
      <c r="EAB11">
        <v>31</v>
      </c>
      <c r="EAC11">
        <v>0</v>
      </c>
      <c r="EAD11">
        <v>144.99</v>
      </c>
      <c r="EAE11">
        <v>0</v>
      </c>
      <c r="EAF11">
        <v>0</v>
      </c>
      <c r="EAG11">
        <v>0</v>
      </c>
      <c r="EAH11">
        <v>0</v>
      </c>
      <c r="EAI11">
        <v>0</v>
      </c>
      <c r="EAJ11">
        <v>0</v>
      </c>
      <c r="EAK11">
        <v>0</v>
      </c>
      <c r="EAL11">
        <v>0</v>
      </c>
      <c r="EAM11">
        <v>0</v>
      </c>
      <c r="EAN11">
        <v>0</v>
      </c>
      <c r="EAO11">
        <v>0</v>
      </c>
      <c r="EAP11">
        <v>0</v>
      </c>
      <c r="EAQ11">
        <v>0</v>
      </c>
      <c r="EAR11">
        <v>0</v>
      </c>
      <c r="EAS11">
        <v>0</v>
      </c>
      <c r="EAT11">
        <v>0</v>
      </c>
      <c r="EAU11">
        <v>0</v>
      </c>
      <c r="EAV11">
        <v>0</v>
      </c>
      <c r="EAW11">
        <v>0</v>
      </c>
      <c r="EAX11">
        <v>0</v>
      </c>
      <c r="EAY11">
        <v>0</v>
      </c>
      <c r="EAZ11">
        <v>0</v>
      </c>
      <c r="EBA11">
        <v>0</v>
      </c>
      <c r="EBB11">
        <v>0</v>
      </c>
      <c r="EBC11">
        <v>0</v>
      </c>
      <c r="EBD11">
        <v>0</v>
      </c>
      <c r="EBE11">
        <v>0</v>
      </c>
      <c r="EBF11">
        <v>0</v>
      </c>
      <c r="EBG11">
        <v>0</v>
      </c>
      <c r="EBH11">
        <v>0</v>
      </c>
      <c r="EBI11">
        <v>17</v>
      </c>
      <c r="EBJ11">
        <v>0</v>
      </c>
      <c r="EBK11">
        <v>0</v>
      </c>
      <c r="EBL11">
        <v>0</v>
      </c>
      <c r="EBM11">
        <v>0</v>
      </c>
      <c r="EBN11">
        <v>0</v>
      </c>
      <c r="EBO11">
        <v>0</v>
      </c>
      <c r="EBP11">
        <v>0</v>
      </c>
      <c r="EBQ11">
        <v>0</v>
      </c>
      <c r="EBR11">
        <v>0</v>
      </c>
      <c r="EBS11">
        <v>0</v>
      </c>
      <c r="EBT11">
        <v>0</v>
      </c>
      <c r="EBU11">
        <v>0</v>
      </c>
      <c r="EBV11">
        <v>0</v>
      </c>
      <c r="EBW11">
        <v>235.99</v>
      </c>
      <c r="EBX11">
        <v>0</v>
      </c>
      <c r="EBY11">
        <v>0</v>
      </c>
      <c r="EBZ11">
        <v>0</v>
      </c>
      <c r="ECA11">
        <v>0</v>
      </c>
      <c r="ECB11">
        <v>0</v>
      </c>
      <c r="ECC11">
        <v>0</v>
      </c>
      <c r="ECD11">
        <v>0</v>
      </c>
      <c r="ECE11">
        <v>0</v>
      </c>
      <c r="ECF11">
        <v>33</v>
      </c>
      <c r="ECG11">
        <v>41</v>
      </c>
      <c r="ECH11">
        <v>0</v>
      </c>
      <c r="ECI11">
        <v>0</v>
      </c>
      <c r="ECJ11">
        <v>0</v>
      </c>
      <c r="ECK11">
        <v>186.51</v>
      </c>
      <c r="ECL11">
        <v>0</v>
      </c>
      <c r="ECM11">
        <v>0</v>
      </c>
      <c r="ECN11">
        <v>0</v>
      </c>
      <c r="ECO11">
        <v>0</v>
      </c>
      <c r="ECP11">
        <v>0</v>
      </c>
      <c r="ECQ11">
        <v>243</v>
      </c>
      <c r="ECR11">
        <v>0</v>
      </c>
      <c r="ECS11">
        <v>0</v>
      </c>
      <c r="ECT11">
        <v>0</v>
      </c>
      <c r="ECU11">
        <v>0</v>
      </c>
      <c r="ECV11">
        <v>0</v>
      </c>
      <c r="ECW11">
        <v>0</v>
      </c>
      <c r="ECX11">
        <v>0</v>
      </c>
      <c r="ECY11">
        <v>0</v>
      </c>
      <c r="ECZ11">
        <v>103</v>
      </c>
      <c r="EDA11">
        <v>0</v>
      </c>
      <c r="EDB11">
        <v>0</v>
      </c>
      <c r="EDC11">
        <v>0</v>
      </c>
      <c r="EDD11">
        <v>0</v>
      </c>
      <c r="EDE11">
        <v>215</v>
      </c>
      <c r="EDF11">
        <v>0</v>
      </c>
      <c r="EDG11">
        <v>79</v>
      </c>
      <c r="EDH11">
        <v>0</v>
      </c>
      <c r="EDI11">
        <v>0</v>
      </c>
      <c r="EDJ11">
        <v>0</v>
      </c>
      <c r="EDK11">
        <v>0</v>
      </c>
      <c r="EDL11">
        <v>0</v>
      </c>
      <c r="EDM11">
        <v>33.979999999999997</v>
      </c>
      <c r="EDN11">
        <v>0</v>
      </c>
      <c r="EDO11">
        <v>0</v>
      </c>
      <c r="EDP11">
        <v>0</v>
      </c>
      <c r="EDQ11">
        <v>0</v>
      </c>
      <c r="EDR11">
        <v>0</v>
      </c>
      <c r="EDS11">
        <v>0</v>
      </c>
      <c r="EDT11">
        <v>0</v>
      </c>
      <c r="EDU11">
        <v>0</v>
      </c>
      <c r="EDV11">
        <v>0</v>
      </c>
      <c r="EDW11">
        <v>0</v>
      </c>
      <c r="EDX11">
        <v>0</v>
      </c>
      <c r="EDY11">
        <v>0</v>
      </c>
      <c r="EDZ11">
        <v>0</v>
      </c>
      <c r="EEA11">
        <v>0</v>
      </c>
      <c r="EEB11">
        <v>0</v>
      </c>
      <c r="EEC11">
        <v>0</v>
      </c>
      <c r="EED11">
        <v>0</v>
      </c>
      <c r="EEE11">
        <v>0</v>
      </c>
      <c r="EEF11">
        <v>0</v>
      </c>
      <c r="EEG11">
        <v>246.96</v>
      </c>
      <c r="EEH11">
        <v>0</v>
      </c>
      <c r="EEI11">
        <v>0</v>
      </c>
      <c r="EEJ11">
        <v>0</v>
      </c>
      <c r="EEK11">
        <v>0</v>
      </c>
      <c r="EEL11">
        <v>0</v>
      </c>
      <c r="EEM11">
        <v>0</v>
      </c>
      <c r="EEN11">
        <v>0</v>
      </c>
      <c r="EEO11">
        <v>0</v>
      </c>
      <c r="EEP11">
        <v>0</v>
      </c>
      <c r="EEQ11">
        <v>0</v>
      </c>
      <c r="EER11">
        <v>0</v>
      </c>
      <c r="EES11">
        <v>8</v>
      </c>
      <c r="EET11">
        <v>0</v>
      </c>
      <c r="EEU11">
        <v>0</v>
      </c>
      <c r="EEV11">
        <v>0</v>
      </c>
      <c r="EEW11">
        <v>0</v>
      </c>
      <c r="EEX11">
        <v>0</v>
      </c>
      <c r="EEY11">
        <v>0</v>
      </c>
      <c r="EEZ11">
        <v>0</v>
      </c>
      <c r="EFA11">
        <v>0</v>
      </c>
      <c r="EFB11">
        <v>0</v>
      </c>
      <c r="EFC11">
        <v>0</v>
      </c>
      <c r="EFD11">
        <v>0</v>
      </c>
      <c r="EFE11">
        <v>0</v>
      </c>
      <c r="EFF11">
        <v>0</v>
      </c>
      <c r="EFG11">
        <v>0</v>
      </c>
      <c r="EFH11">
        <v>0</v>
      </c>
      <c r="EFI11">
        <v>0</v>
      </c>
      <c r="EFJ11">
        <v>0</v>
      </c>
      <c r="EFK11">
        <v>0</v>
      </c>
      <c r="EFL11">
        <v>0</v>
      </c>
      <c r="EFM11">
        <v>0</v>
      </c>
      <c r="EFN11">
        <v>0</v>
      </c>
      <c r="EFO11">
        <v>0</v>
      </c>
      <c r="EFP11">
        <v>0</v>
      </c>
      <c r="EFQ11">
        <v>267.95999999999998</v>
      </c>
      <c r="EFR11">
        <v>0</v>
      </c>
      <c r="EFS11">
        <v>268</v>
      </c>
      <c r="EFT11">
        <v>0</v>
      </c>
      <c r="EFU11">
        <v>0</v>
      </c>
      <c r="EFV11">
        <v>0</v>
      </c>
      <c r="EFW11">
        <v>0</v>
      </c>
      <c r="EFX11">
        <v>0</v>
      </c>
      <c r="EFY11">
        <v>0</v>
      </c>
      <c r="EFZ11">
        <v>0</v>
      </c>
      <c r="EGA11">
        <v>0</v>
      </c>
      <c r="EGB11">
        <v>0</v>
      </c>
      <c r="EGC11">
        <v>0</v>
      </c>
      <c r="EGD11">
        <v>139</v>
      </c>
      <c r="EGE11">
        <v>0</v>
      </c>
      <c r="EGF11">
        <v>0</v>
      </c>
      <c r="EGG11">
        <v>0</v>
      </c>
      <c r="EGH11">
        <v>0</v>
      </c>
      <c r="EGI11">
        <v>0</v>
      </c>
      <c r="EGJ11">
        <v>0</v>
      </c>
      <c r="EGK11">
        <v>0</v>
      </c>
      <c r="EGL11">
        <v>0</v>
      </c>
      <c r="EGM11">
        <v>0</v>
      </c>
      <c r="EGN11">
        <v>0</v>
      </c>
      <c r="EGO11">
        <v>0</v>
      </c>
      <c r="EGP11">
        <v>0</v>
      </c>
      <c r="EGQ11">
        <v>0</v>
      </c>
      <c r="EGR11">
        <v>0</v>
      </c>
      <c r="EGS11">
        <v>2</v>
      </c>
      <c r="EGT11">
        <v>0</v>
      </c>
      <c r="EGU11">
        <v>0</v>
      </c>
      <c r="EGV11">
        <v>0</v>
      </c>
      <c r="EGW11">
        <v>63.84</v>
      </c>
      <c r="EGX11">
        <v>0</v>
      </c>
      <c r="EGY11">
        <v>0</v>
      </c>
      <c r="EGZ11">
        <v>0</v>
      </c>
      <c r="EHA11">
        <v>238.99</v>
      </c>
      <c r="EHB11">
        <v>0</v>
      </c>
      <c r="EHC11">
        <v>0</v>
      </c>
      <c r="EHD11">
        <v>0</v>
      </c>
      <c r="EHE11">
        <v>0</v>
      </c>
      <c r="EHF11">
        <v>0</v>
      </c>
      <c r="EHG11">
        <v>0</v>
      </c>
      <c r="EHH11">
        <v>0</v>
      </c>
      <c r="EHI11">
        <v>0</v>
      </c>
      <c r="EHJ11">
        <v>0</v>
      </c>
      <c r="EHK11">
        <v>0</v>
      </c>
      <c r="EHL11">
        <v>0</v>
      </c>
      <c r="EHM11">
        <v>0</v>
      </c>
      <c r="EHN11">
        <v>0</v>
      </c>
      <c r="EHO11">
        <v>0</v>
      </c>
      <c r="EHP11">
        <v>0</v>
      </c>
      <c r="EHQ11">
        <v>0</v>
      </c>
      <c r="EHR11">
        <v>0</v>
      </c>
      <c r="EHS11">
        <v>0</v>
      </c>
      <c r="EHT11">
        <v>0</v>
      </c>
      <c r="EHU11">
        <v>290</v>
      </c>
      <c r="EHV11">
        <v>0</v>
      </c>
      <c r="EHW11">
        <v>0</v>
      </c>
      <c r="EHX11">
        <v>0</v>
      </c>
      <c r="EHY11">
        <v>0</v>
      </c>
      <c r="EHZ11">
        <v>0</v>
      </c>
      <c r="EIA11">
        <v>294</v>
      </c>
      <c r="EIB11">
        <v>0</v>
      </c>
      <c r="EIC11">
        <v>97.99</v>
      </c>
      <c r="EID11">
        <v>0</v>
      </c>
      <c r="EIE11">
        <v>0</v>
      </c>
      <c r="EIF11">
        <v>0</v>
      </c>
      <c r="EIG11">
        <v>0</v>
      </c>
      <c r="EIH11">
        <v>0</v>
      </c>
      <c r="EII11">
        <v>0</v>
      </c>
      <c r="EIJ11">
        <v>0</v>
      </c>
      <c r="EIK11">
        <v>0</v>
      </c>
      <c r="EIL11">
        <v>0</v>
      </c>
      <c r="EIM11">
        <v>0</v>
      </c>
      <c r="EIN11">
        <v>0</v>
      </c>
      <c r="EIO11">
        <v>0</v>
      </c>
      <c r="EIP11">
        <v>0</v>
      </c>
      <c r="EIQ11">
        <v>0</v>
      </c>
      <c r="EIR11">
        <v>0</v>
      </c>
      <c r="EIS11">
        <v>0</v>
      </c>
      <c r="EIT11">
        <v>13</v>
      </c>
      <c r="EIU11">
        <v>0</v>
      </c>
      <c r="EIV11">
        <v>79</v>
      </c>
      <c r="EIW11">
        <v>0</v>
      </c>
      <c r="EIX11">
        <v>0</v>
      </c>
      <c r="EIY11">
        <v>0</v>
      </c>
      <c r="EIZ11">
        <v>0</v>
      </c>
      <c r="EJA11">
        <v>0</v>
      </c>
      <c r="EJB11">
        <v>0</v>
      </c>
      <c r="EJC11">
        <v>0</v>
      </c>
      <c r="EJD11">
        <v>0</v>
      </c>
      <c r="EJE11">
        <v>0</v>
      </c>
      <c r="EJF11">
        <v>0</v>
      </c>
      <c r="EJG11">
        <v>0</v>
      </c>
      <c r="EJH11">
        <v>0</v>
      </c>
      <c r="EJI11">
        <v>306</v>
      </c>
      <c r="EJJ11">
        <v>0</v>
      </c>
      <c r="EJK11">
        <v>0</v>
      </c>
      <c r="EJL11">
        <v>0</v>
      </c>
      <c r="EJM11">
        <v>0</v>
      </c>
      <c r="EJN11">
        <v>0</v>
      </c>
      <c r="EJO11">
        <v>0</v>
      </c>
      <c r="EJP11">
        <v>0</v>
      </c>
      <c r="EJQ11">
        <v>0</v>
      </c>
      <c r="EJR11">
        <v>0</v>
      </c>
      <c r="EJS11">
        <v>0</v>
      </c>
      <c r="EJT11">
        <v>0</v>
      </c>
      <c r="EJU11">
        <v>0</v>
      </c>
      <c r="EJV11">
        <v>0</v>
      </c>
      <c r="EJW11">
        <v>0</v>
      </c>
      <c r="EJX11">
        <v>0</v>
      </c>
      <c r="EJY11">
        <v>0</v>
      </c>
      <c r="EJZ11">
        <v>314.98</v>
      </c>
      <c r="EKA11">
        <v>0</v>
      </c>
      <c r="EKB11">
        <v>0</v>
      </c>
      <c r="EKC11">
        <v>17</v>
      </c>
      <c r="EKD11">
        <v>0</v>
      </c>
      <c r="EKE11">
        <v>0</v>
      </c>
      <c r="EKF11">
        <v>0</v>
      </c>
      <c r="EKG11">
        <v>0</v>
      </c>
      <c r="EKH11">
        <v>0</v>
      </c>
      <c r="EKI11">
        <v>0</v>
      </c>
      <c r="EKJ11">
        <v>0</v>
      </c>
      <c r="EKK11">
        <v>0</v>
      </c>
      <c r="EKL11">
        <v>0</v>
      </c>
      <c r="EKM11">
        <v>0</v>
      </c>
      <c r="EKN11">
        <v>0</v>
      </c>
      <c r="EKO11">
        <v>0</v>
      </c>
      <c r="EKP11">
        <v>5</v>
      </c>
      <c r="EKQ11">
        <v>0</v>
      </c>
      <c r="EKR11">
        <v>0</v>
      </c>
      <c r="EKS11">
        <v>0</v>
      </c>
      <c r="EKT11">
        <v>0</v>
      </c>
      <c r="EKU11">
        <v>0</v>
      </c>
      <c r="EKV11">
        <v>0</v>
      </c>
      <c r="EKW11">
        <v>0</v>
      </c>
      <c r="EKX11">
        <v>0</v>
      </c>
      <c r="EKY11">
        <v>0</v>
      </c>
      <c r="EKZ11">
        <v>0</v>
      </c>
      <c r="ELA11">
        <v>0</v>
      </c>
      <c r="ELB11">
        <v>0</v>
      </c>
      <c r="ELC11">
        <v>0</v>
      </c>
      <c r="ELD11">
        <v>0</v>
      </c>
      <c r="ELE11">
        <v>0</v>
      </c>
      <c r="ELF11">
        <v>0</v>
      </c>
      <c r="ELG11">
        <v>0</v>
      </c>
      <c r="ELH11">
        <v>3</v>
      </c>
      <c r="ELI11">
        <v>0</v>
      </c>
      <c r="ELJ11">
        <v>0</v>
      </c>
      <c r="ELK11">
        <v>329</v>
      </c>
      <c r="ELL11">
        <v>0</v>
      </c>
      <c r="ELM11">
        <v>0</v>
      </c>
      <c r="ELN11">
        <v>0</v>
      </c>
      <c r="ELO11">
        <v>0</v>
      </c>
      <c r="ELP11">
        <v>0</v>
      </c>
      <c r="ELQ11">
        <v>0</v>
      </c>
      <c r="ELR11">
        <v>0</v>
      </c>
      <c r="ELS11">
        <v>0</v>
      </c>
      <c r="ELT11">
        <v>0</v>
      </c>
      <c r="ELU11">
        <v>0</v>
      </c>
      <c r="ELV11">
        <v>150.99</v>
      </c>
      <c r="ELW11">
        <v>0</v>
      </c>
      <c r="ELX11">
        <v>0</v>
      </c>
      <c r="ELY11">
        <v>0</v>
      </c>
      <c r="ELZ11">
        <v>0</v>
      </c>
      <c r="EMA11">
        <v>0</v>
      </c>
      <c r="EMB11">
        <v>17</v>
      </c>
      <c r="EMC11">
        <v>0</v>
      </c>
      <c r="EMD11">
        <v>0</v>
      </c>
      <c r="EME11">
        <v>0</v>
      </c>
      <c r="EMF11">
        <v>339.96</v>
      </c>
      <c r="EMG11">
        <v>27</v>
      </c>
      <c r="EMH11">
        <v>0</v>
      </c>
      <c r="EMI11">
        <v>0</v>
      </c>
      <c r="EMJ11">
        <v>0</v>
      </c>
      <c r="EMK11">
        <v>0</v>
      </c>
      <c r="EML11">
        <v>0</v>
      </c>
      <c r="EMM11">
        <v>44.85</v>
      </c>
      <c r="EMN11">
        <v>0</v>
      </c>
      <c r="EMO11">
        <v>0</v>
      </c>
      <c r="EMP11">
        <v>0</v>
      </c>
      <c r="EMQ11">
        <v>0</v>
      </c>
      <c r="EMR11">
        <v>0</v>
      </c>
      <c r="EMS11">
        <v>0</v>
      </c>
      <c r="EMT11">
        <v>15</v>
      </c>
      <c r="EMU11">
        <v>0</v>
      </c>
      <c r="EMV11">
        <v>0</v>
      </c>
      <c r="EMW11">
        <v>0</v>
      </c>
      <c r="EMX11">
        <v>0</v>
      </c>
      <c r="EMY11">
        <v>0</v>
      </c>
      <c r="EMZ11">
        <v>0</v>
      </c>
      <c r="ENA11">
        <v>0</v>
      </c>
      <c r="ENB11">
        <v>0</v>
      </c>
      <c r="ENC11">
        <v>0</v>
      </c>
      <c r="END11">
        <v>0</v>
      </c>
      <c r="ENE11">
        <v>0</v>
      </c>
      <c r="ENF11">
        <v>0</v>
      </c>
      <c r="ENG11">
        <v>0</v>
      </c>
      <c r="ENH11">
        <v>32.99</v>
      </c>
      <c r="ENI11">
        <v>0</v>
      </c>
      <c r="ENJ11">
        <v>355</v>
      </c>
      <c r="ENK11">
        <v>0</v>
      </c>
      <c r="ENL11">
        <v>333.99</v>
      </c>
      <c r="ENM11">
        <v>0</v>
      </c>
      <c r="ENN11">
        <v>0</v>
      </c>
      <c r="ENO11">
        <v>0</v>
      </c>
      <c r="ENP11">
        <v>0</v>
      </c>
      <c r="ENQ11">
        <v>0</v>
      </c>
      <c r="ENR11">
        <v>0</v>
      </c>
      <c r="ENS11">
        <v>0</v>
      </c>
      <c r="ENT11">
        <v>0</v>
      </c>
      <c r="ENU11">
        <v>0</v>
      </c>
      <c r="ENV11">
        <v>0</v>
      </c>
      <c r="ENW11">
        <v>258.95</v>
      </c>
      <c r="ENX11">
        <v>0</v>
      </c>
      <c r="ENY11">
        <v>0</v>
      </c>
      <c r="ENZ11">
        <v>25</v>
      </c>
      <c r="EOA11">
        <v>0</v>
      </c>
      <c r="EOB11">
        <v>0</v>
      </c>
      <c r="EOC11">
        <v>0</v>
      </c>
      <c r="EOD11">
        <v>0</v>
      </c>
      <c r="EOE11">
        <v>0</v>
      </c>
      <c r="EOF11">
        <v>366</v>
      </c>
      <c r="EOG11">
        <v>0</v>
      </c>
      <c r="EOH11">
        <v>255.96</v>
      </c>
      <c r="EOI11">
        <v>0</v>
      </c>
      <c r="EOJ11">
        <v>84</v>
      </c>
      <c r="EOK11">
        <v>0</v>
      </c>
      <c r="EOL11">
        <v>0</v>
      </c>
      <c r="EOM11">
        <v>0</v>
      </c>
      <c r="EON11">
        <v>0</v>
      </c>
      <c r="EOO11">
        <v>149</v>
      </c>
      <c r="EOP11">
        <v>0</v>
      </c>
      <c r="EOQ11">
        <v>0</v>
      </c>
      <c r="EOR11">
        <v>0</v>
      </c>
      <c r="EOS11">
        <v>0</v>
      </c>
      <c r="EOT11">
        <v>0</v>
      </c>
      <c r="EOU11">
        <v>0</v>
      </c>
      <c r="EOV11">
        <v>0</v>
      </c>
      <c r="EOW11">
        <v>0</v>
      </c>
      <c r="EOX11">
        <v>0</v>
      </c>
      <c r="EOY11">
        <v>0</v>
      </c>
      <c r="EOZ11">
        <v>0</v>
      </c>
      <c r="EPA11">
        <v>0</v>
      </c>
      <c r="EPB11">
        <v>0</v>
      </c>
      <c r="EPC11">
        <v>0</v>
      </c>
      <c r="EPD11">
        <v>0</v>
      </c>
      <c r="EPE11">
        <v>0</v>
      </c>
      <c r="EPF11">
        <v>9</v>
      </c>
      <c r="EPG11">
        <v>0</v>
      </c>
      <c r="EPH11">
        <v>0</v>
      </c>
      <c r="EPI11">
        <v>0</v>
      </c>
      <c r="EPJ11">
        <v>0</v>
      </c>
      <c r="EPK11">
        <v>0</v>
      </c>
      <c r="EPL11">
        <v>0</v>
      </c>
      <c r="EPM11">
        <v>383</v>
      </c>
      <c r="EPN11">
        <v>0</v>
      </c>
      <c r="EPO11">
        <v>0</v>
      </c>
      <c r="EPP11">
        <v>0</v>
      </c>
      <c r="EPQ11">
        <v>384.99</v>
      </c>
      <c r="EPR11">
        <v>0</v>
      </c>
      <c r="EPS11">
        <v>0</v>
      </c>
      <c r="EPT11">
        <v>0</v>
      </c>
      <c r="EPU11">
        <v>0</v>
      </c>
      <c r="EPV11">
        <v>0</v>
      </c>
      <c r="EPW11">
        <v>0</v>
      </c>
      <c r="EPX11">
        <v>0</v>
      </c>
      <c r="EPY11">
        <v>0</v>
      </c>
      <c r="EPZ11">
        <v>0</v>
      </c>
      <c r="EQA11">
        <v>188.99</v>
      </c>
      <c r="EQB11">
        <v>0</v>
      </c>
      <c r="EQC11">
        <v>0</v>
      </c>
      <c r="EQD11">
        <v>0</v>
      </c>
      <c r="EQE11">
        <v>0</v>
      </c>
      <c r="EQF11">
        <v>0</v>
      </c>
      <c r="EQG11">
        <v>0</v>
      </c>
      <c r="EQH11">
        <v>0</v>
      </c>
      <c r="EQI11">
        <v>0</v>
      </c>
      <c r="EQJ11">
        <v>391</v>
      </c>
      <c r="EQK11">
        <v>36.76</v>
      </c>
      <c r="EQL11">
        <v>0</v>
      </c>
      <c r="EQM11">
        <v>0</v>
      </c>
      <c r="EQN11">
        <v>0</v>
      </c>
      <c r="EQO11">
        <v>0</v>
      </c>
      <c r="EQP11">
        <v>0</v>
      </c>
      <c r="EQQ11">
        <v>0</v>
      </c>
      <c r="EQR11">
        <v>0</v>
      </c>
      <c r="EQS11">
        <v>0</v>
      </c>
      <c r="EQT11">
        <v>0</v>
      </c>
      <c r="EQU11">
        <v>0</v>
      </c>
      <c r="EQV11">
        <v>0</v>
      </c>
      <c r="EQW11">
        <v>0</v>
      </c>
      <c r="EQX11">
        <v>0</v>
      </c>
      <c r="EQY11">
        <v>0</v>
      </c>
      <c r="EQZ11">
        <v>0</v>
      </c>
      <c r="ERA11">
        <v>0</v>
      </c>
      <c r="ERB11">
        <v>0</v>
      </c>
      <c r="ERC11">
        <v>0</v>
      </c>
      <c r="ERD11">
        <v>0</v>
      </c>
      <c r="ERE11">
        <v>0</v>
      </c>
      <c r="ERF11">
        <v>296.98</v>
      </c>
      <c r="ERG11">
        <v>0</v>
      </c>
      <c r="ERH11">
        <v>0</v>
      </c>
      <c r="ERI11">
        <v>0</v>
      </c>
      <c r="ERJ11">
        <v>0</v>
      </c>
      <c r="ERK11">
        <v>0</v>
      </c>
      <c r="ERL11">
        <v>0</v>
      </c>
      <c r="ERM11">
        <v>0</v>
      </c>
      <c r="ERN11">
        <v>0</v>
      </c>
      <c r="ERO11">
        <v>0</v>
      </c>
      <c r="ERP11">
        <v>0</v>
      </c>
      <c r="ERQ11">
        <v>0</v>
      </c>
      <c r="ERR11">
        <v>0</v>
      </c>
      <c r="ERS11">
        <v>0</v>
      </c>
      <c r="ERT11">
        <v>0</v>
      </c>
      <c r="ERU11">
        <v>0</v>
      </c>
      <c r="ERV11">
        <v>0</v>
      </c>
      <c r="ERW11">
        <v>0</v>
      </c>
      <c r="ERX11">
        <v>0</v>
      </c>
      <c r="ERY11">
        <v>0</v>
      </c>
      <c r="ERZ11">
        <v>0</v>
      </c>
      <c r="ESA11">
        <v>0</v>
      </c>
      <c r="ESB11">
        <v>198.99</v>
      </c>
      <c r="ESC11">
        <v>413.95</v>
      </c>
      <c r="ESD11">
        <v>0</v>
      </c>
      <c r="ESE11">
        <v>0</v>
      </c>
      <c r="ESF11">
        <v>0</v>
      </c>
      <c r="ESG11">
        <v>0</v>
      </c>
      <c r="ESH11">
        <v>0</v>
      </c>
      <c r="ESI11">
        <v>0</v>
      </c>
      <c r="ESJ11">
        <v>0</v>
      </c>
      <c r="ESK11">
        <v>0</v>
      </c>
      <c r="ESL11">
        <v>327.98</v>
      </c>
      <c r="ESM11">
        <v>0</v>
      </c>
      <c r="ESN11">
        <v>0</v>
      </c>
      <c r="ESO11">
        <v>0</v>
      </c>
      <c r="ESP11">
        <v>11</v>
      </c>
      <c r="ESQ11">
        <v>0</v>
      </c>
      <c r="ESR11">
        <v>0</v>
      </c>
      <c r="ESS11">
        <v>0</v>
      </c>
      <c r="EST11">
        <v>0</v>
      </c>
      <c r="ESU11">
        <v>0</v>
      </c>
      <c r="ESV11">
        <v>0</v>
      </c>
      <c r="ESW11">
        <v>71</v>
      </c>
      <c r="ESX11">
        <v>44</v>
      </c>
      <c r="ESY11">
        <v>0</v>
      </c>
      <c r="ESZ11">
        <v>3</v>
      </c>
      <c r="ETA11">
        <v>0</v>
      </c>
      <c r="ETB11">
        <v>0</v>
      </c>
      <c r="ETC11">
        <v>0</v>
      </c>
      <c r="ETD11">
        <v>0</v>
      </c>
      <c r="ETE11">
        <v>0</v>
      </c>
      <c r="ETF11">
        <v>0</v>
      </c>
      <c r="ETG11">
        <v>236</v>
      </c>
      <c r="ETH11">
        <v>52</v>
      </c>
      <c r="ETI11">
        <v>0</v>
      </c>
      <c r="ETJ11">
        <v>264</v>
      </c>
      <c r="ETK11">
        <v>0</v>
      </c>
      <c r="ETL11">
        <v>0</v>
      </c>
      <c r="ETM11">
        <v>0</v>
      </c>
      <c r="ETN11">
        <v>0</v>
      </c>
      <c r="ETO11">
        <v>24</v>
      </c>
      <c r="ETP11">
        <v>0</v>
      </c>
      <c r="ETQ11">
        <v>0</v>
      </c>
      <c r="ETR11">
        <v>25</v>
      </c>
      <c r="ETS11">
        <v>0</v>
      </c>
      <c r="ETT11">
        <v>0</v>
      </c>
      <c r="ETU11">
        <v>0</v>
      </c>
      <c r="ETV11">
        <v>0</v>
      </c>
      <c r="ETW11">
        <v>0</v>
      </c>
      <c r="ETX11">
        <v>0</v>
      </c>
      <c r="ETY11">
        <v>0</v>
      </c>
      <c r="ETZ11">
        <v>0</v>
      </c>
      <c r="EUA11">
        <v>0</v>
      </c>
      <c r="EUB11">
        <v>0</v>
      </c>
      <c r="EUC11">
        <v>0</v>
      </c>
      <c r="EUD11">
        <v>0</v>
      </c>
      <c r="EUE11">
        <v>0</v>
      </c>
      <c r="EUF11">
        <v>32</v>
      </c>
      <c r="EUG11">
        <v>0</v>
      </c>
      <c r="EUH11">
        <v>0</v>
      </c>
      <c r="EUI11">
        <v>0</v>
      </c>
      <c r="EUJ11">
        <v>0</v>
      </c>
      <c r="EUK11">
        <v>0</v>
      </c>
      <c r="EUL11">
        <v>0</v>
      </c>
      <c r="EUM11">
        <v>0</v>
      </c>
      <c r="EUN11">
        <v>451.99</v>
      </c>
      <c r="EUO11">
        <v>0</v>
      </c>
      <c r="EUP11">
        <v>0</v>
      </c>
      <c r="EUQ11">
        <v>51</v>
      </c>
      <c r="EUR11">
        <v>0</v>
      </c>
      <c r="EUS11">
        <v>0</v>
      </c>
      <c r="EUT11">
        <v>0</v>
      </c>
      <c r="EUU11">
        <v>0</v>
      </c>
      <c r="EUV11">
        <v>0</v>
      </c>
      <c r="EUW11">
        <v>0</v>
      </c>
      <c r="EUX11">
        <v>0</v>
      </c>
      <c r="EUY11">
        <v>93</v>
      </c>
      <c r="EUZ11">
        <v>0</v>
      </c>
      <c r="EVA11">
        <v>0</v>
      </c>
      <c r="EVB11">
        <v>0</v>
      </c>
      <c r="EVC11">
        <v>169</v>
      </c>
      <c r="EVD11">
        <v>426.99</v>
      </c>
      <c r="EVE11">
        <v>0</v>
      </c>
      <c r="EVF11">
        <v>0</v>
      </c>
      <c r="EVG11">
        <v>0</v>
      </c>
      <c r="EVH11">
        <v>0</v>
      </c>
      <c r="EVI11">
        <v>0</v>
      </c>
      <c r="EVJ11">
        <v>0</v>
      </c>
      <c r="EVK11">
        <v>0</v>
      </c>
      <c r="EVL11">
        <v>0</v>
      </c>
      <c r="EVM11">
        <v>52</v>
      </c>
      <c r="EVN11">
        <v>0</v>
      </c>
      <c r="EVO11">
        <v>0</v>
      </c>
      <c r="EVP11">
        <v>0</v>
      </c>
      <c r="EVQ11">
        <v>0</v>
      </c>
      <c r="EVR11">
        <v>0</v>
      </c>
      <c r="EVS11">
        <v>0</v>
      </c>
      <c r="EVT11">
        <v>0</v>
      </c>
      <c r="EVU11">
        <v>0</v>
      </c>
      <c r="EVV11">
        <v>0</v>
      </c>
      <c r="EVW11">
        <v>445.99</v>
      </c>
      <c r="EVX11">
        <v>0</v>
      </c>
      <c r="EVY11">
        <v>23.99</v>
      </c>
      <c r="EVZ11">
        <v>0</v>
      </c>
      <c r="EWA11">
        <v>0</v>
      </c>
      <c r="EWB11">
        <v>0</v>
      </c>
      <c r="EWC11">
        <v>79</v>
      </c>
      <c r="EWD11">
        <v>390.98</v>
      </c>
      <c r="EWE11">
        <v>0</v>
      </c>
      <c r="EWF11">
        <v>0</v>
      </c>
      <c r="EWG11">
        <v>0</v>
      </c>
      <c r="EWH11">
        <v>0</v>
      </c>
      <c r="EWI11">
        <v>0</v>
      </c>
      <c r="EWJ11">
        <v>0</v>
      </c>
      <c r="EWK11">
        <v>79</v>
      </c>
      <c r="EWL11">
        <v>0</v>
      </c>
      <c r="EWM11">
        <v>0</v>
      </c>
      <c r="EWN11">
        <v>0</v>
      </c>
      <c r="EWO11">
        <v>0</v>
      </c>
      <c r="EWP11">
        <v>0</v>
      </c>
      <c r="EWQ11">
        <v>0</v>
      </c>
      <c r="EWR11">
        <v>381</v>
      </c>
      <c r="EWS11">
        <v>0</v>
      </c>
      <c r="EWT11">
        <v>0</v>
      </c>
      <c r="EWU11">
        <v>0</v>
      </c>
      <c r="EWV11">
        <v>108.99</v>
      </c>
      <c r="EWW11">
        <v>0</v>
      </c>
      <c r="EWX11">
        <v>0</v>
      </c>
      <c r="EWY11">
        <v>0</v>
      </c>
      <c r="EWZ11">
        <v>0</v>
      </c>
      <c r="EXA11">
        <v>0</v>
      </c>
      <c r="EXB11">
        <v>0</v>
      </c>
      <c r="EXC11">
        <v>0</v>
      </c>
      <c r="EXD11">
        <v>0</v>
      </c>
      <c r="EXE11">
        <v>0</v>
      </c>
      <c r="EXF11">
        <v>0</v>
      </c>
      <c r="EXG11">
        <v>0</v>
      </c>
      <c r="EXH11">
        <v>0</v>
      </c>
      <c r="EXI11">
        <v>0</v>
      </c>
      <c r="EXJ11">
        <v>0</v>
      </c>
      <c r="EXK11">
        <v>0</v>
      </c>
      <c r="EXL11">
        <v>0</v>
      </c>
      <c r="EXM11">
        <v>0</v>
      </c>
      <c r="EXN11">
        <v>0</v>
      </c>
      <c r="EXO11">
        <v>0</v>
      </c>
      <c r="EXP11">
        <v>0</v>
      </c>
      <c r="EXQ11">
        <v>0</v>
      </c>
      <c r="EXR11">
        <v>0</v>
      </c>
      <c r="EXS11">
        <v>0</v>
      </c>
      <c r="EXT11">
        <v>0</v>
      </c>
      <c r="EXU11">
        <v>0</v>
      </c>
      <c r="EXV11">
        <v>0</v>
      </c>
      <c r="EXW11">
        <v>0</v>
      </c>
      <c r="EXX11">
        <v>0</v>
      </c>
      <c r="EXY11">
        <v>0</v>
      </c>
      <c r="EXZ11">
        <v>0</v>
      </c>
      <c r="EYA11">
        <v>0</v>
      </c>
      <c r="EYB11">
        <v>0</v>
      </c>
      <c r="EYC11">
        <v>0</v>
      </c>
      <c r="EYD11">
        <v>0</v>
      </c>
      <c r="EYE11">
        <v>0</v>
      </c>
      <c r="EYF11">
        <v>0</v>
      </c>
      <c r="EYG11">
        <v>0</v>
      </c>
      <c r="EYH11">
        <v>0</v>
      </c>
      <c r="EYI11">
        <v>0</v>
      </c>
      <c r="EYJ11">
        <v>0</v>
      </c>
      <c r="EYK11">
        <v>0</v>
      </c>
      <c r="EYL11">
        <v>0</v>
      </c>
      <c r="EYM11">
        <v>0</v>
      </c>
      <c r="EYN11">
        <v>0</v>
      </c>
      <c r="EYO11">
        <v>527.95000000000005</v>
      </c>
      <c r="EYP11">
        <v>0</v>
      </c>
      <c r="EYQ11">
        <v>0</v>
      </c>
      <c r="EYR11">
        <v>45</v>
      </c>
      <c r="EYS11">
        <v>0</v>
      </c>
      <c r="EYT11">
        <v>0</v>
      </c>
      <c r="EYU11">
        <v>0</v>
      </c>
      <c r="EYV11">
        <v>0</v>
      </c>
      <c r="EYW11">
        <v>0</v>
      </c>
      <c r="EYX11">
        <v>0</v>
      </c>
      <c r="EYY11">
        <v>0</v>
      </c>
      <c r="EYZ11">
        <v>535.91999999999996</v>
      </c>
      <c r="EZA11">
        <v>0</v>
      </c>
      <c r="EZB11">
        <v>0</v>
      </c>
      <c r="EZC11">
        <v>0</v>
      </c>
      <c r="EZD11">
        <v>537</v>
      </c>
      <c r="EZE11">
        <v>0</v>
      </c>
      <c r="EZF11">
        <v>0</v>
      </c>
      <c r="EZG11">
        <v>0</v>
      </c>
      <c r="EZH11">
        <v>0</v>
      </c>
      <c r="EZI11">
        <v>0</v>
      </c>
      <c r="EZJ11">
        <v>0</v>
      </c>
      <c r="EZK11">
        <v>0</v>
      </c>
      <c r="EZL11">
        <v>0</v>
      </c>
      <c r="EZM11">
        <v>0</v>
      </c>
      <c r="EZN11">
        <v>0</v>
      </c>
      <c r="EZO11">
        <v>0</v>
      </c>
      <c r="EZP11">
        <v>0</v>
      </c>
      <c r="EZQ11">
        <v>0</v>
      </c>
      <c r="EZR11">
        <v>0</v>
      </c>
      <c r="EZS11">
        <v>0</v>
      </c>
      <c r="EZT11">
        <v>0</v>
      </c>
      <c r="EZU11">
        <v>0</v>
      </c>
      <c r="EZV11">
        <v>0</v>
      </c>
      <c r="EZW11">
        <v>0</v>
      </c>
      <c r="EZX11">
        <v>553.99</v>
      </c>
      <c r="EZY11">
        <v>0</v>
      </c>
      <c r="EZZ11">
        <v>0</v>
      </c>
      <c r="FAA11">
        <v>0</v>
      </c>
      <c r="FAB11">
        <v>0</v>
      </c>
      <c r="FAC11">
        <v>0</v>
      </c>
      <c r="FAD11">
        <v>0</v>
      </c>
      <c r="FAE11">
        <v>0</v>
      </c>
      <c r="FAF11">
        <v>0</v>
      </c>
      <c r="FAG11">
        <v>0</v>
      </c>
      <c r="FAH11">
        <v>0</v>
      </c>
      <c r="FAI11">
        <v>0</v>
      </c>
      <c r="FAJ11">
        <v>0</v>
      </c>
      <c r="FAK11">
        <v>0</v>
      </c>
      <c r="FAL11">
        <v>355.96</v>
      </c>
      <c r="FAM11">
        <v>0</v>
      </c>
      <c r="FAN11">
        <v>0</v>
      </c>
      <c r="FAO11">
        <v>0</v>
      </c>
      <c r="FAP11">
        <v>0</v>
      </c>
      <c r="FAQ11">
        <v>0</v>
      </c>
      <c r="FAR11">
        <v>0</v>
      </c>
      <c r="FAS11">
        <v>0</v>
      </c>
      <c r="FAT11">
        <v>0</v>
      </c>
      <c r="FAU11">
        <v>127.99</v>
      </c>
      <c r="FAV11">
        <v>0</v>
      </c>
      <c r="FAW11">
        <v>0</v>
      </c>
      <c r="FAX11">
        <v>148.91</v>
      </c>
      <c r="FAY11">
        <v>75</v>
      </c>
      <c r="FAZ11">
        <v>0</v>
      </c>
      <c r="FBA11">
        <v>0</v>
      </c>
      <c r="FBB11">
        <v>0</v>
      </c>
      <c r="FBC11">
        <v>0</v>
      </c>
      <c r="FBD11">
        <v>0</v>
      </c>
      <c r="FBE11">
        <v>0</v>
      </c>
      <c r="FBF11">
        <v>0</v>
      </c>
      <c r="FBG11">
        <v>0</v>
      </c>
      <c r="FBH11">
        <v>361</v>
      </c>
      <c r="FBI11">
        <v>0</v>
      </c>
      <c r="FBJ11">
        <v>0</v>
      </c>
      <c r="FBK11">
        <v>0</v>
      </c>
      <c r="FBL11">
        <v>0</v>
      </c>
      <c r="FBM11">
        <v>0</v>
      </c>
      <c r="FBN11">
        <v>0</v>
      </c>
      <c r="FBO11">
        <v>0</v>
      </c>
      <c r="FBP11">
        <v>0</v>
      </c>
      <c r="FBQ11">
        <v>0</v>
      </c>
      <c r="FBR11">
        <v>488.98</v>
      </c>
      <c r="FBS11">
        <v>599.98</v>
      </c>
      <c r="FBT11">
        <v>383</v>
      </c>
      <c r="FBU11">
        <v>0</v>
      </c>
      <c r="FBV11">
        <v>0</v>
      </c>
      <c r="FBW11">
        <v>0</v>
      </c>
      <c r="FBX11">
        <v>0</v>
      </c>
      <c r="FBY11">
        <v>0</v>
      </c>
      <c r="FBZ11">
        <v>607</v>
      </c>
      <c r="FCA11">
        <v>0</v>
      </c>
      <c r="FCB11">
        <v>0</v>
      </c>
      <c r="FCC11">
        <v>0</v>
      </c>
      <c r="FCD11">
        <v>0</v>
      </c>
      <c r="FCE11">
        <v>0</v>
      </c>
      <c r="FCF11">
        <v>0</v>
      </c>
      <c r="FCG11">
        <v>0</v>
      </c>
      <c r="FCH11">
        <v>0</v>
      </c>
      <c r="FCI11">
        <v>0</v>
      </c>
      <c r="FCJ11">
        <v>0</v>
      </c>
      <c r="FCK11">
        <v>619.99</v>
      </c>
      <c r="FCL11">
        <v>0</v>
      </c>
      <c r="FCM11">
        <v>0</v>
      </c>
      <c r="FCN11">
        <v>0</v>
      </c>
      <c r="FCO11">
        <v>0</v>
      </c>
      <c r="FCP11">
        <v>625.99</v>
      </c>
      <c r="FCQ11">
        <v>0</v>
      </c>
      <c r="FCR11">
        <v>0</v>
      </c>
      <c r="FCS11">
        <v>0</v>
      </c>
      <c r="FCT11">
        <v>0</v>
      </c>
      <c r="FCU11">
        <v>0</v>
      </c>
      <c r="FCV11">
        <v>0</v>
      </c>
      <c r="FCW11">
        <v>0</v>
      </c>
      <c r="FCX11">
        <v>0</v>
      </c>
      <c r="FCY11">
        <v>0</v>
      </c>
      <c r="FCZ11">
        <v>0</v>
      </c>
      <c r="FDA11">
        <v>0</v>
      </c>
      <c r="FDB11">
        <v>0</v>
      </c>
      <c r="FDC11">
        <v>0</v>
      </c>
      <c r="FDD11">
        <v>0</v>
      </c>
      <c r="FDE11">
        <v>0</v>
      </c>
      <c r="FDF11">
        <v>74</v>
      </c>
      <c r="FDG11">
        <v>0</v>
      </c>
      <c r="FDH11">
        <v>35</v>
      </c>
      <c r="FDI11">
        <v>0</v>
      </c>
      <c r="FDJ11">
        <v>0</v>
      </c>
      <c r="FDK11">
        <v>0</v>
      </c>
      <c r="FDL11">
        <v>0</v>
      </c>
      <c r="FDM11">
        <v>0</v>
      </c>
      <c r="FDN11">
        <v>0</v>
      </c>
      <c r="FDO11">
        <v>0</v>
      </c>
      <c r="FDP11">
        <v>0</v>
      </c>
      <c r="FDQ11">
        <v>0</v>
      </c>
      <c r="FDR11">
        <v>0</v>
      </c>
      <c r="FDS11">
        <v>51</v>
      </c>
      <c r="FDT11">
        <v>0</v>
      </c>
      <c r="FDU11">
        <v>40.71</v>
      </c>
      <c r="FDV11">
        <v>0</v>
      </c>
      <c r="FDW11">
        <v>43.99</v>
      </c>
      <c r="FDX11">
        <v>17</v>
      </c>
      <c r="FDY11">
        <v>0</v>
      </c>
      <c r="FDZ11">
        <v>0</v>
      </c>
      <c r="FEA11">
        <v>0</v>
      </c>
      <c r="FEB11">
        <v>0</v>
      </c>
      <c r="FEC11">
        <v>0</v>
      </c>
      <c r="FED11">
        <v>0</v>
      </c>
      <c r="FEE11">
        <v>0</v>
      </c>
      <c r="FEF11">
        <v>0</v>
      </c>
      <c r="FEG11">
        <v>188.99</v>
      </c>
      <c r="FEH11">
        <v>0</v>
      </c>
      <c r="FEI11">
        <v>0</v>
      </c>
      <c r="FEJ11">
        <v>0</v>
      </c>
      <c r="FEK11">
        <v>0</v>
      </c>
      <c r="FEL11">
        <v>674.99</v>
      </c>
      <c r="FEM11">
        <v>5</v>
      </c>
      <c r="FEN11">
        <v>0</v>
      </c>
      <c r="FEO11">
        <v>0</v>
      </c>
      <c r="FEP11">
        <v>0</v>
      </c>
      <c r="FEQ11">
        <v>0</v>
      </c>
      <c r="FER11">
        <v>0</v>
      </c>
      <c r="FES11">
        <v>69</v>
      </c>
      <c r="FET11">
        <v>0</v>
      </c>
      <c r="FEU11">
        <v>0</v>
      </c>
      <c r="FEV11">
        <v>0</v>
      </c>
      <c r="FEW11">
        <v>0</v>
      </c>
      <c r="FEX11">
        <v>0</v>
      </c>
      <c r="FEY11">
        <v>0</v>
      </c>
      <c r="FEZ11">
        <v>695.95</v>
      </c>
      <c r="FFA11">
        <v>0</v>
      </c>
      <c r="FFB11">
        <v>0</v>
      </c>
      <c r="FFC11">
        <v>699</v>
      </c>
      <c r="FFD11">
        <v>0</v>
      </c>
      <c r="FFE11">
        <v>0</v>
      </c>
      <c r="FFF11">
        <v>0</v>
      </c>
      <c r="FFG11">
        <v>0</v>
      </c>
      <c r="FFH11">
        <v>0</v>
      </c>
      <c r="FFI11">
        <v>0</v>
      </c>
      <c r="FFJ11">
        <v>0</v>
      </c>
      <c r="FFK11">
        <v>0</v>
      </c>
      <c r="FFL11">
        <v>0</v>
      </c>
      <c r="FFM11">
        <v>0</v>
      </c>
      <c r="FFN11">
        <v>0</v>
      </c>
      <c r="FFO11">
        <v>0</v>
      </c>
      <c r="FFP11">
        <v>0</v>
      </c>
      <c r="FFQ11">
        <v>0</v>
      </c>
      <c r="FFR11">
        <v>0</v>
      </c>
      <c r="FFS11">
        <v>63</v>
      </c>
      <c r="FFT11">
        <v>0</v>
      </c>
      <c r="FFU11">
        <v>182.98</v>
      </c>
      <c r="FFV11">
        <v>0</v>
      </c>
      <c r="FFW11">
        <v>0</v>
      </c>
      <c r="FFX11">
        <v>0</v>
      </c>
      <c r="FFY11">
        <v>0</v>
      </c>
      <c r="FFZ11">
        <v>0</v>
      </c>
      <c r="FGA11">
        <v>0</v>
      </c>
      <c r="FGB11">
        <v>733.11</v>
      </c>
      <c r="FGC11">
        <v>0</v>
      </c>
      <c r="FGD11">
        <v>0</v>
      </c>
      <c r="FGE11">
        <v>0</v>
      </c>
      <c r="FGF11">
        <v>0</v>
      </c>
      <c r="FGG11">
        <v>0</v>
      </c>
      <c r="FGH11">
        <v>41</v>
      </c>
      <c r="FGI11">
        <v>0</v>
      </c>
      <c r="FGJ11">
        <v>0</v>
      </c>
      <c r="FGK11">
        <v>32</v>
      </c>
      <c r="FGL11">
        <v>0</v>
      </c>
      <c r="FGM11">
        <v>0</v>
      </c>
      <c r="FGN11">
        <v>0</v>
      </c>
      <c r="FGO11">
        <v>0</v>
      </c>
      <c r="FGP11">
        <v>0</v>
      </c>
      <c r="FGQ11">
        <v>0</v>
      </c>
      <c r="FGR11">
        <v>190</v>
      </c>
      <c r="FGS11">
        <v>0</v>
      </c>
      <c r="FGT11">
        <v>0</v>
      </c>
      <c r="FGU11">
        <v>0</v>
      </c>
      <c r="FGV11">
        <v>56</v>
      </c>
      <c r="FGW11">
        <v>716.91</v>
      </c>
      <c r="FGX11">
        <v>0</v>
      </c>
      <c r="FGY11">
        <v>0</v>
      </c>
      <c r="FGZ11">
        <v>0</v>
      </c>
      <c r="FHA11">
        <v>0</v>
      </c>
      <c r="FHB11">
        <v>0</v>
      </c>
      <c r="FHC11">
        <v>0</v>
      </c>
      <c r="FHD11">
        <v>0</v>
      </c>
      <c r="FHE11">
        <v>0</v>
      </c>
      <c r="FHF11">
        <v>0</v>
      </c>
      <c r="FHG11">
        <v>0</v>
      </c>
      <c r="FHH11">
        <v>0</v>
      </c>
      <c r="FHI11">
        <v>0</v>
      </c>
      <c r="FHJ11">
        <v>0</v>
      </c>
      <c r="FHK11">
        <v>0</v>
      </c>
      <c r="FHL11">
        <v>0</v>
      </c>
      <c r="FHM11">
        <v>0</v>
      </c>
      <c r="FHN11">
        <v>0</v>
      </c>
      <c r="FHO11">
        <v>0</v>
      </c>
      <c r="FHP11">
        <v>774.96</v>
      </c>
      <c r="FHQ11">
        <v>579.99</v>
      </c>
      <c r="FHR11">
        <v>0</v>
      </c>
      <c r="FHS11">
        <v>0</v>
      </c>
      <c r="FHT11">
        <v>116</v>
      </c>
      <c r="FHU11">
        <v>11</v>
      </c>
      <c r="FHV11">
        <v>174.98</v>
      </c>
      <c r="FHW11">
        <v>0</v>
      </c>
      <c r="FHX11">
        <v>713.99</v>
      </c>
      <c r="FHY11">
        <v>0</v>
      </c>
      <c r="FHZ11">
        <v>0</v>
      </c>
      <c r="FIA11">
        <v>0</v>
      </c>
      <c r="FIB11">
        <v>0</v>
      </c>
      <c r="FIC11">
        <v>0</v>
      </c>
      <c r="FID11">
        <v>0</v>
      </c>
      <c r="FIE11">
        <v>0</v>
      </c>
      <c r="FIF11">
        <v>0</v>
      </c>
      <c r="FIG11">
        <v>0</v>
      </c>
      <c r="FIH11">
        <v>0</v>
      </c>
      <c r="FII11">
        <v>0</v>
      </c>
      <c r="FIJ11">
        <v>0</v>
      </c>
      <c r="FIK11">
        <v>0</v>
      </c>
      <c r="FIL11">
        <v>0</v>
      </c>
      <c r="FIM11">
        <v>0</v>
      </c>
      <c r="FIN11">
        <v>0</v>
      </c>
      <c r="FIO11">
        <v>0</v>
      </c>
      <c r="FIP11">
        <v>162</v>
      </c>
      <c r="FIQ11">
        <v>0</v>
      </c>
      <c r="FIR11">
        <v>0</v>
      </c>
      <c r="FIS11">
        <v>0</v>
      </c>
      <c r="FIT11">
        <v>0</v>
      </c>
      <c r="FIU11">
        <v>0</v>
      </c>
      <c r="FIV11">
        <v>0</v>
      </c>
      <c r="FIW11">
        <v>204.96</v>
      </c>
      <c r="FIX11">
        <v>0</v>
      </c>
      <c r="FIY11">
        <v>0</v>
      </c>
      <c r="FIZ11">
        <v>0</v>
      </c>
      <c r="FJA11">
        <v>0</v>
      </c>
      <c r="FJB11">
        <v>0</v>
      </c>
      <c r="FJC11">
        <v>0</v>
      </c>
      <c r="FJD11">
        <v>0</v>
      </c>
      <c r="FJE11">
        <v>0</v>
      </c>
      <c r="FJF11">
        <v>0</v>
      </c>
      <c r="FJG11">
        <v>0</v>
      </c>
      <c r="FJH11">
        <v>0</v>
      </c>
      <c r="FJI11">
        <v>0</v>
      </c>
      <c r="FJJ11">
        <v>0</v>
      </c>
      <c r="FJK11">
        <v>0</v>
      </c>
      <c r="FJL11">
        <v>0</v>
      </c>
      <c r="FJM11">
        <v>0</v>
      </c>
      <c r="FJN11">
        <v>75.010000000000005</v>
      </c>
      <c r="FJO11">
        <v>0</v>
      </c>
      <c r="FJP11">
        <v>0</v>
      </c>
      <c r="FJQ11">
        <v>0</v>
      </c>
      <c r="FJR11">
        <v>0</v>
      </c>
      <c r="FJS11">
        <v>0</v>
      </c>
      <c r="FJT11">
        <v>0</v>
      </c>
      <c r="FJU11">
        <v>34.99</v>
      </c>
      <c r="FJV11">
        <v>0</v>
      </c>
      <c r="FJW11">
        <v>0</v>
      </c>
      <c r="FJX11">
        <v>103</v>
      </c>
      <c r="FJY11">
        <v>0</v>
      </c>
      <c r="FJZ11">
        <v>0</v>
      </c>
      <c r="FKA11">
        <v>0</v>
      </c>
      <c r="FKB11">
        <v>0</v>
      </c>
      <c r="FKC11">
        <v>0</v>
      </c>
      <c r="FKD11">
        <v>0</v>
      </c>
      <c r="FKE11">
        <v>0</v>
      </c>
      <c r="FKF11">
        <v>0</v>
      </c>
      <c r="FKG11">
        <v>0</v>
      </c>
      <c r="FKH11">
        <v>0</v>
      </c>
      <c r="FKI11">
        <v>0</v>
      </c>
      <c r="FKJ11">
        <v>655.92</v>
      </c>
      <c r="FKK11">
        <v>0</v>
      </c>
      <c r="FKL11">
        <v>0</v>
      </c>
      <c r="FKM11">
        <v>0</v>
      </c>
      <c r="FKN11">
        <v>0</v>
      </c>
      <c r="FKO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8</v>
      </c>
      <c r="FKV11">
        <v>271</v>
      </c>
      <c r="FKW11">
        <v>0</v>
      </c>
      <c r="FKX11">
        <v>814.99</v>
      </c>
      <c r="FKY11">
        <v>0</v>
      </c>
      <c r="FKZ11">
        <v>0</v>
      </c>
      <c r="FLA11">
        <v>678.96</v>
      </c>
      <c r="FLB11">
        <v>0</v>
      </c>
      <c r="FLC11">
        <v>0</v>
      </c>
      <c r="FLD11">
        <v>0</v>
      </c>
      <c r="FLE11">
        <v>0</v>
      </c>
      <c r="FLF11">
        <v>419</v>
      </c>
      <c r="FLG11">
        <v>0</v>
      </c>
      <c r="FLH11">
        <v>0</v>
      </c>
      <c r="FLI11">
        <v>0</v>
      </c>
      <c r="FLJ11">
        <v>0</v>
      </c>
      <c r="FLK11">
        <v>0</v>
      </c>
      <c r="FLL11">
        <v>0</v>
      </c>
      <c r="FLM11">
        <v>159</v>
      </c>
      <c r="FLN11">
        <v>0</v>
      </c>
      <c r="FLO11">
        <v>0</v>
      </c>
      <c r="FLP11">
        <v>0</v>
      </c>
      <c r="FLQ11">
        <v>413</v>
      </c>
      <c r="FLR11">
        <v>0</v>
      </c>
      <c r="FLS11">
        <v>0</v>
      </c>
      <c r="FLT11">
        <v>829.96</v>
      </c>
      <c r="FLU11">
        <v>0</v>
      </c>
      <c r="FLV11">
        <v>0</v>
      </c>
      <c r="FLW11">
        <v>0</v>
      </c>
      <c r="FLX11">
        <v>0</v>
      </c>
      <c r="FLY11">
        <v>0</v>
      </c>
      <c r="FLZ11">
        <v>0</v>
      </c>
      <c r="FMA11">
        <v>0</v>
      </c>
      <c r="FMB11">
        <v>0</v>
      </c>
      <c r="FMC11">
        <v>0</v>
      </c>
      <c r="FMD11">
        <v>0</v>
      </c>
      <c r="FME11">
        <v>0</v>
      </c>
      <c r="FMF11">
        <v>0</v>
      </c>
      <c r="FMG11">
        <v>0</v>
      </c>
      <c r="FMH11">
        <v>0</v>
      </c>
      <c r="FMI11">
        <v>0</v>
      </c>
      <c r="FMJ11">
        <v>0</v>
      </c>
      <c r="FMK11">
        <v>497.99</v>
      </c>
      <c r="FML11">
        <v>688</v>
      </c>
      <c r="FMM11">
        <v>0</v>
      </c>
      <c r="FMN11">
        <v>0</v>
      </c>
      <c r="FMO11">
        <v>0</v>
      </c>
      <c r="FMP11">
        <v>0</v>
      </c>
      <c r="FMQ11">
        <v>0</v>
      </c>
      <c r="FMR11">
        <v>0</v>
      </c>
      <c r="FMS11">
        <v>0</v>
      </c>
      <c r="FMT11">
        <v>269</v>
      </c>
      <c r="FMU11">
        <v>0</v>
      </c>
      <c r="FMV11">
        <v>0</v>
      </c>
      <c r="FMW11">
        <v>530.95000000000005</v>
      </c>
      <c r="FMX11">
        <v>0</v>
      </c>
      <c r="FMY11">
        <v>0</v>
      </c>
      <c r="FMZ11">
        <v>0</v>
      </c>
      <c r="FNA11">
        <v>0</v>
      </c>
      <c r="FNB11">
        <v>978.99</v>
      </c>
      <c r="FNC11">
        <v>84</v>
      </c>
      <c r="FND11">
        <v>0</v>
      </c>
      <c r="FNE11">
        <v>0</v>
      </c>
      <c r="FNF11">
        <v>17</v>
      </c>
      <c r="FNG11">
        <v>0</v>
      </c>
      <c r="FNH11">
        <v>0</v>
      </c>
      <c r="FNI11">
        <v>0</v>
      </c>
      <c r="FNJ11">
        <v>0</v>
      </c>
      <c r="FNK11">
        <v>0</v>
      </c>
      <c r="FNL11">
        <v>0</v>
      </c>
      <c r="FNM11">
        <v>0</v>
      </c>
      <c r="FNN11">
        <v>993.94</v>
      </c>
      <c r="FNO11">
        <v>0</v>
      </c>
      <c r="FNP11">
        <v>0</v>
      </c>
      <c r="FNQ11">
        <v>0</v>
      </c>
      <c r="FNR11">
        <v>0</v>
      </c>
      <c r="FNS11">
        <v>0</v>
      </c>
      <c r="FNT11">
        <v>0</v>
      </c>
      <c r="FNU11">
        <v>0</v>
      </c>
      <c r="FNV11">
        <v>0</v>
      </c>
      <c r="FNW11">
        <v>0</v>
      </c>
      <c r="FNX11">
        <v>0</v>
      </c>
      <c r="FNY11">
        <v>0</v>
      </c>
      <c r="FNZ11">
        <v>885.99</v>
      </c>
      <c r="FOA11">
        <v>0</v>
      </c>
      <c r="FOB11">
        <v>0</v>
      </c>
      <c r="FOC11">
        <v>0</v>
      </c>
      <c r="FOD11">
        <v>0</v>
      </c>
      <c r="FOE11">
        <v>23.82</v>
      </c>
      <c r="FOF11">
        <v>0</v>
      </c>
      <c r="FOG11">
        <v>0</v>
      </c>
      <c r="FOH11">
        <v>1004.94</v>
      </c>
      <c r="FOI11">
        <v>0</v>
      </c>
      <c r="FOJ11">
        <v>0</v>
      </c>
      <c r="FOK11">
        <v>1038.96</v>
      </c>
      <c r="FOL11">
        <v>15</v>
      </c>
      <c r="FOM11">
        <v>0</v>
      </c>
      <c r="FON11">
        <v>0</v>
      </c>
      <c r="FOO11">
        <v>0</v>
      </c>
      <c r="FOP11">
        <v>0</v>
      </c>
      <c r="FOQ11">
        <v>510.96</v>
      </c>
      <c r="FOR11">
        <v>1050.99</v>
      </c>
      <c r="FOS11">
        <v>0</v>
      </c>
      <c r="FOT11">
        <v>0</v>
      </c>
      <c r="FOU11">
        <v>0</v>
      </c>
      <c r="FOV11">
        <v>0</v>
      </c>
      <c r="FOW11">
        <v>0</v>
      </c>
      <c r="FOX11">
        <v>136.99</v>
      </c>
      <c r="FOY11">
        <v>0</v>
      </c>
      <c r="FOZ11">
        <v>0</v>
      </c>
      <c r="FPA11">
        <v>0</v>
      </c>
      <c r="FPB11">
        <v>87</v>
      </c>
      <c r="FPC11">
        <v>0</v>
      </c>
      <c r="FPD11">
        <v>0</v>
      </c>
      <c r="FPE11">
        <v>19</v>
      </c>
      <c r="FPF11">
        <v>0</v>
      </c>
      <c r="FPG11">
        <v>0</v>
      </c>
      <c r="FPH11">
        <v>21</v>
      </c>
      <c r="FPI11">
        <v>0</v>
      </c>
      <c r="FPJ11">
        <v>0</v>
      </c>
      <c r="FPK11">
        <v>0</v>
      </c>
      <c r="FPL11">
        <v>0</v>
      </c>
      <c r="FPM11">
        <v>0</v>
      </c>
      <c r="FPN11">
        <v>0</v>
      </c>
      <c r="FPO11">
        <v>0</v>
      </c>
      <c r="FPP11">
        <v>0</v>
      </c>
      <c r="FPQ11">
        <v>25</v>
      </c>
      <c r="FPR11">
        <v>0</v>
      </c>
      <c r="FPS11">
        <v>0</v>
      </c>
      <c r="FPT11">
        <v>0</v>
      </c>
      <c r="FPU11">
        <v>0</v>
      </c>
      <c r="FPV11">
        <v>0</v>
      </c>
      <c r="FPW11">
        <v>0</v>
      </c>
      <c r="FPX11">
        <v>0</v>
      </c>
      <c r="FPY11">
        <v>1115.94</v>
      </c>
      <c r="FPZ11">
        <v>0</v>
      </c>
      <c r="FQA11">
        <v>1111.92</v>
      </c>
      <c r="FQB11">
        <v>0</v>
      </c>
      <c r="FQC11">
        <v>0</v>
      </c>
      <c r="FQD11">
        <v>0</v>
      </c>
      <c r="FQE11">
        <v>0</v>
      </c>
      <c r="FQF11">
        <v>303.99</v>
      </c>
      <c r="FQG11">
        <v>0</v>
      </c>
      <c r="FQH11">
        <v>0</v>
      </c>
      <c r="FQI11">
        <v>0</v>
      </c>
      <c r="FQJ11">
        <v>0</v>
      </c>
      <c r="FQK11">
        <v>0</v>
      </c>
      <c r="FQL11">
        <v>0</v>
      </c>
      <c r="FQM11">
        <v>0</v>
      </c>
      <c r="FQN11">
        <v>0</v>
      </c>
      <c r="FQO11">
        <v>0</v>
      </c>
      <c r="FQP11">
        <v>331</v>
      </c>
      <c r="FQQ11">
        <v>20.99</v>
      </c>
      <c r="FQR11">
        <v>0</v>
      </c>
      <c r="FQS11">
        <v>0</v>
      </c>
      <c r="FQT11">
        <v>0</v>
      </c>
      <c r="FQU11">
        <v>0</v>
      </c>
      <c r="FQV11">
        <v>1190.99</v>
      </c>
      <c r="FQW11">
        <v>1193.92</v>
      </c>
      <c r="FQX11">
        <v>0</v>
      </c>
      <c r="FQY11">
        <v>0</v>
      </c>
      <c r="FQZ11">
        <v>40.99</v>
      </c>
      <c r="FRA11">
        <v>0</v>
      </c>
      <c r="FRB11">
        <v>1107.18</v>
      </c>
      <c r="FRC11">
        <v>0</v>
      </c>
      <c r="FRD11">
        <v>0</v>
      </c>
      <c r="FRE11">
        <v>0</v>
      </c>
      <c r="FRF11">
        <v>0</v>
      </c>
      <c r="FRG11">
        <v>0</v>
      </c>
      <c r="FRH11">
        <v>73</v>
      </c>
      <c r="FRI11">
        <v>409.99</v>
      </c>
      <c r="FRJ11">
        <v>0</v>
      </c>
      <c r="FRK11">
        <v>0</v>
      </c>
      <c r="FRL11">
        <v>0</v>
      </c>
      <c r="FRM11">
        <v>0</v>
      </c>
      <c r="FRN11">
        <v>0</v>
      </c>
      <c r="FRO11">
        <v>0</v>
      </c>
      <c r="FRP11">
        <v>0</v>
      </c>
      <c r="FRQ11">
        <v>0</v>
      </c>
      <c r="FRR11">
        <v>344</v>
      </c>
      <c r="FRS11">
        <v>0</v>
      </c>
      <c r="FRT11">
        <v>0</v>
      </c>
      <c r="FRU11">
        <v>0</v>
      </c>
      <c r="FRV11">
        <v>0</v>
      </c>
      <c r="FRW11">
        <v>0</v>
      </c>
      <c r="FRX11">
        <v>0</v>
      </c>
      <c r="FRY11">
        <v>0</v>
      </c>
      <c r="FRZ11">
        <v>0</v>
      </c>
      <c r="FSA11">
        <v>0</v>
      </c>
      <c r="FSB11">
        <v>0</v>
      </c>
      <c r="FSC11">
        <v>116.99</v>
      </c>
      <c r="FSD11">
        <v>0</v>
      </c>
      <c r="FSE11">
        <v>0</v>
      </c>
      <c r="FSF11">
        <v>0</v>
      </c>
      <c r="FSG11">
        <v>0</v>
      </c>
      <c r="FSH11">
        <v>0</v>
      </c>
      <c r="FSI11">
        <v>1196.99</v>
      </c>
      <c r="FSJ11">
        <v>0</v>
      </c>
      <c r="FSK11">
        <v>764.9</v>
      </c>
      <c r="FSL11">
        <v>0</v>
      </c>
      <c r="FSM11">
        <v>123.99</v>
      </c>
      <c r="FSN11">
        <v>0</v>
      </c>
      <c r="FSO11">
        <v>0</v>
      </c>
      <c r="FSP11">
        <v>0</v>
      </c>
      <c r="FSQ11">
        <v>0</v>
      </c>
      <c r="FSR11">
        <v>0</v>
      </c>
      <c r="FSS11">
        <v>0</v>
      </c>
      <c r="FST11">
        <v>0</v>
      </c>
      <c r="FSU11">
        <v>0</v>
      </c>
      <c r="FSV11">
        <v>0</v>
      </c>
      <c r="FSW11">
        <v>0</v>
      </c>
      <c r="FSX11">
        <v>0</v>
      </c>
      <c r="FSY11">
        <v>0</v>
      </c>
      <c r="FSZ11">
        <v>0</v>
      </c>
      <c r="FTA11">
        <v>0</v>
      </c>
      <c r="FTB11">
        <v>1364.9</v>
      </c>
      <c r="FTC11">
        <v>0</v>
      </c>
      <c r="FTD11">
        <v>0</v>
      </c>
      <c r="FTE11">
        <v>309</v>
      </c>
      <c r="FTF11">
        <v>505.94</v>
      </c>
      <c r="FTG11">
        <v>88.99</v>
      </c>
      <c r="FTH11">
        <v>0</v>
      </c>
      <c r="FTI11">
        <v>0</v>
      </c>
      <c r="FTJ11">
        <v>0</v>
      </c>
      <c r="FTK11">
        <v>0</v>
      </c>
      <c r="FTL11">
        <v>219</v>
      </c>
      <c r="FTM11">
        <v>0</v>
      </c>
      <c r="FTN11">
        <v>0</v>
      </c>
      <c r="FTO11">
        <v>0</v>
      </c>
      <c r="FTP11">
        <v>0</v>
      </c>
      <c r="FTQ11">
        <v>0</v>
      </c>
      <c r="FTR11">
        <v>0</v>
      </c>
      <c r="FTS11">
        <v>1401.98</v>
      </c>
      <c r="FTT11">
        <v>0</v>
      </c>
      <c r="FTU11">
        <v>0</v>
      </c>
      <c r="FTV11">
        <v>0</v>
      </c>
      <c r="FTW11">
        <v>0</v>
      </c>
      <c r="FTX11">
        <v>875.95</v>
      </c>
      <c r="FTY11">
        <v>0</v>
      </c>
      <c r="FTZ11">
        <v>0</v>
      </c>
      <c r="FUA11">
        <v>0</v>
      </c>
      <c r="FUB11">
        <v>0</v>
      </c>
      <c r="FUC11">
        <v>0</v>
      </c>
      <c r="FUD11">
        <v>0</v>
      </c>
      <c r="FUE11">
        <v>0</v>
      </c>
      <c r="FUF11">
        <v>0</v>
      </c>
      <c r="FUG11">
        <v>0</v>
      </c>
      <c r="FUH11">
        <v>0</v>
      </c>
      <c r="FUI11">
        <v>0</v>
      </c>
      <c r="FUJ11">
        <v>63</v>
      </c>
      <c r="FUK11">
        <v>0</v>
      </c>
      <c r="FUL11">
        <v>0</v>
      </c>
      <c r="FUM11">
        <v>0</v>
      </c>
      <c r="FUN11">
        <v>0</v>
      </c>
      <c r="FUO11">
        <v>0</v>
      </c>
      <c r="FUP11">
        <v>0</v>
      </c>
      <c r="FUQ11">
        <v>0</v>
      </c>
      <c r="FUR11">
        <v>61.84</v>
      </c>
      <c r="FUS11">
        <v>0</v>
      </c>
      <c r="FUT11">
        <v>0</v>
      </c>
      <c r="FUU11">
        <v>0</v>
      </c>
      <c r="FUV11">
        <v>0</v>
      </c>
      <c r="FUW11">
        <v>0</v>
      </c>
      <c r="FUX11">
        <v>0</v>
      </c>
      <c r="FUY11">
        <v>0</v>
      </c>
      <c r="FUZ11">
        <v>0</v>
      </c>
      <c r="FVA11">
        <v>0</v>
      </c>
      <c r="FVB11">
        <v>98</v>
      </c>
      <c r="FVC11">
        <v>0</v>
      </c>
      <c r="FVD11">
        <v>199.04</v>
      </c>
      <c r="FVE11">
        <v>0</v>
      </c>
      <c r="FVF11">
        <v>0</v>
      </c>
      <c r="FVG11">
        <v>0</v>
      </c>
      <c r="FVH11">
        <v>0</v>
      </c>
      <c r="FVI11">
        <v>0</v>
      </c>
      <c r="FVJ11">
        <v>47</v>
      </c>
      <c r="FVK11">
        <v>0</v>
      </c>
      <c r="FVL11">
        <v>0</v>
      </c>
      <c r="FVM11">
        <v>0</v>
      </c>
      <c r="FVN11">
        <v>0</v>
      </c>
      <c r="FVO11">
        <v>158.9</v>
      </c>
      <c r="FVP11">
        <v>0</v>
      </c>
      <c r="FVQ11">
        <v>0</v>
      </c>
      <c r="FVR11">
        <v>0</v>
      </c>
      <c r="FVS11">
        <v>0</v>
      </c>
      <c r="FVT11">
        <v>49.99</v>
      </c>
      <c r="FVU11">
        <v>0</v>
      </c>
      <c r="FVV11">
        <v>0</v>
      </c>
      <c r="FVW11">
        <v>0</v>
      </c>
      <c r="FVX11">
        <v>0</v>
      </c>
      <c r="FVY11">
        <v>0</v>
      </c>
      <c r="FVZ11">
        <v>0</v>
      </c>
      <c r="FWB11">
        <v>0</v>
      </c>
      <c r="FWC11">
        <v>936.94</v>
      </c>
      <c r="FWD11">
        <v>0</v>
      </c>
      <c r="FWE11">
        <v>0</v>
      </c>
      <c r="FWF11">
        <v>189.9</v>
      </c>
      <c r="FWG11">
        <v>0</v>
      </c>
      <c r="FWH11">
        <v>0</v>
      </c>
      <c r="FWI11">
        <v>0</v>
      </c>
      <c r="FWJ11">
        <v>0</v>
      </c>
      <c r="FWK11">
        <v>0</v>
      </c>
      <c r="FWL11">
        <v>0</v>
      </c>
      <c r="FWM11">
        <v>0</v>
      </c>
      <c r="FWN11">
        <v>0</v>
      </c>
      <c r="FWO11">
        <v>0</v>
      </c>
      <c r="FWP11">
        <v>0</v>
      </c>
      <c r="FWQ11">
        <v>1180.9100000000001</v>
      </c>
      <c r="FWR11">
        <v>0</v>
      </c>
      <c r="FWS11">
        <v>0</v>
      </c>
      <c r="FWT11">
        <v>0</v>
      </c>
      <c r="FWU11">
        <v>52</v>
      </c>
      <c r="FWV11">
        <v>124.99</v>
      </c>
      <c r="FWW11">
        <v>0</v>
      </c>
      <c r="FWX11">
        <v>0</v>
      </c>
      <c r="FWY11">
        <v>0</v>
      </c>
      <c r="FWZ11">
        <v>0</v>
      </c>
      <c r="FXA11">
        <v>0</v>
      </c>
      <c r="FXB11">
        <v>0</v>
      </c>
      <c r="FXC11">
        <v>16</v>
      </c>
      <c r="FXD11">
        <v>0</v>
      </c>
      <c r="FXE11">
        <v>1682.99</v>
      </c>
      <c r="FXF11">
        <v>60</v>
      </c>
      <c r="FXG11">
        <v>0</v>
      </c>
      <c r="FXH11">
        <v>13</v>
      </c>
      <c r="FXI11">
        <v>0</v>
      </c>
      <c r="FXJ11">
        <v>0</v>
      </c>
      <c r="FXK11">
        <v>16</v>
      </c>
      <c r="FXL11">
        <v>0</v>
      </c>
      <c r="FXM11">
        <v>0</v>
      </c>
      <c r="FXN11">
        <v>0</v>
      </c>
      <c r="FXO11">
        <v>0</v>
      </c>
      <c r="FXP11">
        <v>0</v>
      </c>
      <c r="FXQ11">
        <v>0</v>
      </c>
      <c r="FXR11">
        <v>1418.97</v>
      </c>
      <c r="FXS11">
        <v>0</v>
      </c>
      <c r="FXT11">
        <v>0</v>
      </c>
      <c r="FXU11">
        <v>372.95</v>
      </c>
      <c r="FXV11">
        <v>0</v>
      </c>
      <c r="FXW11">
        <v>0</v>
      </c>
      <c r="FXX11">
        <v>0</v>
      </c>
      <c r="FXY11">
        <v>0</v>
      </c>
      <c r="FXZ11">
        <v>0</v>
      </c>
      <c r="FYA11">
        <v>0</v>
      </c>
      <c r="FYB11">
        <v>0</v>
      </c>
      <c r="FYC11">
        <v>0</v>
      </c>
      <c r="FYD11">
        <v>0</v>
      </c>
      <c r="FYE11">
        <v>0</v>
      </c>
      <c r="FYF11">
        <v>0</v>
      </c>
      <c r="FYG11">
        <v>0</v>
      </c>
      <c r="FYH11">
        <v>0</v>
      </c>
      <c r="FYI11">
        <v>0</v>
      </c>
      <c r="FYJ11">
        <v>0</v>
      </c>
      <c r="FYK11">
        <v>0</v>
      </c>
      <c r="FYL11">
        <v>24</v>
      </c>
      <c r="FYM11">
        <v>54</v>
      </c>
      <c r="FYN11">
        <v>12.9</v>
      </c>
      <c r="FYO11">
        <v>0</v>
      </c>
      <c r="FYP11">
        <v>0</v>
      </c>
      <c r="FYQ11">
        <v>0</v>
      </c>
      <c r="FYR11">
        <v>0</v>
      </c>
      <c r="FYS11">
        <v>0</v>
      </c>
      <c r="FYT11">
        <v>0</v>
      </c>
      <c r="FYU11">
        <v>0</v>
      </c>
      <c r="FYV11">
        <v>0</v>
      </c>
      <c r="FYW11">
        <v>0</v>
      </c>
      <c r="FYX11">
        <v>0</v>
      </c>
      <c r="FYY11">
        <v>305</v>
      </c>
      <c r="FYZ11">
        <v>0</v>
      </c>
      <c r="FZA11">
        <v>0</v>
      </c>
      <c r="FZB11">
        <v>0</v>
      </c>
      <c r="FZC11">
        <v>0</v>
      </c>
      <c r="FZD11">
        <v>0</v>
      </c>
      <c r="FZE11">
        <v>0</v>
      </c>
      <c r="FZF11">
        <v>0</v>
      </c>
      <c r="FZG11">
        <v>0</v>
      </c>
      <c r="FZH11">
        <v>82</v>
      </c>
      <c r="FZI11">
        <v>0</v>
      </c>
      <c r="FZJ11">
        <v>0</v>
      </c>
      <c r="FZK11">
        <v>87</v>
      </c>
      <c r="FZL11">
        <v>820.97</v>
      </c>
      <c r="FZM11">
        <v>0</v>
      </c>
      <c r="FZN11">
        <v>0</v>
      </c>
      <c r="FZO11">
        <v>0</v>
      </c>
      <c r="FZP11">
        <v>216.9</v>
      </c>
      <c r="FZQ11">
        <v>0</v>
      </c>
      <c r="FZR11">
        <v>0</v>
      </c>
      <c r="FZS11">
        <v>340.96</v>
      </c>
      <c r="FZT11">
        <v>0</v>
      </c>
      <c r="FZU11">
        <v>0</v>
      </c>
      <c r="FZV11">
        <v>0</v>
      </c>
      <c r="FZW11">
        <v>1641.91</v>
      </c>
      <c r="FZX11">
        <v>0</v>
      </c>
      <c r="FZY11">
        <v>0</v>
      </c>
      <c r="FZZ11">
        <v>0</v>
      </c>
      <c r="GAA11">
        <v>0</v>
      </c>
      <c r="GAB11">
        <v>0</v>
      </c>
      <c r="GAC11">
        <v>262.99</v>
      </c>
      <c r="GAD11">
        <v>0</v>
      </c>
      <c r="GAE11">
        <v>0</v>
      </c>
      <c r="GAF11">
        <v>0</v>
      </c>
      <c r="GAG11">
        <v>0</v>
      </c>
      <c r="GAH11">
        <v>70</v>
      </c>
      <c r="GAI11">
        <v>0</v>
      </c>
      <c r="GAJ11">
        <v>0</v>
      </c>
      <c r="GAK11">
        <v>1966.88</v>
      </c>
      <c r="GAL11">
        <v>0</v>
      </c>
      <c r="GAM11">
        <v>0</v>
      </c>
      <c r="GAN11">
        <v>917.99</v>
      </c>
      <c r="GAO11">
        <v>0</v>
      </c>
      <c r="GAP11">
        <v>256</v>
      </c>
      <c r="GAQ11">
        <v>0</v>
      </c>
      <c r="GAR11">
        <v>0</v>
      </c>
      <c r="GAS11">
        <v>0</v>
      </c>
      <c r="GAT11">
        <v>0</v>
      </c>
      <c r="GAU11">
        <v>0</v>
      </c>
      <c r="GAV11">
        <v>29</v>
      </c>
      <c r="GAW11">
        <v>0</v>
      </c>
      <c r="GAX11">
        <v>0</v>
      </c>
      <c r="GAY11">
        <v>0</v>
      </c>
      <c r="GAZ11">
        <v>0</v>
      </c>
      <c r="GBA11">
        <v>0</v>
      </c>
      <c r="GBB11">
        <v>0</v>
      </c>
      <c r="GBC11">
        <v>0</v>
      </c>
      <c r="GBD11">
        <v>0</v>
      </c>
      <c r="GBE11">
        <v>0</v>
      </c>
      <c r="GBF11">
        <v>1591.79</v>
      </c>
      <c r="GBG11">
        <v>0</v>
      </c>
      <c r="GBH11">
        <v>0</v>
      </c>
      <c r="GBI11">
        <v>0</v>
      </c>
      <c r="GBJ11">
        <v>0</v>
      </c>
      <c r="GBK11">
        <v>43</v>
      </c>
      <c r="GBL11">
        <v>0</v>
      </c>
      <c r="GBM11">
        <v>0</v>
      </c>
      <c r="GBN11">
        <v>1025.94</v>
      </c>
      <c r="GBO11">
        <v>0</v>
      </c>
      <c r="GBP11">
        <v>0</v>
      </c>
      <c r="GBQ11">
        <v>0</v>
      </c>
      <c r="GBR11">
        <v>0</v>
      </c>
      <c r="GBS11">
        <v>129.99</v>
      </c>
      <c r="GBT11">
        <v>0</v>
      </c>
      <c r="GBU11">
        <v>0</v>
      </c>
      <c r="GBV11">
        <v>0</v>
      </c>
      <c r="GBW11">
        <v>0</v>
      </c>
      <c r="GBX11">
        <v>0</v>
      </c>
      <c r="GBY11">
        <v>0</v>
      </c>
      <c r="GBZ11">
        <v>0</v>
      </c>
      <c r="GCA11">
        <v>0</v>
      </c>
      <c r="GCB11">
        <v>0</v>
      </c>
      <c r="GCC11">
        <v>0</v>
      </c>
      <c r="GCD11">
        <v>0</v>
      </c>
      <c r="GCE11">
        <v>0</v>
      </c>
      <c r="GCF11">
        <v>0</v>
      </c>
      <c r="GCG11">
        <v>0</v>
      </c>
      <c r="GCH11">
        <v>0</v>
      </c>
      <c r="GCI11">
        <v>0</v>
      </c>
      <c r="GCJ11">
        <v>0</v>
      </c>
      <c r="GCK11">
        <v>0</v>
      </c>
      <c r="GCL11">
        <v>0</v>
      </c>
      <c r="GCM11">
        <v>0</v>
      </c>
      <c r="GCN11">
        <v>0</v>
      </c>
      <c r="GCO11">
        <v>0</v>
      </c>
      <c r="GCP11">
        <v>207.96</v>
      </c>
      <c r="GCQ11">
        <v>0</v>
      </c>
      <c r="GCR11">
        <v>0</v>
      </c>
      <c r="GCS11">
        <v>237</v>
      </c>
      <c r="GCT11">
        <v>0</v>
      </c>
      <c r="GCU11">
        <v>253.99</v>
      </c>
      <c r="GCV11">
        <v>0</v>
      </c>
      <c r="GCW11">
        <v>0</v>
      </c>
      <c r="GCX11">
        <v>0</v>
      </c>
      <c r="GCY11">
        <v>0</v>
      </c>
      <c r="GCZ11">
        <v>0</v>
      </c>
      <c r="GDA11">
        <v>0</v>
      </c>
      <c r="GDB11">
        <v>15</v>
      </c>
      <c r="GDC11">
        <v>0</v>
      </c>
      <c r="GDD11">
        <v>0</v>
      </c>
      <c r="GDE11">
        <v>0</v>
      </c>
      <c r="GDF11">
        <v>196.99</v>
      </c>
      <c r="GDG11">
        <v>238.99</v>
      </c>
      <c r="GDH11">
        <v>0</v>
      </c>
      <c r="GDI11">
        <v>0</v>
      </c>
      <c r="GDJ11">
        <v>0</v>
      </c>
      <c r="GDK11">
        <v>0</v>
      </c>
      <c r="GDL11">
        <v>54</v>
      </c>
      <c r="GDM11">
        <v>0</v>
      </c>
      <c r="GDN11">
        <v>0</v>
      </c>
      <c r="GDO11">
        <v>0</v>
      </c>
      <c r="GDP11">
        <v>0</v>
      </c>
      <c r="GDQ11">
        <v>50.65</v>
      </c>
      <c r="GDR11">
        <v>0</v>
      </c>
      <c r="GDS11">
        <v>0</v>
      </c>
      <c r="GDT11">
        <v>0</v>
      </c>
      <c r="GDU11">
        <v>139</v>
      </c>
      <c r="GDV11">
        <v>0</v>
      </c>
      <c r="GDW11">
        <v>27</v>
      </c>
      <c r="GDX11">
        <v>756.95</v>
      </c>
      <c r="GDY11">
        <v>0</v>
      </c>
      <c r="GDZ11">
        <v>0</v>
      </c>
      <c r="GEA11">
        <v>0</v>
      </c>
      <c r="GEB11">
        <v>79</v>
      </c>
      <c r="GEC11">
        <v>0</v>
      </c>
      <c r="GED11">
        <v>0</v>
      </c>
      <c r="GEE11">
        <v>425.08</v>
      </c>
      <c r="GEF11">
        <v>1744.78</v>
      </c>
      <c r="GEG11">
        <v>0</v>
      </c>
      <c r="GEH11">
        <v>541.94000000000005</v>
      </c>
      <c r="GEI11">
        <v>45</v>
      </c>
      <c r="GEJ11">
        <v>0</v>
      </c>
      <c r="GEK11">
        <v>0</v>
      </c>
      <c r="GEL11">
        <v>2264.85</v>
      </c>
      <c r="GEM11">
        <v>0</v>
      </c>
      <c r="GEN11">
        <v>166</v>
      </c>
      <c r="GEO11">
        <v>31.99</v>
      </c>
      <c r="GEP11">
        <v>0</v>
      </c>
      <c r="GEQ11">
        <v>0</v>
      </c>
      <c r="GER11">
        <v>56</v>
      </c>
      <c r="GES11">
        <v>0</v>
      </c>
      <c r="GET11">
        <v>0</v>
      </c>
      <c r="GEU11">
        <v>0</v>
      </c>
      <c r="GEV11">
        <v>1693.94</v>
      </c>
      <c r="GEW11">
        <v>0</v>
      </c>
      <c r="GEX11">
        <v>0</v>
      </c>
      <c r="GEY11">
        <v>0</v>
      </c>
      <c r="GEZ11">
        <v>0</v>
      </c>
      <c r="GFA11">
        <v>0</v>
      </c>
      <c r="GFB11">
        <v>0</v>
      </c>
      <c r="GFC11">
        <v>0</v>
      </c>
      <c r="GFD11">
        <v>0</v>
      </c>
      <c r="GFE11">
        <v>0</v>
      </c>
      <c r="GFF11">
        <v>0</v>
      </c>
      <c r="GFG11">
        <v>0</v>
      </c>
      <c r="GFH11">
        <v>761.99</v>
      </c>
      <c r="GFI11">
        <v>0</v>
      </c>
      <c r="GFJ11">
        <v>0</v>
      </c>
      <c r="GFK11">
        <v>0</v>
      </c>
      <c r="GFL11">
        <v>0</v>
      </c>
      <c r="GFM11">
        <v>0</v>
      </c>
      <c r="GFN11">
        <v>0</v>
      </c>
      <c r="GFO11">
        <v>0</v>
      </c>
      <c r="GFP11">
        <v>0</v>
      </c>
      <c r="GFQ11">
        <v>0</v>
      </c>
      <c r="GFR11">
        <v>59</v>
      </c>
      <c r="GFS11">
        <v>0</v>
      </c>
      <c r="GFT11">
        <v>0</v>
      </c>
      <c r="GFU11">
        <v>0</v>
      </c>
      <c r="GFV11">
        <v>0</v>
      </c>
      <c r="GFW11">
        <v>0</v>
      </c>
      <c r="GFX11">
        <v>0</v>
      </c>
      <c r="GFY11">
        <v>0</v>
      </c>
      <c r="GFZ11">
        <v>0</v>
      </c>
      <c r="GGA11">
        <v>0</v>
      </c>
      <c r="GGB11">
        <v>0</v>
      </c>
      <c r="GGC11">
        <v>0</v>
      </c>
      <c r="GGD11">
        <v>0</v>
      </c>
      <c r="GGE11">
        <v>0</v>
      </c>
      <c r="GGF11">
        <v>0</v>
      </c>
      <c r="GGG11">
        <v>0</v>
      </c>
      <c r="GGH11">
        <v>0</v>
      </c>
      <c r="GGI11">
        <v>0</v>
      </c>
      <c r="GGJ11">
        <v>0</v>
      </c>
      <c r="GGK11">
        <v>0</v>
      </c>
      <c r="GGL11">
        <v>0</v>
      </c>
      <c r="GGM11">
        <v>38</v>
      </c>
      <c r="GGN11">
        <v>108.01</v>
      </c>
      <c r="GGO11">
        <v>0</v>
      </c>
      <c r="GGP11">
        <v>0</v>
      </c>
      <c r="GGQ11">
        <v>0</v>
      </c>
      <c r="GGR11">
        <v>0</v>
      </c>
      <c r="GGS11">
        <v>0</v>
      </c>
      <c r="GGT11">
        <v>2654.41</v>
      </c>
      <c r="GGU11">
        <v>0</v>
      </c>
      <c r="GGV11">
        <v>0</v>
      </c>
      <c r="GGW11">
        <v>686.99</v>
      </c>
      <c r="GGX11">
        <v>0</v>
      </c>
      <c r="GGY11">
        <v>0</v>
      </c>
      <c r="GGZ11">
        <v>0</v>
      </c>
      <c r="GHA11">
        <v>0</v>
      </c>
      <c r="GHB11">
        <v>0</v>
      </c>
      <c r="GHC11">
        <v>0</v>
      </c>
      <c r="GHD11">
        <v>0</v>
      </c>
      <c r="GHE11">
        <v>0</v>
      </c>
      <c r="GHF11">
        <v>0</v>
      </c>
      <c r="GHG11">
        <v>0</v>
      </c>
      <c r="GHH11">
        <v>0</v>
      </c>
      <c r="GHI11">
        <v>0</v>
      </c>
      <c r="GHJ11">
        <v>0</v>
      </c>
      <c r="GHK11">
        <v>0</v>
      </c>
      <c r="GHL11">
        <v>0</v>
      </c>
      <c r="GHM11">
        <v>480.98</v>
      </c>
      <c r="GHN11">
        <v>406.9</v>
      </c>
      <c r="GHO11">
        <v>1231.9000000000001</v>
      </c>
      <c r="GHP11">
        <v>0</v>
      </c>
      <c r="GHQ11">
        <v>0</v>
      </c>
      <c r="GHR11">
        <v>0</v>
      </c>
      <c r="GHS11">
        <v>93</v>
      </c>
      <c r="GHT11">
        <v>0</v>
      </c>
      <c r="GHU11">
        <v>0</v>
      </c>
      <c r="GHV11">
        <v>0</v>
      </c>
      <c r="GHW11">
        <v>0</v>
      </c>
      <c r="GHX11">
        <v>0</v>
      </c>
      <c r="GHY11">
        <v>0</v>
      </c>
      <c r="GHZ11">
        <v>0</v>
      </c>
      <c r="GIA11">
        <v>0</v>
      </c>
      <c r="GIB11">
        <v>245</v>
      </c>
      <c r="GIC11">
        <v>0</v>
      </c>
      <c r="GID11">
        <v>18</v>
      </c>
      <c r="GIE11">
        <v>0</v>
      </c>
      <c r="GIF11">
        <v>0</v>
      </c>
      <c r="GIG11">
        <v>555.98</v>
      </c>
      <c r="GIH11">
        <v>91.99</v>
      </c>
      <c r="GII11">
        <v>0</v>
      </c>
      <c r="GIJ11">
        <v>0</v>
      </c>
      <c r="GIK11">
        <v>0</v>
      </c>
      <c r="GIL11">
        <v>554.96</v>
      </c>
      <c r="GIM11">
        <v>59.85</v>
      </c>
      <c r="GIN11">
        <v>0</v>
      </c>
      <c r="GIO11">
        <v>0</v>
      </c>
      <c r="GIP11">
        <v>0</v>
      </c>
      <c r="GIQ11">
        <v>49</v>
      </c>
      <c r="GIR11">
        <v>0</v>
      </c>
      <c r="GIS11">
        <v>0</v>
      </c>
      <c r="GIT11">
        <v>10.92</v>
      </c>
      <c r="GIU11">
        <v>75.989999999999995</v>
      </c>
      <c r="GIV11">
        <v>0</v>
      </c>
      <c r="GIW11">
        <v>0</v>
      </c>
      <c r="GIX11">
        <v>0</v>
      </c>
      <c r="GIY11">
        <v>60.94</v>
      </c>
      <c r="GIZ11">
        <v>0</v>
      </c>
      <c r="GJA11">
        <v>0</v>
      </c>
      <c r="GJB11">
        <v>0</v>
      </c>
      <c r="GJC11">
        <v>0</v>
      </c>
      <c r="GJD11">
        <v>0</v>
      </c>
      <c r="GJE11">
        <v>0</v>
      </c>
      <c r="GJF11">
        <v>0</v>
      </c>
      <c r="GJG11">
        <v>0</v>
      </c>
      <c r="GJH11">
        <v>0</v>
      </c>
      <c r="GJI11">
        <v>0</v>
      </c>
      <c r="GJJ11">
        <v>0</v>
      </c>
      <c r="GJK11">
        <v>0</v>
      </c>
      <c r="GJL11">
        <v>0</v>
      </c>
      <c r="GJM11">
        <v>0</v>
      </c>
      <c r="GJN11">
        <v>0</v>
      </c>
      <c r="GJO11">
        <v>0</v>
      </c>
      <c r="GJP11">
        <v>106</v>
      </c>
      <c r="GJQ11">
        <v>386.99</v>
      </c>
      <c r="GJR11">
        <v>0</v>
      </c>
      <c r="GJS11">
        <v>0</v>
      </c>
      <c r="GJT11">
        <v>0</v>
      </c>
      <c r="GJU11">
        <v>0</v>
      </c>
      <c r="GJV11">
        <v>0</v>
      </c>
      <c r="GJW11">
        <v>0</v>
      </c>
      <c r="GJX11">
        <v>0</v>
      </c>
      <c r="GJY11">
        <v>0</v>
      </c>
      <c r="GJZ11">
        <v>0</v>
      </c>
      <c r="GKA11">
        <v>0</v>
      </c>
      <c r="GKB11">
        <v>0</v>
      </c>
      <c r="GKC11">
        <v>0</v>
      </c>
      <c r="GKD11">
        <v>0</v>
      </c>
      <c r="GKE11">
        <v>0</v>
      </c>
      <c r="GKF11">
        <v>0</v>
      </c>
      <c r="GKG11">
        <v>0</v>
      </c>
      <c r="GKH11">
        <v>534.98</v>
      </c>
      <c r="GKI11">
        <v>74.010000000000005</v>
      </c>
      <c r="GKJ11">
        <v>0</v>
      </c>
      <c r="GKK11">
        <v>14</v>
      </c>
      <c r="GKL11">
        <v>470.98</v>
      </c>
      <c r="GKM11">
        <v>0</v>
      </c>
      <c r="GKN11">
        <v>0</v>
      </c>
      <c r="GKO11">
        <v>0</v>
      </c>
      <c r="GKP11">
        <v>0</v>
      </c>
      <c r="GKQ11">
        <v>0</v>
      </c>
      <c r="GKR11">
        <v>0</v>
      </c>
      <c r="GKS11">
        <v>0</v>
      </c>
      <c r="GKT11">
        <v>64.86</v>
      </c>
      <c r="GKU11">
        <v>0</v>
      </c>
      <c r="GKV11">
        <v>668.92</v>
      </c>
      <c r="GKW11">
        <v>0</v>
      </c>
      <c r="GKX11">
        <v>0</v>
      </c>
      <c r="GKY11">
        <v>6</v>
      </c>
      <c r="GKZ11">
        <v>0</v>
      </c>
      <c r="GLA11">
        <v>55</v>
      </c>
      <c r="GLB11">
        <v>0</v>
      </c>
      <c r="GLC11">
        <v>0</v>
      </c>
      <c r="GLD11">
        <v>0</v>
      </c>
      <c r="GLE11">
        <v>0</v>
      </c>
      <c r="GLF11">
        <v>0</v>
      </c>
      <c r="GLG11">
        <v>0</v>
      </c>
      <c r="GLH11">
        <v>943.88</v>
      </c>
      <c r="GLI11">
        <v>0</v>
      </c>
      <c r="GLJ11">
        <v>0</v>
      </c>
      <c r="GLK11">
        <v>0</v>
      </c>
      <c r="GLL11">
        <v>0</v>
      </c>
      <c r="GLM11">
        <v>0</v>
      </c>
      <c r="GLN11">
        <v>0</v>
      </c>
      <c r="GLO11">
        <v>0</v>
      </c>
      <c r="GLP11">
        <v>0</v>
      </c>
      <c r="GLQ11">
        <v>46</v>
      </c>
      <c r="GLR11">
        <v>3476.54</v>
      </c>
      <c r="GLS11">
        <v>0</v>
      </c>
      <c r="GLT11">
        <v>118</v>
      </c>
      <c r="GLU11">
        <v>81.99</v>
      </c>
      <c r="GLV11">
        <v>0</v>
      </c>
      <c r="GLW11">
        <v>27</v>
      </c>
      <c r="GLX11">
        <v>0</v>
      </c>
      <c r="GLY11">
        <v>0</v>
      </c>
      <c r="GLZ11">
        <v>0</v>
      </c>
      <c r="GMA11">
        <v>3396.56</v>
      </c>
      <c r="GMB11">
        <v>0</v>
      </c>
      <c r="GMC11">
        <v>0</v>
      </c>
      <c r="GMD11">
        <v>0</v>
      </c>
      <c r="GME11">
        <v>0</v>
      </c>
      <c r="GMF11">
        <v>0</v>
      </c>
      <c r="GMG11">
        <v>0</v>
      </c>
      <c r="GMH11">
        <v>0</v>
      </c>
      <c r="GMI11">
        <v>0</v>
      </c>
      <c r="GMJ11">
        <v>0</v>
      </c>
      <c r="GMK11">
        <v>0</v>
      </c>
      <c r="GML11">
        <v>0</v>
      </c>
      <c r="GMM11">
        <v>0</v>
      </c>
      <c r="GMN11">
        <v>2705.98</v>
      </c>
      <c r="GMO11">
        <v>784.98</v>
      </c>
      <c r="GMP11">
        <v>0</v>
      </c>
      <c r="GMQ11">
        <v>0</v>
      </c>
      <c r="GMR11">
        <v>0</v>
      </c>
      <c r="GMS11">
        <v>0</v>
      </c>
      <c r="GMT11">
        <v>173.98</v>
      </c>
      <c r="GMU11">
        <v>316.99</v>
      </c>
      <c r="GMV11">
        <v>309.98</v>
      </c>
      <c r="GMW11">
        <v>0</v>
      </c>
      <c r="GMX11">
        <v>0</v>
      </c>
      <c r="GMY11">
        <v>0</v>
      </c>
      <c r="GMZ11">
        <v>0</v>
      </c>
      <c r="GNA11">
        <v>0</v>
      </c>
      <c r="GNB11">
        <v>0</v>
      </c>
      <c r="GNC11">
        <v>36</v>
      </c>
      <c r="GND11">
        <v>773.95</v>
      </c>
      <c r="GNE11">
        <v>1559.82</v>
      </c>
      <c r="GNF11">
        <v>0</v>
      </c>
      <c r="GNG11">
        <v>70</v>
      </c>
      <c r="GNH11">
        <v>171.98</v>
      </c>
      <c r="GNI11">
        <v>0</v>
      </c>
      <c r="GNJ11">
        <v>0</v>
      </c>
      <c r="GNK11">
        <v>0</v>
      </c>
      <c r="GNL11">
        <v>1308.05</v>
      </c>
      <c r="GNM11">
        <v>171</v>
      </c>
      <c r="GNN11">
        <v>0</v>
      </c>
      <c r="GNO11">
        <v>1445.91</v>
      </c>
      <c r="GNP11">
        <v>616.64</v>
      </c>
      <c r="GNQ11">
        <v>0</v>
      </c>
      <c r="GNR11">
        <v>2975.96</v>
      </c>
      <c r="GNS11">
        <v>492.98</v>
      </c>
      <c r="GNT11">
        <v>771.95</v>
      </c>
      <c r="GNU11">
        <v>0</v>
      </c>
      <c r="GNV11">
        <v>34</v>
      </c>
      <c r="GNW11">
        <v>385.99</v>
      </c>
      <c r="GNX11">
        <v>0</v>
      </c>
      <c r="GNY11">
        <v>0</v>
      </c>
      <c r="GNZ11">
        <v>217.04</v>
      </c>
      <c r="GOA11">
        <v>0</v>
      </c>
      <c r="GOB11">
        <v>150.99</v>
      </c>
      <c r="GOC11">
        <v>435.96</v>
      </c>
      <c r="GOD11">
        <v>0</v>
      </c>
      <c r="GOE11">
        <v>0</v>
      </c>
      <c r="GOF11">
        <v>0</v>
      </c>
      <c r="GOG11">
        <v>518.05999999999995</v>
      </c>
      <c r="GOH11">
        <v>33</v>
      </c>
      <c r="GOI11">
        <v>1055.92</v>
      </c>
      <c r="GOJ11">
        <v>0</v>
      </c>
      <c r="GOK11">
        <v>0</v>
      </c>
      <c r="GOL11">
        <v>0</v>
      </c>
      <c r="GOM11">
        <v>795.99</v>
      </c>
      <c r="GON11">
        <v>1377.98</v>
      </c>
      <c r="GOO11">
        <v>78</v>
      </c>
      <c r="GOP11">
        <v>0</v>
      </c>
      <c r="GOQ11">
        <v>0</v>
      </c>
      <c r="GOR11">
        <v>5976.61</v>
      </c>
      <c r="GOS11">
        <v>996.94</v>
      </c>
      <c r="GOT11">
        <v>0</v>
      </c>
      <c r="GOU11">
        <v>24</v>
      </c>
      <c r="GOV11">
        <v>165.99</v>
      </c>
      <c r="GOW11">
        <v>368.99</v>
      </c>
      <c r="GOX11">
        <v>0</v>
      </c>
      <c r="GOY11">
        <v>630.99</v>
      </c>
      <c r="GOZ11">
        <v>0</v>
      </c>
      <c r="GPA11">
        <v>0</v>
      </c>
      <c r="GPB11">
        <v>7</v>
      </c>
      <c r="GPC11">
        <v>0</v>
      </c>
      <c r="GPD11">
        <v>2367.69</v>
      </c>
      <c r="GPE11">
        <v>0</v>
      </c>
      <c r="GPF11">
        <v>0</v>
      </c>
      <c r="GPG11">
        <v>249.99</v>
      </c>
      <c r="GPH11">
        <v>20</v>
      </c>
      <c r="GPI11">
        <v>0</v>
      </c>
      <c r="GPJ11">
        <v>0</v>
      </c>
      <c r="GPK11">
        <v>0</v>
      </c>
      <c r="GPL11">
        <v>0</v>
      </c>
      <c r="GPM11">
        <v>201.98</v>
      </c>
      <c r="GPN11">
        <v>274.79000000000002</v>
      </c>
      <c r="GPO11">
        <v>0</v>
      </c>
      <c r="GPP11">
        <v>0</v>
      </c>
      <c r="GPQ11">
        <v>0</v>
      </c>
      <c r="GPR11">
        <v>0</v>
      </c>
      <c r="GPS11">
        <v>57</v>
      </c>
      <c r="GPT11">
        <v>0</v>
      </c>
      <c r="GPU11">
        <v>1058.94</v>
      </c>
      <c r="GPV11">
        <v>0</v>
      </c>
      <c r="GPW11">
        <v>417.99</v>
      </c>
      <c r="GPX11">
        <v>1170.93</v>
      </c>
      <c r="GPY11">
        <v>986.94</v>
      </c>
      <c r="GPZ11">
        <v>0</v>
      </c>
      <c r="GQA11">
        <v>2417.14</v>
      </c>
      <c r="GQB11">
        <v>0</v>
      </c>
      <c r="GQC11">
        <v>0</v>
      </c>
      <c r="GQD11">
        <v>17</v>
      </c>
      <c r="GQE11">
        <v>661</v>
      </c>
      <c r="GQF11">
        <v>63</v>
      </c>
      <c r="GQG11">
        <v>0</v>
      </c>
      <c r="GQH11">
        <v>171.99</v>
      </c>
      <c r="GQI11">
        <v>961.94</v>
      </c>
      <c r="GQJ11">
        <v>0</v>
      </c>
      <c r="GQK11">
        <v>0</v>
      </c>
      <c r="GQL11">
        <v>0</v>
      </c>
      <c r="GQM11">
        <v>145.02000000000001</v>
      </c>
      <c r="GQN11">
        <v>0</v>
      </c>
      <c r="GQO11">
        <v>0</v>
      </c>
      <c r="GQP11">
        <v>0</v>
      </c>
      <c r="GQQ11">
        <v>5227.92</v>
      </c>
      <c r="GQR11">
        <v>0</v>
      </c>
      <c r="GQS11">
        <v>0</v>
      </c>
      <c r="GQT11">
        <v>118</v>
      </c>
      <c r="GQU11">
        <v>0</v>
      </c>
      <c r="GQV11">
        <v>48</v>
      </c>
      <c r="GQW11">
        <v>0</v>
      </c>
      <c r="GQX11">
        <v>0</v>
      </c>
      <c r="GQY11">
        <v>336.98</v>
      </c>
      <c r="GQZ11">
        <v>597.96</v>
      </c>
      <c r="GRA11">
        <v>27</v>
      </c>
      <c r="GRB11">
        <v>0</v>
      </c>
      <c r="GRC11">
        <v>0</v>
      </c>
      <c r="GRD11">
        <v>0</v>
      </c>
      <c r="GRE11">
        <v>0</v>
      </c>
      <c r="GRF11">
        <v>0</v>
      </c>
      <c r="GRG11">
        <v>55</v>
      </c>
      <c r="GRH11">
        <v>847.11</v>
      </c>
      <c r="GRI11">
        <v>493.94</v>
      </c>
      <c r="GRJ11">
        <v>0</v>
      </c>
      <c r="GRK11">
        <v>0</v>
      </c>
      <c r="GRL11">
        <v>822.92</v>
      </c>
      <c r="GRM11">
        <v>262.99</v>
      </c>
      <c r="GRN11">
        <v>0</v>
      </c>
      <c r="GRO11">
        <v>0</v>
      </c>
      <c r="GRP11">
        <v>99</v>
      </c>
      <c r="GRQ11">
        <v>4035.59</v>
      </c>
      <c r="GRR11">
        <v>0</v>
      </c>
      <c r="GRS11">
        <v>361.14</v>
      </c>
      <c r="GRT11">
        <v>1348.2</v>
      </c>
      <c r="GRU11">
        <v>2312.94</v>
      </c>
      <c r="GRV11">
        <v>757.9</v>
      </c>
      <c r="GRW11">
        <v>2210.37</v>
      </c>
      <c r="GRX11">
        <v>1204.97</v>
      </c>
      <c r="GRY11">
        <v>0</v>
      </c>
      <c r="GRZ11">
        <v>20</v>
      </c>
      <c r="GSA11">
        <v>1015.99</v>
      </c>
      <c r="GSB11">
        <v>1907.9</v>
      </c>
      <c r="GSC11">
        <v>0</v>
      </c>
      <c r="GSD11">
        <v>0</v>
      </c>
      <c r="GSE11">
        <v>254.04</v>
      </c>
      <c r="GSF11">
        <v>5286.44</v>
      </c>
      <c r="GSG11">
        <v>3608.88</v>
      </c>
      <c r="GSH11">
        <v>230.99</v>
      </c>
      <c r="GSI11">
        <v>106.99</v>
      </c>
      <c r="GSJ11">
        <v>5927.95</v>
      </c>
      <c r="GSK11">
        <v>1054</v>
      </c>
      <c r="GSL11">
        <v>685.94</v>
      </c>
      <c r="GSM11">
        <v>208.99</v>
      </c>
      <c r="GSN11">
        <v>0</v>
      </c>
      <c r="GSO11">
        <v>349.05</v>
      </c>
      <c r="GSP11">
        <v>43</v>
      </c>
      <c r="GSQ11">
        <v>60</v>
      </c>
      <c r="GSR11">
        <v>195046.25</v>
      </c>
    </row>
    <row r="12" spans="1:5244" x14ac:dyDescent="0.2">
      <c r="A12" s="7">
        <v>58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</v>
      </c>
      <c r="T12">
        <v>3</v>
      </c>
      <c r="U12">
        <v>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4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6</v>
      </c>
      <c r="EI12">
        <v>6</v>
      </c>
      <c r="EJ12">
        <v>6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7</v>
      </c>
      <c r="HD12">
        <v>7</v>
      </c>
      <c r="HE12">
        <v>7</v>
      </c>
      <c r="HF12">
        <v>7</v>
      </c>
      <c r="HG12">
        <v>7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9</v>
      </c>
      <c r="KW12">
        <v>9</v>
      </c>
      <c r="KX12">
        <v>9</v>
      </c>
      <c r="KY12">
        <v>9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9.99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10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11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12</v>
      </c>
      <c r="RQ12">
        <v>12</v>
      </c>
      <c r="RR12">
        <v>12</v>
      </c>
      <c r="RS12">
        <v>12</v>
      </c>
      <c r="RT12">
        <v>12</v>
      </c>
      <c r="RU12">
        <v>12</v>
      </c>
      <c r="RV12">
        <v>12</v>
      </c>
      <c r="RW12">
        <v>12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13</v>
      </c>
      <c r="TU12">
        <v>13</v>
      </c>
      <c r="TV12">
        <v>13</v>
      </c>
      <c r="TW12">
        <v>13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14</v>
      </c>
      <c r="WA12">
        <v>14</v>
      </c>
      <c r="WB12">
        <v>14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11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15.99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16</v>
      </c>
      <c r="AAD12">
        <v>16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17</v>
      </c>
      <c r="ABU12">
        <v>17</v>
      </c>
      <c r="ABV12">
        <v>17</v>
      </c>
      <c r="ABW12">
        <v>3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18</v>
      </c>
      <c r="ADR12">
        <v>18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19</v>
      </c>
      <c r="AGF12">
        <v>19</v>
      </c>
      <c r="AGG12">
        <v>19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19.989999999999998</v>
      </c>
      <c r="AGX12">
        <v>19.989999999999998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20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21</v>
      </c>
      <c r="AKJ12">
        <v>14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23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17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17</v>
      </c>
      <c r="APE12">
        <v>5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25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25.99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26</v>
      </c>
      <c r="ASU12">
        <v>26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27</v>
      </c>
      <c r="AUF12">
        <v>27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27.99</v>
      </c>
      <c r="AUU12">
        <v>27.99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26</v>
      </c>
      <c r="AVN12">
        <v>28</v>
      </c>
      <c r="AVO12">
        <v>28</v>
      </c>
      <c r="AVP12">
        <v>28</v>
      </c>
      <c r="AVQ12">
        <v>28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29</v>
      </c>
      <c r="AXB12">
        <v>29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6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16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31.99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4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33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34</v>
      </c>
      <c r="BDU12">
        <v>34</v>
      </c>
      <c r="BDV12">
        <v>34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35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20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3</v>
      </c>
      <c r="BGS12">
        <v>36</v>
      </c>
      <c r="BGT12">
        <v>36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37</v>
      </c>
      <c r="BHY12">
        <v>37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35</v>
      </c>
      <c r="BJD12">
        <v>0</v>
      </c>
      <c r="BJE12">
        <v>0</v>
      </c>
      <c r="BJF12">
        <v>0</v>
      </c>
      <c r="BJG12">
        <v>0</v>
      </c>
      <c r="BJH12">
        <v>38</v>
      </c>
      <c r="BJI12">
        <v>38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39</v>
      </c>
      <c r="BKP12">
        <v>39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40</v>
      </c>
      <c r="BLW12">
        <v>40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40.99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11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28</v>
      </c>
      <c r="BNQ12">
        <v>42</v>
      </c>
      <c r="BNR12">
        <v>42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43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30.99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13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45.99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11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13.99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6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49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39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50</v>
      </c>
      <c r="BVF12">
        <v>50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5</v>
      </c>
      <c r="BXV12">
        <v>0</v>
      </c>
      <c r="BXW12">
        <v>23</v>
      </c>
      <c r="BXX12">
        <v>53</v>
      </c>
      <c r="BXY12">
        <v>0</v>
      </c>
      <c r="BXZ12">
        <v>0</v>
      </c>
      <c r="BYA12">
        <v>0</v>
      </c>
      <c r="BYB12">
        <v>0</v>
      </c>
      <c r="BYC12">
        <v>0</v>
      </c>
      <c r="BYD12">
        <v>0</v>
      </c>
      <c r="BYE12">
        <v>0</v>
      </c>
      <c r="BYF12">
        <v>0</v>
      </c>
      <c r="BYG12">
        <v>0</v>
      </c>
      <c r="BYH12">
        <v>0</v>
      </c>
      <c r="BYI12">
        <v>0</v>
      </c>
      <c r="BYJ12">
        <v>0</v>
      </c>
      <c r="BYK12">
        <v>0</v>
      </c>
      <c r="BYL12">
        <v>0</v>
      </c>
      <c r="BYM12">
        <v>0</v>
      </c>
      <c r="BYN12">
        <v>0</v>
      </c>
      <c r="BYO12">
        <v>0</v>
      </c>
      <c r="BYP12">
        <v>0</v>
      </c>
      <c r="BYQ12">
        <v>0</v>
      </c>
      <c r="BYR12">
        <v>0</v>
      </c>
      <c r="BYS12">
        <v>0</v>
      </c>
      <c r="BYT12">
        <v>0</v>
      </c>
      <c r="BYU12">
        <v>0</v>
      </c>
      <c r="BYV12">
        <v>0</v>
      </c>
      <c r="BYW12">
        <v>0</v>
      </c>
      <c r="BYX12">
        <v>0</v>
      </c>
      <c r="BYY12">
        <v>0</v>
      </c>
      <c r="BYZ12">
        <v>0</v>
      </c>
      <c r="BZA12">
        <v>0</v>
      </c>
      <c r="BZB12">
        <v>0</v>
      </c>
      <c r="BZC12">
        <v>0</v>
      </c>
      <c r="BZD12">
        <v>0</v>
      </c>
      <c r="BZE12">
        <v>0</v>
      </c>
      <c r="BZF12">
        <v>0</v>
      </c>
      <c r="BZG12">
        <v>0</v>
      </c>
      <c r="BZH12">
        <v>15</v>
      </c>
      <c r="BZI12">
        <v>0</v>
      </c>
      <c r="BZJ12">
        <v>0</v>
      </c>
      <c r="BZK12">
        <v>55</v>
      </c>
      <c r="BZL12">
        <v>55</v>
      </c>
      <c r="BZM12">
        <v>0</v>
      </c>
      <c r="BZN12">
        <v>0</v>
      </c>
      <c r="BZO12">
        <v>0</v>
      </c>
      <c r="BZP12">
        <v>0</v>
      </c>
      <c r="BZQ12">
        <v>0</v>
      </c>
      <c r="BZR12">
        <v>0</v>
      </c>
      <c r="BZS12">
        <v>0</v>
      </c>
      <c r="BZT12">
        <v>0</v>
      </c>
      <c r="BZU12">
        <v>0</v>
      </c>
      <c r="BZV12">
        <v>0</v>
      </c>
      <c r="BZW12">
        <v>0</v>
      </c>
      <c r="BZX12">
        <v>0</v>
      </c>
      <c r="BZY12">
        <v>0</v>
      </c>
      <c r="BZZ12">
        <v>0</v>
      </c>
      <c r="CAA12">
        <v>0</v>
      </c>
      <c r="CAB12">
        <v>0</v>
      </c>
      <c r="CAC12">
        <v>0</v>
      </c>
      <c r="CAD12">
        <v>0</v>
      </c>
      <c r="CAE12">
        <v>0</v>
      </c>
      <c r="CAF12">
        <v>0</v>
      </c>
      <c r="CAG12">
        <v>0</v>
      </c>
      <c r="CAH12">
        <v>0</v>
      </c>
      <c r="CAI12">
        <v>0</v>
      </c>
      <c r="CAJ12">
        <v>0</v>
      </c>
      <c r="CAK12">
        <v>0</v>
      </c>
      <c r="CAL12">
        <v>0</v>
      </c>
      <c r="CAM12">
        <v>0</v>
      </c>
      <c r="CAN12">
        <v>48</v>
      </c>
      <c r="CAO12">
        <v>0</v>
      </c>
      <c r="CAP12">
        <v>0</v>
      </c>
      <c r="CAQ12">
        <v>0</v>
      </c>
      <c r="CAR12">
        <v>0</v>
      </c>
      <c r="CAS12">
        <v>0</v>
      </c>
      <c r="CAT12">
        <v>0</v>
      </c>
      <c r="CAU12">
        <v>0</v>
      </c>
      <c r="CAV12">
        <v>0</v>
      </c>
      <c r="CAW12">
        <v>0</v>
      </c>
      <c r="CAX12">
        <v>0</v>
      </c>
      <c r="CAY12">
        <v>0</v>
      </c>
      <c r="CAZ12">
        <v>0</v>
      </c>
      <c r="CBA12">
        <v>0</v>
      </c>
      <c r="CBB12">
        <v>0</v>
      </c>
      <c r="CBC12">
        <v>0</v>
      </c>
      <c r="CBD12">
        <v>0</v>
      </c>
      <c r="CBE12">
        <v>0</v>
      </c>
      <c r="CBF12">
        <v>0</v>
      </c>
      <c r="CBG12">
        <v>0</v>
      </c>
      <c r="CBH12">
        <v>0</v>
      </c>
      <c r="CBI12">
        <v>35</v>
      </c>
      <c r="CBJ12">
        <v>0</v>
      </c>
      <c r="CBK12">
        <v>0</v>
      </c>
      <c r="CBL12">
        <v>0</v>
      </c>
      <c r="CBM12">
        <v>0</v>
      </c>
      <c r="CBN12">
        <v>0</v>
      </c>
      <c r="CBO12">
        <v>0</v>
      </c>
      <c r="CBP12">
        <v>0</v>
      </c>
      <c r="CBQ12">
        <v>0</v>
      </c>
      <c r="CBR12">
        <v>0</v>
      </c>
      <c r="CBS12">
        <v>0</v>
      </c>
      <c r="CBT12">
        <v>0</v>
      </c>
      <c r="CBU12">
        <v>0</v>
      </c>
      <c r="CBV12">
        <v>0</v>
      </c>
      <c r="CBW12">
        <v>0</v>
      </c>
      <c r="CBX12">
        <v>0</v>
      </c>
      <c r="CBY12">
        <v>0</v>
      </c>
      <c r="CBZ12">
        <v>0</v>
      </c>
      <c r="CCA12">
        <v>0</v>
      </c>
      <c r="CCB12">
        <v>0</v>
      </c>
      <c r="CCC12">
        <v>0</v>
      </c>
      <c r="CCD12">
        <v>0</v>
      </c>
      <c r="CCE12">
        <v>0</v>
      </c>
      <c r="CCF12">
        <v>0</v>
      </c>
      <c r="CCG12">
        <v>0</v>
      </c>
      <c r="CCH12">
        <v>0</v>
      </c>
      <c r="CCI12">
        <v>0</v>
      </c>
      <c r="CCJ12">
        <v>0</v>
      </c>
      <c r="CCK12">
        <v>0</v>
      </c>
      <c r="CCL12">
        <v>0</v>
      </c>
      <c r="CCM12">
        <v>0</v>
      </c>
      <c r="CCN12">
        <v>0</v>
      </c>
      <c r="CCO12">
        <v>8</v>
      </c>
      <c r="CCP12">
        <v>0</v>
      </c>
      <c r="CCQ12">
        <v>0</v>
      </c>
      <c r="CCR12">
        <v>0</v>
      </c>
      <c r="CCS12">
        <v>0</v>
      </c>
      <c r="CCT12">
        <v>0</v>
      </c>
      <c r="CCU12">
        <v>0</v>
      </c>
      <c r="CCV12">
        <v>0</v>
      </c>
      <c r="CCW12">
        <v>0</v>
      </c>
      <c r="CCX12">
        <v>0</v>
      </c>
      <c r="CCY12">
        <v>0</v>
      </c>
      <c r="CCZ12">
        <v>0</v>
      </c>
      <c r="CDA12">
        <v>0</v>
      </c>
      <c r="CDB12">
        <v>0</v>
      </c>
      <c r="CDC12">
        <v>0</v>
      </c>
      <c r="CDD12">
        <v>2</v>
      </c>
      <c r="CDE12">
        <v>0</v>
      </c>
      <c r="CDF12">
        <v>0</v>
      </c>
      <c r="CDG12">
        <v>0</v>
      </c>
      <c r="CDH12">
        <v>0</v>
      </c>
      <c r="CDI12">
        <v>0</v>
      </c>
      <c r="CDJ12">
        <v>0</v>
      </c>
      <c r="CDK12">
        <v>0</v>
      </c>
      <c r="CDL12">
        <v>0</v>
      </c>
      <c r="CDM12">
        <v>0</v>
      </c>
      <c r="CDN12">
        <v>61.99</v>
      </c>
      <c r="CDO12">
        <v>0</v>
      </c>
      <c r="CDP12">
        <v>0</v>
      </c>
      <c r="CDQ12">
        <v>0</v>
      </c>
      <c r="CDR12">
        <v>0</v>
      </c>
      <c r="CDS12">
        <v>0</v>
      </c>
      <c r="CDT12">
        <v>0</v>
      </c>
      <c r="CDU12">
        <v>0</v>
      </c>
      <c r="CDV12">
        <v>0</v>
      </c>
      <c r="CDW12">
        <v>0</v>
      </c>
      <c r="CDX12">
        <v>0</v>
      </c>
      <c r="CDY12">
        <v>0</v>
      </c>
      <c r="CDZ12">
        <v>0</v>
      </c>
      <c r="CEA12">
        <v>0</v>
      </c>
      <c r="CEB12">
        <v>0</v>
      </c>
      <c r="CEC12">
        <v>0</v>
      </c>
      <c r="CED12">
        <v>0</v>
      </c>
      <c r="CEE12">
        <v>0</v>
      </c>
      <c r="CEF12">
        <v>0</v>
      </c>
      <c r="CEG12">
        <v>0</v>
      </c>
      <c r="CEH12">
        <v>0</v>
      </c>
      <c r="CEI12">
        <v>0</v>
      </c>
      <c r="CEJ12">
        <v>0</v>
      </c>
      <c r="CEK12">
        <v>0</v>
      </c>
      <c r="CEL12">
        <v>0</v>
      </c>
      <c r="CEM12">
        <v>0</v>
      </c>
      <c r="CEN12">
        <v>0</v>
      </c>
      <c r="CEO12">
        <v>0</v>
      </c>
      <c r="CEP12">
        <v>0</v>
      </c>
      <c r="CEQ12">
        <v>0</v>
      </c>
      <c r="CER12">
        <v>0</v>
      </c>
      <c r="CES12">
        <v>0</v>
      </c>
      <c r="CET12">
        <v>0</v>
      </c>
      <c r="CEU12">
        <v>0</v>
      </c>
      <c r="CEV12">
        <v>0</v>
      </c>
      <c r="CEW12">
        <v>0</v>
      </c>
      <c r="CEX12">
        <v>0</v>
      </c>
      <c r="CEY12">
        <v>0</v>
      </c>
      <c r="CEZ12">
        <v>63.99</v>
      </c>
      <c r="CFA12">
        <v>0</v>
      </c>
      <c r="CFB12">
        <v>0</v>
      </c>
      <c r="CFC12">
        <v>0</v>
      </c>
      <c r="CFD12">
        <v>0</v>
      </c>
      <c r="CFE12">
        <v>0</v>
      </c>
      <c r="CFF12">
        <v>0</v>
      </c>
      <c r="CFG12">
        <v>0</v>
      </c>
      <c r="CFH12">
        <v>0</v>
      </c>
      <c r="CFI12">
        <v>0</v>
      </c>
      <c r="CFJ12">
        <v>0</v>
      </c>
      <c r="CFK12">
        <v>0</v>
      </c>
      <c r="CFL12">
        <v>0</v>
      </c>
      <c r="CFM12">
        <v>0</v>
      </c>
      <c r="CFN12">
        <v>0</v>
      </c>
      <c r="CFO12">
        <v>0</v>
      </c>
      <c r="CFP12">
        <v>0</v>
      </c>
      <c r="CFQ12">
        <v>0</v>
      </c>
      <c r="CFR12">
        <v>0</v>
      </c>
      <c r="CFS12">
        <v>0</v>
      </c>
      <c r="CFT12">
        <v>0</v>
      </c>
      <c r="CFU12">
        <v>0</v>
      </c>
      <c r="CFV12">
        <v>0</v>
      </c>
      <c r="CFW12">
        <v>0</v>
      </c>
      <c r="CFX12">
        <v>0</v>
      </c>
      <c r="CFY12">
        <v>0</v>
      </c>
      <c r="CFZ12">
        <v>0</v>
      </c>
      <c r="CGA12">
        <v>0</v>
      </c>
      <c r="CGB12">
        <v>0</v>
      </c>
      <c r="CGC12">
        <v>0</v>
      </c>
      <c r="CGD12">
        <v>0</v>
      </c>
      <c r="CGE12">
        <v>0</v>
      </c>
      <c r="CGF12">
        <v>0</v>
      </c>
      <c r="CGG12">
        <v>0</v>
      </c>
      <c r="CGH12">
        <v>0</v>
      </c>
      <c r="CGI12">
        <v>0</v>
      </c>
      <c r="CGJ12">
        <v>65</v>
      </c>
      <c r="CGK12">
        <v>57</v>
      </c>
      <c r="CGL12">
        <v>0</v>
      </c>
      <c r="CGM12">
        <v>0</v>
      </c>
      <c r="CGN12">
        <v>0</v>
      </c>
      <c r="CGO12">
        <v>0</v>
      </c>
      <c r="CGP12">
        <v>7</v>
      </c>
      <c r="CGQ12">
        <v>0</v>
      </c>
      <c r="CGR12">
        <v>0</v>
      </c>
      <c r="CGS12">
        <v>0</v>
      </c>
      <c r="CGT12">
        <v>0</v>
      </c>
      <c r="CGU12">
        <v>0</v>
      </c>
      <c r="CGV12">
        <v>66</v>
      </c>
      <c r="CGW12">
        <v>0</v>
      </c>
      <c r="CGX12">
        <v>0</v>
      </c>
      <c r="CGY12">
        <v>0</v>
      </c>
      <c r="CGZ12">
        <v>0</v>
      </c>
      <c r="CHA12">
        <v>0</v>
      </c>
      <c r="CHB12">
        <v>0</v>
      </c>
      <c r="CHC12">
        <v>0</v>
      </c>
      <c r="CHD12">
        <v>0</v>
      </c>
      <c r="CHE12">
        <v>0</v>
      </c>
      <c r="CHF12">
        <v>0</v>
      </c>
      <c r="CHG12">
        <v>0</v>
      </c>
      <c r="CHH12">
        <v>0</v>
      </c>
      <c r="CHI12">
        <v>0</v>
      </c>
      <c r="CHJ12">
        <v>0</v>
      </c>
      <c r="CHK12">
        <v>0</v>
      </c>
      <c r="CHL12">
        <v>0</v>
      </c>
      <c r="CHM12">
        <v>0</v>
      </c>
      <c r="CHN12">
        <v>0</v>
      </c>
      <c r="CHO12">
        <v>0</v>
      </c>
      <c r="CHP12">
        <v>0</v>
      </c>
      <c r="CHQ12">
        <v>0</v>
      </c>
      <c r="CHR12">
        <v>0</v>
      </c>
      <c r="CHS12">
        <v>0</v>
      </c>
      <c r="CHT12">
        <v>0</v>
      </c>
      <c r="CHU12">
        <v>0</v>
      </c>
      <c r="CHV12">
        <v>0</v>
      </c>
      <c r="CHW12">
        <v>0</v>
      </c>
      <c r="CHX12">
        <v>0</v>
      </c>
      <c r="CHY12">
        <v>0</v>
      </c>
      <c r="CHZ12">
        <v>0</v>
      </c>
      <c r="CIA12">
        <v>67.989999999999995</v>
      </c>
      <c r="CIB12">
        <v>0</v>
      </c>
      <c r="CIC12">
        <v>0</v>
      </c>
      <c r="CID12">
        <v>0</v>
      </c>
      <c r="CIE12">
        <v>0</v>
      </c>
      <c r="CIF12">
        <v>0</v>
      </c>
      <c r="CIG12">
        <v>0</v>
      </c>
      <c r="CIH12">
        <v>0</v>
      </c>
      <c r="CII12">
        <v>0</v>
      </c>
      <c r="CIJ12">
        <v>0</v>
      </c>
      <c r="CIK12">
        <v>0</v>
      </c>
      <c r="CIL12">
        <v>0</v>
      </c>
      <c r="CIM12">
        <v>0</v>
      </c>
      <c r="CIN12">
        <v>68</v>
      </c>
      <c r="CIO12">
        <v>68</v>
      </c>
      <c r="CIP12">
        <v>0</v>
      </c>
      <c r="CIQ12">
        <v>0</v>
      </c>
      <c r="CIR12">
        <v>0</v>
      </c>
      <c r="CIS12">
        <v>0</v>
      </c>
      <c r="CIT12">
        <v>68.989999999999995</v>
      </c>
      <c r="CIU12">
        <v>0</v>
      </c>
      <c r="CIV12">
        <v>0</v>
      </c>
      <c r="CIW12">
        <v>0</v>
      </c>
      <c r="CIX12">
        <v>0</v>
      </c>
      <c r="CIY12">
        <v>0</v>
      </c>
      <c r="CIZ12">
        <v>0</v>
      </c>
      <c r="CJA12">
        <v>0</v>
      </c>
      <c r="CJB12">
        <v>0</v>
      </c>
      <c r="CJC12">
        <v>0</v>
      </c>
      <c r="CJD12">
        <v>0</v>
      </c>
      <c r="CJE12">
        <v>0</v>
      </c>
      <c r="CJF12">
        <v>0</v>
      </c>
      <c r="CJG12">
        <v>0</v>
      </c>
      <c r="CJH12">
        <v>0</v>
      </c>
      <c r="CJI12">
        <v>0</v>
      </c>
      <c r="CJJ12">
        <v>0</v>
      </c>
      <c r="CJK12">
        <v>0</v>
      </c>
      <c r="CJL12">
        <v>0</v>
      </c>
      <c r="CJM12">
        <v>0</v>
      </c>
      <c r="CJN12">
        <v>0</v>
      </c>
      <c r="CJO12">
        <v>0</v>
      </c>
      <c r="CJP12">
        <v>0</v>
      </c>
      <c r="CJQ12">
        <v>0</v>
      </c>
      <c r="CJR12">
        <v>0</v>
      </c>
      <c r="CJS12">
        <v>0</v>
      </c>
      <c r="CJT12">
        <v>0</v>
      </c>
      <c r="CJU12">
        <v>0</v>
      </c>
      <c r="CJV12">
        <v>0</v>
      </c>
      <c r="CJW12">
        <v>30</v>
      </c>
      <c r="CJX12">
        <v>0</v>
      </c>
      <c r="CJY12">
        <v>0</v>
      </c>
      <c r="CJZ12">
        <v>70</v>
      </c>
      <c r="CKA12">
        <v>70</v>
      </c>
      <c r="CKB12">
        <v>0</v>
      </c>
      <c r="CKC12">
        <v>0</v>
      </c>
      <c r="CKD12">
        <v>0</v>
      </c>
      <c r="CKE12">
        <v>0</v>
      </c>
      <c r="CKF12">
        <v>0</v>
      </c>
      <c r="CKG12">
        <v>0</v>
      </c>
      <c r="CKH12">
        <v>19</v>
      </c>
      <c r="CKI12">
        <v>0</v>
      </c>
      <c r="CKJ12">
        <v>70.989999999999995</v>
      </c>
      <c r="CKK12">
        <v>0</v>
      </c>
      <c r="CKL12">
        <v>0</v>
      </c>
      <c r="CKM12">
        <v>0</v>
      </c>
      <c r="CKN12">
        <v>0</v>
      </c>
      <c r="CKO12">
        <v>0</v>
      </c>
      <c r="CKP12">
        <v>25</v>
      </c>
      <c r="CKQ12">
        <v>0</v>
      </c>
      <c r="CKR12">
        <v>0</v>
      </c>
      <c r="CKS12">
        <v>0</v>
      </c>
      <c r="CKT12">
        <v>0</v>
      </c>
      <c r="CKU12">
        <v>0</v>
      </c>
      <c r="CKV12">
        <v>0</v>
      </c>
      <c r="CKW12">
        <v>0</v>
      </c>
      <c r="CKX12">
        <v>0</v>
      </c>
      <c r="CKY12">
        <v>0</v>
      </c>
      <c r="CKZ12">
        <v>0</v>
      </c>
      <c r="CLA12">
        <v>0</v>
      </c>
      <c r="CLB12">
        <v>0</v>
      </c>
      <c r="CLC12">
        <v>0</v>
      </c>
      <c r="CLD12">
        <v>9</v>
      </c>
      <c r="CLE12">
        <v>0</v>
      </c>
      <c r="CLF12">
        <v>0</v>
      </c>
      <c r="CLG12">
        <v>0</v>
      </c>
      <c r="CLH12">
        <v>0</v>
      </c>
      <c r="CLI12">
        <v>0</v>
      </c>
      <c r="CLJ12">
        <v>0</v>
      </c>
      <c r="CLK12">
        <v>0</v>
      </c>
      <c r="CLL12">
        <v>0</v>
      </c>
      <c r="CLM12">
        <v>0</v>
      </c>
      <c r="CLN12">
        <v>65</v>
      </c>
      <c r="CLO12">
        <v>0</v>
      </c>
      <c r="CLP12">
        <v>0</v>
      </c>
      <c r="CLQ12">
        <v>0</v>
      </c>
      <c r="CLR12">
        <v>41.99</v>
      </c>
      <c r="CLS12">
        <v>0</v>
      </c>
      <c r="CLT12">
        <v>0</v>
      </c>
      <c r="CLU12">
        <v>0</v>
      </c>
      <c r="CLV12">
        <v>0</v>
      </c>
      <c r="CLW12">
        <v>0</v>
      </c>
      <c r="CLX12">
        <v>0</v>
      </c>
      <c r="CLY12">
        <v>0</v>
      </c>
      <c r="CLZ12">
        <v>0</v>
      </c>
      <c r="CMA12">
        <v>18</v>
      </c>
      <c r="CMB12">
        <v>0</v>
      </c>
      <c r="CMC12">
        <v>0</v>
      </c>
      <c r="CMD12">
        <v>74</v>
      </c>
      <c r="CME12">
        <v>0</v>
      </c>
      <c r="CMF12">
        <v>0</v>
      </c>
      <c r="CMG12">
        <v>0</v>
      </c>
      <c r="CMH12">
        <v>0</v>
      </c>
      <c r="CMI12">
        <v>0</v>
      </c>
      <c r="CMJ12">
        <v>0</v>
      </c>
      <c r="CMK12">
        <v>0</v>
      </c>
      <c r="CML12">
        <v>0</v>
      </c>
      <c r="CMM12">
        <v>0</v>
      </c>
      <c r="CMN12">
        <v>0</v>
      </c>
      <c r="CMO12">
        <v>0</v>
      </c>
      <c r="CMP12">
        <v>0</v>
      </c>
      <c r="CMQ12">
        <v>0</v>
      </c>
      <c r="CMR12">
        <v>0</v>
      </c>
      <c r="CMS12">
        <v>0</v>
      </c>
      <c r="CMT12">
        <v>0</v>
      </c>
      <c r="CMU12">
        <v>0</v>
      </c>
      <c r="CMV12">
        <v>0</v>
      </c>
      <c r="CMW12">
        <v>0</v>
      </c>
      <c r="CMX12">
        <v>68</v>
      </c>
      <c r="CMY12">
        <v>0</v>
      </c>
      <c r="CMZ12">
        <v>0</v>
      </c>
      <c r="CNA12">
        <v>0</v>
      </c>
      <c r="CNB12">
        <v>0</v>
      </c>
      <c r="CNC12">
        <v>0</v>
      </c>
      <c r="CND12">
        <v>0</v>
      </c>
      <c r="CNE12">
        <v>0</v>
      </c>
      <c r="CNF12">
        <v>0</v>
      </c>
      <c r="CNG12">
        <v>0</v>
      </c>
      <c r="CNH12">
        <v>0</v>
      </c>
      <c r="CNI12">
        <v>0</v>
      </c>
      <c r="CNJ12">
        <v>0</v>
      </c>
      <c r="CNK12">
        <v>0</v>
      </c>
      <c r="CNL12">
        <v>0</v>
      </c>
      <c r="CNM12">
        <v>0</v>
      </c>
      <c r="CNN12">
        <v>0</v>
      </c>
      <c r="CNO12">
        <v>0</v>
      </c>
      <c r="CNP12">
        <v>0</v>
      </c>
      <c r="CNQ12">
        <v>0</v>
      </c>
      <c r="CNR12">
        <v>0</v>
      </c>
      <c r="CNS12">
        <v>0</v>
      </c>
      <c r="CNT12">
        <v>0</v>
      </c>
      <c r="CNU12">
        <v>0</v>
      </c>
      <c r="CNV12">
        <v>0</v>
      </c>
      <c r="CNW12">
        <v>0</v>
      </c>
      <c r="CNX12">
        <v>0</v>
      </c>
      <c r="CNY12">
        <v>0</v>
      </c>
      <c r="CNZ12">
        <v>0</v>
      </c>
      <c r="COA12">
        <v>0</v>
      </c>
      <c r="COB12">
        <v>0</v>
      </c>
      <c r="COC12">
        <v>0</v>
      </c>
      <c r="COD12">
        <v>78</v>
      </c>
      <c r="COE12">
        <v>0</v>
      </c>
      <c r="COF12">
        <v>0</v>
      </c>
      <c r="COG12">
        <v>0</v>
      </c>
      <c r="COH12">
        <v>0</v>
      </c>
      <c r="COI12">
        <v>0</v>
      </c>
      <c r="COJ12">
        <v>0</v>
      </c>
      <c r="COK12">
        <v>0</v>
      </c>
      <c r="COL12">
        <v>0</v>
      </c>
      <c r="COM12">
        <v>0</v>
      </c>
      <c r="CON12">
        <v>0</v>
      </c>
      <c r="COO12">
        <v>0</v>
      </c>
      <c r="COP12">
        <v>79</v>
      </c>
      <c r="COQ12">
        <v>43</v>
      </c>
      <c r="COR12">
        <v>0</v>
      </c>
      <c r="COS12">
        <v>0</v>
      </c>
      <c r="COT12">
        <v>0</v>
      </c>
      <c r="COU12">
        <v>0</v>
      </c>
      <c r="COV12">
        <v>0</v>
      </c>
      <c r="COW12">
        <v>0</v>
      </c>
      <c r="COX12">
        <v>0</v>
      </c>
      <c r="COY12">
        <v>0</v>
      </c>
      <c r="COZ12">
        <v>0</v>
      </c>
      <c r="CPA12">
        <v>0</v>
      </c>
      <c r="CPB12">
        <v>0</v>
      </c>
      <c r="CPC12">
        <v>0</v>
      </c>
      <c r="CPD12">
        <v>0</v>
      </c>
      <c r="CPE12">
        <v>0</v>
      </c>
      <c r="CPF12">
        <v>0</v>
      </c>
      <c r="CPG12">
        <v>0</v>
      </c>
      <c r="CPH12">
        <v>0</v>
      </c>
      <c r="CPI12">
        <v>0</v>
      </c>
      <c r="CPJ12">
        <v>0</v>
      </c>
      <c r="CPK12">
        <v>0</v>
      </c>
      <c r="CPL12">
        <v>0</v>
      </c>
      <c r="CPM12">
        <v>0</v>
      </c>
      <c r="CPN12">
        <v>0</v>
      </c>
      <c r="CPO12">
        <v>0</v>
      </c>
      <c r="CPP12">
        <v>0</v>
      </c>
      <c r="CPQ12">
        <v>0</v>
      </c>
      <c r="CPR12">
        <v>0</v>
      </c>
      <c r="CPS12">
        <v>0</v>
      </c>
      <c r="CPT12">
        <v>0</v>
      </c>
      <c r="CPU12">
        <v>0</v>
      </c>
      <c r="CPV12">
        <v>0</v>
      </c>
      <c r="CPW12">
        <v>0</v>
      </c>
      <c r="CPX12">
        <v>0</v>
      </c>
      <c r="CPY12">
        <v>0</v>
      </c>
      <c r="CPZ12">
        <v>0</v>
      </c>
      <c r="CQA12">
        <v>0</v>
      </c>
      <c r="CQB12">
        <v>0</v>
      </c>
      <c r="CQC12">
        <v>0</v>
      </c>
      <c r="CQD12">
        <v>0</v>
      </c>
      <c r="CQE12">
        <v>0</v>
      </c>
      <c r="CQF12">
        <v>0</v>
      </c>
      <c r="CQG12">
        <v>0</v>
      </c>
      <c r="CQH12">
        <v>0</v>
      </c>
      <c r="CQI12">
        <v>0</v>
      </c>
      <c r="CQJ12">
        <v>0</v>
      </c>
      <c r="CQK12">
        <v>26</v>
      </c>
      <c r="CQL12">
        <v>0</v>
      </c>
      <c r="CQM12">
        <v>0</v>
      </c>
      <c r="CQN12">
        <v>0</v>
      </c>
      <c r="CQO12">
        <v>0</v>
      </c>
      <c r="CQP12">
        <v>0</v>
      </c>
      <c r="CQQ12">
        <v>0</v>
      </c>
      <c r="CQR12">
        <v>0</v>
      </c>
      <c r="CQS12">
        <v>0</v>
      </c>
      <c r="CQT12">
        <v>0</v>
      </c>
      <c r="CQU12">
        <v>0</v>
      </c>
      <c r="CQV12">
        <v>0</v>
      </c>
      <c r="CQW12">
        <v>0</v>
      </c>
      <c r="CQX12">
        <v>0</v>
      </c>
      <c r="CQY12">
        <v>0</v>
      </c>
      <c r="CQZ12">
        <v>0</v>
      </c>
      <c r="CRA12">
        <v>0</v>
      </c>
      <c r="CRB12">
        <v>0</v>
      </c>
      <c r="CRC12">
        <v>0</v>
      </c>
      <c r="CRD12">
        <v>0</v>
      </c>
      <c r="CRE12">
        <v>0</v>
      </c>
      <c r="CRF12">
        <v>0</v>
      </c>
      <c r="CRG12">
        <v>0</v>
      </c>
      <c r="CRH12">
        <v>0</v>
      </c>
      <c r="CRI12">
        <v>0</v>
      </c>
      <c r="CRJ12">
        <v>0</v>
      </c>
      <c r="CRK12">
        <v>0</v>
      </c>
      <c r="CRL12">
        <v>0</v>
      </c>
      <c r="CRM12">
        <v>0</v>
      </c>
      <c r="CRN12">
        <v>0</v>
      </c>
      <c r="CRO12">
        <v>0</v>
      </c>
      <c r="CRP12">
        <v>0</v>
      </c>
      <c r="CRQ12">
        <v>0</v>
      </c>
      <c r="CRR12">
        <v>0</v>
      </c>
      <c r="CRS12">
        <v>0</v>
      </c>
      <c r="CRT12">
        <v>0</v>
      </c>
      <c r="CRU12">
        <v>0</v>
      </c>
      <c r="CRV12">
        <v>0</v>
      </c>
      <c r="CRW12">
        <v>0</v>
      </c>
      <c r="CRX12">
        <v>0</v>
      </c>
      <c r="CRY12">
        <v>0</v>
      </c>
      <c r="CRZ12">
        <v>0</v>
      </c>
      <c r="CSA12">
        <v>0</v>
      </c>
      <c r="CSB12">
        <v>0</v>
      </c>
      <c r="CSC12">
        <v>0</v>
      </c>
      <c r="CSD12">
        <v>0</v>
      </c>
      <c r="CSE12">
        <v>0</v>
      </c>
      <c r="CSF12">
        <v>0</v>
      </c>
      <c r="CSG12">
        <v>0</v>
      </c>
      <c r="CSH12">
        <v>0</v>
      </c>
      <c r="CSI12">
        <v>0</v>
      </c>
      <c r="CSJ12">
        <v>0</v>
      </c>
      <c r="CSK12">
        <v>0</v>
      </c>
      <c r="CSL12">
        <v>0</v>
      </c>
      <c r="CSM12">
        <v>0</v>
      </c>
      <c r="CSN12">
        <v>0</v>
      </c>
      <c r="CSO12">
        <v>0</v>
      </c>
      <c r="CSP12">
        <v>0</v>
      </c>
      <c r="CSQ12">
        <v>28</v>
      </c>
      <c r="CSR12">
        <v>0</v>
      </c>
      <c r="CSS12">
        <v>0</v>
      </c>
      <c r="CST12">
        <v>0</v>
      </c>
      <c r="CSU12">
        <v>0</v>
      </c>
      <c r="CSV12">
        <v>0</v>
      </c>
      <c r="CSW12">
        <v>0</v>
      </c>
      <c r="CSX12">
        <v>89.99</v>
      </c>
      <c r="CSY12">
        <v>0</v>
      </c>
      <c r="CSZ12">
        <v>12</v>
      </c>
      <c r="CTA12">
        <v>0</v>
      </c>
      <c r="CTB12">
        <v>0</v>
      </c>
      <c r="CTC12">
        <v>0</v>
      </c>
      <c r="CTD12">
        <v>0</v>
      </c>
      <c r="CTE12">
        <v>0</v>
      </c>
      <c r="CTF12">
        <v>0</v>
      </c>
      <c r="CTG12">
        <v>0</v>
      </c>
      <c r="CTH12">
        <v>0</v>
      </c>
      <c r="CTI12">
        <v>0</v>
      </c>
      <c r="CTJ12">
        <v>0</v>
      </c>
      <c r="CTK12">
        <v>0</v>
      </c>
      <c r="CTL12">
        <v>0</v>
      </c>
      <c r="CTM12">
        <v>0</v>
      </c>
      <c r="CTN12">
        <v>0</v>
      </c>
      <c r="CTO12">
        <v>0</v>
      </c>
      <c r="CTP12">
        <v>0</v>
      </c>
      <c r="CTQ12">
        <v>0</v>
      </c>
      <c r="CTR12">
        <v>0</v>
      </c>
      <c r="CTS12">
        <v>0</v>
      </c>
      <c r="CTT12">
        <v>0</v>
      </c>
      <c r="CTU12">
        <v>53</v>
      </c>
      <c r="CTV12">
        <v>0</v>
      </c>
      <c r="CTW12">
        <v>0</v>
      </c>
      <c r="CTX12">
        <v>0</v>
      </c>
      <c r="CTY12">
        <v>0</v>
      </c>
      <c r="CTZ12">
        <v>92</v>
      </c>
      <c r="CUA12">
        <v>0</v>
      </c>
      <c r="CUB12">
        <v>0</v>
      </c>
      <c r="CUC12">
        <v>0</v>
      </c>
      <c r="CUD12">
        <v>0</v>
      </c>
      <c r="CUE12">
        <v>0</v>
      </c>
      <c r="CUF12">
        <v>0</v>
      </c>
      <c r="CUG12">
        <v>93</v>
      </c>
      <c r="CUH12">
        <v>0</v>
      </c>
      <c r="CUI12">
        <v>0</v>
      </c>
      <c r="CUJ12">
        <v>0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0</v>
      </c>
      <c r="CUQ12">
        <v>0</v>
      </c>
      <c r="CUR12">
        <v>0</v>
      </c>
      <c r="CUS12">
        <v>0</v>
      </c>
      <c r="CUT12">
        <v>0</v>
      </c>
      <c r="CUU12">
        <v>24</v>
      </c>
      <c r="CUV12">
        <v>0</v>
      </c>
      <c r="CUW12">
        <v>0</v>
      </c>
      <c r="CUX12">
        <v>0</v>
      </c>
      <c r="CUY12">
        <v>0</v>
      </c>
      <c r="CUZ12">
        <v>0</v>
      </c>
      <c r="CVA12">
        <v>0</v>
      </c>
      <c r="CVB12">
        <v>0</v>
      </c>
      <c r="CVC12">
        <v>0</v>
      </c>
      <c r="CVD12">
        <v>0</v>
      </c>
      <c r="CVE12">
        <v>0</v>
      </c>
      <c r="CVF12">
        <v>0</v>
      </c>
      <c r="CVG12">
        <v>0</v>
      </c>
      <c r="CVH12">
        <v>0</v>
      </c>
      <c r="CVI12">
        <v>0</v>
      </c>
      <c r="CVJ12">
        <v>95.99</v>
      </c>
      <c r="CVK12">
        <v>0</v>
      </c>
      <c r="CVL12">
        <v>0</v>
      </c>
      <c r="CVM12">
        <v>0</v>
      </c>
      <c r="CVN12">
        <v>0</v>
      </c>
      <c r="CVO12">
        <v>0</v>
      </c>
      <c r="CVP12">
        <v>0</v>
      </c>
      <c r="CVQ12">
        <v>0</v>
      </c>
      <c r="CVR12">
        <v>0</v>
      </c>
      <c r="CVS12">
        <v>46.99</v>
      </c>
      <c r="CVT12">
        <v>0</v>
      </c>
      <c r="CVU12">
        <v>0</v>
      </c>
      <c r="CVV12">
        <v>0</v>
      </c>
      <c r="CVW12">
        <v>0</v>
      </c>
      <c r="CVX12">
        <v>0</v>
      </c>
      <c r="CVY12">
        <v>0</v>
      </c>
      <c r="CVZ12">
        <v>0</v>
      </c>
      <c r="CWA12">
        <v>0</v>
      </c>
      <c r="CWB12">
        <v>0</v>
      </c>
      <c r="CWC12">
        <v>0</v>
      </c>
      <c r="CWD12">
        <v>21</v>
      </c>
      <c r="CWE12">
        <v>0</v>
      </c>
      <c r="CWF12">
        <v>0</v>
      </c>
      <c r="CWG12">
        <v>0</v>
      </c>
      <c r="CWH12">
        <v>0</v>
      </c>
      <c r="CWI12">
        <v>0</v>
      </c>
      <c r="CWJ12">
        <v>0</v>
      </c>
      <c r="CWK12">
        <v>0</v>
      </c>
      <c r="CWL12">
        <v>98</v>
      </c>
      <c r="CWM12">
        <v>0</v>
      </c>
      <c r="CWN12">
        <v>0</v>
      </c>
      <c r="CWO12">
        <v>0</v>
      </c>
      <c r="CWP12">
        <v>0</v>
      </c>
      <c r="CWQ12">
        <v>0</v>
      </c>
      <c r="CWR12">
        <v>0</v>
      </c>
      <c r="CWS12">
        <v>0</v>
      </c>
      <c r="CWT12">
        <v>0</v>
      </c>
      <c r="CWU12">
        <v>0</v>
      </c>
      <c r="CWV12">
        <v>0</v>
      </c>
      <c r="CWW12">
        <v>0</v>
      </c>
      <c r="CWX12">
        <v>0</v>
      </c>
      <c r="CWY12">
        <v>0</v>
      </c>
      <c r="CWZ12">
        <v>0</v>
      </c>
      <c r="CXA12">
        <v>0</v>
      </c>
      <c r="CXB12">
        <v>0</v>
      </c>
      <c r="CXC12">
        <v>0</v>
      </c>
      <c r="CXD12">
        <v>0</v>
      </c>
      <c r="CXE12">
        <v>0</v>
      </c>
      <c r="CXF12">
        <v>0</v>
      </c>
      <c r="CXG12">
        <v>0</v>
      </c>
      <c r="CXH12">
        <v>27</v>
      </c>
      <c r="CXI12">
        <v>100</v>
      </c>
      <c r="CXJ12">
        <v>0</v>
      </c>
      <c r="CXK12">
        <v>0</v>
      </c>
      <c r="CXL12">
        <v>0</v>
      </c>
      <c r="CXM12">
        <v>0</v>
      </c>
      <c r="CXN12">
        <v>0</v>
      </c>
      <c r="CXO12">
        <v>0</v>
      </c>
      <c r="CXP12">
        <v>0</v>
      </c>
      <c r="CXQ12">
        <v>0</v>
      </c>
      <c r="CXR12">
        <v>0</v>
      </c>
      <c r="CXS12">
        <v>0</v>
      </c>
      <c r="CXT12">
        <v>0</v>
      </c>
      <c r="CXU12">
        <v>0</v>
      </c>
      <c r="CXV12">
        <v>0</v>
      </c>
      <c r="CXW12">
        <v>0</v>
      </c>
      <c r="CXX12">
        <v>0</v>
      </c>
      <c r="CXY12">
        <v>0</v>
      </c>
      <c r="CXZ12">
        <v>0</v>
      </c>
      <c r="CYA12">
        <v>0</v>
      </c>
      <c r="CYB12">
        <v>0</v>
      </c>
      <c r="CYC12">
        <v>0</v>
      </c>
      <c r="CYD12">
        <v>0</v>
      </c>
      <c r="CYE12">
        <v>0</v>
      </c>
      <c r="CYF12">
        <v>0</v>
      </c>
      <c r="CYG12">
        <v>0</v>
      </c>
      <c r="CYH12">
        <v>0</v>
      </c>
      <c r="CYI12">
        <v>0</v>
      </c>
      <c r="CYJ12">
        <v>0</v>
      </c>
      <c r="CYK12">
        <v>0</v>
      </c>
      <c r="CYL12">
        <v>0</v>
      </c>
      <c r="CYM12">
        <v>0</v>
      </c>
      <c r="CYN12">
        <v>0</v>
      </c>
      <c r="CYO12">
        <v>103</v>
      </c>
      <c r="CYP12">
        <v>0</v>
      </c>
      <c r="CYQ12">
        <v>0</v>
      </c>
      <c r="CYR12">
        <v>0</v>
      </c>
      <c r="CYS12">
        <v>0</v>
      </c>
      <c r="CYT12">
        <v>0</v>
      </c>
      <c r="CYU12">
        <v>0</v>
      </c>
      <c r="CYV12">
        <v>0</v>
      </c>
      <c r="CYW12">
        <v>0</v>
      </c>
      <c r="CYX12">
        <v>0</v>
      </c>
      <c r="CYY12">
        <v>98</v>
      </c>
      <c r="CYZ12">
        <v>0</v>
      </c>
      <c r="CZA12">
        <v>0</v>
      </c>
      <c r="CZB12">
        <v>0</v>
      </c>
      <c r="CZC12">
        <v>0</v>
      </c>
      <c r="CZD12">
        <v>0</v>
      </c>
      <c r="CZE12">
        <v>0</v>
      </c>
      <c r="CZF12">
        <v>0</v>
      </c>
      <c r="CZG12">
        <v>0</v>
      </c>
      <c r="CZH12">
        <v>0</v>
      </c>
      <c r="CZI12">
        <v>0</v>
      </c>
      <c r="CZJ12">
        <v>0</v>
      </c>
      <c r="CZK12">
        <v>0</v>
      </c>
      <c r="CZL12">
        <v>0</v>
      </c>
      <c r="CZM12">
        <v>0</v>
      </c>
      <c r="CZN12">
        <v>0</v>
      </c>
      <c r="CZO12">
        <v>0</v>
      </c>
      <c r="CZP12">
        <v>0</v>
      </c>
      <c r="CZQ12">
        <v>105.99</v>
      </c>
      <c r="CZR12">
        <v>0</v>
      </c>
      <c r="CZS12">
        <v>0</v>
      </c>
      <c r="CZT12">
        <v>0</v>
      </c>
      <c r="CZU12">
        <v>0</v>
      </c>
      <c r="CZV12">
        <v>0</v>
      </c>
      <c r="CZW12">
        <v>0</v>
      </c>
      <c r="CZX12">
        <v>0</v>
      </c>
      <c r="CZY12">
        <v>0</v>
      </c>
      <c r="CZZ12">
        <v>0</v>
      </c>
      <c r="DAA12">
        <v>0</v>
      </c>
      <c r="DAB12">
        <v>0</v>
      </c>
      <c r="DAC12">
        <v>0</v>
      </c>
      <c r="DAD12">
        <v>0</v>
      </c>
      <c r="DAE12">
        <v>0</v>
      </c>
      <c r="DAF12">
        <v>0</v>
      </c>
      <c r="DAG12">
        <v>0</v>
      </c>
      <c r="DAH12">
        <v>0</v>
      </c>
      <c r="DAI12">
        <v>0</v>
      </c>
      <c r="DAJ12">
        <v>0</v>
      </c>
      <c r="DAK12">
        <v>0</v>
      </c>
      <c r="DAL12">
        <v>0</v>
      </c>
      <c r="DAM12">
        <v>0</v>
      </c>
      <c r="DAN12">
        <v>0</v>
      </c>
      <c r="DAO12">
        <v>0</v>
      </c>
      <c r="DAP12">
        <v>0</v>
      </c>
      <c r="DAQ12">
        <v>0</v>
      </c>
      <c r="DAR12">
        <v>0</v>
      </c>
      <c r="DAS12">
        <v>0</v>
      </c>
      <c r="DAT12">
        <v>0</v>
      </c>
      <c r="DAU12">
        <v>0</v>
      </c>
      <c r="DAV12">
        <v>0</v>
      </c>
      <c r="DAW12">
        <v>0</v>
      </c>
      <c r="DAX12">
        <v>0</v>
      </c>
      <c r="DAY12">
        <v>109</v>
      </c>
      <c r="DAZ12">
        <v>64</v>
      </c>
      <c r="DBA12">
        <v>0</v>
      </c>
      <c r="DBB12">
        <v>0</v>
      </c>
      <c r="DBC12">
        <v>0</v>
      </c>
      <c r="DBD12">
        <v>109.99</v>
      </c>
      <c r="DBE12">
        <v>0</v>
      </c>
      <c r="DBF12">
        <v>27</v>
      </c>
      <c r="DBG12">
        <v>0</v>
      </c>
      <c r="DBH12">
        <v>0</v>
      </c>
      <c r="DBI12">
        <v>0</v>
      </c>
      <c r="DBJ12">
        <v>18.989999999999998</v>
      </c>
      <c r="DBK12">
        <v>0</v>
      </c>
      <c r="DBL12">
        <v>0</v>
      </c>
      <c r="DBM12">
        <v>0</v>
      </c>
      <c r="DBN12">
        <v>0</v>
      </c>
      <c r="DBO12">
        <v>0</v>
      </c>
      <c r="DBP12">
        <v>0</v>
      </c>
      <c r="DBQ12">
        <v>0</v>
      </c>
      <c r="DBR12">
        <v>0</v>
      </c>
      <c r="DBS12">
        <v>0</v>
      </c>
      <c r="DBT12">
        <v>0</v>
      </c>
      <c r="DBU12">
        <v>0</v>
      </c>
      <c r="DBV12">
        <v>0</v>
      </c>
      <c r="DBW12">
        <v>3</v>
      </c>
      <c r="DBX12">
        <v>0</v>
      </c>
      <c r="DBY12">
        <v>0</v>
      </c>
      <c r="DBZ12">
        <v>0</v>
      </c>
      <c r="DCA12">
        <v>0</v>
      </c>
      <c r="DCB12">
        <v>0</v>
      </c>
      <c r="DCC12">
        <v>0</v>
      </c>
      <c r="DCD12">
        <v>0</v>
      </c>
      <c r="DCE12">
        <v>0</v>
      </c>
      <c r="DCF12">
        <v>0</v>
      </c>
      <c r="DCG12">
        <v>0</v>
      </c>
      <c r="DCH12">
        <v>0</v>
      </c>
      <c r="DCI12">
        <v>0</v>
      </c>
      <c r="DCJ12">
        <v>0</v>
      </c>
      <c r="DCK12">
        <v>0</v>
      </c>
      <c r="DCL12">
        <v>0</v>
      </c>
      <c r="DCM12">
        <v>0</v>
      </c>
      <c r="DCN12">
        <v>0</v>
      </c>
      <c r="DCO12">
        <v>0</v>
      </c>
      <c r="DCP12">
        <v>0</v>
      </c>
      <c r="DCQ12">
        <v>0</v>
      </c>
      <c r="DCR12">
        <v>0</v>
      </c>
      <c r="DCS12">
        <v>0</v>
      </c>
      <c r="DCT12">
        <v>0</v>
      </c>
      <c r="DCU12">
        <v>0</v>
      </c>
      <c r="DCV12">
        <v>16.989999999999998</v>
      </c>
      <c r="DCW12">
        <v>0</v>
      </c>
      <c r="DCX12">
        <v>114.99</v>
      </c>
      <c r="DCY12">
        <v>0</v>
      </c>
      <c r="DCZ12">
        <v>22</v>
      </c>
      <c r="DDA12">
        <v>0</v>
      </c>
      <c r="DDB12">
        <v>0</v>
      </c>
      <c r="DDC12">
        <v>0</v>
      </c>
      <c r="DDD12">
        <v>0</v>
      </c>
      <c r="DDE12">
        <v>0</v>
      </c>
      <c r="DDF12">
        <v>0</v>
      </c>
      <c r="DDG12">
        <v>0</v>
      </c>
      <c r="DDH12">
        <v>0</v>
      </c>
      <c r="DDI12">
        <v>0</v>
      </c>
      <c r="DDJ12">
        <v>116</v>
      </c>
      <c r="DDK12">
        <v>0</v>
      </c>
      <c r="DDL12">
        <v>0</v>
      </c>
      <c r="DDM12">
        <v>0</v>
      </c>
      <c r="DDN12">
        <v>0</v>
      </c>
      <c r="DDO12">
        <v>0</v>
      </c>
      <c r="DDP12">
        <v>0</v>
      </c>
      <c r="DDQ12">
        <v>0</v>
      </c>
      <c r="DDR12">
        <v>0</v>
      </c>
      <c r="DDS12">
        <v>9</v>
      </c>
      <c r="DDT12">
        <v>0</v>
      </c>
      <c r="DDU12">
        <v>0</v>
      </c>
      <c r="DDV12">
        <v>0</v>
      </c>
      <c r="DDW12">
        <v>0</v>
      </c>
      <c r="DDX12">
        <v>0</v>
      </c>
      <c r="DDY12">
        <v>0</v>
      </c>
      <c r="DDZ12">
        <v>0</v>
      </c>
      <c r="DEA12">
        <v>0</v>
      </c>
      <c r="DEB12">
        <v>0</v>
      </c>
      <c r="DEC12">
        <v>22</v>
      </c>
      <c r="DED12">
        <v>0</v>
      </c>
      <c r="DEE12">
        <v>0</v>
      </c>
      <c r="DEF12">
        <v>0</v>
      </c>
      <c r="DEG12">
        <v>0</v>
      </c>
      <c r="DEH12">
        <v>0</v>
      </c>
      <c r="DEI12">
        <v>0</v>
      </c>
      <c r="DEJ12">
        <v>0</v>
      </c>
      <c r="DEK12">
        <v>0</v>
      </c>
      <c r="DEL12">
        <v>0</v>
      </c>
      <c r="DEM12">
        <v>0</v>
      </c>
      <c r="DEN12">
        <v>0</v>
      </c>
      <c r="DEO12">
        <v>0</v>
      </c>
      <c r="DEP12">
        <v>0</v>
      </c>
      <c r="DEQ12">
        <v>36</v>
      </c>
      <c r="DER12">
        <v>0</v>
      </c>
      <c r="DES12">
        <v>0</v>
      </c>
      <c r="DET12">
        <v>0</v>
      </c>
      <c r="DEU12">
        <v>119.99</v>
      </c>
      <c r="DEV12">
        <v>0</v>
      </c>
      <c r="DEW12">
        <v>0</v>
      </c>
      <c r="DEX12">
        <v>0</v>
      </c>
      <c r="DEY12">
        <v>49</v>
      </c>
      <c r="DEZ12">
        <v>0</v>
      </c>
      <c r="DFA12">
        <v>1</v>
      </c>
      <c r="DFB12">
        <v>0</v>
      </c>
      <c r="DFC12">
        <v>0</v>
      </c>
      <c r="DFD12">
        <v>0</v>
      </c>
      <c r="DFE12">
        <v>0</v>
      </c>
      <c r="DFF12">
        <v>0</v>
      </c>
      <c r="DFG12">
        <v>121</v>
      </c>
      <c r="DFH12">
        <v>0</v>
      </c>
      <c r="DFI12">
        <v>0</v>
      </c>
      <c r="DFJ12">
        <v>0</v>
      </c>
      <c r="DFK12">
        <v>0</v>
      </c>
      <c r="DFL12">
        <v>0</v>
      </c>
      <c r="DFM12">
        <v>0</v>
      </c>
      <c r="DFN12">
        <v>122.98</v>
      </c>
      <c r="DFO12">
        <v>0</v>
      </c>
      <c r="DFP12">
        <v>29</v>
      </c>
      <c r="DFQ12">
        <v>0</v>
      </c>
      <c r="DFR12">
        <v>123</v>
      </c>
      <c r="DFS12">
        <v>0</v>
      </c>
      <c r="DFT12">
        <v>0</v>
      </c>
      <c r="DFU12">
        <v>0</v>
      </c>
      <c r="DFV12">
        <v>0</v>
      </c>
      <c r="DFW12">
        <v>0</v>
      </c>
      <c r="DFX12">
        <v>0</v>
      </c>
      <c r="DFY12">
        <v>0</v>
      </c>
      <c r="DFZ12">
        <v>17</v>
      </c>
      <c r="DGA12">
        <v>0</v>
      </c>
      <c r="DGB12">
        <v>0</v>
      </c>
      <c r="DGC12">
        <v>0</v>
      </c>
      <c r="DGD12">
        <v>0</v>
      </c>
      <c r="DGE12">
        <v>0</v>
      </c>
      <c r="DGF12">
        <v>0</v>
      </c>
      <c r="DGG12">
        <v>0</v>
      </c>
      <c r="DGH12">
        <v>0</v>
      </c>
      <c r="DGI12">
        <v>0</v>
      </c>
      <c r="DGJ12">
        <v>0</v>
      </c>
      <c r="DGK12">
        <v>0</v>
      </c>
      <c r="DGL12">
        <v>0</v>
      </c>
      <c r="DGM12">
        <v>51</v>
      </c>
      <c r="DGN12">
        <v>0</v>
      </c>
      <c r="DGO12">
        <v>0</v>
      </c>
      <c r="DGP12">
        <v>0</v>
      </c>
      <c r="DGQ12">
        <v>0</v>
      </c>
      <c r="DGR12">
        <v>0</v>
      </c>
      <c r="DGS12">
        <v>0</v>
      </c>
      <c r="DGT12">
        <v>0</v>
      </c>
      <c r="DGU12">
        <v>0</v>
      </c>
      <c r="DGV12">
        <v>0</v>
      </c>
      <c r="DGW12">
        <v>0</v>
      </c>
      <c r="DGX12">
        <v>84</v>
      </c>
      <c r="DGY12">
        <v>0</v>
      </c>
      <c r="DGZ12">
        <v>0</v>
      </c>
      <c r="DHA12">
        <v>0</v>
      </c>
      <c r="DHB12">
        <v>0</v>
      </c>
      <c r="DHC12">
        <v>0</v>
      </c>
      <c r="DHD12">
        <v>0</v>
      </c>
      <c r="DHE12">
        <v>0</v>
      </c>
      <c r="DHF12">
        <v>127.99</v>
      </c>
      <c r="DHG12">
        <v>0</v>
      </c>
      <c r="DHH12">
        <v>0</v>
      </c>
      <c r="DHI12">
        <v>0</v>
      </c>
      <c r="DHJ12">
        <v>0</v>
      </c>
      <c r="DHK12">
        <v>42</v>
      </c>
      <c r="DHL12">
        <v>0</v>
      </c>
      <c r="DHM12">
        <v>0</v>
      </c>
      <c r="DHN12">
        <v>0</v>
      </c>
      <c r="DHO12">
        <v>66</v>
      </c>
      <c r="DHP12">
        <v>0</v>
      </c>
      <c r="DHQ12">
        <v>0</v>
      </c>
      <c r="DHR12">
        <v>0</v>
      </c>
      <c r="DHS12">
        <v>0</v>
      </c>
      <c r="DHT12">
        <v>0</v>
      </c>
      <c r="DHU12">
        <v>0</v>
      </c>
      <c r="DHV12">
        <v>0</v>
      </c>
      <c r="DHW12">
        <v>104</v>
      </c>
      <c r="DHX12">
        <v>0</v>
      </c>
      <c r="DHY12">
        <v>0</v>
      </c>
      <c r="DHZ12">
        <v>0</v>
      </c>
      <c r="DIA12">
        <v>0</v>
      </c>
      <c r="DIB12">
        <v>0</v>
      </c>
      <c r="DIC12">
        <v>0</v>
      </c>
      <c r="DID12">
        <v>0</v>
      </c>
      <c r="DIE12">
        <v>0</v>
      </c>
      <c r="DIF12">
        <v>130.99</v>
      </c>
      <c r="DIG12">
        <v>115.99</v>
      </c>
      <c r="DIH12">
        <v>0</v>
      </c>
      <c r="DII12">
        <v>0</v>
      </c>
      <c r="DIJ12">
        <v>0</v>
      </c>
      <c r="DIK12">
        <v>0</v>
      </c>
      <c r="DIL12">
        <v>0</v>
      </c>
      <c r="DIM12">
        <v>131</v>
      </c>
      <c r="DIN12">
        <v>131</v>
      </c>
      <c r="DIO12">
        <v>0</v>
      </c>
      <c r="DIP12">
        <v>0</v>
      </c>
      <c r="DIQ12">
        <v>0</v>
      </c>
      <c r="DIR12">
        <v>0</v>
      </c>
      <c r="DIS12">
        <v>0</v>
      </c>
      <c r="DIT12">
        <v>0</v>
      </c>
      <c r="DIU12">
        <v>0</v>
      </c>
      <c r="DIV12">
        <v>0</v>
      </c>
      <c r="DIW12">
        <v>0</v>
      </c>
      <c r="DIX12">
        <v>0</v>
      </c>
      <c r="DIY12">
        <v>0</v>
      </c>
      <c r="DIZ12">
        <v>0</v>
      </c>
      <c r="DJA12">
        <v>0</v>
      </c>
      <c r="DJB12">
        <v>0</v>
      </c>
      <c r="DJC12">
        <v>0</v>
      </c>
      <c r="DJD12">
        <v>0</v>
      </c>
      <c r="DJE12">
        <v>0</v>
      </c>
      <c r="DJF12">
        <v>0</v>
      </c>
      <c r="DJG12">
        <v>52</v>
      </c>
      <c r="DJH12">
        <v>0</v>
      </c>
      <c r="DJI12">
        <v>0</v>
      </c>
      <c r="DJJ12">
        <v>0</v>
      </c>
      <c r="DJK12">
        <v>0</v>
      </c>
      <c r="DJL12">
        <v>0</v>
      </c>
      <c r="DJM12">
        <v>0</v>
      </c>
      <c r="DJN12">
        <v>0</v>
      </c>
      <c r="DJO12">
        <v>0</v>
      </c>
      <c r="DJP12">
        <v>0</v>
      </c>
      <c r="DJQ12">
        <v>135.97999999999999</v>
      </c>
      <c r="DJR12">
        <v>53.99</v>
      </c>
      <c r="DJS12">
        <v>0</v>
      </c>
      <c r="DJT12">
        <v>0</v>
      </c>
      <c r="DJU12">
        <v>0</v>
      </c>
      <c r="DJV12">
        <v>0</v>
      </c>
      <c r="DJW12">
        <v>0</v>
      </c>
      <c r="DJX12">
        <v>0</v>
      </c>
      <c r="DJY12">
        <v>0</v>
      </c>
      <c r="DJZ12">
        <v>0</v>
      </c>
      <c r="DKA12">
        <v>0</v>
      </c>
      <c r="DKB12">
        <v>0</v>
      </c>
      <c r="DKC12">
        <v>0</v>
      </c>
      <c r="DKD12">
        <v>0</v>
      </c>
      <c r="DKE12">
        <v>0</v>
      </c>
      <c r="DKF12">
        <v>0</v>
      </c>
      <c r="DKG12">
        <v>0</v>
      </c>
      <c r="DKH12">
        <v>0</v>
      </c>
      <c r="DKI12">
        <v>0</v>
      </c>
      <c r="DKJ12">
        <v>0</v>
      </c>
      <c r="DKK12">
        <v>0</v>
      </c>
      <c r="DKL12">
        <v>0</v>
      </c>
      <c r="DKM12">
        <v>0</v>
      </c>
      <c r="DKN12">
        <v>0</v>
      </c>
      <c r="DKO12">
        <v>0</v>
      </c>
      <c r="DKP12">
        <v>0</v>
      </c>
      <c r="DKQ12">
        <v>0</v>
      </c>
      <c r="DKR12">
        <v>0</v>
      </c>
      <c r="DKS12">
        <v>0</v>
      </c>
      <c r="DKT12">
        <v>29</v>
      </c>
      <c r="DKU12">
        <v>0</v>
      </c>
      <c r="DKV12">
        <v>0</v>
      </c>
      <c r="DKW12">
        <v>0</v>
      </c>
      <c r="DKX12">
        <v>0</v>
      </c>
      <c r="DKY12">
        <v>0</v>
      </c>
      <c r="DKZ12">
        <v>0</v>
      </c>
      <c r="DLA12">
        <v>0</v>
      </c>
      <c r="DLB12">
        <v>140</v>
      </c>
      <c r="DLC12">
        <v>0</v>
      </c>
      <c r="DLD12">
        <v>0</v>
      </c>
      <c r="DLE12">
        <v>0</v>
      </c>
      <c r="DLF12">
        <v>0</v>
      </c>
      <c r="DLG12">
        <v>24</v>
      </c>
      <c r="DLH12">
        <v>0</v>
      </c>
      <c r="DLI12">
        <v>0</v>
      </c>
      <c r="DLJ12">
        <v>0</v>
      </c>
      <c r="DLK12">
        <v>0</v>
      </c>
      <c r="DLL12">
        <v>0</v>
      </c>
      <c r="DLM12">
        <v>0</v>
      </c>
      <c r="DLN12">
        <v>0</v>
      </c>
      <c r="DLO12">
        <v>0</v>
      </c>
      <c r="DLP12">
        <v>0</v>
      </c>
      <c r="DLQ12">
        <v>0</v>
      </c>
      <c r="DLR12">
        <v>0</v>
      </c>
      <c r="DLS12">
        <v>0</v>
      </c>
      <c r="DLT12">
        <v>0</v>
      </c>
      <c r="DLU12">
        <v>0</v>
      </c>
      <c r="DLV12">
        <v>0</v>
      </c>
      <c r="DLW12">
        <v>0</v>
      </c>
      <c r="DLX12">
        <v>0</v>
      </c>
      <c r="DLY12">
        <v>0</v>
      </c>
      <c r="DLZ12">
        <v>0</v>
      </c>
      <c r="DMA12">
        <v>0</v>
      </c>
      <c r="DMB12">
        <v>0</v>
      </c>
      <c r="DMC12">
        <v>0</v>
      </c>
      <c r="DMD12">
        <v>0</v>
      </c>
      <c r="DME12">
        <v>0</v>
      </c>
      <c r="DMF12">
        <v>0</v>
      </c>
      <c r="DMG12">
        <v>0</v>
      </c>
      <c r="DMH12">
        <v>0</v>
      </c>
      <c r="DMI12">
        <v>0</v>
      </c>
      <c r="DMJ12">
        <v>0</v>
      </c>
      <c r="DMK12">
        <v>0</v>
      </c>
      <c r="DML12">
        <v>0</v>
      </c>
      <c r="DMM12">
        <v>0</v>
      </c>
      <c r="DMN12">
        <v>0</v>
      </c>
      <c r="DMO12">
        <v>0</v>
      </c>
      <c r="DMP12">
        <v>0</v>
      </c>
      <c r="DMQ12">
        <v>0</v>
      </c>
      <c r="DMR12">
        <v>0</v>
      </c>
      <c r="DMS12">
        <v>37</v>
      </c>
      <c r="DMT12">
        <v>0</v>
      </c>
      <c r="DMU12">
        <v>0</v>
      </c>
      <c r="DMV12">
        <v>0</v>
      </c>
      <c r="DMW12">
        <v>0</v>
      </c>
      <c r="DMX12">
        <v>0</v>
      </c>
      <c r="DMY12">
        <v>0</v>
      </c>
      <c r="DMZ12">
        <v>0</v>
      </c>
      <c r="DNA12">
        <v>0</v>
      </c>
      <c r="DNB12">
        <v>0</v>
      </c>
      <c r="DNC12">
        <v>0</v>
      </c>
      <c r="DND12">
        <v>0</v>
      </c>
      <c r="DNE12">
        <v>0</v>
      </c>
      <c r="DNF12">
        <v>0</v>
      </c>
      <c r="DNG12">
        <v>0</v>
      </c>
      <c r="DNH12">
        <v>0</v>
      </c>
      <c r="DNI12">
        <v>0</v>
      </c>
      <c r="DNJ12">
        <v>0</v>
      </c>
      <c r="DNK12">
        <v>0</v>
      </c>
      <c r="DNL12">
        <v>0</v>
      </c>
      <c r="DNM12">
        <v>0</v>
      </c>
      <c r="DNN12">
        <v>0</v>
      </c>
      <c r="DNO12">
        <v>0</v>
      </c>
      <c r="DNP12">
        <v>0</v>
      </c>
      <c r="DNQ12">
        <v>0</v>
      </c>
      <c r="DNR12">
        <v>0</v>
      </c>
      <c r="DNS12">
        <v>0</v>
      </c>
      <c r="DNT12">
        <v>0</v>
      </c>
      <c r="DNU12">
        <v>0</v>
      </c>
      <c r="DNV12">
        <v>68</v>
      </c>
      <c r="DNW12">
        <v>0</v>
      </c>
      <c r="DNX12">
        <v>0</v>
      </c>
      <c r="DNY12">
        <v>0</v>
      </c>
      <c r="DNZ12">
        <v>0</v>
      </c>
      <c r="DOA12">
        <v>0</v>
      </c>
      <c r="DOB12">
        <v>0</v>
      </c>
      <c r="DOC12">
        <v>0</v>
      </c>
      <c r="DOD12">
        <v>0</v>
      </c>
      <c r="DOE12">
        <v>0</v>
      </c>
      <c r="DOF12">
        <v>0</v>
      </c>
      <c r="DOG12">
        <v>0</v>
      </c>
      <c r="DOH12">
        <v>152.99</v>
      </c>
      <c r="DOI12">
        <v>0</v>
      </c>
      <c r="DOJ12">
        <v>0</v>
      </c>
      <c r="DOK12">
        <v>0</v>
      </c>
      <c r="DOL12">
        <v>0</v>
      </c>
      <c r="DOM12">
        <v>0</v>
      </c>
      <c r="DON12">
        <v>145</v>
      </c>
      <c r="DOO12">
        <v>0</v>
      </c>
      <c r="DOP12">
        <v>0</v>
      </c>
      <c r="DOQ12">
        <v>0</v>
      </c>
      <c r="DOR12">
        <v>0</v>
      </c>
      <c r="DOS12">
        <v>0</v>
      </c>
      <c r="DOT12">
        <v>0</v>
      </c>
      <c r="DOU12">
        <v>0</v>
      </c>
      <c r="DOV12">
        <v>0</v>
      </c>
      <c r="DOW12">
        <v>0</v>
      </c>
      <c r="DOX12">
        <v>0</v>
      </c>
      <c r="DOY12">
        <v>0</v>
      </c>
      <c r="DOZ12">
        <v>0</v>
      </c>
      <c r="DPA12">
        <v>0</v>
      </c>
      <c r="DPB12">
        <v>156.99</v>
      </c>
      <c r="DPC12">
        <v>0</v>
      </c>
      <c r="DPD12">
        <v>0</v>
      </c>
      <c r="DPE12">
        <v>0</v>
      </c>
      <c r="DPF12">
        <v>0</v>
      </c>
      <c r="DPG12">
        <v>0</v>
      </c>
      <c r="DPH12">
        <v>0</v>
      </c>
      <c r="DPI12">
        <v>0</v>
      </c>
      <c r="DPJ12">
        <v>0</v>
      </c>
      <c r="DPK12">
        <v>0</v>
      </c>
      <c r="DPL12">
        <v>0</v>
      </c>
      <c r="DPM12">
        <v>0</v>
      </c>
      <c r="DPN12">
        <v>0</v>
      </c>
      <c r="DPO12">
        <v>0</v>
      </c>
      <c r="DPP12">
        <v>0</v>
      </c>
      <c r="DPQ12">
        <v>0</v>
      </c>
      <c r="DPR12">
        <v>0</v>
      </c>
      <c r="DPS12">
        <v>0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0</v>
      </c>
      <c r="DQA12">
        <v>0</v>
      </c>
      <c r="DQB12">
        <v>0</v>
      </c>
      <c r="DQC12">
        <v>0</v>
      </c>
      <c r="DQD12">
        <v>0</v>
      </c>
      <c r="DQE12">
        <v>0</v>
      </c>
      <c r="DQF12">
        <v>0</v>
      </c>
      <c r="DQG12">
        <v>0</v>
      </c>
      <c r="DQH12">
        <v>0</v>
      </c>
      <c r="DQI12">
        <v>0</v>
      </c>
      <c r="DQJ12">
        <v>0</v>
      </c>
      <c r="DQK12">
        <v>0</v>
      </c>
      <c r="DQL12">
        <v>0</v>
      </c>
      <c r="DQM12">
        <v>0</v>
      </c>
      <c r="DQN12">
        <v>0</v>
      </c>
      <c r="DQO12">
        <v>0</v>
      </c>
      <c r="DQP12">
        <v>0</v>
      </c>
      <c r="DQQ12">
        <v>0</v>
      </c>
      <c r="DQR12">
        <v>151.99</v>
      </c>
      <c r="DQS12">
        <v>0</v>
      </c>
      <c r="DQT12">
        <v>0</v>
      </c>
      <c r="DQU12">
        <v>0</v>
      </c>
      <c r="DQV12">
        <v>0</v>
      </c>
      <c r="DQW12">
        <v>0</v>
      </c>
      <c r="DQX12">
        <v>0</v>
      </c>
      <c r="DQY12">
        <v>0</v>
      </c>
      <c r="DQZ12">
        <v>0</v>
      </c>
      <c r="DRA12">
        <v>0</v>
      </c>
      <c r="DRB12">
        <v>0</v>
      </c>
      <c r="DRC12">
        <v>0</v>
      </c>
      <c r="DRD12">
        <v>0</v>
      </c>
      <c r="DRE12">
        <v>0</v>
      </c>
      <c r="DRF12">
        <v>0</v>
      </c>
      <c r="DRG12">
        <v>0</v>
      </c>
      <c r="DRH12">
        <v>0</v>
      </c>
      <c r="DRI12">
        <v>0</v>
      </c>
      <c r="DRJ12">
        <v>0</v>
      </c>
      <c r="DRK12">
        <v>0</v>
      </c>
      <c r="DRL12">
        <v>0</v>
      </c>
      <c r="DRM12">
        <v>0</v>
      </c>
      <c r="DRN12">
        <v>0</v>
      </c>
      <c r="DRO12">
        <v>0</v>
      </c>
      <c r="DRP12">
        <v>169.98</v>
      </c>
      <c r="DRQ12">
        <v>0</v>
      </c>
      <c r="DRR12">
        <v>0</v>
      </c>
      <c r="DRS12">
        <v>0</v>
      </c>
      <c r="DRT12">
        <v>0</v>
      </c>
      <c r="DRU12">
        <v>0</v>
      </c>
      <c r="DRV12">
        <v>0</v>
      </c>
      <c r="DRW12">
        <v>0</v>
      </c>
      <c r="DRX12">
        <v>0</v>
      </c>
      <c r="DRY12">
        <v>0</v>
      </c>
      <c r="DRZ12">
        <v>0</v>
      </c>
      <c r="DSA12">
        <v>0</v>
      </c>
      <c r="DSB12">
        <v>0</v>
      </c>
      <c r="DSC12">
        <v>0</v>
      </c>
      <c r="DSD12">
        <v>0</v>
      </c>
      <c r="DSE12">
        <v>0</v>
      </c>
      <c r="DSF12">
        <v>0</v>
      </c>
      <c r="DSG12">
        <v>0</v>
      </c>
      <c r="DSH12">
        <v>0</v>
      </c>
      <c r="DSI12">
        <v>0</v>
      </c>
      <c r="DSJ12">
        <v>0</v>
      </c>
      <c r="DSK12">
        <v>0</v>
      </c>
      <c r="DSL12">
        <v>0</v>
      </c>
      <c r="DSM12">
        <v>0</v>
      </c>
      <c r="DSN12">
        <v>0</v>
      </c>
      <c r="DSO12">
        <v>0</v>
      </c>
      <c r="DSP12">
        <v>0</v>
      </c>
      <c r="DSQ12">
        <v>0</v>
      </c>
      <c r="DSR12">
        <v>0</v>
      </c>
      <c r="DSS12">
        <v>0</v>
      </c>
      <c r="DST12">
        <v>0</v>
      </c>
      <c r="DSU12">
        <v>0</v>
      </c>
      <c r="DSV12">
        <v>0</v>
      </c>
      <c r="DSW12">
        <v>0</v>
      </c>
      <c r="DSX12">
        <v>0</v>
      </c>
      <c r="DSY12">
        <v>0</v>
      </c>
      <c r="DSZ12">
        <v>0</v>
      </c>
      <c r="DTA12">
        <v>0</v>
      </c>
      <c r="DTB12">
        <v>80</v>
      </c>
      <c r="DTC12">
        <v>0</v>
      </c>
      <c r="DTD12">
        <v>0</v>
      </c>
      <c r="DTE12">
        <v>0</v>
      </c>
      <c r="DTF12">
        <v>0</v>
      </c>
      <c r="DTG12">
        <v>0</v>
      </c>
      <c r="DTH12">
        <v>0</v>
      </c>
      <c r="DTI12">
        <v>0</v>
      </c>
      <c r="DTJ12">
        <v>0</v>
      </c>
      <c r="DTK12">
        <v>0</v>
      </c>
      <c r="DTL12">
        <v>0</v>
      </c>
      <c r="DTM12">
        <v>20</v>
      </c>
      <c r="DTN12">
        <v>0</v>
      </c>
      <c r="DTO12">
        <v>0</v>
      </c>
      <c r="DTP12">
        <v>0</v>
      </c>
      <c r="DTQ12">
        <v>179.99</v>
      </c>
      <c r="DTR12">
        <v>0</v>
      </c>
      <c r="DTS12">
        <v>0</v>
      </c>
      <c r="DTT12">
        <v>0</v>
      </c>
      <c r="DTU12">
        <v>0</v>
      </c>
      <c r="DTV12">
        <v>0</v>
      </c>
      <c r="DTW12">
        <v>0</v>
      </c>
      <c r="DTX12">
        <v>0</v>
      </c>
      <c r="DTY12">
        <v>0</v>
      </c>
      <c r="DTZ12">
        <v>0</v>
      </c>
      <c r="DUA12">
        <v>0</v>
      </c>
      <c r="DUB12">
        <v>0</v>
      </c>
      <c r="DUC12">
        <v>0</v>
      </c>
      <c r="DUD12">
        <v>0</v>
      </c>
      <c r="DUE12">
        <v>0</v>
      </c>
      <c r="DUF12">
        <v>0</v>
      </c>
      <c r="DUG12">
        <v>0</v>
      </c>
      <c r="DUH12">
        <v>0</v>
      </c>
      <c r="DUI12">
        <v>0</v>
      </c>
      <c r="DUJ12">
        <v>0</v>
      </c>
      <c r="DUK12">
        <v>0</v>
      </c>
      <c r="DUL12">
        <v>0</v>
      </c>
      <c r="DUM12">
        <v>0</v>
      </c>
      <c r="DUN12">
        <v>0</v>
      </c>
      <c r="DUO12">
        <v>0</v>
      </c>
      <c r="DUP12">
        <v>0</v>
      </c>
      <c r="DUQ12">
        <v>0</v>
      </c>
      <c r="DUR12">
        <v>0</v>
      </c>
      <c r="DUS12">
        <v>0</v>
      </c>
      <c r="DUT12">
        <v>13</v>
      </c>
      <c r="DUU12">
        <v>0</v>
      </c>
      <c r="DUV12">
        <v>0</v>
      </c>
      <c r="DUW12">
        <v>0</v>
      </c>
      <c r="DUX12">
        <v>0</v>
      </c>
      <c r="DUY12">
        <v>0</v>
      </c>
      <c r="DUZ12">
        <v>0</v>
      </c>
      <c r="DVA12">
        <v>0</v>
      </c>
      <c r="DVB12">
        <v>0</v>
      </c>
      <c r="DVC12">
        <v>0</v>
      </c>
      <c r="DVD12">
        <v>0</v>
      </c>
      <c r="DVE12">
        <v>0</v>
      </c>
      <c r="DVF12">
        <v>0</v>
      </c>
      <c r="DVG12">
        <v>0</v>
      </c>
      <c r="DVH12">
        <v>0</v>
      </c>
      <c r="DVI12">
        <v>0</v>
      </c>
      <c r="DVJ12">
        <v>0</v>
      </c>
      <c r="DVK12">
        <v>0</v>
      </c>
      <c r="DVL12">
        <v>56</v>
      </c>
      <c r="DVM12">
        <v>0</v>
      </c>
      <c r="DVN12">
        <v>191</v>
      </c>
      <c r="DVO12">
        <v>0</v>
      </c>
      <c r="DVP12">
        <v>0</v>
      </c>
      <c r="DVQ12">
        <v>0</v>
      </c>
      <c r="DVR12">
        <v>19</v>
      </c>
      <c r="DVS12">
        <v>0</v>
      </c>
      <c r="DVT12">
        <v>0</v>
      </c>
      <c r="DVU12">
        <v>0</v>
      </c>
      <c r="DVV12">
        <v>0</v>
      </c>
      <c r="DVW12">
        <v>0</v>
      </c>
      <c r="DVX12">
        <v>0</v>
      </c>
      <c r="DVY12">
        <v>0</v>
      </c>
      <c r="DVZ12">
        <v>0</v>
      </c>
      <c r="DWA12">
        <v>0</v>
      </c>
      <c r="DWB12">
        <v>0</v>
      </c>
      <c r="DWC12">
        <v>0</v>
      </c>
      <c r="DWD12">
        <v>0</v>
      </c>
      <c r="DWE12">
        <v>0</v>
      </c>
      <c r="DWF12">
        <v>0</v>
      </c>
      <c r="DWG12">
        <v>0</v>
      </c>
      <c r="DWH12">
        <v>196.98</v>
      </c>
      <c r="DWI12">
        <v>0</v>
      </c>
      <c r="DWJ12">
        <v>0</v>
      </c>
      <c r="DWK12">
        <v>0</v>
      </c>
      <c r="DWL12">
        <v>0</v>
      </c>
      <c r="DWM12">
        <v>0</v>
      </c>
      <c r="DWN12">
        <v>0</v>
      </c>
      <c r="DWO12">
        <v>0</v>
      </c>
      <c r="DWP12">
        <v>0</v>
      </c>
      <c r="DWQ12">
        <v>93</v>
      </c>
      <c r="DWR12">
        <v>0</v>
      </c>
      <c r="DWS12">
        <v>0</v>
      </c>
      <c r="DWT12">
        <v>0</v>
      </c>
      <c r="DWU12">
        <v>0</v>
      </c>
      <c r="DWV12">
        <v>0</v>
      </c>
      <c r="DWW12">
        <v>0</v>
      </c>
      <c r="DWX12">
        <v>0</v>
      </c>
      <c r="DWY12">
        <v>0</v>
      </c>
      <c r="DWZ12">
        <v>0</v>
      </c>
      <c r="DXA12">
        <v>0</v>
      </c>
      <c r="DXB12">
        <v>0</v>
      </c>
      <c r="DXC12">
        <v>0</v>
      </c>
      <c r="DXD12">
        <v>0</v>
      </c>
      <c r="DXE12">
        <v>0</v>
      </c>
      <c r="DXF12">
        <v>0</v>
      </c>
      <c r="DXG12">
        <v>0</v>
      </c>
      <c r="DXH12">
        <v>0</v>
      </c>
      <c r="DXI12">
        <v>0</v>
      </c>
      <c r="DXJ12">
        <v>0</v>
      </c>
      <c r="DXK12">
        <v>0</v>
      </c>
      <c r="DXL12">
        <v>0</v>
      </c>
      <c r="DXM12">
        <v>0</v>
      </c>
      <c r="DXN12">
        <v>0</v>
      </c>
      <c r="DXO12">
        <v>0</v>
      </c>
      <c r="DXP12">
        <v>180.99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W12">
        <v>0</v>
      </c>
      <c r="DXX12">
        <v>0</v>
      </c>
      <c r="DXY12">
        <v>0</v>
      </c>
      <c r="DXZ12">
        <v>0</v>
      </c>
      <c r="DYA12">
        <v>0</v>
      </c>
      <c r="DYB12">
        <v>0</v>
      </c>
      <c r="DYC12">
        <v>0</v>
      </c>
      <c r="DYD12">
        <v>0</v>
      </c>
      <c r="DYE12">
        <v>0</v>
      </c>
      <c r="DYF12">
        <v>0</v>
      </c>
      <c r="DYG12">
        <v>0</v>
      </c>
      <c r="DYH12">
        <v>0</v>
      </c>
      <c r="DYI12">
        <v>0</v>
      </c>
      <c r="DYJ12">
        <v>0</v>
      </c>
      <c r="DYK12">
        <v>0</v>
      </c>
      <c r="DYL12">
        <v>0</v>
      </c>
      <c r="DYM12">
        <v>0</v>
      </c>
      <c r="DYN12">
        <v>0</v>
      </c>
      <c r="DYO12">
        <v>184.99</v>
      </c>
      <c r="DYP12">
        <v>0</v>
      </c>
      <c r="DYQ12">
        <v>0</v>
      </c>
      <c r="DYR12">
        <v>0</v>
      </c>
      <c r="DYS12">
        <v>0</v>
      </c>
      <c r="DYT12">
        <v>0</v>
      </c>
      <c r="DYU12">
        <v>0</v>
      </c>
      <c r="DYV12">
        <v>0</v>
      </c>
      <c r="DYW12">
        <v>0</v>
      </c>
      <c r="DYX12">
        <v>0</v>
      </c>
      <c r="DYY12">
        <v>0</v>
      </c>
      <c r="DYZ12">
        <v>0</v>
      </c>
      <c r="DZA12">
        <v>0</v>
      </c>
      <c r="DZB12">
        <v>175</v>
      </c>
      <c r="DZC12">
        <v>0</v>
      </c>
      <c r="DZD12">
        <v>0</v>
      </c>
      <c r="DZE12">
        <v>0</v>
      </c>
      <c r="DZF12">
        <v>0</v>
      </c>
      <c r="DZG12">
        <v>0</v>
      </c>
      <c r="DZH12">
        <v>0</v>
      </c>
      <c r="DZI12">
        <v>86</v>
      </c>
      <c r="DZJ12">
        <v>0</v>
      </c>
      <c r="DZK12">
        <v>0</v>
      </c>
      <c r="DZL12">
        <v>0</v>
      </c>
      <c r="DZM12">
        <v>0</v>
      </c>
      <c r="DZN12">
        <v>0</v>
      </c>
      <c r="DZO12">
        <v>0</v>
      </c>
      <c r="DZP12">
        <v>0</v>
      </c>
      <c r="DZQ12">
        <v>0</v>
      </c>
      <c r="DZR12">
        <v>0</v>
      </c>
      <c r="DZS12">
        <v>0</v>
      </c>
      <c r="DZT12">
        <v>0</v>
      </c>
      <c r="DZU12">
        <v>210.99</v>
      </c>
      <c r="DZV12">
        <v>20</v>
      </c>
      <c r="DZW12">
        <v>0</v>
      </c>
      <c r="DZX12">
        <v>0</v>
      </c>
      <c r="DZY12">
        <v>0</v>
      </c>
      <c r="DZZ12">
        <v>0</v>
      </c>
      <c r="EAA12">
        <v>0</v>
      </c>
      <c r="EAB12">
        <v>0</v>
      </c>
      <c r="EAC12">
        <v>0</v>
      </c>
      <c r="EAD12">
        <v>0</v>
      </c>
      <c r="EAE12">
        <v>0</v>
      </c>
      <c r="EAF12">
        <v>0</v>
      </c>
      <c r="EAG12">
        <v>0</v>
      </c>
      <c r="EAH12">
        <v>0</v>
      </c>
      <c r="EAI12">
        <v>0</v>
      </c>
      <c r="EAJ12">
        <v>0</v>
      </c>
      <c r="EAK12">
        <v>0</v>
      </c>
      <c r="EAL12">
        <v>0</v>
      </c>
      <c r="EAM12">
        <v>0</v>
      </c>
      <c r="EAN12">
        <v>0</v>
      </c>
      <c r="EAO12">
        <v>0</v>
      </c>
      <c r="EAP12">
        <v>0</v>
      </c>
      <c r="EAQ12">
        <v>214</v>
      </c>
      <c r="EAR12">
        <v>0</v>
      </c>
      <c r="EAS12">
        <v>0</v>
      </c>
      <c r="EAT12">
        <v>0</v>
      </c>
      <c r="EAU12">
        <v>0</v>
      </c>
      <c r="EAV12">
        <v>0</v>
      </c>
      <c r="EAW12">
        <v>0</v>
      </c>
      <c r="EAX12">
        <v>0</v>
      </c>
      <c r="EAY12">
        <v>0</v>
      </c>
      <c r="EAZ12">
        <v>0</v>
      </c>
      <c r="EBA12">
        <v>0</v>
      </c>
      <c r="EBB12">
        <v>0</v>
      </c>
      <c r="EBC12">
        <v>0</v>
      </c>
      <c r="EBD12">
        <v>0</v>
      </c>
      <c r="EBE12">
        <v>0</v>
      </c>
      <c r="EBF12">
        <v>0</v>
      </c>
      <c r="EBG12">
        <v>0</v>
      </c>
      <c r="EBH12">
        <v>0</v>
      </c>
      <c r="EBI12">
        <v>0</v>
      </c>
      <c r="EBJ12">
        <v>0</v>
      </c>
      <c r="EBK12">
        <v>0</v>
      </c>
      <c r="EBL12">
        <v>189.98</v>
      </c>
      <c r="EBM12">
        <v>0</v>
      </c>
      <c r="EBN12">
        <v>0</v>
      </c>
      <c r="EBO12">
        <v>0</v>
      </c>
      <c r="EBP12">
        <v>0</v>
      </c>
      <c r="EBQ12">
        <v>0</v>
      </c>
      <c r="EBR12">
        <v>0</v>
      </c>
      <c r="EBS12">
        <v>0</v>
      </c>
      <c r="EBT12">
        <v>0</v>
      </c>
      <c r="EBU12">
        <v>0</v>
      </c>
      <c r="EBV12">
        <v>0</v>
      </c>
      <c r="EBW12">
        <v>0</v>
      </c>
      <c r="EBX12">
        <v>0</v>
      </c>
      <c r="EBY12">
        <v>0</v>
      </c>
      <c r="EBZ12">
        <v>0</v>
      </c>
      <c r="ECA12">
        <v>238.99</v>
      </c>
      <c r="ECB12">
        <v>0</v>
      </c>
      <c r="ECC12">
        <v>0</v>
      </c>
      <c r="ECD12">
        <v>0</v>
      </c>
      <c r="ECE12">
        <v>6</v>
      </c>
      <c r="ECF12">
        <v>0</v>
      </c>
      <c r="ECG12">
        <v>0</v>
      </c>
      <c r="ECH12">
        <v>0</v>
      </c>
      <c r="ECI12">
        <v>0</v>
      </c>
      <c r="ECJ12">
        <v>0</v>
      </c>
      <c r="ECK12">
        <v>0</v>
      </c>
      <c r="ECL12">
        <v>0</v>
      </c>
      <c r="ECM12">
        <v>0</v>
      </c>
      <c r="ECN12">
        <v>0</v>
      </c>
      <c r="ECO12">
        <v>0</v>
      </c>
      <c r="ECP12">
        <v>0</v>
      </c>
      <c r="ECQ12">
        <v>0</v>
      </c>
      <c r="ECR12">
        <v>0</v>
      </c>
      <c r="ECS12">
        <v>0</v>
      </c>
      <c r="ECT12">
        <v>0</v>
      </c>
      <c r="ECU12">
        <v>0</v>
      </c>
      <c r="ECV12">
        <v>0</v>
      </c>
      <c r="ECW12">
        <v>0</v>
      </c>
      <c r="ECX12">
        <v>0</v>
      </c>
      <c r="ECY12">
        <v>0</v>
      </c>
      <c r="ECZ12">
        <v>142.99</v>
      </c>
      <c r="EDA12">
        <v>0</v>
      </c>
      <c r="EDB12">
        <v>0</v>
      </c>
      <c r="EDC12">
        <v>0</v>
      </c>
      <c r="EDD12">
        <v>0</v>
      </c>
      <c r="EDE12">
        <v>0</v>
      </c>
      <c r="EDF12">
        <v>0</v>
      </c>
      <c r="EDG12">
        <v>0</v>
      </c>
      <c r="EDH12">
        <v>0</v>
      </c>
      <c r="EDI12">
        <v>0</v>
      </c>
      <c r="EDJ12">
        <v>0</v>
      </c>
      <c r="EDK12">
        <v>202</v>
      </c>
      <c r="EDL12">
        <v>0</v>
      </c>
      <c r="EDM12">
        <v>0</v>
      </c>
      <c r="EDN12">
        <v>0</v>
      </c>
      <c r="EDO12">
        <v>0</v>
      </c>
      <c r="EDP12">
        <v>0</v>
      </c>
      <c r="EDQ12">
        <v>0</v>
      </c>
      <c r="EDR12">
        <v>0</v>
      </c>
      <c r="EDS12">
        <v>0</v>
      </c>
      <c r="EDT12">
        <v>0</v>
      </c>
      <c r="EDU12">
        <v>0</v>
      </c>
      <c r="EDV12">
        <v>0</v>
      </c>
      <c r="EDW12">
        <v>0</v>
      </c>
      <c r="EDX12">
        <v>0</v>
      </c>
      <c r="EDY12">
        <v>0</v>
      </c>
      <c r="EDZ12">
        <v>0</v>
      </c>
      <c r="EEA12">
        <v>0</v>
      </c>
      <c r="EEB12">
        <v>0</v>
      </c>
      <c r="EEC12">
        <v>0</v>
      </c>
      <c r="EED12">
        <v>0</v>
      </c>
      <c r="EEE12">
        <v>0</v>
      </c>
      <c r="EEF12">
        <v>0</v>
      </c>
      <c r="EEG12">
        <v>0</v>
      </c>
      <c r="EEH12">
        <v>0</v>
      </c>
      <c r="EEI12">
        <v>0</v>
      </c>
      <c r="EEJ12">
        <v>0</v>
      </c>
      <c r="EEK12">
        <v>0</v>
      </c>
      <c r="EEL12">
        <v>0</v>
      </c>
      <c r="EEM12">
        <v>0</v>
      </c>
      <c r="EEN12">
        <v>0</v>
      </c>
      <c r="EEO12">
        <v>248.99</v>
      </c>
      <c r="EEP12">
        <v>0</v>
      </c>
      <c r="EEQ12">
        <v>47</v>
      </c>
      <c r="EER12">
        <v>0</v>
      </c>
      <c r="EES12">
        <v>0</v>
      </c>
      <c r="EET12">
        <v>0</v>
      </c>
      <c r="EEU12">
        <v>236.99</v>
      </c>
      <c r="EEV12">
        <v>0</v>
      </c>
      <c r="EEW12">
        <v>0</v>
      </c>
      <c r="EEX12">
        <v>0</v>
      </c>
      <c r="EEY12">
        <v>0</v>
      </c>
      <c r="EEZ12">
        <v>0</v>
      </c>
      <c r="EFA12">
        <v>0</v>
      </c>
      <c r="EFB12">
        <v>0</v>
      </c>
      <c r="EFC12">
        <v>0</v>
      </c>
      <c r="EFD12">
        <v>0</v>
      </c>
      <c r="EFE12">
        <v>0</v>
      </c>
      <c r="EFF12">
        <v>0</v>
      </c>
      <c r="EFG12">
        <v>0</v>
      </c>
      <c r="EFH12">
        <v>0</v>
      </c>
      <c r="EFI12">
        <v>0</v>
      </c>
      <c r="EFJ12">
        <v>0</v>
      </c>
      <c r="EFK12">
        <v>0</v>
      </c>
      <c r="EFL12">
        <v>0</v>
      </c>
      <c r="EFM12">
        <v>0</v>
      </c>
      <c r="EFN12">
        <v>0</v>
      </c>
      <c r="EFO12">
        <v>0</v>
      </c>
      <c r="EFP12">
        <v>0</v>
      </c>
      <c r="EFQ12">
        <v>0</v>
      </c>
      <c r="EFR12">
        <v>0</v>
      </c>
      <c r="EFS12">
        <v>0</v>
      </c>
      <c r="EFT12">
        <v>0</v>
      </c>
      <c r="EFU12">
        <v>0</v>
      </c>
      <c r="EFV12">
        <v>38</v>
      </c>
      <c r="EFW12">
        <v>0</v>
      </c>
      <c r="EFX12">
        <v>0</v>
      </c>
      <c r="EFY12">
        <v>0</v>
      </c>
      <c r="EFZ12">
        <v>0</v>
      </c>
      <c r="EGA12">
        <v>0</v>
      </c>
      <c r="EGB12">
        <v>0</v>
      </c>
      <c r="EGC12">
        <v>0</v>
      </c>
      <c r="EGD12">
        <v>19</v>
      </c>
      <c r="EGE12">
        <v>0</v>
      </c>
      <c r="EGF12">
        <v>0</v>
      </c>
      <c r="EGG12">
        <v>0</v>
      </c>
      <c r="EGH12">
        <v>0</v>
      </c>
      <c r="EGI12">
        <v>0</v>
      </c>
      <c r="EGJ12">
        <v>0</v>
      </c>
      <c r="EGK12">
        <v>0</v>
      </c>
      <c r="EGL12">
        <v>0</v>
      </c>
      <c r="EGM12">
        <v>0</v>
      </c>
      <c r="EGN12">
        <v>0</v>
      </c>
      <c r="EGO12">
        <v>0</v>
      </c>
      <c r="EGP12">
        <v>0</v>
      </c>
      <c r="EGQ12">
        <v>0</v>
      </c>
      <c r="EGR12">
        <v>0</v>
      </c>
      <c r="EGS12">
        <v>46.99</v>
      </c>
      <c r="EGT12">
        <v>0</v>
      </c>
      <c r="EGU12">
        <v>12</v>
      </c>
      <c r="EGV12">
        <v>0</v>
      </c>
      <c r="EGW12">
        <v>68</v>
      </c>
      <c r="EGX12">
        <v>263.97000000000003</v>
      </c>
      <c r="EGY12">
        <v>0</v>
      </c>
      <c r="EGZ12">
        <v>0</v>
      </c>
      <c r="EHA12">
        <v>0</v>
      </c>
      <c r="EHB12">
        <v>0</v>
      </c>
      <c r="EHC12">
        <v>0</v>
      </c>
      <c r="EHD12">
        <v>135.99</v>
      </c>
      <c r="EHE12">
        <v>0</v>
      </c>
      <c r="EHF12">
        <v>0</v>
      </c>
      <c r="EHG12">
        <v>0</v>
      </c>
      <c r="EHH12">
        <v>0</v>
      </c>
      <c r="EHI12">
        <v>0</v>
      </c>
      <c r="EHJ12">
        <v>0</v>
      </c>
      <c r="EHK12">
        <v>285.99</v>
      </c>
      <c r="EHL12">
        <v>0</v>
      </c>
      <c r="EHM12">
        <v>0</v>
      </c>
      <c r="EHN12">
        <v>0</v>
      </c>
      <c r="EHO12">
        <v>0</v>
      </c>
      <c r="EHP12">
        <v>0</v>
      </c>
      <c r="EHQ12">
        <v>0</v>
      </c>
      <c r="EHR12">
        <v>0</v>
      </c>
      <c r="EHS12">
        <v>0</v>
      </c>
      <c r="EHT12">
        <v>0</v>
      </c>
      <c r="EHU12">
        <v>0</v>
      </c>
      <c r="EHV12">
        <v>0</v>
      </c>
      <c r="EHW12">
        <v>0</v>
      </c>
      <c r="EHX12">
        <v>28.99</v>
      </c>
      <c r="EHY12">
        <v>0</v>
      </c>
      <c r="EHZ12">
        <v>0</v>
      </c>
      <c r="EIA12">
        <v>0</v>
      </c>
      <c r="EIB12">
        <v>0</v>
      </c>
      <c r="EIC12">
        <v>20</v>
      </c>
      <c r="EID12">
        <v>0</v>
      </c>
      <c r="EIE12">
        <v>0</v>
      </c>
      <c r="EIF12">
        <v>0</v>
      </c>
      <c r="EIG12">
        <v>0</v>
      </c>
      <c r="EIH12">
        <v>0</v>
      </c>
      <c r="EII12">
        <v>0</v>
      </c>
      <c r="EIJ12">
        <v>0</v>
      </c>
      <c r="EIK12">
        <v>0</v>
      </c>
      <c r="EIL12">
        <v>0</v>
      </c>
      <c r="EIM12">
        <v>0</v>
      </c>
      <c r="EIN12">
        <v>0</v>
      </c>
      <c r="EIO12">
        <v>0</v>
      </c>
      <c r="EIP12">
        <v>0</v>
      </c>
      <c r="EIQ12">
        <v>0</v>
      </c>
      <c r="EIR12">
        <v>0</v>
      </c>
      <c r="EIS12">
        <v>0</v>
      </c>
      <c r="EIT12">
        <v>0</v>
      </c>
      <c r="EIU12">
        <v>146.99</v>
      </c>
      <c r="EIV12">
        <v>0</v>
      </c>
      <c r="EIW12">
        <v>0</v>
      </c>
      <c r="EIX12">
        <v>0</v>
      </c>
      <c r="EIY12">
        <v>0</v>
      </c>
      <c r="EIZ12">
        <v>0</v>
      </c>
      <c r="EJA12">
        <v>0</v>
      </c>
      <c r="EJB12">
        <v>16</v>
      </c>
      <c r="EJC12">
        <v>304.81</v>
      </c>
      <c r="EJD12">
        <v>304.95</v>
      </c>
      <c r="EJE12">
        <v>86.99</v>
      </c>
      <c r="EJF12">
        <v>305</v>
      </c>
      <c r="EJG12">
        <v>0</v>
      </c>
      <c r="EJH12">
        <v>0</v>
      </c>
      <c r="EJI12">
        <v>0</v>
      </c>
      <c r="EJJ12">
        <v>0</v>
      </c>
      <c r="EJK12">
        <v>0</v>
      </c>
      <c r="EJL12">
        <v>0</v>
      </c>
      <c r="EJM12">
        <v>0</v>
      </c>
      <c r="EJN12">
        <v>309.98</v>
      </c>
      <c r="EJO12">
        <v>0</v>
      </c>
      <c r="EJP12">
        <v>0</v>
      </c>
      <c r="EJQ12">
        <v>0</v>
      </c>
      <c r="EJR12">
        <v>0</v>
      </c>
      <c r="EJS12">
        <v>0</v>
      </c>
      <c r="EJT12">
        <v>0</v>
      </c>
      <c r="EJU12">
        <v>311.99</v>
      </c>
      <c r="EJV12">
        <v>0</v>
      </c>
      <c r="EJW12">
        <v>0</v>
      </c>
      <c r="EJX12">
        <v>16</v>
      </c>
      <c r="EJY12">
        <v>0</v>
      </c>
      <c r="EJZ12">
        <v>0</v>
      </c>
      <c r="EKA12">
        <v>0</v>
      </c>
      <c r="EKB12">
        <v>0</v>
      </c>
      <c r="EKC12">
        <v>0</v>
      </c>
      <c r="EKD12">
        <v>0</v>
      </c>
      <c r="EKE12">
        <v>0</v>
      </c>
      <c r="EKF12">
        <v>316.97000000000003</v>
      </c>
      <c r="EKG12">
        <v>0</v>
      </c>
      <c r="EKH12">
        <v>0</v>
      </c>
      <c r="EKI12">
        <v>0</v>
      </c>
      <c r="EKJ12">
        <v>0</v>
      </c>
      <c r="EKK12">
        <v>0</v>
      </c>
      <c r="EKL12">
        <v>0</v>
      </c>
      <c r="EKM12">
        <v>320.98</v>
      </c>
      <c r="EKN12">
        <v>0</v>
      </c>
      <c r="EKO12">
        <v>0</v>
      </c>
      <c r="EKP12">
        <v>0</v>
      </c>
      <c r="EKQ12">
        <v>261</v>
      </c>
      <c r="EKR12">
        <v>0</v>
      </c>
      <c r="EKS12">
        <v>0</v>
      </c>
      <c r="EKT12">
        <v>0</v>
      </c>
      <c r="EKU12">
        <v>0</v>
      </c>
      <c r="EKV12">
        <v>0</v>
      </c>
      <c r="EKW12">
        <v>62</v>
      </c>
      <c r="EKX12">
        <v>0</v>
      </c>
      <c r="EKY12">
        <v>0</v>
      </c>
      <c r="EKZ12">
        <v>0</v>
      </c>
      <c r="ELA12">
        <v>0</v>
      </c>
      <c r="ELB12">
        <v>240.99</v>
      </c>
      <c r="ELC12">
        <v>0</v>
      </c>
      <c r="ELD12">
        <v>0</v>
      </c>
      <c r="ELE12">
        <v>0</v>
      </c>
      <c r="ELF12">
        <v>0</v>
      </c>
      <c r="ELG12">
        <v>0</v>
      </c>
      <c r="ELH12">
        <v>0</v>
      </c>
      <c r="ELI12">
        <v>0</v>
      </c>
      <c r="ELJ12">
        <v>0</v>
      </c>
      <c r="ELK12">
        <v>0</v>
      </c>
      <c r="ELL12">
        <v>0</v>
      </c>
      <c r="ELM12">
        <v>0</v>
      </c>
      <c r="ELN12">
        <v>0</v>
      </c>
      <c r="ELO12">
        <v>0</v>
      </c>
      <c r="ELP12">
        <v>0</v>
      </c>
      <c r="ELQ12">
        <v>0</v>
      </c>
      <c r="ELR12">
        <v>0</v>
      </c>
      <c r="ELS12">
        <v>0</v>
      </c>
      <c r="ELT12">
        <v>162.99</v>
      </c>
      <c r="ELU12">
        <v>0</v>
      </c>
      <c r="ELV12">
        <v>0</v>
      </c>
      <c r="ELW12">
        <v>0</v>
      </c>
      <c r="ELX12">
        <v>0</v>
      </c>
      <c r="ELY12">
        <v>0</v>
      </c>
      <c r="ELZ12">
        <v>0</v>
      </c>
      <c r="EMA12">
        <v>0</v>
      </c>
      <c r="EMB12">
        <v>183</v>
      </c>
      <c r="EMC12">
        <v>0</v>
      </c>
      <c r="EMD12">
        <v>0</v>
      </c>
      <c r="EME12">
        <v>0</v>
      </c>
      <c r="EMF12">
        <v>0</v>
      </c>
      <c r="EMG12">
        <v>0</v>
      </c>
      <c r="EMH12">
        <v>0</v>
      </c>
      <c r="EMI12">
        <v>0</v>
      </c>
      <c r="EMJ12">
        <v>0</v>
      </c>
      <c r="EMK12">
        <v>0</v>
      </c>
      <c r="EML12">
        <v>0</v>
      </c>
      <c r="EMM12">
        <v>52.99</v>
      </c>
      <c r="EMN12">
        <v>0</v>
      </c>
      <c r="EMO12">
        <v>0</v>
      </c>
      <c r="EMP12">
        <v>0</v>
      </c>
      <c r="EMQ12">
        <v>0</v>
      </c>
      <c r="EMR12">
        <v>0</v>
      </c>
      <c r="EMS12">
        <v>0</v>
      </c>
      <c r="EMT12">
        <v>63</v>
      </c>
      <c r="EMU12">
        <v>0</v>
      </c>
      <c r="EMV12">
        <v>0</v>
      </c>
      <c r="EMW12">
        <v>0</v>
      </c>
      <c r="EMX12">
        <v>0</v>
      </c>
      <c r="EMY12">
        <v>0</v>
      </c>
      <c r="EMZ12">
        <v>0</v>
      </c>
      <c r="ENA12">
        <v>349.99</v>
      </c>
      <c r="ENB12">
        <v>0</v>
      </c>
      <c r="ENC12">
        <v>0</v>
      </c>
      <c r="END12">
        <v>0</v>
      </c>
      <c r="ENE12">
        <v>0</v>
      </c>
      <c r="ENF12">
        <v>0</v>
      </c>
      <c r="ENG12">
        <v>0</v>
      </c>
      <c r="ENH12">
        <v>0</v>
      </c>
      <c r="ENI12">
        <v>0</v>
      </c>
      <c r="ENJ12">
        <v>0</v>
      </c>
      <c r="ENK12">
        <v>0</v>
      </c>
      <c r="ENL12">
        <v>0</v>
      </c>
      <c r="ENM12">
        <v>0</v>
      </c>
      <c r="ENN12">
        <v>0</v>
      </c>
      <c r="ENO12">
        <v>0</v>
      </c>
      <c r="ENP12">
        <v>0</v>
      </c>
      <c r="ENQ12">
        <v>0</v>
      </c>
      <c r="ENR12">
        <v>0</v>
      </c>
      <c r="ENS12">
        <v>0</v>
      </c>
      <c r="ENT12">
        <v>0</v>
      </c>
      <c r="ENU12">
        <v>0</v>
      </c>
      <c r="ENV12">
        <v>0</v>
      </c>
      <c r="ENW12">
        <v>73.989999999999995</v>
      </c>
      <c r="ENX12">
        <v>0</v>
      </c>
      <c r="ENY12">
        <v>0</v>
      </c>
      <c r="ENZ12">
        <v>10</v>
      </c>
      <c r="EOA12">
        <v>0</v>
      </c>
      <c r="EOB12">
        <v>0</v>
      </c>
      <c r="EOC12">
        <v>0</v>
      </c>
      <c r="EOD12">
        <v>0</v>
      </c>
      <c r="EOE12">
        <v>0</v>
      </c>
      <c r="EOF12">
        <v>0</v>
      </c>
      <c r="EOG12">
        <v>0</v>
      </c>
      <c r="EOH12">
        <v>0</v>
      </c>
      <c r="EOI12">
        <v>0</v>
      </c>
      <c r="EOJ12">
        <v>0</v>
      </c>
      <c r="EOK12">
        <v>0</v>
      </c>
      <c r="EOL12">
        <v>0</v>
      </c>
      <c r="EOM12">
        <v>0</v>
      </c>
      <c r="EON12">
        <v>0</v>
      </c>
      <c r="EOO12">
        <v>0</v>
      </c>
      <c r="EOP12">
        <v>0</v>
      </c>
      <c r="EOQ12">
        <v>0</v>
      </c>
      <c r="EOR12">
        <v>0</v>
      </c>
      <c r="EOS12">
        <v>373.99</v>
      </c>
      <c r="EOT12">
        <v>0</v>
      </c>
      <c r="EOU12">
        <v>0</v>
      </c>
      <c r="EOV12">
        <v>0</v>
      </c>
      <c r="EOW12">
        <v>93</v>
      </c>
      <c r="EOX12">
        <v>0</v>
      </c>
      <c r="EOY12">
        <v>0</v>
      </c>
      <c r="EOZ12">
        <v>0</v>
      </c>
      <c r="EPA12">
        <v>378.96</v>
      </c>
      <c r="EPB12">
        <v>378.99</v>
      </c>
      <c r="EPC12">
        <v>379</v>
      </c>
      <c r="EPD12">
        <v>0</v>
      </c>
      <c r="EPE12">
        <v>0</v>
      </c>
      <c r="EPF12">
        <v>0</v>
      </c>
      <c r="EPG12">
        <v>0</v>
      </c>
      <c r="EPH12">
        <v>0</v>
      </c>
      <c r="EPI12">
        <v>7</v>
      </c>
      <c r="EPJ12">
        <v>0</v>
      </c>
      <c r="EPK12">
        <v>0</v>
      </c>
      <c r="EPL12">
        <v>0</v>
      </c>
      <c r="EPM12">
        <v>0</v>
      </c>
      <c r="EPN12">
        <v>0</v>
      </c>
      <c r="EPO12">
        <v>0</v>
      </c>
      <c r="EPP12">
        <v>1</v>
      </c>
      <c r="EPQ12">
        <v>0</v>
      </c>
      <c r="EPR12">
        <v>44</v>
      </c>
      <c r="EPS12">
        <v>0</v>
      </c>
      <c r="EPT12">
        <v>0</v>
      </c>
      <c r="EPU12">
        <v>0</v>
      </c>
      <c r="EPV12">
        <v>0</v>
      </c>
      <c r="EPW12">
        <v>387</v>
      </c>
      <c r="EPX12">
        <v>0</v>
      </c>
      <c r="EPY12">
        <v>0</v>
      </c>
      <c r="EPZ12">
        <v>0</v>
      </c>
      <c r="EQA12">
        <v>0</v>
      </c>
      <c r="EQB12">
        <v>0</v>
      </c>
      <c r="EQC12">
        <v>0</v>
      </c>
      <c r="EQD12">
        <v>0</v>
      </c>
      <c r="EQE12">
        <v>0</v>
      </c>
      <c r="EQF12">
        <v>112.99</v>
      </c>
      <c r="EQG12">
        <v>0</v>
      </c>
      <c r="EQH12">
        <v>0</v>
      </c>
      <c r="EQI12">
        <v>0</v>
      </c>
      <c r="EQJ12">
        <v>0</v>
      </c>
      <c r="EQK12">
        <v>12</v>
      </c>
      <c r="EQL12">
        <v>0</v>
      </c>
      <c r="EQM12">
        <v>0</v>
      </c>
      <c r="EQN12">
        <v>48</v>
      </c>
      <c r="EQO12">
        <v>0</v>
      </c>
      <c r="EQP12">
        <v>0</v>
      </c>
      <c r="EQQ12">
        <v>0</v>
      </c>
      <c r="EQR12">
        <v>0</v>
      </c>
      <c r="EQS12">
        <v>393.99</v>
      </c>
      <c r="EQT12">
        <v>0</v>
      </c>
      <c r="EQU12">
        <v>0</v>
      </c>
      <c r="EQV12">
        <v>0</v>
      </c>
      <c r="EQW12">
        <v>0</v>
      </c>
      <c r="EQX12">
        <v>0</v>
      </c>
      <c r="EQY12">
        <v>0</v>
      </c>
      <c r="EQZ12">
        <v>0</v>
      </c>
      <c r="ERA12">
        <v>0</v>
      </c>
      <c r="ERB12">
        <v>0</v>
      </c>
      <c r="ERC12">
        <v>0</v>
      </c>
      <c r="ERD12">
        <v>0</v>
      </c>
      <c r="ERE12">
        <v>0</v>
      </c>
      <c r="ERF12">
        <v>63.99</v>
      </c>
      <c r="ERG12">
        <v>0</v>
      </c>
      <c r="ERH12">
        <v>0</v>
      </c>
      <c r="ERI12">
        <v>0</v>
      </c>
      <c r="ERJ12">
        <v>0</v>
      </c>
      <c r="ERK12">
        <v>0</v>
      </c>
      <c r="ERL12">
        <v>0</v>
      </c>
      <c r="ERM12">
        <v>0</v>
      </c>
      <c r="ERN12">
        <v>0</v>
      </c>
      <c r="ERO12">
        <v>0</v>
      </c>
      <c r="ERP12">
        <v>0</v>
      </c>
      <c r="ERQ12">
        <v>0</v>
      </c>
      <c r="ERR12">
        <v>0</v>
      </c>
      <c r="ERS12">
        <v>407.95</v>
      </c>
      <c r="ERT12">
        <v>0</v>
      </c>
      <c r="ERU12">
        <v>0</v>
      </c>
      <c r="ERV12">
        <v>0</v>
      </c>
      <c r="ERW12">
        <v>0</v>
      </c>
      <c r="ERX12">
        <v>0</v>
      </c>
      <c r="ERY12">
        <v>0</v>
      </c>
      <c r="ERZ12">
        <v>0</v>
      </c>
      <c r="ESA12">
        <v>0</v>
      </c>
      <c r="ESB12">
        <v>0</v>
      </c>
      <c r="ESC12">
        <v>0</v>
      </c>
      <c r="ESD12">
        <v>0</v>
      </c>
      <c r="ESE12">
        <v>0</v>
      </c>
      <c r="ESF12">
        <v>0</v>
      </c>
      <c r="ESG12">
        <v>0</v>
      </c>
      <c r="ESH12">
        <v>0</v>
      </c>
      <c r="ESI12">
        <v>0</v>
      </c>
      <c r="ESJ12">
        <v>0</v>
      </c>
      <c r="ESK12">
        <v>0</v>
      </c>
      <c r="ESL12">
        <v>0</v>
      </c>
      <c r="ESM12">
        <v>0</v>
      </c>
      <c r="ESN12">
        <v>0</v>
      </c>
      <c r="ESO12">
        <v>364.99</v>
      </c>
      <c r="ESP12">
        <v>101</v>
      </c>
      <c r="ESQ12">
        <v>0</v>
      </c>
      <c r="ESR12">
        <v>0</v>
      </c>
      <c r="ESS12">
        <v>0</v>
      </c>
      <c r="EST12">
        <v>0</v>
      </c>
      <c r="ESU12">
        <v>0</v>
      </c>
      <c r="ESV12">
        <v>401.99</v>
      </c>
      <c r="ESW12">
        <v>0</v>
      </c>
      <c r="ESX12">
        <v>0</v>
      </c>
      <c r="ESY12">
        <v>0</v>
      </c>
      <c r="ESZ12">
        <v>50.99</v>
      </c>
      <c r="ETA12">
        <v>0</v>
      </c>
      <c r="ETB12">
        <v>0</v>
      </c>
      <c r="ETC12">
        <v>0</v>
      </c>
      <c r="ETD12">
        <v>0</v>
      </c>
      <c r="ETE12">
        <v>0</v>
      </c>
      <c r="ETF12">
        <v>0</v>
      </c>
      <c r="ETG12">
        <v>0</v>
      </c>
      <c r="ETH12">
        <v>0</v>
      </c>
      <c r="ETI12">
        <v>0</v>
      </c>
      <c r="ETJ12">
        <v>0</v>
      </c>
      <c r="ETK12">
        <v>0</v>
      </c>
      <c r="ETL12">
        <v>0</v>
      </c>
      <c r="ETM12">
        <v>0</v>
      </c>
      <c r="ETN12">
        <v>0</v>
      </c>
      <c r="ETO12">
        <v>0</v>
      </c>
      <c r="ETP12">
        <v>0</v>
      </c>
      <c r="ETQ12">
        <v>0</v>
      </c>
      <c r="ETR12">
        <v>109.99</v>
      </c>
      <c r="ETS12">
        <v>0</v>
      </c>
      <c r="ETT12">
        <v>0</v>
      </c>
      <c r="ETU12">
        <v>0</v>
      </c>
      <c r="ETV12">
        <v>0</v>
      </c>
      <c r="ETW12">
        <v>0</v>
      </c>
      <c r="ETX12">
        <v>0</v>
      </c>
      <c r="ETY12">
        <v>0</v>
      </c>
      <c r="ETZ12">
        <v>0</v>
      </c>
      <c r="EUA12">
        <v>0</v>
      </c>
      <c r="EUB12">
        <v>0</v>
      </c>
      <c r="EUC12">
        <v>0</v>
      </c>
      <c r="EUD12">
        <v>0</v>
      </c>
      <c r="EUE12">
        <v>0</v>
      </c>
      <c r="EUF12">
        <v>98</v>
      </c>
      <c r="EUG12">
        <v>0</v>
      </c>
      <c r="EUH12">
        <v>0</v>
      </c>
      <c r="EUI12">
        <v>0</v>
      </c>
      <c r="EUJ12">
        <v>0</v>
      </c>
      <c r="EUK12">
        <v>0</v>
      </c>
      <c r="EUL12">
        <v>63</v>
      </c>
      <c r="EUM12">
        <v>0</v>
      </c>
      <c r="EUN12">
        <v>0</v>
      </c>
      <c r="EUO12">
        <v>0</v>
      </c>
      <c r="EUP12">
        <v>0</v>
      </c>
      <c r="EUQ12">
        <v>0</v>
      </c>
      <c r="EUR12">
        <v>0</v>
      </c>
      <c r="EUS12">
        <v>0</v>
      </c>
      <c r="EUT12">
        <v>0</v>
      </c>
      <c r="EUU12">
        <v>0</v>
      </c>
      <c r="EUV12">
        <v>0</v>
      </c>
      <c r="EUW12">
        <v>0</v>
      </c>
      <c r="EUX12">
        <v>0</v>
      </c>
      <c r="EUY12">
        <v>266.97000000000003</v>
      </c>
      <c r="EUZ12">
        <v>0</v>
      </c>
      <c r="EVA12">
        <v>0</v>
      </c>
      <c r="EVB12">
        <v>0</v>
      </c>
      <c r="EVC12">
        <v>0</v>
      </c>
      <c r="EVD12">
        <v>0</v>
      </c>
      <c r="EVE12">
        <v>0</v>
      </c>
      <c r="EVF12">
        <v>0</v>
      </c>
      <c r="EVG12">
        <v>0</v>
      </c>
      <c r="EVH12">
        <v>0</v>
      </c>
      <c r="EVI12">
        <v>0</v>
      </c>
      <c r="EVJ12">
        <v>0</v>
      </c>
      <c r="EVK12">
        <v>0</v>
      </c>
      <c r="EVL12">
        <v>323.94</v>
      </c>
      <c r="EVM12">
        <v>0</v>
      </c>
      <c r="EVN12">
        <v>471.99</v>
      </c>
      <c r="EVO12">
        <v>0</v>
      </c>
      <c r="EVP12">
        <v>0</v>
      </c>
      <c r="EVQ12">
        <v>452.98</v>
      </c>
      <c r="EVR12">
        <v>70</v>
      </c>
      <c r="EVS12">
        <v>0</v>
      </c>
      <c r="EVT12">
        <v>0</v>
      </c>
      <c r="EVU12">
        <v>0</v>
      </c>
      <c r="EVV12">
        <v>0</v>
      </c>
      <c r="EVW12">
        <v>0</v>
      </c>
      <c r="EVX12">
        <v>0</v>
      </c>
      <c r="EVY12">
        <v>20</v>
      </c>
      <c r="EVZ12">
        <v>0</v>
      </c>
      <c r="EWA12">
        <v>0</v>
      </c>
      <c r="EWB12">
        <v>0</v>
      </c>
      <c r="EWC12">
        <v>0</v>
      </c>
      <c r="EWD12">
        <v>0</v>
      </c>
      <c r="EWE12">
        <v>0</v>
      </c>
      <c r="EWF12">
        <v>0</v>
      </c>
      <c r="EWG12">
        <v>0</v>
      </c>
      <c r="EWH12">
        <v>0</v>
      </c>
      <c r="EWI12">
        <v>0</v>
      </c>
      <c r="EWJ12">
        <v>0</v>
      </c>
      <c r="EWK12">
        <v>95</v>
      </c>
      <c r="EWL12">
        <v>0</v>
      </c>
      <c r="EWM12">
        <v>0</v>
      </c>
      <c r="EWN12">
        <v>0</v>
      </c>
      <c r="EWO12">
        <v>0</v>
      </c>
      <c r="EWP12">
        <v>0</v>
      </c>
      <c r="EWQ12">
        <v>0</v>
      </c>
      <c r="EWR12">
        <v>108</v>
      </c>
      <c r="EWS12">
        <v>65</v>
      </c>
      <c r="EWT12">
        <v>0</v>
      </c>
      <c r="EWU12">
        <v>0</v>
      </c>
      <c r="EWV12">
        <v>0</v>
      </c>
      <c r="EWW12">
        <v>0</v>
      </c>
      <c r="EWX12">
        <v>0</v>
      </c>
      <c r="EWY12">
        <v>0</v>
      </c>
      <c r="EWZ12">
        <v>0</v>
      </c>
      <c r="EXA12">
        <v>0</v>
      </c>
      <c r="EXB12">
        <v>0</v>
      </c>
      <c r="EXC12">
        <v>0</v>
      </c>
      <c r="EXD12">
        <v>0</v>
      </c>
      <c r="EXE12">
        <v>0</v>
      </c>
      <c r="EXF12">
        <v>0</v>
      </c>
      <c r="EXG12">
        <v>0</v>
      </c>
      <c r="EXH12">
        <v>41</v>
      </c>
      <c r="EXI12">
        <v>0</v>
      </c>
      <c r="EXJ12">
        <v>0</v>
      </c>
      <c r="EXK12">
        <v>505</v>
      </c>
      <c r="EXL12">
        <v>0</v>
      </c>
      <c r="EXM12">
        <v>0</v>
      </c>
      <c r="EXN12">
        <v>0</v>
      </c>
      <c r="EXO12">
        <v>0</v>
      </c>
      <c r="EXP12">
        <v>0</v>
      </c>
      <c r="EXQ12">
        <v>0</v>
      </c>
      <c r="EXR12">
        <v>0</v>
      </c>
      <c r="EXS12">
        <v>0</v>
      </c>
      <c r="EXT12">
        <v>0</v>
      </c>
      <c r="EXU12">
        <v>0</v>
      </c>
      <c r="EXV12">
        <v>0</v>
      </c>
      <c r="EXW12">
        <v>0</v>
      </c>
      <c r="EXX12">
        <v>0</v>
      </c>
      <c r="EXY12">
        <v>60</v>
      </c>
      <c r="EXZ12">
        <v>0</v>
      </c>
      <c r="EYA12">
        <v>0</v>
      </c>
      <c r="EYB12">
        <v>0</v>
      </c>
      <c r="EYC12">
        <v>0</v>
      </c>
      <c r="EYD12">
        <v>0</v>
      </c>
      <c r="EYE12">
        <v>0</v>
      </c>
      <c r="EYF12">
        <v>0</v>
      </c>
      <c r="EYG12">
        <v>0</v>
      </c>
      <c r="EYH12">
        <v>522.98</v>
      </c>
      <c r="EYI12">
        <v>0</v>
      </c>
      <c r="EYJ12">
        <v>0</v>
      </c>
      <c r="EYK12">
        <v>0</v>
      </c>
      <c r="EYL12">
        <v>0</v>
      </c>
      <c r="EYM12">
        <v>0</v>
      </c>
      <c r="EYN12">
        <v>0</v>
      </c>
      <c r="EYO12">
        <v>0</v>
      </c>
      <c r="EYP12">
        <v>0</v>
      </c>
      <c r="EYQ12">
        <v>0</v>
      </c>
      <c r="EYR12">
        <v>0</v>
      </c>
      <c r="EYS12">
        <v>0</v>
      </c>
      <c r="EYT12">
        <v>0</v>
      </c>
      <c r="EYU12">
        <v>0</v>
      </c>
      <c r="EYV12">
        <v>0</v>
      </c>
      <c r="EYW12">
        <v>67</v>
      </c>
      <c r="EYX12">
        <v>0</v>
      </c>
      <c r="EYY12">
        <v>0</v>
      </c>
      <c r="EYZ12">
        <v>0</v>
      </c>
      <c r="EZA12">
        <v>197.98</v>
      </c>
      <c r="EZB12">
        <v>0</v>
      </c>
      <c r="EZC12">
        <v>0</v>
      </c>
      <c r="EZD12">
        <v>0</v>
      </c>
      <c r="EZE12">
        <v>0</v>
      </c>
      <c r="EZF12">
        <v>0</v>
      </c>
      <c r="EZG12">
        <v>0</v>
      </c>
      <c r="EZH12">
        <v>0</v>
      </c>
      <c r="EZI12">
        <v>0</v>
      </c>
      <c r="EZJ12">
        <v>0</v>
      </c>
      <c r="EZK12">
        <v>31</v>
      </c>
      <c r="EZL12">
        <v>0</v>
      </c>
      <c r="EZM12">
        <v>353.95</v>
      </c>
      <c r="EZN12">
        <v>0</v>
      </c>
      <c r="EZO12">
        <v>0</v>
      </c>
      <c r="EZP12">
        <v>0</v>
      </c>
      <c r="EZQ12">
        <v>0</v>
      </c>
      <c r="EZR12">
        <v>0</v>
      </c>
      <c r="EZS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EZY12">
        <v>0</v>
      </c>
      <c r="EZZ12">
        <v>0</v>
      </c>
      <c r="FAA12">
        <v>556.94000000000005</v>
      </c>
      <c r="FAB12">
        <v>0</v>
      </c>
      <c r="FAC12">
        <v>0</v>
      </c>
      <c r="FAD12">
        <v>0</v>
      </c>
      <c r="FAE12">
        <v>0</v>
      </c>
      <c r="FAF12">
        <v>0</v>
      </c>
      <c r="FAG12">
        <v>0</v>
      </c>
      <c r="FAH12">
        <v>0</v>
      </c>
      <c r="FAI12">
        <v>0</v>
      </c>
      <c r="FAJ12">
        <v>0</v>
      </c>
      <c r="FAK12">
        <v>0</v>
      </c>
      <c r="FAL12">
        <v>0</v>
      </c>
      <c r="FAM12">
        <v>0</v>
      </c>
      <c r="FAN12">
        <v>0</v>
      </c>
      <c r="FAO12">
        <v>0</v>
      </c>
      <c r="FAP12">
        <v>0</v>
      </c>
      <c r="FAQ12">
        <v>0</v>
      </c>
      <c r="FAR12">
        <v>0</v>
      </c>
      <c r="FAS12">
        <v>0</v>
      </c>
      <c r="FAT12">
        <v>0</v>
      </c>
      <c r="FAU12">
        <v>0</v>
      </c>
      <c r="FAV12">
        <v>0</v>
      </c>
      <c r="FAW12">
        <v>0</v>
      </c>
      <c r="FAX12">
        <v>21</v>
      </c>
      <c r="FAY12">
        <v>0</v>
      </c>
      <c r="FAZ12">
        <v>0</v>
      </c>
      <c r="FBA12">
        <v>20.99</v>
      </c>
      <c r="FBB12">
        <v>0</v>
      </c>
      <c r="FBC12">
        <v>0</v>
      </c>
      <c r="FBD12">
        <v>0</v>
      </c>
      <c r="FBE12">
        <v>0</v>
      </c>
      <c r="FBF12">
        <v>0</v>
      </c>
      <c r="FBG12">
        <v>0</v>
      </c>
      <c r="FBH12">
        <v>227</v>
      </c>
      <c r="FBI12">
        <v>88</v>
      </c>
      <c r="FBJ12">
        <v>0</v>
      </c>
      <c r="FBK12">
        <v>0</v>
      </c>
      <c r="FBL12">
        <v>0</v>
      </c>
      <c r="FBM12">
        <v>0</v>
      </c>
      <c r="FBN12">
        <v>0</v>
      </c>
      <c r="FBO12">
        <v>0</v>
      </c>
      <c r="FBP12">
        <v>0</v>
      </c>
      <c r="FBQ12">
        <v>597.96</v>
      </c>
      <c r="FBR12">
        <v>0</v>
      </c>
      <c r="FBS12">
        <v>0</v>
      </c>
      <c r="FBT12">
        <v>0</v>
      </c>
      <c r="FBU12">
        <v>0</v>
      </c>
      <c r="FBV12">
        <v>0</v>
      </c>
      <c r="FBW12">
        <v>0</v>
      </c>
      <c r="FBX12">
        <v>0</v>
      </c>
      <c r="FBY12">
        <v>39</v>
      </c>
      <c r="FBZ12">
        <v>0</v>
      </c>
      <c r="FCA12">
        <v>267.98</v>
      </c>
      <c r="FCB12">
        <v>0</v>
      </c>
      <c r="FCC12">
        <v>132</v>
      </c>
      <c r="FCD12">
        <v>0</v>
      </c>
      <c r="FCE12">
        <v>0</v>
      </c>
      <c r="FCF12">
        <v>0</v>
      </c>
      <c r="FCG12">
        <v>0</v>
      </c>
      <c r="FCH12">
        <v>52</v>
      </c>
      <c r="FCI12">
        <v>0</v>
      </c>
      <c r="FCJ12">
        <v>617.98</v>
      </c>
      <c r="FCK12">
        <v>0</v>
      </c>
      <c r="FCL12">
        <v>0</v>
      </c>
      <c r="FCM12">
        <v>0</v>
      </c>
      <c r="FCN12">
        <v>0</v>
      </c>
      <c r="FCO12">
        <v>0</v>
      </c>
      <c r="FCP12">
        <v>0</v>
      </c>
      <c r="FCQ12">
        <v>0</v>
      </c>
      <c r="FCR12">
        <v>0</v>
      </c>
      <c r="FCS12">
        <v>0</v>
      </c>
      <c r="FCT12">
        <v>0</v>
      </c>
      <c r="FCU12">
        <v>0</v>
      </c>
      <c r="FCV12">
        <v>0</v>
      </c>
      <c r="FCW12">
        <v>0</v>
      </c>
      <c r="FCX12">
        <v>0</v>
      </c>
      <c r="FCY12">
        <v>0</v>
      </c>
      <c r="FCZ12">
        <v>0</v>
      </c>
      <c r="FDA12">
        <v>0</v>
      </c>
      <c r="FDB12">
        <v>0</v>
      </c>
      <c r="FDC12">
        <v>0</v>
      </c>
      <c r="FDD12">
        <v>0</v>
      </c>
      <c r="FDE12">
        <v>0</v>
      </c>
      <c r="FDF12">
        <v>58</v>
      </c>
      <c r="FDG12">
        <v>0</v>
      </c>
      <c r="FDH12">
        <v>0</v>
      </c>
      <c r="FDI12">
        <v>86.99</v>
      </c>
      <c r="FDJ12">
        <v>0</v>
      </c>
      <c r="FDK12">
        <v>0</v>
      </c>
      <c r="FDL12">
        <v>0</v>
      </c>
      <c r="FDM12">
        <v>0</v>
      </c>
      <c r="FDN12">
        <v>0</v>
      </c>
      <c r="FDO12">
        <v>0</v>
      </c>
      <c r="FDP12">
        <v>0</v>
      </c>
      <c r="FDQ12">
        <v>0</v>
      </c>
      <c r="FDR12">
        <v>0</v>
      </c>
      <c r="FDS12">
        <v>0</v>
      </c>
      <c r="FDT12">
        <v>0</v>
      </c>
      <c r="FDU12">
        <v>0</v>
      </c>
      <c r="FDV12">
        <v>0</v>
      </c>
      <c r="FDW12">
        <v>0</v>
      </c>
      <c r="FDX12">
        <v>51</v>
      </c>
      <c r="FDY12">
        <v>0</v>
      </c>
      <c r="FDZ12">
        <v>0</v>
      </c>
      <c r="FEA12">
        <v>0</v>
      </c>
      <c r="FEB12">
        <v>0</v>
      </c>
      <c r="FEC12">
        <v>0</v>
      </c>
      <c r="FED12">
        <v>0</v>
      </c>
      <c r="FEE12">
        <v>0</v>
      </c>
      <c r="FEF12">
        <v>0</v>
      </c>
      <c r="FEG12">
        <v>0</v>
      </c>
      <c r="FEH12">
        <v>0</v>
      </c>
      <c r="FEI12">
        <v>0</v>
      </c>
      <c r="FEJ12">
        <v>0</v>
      </c>
      <c r="FEK12">
        <v>0</v>
      </c>
      <c r="FEL12">
        <v>0</v>
      </c>
      <c r="FEM12">
        <v>0</v>
      </c>
      <c r="FEN12">
        <v>0</v>
      </c>
      <c r="FEO12">
        <v>0</v>
      </c>
      <c r="FEP12">
        <v>0</v>
      </c>
      <c r="FEQ12">
        <v>0</v>
      </c>
      <c r="FER12">
        <v>0</v>
      </c>
      <c r="FES12">
        <v>615.99</v>
      </c>
      <c r="FET12">
        <v>0</v>
      </c>
      <c r="FEU12">
        <v>0</v>
      </c>
      <c r="FEV12">
        <v>0</v>
      </c>
      <c r="FEW12">
        <v>0</v>
      </c>
      <c r="FEX12">
        <v>0</v>
      </c>
      <c r="FEY12">
        <v>0</v>
      </c>
      <c r="FEZ12">
        <v>0</v>
      </c>
      <c r="FFA12">
        <v>0</v>
      </c>
      <c r="FFB12">
        <v>0</v>
      </c>
      <c r="FFC12">
        <v>0</v>
      </c>
      <c r="FFD12">
        <v>0</v>
      </c>
      <c r="FFE12">
        <v>0</v>
      </c>
      <c r="FFF12">
        <v>0</v>
      </c>
      <c r="FFG12">
        <v>0</v>
      </c>
      <c r="FFH12">
        <v>0</v>
      </c>
      <c r="FFI12">
        <v>0</v>
      </c>
      <c r="FFJ12">
        <v>0</v>
      </c>
      <c r="FFK12">
        <v>0</v>
      </c>
      <c r="FFL12">
        <v>0</v>
      </c>
      <c r="FFM12">
        <v>0</v>
      </c>
      <c r="FFN12">
        <v>0</v>
      </c>
      <c r="FFO12">
        <v>0</v>
      </c>
      <c r="FFP12">
        <v>0</v>
      </c>
      <c r="FFQ12">
        <v>0</v>
      </c>
      <c r="FFR12">
        <v>0</v>
      </c>
      <c r="FFS12">
        <v>94.99</v>
      </c>
      <c r="FFT12">
        <v>87.99</v>
      </c>
      <c r="FFU12">
        <v>544.96</v>
      </c>
      <c r="FFV12">
        <v>0</v>
      </c>
      <c r="FFW12">
        <v>0</v>
      </c>
      <c r="FFX12">
        <v>0</v>
      </c>
      <c r="FFY12">
        <v>0</v>
      </c>
      <c r="FFZ12">
        <v>0</v>
      </c>
      <c r="FGA12">
        <v>0</v>
      </c>
      <c r="FGB12">
        <v>0</v>
      </c>
      <c r="FGC12">
        <v>0</v>
      </c>
      <c r="FGD12">
        <v>0</v>
      </c>
      <c r="FGE12">
        <v>112.99</v>
      </c>
      <c r="FGF12">
        <v>0</v>
      </c>
      <c r="FGG12">
        <v>0</v>
      </c>
      <c r="FGH12">
        <v>73</v>
      </c>
      <c r="FGI12">
        <v>0</v>
      </c>
      <c r="FGJ12">
        <v>0</v>
      </c>
      <c r="FGK12">
        <v>11</v>
      </c>
      <c r="FGL12">
        <v>0</v>
      </c>
      <c r="FGM12">
        <v>0</v>
      </c>
      <c r="FGN12">
        <v>0</v>
      </c>
      <c r="FGO12">
        <v>0</v>
      </c>
      <c r="FGP12">
        <v>0</v>
      </c>
      <c r="FGQ12">
        <v>0</v>
      </c>
      <c r="FGR12">
        <v>0</v>
      </c>
      <c r="FGS12">
        <v>0</v>
      </c>
      <c r="FGT12">
        <v>0</v>
      </c>
      <c r="FGU12">
        <v>0</v>
      </c>
      <c r="FGV12">
        <v>0</v>
      </c>
      <c r="FGW12">
        <v>0</v>
      </c>
      <c r="FGX12">
        <v>0</v>
      </c>
      <c r="FGY12">
        <v>0</v>
      </c>
      <c r="FGZ12">
        <v>0</v>
      </c>
      <c r="FHA12">
        <v>0</v>
      </c>
      <c r="FHB12">
        <v>0</v>
      </c>
      <c r="FHC12">
        <v>0</v>
      </c>
      <c r="FHD12">
        <v>0</v>
      </c>
      <c r="FHE12">
        <v>0</v>
      </c>
      <c r="FHF12">
        <v>0</v>
      </c>
      <c r="FHG12">
        <v>766.91</v>
      </c>
      <c r="FHH12">
        <v>0</v>
      </c>
      <c r="FHI12">
        <v>0</v>
      </c>
      <c r="FHJ12">
        <v>0</v>
      </c>
      <c r="FHK12">
        <v>0</v>
      </c>
      <c r="FHL12">
        <v>0</v>
      </c>
      <c r="FHM12">
        <v>0</v>
      </c>
      <c r="FHN12">
        <v>0</v>
      </c>
      <c r="FHO12">
        <v>0</v>
      </c>
      <c r="FHP12">
        <v>0</v>
      </c>
      <c r="FHQ12">
        <v>0</v>
      </c>
      <c r="FHR12">
        <v>0</v>
      </c>
      <c r="FHS12">
        <v>0</v>
      </c>
      <c r="FHT12">
        <v>0</v>
      </c>
      <c r="FHU12">
        <v>19</v>
      </c>
      <c r="FHV12">
        <v>106</v>
      </c>
      <c r="FHW12">
        <v>0</v>
      </c>
      <c r="FHX12">
        <v>0</v>
      </c>
      <c r="FHY12">
        <v>0</v>
      </c>
      <c r="FHZ12">
        <v>0</v>
      </c>
      <c r="FIA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H12">
        <v>0</v>
      </c>
      <c r="FII12">
        <v>0</v>
      </c>
      <c r="FIJ12">
        <v>0</v>
      </c>
      <c r="FIK12">
        <v>0</v>
      </c>
      <c r="FIL12">
        <v>0</v>
      </c>
      <c r="FIM12">
        <v>0</v>
      </c>
      <c r="FIN12">
        <v>0</v>
      </c>
      <c r="FIO12">
        <v>32</v>
      </c>
      <c r="FIP12">
        <v>0</v>
      </c>
      <c r="FIQ12">
        <v>0</v>
      </c>
      <c r="FIR12">
        <v>0</v>
      </c>
      <c r="FIS12">
        <v>0</v>
      </c>
      <c r="FIT12">
        <v>0</v>
      </c>
      <c r="FIU12">
        <v>0</v>
      </c>
      <c r="FIV12">
        <v>395.94</v>
      </c>
      <c r="FIW12">
        <v>0</v>
      </c>
      <c r="FIX12">
        <v>0</v>
      </c>
      <c r="FIY12">
        <v>0</v>
      </c>
      <c r="FIZ12">
        <v>0</v>
      </c>
      <c r="FJA12">
        <v>0</v>
      </c>
      <c r="FJB12">
        <v>0</v>
      </c>
      <c r="FJC12">
        <v>0</v>
      </c>
      <c r="FJD12">
        <v>83.99</v>
      </c>
      <c r="FJE12">
        <v>0</v>
      </c>
      <c r="FJF12">
        <v>0</v>
      </c>
      <c r="FJG12">
        <v>0</v>
      </c>
      <c r="FJH12">
        <v>0</v>
      </c>
      <c r="FJI12">
        <v>0</v>
      </c>
      <c r="FJJ12">
        <v>0</v>
      </c>
      <c r="FJK12">
        <v>0</v>
      </c>
      <c r="FJL12">
        <v>0</v>
      </c>
      <c r="FJM12">
        <v>0</v>
      </c>
      <c r="FJN12">
        <v>0</v>
      </c>
      <c r="FJO12">
        <v>47</v>
      </c>
      <c r="FJP12">
        <v>74.989999999999995</v>
      </c>
      <c r="FJQ12">
        <v>0</v>
      </c>
      <c r="FJR12">
        <v>0</v>
      </c>
      <c r="FJS12">
        <v>0</v>
      </c>
      <c r="FJT12">
        <v>21</v>
      </c>
      <c r="FJU12">
        <v>0</v>
      </c>
      <c r="FJV12">
        <v>0</v>
      </c>
      <c r="FJW12">
        <v>0</v>
      </c>
      <c r="FJX12">
        <v>0</v>
      </c>
      <c r="FJY12">
        <v>0</v>
      </c>
      <c r="FJZ12">
        <v>231.99</v>
      </c>
      <c r="FKA12">
        <v>0</v>
      </c>
      <c r="FKB12">
        <v>0</v>
      </c>
      <c r="FKC12">
        <v>0</v>
      </c>
      <c r="FKD12">
        <v>0</v>
      </c>
      <c r="FKE12">
        <v>0</v>
      </c>
      <c r="FKF12">
        <v>0</v>
      </c>
      <c r="FKG12">
        <v>0</v>
      </c>
      <c r="FKH12">
        <v>0</v>
      </c>
      <c r="FKI12">
        <v>0</v>
      </c>
      <c r="FKJ12">
        <v>0</v>
      </c>
      <c r="FKK12">
        <v>0</v>
      </c>
      <c r="FKL12">
        <v>0</v>
      </c>
      <c r="FKM12">
        <v>0</v>
      </c>
      <c r="FKN12">
        <v>0</v>
      </c>
      <c r="FKO12">
        <v>0</v>
      </c>
      <c r="FKP12">
        <v>0</v>
      </c>
      <c r="FKQ12">
        <v>0</v>
      </c>
      <c r="FKR12">
        <v>0</v>
      </c>
      <c r="FKS12">
        <v>0</v>
      </c>
      <c r="FKT12">
        <v>0</v>
      </c>
      <c r="FKU12">
        <v>30</v>
      </c>
      <c r="FKV12">
        <v>0</v>
      </c>
      <c r="FKW12">
        <v>14</v>
      </c>
      <c r="FKX12">
        <v>0</v>
      </c>
      <c r="FKY12">
        <v>0</v>
      </c>
      <c r="FKZ12">
        <v>0</v>
      </c>
      <c r="FLA12">
        <v>0</v>
      </c>
      <c r="FLB12">
        <v>0</v>
      </c>
      <c r="FLC12">
        <v>0</v>
      </c>
      <c r="FLD12">
        <v>0</v>
      </c>
      <c r="FLE12">
        <v>0</v>
      </c>
      <c r="FLF12">
        <v>268</v>
      </c>
      <c r="FLG12">
        <v>0</v>
      </c>
      <c r="FLH12">
        <v>0</v>
      </c>
      <c r="FLI12">
        <v>0</v>
      </c>
      <c r="FLJ12">
        <v>0</v>
      </c>
      <c r="FLK12">
        <v>0</v>
      </c>
      <c r="FLL12">
        <v>0</v>
      </c>
      <c r="FLM12">
        <v>130</v>
      </c>
      <c r="FLN12">
        <v>0</v>
      </c>
      <c r="FLO12">
        <v>0</v>
      </c>
      <c r="FLP12">
        <v>0</v>
      </c>
      <c r="FLQ12">
        <v>28</v>
      </c>
      <c r="FLR12">
        <v>615.94000000000005</v>
      </c>
      <c r="FLS12">
        <v>0</v>
      </c>
      <c r="FLT12">
        <v>0</v>
      </c>
      <c r="FLU12">
        <v>0</v>
      </c>
      <c r="FLV12">
        <v>0</v>
      </c>
      <c r="FLW12">
        <v>0</v>
      </c>
      <c r="FLX12">
        <v>0</v>
      </c>
      <c r="FLY12">
        <v>0</v>
      </c>
      <c r="FLZ12">
        <v>418.96</v>
      </c>
      <c r="FMA12">
        <v>0</v>
      </c>
      <c r="FMB12">
        <v>0</v>
      </c>
      <c r="FMC12">
        <v>0</v>
      </c>
      <c r="FMD12">
        <v>0</v>
      </c>
      <c r="FME12">
        <v>0</v>
      </c>
      <c r="FMF12">
        <v>0</v>
      </c>
      <c r="FMG12">
        <v>0</v>
      </c>
      <c r="FMH12">
        <v>0</v>
      </c>
      <c r="FMI12">
        <v>0</v>
      </c>
      <c r="FMJ12">
        <v>0</v>
      </c>
      <c r="FMK12">
        <v>0</v>
      </c>
      <c r="FML12">
        <v>0</v>
      </c>
      <c r="FMM12">
        <v>0</v>
      </c>
      <c r="FMN12">
        <v>941.99</v>
      </c>
      <c r="FMO12">
        <v>0</v>
      </c>
      <c r="FMP12">
        <v>0</v>
      </c>
      <c r="FMQ12">
        <v>0</v>
      </c>
      <c r="FMR12">
        <v>0</v>
      </c>
      <c r="FMS12">
        <v>51</v>
      </c>
      <c r="FMT12">
        <v>0</v>
      </c>
      <c r="FMU12">
        <v>226.99</v>
      </c>
      <c r="FMV12">
        <v>618.96</v>
      </c>
      <c r="FMW12">
        <v>28</v>
      </c>
      <c r="FMX12">
        <v>21</v>
      </c>
      <c r="FMY12">
        <v>0</v>
      </c>
      <c r="FMZ12">
        <v>0</v>
      </c>
      <c r="FNA12">
        <v>0</v>
      </c>
      <c r="FNB12">
        <v>0</v>
      </c>
      <c r="FNC12">
        <v>0</v>
      </c>
      <c r="FND12">
        <v>0</v>
      </c>
      <c r="FNE12">
        <v>0</v>
      </c>
      <c r="FNF12">
        <v>0</v>
      </c>
      <c r="FNG12">
        <v>0</v>
      </c>
      <c r="FNH12">
        <v>0</v>
      </c>
      <c r="FNI12">
        <v>0</v>
      </c>
      <c r="FNJ12">
        <v>0</v>
      </c>
      <c r="FNK12">
        <v>995.89</v>
      </c>
      <c r="FNL12">
        <v>0</v>
      </c>
      <c r="FNM12">
        <v>0</v>
      </c>
      <c r="FNN12">
        <v>0</v>
      </c>
      <c r="FNO12">
        <v>0</v>
      </c>
      <c r="FNP12">
        <v>0</v>
      </c>
      <c r="FNQ12">
        <v>0</v>
      </c>
      <c r="FNR12">
        <v>0</v>
      </c>
      <c r="FNS12">
        <v>0</v>
      </c>
      <c r="FNT12">
        <v>0</v>
      </c>
      <c r="FNU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A12">
        <v>0</v>
      </c>
      <c r="FOB12">
        <v>1022.98</v>
      </c>
      <c r="FOC12">
        <v>0</v>
      </c>
      <c r="FOD12">
        <v>0</v>
      </c>
      <c r="FOE12">
        <v>227.99</v>
      </c>
      <c r="FOF12">
        <v>0</v>
      </c>
      <c r="FOG12">
        <v>74.989999999999995</v>
      </c>
      <c r="FOH12">
        <v>0</v>
      </c>
      <c r="FOI12">
        <v>0</v>
      </c>
      <c r="FOJ12">
        <v>0</v>
      </c>
      <c r="FOK12">
        <v>0</v>
      </c>
      <c r="FOL12">
        <v>22</v>
      </c>
      <c r="FOM12">
        <v>0</v>
      </c>
      <c r="FON12">
        <v>0</v>
      </c>
      <c r="FOO12">
        <v>0</v>
      </c>
      <c r="FOP12">
        <v>0</v>
      </c>
      <c r="FOQ12">
        <v>0</v>
      </c>
      <c r="FOR12">
        <v>0</v>
      </c>
      <c r="FOS12">
        <v>0</v>
      </c>
      <c r="FOT12">
        <v>0</v>
      </c>
      <c r="FOU12">
        <v>0</v>
      </c>
      <c r="FOV12">
        <v>0</v>
      </c>
      <c r="FOW12">
        <v>0</v>
      </c>
      <c r="FOX12">
        <v>684.98</v>
      </c>
      <c r="FOY12">
        <v>0</v>
      </c>
      <c r="FOZ12">
        <v>0</v>
      </c>
      <c r="FPA12">
        <v>0</v>
      </c>
      <c r="FPB12">
        <v>56.99</v>
      </c>
      <c r="FPC12">
        <v>11</v>
      </c>
      <c r="FPD12">
        <v>0</v>
      </c>
      <c r="FPE12">
        <v>0</v>
      </c>
      <c r="FPF12">
        <v>0</v>
      </c>
      <c r="FPG12">
        <v>60</v>
      </c>
      <c r="FPH12">
        <v>0</v>
      </c>
      <c r="FPI12">
        <v>0</v>
      </c>
      <c r="FPJ12">
        <v>0</v>
      </c>
      <c r="FPK12">
        <v>0</v>
      </c>
      <c r="FPL12">
        <v>1090.8900000000001</v>
      </c>
      <c r="FPM12">
        <v>0</v>
      </c>
      <c r="FPN12">
        <v>0</v>
      </c>
      <c r="FPO12">
        <v>0</v>
      </c>
      <c r="FPP12">
        <v>0</v>
      </c>
      <c r="FPQ12">
        <v>14</v>
      </c>
      <c r="FPR12">
        <v>0</v>
      </c>
      <c r="FPS12">
        <v>0</v>
      </c>
      <c r="FPT12">
        <v>56</v>
      </c>
      <c r="FPU12">
        <v>506.99</v>
      </c>
      <c r="FPV12">
        <v>1111.8699999999999</v>
      </c>
      <c r="FPW12">
        <v>43</v>
      </c>
      <c r="FPX12">
        <v>0</v>
      </c>
      <c r="FPY12">
        <v>0</v>
      </c>
      <c r="FPZ12">
        <v>0</v>
      </c>
      <c r="FQA12">
        <v>0</v>
      </c>
      <c r="FQB12">
        <v>0</v>
      </c>
      <c r="FQC12">
        <v>0</v>
      </c>
      <c r="FQD12">
        <v>117</v>
      </c>
      <c r="FQE12">
        <v>0</v>
      </c>
      <c r="FQF12">
        <v>210.99</v>
      </c>
      <c r="FQG12">
        <v>0</v>
      </c>
      <c r="FQH12">
        <v>0</v>
      </c>
      <c r="FQI12">
        <v>0</v>
      </c>
      <c r="FQJ12">
        <v>0</v>
      </c>
      <c r="FQK12">
        <v>0</v>
      </c>
      <c r="FQL12">
        <v>0</v>
      </c>
      <c r="FQM12">
        <v>0</v>
      </c>
      <c r="FQN12">
        <v>0</v>
      </c>
      <c r="FQO12">
        <v>0</v>
      </c>
      <c r="FQP12">
        <v>0</v>
      </c>
      <c r="FQQ12">
        <v>0</v>
      </c>
      <c r="FQR12">
        <v>0</v>
      </c>
      <c r="FQS12">
        <v>0</v>
      </c>
      <c r="FQT12">
        <v>0</v>
      </c>
      <c r="FQU12">
        <v>0</v>
      </c>
      <c r="FQV12">
        <v>0</v>
      </c>
      <c r="FQW12">
        <v>0</v>
      </c>
      <c r="FQX12">
        <v>0</v>
      </c>
      <c r="FQY12">
        <v>0</v>
      </c>
      <c r="FQZ12">
        <v>0</v>
      </c>
      <c r="FRA12">
        <v>0</v>
      </c>
      <c r="FRB12">
        <v>0</v>
      </c>
      <c r="FRC12">
        <v>0</v>
      </c>
      <c r="FRD12">
        <v>0</v>
      </c>
      <c r="FRE12">
        <v>0</v>
      </c>
      <c r="FRF12">
        <v>0</v>
      </c>
      <c r="FRG12">
        <v>0</v>
      </c>
      <c r="FRH12">
        <v>0</v>
      </c>
      <c r="FRI12">
        <v>32</v>
      </c>
      <c r="FRJ12">
        <v>0</v>
      </c>
      <c r="FRK12">
        <v>102</v>
      </c>
      <c r="FRL12">
        <v>0</v>
      </c>
      <c r="FRM12">
        <v>399.98</v>
      </c>
      <c r="FRN12">
        <v>128</v>
      </c>
      <c r="FRO12">
        <v>399.99</v>
      </c>
      <c r="FRP12">
        <v>0</v>
      </c>
      <c r="FRQ12">
        <v>0</v>
      </c>
      <c r="FRR12">
        <v>0</v>
      </c>
      <c r="FRS12">
        <v>0</v>
      </c>
      <c r="FRT12">
        <v>0</v>
      </c>
      <c r="FRU12">
        <v>0</v>
      </c>
      <c r="FRV12">
        <v>0</v>
      </c>
      <c r="FRW12">
        <v>0</v>
      </c>
      <c r="FRX12">
        <v>1010.94</v>
      </c>
      <c r="FRY12">
        <v>0</v>
      </c>
      <c r="FRZ12">
        <v>0</v>
      </c>
      <c r="FSA12">
        <v>0</v>
      </c>
      <c r="FSB12">
        <v>0</v>
      </c>
      <c r="FSC12">
        <v>0</v>
      </c>
      <c r="FSD12">
        <v>1282.94</v>
      </c>
      <c r="FSE12">
        <v>0</v>
      </c>
      <c r="FSF12">
        <v>0</v>
      </c>
      <c r="FSG12">
        <v>129.97999999999999</v>
      </c>
      <c r="FSH12">
        <v>0</v>
      </c>
      <c r="FSI12">
        <v>0</v>
      </c>
      <c r="FSJ12">
        <v>0</v>
      </c>
      <c r="FSK12">
        <v>0</v>
      </c>
      <c r="FSL12">
        <v>0</v>
      </c>
      <c r="FSM12">
        <v>111</v>
      </c>
      <c r="FSN12">
        <v>0</v>
      </c>
      <c r="FSO12">
        <v>0</v>
      </c>
      <c r="FSP12">
        <v>0</v>
      </c>
      <c r="FSQ12">
        <v>0</v>
      </c>
      <c r="FSR12">
        <v>2</v>
      </c>
      <c r="FSS12">
        <v>0</v>
      </c>
      <c r="FST12">
        <v>0</v>
      </c>
      <c r="FSU12">
        <v>0</v>
      </c>
      <c r="FSV12">
        <v>855.91</v>
      </c>
      <c r="FSW12">
        <v>0</v>
      </c>
      <c r="FSX12">
        <v>0</v>
      </c>
      <c r="FSY12">
        <v>0</v>
      </c>
      <c r="FSZ12">
        <v>0</v>
      </c>
      <c r="FTA12">
        <v>0</v>
      </c>
      <c r="FTB12">
        <v>0</v>
      </c>
      <c r="FTC12">
        <v>0</v>
      </c>
      <c r="FTD12">
        <v>0</v>
      </c>
      <c r="FTE12">
        <v>0</v>
      </c>
      <c r="FTF12">
        <v>0</v>
      </c>
      <c r="FTG12">
        <v>0</v>
      </c>
      <c r="FTH12">
        <v>0</v>
      </c>
      <c r="FTI12">
        <v>0</v>
      </c>
      <c r="FTJ12">
        <v>0</v>
      </c>
      <c r="FTK12">
        <v>0</v>
      </c>
      <c r="FTL12">
        <v>0</v>
      </c>
      <c r="FTM12">
        <v>0</v>
      </c>
      <c r="FTN12">
        <v>0</v>
      </c>
      <c r="FTO12">
        <v>1026.98</v>
      </c>
      <c r="FTP12">
        <v>0</v>
      </c>
      <c r="FTQ12">
        <v>0</v>
      </c>
      <c r="FTR12">
        <v>0</v>
      </c>
      <c r="FTS12">
        <v>0</v>
      </c>
      <c r="FTT12">
        <v>0</v>
      </c>
      <c r="FTU12">
        <v>38.99</v>
      </c>
      <c r="FTV12">
        <v>0</v>
      </c>
      <c r="FTW12">
        <v>0</v>
      </c>
      <c r="FTX12">
        <v>0</v>
      </c>
      <c r="FTY12">
        <v>0</v>
      </c>
      <c r="FTZ12">
        <v>0</v>
      </c>
      <c r="FUA12">
        <v>0</v>
      </c>
      <c r="FUB12">
        <v>0</v>
      </c>
      <c r="FUC12">
        <v>0</v>
      </c>
      <c r="FUD12">
        <v>0</v>
      </c>
      <c r="FUE12">
        <v>0</v>
      </c>
      <c r="FUF12">
        <v>0</v>
      </c>
      <c r="FUG12">
        <v>0</v>
      </c>
      <c r="FUH12">
        <v>0</v>
      </c>
      <c r="FUI12">
        <v>938.97</v>
      </c>
      <c r="FUJ12">
        <v>0</v>
      </c>
      <c r="FUK12">
        <v>0</v>
      </c>
      <c r="FUL12">
        <v>0</v>
      </c>
      <c r="FUM12">
        <v>0</v>
      </c>
      <c r="FUN12">
        <v>0</v>
      </c>
      <c r="FUO12">
        <v>0</v>
      </c>
      <c r="FUP12">
        <v>0</v>
      </c>
      <c r="FUQ12">
        <v>0</v>
      </c>
      <c r="FUR12">
        <v>168</v>
      </c>
      <c r="FUS12">
        <v>815.98</v>
      </c>
      <c r="FUT12">
        <v>0</v>
      </c>
      <c r="FUU12">
        <v>0</v>
      </c>
      <c r="FUV12">
        <v>317.99</v>
      </c>
      <c r="FUW12">
        <v>0</v>
      </c>
      <c r="FUX12">
        <v>0</v>
      </c>
      <c r="FUY12">
        <v>0</v>
      </c>
      <c r="FUZ12">
        <v>0</v>
      </c>
      <c r="FVA12">
        <v>0</v>
      </c>
      <c r="FVB12">
        <v>0</v>
      </c>
      <c r="FVC12">
        <v>0</v>
      </c>
      <c r="FVD12">
        <v>0</v>
      </c>
      <c r="FVE12">
        <v>0</v>
      </c>
      <c r="FVF12">
        <v>0</v>
      </c>
      <c r="FVG12">
        <v>0</v>
      </c>
      <c r="FVH12">
        <v>0</v>
      </c>
      <c r="FVI12">
        <v>0</v>
      </c>
      <c r="FVJ12">
        <v>0</v>
      </c>
      <c r="FVK12">
        <v>0</v>
      </c>
      <c r="FVL12">
        <v>0</v>
      </c>
      <c r="FVM12">
        <v>0</v>
      </c>
      <c r="FVN12">
        <v>0</v>
      </c>
      <c r="FVO12">
        <v>0</v>
      </c>
      <c r="FVP12">
        <v>0</v>
      </c>
      <c r="FVQ12">
        <v>0</v>
      </c>
      <c r="FVR12">
        <v>0</v>
      </c>
      <c r="FVS12">
        <v>0</v>
      </c>
      <c r="FVT12">
        <v>38</v>
      </c>
      <c r="FVU12">
        <v>0</v>
      </c>
      <c r="FVV12">
        <v>174.96</v>
      </c>
      <c r="FVW12">
        <v>0</v>
      </c>
      <c r="FVX12">
        <v>0</v>
      </c>
      <c r="FVY12">
        <v>0</v>
      </c>
      <c r="FVZ12">
        <v>0</v>
      </c>
      <c r="FWB12">
        <v>0</v>
      </c>
      <c r="FWC12">
        <v>0</v>
      </c>
      <c r="FWD12">
        <v>0</v>
      </c>
      <c r="FWE12">
        <v>0</v>
      </c>
      <c r="FWF12">
        <v>160.99</v>
      </c>
      <c r="FWG12">
        <v>0</v>
      </c>
      <c r="FWH12">
        <v>0</v>
      </c>
      <c r="FWI12">
        <v>0</v>
      </c>
      <c r="FWJ12">
        <v>190</v>
      </c>
      <c r="FWK12">
        <v>0</v>
      </c>
      <c r="FWL12">
        <v>0</v>
      </c>
      <c r="FWM12">
        <v>38</v>
      </c>
      <c r="FWN12">
        <v>0</v>
      </c>
      <c r="FWO12">
        <v>0</v>
      </c>
      <c r="FWP12">
        <v>0</v>
      </c>
      <c r="FWQ12">
        <v>0</v>
      </c>
      <c r="FWR12">
        <v>0</v>
      </c>
      <c r="FWS12">
        <v>990.96</v>
      </c>
      <c r="FWT12">
        <v>36</v>
      </c>
      <c r="FWU12">
        <v>155.97999999999999</v>
      </c>
      <c r="FWV12">
        <v>0</v>
      </c>
      <c r="FWW12">
        <v>0</v>
      </c>
      <c r="FWX12">
        <v>69</v>
      </c>
      <c r="FWY12">
        <v>0</v>
      </c>
      <c r="FWZ12">
        <v>0</v>
      </c>
      <c r="FXA12">
        <v>0</v>
      </c>
      <c r="FXB12">
        <v>95</v>
      </c>
      <c r="FXC12">
        <v>672.96</v>
      </c>
      <c r="FXD12">
        <v>321</v>
      </c>
      <c r="FXE12">
        <v>0</v>
      </c>
      <c r="FXF12">
        <v>0</v>
      </c>
      <c r="FXG12">
        <v>266.99</v>
      </c>
      <c r="FXH12">
        <v>0</v>
      </c>
      <c r="FXI12">
        <v>0</v>
      </c>
      <c r="FXJ12">
        <v>0</v>
      </c>
      <c r="FXK12">
        <v>0</v>
      </c>
      <c r="FXL12">
        <v>0</v>
      </c>
      <c r="FXM12">
        <v>0</v>
      </c>
      <c r="FXN12">
        <v>0</v>
      </c>
      <c r="FXO12">
        <v>0</v>
      </c>
      <c r="FXP12">
        <v>0</v>
      </c>
      <c r="FXQ12">
        <v>0</v>
      </c>
      <c r="FXR12">
        <v>298.99</v>
      </c>
      <c r="FXS12">
        <v>0</v>
      </c>
      <c r="FXT12">
        <v>0</v>
      </c>
      <c r="FXU12">
        <v>0</v>
      </c>
      <c r="FXV12">
        <v>0</v>
      </c>
      <c r="FXW12">
        <v>0</v>
      </c>
      <c r="FXX12">
        <v>0</v>
      </c>
      <c r="FXY12">
        <v>0</v>
      </c>
      <c r="FXZ12">
        <v>0</v>
      </c>
      <c r="FYA12">
        <v>0</v>
      </c>
      <c r="FYB12">
        <v>19</v>
      </c>
      <c r="FYC12">
        <v>0</v>
      </c>
      <c r="FYD12">
        <v>179.99</v>
      </c>
      <c r="FYE12">
        <v>0</v>
      </c>
      <c r="FYF12">
        <v>0</v>
      </c>
      <c r="FYG12">
        <v>0</v>
      </c>
      <c r="FYH12">
        <v>0</v>
      </c>
      <c r="FYI12">
        <v>395.96</v>
      </c>
      <c r="FYJ12">
        <v>0</v>
      </c>
      <c r="FYK12">
        <v>0</v>
      </c>
      <c r="FYL12">
        <v>0</v>
      </c>
      <c r="FYM12">
        <v>207.99</v>
      </c>
      <c r="FYN12">
        <v>211.99</v>
      </c>
      <c r="FYO12">
        <v>0</v>
      </c>
      <c r="FYP12">
        <v>0</v>
      </c>
      <c r="FYQ12">
        <v>0</v>
      </c>
      <c r="FYR12">
        <v>0</v>
      </c>
      <c r="FYS12">
        <v>0</v>
      </c>
      <c r="FYT12">
        <v>0</v>
      </c>
      <c r="FYU12">
        <v>0</v>
      </c>
      <c r="FYV12">
        <v>0</v>
      </c>
      <c r="FYW12">
        <v>0</v>
      </c>
      <c r="FYX12">
        <v>0</v>
      </c>
      <c r="FYY12">
        <v>49.99</v>
      </c>
      <c r="FYZ12">
        <v>0</v>
      </c>
      <c r="FZA12">
        <v>438</v>
      </c>
      <c r="FZB12">
        <v>0</v>
      </c>
      <c r="FZC12">
        <v>0</v>
      </c>
      <c r="FZD12">
        <v>0</v>
      </c>
      <c r="FZE12">
        <v>0</v>
      </c>
      <c r="FZF12">
        <v>1870.96</v>
      </c>
      <c r="FZG12">
        <v>0</v>
      </c>
      <c r="FZH12">
        <v>0</v>
      </c>
      <c r="FZI12">
        <v>1088.8900000000001</v>
      </c>
      <c r="FZJ12">
        <v>0</v>
      </c>
      <c r="FZK12">
        <v>33</v>
      </c>
      <c r="FZL12">
        <v>0</v>
      </c>
      <c r="FZM12">
        <v>230.98</v>
      </c>
      <c r="FZN12">
        <v>754.99</v>
      </c>
      <c r="FZO12">
        <v>0</v>
      </c>
      <c r="FZP12">
        <v>16</v>
      </c>
      <c r="FZQ12">
        <v>0</v>
      </c>
      <c r="FZR12">
        <v>0</v>
      </c>
      <c r="FZS12">
        <v>0</v>
      </c>
      <c r="FZT12">
        <v>0</v>
      </c>
      <c r="FZU12">
        <v>0</v>
      </c>
      <c r="FZV12">
        <v>0</v>
      </c>
      <c r="FZW12">
        <v>0</v>
      </c>
      <c r="FZX12">
        <v>0</v>
      </c>
      <c r="FZY12">
        <v>0</v>
      </c>
      <c r="FZZ12">
        <v>0</v>
      </c>
      <c r="GAA12">
        <v>1122.8900000000001</v>
      </c>
      <c r="GAB12">
        <v>0</v>
      </c>
      <c r="GAC12">
        <v>0</v>
      </c>
      <c r="GAD12">
        <v>0</v>
      </c>
      <c r="GAE12">
        <v>1972.94</v>
      </c>
      <c r="GAF12">
        <v>0</v>
      </c>
      <c r="GAG12">
        <v>0</v>
      </c>
      <c r="GAH12">
        <v>0</v>
      </c>
      <c r="GAI12">
        <v>0</v>
      </c>
      <c r="GAJ12">
        <v>0</v>
      </c>
      <c r="GAK12">
        <v>0</v>
      </c>
      <c r="GAL12">
        <v>15</v>
      </c>
      <c r="GAM12">
        <v>0</v>
      </c>
      <c r="GAN12">
        <v>0</v>
      </c>
      <c r="GAO12">
        <v>0</v>
      </c>
      <c r="GAP12">
        <v>0</v>
      </c>
      <c r="GAQ12">
        <v>0</v>
      </c>
      <c r="GAR12">
        <v>0</v>
      </c>
      <c r="GAS12">
        <v>0</v>
      </c>
      <c r="GAT12">
        <v>0</v>
      </c>
      <c r="GAU12">
        <v>0</v>
      </c>
      <c r="GAV12">
        <v>0</v>
      </c>
      <c r="GAW12">
        <v>0</v>
      </c>
      <c r="GAX12">
        <v>0</v>
      </c>
      <c r="GAY12">
        <v>0</v>
      </c>
      <c r="GAZ12">
        <v>0</v>
      </c>
      <c r="GBA12">
        <v>0</v>
      </c>
      <c r="GBB12">
        <v>0</v>
      </c>
      <c r="GBC12">
        <v>0</v>
      </c>
      <c r="GBD12">
        <v>0</v>
      </c>
      <c r="GBE12">
        <v>0</v>
      </c>
      <c r="GBF12">
        <v>0</v>
      </c>
      <c r="GBG12">
        <v>0</v>
      </c>
      <c r="GBH12">
        <v>0</v>
      </c>
      <c r="GBI12">
        <v>0</v>
      </c>
      <c r="GBJ12">
        <v>0</v>
      </c>
      <c r="GBK12">
        <v>0</v>
      </c>
      <c r="GBL12">
        <v>0</v>
      </c>
      <c r="GBM12">
        <v>0</v>
      </c>
      <c r="GBN12">
        <v>0</v>
      </c>
      <c r="GBO12">
        <v>61</v>
      </c>
      <c r="GBP12">
        <v>0</v>
      </c>
      <c r="GBQ12">
        <v>0</v>
      </c>
      <c r="GBR12">
        <v>0</v>
      </c>
      <c r="GBS12">
        <v>0</v>
      </c>
      <c r="GBT12">
        <v>94</v>
      </c>
      <c r="GBU12">
        <v>0</v>
      </c>
      <c r="GBV12">
        <v>0</v>
      </c>
      <c r="GBW12">
        <v>0</v>
      </c>
      <c r="GBX12">
        <v>95.98</v>
      </c>
      <c r="GBY12">
        <v>0</v>
      </c>
      <c r="GBZ12">
        <v>0</v>
      </c>
      <c r="GCA12">
        <v>0</v>
      </c>
      <c r="GCB12">
        <v>437.99</v>
      </c>
      <c r="GCC12">
        <v>0</v>
      </c>
      <c r="GCD12">
        <v>137</v>
      </c>
      <c r="GCE12">
        <v>0</v>
      </c>
      <c r="GCF12">
        <v>0</v>
      </c>
      <c r="GCG12">
        <v>166</v>
      </c>
      <c r="GCH12">
        <v>121</v>
      </c>
      <c r="GCI12">
        <v>0</v>
      </c>
      <c r="GCJ12">
        <v>0</v>
      </c>
      <c r="GCK12">
        <v>0</v>
      </c>
      <c r="GCL12">
        <v>0</v>
      </c>
      <c r="GCM12">
        <v>0</v>
      </c>
      <c r="GCN12">
        <v>31</v>
      </c>
      <c r="GCO12">
        <v>0</v>
      </c>
      <c r="GCP12">
        <v>901.96</v>
      </c>
      <c r="GCQ12">
        <v>0</v>
      </c>
      <c r="GCR12">
        <v>2275.94</v>
      </c>
      <c r="GCS12">
        <v>0</v>
      </c>
      <c r="GCT12">
        <v>0</v>
      </c>
      <c r="GCU12">
        <v>0</v>
      </c>
      <c r="GCV12">
        <v>0</v>
      </c>
      <c r="GCW12">
        <v>0</v>
      </c>
      <c r="GCX12">
        <v>855.94</v>
      </c>
      <c r="GCY12">
        <v>0</v>
      </c>
      <c r="GCZ12">
        <v>0</v>
      </c>
      <c r="GDA12">
        <v>0</v>
      </c>
      <c r="GDB12">
        <v>0</v>
      </c>
      <c r="GDC12">
        <v>0</v>
      </c>
      <c r="GDD12">
        <v>2241.94</v>
      </c>
      <c r="GDE12">
        <v>0</v>
      </c>
      <c r="GDF12">
        <v>12</v>
      </c>
      <c r="GDG12">
        <v>0</v>
      </c>
      <c r="GDH12">
        <v>65</v>
      </c>
      <c r="GDI12">
        <v>0</v>
      </c>
      <c r="GDJ12">
        <v>478.98</v>
      </c>
      <c r="GDK12">
        <v>0</v>
      </c>
      <c r="GDL12">
        <v>0</v>
      </c>
      <c r="GDM12">
        <v>0</v>
      </c>
      <c r="GDN12">
        <v>0</v>
      </c>
      <c r="GDO12">
        <v>0</v>
      </c>
      <c r="GDP12">
        <v>0</v>
      </c>
      <c r="GDQ12">
        <v>165</v>
      </c>
      <c r="GDR12">
        <v>0</v>
      </c>
      <c r="GDS12">
        <v>0</v>
      </c>
      <c r="GDT12">
        <v>0</v>
      </c>
      <c r="GDU12">
        <v>0</v>
      </c>
      <c r="GDV12">
        <v>0</v>
      </c>
      <c r="GDW12">
        <v>0</v>
      </c>
      <c r="GDX12">
        <v>0</v>
      </c>
      <c r="GDY12">
        <v>0</v>
      </c>
      <c r="GDZ12">
        <v>0</v>
      </c>
      <c r="GEA12">
        <v>0</v>
      </c>
      <c r="GEB12">
        <v>19</v>
      </c>
      <c r="GEC12">
        <v>0</v>
      </c>
      <c r="GED12">
        <v>88.99</v>
      </c>
      <c r="GEE12">
        <v>0</v>
      </c>
      <c r="GEF12">
        <v>0</v>
      </c>
      <c r="GEG12">
        <v>0</v>
      </c>
      <c r="GEH12">
        <v>46</v>
      </c>
      <c r="GEI12">
        <v>0</v>
      </c>
      <c r="GEJ12">
        <v>0</v>
      </c>
      <c r="GEK12">
        <v>0</v>
      </c>
      <c r="GEL12">
        <v>0</v>
      </c>
      <c r="GEM12">
        <v>0</v>
      </c>
      <c r="GEN12">
        <v>0</v>
      </c>
      <c r="GEO12">
        <v>69.989999999999995</v>
      </c>
      <c r="GEP12">
        <v>0</v>
      </c>
      <c r="GEQ12">
        <v>558.98</v>
      </c>
      <c r="GER12">
        <v>0</v>
      </c>
      <c r="GES12">
        <v>0</v>
      </c>
      <c r="GET12">
        <v>0</v>
      </c>
      <c r="GEU12">
        <v>219.98</v>
      </c>
      <c r="GEV12">
        <v>0</v>
      </c>
      <c r="GEW12">
        <v>0</v>
      </c>
      <c r="GEX12">
        <v>0</v>
      </c>
      <c r="GEY12">
        <v>0</v>
      </c>
      <c r="GEZ12">
        <v>0</v>
      </c>
      <c r="GFA12">
        <v>0</v>
      </c>
      <c r="GFB12">
        <v>0</v>
      </c>
      <c r="GFC12">
        <v>0</v>
      </c>
      <c r="GFD12">
        <v>0</v>
      </c>
      <c r="GFE12">
        <v>0</v>
      </c>
      <c r="GFF12">
        <v>128.99</v>
      </c>
      <c r="GFG12">
        <v>0</v>
      </c>
      <c r="GFH12">
        <v>0</v>
      </c>
      <c r="GFI12">
        <v>0</v>
      </c>
      <c r="GFJ12">
        <v>0</v>
      </c>
      <c r="GFK12">
        <v>444.99</v>
      </c>
      <c r="GFL12">
        <v>2575.94</v>
      </c>
      <c r="GFM12">
        <v>0</v>
      </c>
      <c r="GFN12">
        <v>0</v>
      </c>
      <c r="GFO12">
        <v>0</v>
      </c>
      <c r="GFP12">
        <v>0</v>
      </c>
      <c r="GFQ12">
        <v>0</v>
      </c>
      <c r="GFR12">
        <v>0</v>
      </c>
      <c r="GFS12">
        <v>758.98</v>
      </c>
      <c r="GFT12">
        <v>0</v>
      </c>
      <c r="GFU12">
        <v>0</v>
      </c>
      <c r="GFV12">
        <v>0</v>
      </c>
      <c r="GFW12">
        <v>432.99</v>
      </c>
      <c r="GFX12">
        <v>0</v>
      </c>
      <c r="GFY12">
        <v>0</v>
      </c>
      <c r="GFZ12">
        <v>0</v>
      </c>
      <c r="GGA12">
        <v>211</v>
      </c>
      <c r="GGB12">
        <v>0</v>
      </c>
      <c r="GGC12">
        <v>0</v>
      </c>
      <c r="GGD12">
        <v>0</v>
      </c>
      <c r="GGE12">
        <v>0</v>
      </c>
      <c r="GGF12">
        <v>0</v>
      </c>
      <c r="GGG12">
        <v>4</v>
      </c>
      <c r="GGH12">
        <v>0</v>
      </c>
      <c r="GGI12">
        <v>0</v>
      </c>
      <c r="GGJ12">
        <v>0</v>
      </c>
      <c r="GGK12">
        <v>0</v>
      </c>
      <c r="GGL12">
        <v>1611.95</v>
      </c>
      <c r="GGM12">
        <v>0</v>
      </c>
      <c r="GGN12">
        <v>0</v>
      </c>
      <c r="GGO12">
        <v>84</v>
      </c>
      <c r="GGP12">
        <v>18</v>
      </c>
      <c r="GGQ12">
        <v>0</v>
      </c>
      <c r="GGR12">
        <v>0</v>
      </c>
      <c r="GGS12">
        <v>0</v>
      </c>
      <c r="GGT12">
        <v>0</v>
      </c>
      <c r="GGU12">
        <v>0</v>
      </c>
      <c r="GGV12">
        <v>205</v>
      </c>
      <c r="GGW12">
        <v>0</v>
      </c>
      <c r="GGX12">
        <v>0</v>
      </c>
      <c r="GGY12">
        <v>0</v>
      </c>
      <c r="GGZ12">
        <v>0</v>
      </c>
      <c r="GHA12">
        <v>21</v>
      </c>
      <c r="GHB12">
        <v>0</v>
      </c>
      <c r="GHC12">
        <v>0</v>
      </c>
      <c r="GHD12">
        <v>0</v>
      </c>
      <c r="GHE12">
        <v>0</v>
      </c>
      <c r="GHF12">
        <v>0</v>
      </c>
      <c r="GHG12">
        <v>0</v>
      </c>
      <c r="GHH12">
        <v>0</v>
      </c>
      <c r="GHI12">
        <v>0</v>
      </c>
      <c r="GHJ12">
        <v>0</v>
      </c>
      <c r="GHK12">
        <v>0</v>
      </c>
      <c r="GHL12">
        <v>274.97000000000003</v>
      </c>
      <c r="GHM12">
        <v>0</v>
      </c>
      <c r="GHN12">
        <v>61</v>
      </c>
      <c r="GHO12">
        <v>0</v>
      </c>
      <c r="GHP12">
        <v>0</v>
      </c>
      <c r="GHQ12">
        <v>0</v>
      </c>
      <c r="GHR12">
        <v>0</v>
      </c>
      <c r="GHS12">
        <v>0</v>
      </c>
      <c r="GHT12">
        <v>0</v>
      </c>
      <c r="GHU12">
        <v>0</v>
      </c>
      <c r="GHV12">
        <v>0</v>
      </c>
      <c r="GHW12">
        <v>878.98</v>
      </c>
      <c r="GHX12">
        <v>0</v>
      </c>
      <c r="GHY12">
        <v>3311.92</v>
      </c>
      <c r="GHZ12">
        <v>0</v>
      </c>
      <c r="GIA12">
        <v>0</v>
      </c>
      <c r="GIB12">
        <v>0</v>
      </c>
      <c r="GIC12">
        <v>0</v>
      </c>
      <c r="GID12">
        <v>0</v>
      </c>
      <c r="GIE12">
        <v>0</v>
      </c>
      <c r="GIF12">
        <v>0</v>
      </c>
      <c r="GIG12">
        <v>0</v>
      </c>
      <c r="GIH12">
        <v>91</v>
      </c>
      <c r="GII12">
        <v>0</v>
      </c>
      <c r="GIJ12">
        <v>0</v>
      </c>
      <c r="GIK12">
        <v>0</v>
      </c>
      <c r="GIL12">
        <v>0</v>
      </c>
      <c r="GIM12">
        <v>10</v>
      </c>
      <c r="GIN12">
        <v>0</v>
      </c>
      <c r="GIO12">
        <v>64</v>
      </c>
      <c r="GIP12">
        <v>178.98</v>
      </c>
      <c r="GIQ12">
        <v>0</v>
      </c>
      <c r="GIR12">
        <v>0</v>
      </c>
      <c r="GIS12">
        <v>0</v>
      </c>
      <c r="GIT12">
        <v>0</v>
      </c>
      <c r="GIU12">
        <v>0</v>
      </c>
      <c r="GIV12">
        <v>0</v>
      </c>
      <c r="GIW12">
        <v>0</v>
      </c>
      <c r="GIX12">
        <v>0</v>
      </c>
      <c r="GIY12">
        <v>258.99</v>
      </c>
      <c r="GIZ12">
        <v>0</v>
      </c>
      <c r="GJA12">
        <v>205.98</v>
      </c>
      <c r="GJB12">
        <v>0</v>
      </c>
      <c r="GJC12">
        <v>0</v>
      </c>
      <c r="GJD12">
        <v>0</v>
      </c>
      <c r="GJE12">
        <v>0</v>
      </c>
      <c r="GJF12">
        <v>0</v>
      </c>
      <c r="GJG12">
        <v>0</v>
      </c>
      <c r="GJH12">
        <v>0</v>
      </c>
      <c r="GJI12">
        <v>0</v>
      </c>
      <c r="GJJ12">
        <v>0</v>
      </c>
      <c r="GJK12">
        <v>0</v>
      </c>
      <c r="GJL12">
        <v>0</v>
      </c>
      <c r="GJM12">
        <v>0</v>
      </c>
      <c r="GJN12">
        <v>2229.85</v>
      </c>
      <c r="GJO12">
        <v>0</v>
      </c>
      <c r="GJP12">
        <v>0</v>
      </c>
      <c r="GJQ12">
        <v>109</v>
      </c>
      <c r="GJR12">
        <v>0</v>
      </c>
      <c r="GJS12">
        <v>0</v>
      </c>
      <c r="GJT12">
        <v>0</v>
      </c>
      <c r="GJU12">
        <v>0</v>
      </c>
      <c r="GJV12">
        <v>0</v>
      </c>
      <c r="GJW12">
        <v>0</v>
      </c>
      <c r="GJX12">
        <v>0</v>
      </c>
      <c r="GJY12">
        <v>0</v>
      </c>
      <c r="GJZ12">
        <v>0</v>
      </c>
      <c r="GKA12">
        <v>0</v>
      </c>
      <c r="GKB12">
        <v>0</v>
      </c>
      <c r="GKC12">
        <v>586.99</v>
      </c>
      <c r="GKD12">
        <v>0</v>
      </c>
      <c r="GKE12">
        <v>2338.96</v>
      </c>
      <c r="GKF12">
        <v>0</v>
      </c>
      <c r="GKG12">
        <v>0</v>
      </c>
      <c r="GKH12">
        <v>1857.95</v>
      </c>
      <c r="GKI12">
        <v>0</v>
      </c>
      <c r="GKJ12">
        <v>129</v>
      </c>
      <c r="GKK12">
        <v>6</v>
      </c>
      <c r="GKL12">
        <v>0</v>
      </c>
      <c r="GKM12">
        <v>0</v>
      </c>
      <c r="GKN12">
        <v>0</v>
      </c>
      <c r="GKO12">
        <v>0</v>
      </c>
      <c r="GKP12">
        <v>0</v>
      </c>
      <c r="GKQ12">
        <v>0</v>
      </c>
      <c r="GKR12">
        <v>0</v>
      </c>
      <c r="GKS12">
        <v>852.96</v>
      </c>
      <c r="GKT12">
        <v>0</v>
      </c>
      <c r="GKU12">
        <v>5044.8100000000004</v>
      </c>
      <c r="GKV12">
        <v>0</v>
      </c>
      <c r="GKW12">
        <v>0</v>
      </c>
      <c r="GKX12">
        <v>0</v>
      </c>
      <c r="GKY12">
        <v>0</v>
      </c>
      <c r="GKZ12">
        <v>0</v>
      </c>
      <c r="GLA12">
        <v>1352.94</v>
      </c>
      <c r="GLB12">
        <v>0</v>
      </c>
      <c r="GLC12">
        <v>0</v>
      </c>
      <c r="GLD12">
        <v>1279.93</v>
      </c>
      <c r="GLE12">
        <v>388.92</v>
      </c>
      <c r="GLF12">
        <v>0</v>
      </c>
      <c r="GLG12">
        <v>0</v>
      </c>
      <c r="GLH12">
        <v>3373.9</v>
      </c>
      <c r="GLI12">
        <v>0</v>
      </c>
      <c r="GLJ12">
        <v>178.98</v>
      </c>
      <c r="GLK12">
        <v>0</v>
      </c>
      <c r="GLL12">
        <v>0</v>
      </c>
      <c r="GLM12">
        <v>0</v>
      </c>
      <c r="GLN12">
        <v>0</v>
      </c>
      <c r="GLO12">
        <v>3834.89</v>
      </c>
      <c r="GLP12">
        <v>0</v>
      </c>
      <c r="GLQ12">
        <v>573.9</v>
      </c>
      <c r="GLR12">
        <v>0</v>
      </c>
      <c r="GLS12">
        <v>0</v>
      </c>
      <c r="GLT12">
        <v>821.94</v>
      </c>
      <c r="GLU12">
        <v>0</v>
      </c>
      <c r="GLV12">
        <v>0</v>
      </c>
      <c r="GLW12">
        <v>0</v>
      </c>
      <c r="GLX12">
        <v>5672.88</v>
      </c>
      <c r="GLY12">
        <v>0</v>
      </c>
      <c r="GLZ12">
        <v>0</v>
      </c>
      <c r="GMA12">
        <v>0</v>
      </c>
      <c r="GMB12">
        <v>0</v>
      </c>
      <c r="GMC12">
        <v>0</v>
      </c>
      <c r="GMD12">
        <v>0</v>
      </c>
      <c r="GME12">
        <v>0</v>
      </c>
      <c r="GMF12">
        <v>0</v>
      </c>
      <c r="GMG12">
        <v>0</v>
      </c>
      <c r="GMH12">
        <v>0</v>
      </c>
      <c r="GMI12">
        <v>0</v>
      </c>
      <c r="GMJ12">
        <v>2184.88</v>
      </c>
      <c r="GMK12">
        <v>20</v>
      </c>
      <c r="GML12">
        <v>0</v>
      </c>
      <c r="GMM12">
        <v>85</v>
      </c>
      <c r="GMN12">
        <v>0</v>
      </c>
      <c r="GMO12">
        <v>116</v>
      </c>
      <c r="GMP12">
        <v>2521.89</v>
      </c>
      <c r="GMQ12">
        <v>634.98</v>
      </c>
      <c r="GMR12">
        <v>5830.01</v>
      </c>
      <c r="GMS12">
        <v>0</v>
      </c>
      <c r="GMT12">
        <v>2231.94</v>
      </c>
      <c r="GMU12">
        <v>0</v>
      </c>
      <c r="GMV12">
        <v>302</v>
      </c>
      <c r="GMW12">
        <v>0</v>
      </c>
      <c r="GMX12">
        <v>0</v>
      </c>
      <c r="GMY12">
        <v>66</v>
      </c>
      <c r="GMZ12">
        <v>0</v>
      </c>
      <c r="GNA12">
        <v>0</v>
      </c>
      <c r="GNB12">
        <v>0</v>
      </c>
      <c r="GNC12">
        <v>210.99</v>
      </c>
      <c r="GND12">
        <v>140.97999999999999</v>
      </c>
      <c r="GNE12">
        <v>702.99</v>
      </c>
      <c r="GNF12">
        <v>0</v>
      </c>
      <c r="GNG12">
        <v>1216.98</v>
      </c>
      <c r="GNH12">
        <v>125</v>
      </c>
      <c r="GNI12">
        <v>0</v>
      </c>
      <c r="GNJ12">
        <v>0</v>
      </c>
      <c r="GNK12">
        <v>0</v>
      </c>
      <c r="GNL12">
        <v>0</v>
      </c>
      <c r="GNM12">
        <v>0</v>
      </c>
      <c r="GNN12">
        <v>0</v>
      </c>
      <c r="GNO12">
        <v>0</v>
      </c>
      <c r="GNP12">
        <v>432.98</v>
      </c>
      <c r="GNQ12">
        <v>58.99</v>
      </c>
      <c r="GNR12">
        <v>126</v>
      </c>
      <c r="GNS12">
        <v>0</v>
      </c>
      <c r="GNT12">
        <v>246.99</v>
      </c>
      <c r="GNU12">
        <v>0</v>
      </c>
      <c r="GNV12">
        <v>0</v>
      </c>
      <c r="GNW12">
        <v>0</v>
      </c>
      <c r="GNX12">
        <v>0</v>
      </c>
      <c r="GNY12">
        <v>0</v>
      </c>
      <c r="GNZ12">
        <v>0</v>
      </c>
      <c r="GOA12">
        <v>123</v>
      </c>
      <c r="GOB12">
        <v>525.97</v>
      </c>
      <c r="GOC12">
        <v>848.91</v>
      </c>
      <c r="GOD12">
        <v>0</v>
      </c>
      <c r="GOE12">
        <v>0</v>
      </c>
      <c r="GOF12">
        <v>8490.83</v>
      </c>
      <c r="GOG12">
        <v>0</v>
      </c>
      <c r="GOH12">
        <v>1304.96</v>
      </c>
      <c r="GOI12">
        <v>864.96</v>
      </c>
      <c r="GOJ12">
        <v>0</v>
      </c>
      <c r="GOK12">
        <v>0</v>
      </c>
      <c r="GOL12">
        <v>183.99</v>
      </c>
      <c r="GOM12">
        <v>0</v>
      </c>
      <c r="GON12">
        <v>0</v>
      </c>
      <c r="GOO12">
        <v>115.99</v>
      </c>
      <c r="GOP12">
        <v>0</v>
      </c>
      <c r="GOQ12">
        <v>0</v>
      </c>
      <c r="GOR12">
        <v>0</v>
      </c>
      <c r="GOS12">
        <v>224</v>
      </c>
      <c r="GOT12">
        <v>0</v>
      </c>
      <c r="GOU12">
        <v>57</v>
      </c>
      <c r="GOV12">
        <v>0</v>
      </c>
      <c r="GOW12">
        <v>1919.95</v>
      </c>
      <c r="GOX12">
        <v>0</v>
      </c>
      <c r="GOY12">
        <v>99</v>
      </c>
      <c r="GOZ12">
        <v>377.99</v>
      </c>
      <c r="GPA12">
        <v>1173.96</v>
      </c>
      <c r="GPB12">
        <v>0</v>
      </c>
      <c r="GPC12">
        <v>0</v>
      </c>
      <c r="GPD12">
        <v>0</v>
      </c>
      <c r="GPE12">
        <v>104</v>
      </c>
      <c r="GPF12">
        <v>0</v>
      </c>
      <c r="GPG12">
        <v>0</v>
      </c>
      <c r="GPH12">
        <v>34</v>
      </c>
      <c r="GPI12">
        <v>0</v>
      </c>
      <c r="GPJ12">
        <v>778.91</v>
      </c>
      <c r="GPK12">
        <v>658.96</v>
      </c>
      <c r="GPL12">
        <v>0</v>
      </c>
      <c r="GPM12">
        <v>0</v>
      </c>
      <c r="GPN12">
        <v>89</v>
      </c>
      <c r="GPO12">
        <v>0</v>
      </c>
      <c r="GPP12">
        <v>324.99</v>
      </c>
      <c r="GPQ12">
        <v>0</v>
      </c>
      <c r="GPR12">
        <v>0</v>
      </c>
      <c r="GPS12">
        <v>0</v>
      </c>
      <c r="GPT12">
        <v>0</v>
      </c>
      <c r="GPU12">
        <v>0</v>
      </c>
      <c r="GPV12">
        <v>0</v>
      </c>
      <c r="GPW12">
        <v>0</v>
      </c>
      <c r="GPX12">
        <v>485.99</v>
      </c>
      <c r="GPY12">
        <v>1215.8900000000001</v>
      </c>
      <c r="GPZ12">
        <v>0</v>
      </c>
      <c r="GQA12">
        <v>0</v>
      </c>
      <c r="GQB12">
        <v>0</v>
      </c>
      <c r="GQC12">
        <v>0</v>
      </c>
      <c r="GQD12">
        <v>0</v>
      </c>
      <c r="GQE12">
        <v>0</v>
      </c>
      <c r="GQF12">
        <v>221.98</v>
      </c>
      <c r="GQG12">
        <v>19</v>
      </c>
      <c r="GQH12">
        <v>848.97</v>
      </c>
      <c r="GQI12">
        <v>233</v>
      </c>
      <c r="GQJ12">
        <v>0</v>
      </c>
      <c r="GQK12">
        <v>0</v>
      </c>
      <c r="GQL12">
        <v>0</v>
      </c>
      <c r="GQM12">
        <v>302</v>
      </c>
      <c r="GQN12">
        <v>0</v>
      </c>
      <c r="GQO12">
        <v>0</v>
      </c>
      <c r="GQP12">
        <v>0</v>
      </c>
      <c r="GQQ12">
        <v>0</v>
      </c>
      <c r="GQR12">
        <v>0</v>
      </c>
      <c r="GQS12">
        <v>6421.79</v>
      </c>
      <c r="GQT12">
        <v>0</v>
      </c>
      <c r="GQU12">
        <v>0</v>
      </c>
      <c r="GQV12">
        <v>157.99</v>
      </c>
      <c r="GQW12">
        <v>0</v>
      </c>
      <c r="GQX12">
        <v>1105.95</v>
      </c>
      <c r="GQY12">
        <v>3419.55</v>
      </c>
      <c r="GQZ12">
        <v>6</v>
      </c>
      <c r="GRA12">
        <v>113</v>
      </c>
      <c r="GRB12">
        <v>0</v>
      </c>
      <c r="GRC12">
        <v>0</v>
      </c>
      <c r="GRD12">
        <v>0</v>
      </c>
      <c r="GRE12">
        <v>1020.96</v>
      </c>
      <c r="GRF12">
        <v>0</v>
      </c>
      <c r="GRG12">
        <v>281.99</v>
      </c>
      <c r="GRH12">
        <v>0</v>
      </c>
      <c r="GRI12">
        <v>597.98</v>
      </c>
      <c r="GRJ12">
        <v>400.99</v>
      </c>
      <c r="GRK12">
        <v>1211.93</v>
      </c>
      <c r="GRL12">
        <v>369.99</v>
      </c>
      <c r="GRM12">
        <v>811.9</v>
      </c>
      <c r="GRN12">
        <v>793.86</v>
      </c>
      <c r="GRO12">
        <v>0</v>
      </c>
      <c r="GRP12">
        <v>0</v>
      </c>
      <c r="GRQ12">
        <v>3137.92</v>
      </c>
      <c r="GRR12">
        <v>94</v>
      </c>
      <c r="GRS12">
        <v>1181.92</v>
      </c>
      <c r="GRT12">
        <v>2163.91</v>
      </c>
      <c r="GRU12">
        <v>415.95</v>
      </c>
      <c r="GRV12">
        <v>895.99</v>
      </c>
      <c r="GRW12">
        <v>1835.93</v>
      </c>
      <c r="GRX12">
        <v>2538.94</v>
      </c>
      <c r="GRY12">
        <v>90</v>
      </c>
      <c r="GRZ12">
        <v>0</v>
      </c>
      <c r="GSA12">
        <v>379</v>
      </c>
      <c r="GSB12">
        <v>3586.59</v>
      </c>
      <c r="GSC12">
        <v>5354.75</v>
      </c>
      <c r="GSD12">
        <v>482.99</v>
      </c>
      <c r="GSE12">
        <v>150.97999999999999</v>
      </c>
      <c r="GSF12">
        <v>1431.84</v>
      </c>
      <c r="GSG12">
        <v>1188.95</v>
      </c>
      <c r="GSH12">
        <v>3035.81</v>
      </c>
      <c r="GSI12">
        <v>3056.68</v>
      </c>
      <c r="GSJ12">
        <v>2810.79</v>
      </c>
      <c r="GSK12">
        <v>4321.8999999999996</v>
      </c>
      <c r="GSL12">
        <v>3123.89</v>
      </c>
      <c r="GSM12">
        <v>15775.09</v>
      </c>
      <c r="GSN12">
        <v>6796.55</v>
      </c>
      <c r="GSO12">
        <v>2029.92</v>
      </c>
      <c r="GSP12">
        <v>4631.71</v>
      </c>
      <c r="GSQ12">
        <v>21392.37</v>
      </c>
      <c r="GSR12">
        <v>259402.4</v>
      </c>
    </row>
    <row r="13" spans="1:5244" x14ac:dyDescent="0.2">
      <c r="A13" s="7">
        <v>59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</v>
      </c>
      <c r="AZ13">
        <v>4</v>
      </c>
      <c r="BA13">
        <v>4</v>
      </c>
      <c r="BB13">
        <v>4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5</v>
      </c>
      <c r="CL13">
        <v>5</v>
      </c>
      <c r="CM13">
        <v>5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6</v>
      </c>
      <c r="EL13">
        <v>6</v>
      </c>
      <c r="EM13">
        <v>6</v>
      </c>
      <c r="EN13">
        <v>6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7</v>
      </c>
      <c r="HI13">
        <v>7</v>
      </c>
      <c r="HJ13">
        <v>7</v>
      </c>
      <c r="HK13">
        <v>7</v>
      </c>
      <c r="HL13">
        <v>7</v>
      </c>
      <c r="HM13">
        <v>7</v>
      </c>
      <c r="HN13">
        <v>7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7.99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8</v>
      </c>
      <c r="JG13">
        <v>8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9</v>
      </c>
      <c r="LA13">
        <v>9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10</v>
      </c>
      <c r="NF13">
        <v>10</v>
      </c>
      <c r="NG13">
        <v>10</v>
      </c>
      <c r="NH13">
        <v>10</v>
      </c>
      <c r="NI13">
        <v>10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11</v>
      </c>
      <c r="PI13">
        <v>11</v>
      </c>
      <c r="PJ13">
        <v>11</v>
      </c>
      <c r="PK13">
        <v>11</v>
      </c>
      <c r="PL13">
        <v>11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12</v>
      </c>
      <c r="RY13">
        <v>12</v>
      </c>
      <c r="RZ13">
        <v>12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13</v>
      </c>
      <c r="TY13">
        <v>13</v>
      </c>
      <c r="TZ13">
        <v>13</v>
      </c>
      <c r="UA13">
        <v>13</v>
      </c>
      <c r="UB13">
        <v>13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14</v>
      </c>
      <c r="WD13">
        <v>14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15</v>
      </c>
      <c r="YD13">
        <v>15</v>
      </c>
      <c r="YE13">
        <v>15</v>
      </c>
      <c r="YF13">
        <v>15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16</v>
      </c>
      <c r="AAF13">
        <v>16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16.989999999999998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17</v>
      </c>
      <c r="ABY13">
        <v>17</v>
      </c>
      <c r="ABZ13">
        <v>17</v>
      </c>
      <c r="ACA13">
        <v>17</v>
      </c>
      <c r="ACB13">
        <v>17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18</v>
      </c>
      <c r="ADT13">
        <v>18</v>
      </c>
      <c r="ADU13">
        <v>18</v>
      </c>
      <c r="ADV13">
        <v>18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19</v>
      </c>
      <c r="AGI13">
        <v>19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20</v>
      </c>
      <c r="AIH13">
        <v>20</v>
      </c>
      <c r="AII13">
        <v>20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21</v>
      </c>
      <c r="AKL13">
        <v>21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22</v>
      </c>
      <c r="AMH13">
        <v>22</v>
      </c>
      <c r="AMI13">
        <v>22</v>
      </c>
      <c r="AMJ13">
        <v>22</v>
      </c>
      <c r="AMK13">
        <v>22</v>
      </c>
      <c r="AML13">
        <v>22</v>
      </c>
      <c r="AMM13">
        <v>22</v>
      </c>
      <c r="AMN13">
        <v>22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22.99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23.99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24</v>
      </c>
      <c r="APK13">
        <v>24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25</v>
      </c>
      <c r="ARD13">
        <v>25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26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27</v>
      </c>
      <c r="AUH13">
        <v>27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27.99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28</v>
      </c>
      <c r="AVS13">
        <v>28</v>
      </c>
      <c r="AVT13">
        <v>28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28.99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29</v>
      </c>
      <c r="AXD13">
        <v>29</v>
      </c>
      <c r="AXE13">
        <v>29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20.99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30</v>
      </c>
      <c r="AYH13">
        <v>30</v>
      </c>
      <c r="AYI13">
        <v>30</v>
      </c>
      <c r="AYJ13">
        <v>30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6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7</v>
      </c>
      <c r="BAW13">
        <v>0</v>
      </c>
      <c r="BAX13">
        <v>32</v>
      </c>
      <c r="BAY13">
        <v>32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4</v>
      </c>
      <c r="BCG13">
        <v>0</v>
      </c>
      <c r="BCH13">
        <v>0</v>
      </c>
      <c r="BCI13">
        <v>0</v>
      </c>
      <c r="BCJ13">
        <v>0</v>
      </c>
      <c r="BCK13">
        <v>33</v>
      </c>
      <c r="BCL13">
        <v>33</v>
      </c>
      <c r="BCM13">
        <v>33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34</v>
      </c>
      <c r="BDX13">
        <v>22</v>
      </c>
      <c r="BDY13">
        <v>34</v>
      </c>
      <c r="BDZ13">
        <v>34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17</v>
      </c>
      <c r="BFP13">
        <v>35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8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37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37.99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38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38.99</v>
      </c>
      <c r="BJY13">
        <v>0</v>
      </c>
      <c r="BJZ13">
        <v>16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39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22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21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41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42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43</v>
      </c>
      <c r="BOT13">
        <v>43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16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8</v>
      </c>
      <c r="BPT13">
        <v>44</v>
      </c>
      <c r="BPU13">
        <v>44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14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17</v>
      </c>
      <c r="BRJ13">
        <v>0</v>
      </c>
      <c r="BRK13">
        <v>0</v>
      </c>
      <c r="BRL13">
        <v>0</v>
      </c>
      <c r="BRM13">
        <v>46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33.97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47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48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49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50</v>
      </c>
      <c r="BVH13">
        <v>50</v>
      </c>
      <c r="BVI13">
        <v>50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51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10</v>
      </c>
      <c r="BWY13">
        <v>0</v>
      </c>
      <c r="BWZ13">
        <v>0</v>
      </c>
      <c r="BXA13">
        <v>10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22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40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55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55.99</v>
      </c>
      <c r="BZT13">
        <v>0</v>
      </c>
      <c r="BZU13">
        <v>41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9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58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60</v>
      </c>
      <c r="CCQ13">
        <v>60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61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12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42</v>
      </c>
      <c r="CEK13">
        <v>0</v>
      </c>
      <c r="CEL13">
        <v>0</v>
      </c>
      <c r="CEM13">
        <v>0</v>
      </c>
      <c r="CEN13">
        <v>63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8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37</v>
      </c>
      <c r="CFK13">
        <v>64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44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31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55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15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71.989999999999995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27</v>
      </c>
      <c r="CLT13">
        <v>0</v>
      </c>
      <c r="CLU13">
        <v>0</v>
      </c>
      <c r="CLV13">
        <v>0</v>
      </c>
      <c r="CLW13">
        <v>25</v>
      </c>
      <c r="CLX13">
        <v>0</v>
      </c>
      <c r="CLY13">
        <v>0</v>
      </c>
      <c r="CLZ13">
        <v>43</v>
      </c>
      <c r="CMA13">
        <v>0</v>
      </c>
      <c r="CMB13">
        <v>0</v>
      </c>
      <c r="CMC13">
        <v>0</v>
      </c>
      <c r="CMD13">
        <v>0</v>
      </c>
      <c r="CME13">
        <v>74</v>
      </c>
      <c r="CMF13">
        <v>0</v>
      </c>
      <c r="CMG13">
        <v>0</v>
      </c>
      <c r="CMH13">
        <v>0</v>
      </c>
      <c r="CMI13">
        <v>0</v>
      </c>
      <c r="CMJ13">
        <v>74.989999999999995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34</v>
      </c>
      <c r="CMU13">
        <v>0</v>
      </c>
      <c r="CMV13">
        <v>0</v>
      </c>
      <c r="CMW13">
        <v>0</v>
      </c>
      <c r="CMX13">
        <v>0</v>
      </c>
      <c r="CMY13">
        <v>76</v>
      </c>
      <c r="CMZ13">
        <v>0</v>
      </c>
      <c r="CNA13">
        <v>0</v>
      </c>
      <c r="CNB13">
        <v>0</v>
      </c>
      <c r="CNC13">
        <v>76.989999999999995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77</v>
      </c>
      <c r="CNN13">
        <v>0</v>
      </c>
      <c r="CNO13">
        <v>0</v>
      </c>
      <c r="CNP13">
        <v>0</v>
      </c>
      <c r="CNQ13">
        <v>37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12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13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45</v>
      </c>
      <c r="CQG13">
        <v>0</v>
      </c>
      <c r="CQH13">
        <v>0</v>
      </c>
      <c r="CQI13">
        <v>84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84.99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41.99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89</v>
      </c>
      <c r="CSS13">
        <v>0</v>
      </c>
      <c r="CST13">
        <v>0</v>
      </c>
      <c r="CSU13">
        <v>17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47</v>
      </c>
      <c r="CTD13">
        <v>0</v>
      </c>
      <c r="CTE13">
        <v>0</v>
      </c>
      <c r="CTF13">
        <v>9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22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17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27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31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97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98.99</v>
      </c>
      <c r="CWN13">
        <v>98.99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99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42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19</v>
      </c>
      <c r="CXZ13">
        <v>0</v>
      </c>
      <c r="CYA13">
        <v>17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103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104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46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17</v>
      </c>
      <c r="DAL13">
        <v>0</v>
      </c>
      <c r="DAM13">
        <v>107.99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76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7</v>
      </c>
      <c r="DBX13">
        <v>111.99</v>
      </c>
      <c r="DBY13">
        <v>0</v>
      </c>
      <c r="DBZ13">
        <v>0</v>
      </c>
      <c r="DCA13">
        <v>47</v>
      </c>
      <c r="DCB13">
        <v>0</v>
      </c>
      <c r="DCC13">
        <v>51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22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23</v>
      </c>
      <c r="DDA13">
        <v>0</v>
      </c>
      <c r="DDB13">
        <v>0</v>
      </c>
      <c r="DDC13">
        <v>28.99</v>
      </c>
      <c r="DDD13">
        <v>0</v>
      </c>
      <c r="DDE13">
        <v>0</v>
      </c>
      <c r="DDF13">
        <v>49</v>
      </c>
      <c r="DDG13">
        <v>0</v>
      </c>
      <c r="DDH13">
        <v>0</v>
      </c>
      <c r="DDI13">
        <v>0</v>
      </c>
      <c r="DDJ13">
        <v>0</v>
      </c>
      <c r="DDK13">
        <v>12</v>
      </c>
      <c r="DDL13">
        <v>116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54.99</v>
      </c>
      <c r="DEJ13">
        <v>118.99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39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49</v>
      </c>
      <c r="DFD13">
        <v>0</v>
      </c>
      <c r="DFE13">
        <v>0</v>
      </c>
      <c r="DFF13">
        <v>0</v>
      </c>
      <c r="DFG13">
        <v>0</v>
      </c>
      <c r="DFH13">
        <v>121</v>
      </c>
      <c r="DFI13">
        <v>0</v>
      </c>
      <c r="DFJ13">
        <v>0</v>
      </c>
      <c r="DFK13">
        <v>0</v>
      </c>
      <c r="DFL13">
        <v>14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123.99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126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43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127.99</v>
      </c>
      <c r="DHH13">
        <v>0</v>
      </c>
      <c r="DHI13">
        <v>0</v>
      </c>
      <c r="DHJ13">
        <v>57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129.99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15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132</v>
      </c>
      <c r="DIX13">
        <v>0</v>
      </c>
      <c r="DIY13">
        <v>132.99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14</v>
      </c>
      <c r="DJS13">
        <v>0</v>
      </c>
      <c r="DJT13">
        <v>0</v>
      </c>
      <c r="DJU13">
        <v>18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136.99</v>
      </c>
      <c r="DKF13">
        <v>0</v>
      </c>
      <c r="DKG13">
        <v>0</v>
      </c>
      <c r="DKH13">
        <v>0</v>
      </c>
      <c r="DKI13">
        <v>0</v>
      </c>
      <c r="DKJ13">
        <v>116.99</v>
      </c>
      <c r="DKK13">
        <v>137.99</v>
      </c>
      <c r="DKL13">
        <v>137.99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116.99</v>
      </c>
      <c r="DKS13">
        <v>0</v>
      </c>
      <c r="DKT13">
        <v>0</v>
      </c>
      <c r="DKU13">
        <v>139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5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6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151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100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103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158</v>
      </c>
      <c r="DPI13">
        <v>158</v>
      </c>
      <c r="DPJ13">
        <v>0</v>
      </c>
      <c r="DPK13">
        <v>42</v>
      </c>
      <c r="DPL13">
        <v>0</v>
      </c>
      <c r="DPM13">
        <v>0</v>
      </c>
      <c r="DPN13">
        <v>0</v>
      </c>
      <c r="DPO13">
        <v>137.99</v>
      </c>
      <c r="DPP13">
        <v>0</v>
      </c>
      <c r="DPQ13">
        <v>0</v>
      </c>
      <c r="DPR13">
        <v>45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162.99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26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118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37</v>
      </c>
      <c r="DRD13">
        <v>0</v>
      </c>
      <c r="DRE13">
        <v>0</v>
      </c>
      <c r="DRF13">
        <v>15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65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36</v>
      </c>
      <c r="DRX13">
        <v>0</v>
      </c>
      <c r="DRY13">
        <v>0</v>
      </c>
      <c r="DRZ13">
        <v>135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23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42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9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17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85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49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179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192.99</v>
      </c>
      <c r="DVV13">
        <v>0</v>
      </c>
      <c r="DVW13">
        <v>0</v>
      </c>
      <c r="DVX13">
        <v>0</v>
      </c>
      <c r="DVY13">
        <v>194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31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201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75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30</v>
      </c>
      <c r="DYW13">
        <v>0</v>
      </c>
      <c r="DYX13">
        <v>214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70</v>
      </c>
      <c r="DZJ13">
        <v>0</v>
      </c>
      <c r="DZK13">
        <v>0</v>
      </c>
      <c r="DZL13">
        <v>0</v>
      </c>
      <c r="DZM13">
        <v>51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219</v>
      </c>
      <c r="DZT13">
        <v>0</v>
      </c>
      <c r="DZU13">
        <v>0</v>
      </c>
      <c r="DZV13">
        <v>10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18</v>
      </c>
      <c r="EAO13">
        <v>0</v>
      </c>
      <c r="EAP13">
        <v>187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234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36</v>
      </c>
      <c r="ECH13">
        <v>0</v>
      </c>
      <c r="ECI13">
        <v>0</v>
      </c>
      <c r="ECJ13">
        <v>37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244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33</v>
      </c>
      <c r="EDF13">
        <v>0</v>
      </c>
      <c r="EDG13">
        <v>0</v>
      </c>
      <c r="EDH13">
        <v>249.99</v>
      </c>
      <c r="EDI13">
        <v>0</v>
      </c>
      <c r="EDJ13">
        <v>0</v>
      </c>
      <c r="EDK13">
        <v>0</v>
      </c>
      <c r="EDL13">
        <v>10</v>
      </c>
      <c r="EDM13">
        <v>30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254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256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232</v>
      </c>
      <c r="EEX13">
        <v>261.99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94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24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12</v>
      </c>
      <c r="EGV13">
        <v>0</v>
      </c>
      <c r="EGW13">
        <v>38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48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22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7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17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131</v>
      </c>
      <c r="EMF13">
        <v>0</v>
      </c>
      <c r="EMG13">
        <v>0</v>
      </c>
      <c r="EMH13">
        <v>0</v>
      </c>
      <c r="EMI13">
        <v>256.99</v>
      </c>
      <c r="EMJ13">
        <v>0</v>
      </c>
      <c r="EMK13">
        <v>91.99</v>
      </c>
      <c r="EML13">
        <v>343</v>
      </c>
      <c r="EMM13">
        <v>15</v>
      </c>
      <c r="EMN13">
        <v>0</v>
      </c>
      <c r="EMO13">
        <v>343.99</v>
      </c>
      <c r="EMP13">
        <v>0</v>
      </c>
      <c r="EMQ13">
        <v>0</v>
      </c>
      <c r="EMR13">
        <v>0</v>
      </c>
      <c r="EMS13">
        <v>0</v>
      </c>
      <c r="EMT13">
        <v>97</v>
      </c>
      <c r="EMU13">
        <v>0</v>
      </c>
      <c r="EMV13">
        <v>0</v>
      </c>
      <c r="EMW13">
        <v>0</v>
      </c>
      <c r="EMX13">
        <v>0</v>
      </c>
      <c r="EMY13">
        <v>349.98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14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58</v>
      </c>
      <c r="ENV13">
        <v>0</v>
      </c>
      <c r="ENW13">
        <v>0</v>
      </c>
      <c r="ENX13">
        <v>0</v>
      </c>
      <c r="ENY13">
        <v>19</v>
      </c>
      <c r="ENZ13">
        <v>317.99</v>
      </c>
      <c r="EOA13">
        <v>0</v>
      </c>
      <c r="EOB13">
        <v>363.99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369.99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21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81.99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361.98</v>
      </c>
      <c r="EQH13">
        <v>337.99</v>
      </c>
      <c r="EQI13">
        <v>233.99</v>
      </c>
      <c r="EQJ13">
        <v>0</v>
      </c>
      <c r="EQK13">
        <v>86.99</v>
      </c>
      <c r="EQL13">
        <v>0</v>
      </c>
      <c r="EQM13">
        <v>0</v>
      </c>
      <c r="EQN13">
        <v>0</v>
      </c>
      <c r="EQO13">
        <v>0</v>
      </c>
      <c r="EQP13">
        <v>22</v>
      </c>
      <c r="EQQ13">
        <v>222</v>
      </c>
      <c r="EQR13">
        <v>393.98</v>
      </c>
      <c r="EQS13">
        <v>0</v>
      </c>
      <c r="EQT13">
        <v>0</v>
      </c>
      <c r="EQU13">
        <v>29.99</v>
      </c>
      <c r="EQV13">
        <v>0</v>
      </c>
      <c r="EQW13">
        <v>0</v>
      </c>
      <c r="EQX13">
        <v>396.99</v>
      </c>
      <c r="EQY13">
        <v>0</v>
      </c>
      <c r="EQZ13">
        <v>0</v>
      </c>
      <c r="ERA13">
        <v>0</v>
      </c>
      <c r="ERB13">
        <v>369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405.98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36</v>
      </c>
      <c r="ERW13">
        <v>399.99</v>
      </c>
      <c r="ERX13">
        <v>0</v>
      </c>
      <c r="ERY13">
        <v>94</v>
      </c>
      <c r="ERZ13">
        <v>0</v>
      </c>
      <c r="ESA13">
        <v>24</v>
      </c>
      <c r="ESB13">
        <v>142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422.99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38</v>
      </c>
      <c r="ESQ13">
        <v>0</v>
      </c>
      <c r="ESR13">
        <v>58</v>
      </c>
      <c r="ESS13">
        <v>0</v>
      </c>
      <c r="EST13">
        <v>99</v>
      </c>
      <c r="ESU13">
        <v>0</v>
      </c>
      <c r="ESV13">
        <v>0</v>
      </c>
      <c r="ESW13">
        <v>0</v>
      </c>
      <c r="ESX13">
        <v>111</v>
      </c>
      <c r="ESY13">
        <v>0</v>
      </c>
      <c r="ESZ13">
        <v>11</v>
      </c>
      <c r="ETA13">
        <v>0</v>
      </c>
      <c r="ETB13">
        <v>0</v>
      </c>
      <c r="ETC13">
        <v>429.99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35</v>
      </c>
      <c r="ETR13">
        <v>0</v>
      </c>
      <c r="ETS13">
        <v>0</v>
      </c>
      <c r="ETT13">
        <v>0</v>
      </c>
      <c r="ETU13">
        <v>220.99</v>
      </c>
      <c r="ETV13">
        <v>0</v>
      </c>
      <c r="ETW13">
        <v>0</v>
      </c>
      <c r="ETX13">
        <v>0</v>
      </c>
      <c r="ETY13">
        <v>0</v>
      </c>
      <c r="ETZ13">
        <v>421.99</v>
      </c>
      <c r="EUA13">
        <v>0</v>
      </c>
      <c r="EUB13">
        <v>0</v>
      </c>
      <c r="EUC13">
        <v>0</v>
      </c>
      <c r="EUD13">
        <v>0</v>
      </c>
      <c r="EUE13">
        <v>286.99</v>
      </c>
      <c r="EUF13">
        <v>64</v>
      </c>
      <c r="EUG13">
        <v>11</v>
      </c>
      <c r="EUH13">
        <v>0</v>
      </c>
      <c r="EUI13">
        <v>0</v>
      </c>
      <c r="EUJ13">
        <v>0</v>
      </c>
      <c r="EUK13">
        <v>0</v>
      </c>
      <c r="EUL13">
        <v>67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106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472.98</v>
      </c>
      <c r="EVP13">
        <v>0</v>
      </c>
      <c r="EVQ13">
        <v>0</v>
      </c>
      <c r="EVR13">
        <v>27</v>
      </c>
      <c r="EVS13">
        <v>476.98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81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382.99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16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55</v>
      </c>
      <c r="EXZ13">
        <v>0</v>
      </c>
      <c r="EYA13">
        <v>257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529.98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415.99</v>
      </c>
      <c r="EZG13">
        <v>0</v>
      </c>
      <c r="EZH13">
        <v>0</v>
      </c>
      <c r="EZI13">
        <v>0</v>
      </c>
      <c r="EZJ13">
        <v>26</v>
      </c>
      <c r="EZK13">
        <v>0</v>
      </c>
      <c r="EZL13">
        <v>0</v>
      </c>
      <c r="EZM13">
        <v>0</v>
      </c>
      <c r="EZN13">
        <v>0</v>
      </c>
      <c r="EZO13">
        <v>445.99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532.99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19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581.98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503.98</v>
      </c>
      <c r="FBJ13">
        <v>0</v>
      </c>
      <c r="FBK13">
        <v>0</v>
      </c>
      <c r="FBL13">
        <v>0</v>
      </c>
      <c r="FBM13">
        <v>0</v>
      </c>
      <c r="FBN13">
        <v>80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629.98</v>
      </c>
      <c r="FCT13">
        <v>0</v>
      </c>
      <c r="FCU13">
        <v>349.99</v>
      </c>
      <c r="FCV13">
        <v>0</v>
      </c>
      <c r="FCW13">
        <v>0</v>
      </c>
      <c r="FCX13">
        <v>0</v>
      </c>
      <c r="FCY13">
        <v>634.98</v>
      </c>
      <c r="FCZ13">
        <v>0</v>
      </c>
      <c r="FDA13">
        <v>0</v>
      </c>
      <c r="FDB13">
        <v>0</v>
      </c>
      <c r="FDC13">
        <v>0</v>
      </c>
      <c r="FDD13">
        <v>8</v>
      </c>
      <c r="FDE13">
        <v>0</v>
      </c>
      <c r="FDF13">
        <v>49.99</v>
      </c>
      <c r="FDG13">
        <v>0</v>
      </c>
      <c r="FDH13">
        <v>82</v>
      </c>
      <c r="FDI13">
        <v>556.99</v>
      </c>
      <c r="FDJ13">
        <v>0</v>
      </c>
      <c r="FDK13">
        <v>36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659.98</v>
      </c>
      <c r="FDW13">
        <v>0</v>
      </c>
      <c r="FDX13">
        <v>50.99</v>
      </c>
      <c r="FDY13">
        <v>0</v>
      </c>
      <c r="FDZ13">
        <v>0</v>
      </c>
      <c r="FEA13">
        <v>26</v>
      </c>
      <c r="FEB13">
        <v>0</v>
      </c>
      <c r="FEC13">
        <v>108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468.98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41</v>
      </c>
      <c r="FFT13">
        <v>99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732.98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52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196.99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431.98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772.96</v>
      </c>
      <c r="FHM13">
        <v>0</v>
      </c>
      <c r="FHN13">
        <v>0</v>
      </c>
      <c r="FHO13">
        <v>0</v>
      </c>
      <c r="FHP13">
        <v>0</v>
      </c>
      <c r="FHQ13">
        <v>199.99</v>
      </c>
      <c r="FHR13">
        <v>779.98</v>
      </c>
      <c r="FHS13">
        <v>0</v>
      </c>
      <c r="FHT13">
        <v>664.96</v>
      </c>
      <c r="FHU13">
        <v>612.98</v>
      </c>
      <c r="FHV13">
        <v>0</v>
      </c>
      <c r="FHW13">
        <v>0</v>
      </c>
      <c r="FHX13">
        <v>0</v>
      </c>
      <c r="FHY13">
        <v>0</v>
      </c>
      <c r="FHZ13">
        <v>335.99</v>
      </c>
      <c r="FIA13">
        <v>0</v>
      </c>
      <c r="FIB13">
        <v>0</v>
      </c>
      <c r="FIC13">
        <v>0</v>
      </c>
      <c r="FID13">
        <v>0</v>
      </c>
      <c r="FIE13">
        <v>795.98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17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825.97</v>
      </c>
      <c r="FJD13">
        <v>8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91</v>
      </c>
      <c r="FJY13">
        <v>0</v>
      </c>
      <c r="FJZ13">
        <v>0</v>
      </c>
      <c r="FKA13">
        <v>18</v>
      </c>
      <c r="FKB13">
        <v>850.96</v>
      </c>
      <c r="FKC13">
        <v>358.99</v>
      </c>
      <c r="FKD13">
        <v>653.95000000000005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234.99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753.98</v>
      </c>
      <c r="FKV13">
        <v>0</v>
      </c>
      <c r="FKW13">
        <v>0</v>
      </c>
      <c r="FKX13">
        <v>0</v>
      </c>
      <c r="FKY13">
        <v>0</v>
      </c>
      <c r="FKZ13">
        <v>363.99</v>
      </c>
      <c r="FLA13">
        <v>0</v>
      </c>
      <c r="FLB13">
        <v>0</v>
      </c>
      <c r="FLC13">
        <v>0</v>
      </c>
      <c r="FLD13">
        <v>0</v>
      </c>
      <c r="FLE13">
        <v>13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18.989999999999998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340.99</v>
      </c>
      <c r="FMB13">
        <v>0</v>
      </c>
      <c r="FMC13">
        <v>0</v>
      </c>
      <c r="FMD13">
        <v>0</v>
      </c>
      <c r="FME13">
        <v>938.98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243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873.97</v>
      </c>
      <c r="FMT13">
        <v>0</v>
      </c>
      <c r="FMU13">
        <v>0</v>
      </c>
      <c r="FMV13">
        <v>0</v>
      </c>
      <c r="FMW13">
        <v>41</v>
      </c>
      <c r="FMX13">
        <v>7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156.99</v>
      </c>
      <c r="FNR13">
        <v>0</v>
      </c>
      <c r="FNS13">
        <v>0</v>
      </c>
      <c r="FNT13">
        <v>0</v>
      </c>
      <c r="FNU13">
        <v>978.95</v>
      </c>
      <c r="FNV13">
        <v>0</v>
      </c>
      <c r="FNW13">
        <v>971.96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14</v>
      </c>
      <c r="FOF13">
        <v>0</v>
      </c>
      <c r="FOG13">
        <v>75.989999999999995</v>
      </c>
      <c r="FOH13">
        <v>0</v>
      </c>
      <c r="FOI13">
        <v>0</v>
      </c>
      <c r="FOJ13">
        <v>0</v>
      </c>
      <c r="FOK13">
        <v>0</v>
      </c>
      <c r="FOL13">
        <v>85.99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1071.97</v>
      </c>
      <c r="FOZ13">
        <v>0</v>
      </c>
      <c r="FPA13">
        <v>0</v>
      </c>
      <c r="FPB13">
        <v>3</v>
      </c>
      <c r="FPC13">
        <v>33</v>
      </c>
      <c r="FPD13">
        <v>0</v>
      </c>
      <c r="FPE13">
        <v>0</v>
      </c>
      <c r="FPF13">
        <v>17</v>
      </c>
      <c r="FPG13">
        <v>87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18</v>
      </c>
      <c r="FPR13">
        <v>1098.95</v>
      </c>
      <c r="FPS13">
        <v>46</v>
      </c>
      <c r="FPT13">
        <v>0</v>
      </c>
      <c r="FPU13">
        <v>0</v>
      </c>
      <c r="FPV13">
        <v>0</v>
      </c>
      <c r="FPW13">
        <v>42</v>
      </c>
      <c r="FPX13">
        <v>1073.96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12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35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53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123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1218.96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56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1165.95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35</v>
      </c>
      <c r="FSL13">
        <v>0</v>
      </c>
      <c r="FSM13">
        <v>619.98</v>
      </c>
      <c r="FSN13">
        <v>0</v>
      </c>
      <c r="FSO13">
        <v>45</v>
      </c>
      <c r="FSP13">
        <v>304.99</v>
      </c>
      <c r="FSQ13">
        <v>0</v>
      </c>
      <c r="FSR13">
        <v>105.99</v>
      </c>
      <c r="FSS13">
        <v>0</v>
      </c>
      <c r="FST13">
        <v>0</v>
      </c>
      <c r="FSU13">
        <v>0</v>
      </c>
      <c r="FSV13">
        <v>17</v>
      </c>
      <c r="FSW13">
        <v>774.96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1063.95</v>
      </c>
      <c r="FTF13">
        <v>14</v>
      </c>
      <c r="FTG13">
        <v>10</v>
      </c>
      <c r="FTH13">
        <v>0</v>
      </c>
      <c r="FTI13">
        <v>0</v>
      </c>
      <c r="FTJ13">
        <v>0</v>
      </c>
      <c r="FTK13">
        <v>1392.95</v>
      </c>
      <c r="FTL13">
        <v>0</v>
      </c>
      <c r="FTM13">
        <v>0</v>
      </c>
      <c r="FTN13">
        <v>985.98</v>
      </c>
      <c r="FTO13">
        <v>0</v>
      </c>
      <c r="FTP13">
        <v>0</v>
      </c>
      <c r="FTQ13">
        <v>0</v>
      </c>
      <c r="FTR13">
        <v>1399.95</v>
      </c>
      <c r="FTS13">
        <v>0</v>
      </c>
      <c r="FTT13">
        <v>0</v>
      </c>
      <c r="FTU13">
        <v>329</v>
      </c>
      <c r="FTV13">
        <v>0</v>
      </c>
      <c r="FTW13">
        <v>57.99</v>
      </c>
      <c r="FTX13">
        <v>0</v>
      </c>
      <c r="FTY13">
        <v>0</v>
      </c>
      <c r="FTZ13">
        <v>11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87</v>
      </c>
      <c r="FUM13">
        <v>0</v>
      </c>
      <c r="FUN13">
        <v>0</v>
      </c>
      <c r="FUO13">
        <v>1450.95</v>
      </c>
      <c r="FUP13">
        <v>123</v>
      </c>
      <c r="FUQ13">
        <v>0</v>
      </c>
      <c r="FUR13">
        <v>131</v>
      </c>
      <c r="FUS13">
        <v>0</v>
      </c>
      <c r="FUT13">
        <v>0</v>
      </c>
      <c r="FUU13">
        <v>0</v>
      </c>
      <c r="FUV13">
        <v>5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1388.95</v>
      </c>
      <c r="FVC13">
        <v>64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72</v>
      </c>
      <c r="FVL13">
        <v>0</v>
      </c>
      <c r="FVM13">
        <v>0</v>
      </c>
      <c r="FVN13">
        <v>57</v>
      </c>
      <c r="FVO13">
        <v>81.99</v>
      </c>
      <c r="FVP13">
        <v>43</v>
      </c>
      <c r="FVQ13">
        <v>0</v>
      </c>
      <c r="FVR13">
        <v>306.99</v>
      </c>
      <c r="FVS13">
        <v>0</v>
      </c>
      <c r="FVT13">
        <v>411.99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1141.97</v>
      </c>
      <c r="FWB13">
        <v>0</v>
      </c>
      <c r="FWC13">
        <v>9</v>
      </c>
      <c r="FWD13">
        <v>0</v>
      </c>
      <c r="FWE13">
        <v>0</v>
      </c>
      <c r="FWF13">
        <v>86</v>
      </c>
      <c r="FWG13">
        <v>0</v>
      </c>
      <c r="FWH13">
        <v>14</v>
      </c>
      <c r="FWI13">
        <v>0</v>
      </c>
      <c r="FWJ13">
        <v>336</v>
      </c>
      <c r="FWK13">
        <v>0</v>
      </c>
      <c r="FWL13">
        <v>0</v>
      </c>
      <c r="FWM13">
        <v>111</v>
      </c>
      <c r="FWN13">
        <v>609.98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106</v>
      </c>
      <c r="FWW13">
        <v>0</v>
      </c>
      <c r="FWX13">
        <v>517.99</v>
      </c>
      <c r="FWY13">
        <v>0</v>
      </c>
      <c r="FWZ13">
        <v>0</v>
      </c>
      <c r="FXA13">
        <v>922.96</v>
      </c>
      <c r="FXB13">
        <v>31</v>
      </c>
      <c r="FXC13">
        <v>92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7</v>
      </c>
      <c r="FXM13">
        <v>0</v>
      </c>
      <c r="FXN13">
        <v>220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403.99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263.99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345.98</v>
      </c>
      <c r="FZA13">
        <v>0</v>
      </c>
      <c r="FZB13">
        <v>0</v>
      </c>
      <c r="FZC13">
        <v>62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1853.94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15</v>
      </c>
      <c r="FZQ13">
        <v>0</v>
      </c>
      <c r="FZR13">
        <v>0</v>
      </c>
      <c r="FZS13">
        <v>0</v>
      </c>
      <c r="FZT13">
        <v>0</v>
      </c>
      <c r="FZU13">
        <v>1935.84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835.98</v>
      </c>
      <c r="GAB13">
        <v>0</v>
      </c>
      <c r="GAC13">
        <v>0</v>
      </c>
      <c r="GAD13">
        <v>73</v>
      </c>
      <c r="GAE13">
        <v>0</v>
      </c>
      <c r="GAF13">
        <v>0</v>
      </c>
      <c r="GAG13">
        <v>0</v>
      </c>
      <c r="GAH13">
        <v>89.99</v>
      </c>
      <c r="GAI13">
        <v>117.99</v>
      </c>
      <c r="GAJ13">
        <v>0</v>
      </c>
      <c r="GAK13">
        <v>0</v>
      </c>
      <c r="GAL13">
        <v>35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1552.91</v>
      </c>
      <c r="GAT13">
        <v>0</v>
      </c>
      <c r="GAU13">
        <v>0</v>
      </c>
      <c r="GAV13">
        <v>19</v>
      </c>
      <c r="GAW13">
        <v>0</v>
      </c>
      <c r="GAX13">
        <v>17</v>
      </c>
      <c r="GAY13">
        <v>0</v>
      </c>
      <c r="GAZ13">
        <v>0</v>
      </c>
      <c r="GBA13">
        <v>0</v>
      </c>
      <c r="GBB13">
        <v>0</v>
      </c>
      <c r="GBC13">
        <v>2072.91</v>
      </c>
      <c r="GBD13">
        <v>1762.94</v>
      </c>
      <c r="GBE13">
        <v>0</v>
      </c>
      <c r="GBF13">
        <v>108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56</v>
      </c>
      <c r="GBR13">
        <v>318</v>
      </c>
      <c r="GBS13">
        <v>224</v>
      </c>
      <c r="GBT13">
        <v>0</v>
      </c>
      <c r="GBU13">
        <v>0</v>
      </c>
      <c r="GBV13">
        <v>1241.8900000000001</v>
      </c>
      <c r="GBW13">
        <v>1107.96</v>
      </c>
      <c r="GBX13">
        <v>99</v>
      </c>
      <c r="GBY13">
        <v>761.96</v>
      </c>
      <c r="GBZ13">
        <v>0</v>
      </c>
      <c r="GCA13">
        <v>1203.96</v>
      </c>
      <c r="GCB13">
        <v>0</v>
      </c>
      <c r="GCC13">
        <v>0</v>
      </c>
      <c r="GCD13">
        <v>1531</v>
      </c>
      <c r="GCE13">
        <v>0</v>
      </c>
      <c r="GCF13">
        <v>0</v>
      </c>
      <c r="GCG13">
        <v>20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173.99</v>
      </c>
      <c r="GCO13">
        <v>1299.94</v>
      </c>
      <c r="GCP13">
        <v>0</v>
      </c>
      <c r="GCQ13">
        <v>0</v>
      </c>
      <c r="GCR13">
        <v>0</v>
      </c>
      <c r="GCS13">
        <v>0</v>
      </c>
      <c r="GCT13">
        <v>253.98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1949.9</v>
      </c>
      <c r="GDB13">
        <v>10</v>
      </c>
      <c r="GDC13">
        <v>0</v>
      </c>
      <c r="GDD13">
        <v>0</v>
      </c>
      <c r="GDE13">
        <v>0</v>
      </c>
      <c r="GDF13">
        <v>71</v>
      </c>
      <c r="GDG13">
        <v>0</v>
      </c>
      <c r="GDH13">
        <v>58.71</v>
      </c>
      <c r="GDI13">
        <v>0</v>
      </c>
      <c r="GDJ13">
        <v>0</v>
      </c>
      <c r="GDK13">
        <v>0</v>
      </c>
      <c r="GDL13">
        <v>1035.96</v>
      </c>
      <c r="GDM13">
        <v>243.99</v>
      </c>
      <c r="GDN13">
        <v>0</v>
      </c>
      <c r="GDO13">
        <v>0</v>
      </c>
      <c r="GDP13">
        <v>0</v>
      </c>
      <c r="GDQ13">
        <v>111.99</v>
      </c>
      <c r="GDR13">
        <v>69.989999999999995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2398.91</v>
      </c>
      <c r="GEA13">
        <v>0</v>
      </c>
      <c r="GEB13">
        <v>46</v>
      </c>
      <c r="GEC13">
        <v>15</v>
      </c>
      <c r="GED13">
        <v>0</v>
      </c>
      <c r="GEE13">
        <v>0</v>
      </c>
      <c r="GEF13">
        <v>0</v>
      </c>
      <c r="GEG13">
        <v>0</v>
      </c>
      <c r="GEH13">
        <v>324</v>
      </c>
      <c r="GEI13">
        <v>112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770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200</v>
      </c>
      <c r="GEW13">
        <v>0</v>
      </c>
      <c r="GEX13">
        <v>210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1204.95</v>
      </c>
      <c r="GFG13">
        <v>0</v>
      </c>
      <c r="GFH13">
        <v>0</v>
      </c>
      <c r="GFI13">
        <v>0</v>
      </c>
      <c r="GFJ13">
        <v>277.99</v>
      </c>
      <c r="GFK13">
        <v>41.99</v>
      </c>
      <c r="GFL13">
        <v>59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12</v>
      </c>
      <c r="GFV13">
        <v>0</v>
      </c>
      <c r="GFW13">
        <v>0</v>
      </c>
      <c r="GFX13">
        <v>2281.89</v>
      </c>
      <c r="GFY13">
        <v>0</v>
      </c>
      <c r="GFZ13">
        <v>0</v>
      </c>
      <c r="GGA13">
        <v>0</v>
      </c>
      <c r="GGB13">
        <v>9</v>
      </c>
      <c r="GGC13">
        <v>0</v>
      </c>
      <c r="GGD13">
        <v>0</v>
      </c>
      <c r="GGE13">
        <v>0</v>
      </c>
      <c r="GGF13">
        <v>70</v>
      </c>
      <c r="GGG13">
        <v>0</v>
      </c>
      <c r="GGH13">
        <v>0</v>
      </c>
      <c r="GGI13">
        <v>0</v>
      </c>
      <c r="GGJ13">
        <v>0</v>
      </c>
      <c r="GGK13">
        <v>2964.9</v>
      </c>
      <c r="GGL13">
        <v>297.97000000000003</v>
      </c>
      <c r="GGM13">
        <v>0</v>
      </c>
      <c r="GGN13">
        <v>0</v>
      </c>
      <c r="GGO13">
        <v>0</v>
      </c>
      <c r="GGP13">
        <v>700.98</v>
      </c>
      <c r="GGQ13">
        <v>0</v>
      </c>
      <c r="GGR13">
        <v>259.98</v>
      </c>
      <c r="GGS13">
        <v>0</v>
      </c>
      <c r="GGT13">
        <v>0</v>
      </c>
      <c r="GGU13">
        <v>0</v>
      </c>
      <c r="GGV13">
        <v>12.99</v>
      </c>
      <c r="GGW13">
        <v>0</v>
      </c>
      <c r="GGX13">
        <v>0</v>
      </c>
      <c r="GGY13">
        <v>0</v>
      </c>
      <c r="GGZ13">
        <v>0</v>
      </c>
      <c r="GHA13">
        <v>91</v>
      </c>
      <c r="GHB13">
        <v>0</v>
      </c>
      <c r="GHC13">
        <v>119</v>
      </c>
      <c r="GHD13">
        <v>0</v>
      </c>
      <c r="GHE13">
        <v>0</v>
      </c>
      <c r="GHF13">
        <v>0</v>
      </c>
      <c r="GHG13">
        <v>0</v>
      </c>
      <c r="GHH13">
        <v>191.98</v>
      </c>
      <c r="GHI13">
        <v>2585.9</v>
      </c>
      <c r="GHJ13">
        <v>0</v>
      </c>
      <c r="GHK13">
        <v>3207.87</v>
      </c>
      <c r="GHL13">
        <v>521.99</v>
      </c>
      <c r="GHM13">
        <v>0</v>
      </c>
      <c r="GHN13">
        <v>144.99</v>
      </c>
      <c r="GHO13">
        <v>0</v>
      </c>
      <c r="GHP13">
        <v>3237.85</v>
      </c>
      <c r="GHQ13">
        <v>0</v>
      </c>
      <c r="GHR13">
        <v>247.99</v>
      </c>
      <c r="GHS13">
        <v>0</v>
      </c>
      <c r="GHT13">
        <v>27</v>
      </c>
      <c r="GHU13">
        <v>0</v>
      </c>
      <c r="GHV13">
        <v>3271.95</v>
      </c>
      <c r="GHW13">
        <v>17</v>
      </c>
      <c r="GHX13">
        <v>0</v>
      </c>
      <c r="GHY13">
        <v>0</v>
      </c>
      <c r="GHZ13">
        <v>0</v>
      </c>
      <c r="GIA13">
        <v>398.99</v>
      </c>
      <c r="GIB13">
        <v>973.96</v>
      </c>
      <c r="GIC13">
        <v>0</v>
      </c>
      <c r="GID13">
        <v>0</v>
      </c>
      <c r="GIE13">
        <v>0</v>
      </c>
      <c r="GIF13">
        <v>62</v>
      </c>
      <c r="GIG13">
        <v>8</v>
      </c>
      <c r="GIH13">
        <v>172</v>
      </c>
      <c r="GII13">
        <v>0</v>
      </c>
      <c r="GIJ13">
        <v>0</v>
      </c>
      <c r="GIK13">
        <v>0</v>
      </c>
      <c r="GIL13">
        <v>183</v>
      </c>
      <c r="GIM13">
        <v>501.99</v>
      </c>
      <c r="GIN13">
        <v>0</v>
      </c>
      <c r="GIO13">
        <v>0</v>
      </c>
      <c r="GIP13">
        <v>14</v>
      </c>
      <c r="GIQ13">
        <v>8</v>
      </c>
      <c r="GIR13">
        <v>0</v>
      </c>
      <c r="GIS13">
        <v>0</v>
      </c>
      <c r="GIT13">
        <v>24</v>
      </c>
      <c r="GIU13">
        <v>0</v>
      </c>
      <c r="GIV13">
        <v>0</v>
      </c>
      <c r="GIW13">
        <v>0</v>
      </c>
      <c r="GIX13">
        <v>0</v>
      </c>
      <c r="GIY13">
        <v>2230.6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7</v>
      </c>
      <c r="GJF13">
        <v>0</v>
      </c>
      <c r="GJG13">
        <v>172.99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161</v>
      </c>
      <c r="GJQ13">
        <v>1617.94</v>
      </c>
      <c r="GJR13">
        <v>0</v>
      </c>
      <c r="GJS13">
        <v>0</v>
      </c>
      <c r="GJT13">
        <v>1278.98</v>
      </c>
      <c r="GJU13">
        <v>0</v>
      </c>
      <c r="GJV13">
        <v>0</v>
      </c>
      <c r="GJW13">
        <v>0</v>
      </c>
      <c r="GJX13">
        <v>0</v>
      </c>
      <c r="GJY13">
        <v>4131.8999999999996</v>
      </c>
      <c r="GJZ13">
        <v>3307.88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152</v>
      </c>
      <c r="GKK13">
        <v>0</v>
      </c>
      <c r="GKL13">
        <v>11</v>
      </c>
      <c r="GKM13">
        <v>0</v>
      </c>
      <c r="GKN13">
        <v>0</v>
      </c>
      <c r="GKO13">
        <v>0</v>
      </c>
      <c r="GKP13">
        <v>251.98</v>
      </c>
      <c r="GKQ13">
        <v>0</v>
      </c>
      <c r="GKR13">
        <v>0</v>
      </c>
      <c r="GKS13">
        <v>0</v>
      </c>
      <c r="GKT13">
        <v>196.97</v>
      </c>
      <c r="GKU13">
        <v>0</v>
      </c>
      <c r="GKV13">
        <v>0</v>
      </c>
      <c r="GKW13">
        <v>0</v>
      </c>
      <c r="GKX13">
        <v>0</v>
      </c>
      <c r="GKY13">
        <v>8.99</v>
      </c>
      <c r="GKZ13">
        <v>0</v>
      </c>
      <c r="GLA13">
        <v>436.99</v>
      </c>
      <c r="GLB13">
        <v>0</v>
      </c>
      <c r="GLC13">
        <v>0</v>
      </c>
      <c r="GLD13">
        <v>834.98</v>
      </c>
      <c r="GLE13">
        <v>69.989999999999995</v>
      </c>
      <c r="GLF13">
        <v>61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282.99</v>
      </c>
      <c r="GLM13">
        <v>5446.78</v>
      </c>
      <c r="GLN13">
        <v>0</v>
      </c>
      <c r="GLO13">
        <v>0</v>
      </c>
      <c r="GLP13">
        <v>5537.81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135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3746.87</v>
      </c>
      <c r="GME13">
        <v>0</v>
      </c>
      <c r="GMF13">
        <v>0</v>
      </c>
      <c r="GMG13">
        <v>5964.8</v>
      </c>
      <c r="GMH13">
        <v>0</v>
      </c>
      <c r="GMI13">
        <v>11</v>
      </c>
      <c r="GMJ13">
        <v>535.98</v>
      </c>
      <c r="GMK13">
        <v>0</v>
      </c>
      <c r="GML13">
        <v>0</v>
      </c>
      <c r="GMM13">
        <v>2737.9</v>
      </c>
      <c r="GMN13">
        <v>0</v>
      </c>
      <c r="GMO13">
        <v>11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760.98</v>
      </c>
      <c r="GMV13">
        <v>594.99</v>
      </c>
      <c r="GMW13">
        <v>0</v>
      </c>
      <c r="GMX13">
        <v>0</v>
      </c>
      <c r="GMY13">
        <v>0</v>
      </c>
      <c r="GMZ13">
        <v>0</v>
      </c>
      <c r="GNA13">
        <v>41</v>
      </c>
      <c r="GNB13">
        <v>386.99</v>
      </c>
      <c r="GNC13">
        <v>792.95</v>
      </c>
      <c r="GND13">
        <v>7</v>
      </c>
      <c r="GNE13">
        <v>2184.94</v>
      </c>
      <c r="GNF13">
        <v>0</v>
      </c>
      <c r="GNG13">
        <v>0</v>
      </c>
      <c r="GNH13">
        <v>0</v>
      </c>
      <c r="GNI13">
        <v>6339.55</v>
      </c>
      <c r="GNJ13">
        <v>107</v>
      </c>
      <c r="GNK13">
        <v>0</v>
      </c>
      <c r="GNL13">
        <v>0</v>
      </c>
      <c r="GNM13">
        <v>0</v>
      </c>
      <c r="GNN13">
        <v>0</v>
      </c>
      <c r="GNO13">
        <v>699.97</v>
      </c>
      <c r="GNP13">
        <v>521.96</v>
      </c>
      <c r="GNQ13">
        <v>238.99</v>
      </c>
      <c r="GNR13">
        <v>0</v>
      </c>
      <c r="GNS13">
        <v>236</v>
      </c>
      <c r="GNT13">
        <v>0</v>
      </c>
      <c r="GNU13">
        <v>0</v>
      </c>
      <c r="GNV13">
        <v>0</v>
      </c>
      <c r="GNW13">
        <v>1180.94</v>
      </c>
      <c r="GNX13">
        <v>0</v>
      </c>
      <c r="GNY13">
        <v>0</v>
      </c>
      <c r="GNZ13">
        <v>3085.91</v>
      </c>
      <c r="GOA13">
        <v>0</v>
      </c>
      <c r="GOB13">
        <v>0</v>
      </c>
      <c r="GOC13">
        <v>562.98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757.98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332</v>
      </c>
      <c r="GOP13">
        <v>0</v>
      </c>
      <c r="GOQ13">
        <v>0</v>
      </c>
      <c r="GOR13">
        <v>0</v>
      </c>
      <c r="GOS13">
        <v>254.99</v>
      </c>
      <c r="GOT13">
        <v>1809.88</v>
      </c>
      <c r="GOU13">
        <v>0</v>
      </c>
      <c r="GOV13">
        <v>0</v>
      </c>
      <c r="GOW13">
        <v>35</v>
      </c>
      <c r="GOX13">
        <v>0</v>
      </c>
      <c r="GOY13">
        <v>409.99</v>
      </c>
      <c r="GOZ13">
        <v>0</v>
      </c>
      <c r="GPA13">
        <v>1393.95</v>
      </c>
      <c r="GPB13">
        <v>60</v>
      </c>
      <c r="GPC13">
        <v>0</v>
      </c>
      <c r="GPD13">
        <v>0</v>
      </c>
      <c r="GPE13">
        <v>15</v>
      </c>
      <c r="GPF13">
        <v>0</v>
      </c>
      <c r="GPG13">
        <v>0</v>
      </c>
      <c r="GPH13">
        <v>458.99</v>
      </c>
      <c r="GPI13">
        <v>2</v>
      </c>
      <c r="GPJ13">
        <v>0</v>
      </c>
      <c r="GPK13">
        <v>9602.66</v>
      </c>
      <c r="GPL13">
        <v>0</v>
      </c>
      <c r="GPM13">
        <v>0</v>
      </c>
      <c r="GPN13">
        <v>1626.91</v>
      </c>
      <c r="GPO13">
        <v>0</v>
      </c>
      <c r="GPP13">
        <v>1234.96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230</v>
      </c>
      <c r="GQB13">
        <v>7</v>
      </c>
      <c r="GQC13">
        <v>0</v>
      </c>
      <c r="GQD13">
        <v>3599.88</v>
      </c>
      <c r="GQE13">
        <v>0</v>
      </c>
      <c r="GQF13">
        <v>467</v>
      </c>
      <c r="GQG13">
        <v>0</v>
      </c>
      <c r="GQH13">
        <v>258.99</v>
      </c>
      <c r="GQI13">
        <v>540.96</v>
      </c>
      <c r="GQJ13">
        <v>6542.76</v>
      </c>
      <c r="GQK13">
        <v>0</v>
      </c>
      <c r="GQL13">
        <v>0</v>
      </c>
      <c r="GQM13">
        <v>910.95</v>
      </c>
      <c r="GQN13">
        <v>0</v>
      </c>
      <c r="GQO13">
        <v>0</v>
      </c>
      <c r="GQP13">
        <v>0</v>
      </c>
      <c r="GQQ13">
        <v>0</v>
      </c>
      <c r="GQR13">
        <v>2089.91</v>
      </c>
      <c r="GQS13">
        <v>0</v>
      </c>
      <c r="GQT13">
        <v>387.99</v>
      </c>
      <c r="GQU13">
        <v>0</v>
      </c>
      <c r="GQV13">
        <v>1269.92</v>
      </c>
      <c r="GQW13">
        <v>4679.82</v>
      </c>
      <c r="GQX13">
        <v>46</v>
      </c>
      <c r="GQY13">
        <v>114</v>
      </c>
      <c r="GQZ13">
        <v>108</v>
      </c>
      <c r="GRA13">
        <v>1514.96</v>
      </c>
      <c r="GRB13">
        <v>0</v>
      </c>
      <c r="GRC13">
        <v>6295.74</v>
      </c>
      <c r="GRD13">
        <v>0</v>
      </c>
      <c r="GRE13">
        <v>0</v>
      </c>
      <c r="GRF13">
        <v>55</v>
      </c>
      <c r="GRG13">
        <v>252.99</v>
      </c>
      <c r="GRH13">
        <v>2139.92</v>
      </c>
      <c r="GRI13">
        <v>0</v>
      </c>
      <c r="GRJ13">
        <v>0</v>
      </c>
      <c r="GRK13">
        <v>0</v>
      </c>
      <c r="GRL13">
        <v>132</v>
      </c>
      <c r="GRM13">
        <v>1243.94</v>
      </c>
      <c r="GRN13">
        <v>1001.98</v>
      </c>
      <c r="GRO13">
        <v>0</v>
      </c>
      <c r="GRP13">
        <v>0</v>
      </c>
      <c r="GRQ13">
        <v>0</v>
      </c>
      <c r="GRR13">
        <v>156</v>
      </c>
      <c r="GRS13">
        <v>1084.95</v>
      </c>
      <c r="GRT13">
        <v>0</v>
      </c>
      <c r="GRU13">
        <v>2877.9</v>
      </c>
      <c r="GRV13">
        <v>0</v>
      </c>
      <c r="GRW13">
        <v>1733.96</v>
      </c>
      <c r="GRX13">
        <v>3089.89</v>
      </c>
      <c r="GRY13">
        <v>2861.96</v>
      </c>
      <c r="GRZ13">
        <v>0</v>
      </c>
      <c r="GSA13">
        <v>0</v>
      </c>
      <c r="GSB13">
        <v>3517.88</v>
      </c>
      <c r="GSC13">
        <v>7178.81</v>
      </c>
      <c r="GSD13">
        <v>1160.99</v>
      </c>
      <c r="GSE13">
        <v>3641.89</v>
      </c>
      <c r="GSF13">
        <v>0</v>
      </c>
      <c r="GSG13">
        <v>2305.91</v>
      </c>
      <c r="GSH13">
        <v>4011.75</v>
      </c>
      <c r="GSI13">
        <v>365</v>
      </c>
      <c r="GSJ13">
        <v>3007.89</v>
      </c>
      <c r="GSK13">
        <v>421</v>
      </c>
      <c r="GSL13">
        <v>2786.88</v>
      </c>
      <c r="GSM13">
        <v>8125.94</v>
      </c>
      <c r="GSN13">
        <v>0</v>
      </c>
      <c r="GSO13">
        <v>8625.76</v>
      </c>
      <c r="GSP13">
        <v>1943.96</v>
      </c>
      <c r="GSQ13">
        <v>14102.58</v>
      </c>
      <c r="GSR13">
        <v>301400.51</v>
      </c>
    </row>
    <row r="14" spans="1:5244" x14ac:dyDescent="0.2">
      <c r="A14" s="7">
        <v>87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4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5</v>
      </c>
      <c r="CO14">
        <v>5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6</v>
      </c>
      <c r="EP14">
        <v>6</v>
      </c>
      <c r="EQ14">
        <v>6</v>
      </c>
      <c r="ER14">
        <v>6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8</v>
      </c>
      <c r="JI14">
        <v>8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4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9</v>
      </c>
      <c r="LC14">
        <v>9</v>
      </c>
      <c r="LD14">
        <v>9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10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11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12</v>
      </c>
      <c r="SB14">
        <v>12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15</v>
      </c>
      <c r="YH14">
        <v>15</v>
      </c>
      <c r="YI14">
        <v>15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16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17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18</v>
      </c>
      <c r="ADX14">
        <v>18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19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19.05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20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21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22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8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24</v>
      </c>
      <c r="APM14">
        <v>24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25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26</v>
      </c>
      <c r="ASX14">
        <v>26</v>
      </c>
      <c r="ASY14">
        <v>26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27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28</v>
      </c>
      <c r="AVV14">
        <v>18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17.989999999999998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30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30.06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31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31.99</v>
      </c>
      <c r="BAD14">
        <v>0</v>
      </c>
      <c r="BAE14">
        <v>18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33</v>
      </c>
      <c r="BCO14">
        <v>33</v>
      </c>
      <c r="BCP14">
        <v>33</v>
      </c>
      <c r="BCQ14">
        <v>33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33.99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34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34.99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14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7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28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5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25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38</v>
      </c>
      <c r="BJL14">
        <v>38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39</v>
      </c>
      <c r="BKS14">
        <v>39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33</v>
      </c>
      <c r="BLH14">
        <v>0</v>
      </c>
      <c r="BLI14">
        <v>11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40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41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41.99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34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42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42.99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43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17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36</v>
      </c>
      <c r="BPT14">
        <v>0</v>
      </c>
      <c r="BPU14">
        <v>0</v>
      </c>
      <c r="BPV14">
        <v>44</v>
      </c>
      <c r="BPW14">
        <v>44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9</v>
      </c>
      <c r="BQE14">
        <v>0</v>
      </c>
      <c r="BQF14">
        <v>0</v>
      </c>
      <c r="BQG14">
        <v>44.99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45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17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47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31.99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49</v>
      </c>
      <c r="BUI14">
        <v>49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50.99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51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8</v>
      </c>
      <c r="BXB14">
        <v>52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52.99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13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28</v>
      </c>
      <c r="BYR14">
        <v>0</v>
      </c>
      <c r="BYS14">
        <v>0</v>
      </c>
      <c r="BYT14">
        <v>0</v>
      </c>
      <c r="BYU14">
        <v>54.99</v>
      </c>
      <c r="BYV14">
        <v>0</v>
      </c>
      <c r="BYW14">
        <v>26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39</v>
      </c>
      <c r="CAP14">
        <v>57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23.99</v>
      </c>
      <c r="CAW14">
        <v>0</v>
      </c>
      <c r="CAX14">
        <v>57.99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59</v>
      </c>
      <c r="CCB14">
        <v>59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60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63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63.99</v>
      </c>
      <c r="CFB14">
        <v>0</v>
      </c>
      <c r="CFC14">
        <v>0</v>
      </c>
      <c r="CFD14">
        <v>0</v>
      </c>
      <c r="CFE14">
        <v>0</v>
      </c>
      <c r="CFF14">
        <v>6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53.99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66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67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47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68.989999999999995</v>
      </c>
      <c r="CIV14">
        <v>0</v>
      </c>
      <c r="CIW14">
        <v>24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69</v>
      </c>
      <c r="CJL14">
        <v>69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70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71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73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8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74</v>
      </c>
      <c r="CMG14">
        <v>74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48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77.989999999999995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78</v>
      </c>
      <c r="COF14">
        <v>0</v>
      </c>
      <c r="COG14">
        <v>0</v>
      </c>
      <c r="COH14">
        <v>48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79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80</v>
      </c>
      <c r="CPE14">
        <v>0</v>
      </c>
      <c r="CPF14">
        <v>31.99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46</v>
      </c>
      <c r="CPM14">
        <v>63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82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84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84.99</v>
      </c>
      <c r="CQQ14">
        <v>0</v>
      </c>
      <c r="CQR14">
        <v>0</v>
      </c>
      <c r="CQS14">
        <v>0</v>
      </c>
      <c r="CQT14">
        <v>28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60</v>
      </c>
      <c r="CRM14">
        <v>0</v>
      </c>
      <c r="CRN14">
        <v>0</v>
      </c>
      <c r="CRO14">
        <v>0</v>
      </c>
      <c r="CRP14">
        <v>0</v>
      </c>
      <c r="CRQ14">
        <v>87</v>
      </c>
      <c r="CRR14">
        <v>33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51</v>
      </c>
      <c r="CSK14">
        <v>31</v>
      </c>
      <c r="CSL14">
        <v>0</v>
      </c>
      <c r="CSM14">
        <v>44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79.989999999999995</v>
      </c>
      <c r="CSX14">
        <v>0</v>
      </c>
      <c r="CSY14">
        <v>0</v>
      </c>
      <c r="CSZ14">
        <v>53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91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87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93.99</v>
      </c>
      <c r="CUL14">
        <v>0</v>
      </c>
      <c r="CUM14">
        <v>0</v>
      </c>
      <c r="CUN14">
        <v>0</v>
      </c>
      <c r="CUO14">
        <v>94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95</v>
      </c>
      <c r="CUZ14">
        <v>95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31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97.99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11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102</v>
      </c>
      <c r="CYD14">
        <v>0</v>
      </c>
      <c r="CYE14">
        <v>34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40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105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56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10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110.99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113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114</v>
      </c>
      <c r="DCS14">
        <v>114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46.99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118.99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119.99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120.99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36</v>
      </c>
      <c r="DGB14">
        <v>0</v>
      </c>
      <c r="DGC14">
        <v>0</v>
      </c>
      <c r="DGD14">
        <v>0</v>
      </c>
      <c r="DGE14">
        <v>0</v>
      </c>
      <c r="DGF14">
        <v>21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126.99</v>
      </c>
      <c r="DGU14">
        <v>0</v>
      </c>
      <c r="DGV14">
        <v>0</v>
      </c>
      <c r="DGW14">
        <v>0</v>
      </c>
      <c r="DGX14">
        <v>0</v>
      </c>
      <c r="DGY14">
        <v>16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49.99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13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131.99</v>
      </c>
      <c r="DIT14">
        <v>131.99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10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62</v>
      </c>
      <c r="DKC14">
        <v>0</v>
      </c>
      <c r="DKD14">
        <v>0</v>
      </c>
      <c r="DKE14">
        <v>0</v>
      </c>
      <c r="DKF14">
        <v>137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40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7</v>
      </c>
      <c r="DLX14">
        <v>31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130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48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28.99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150</v>
      </c>
      <c r="DNO14">
        <v>0</v>
      </c>
      <c r="DNP14">
        <v>0</v>
      </c>
      <c r="DNQ14">
        <v>65.16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150.99</v>
      </c>
      <c r="DNX14">
        <v>0</v>
      </c>
      <c r="DNY14">
        <v>0</v>
      </c>
      <c r="DNZ14">
        <v>0</v>
      </c>
      <c r="DOA14">
        <v>0</v>
      </c>
      <c r="DOB14">
        <v>45</v>
      </c>
      <c r="DOC14">
        <v>0</v>
      </c>
      <c r="DOD14">
        <v>115.99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86</v>
      </c>
      <c r="DOR14">
        <v>154.99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5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28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143.97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19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171.99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41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31</v>
      </c>
      <c r="DTG14">
        <v>0</v>
      </c>
      <c r="DTH14">
        <v>0</v>
      </c>
      <c r="DTI14">
        <v>178.97</v>
      </c>
      <c r="DTJ14">
        <v>0</v>
      </c>
      <c r="DTK14">
        <v>0</v>
      </c>
      <c r="DTL14">
        <v>22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43.99</v>
      </c>
      <c r="DTU14">
        <v>0</v>
      </c>
      <c r="DTV14">
        <v>0</v>
      </c>
      <c r="DTW14">
        <v>0</v>
      </c>
      <c r="DTX14">
        <v>17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74</v>
      </c>
      <c r="DUI14">
        <v>0</v>
      </c>
      <c r="DUJ14">
        <v>0</v>
      </c>
      <c r="DUK14">
        <v>93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185.99</v>
      </c>
      <c r="DUY14">
        <v>0</v>
      </c>
      <c r="DUZ14">
        <v>13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57.14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56</v>
      </c>
      <c r="DVS14">
        <v>192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202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207.99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81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80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192.99</v>
      </c>
      <c r="DZG14">
        <v>215.99</v>
      </c>
      <c r="DZH14">
        <v>0</v>
      </c>
      <c r="DZI14">
        <v>0</v>
      </c>
      <c r="DZJ14">
        <v>39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218.98</v>
      </c>
      <c r="DZR14">
        <v>0</v>
      </c>
      <c r="DZS14">
        <v>0</v>
      </c>
      <c r="DZT14">
        <v>0</v>
      </c>
      <c r="DZU14">
        <v>0</v>
      </c>
      <c r="DZV14">
        <v>21</v>
      </c>
      <c r="DZW14">
        <v>0</v>
      </c>
      <c r="DZX14">
        <v>41</v>
      </c>
      <c r="DZY14">
        <v>0</v>
      </c>
      <c r="DZZ14">
        <v>0</v>
      </c>
      <c r="EAA14">
        <v>0</v>
      </c>
      <c r="EAB14">
        <v>138</v>
      </c>
      <c r="EAC14">
        <v>221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129.99</v>
      </c>
      <c r="EAL14">
        <v>3</v>
      </c>
      <c r="EAM14">
        <v>0</v>
      </c>
      <c r="EAN14">
        <v>15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228.99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121.97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73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116.28</v>
      </c>
      <c r="ECG14">
        <v>20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137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32</v>
      </c>
      <c r="EDO14">
        <v>0</v>
      </c>
      <c r="EDP14">
        <v>23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131.31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258.98</v>
      </c>
      <c r="EEO14">
        <v>0</v>
      </c>
      <c r="EEP14">
        <v>0</v>
      </c>
      <c r="EEQ14">
        <v>56.99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240.99</v>
      </c>
      <c r="EEZ14">
        <v>261.99</v>
      </c>
      <c r="EFA14">
        <v>0</v>
      </c>
      <c r="EFB14">
        <v>262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228.99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268.99</v>
      </c>
      <c r="EFY14">
        <v>8</v>
      </c>
      <c r="EFZ14">
        <v>0</v>
      </c>
      <c r="EGA14">
        <v>0</v>
      </c>
      <c r="EGB14">
        <v>0</v>
      </c>
      <c r="EGC14">
        <v>205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17</v>
      </c>
      <c r="EGJ14">
        <v>0</v>
      </c>
      <c r="EGK14">
        <v>0</v>
      </c>
      <c r="EGL14">
        <v>0</v>
      </c>
      <c r="EGM14">
        <v>274.99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71.989999999999995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210.99</v>
      </c>
      <c r="EHH14">
        <v>0</v>
      </c>
      <c r="EHI14">
        <v>0</v>
      </c>
      <c r="EHJ14">
        <v>0</v>
      </c>
      <c r="EHK14">
        <v>0</v>
      </c>
      <c r="EHL14">
        <v>83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290.99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40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68.099999999999994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198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305.99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223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135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338.98</v>
      </c>
      <c r="EME14">
        <v>87</v>
      </c>
      <c r="EMF14">
        <v>0</v>
      </c>
      <c r="EMG14">
        <v>46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39</v>
      </c>
      <c r="EMU14">
        <v>0</v>
      </c>
      <c r="EMV14">
        <v>346.99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358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23</v>
      </c>
      <c r="ENZ14">
        <v>0</v>
      </c>
      <c r="EOA14">
        <v>0</v>
      </c>
      <c r="EOB14">
        <v>0</v>
      </c>
      <c r="EOC14">
        <v>0</v>
      </c>
      <c r="EOD14">
        <v>364.98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24</v>
      </c>
      <c r="EOX14">
        <v>0</v>
      </c>
      <c r="EOY14">
        <v>0</v>
      </c>
      <c r="EOZ14">
        <v>377.98</v>
      </c>
      <c r="EPA14">
        <v>0</v>
      </c>
      <c r="EPB14">
        <v>0</v>
      </c>
      <c r="EPC14">
        <v>0</v>
      </c>
      <c r="EPD14">
        <v>0</v>
      </c>
      <c r="EPE14">
        <v>207.98</v>
      </c>
      <c r="EPF14">
        <v>0</v>
      </c>
      <c r="EPG14">
        <v>0</v>
      </c>
      <c r="EPH14">
        <v>156.99</v>
      </c>
      <c r="EPI14">
        <v>0</v>
      </c>
      <c r="EPJ14">
        <v>69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388.98</v>
      </c>
      <c r="EQC14">
        <v>0</v>
      </c>
      <c r="EQD14">
        <v>0</v>
      </c>
      <c r="EQE14">
        <v>0</v>
      </c>
      <c r="EQF14">
        <v>0</v>
      </c>
      <c r="EQG14">
        <v>11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391.98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10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405.98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49.12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60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427.96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430.96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116.99</v>
      </c>
      <c r="ETM14">
        <v>0</v>
      </c>
      <c r="ETN14">
        <v>0</v>
      </c>
      <c r="ETO14">
        <v>205</v>
      </c>
      <c r="ETP14">
        <v>0</v>
      </c>
      <c r="ETQ14">
        <v>0</v>
      </c>
      <c r="ETR14">
        <v>41</v>
      </c>
      <c r="ETS14">
        <v>0</v>
      </c>
      <c r="ETT14">
        <v>0</v>
      </c>
      <c r="ETU14">
        <v>0</v>
      </c>
      <c r="ETV14">
        <v>0</v>
      </c>
      <c r="ETW14">
        <v>186</v>
      </c>
      <c r="ETX14">
        <v>0</v>
      </c>
      <c r="ETY14">
        <v>0</v>
      </c>
      <c r="ETZ14">
        <v>20</v>
      </c>
      <c r="EUA14">
        <v>0</v>
      </c>
      <c r="EUB14">
        <v>0</v>
      </c>
      <c r="EUC14">
        <v>0</v>
      </c>
      <c r="EUD14">
        <v>0</v>
      </c>
      <c r="EUE14">
        <v>159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402.95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122</v>
      </c>
      <c r="EUY14">
        <v>0</v>
      </c>
      <c r="EUZ14">
        <v>0</v>
      </c>
      <c r="EVA14">
        <v>0</v>
      </c>
      <c r="EVB14">
        <v>12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327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74.180000000000007</v>
      </c>
      <c r="EWZ14">
        <v>280.99</v>
      </c>
      <c r="EXA14">
        <v>0</v>
      </c>
      <c r="EXB14">
        <v>0</v>
      </c>
      <c r="EXC14">
        <v>351.84</v>
      </c>
      <c r="EXD14">
        <v>0</v>
      </c>
      <c r="EXE14">
        <v>0</v>
      </c>
      <c r="EXF14">
        <v>0</v>
      </c>
      <c r="EXG14">
        <v>0</v>
      </c>
      <c r="EXH14">
        <v>93.99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175</v>
      </c>
      <c r="EYQ14">
        <v>0</v>
      </c>
      <c r="EYR14">
        <v>30</v>
      </c>
      <c r="EYS14">
        <v>0</v>
      </c>
      <c r="EYT14">
        <v>0</v>
      </c>
      <c r="EYU14">
        <v>42</v>
      </c>
      <c r="EYV14">
        <v>0</v>
      </c>
      <c r="EYW14">
        <v>264.99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537.29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555.98</v>
      </c>
      <c r="EZZ14">
        <v>0</v>
      </c>
      <c r="FAA14">
        <v>0</v>
      </c>
      <c r="FAB14">
        <v>258.99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232.99</v>
      </c>
      <c r="FAV14">
        <v>0</v>
      </c>
      <c r="FAW14">
        <v>0</v>
      </c>
      <c r="FAX14">
        <v>262.06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570.95000000000005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478.96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3</v>
      </c>
      <c r="FCM14">
        <v>0</v>
      </c>
      <c r="FCN14">
        <v>0</v>
      </c>
      <c r="FCO14">
        <v>136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5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48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685.96</v>
      </c>
      <c r="FEU14">
        <v>0</v>
      </c>
      <c r="FEV14">
        <v>0</v>
      </c>
      <c r="FEW14">
        <v>691.95</v>
      </c>
      <c r="FEX14">
        <v>0</v>
      </c>
      <c r="FEY14">
        <v>693.95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131</v>
      </c>
      <c r="FFO14">
        <v>0</v>
      </c>
      <c r="FFP14">
        <v>0</v>
      </c>
      <c r="FFQ14">
        <v>128</v>
      </c>
      <c r="FFR14">
        <v>0</v>
      </c>
      <c r="FFS14">
        <v>0</v>
      </c>
      <c r="FFT14">
        <v>375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37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15</v>
      </c>
      <c r="FGL14">
        <v>21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216</v>
      </c>
      <c r="FGU14">
        <v>0</v>
      </c>
      <c r="FGV14">
        <v>120</v>
      </c>
      <c r="FGW14">
        <v>0</v>
      </c>
      <c r="FGX14">
        <v>0</v>
      </c>
      <c r="FGY14">
        <v>0</v>
      </c>
      <c r="FGZ14">
        <v>0</v>
      </c>
      <c r="FHA14">
        <v>325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767.94</v>
      </c>
      <c r="FHI14">
        <v>0</v>
      </c>
      <c r="FHJ14">
        <v>41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60.99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47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699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833.99</v>
      </c>
      <c r="FJL14">
        <v>0</v>
      </c>
      <c r="FJM14">
        <v>0</v>
      </c>
      <c r="FJN14">
        <v>0</v>
      </c>
      <c r="FJO14">
        <v>790.95</v>
      </c>
      <c r="FJP14">
        <v>8</v>
      </c>
      <c r="FJQ14">
        <v>0</v>
      </c>
      <c r="FJR14">
        <v>0</v>
      </c>
      <c r="FJS14">
        <v>0</v>
      </c>
      <c r="FJT14">
        <v>104.99</v>
      </c>
      <c r="FJU14">
        <v>0</v>
      </c>
      <c r="FJV14">
        <v>0</v>
      </c>
      <c r="FJW14">
        <v>0</v>
      </c>
      <c r="FJX14">
        <v>241</v>
      </c>
      <c r="FJY14">
        <v>0</v>
      </c>
      <c r="FJZ14">
        <v>0</v>
      </c>
      <c r="FKA14">
        <v>31</v>
      </c>
      <c r="FKB14">
        <v>0</v>
      </c>
      <c r="FKC14">
        <v>0</v>
      </c>
      <c r="FKD14">
        <v>0</v>
      </c>
      <c r="FKE14">
        <v>139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60</v>
      </c>
      <c r="FKV14">
        <v>0</v>
      </c>
      <c r="FKW14">
        <v>49</v>
      </c>
      <c r="FKX14">
        <v>0</v>
      </c>
      <c r="FKY14">
        <v>0</v>
      </c>
      <c r="FKZ14">
        <v>72</v>
      </c>
      <c r="FLA14">
        <v>0</v>
      </c>
      <c r="FLB14">
        <v>0</v>
      </c>
      <c r="FLC14">
        <v>238.99</v>
      </c>
      <c r="FLD14">
        <v>0</v>
      </c>
      <c r="FLE14">
        <v>73</v>
      </c>
      <c r="FLF14">
        <v>0</v>
      </c>
      <c r="FLG14">
        <v>861.98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943.95</v>
      </c>
      <c r="FMH14">
        <v>0</v>
      </c>
      <c r="FMI14">
        <v>0</v>
      </c>
      <c r="FMJ14">
        <v>0</v>
      </c>
      <c r="FMK14">
        <v>0</v>
      </c>
      <c r="FML14">
        <v>125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180.09</v>
      </c>
      <c r="FMU14">
        <v>0</v>
      </c>
      <c r="FMV14">
        <v>0</v>
      </c>
      <c r="FMW14">
        <v>0</v>
      </c>
      <c r="FMX14">
        <v>277.99</v>
      </c>
      <c r="FMY14">
        <v>0</v>
      </c>
      <c r="FMZ14">
        <v>977.98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991.96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350</v>
      </c>
      <c r="FNP14">
        <v>0</v>
      </c>
      <c r="FNQ14">
        <v>220.99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1015.98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32.01</v>
      </c>
      <c r="FOF14">
        <v>0</v>
      </c>
      <c r="FOG14">
        <v>82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39</v>
      </c>
      <c r="FPD14">
        <v>0</v>
      </c>
      <c r="FPE14">
        <v>101.99</v>
      </c>
      <c r="FPF14">
        <v>489.99</v>
      </c>
      <c r="FPG14">
        <v>14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12</v>
      </c>
      <c r="FPR14">
        <v>0</v>
      </c>
      <c r="FPS14">
        <v>6</v>
      </c>
      <c r="FPT14">
        <v>0</v>
      </c>
      <c r="FPU14">
        <v>0</v>
      </c>
      <c r="FPV14">
        <v>0</v>
      </c>
      <c r="FPW14">
        <v>0</v>
      </c>
      <c r="FPX14">
        <v>31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27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665.99</v>
      </c>
      <c r="FQQ14">
        <v>0</v>
      </c>
      <c r="FQR14">
        <v>1178.9000000000001</v>
      </c>
      <c r="FQS14">
        <v>0</v>
      </c>
      <c r="FQT14">
        <v>0</v>
      </c>
      <c r="FQU14">
        <v>1187.9100000000001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1210.96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34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128</v>
      </c>
      <c r="FSH14">
        <v>0</v>
      </c>
      <c r="FSI14">
        <v>0</v>
      </c>
      <c r="FSJ14">
        <v>0</v>
      </c>
      <c r="FSK14">
        <v>22</v>
      </c>
      <c r="FSL14">
        <v>0</v>
      </c>
      <c r="FSM14">
        <v>0</v>
      </c>
      <c r="FSN14">
        <v>0</v>
      </c>
      <c r="FSO14">
        <v>37.99</v>
      </c>
      <c r="FSP14">
        <v>0</v>
      </c>
      <c r="FSQ14">
        <v>0</v>
      </c>
      <c r="FSR14">
        <v>144.99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1396.89</v>
      </c>
      <c r="FTN14">
        <v>51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19</v>
      </c>
      <c r="FTV14">
        <v>0</v>
      </c>
      <c r="FTW14">
        <v>0</v>
      </c>
      <c r="FTX14">
        <v>0</v>
      </c>
      <c r="FTY14">
        <v>0</v>
      </c>
      <c r="FTZ14">
        <v>1280.95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168</v>
      </c>
      <c r="FUJ14">
        <v>0</v>
      </c>
      <c r="FUK14">
        <v>0</v>
      </c>
      <c r="FUL14">
        <v>397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39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318.14</v>
      </c>
      <c r="FUZ14">
        <v>0</v>
      </c>
      <c r="FVA14">
        <v>0</v>
      </c>
      <c r="FVB14">
        <v>0</v>
      </c>
      <c r="FVC14">
        <v>18.989999999999998</v>
      </c>
      <c r="FVD14">
        <v>0</v>
      </c>
      <c r="FVE14">
        <v>0</v>
      </c>
      <c r="FVF14">
        <v>301</v>
      </c>
      <c r="FVG14">
        <v>872.96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11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106</v>
      </c>
      <c r="FVW14">
        <v>28</v>
      </c>
      <c r="FVX14">
        <v>0</v>
      </c>
      <c r="FVY14">
        <v>25</v>
      </c>
      <c r="FVZ14">
        <v>0</v>
      </c>
      <c r="FWB14">
        <v>0</v>
      </c>
      <c r="FWC14">
        <v>359</v>
      </c>
      <c r="FWD14">
        <v>0</v>
      </c>
      <c r="FWE14">
        <v>0</v>
      </c>
      <c r="FWF14">
        <v>3</v>
      </c>
      <c r="FWG14">
        <v>0</v>
      </c>
      <c r="FWH14">
        <v>0</v>
      </c>
      <c r="FWI14">
        <v>0</v>
      </c>
      <c r="FWJ14">
        <v>20</v>
      </c>
      <c r="FWK14">
        <v>0</v>
      </c>
      <c r="FWL14">
        <v>0</v>
      </c>
      <c r="FWM14">
        <v>65</v>
      </c>
      <c r="FWN14">
        <v>0</v>
      </c>
      <c r="FWO14">
        <v>1128.92</v>
      </c>
      <c r="FWP14">
        <v>0</v>
      </c>
      <c r="FWQ14">
        <v>0</v>
      </c>
      <c r="FWR14">
        <v>141</v>
      </c>
      <c r="FWS14">
        <v>0</v>
      </c>
      <c r="FWT14">
        <v>1000.99</v>
      </c>
      <c r="FWU14">
        <v>99.99</v>
      </c>
      <c r="FWV14">
        <v>54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293.99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111</v>
      </c>
      <c r="FXL14">
        <v>0</v>
      </c>
      <c r="FXM14">
        <v>0</v>
      </c>
      <c r="FXN14">
        <v>30.99</v>
      </c>
      <c r="FXO14">
        <v>0</v>
      </c>
      <c r="FXP14">
        <v>0</v>
      </c>
      <c r="FXQ14">
        <v>522.99</v>
      </c>
      <c r="FXR14">
        <v>0</v>
      </c>
      <c r="FXS14">
        <v>0</v>
      </c>
      <c r="FXT14">
        <v>163.99</v>
      </c>
      <c r="FXU14">
        <v>0</v>
      </c>
      <c r="FXV14">
        <v>0</v>
      </c>
      <c r="FXW14">
        <v>0</v>
      </c>
      <c r="FXX14">
        <v>299.99</v>
      </c>
      <c r="FXY14">
        <v>0</v>
      </c>
      <c r="FXZ14">
        <v>0</v>
      </c>
      <c r="FYA14">
        <v>0</v>
      </c>
      <c r="FYB14">
        <v>1268.99</v>
      </c>
      <c r="FYC14">
        <v>0</v>
      </c>
      <c r="FYD14">
        <v>9</v>
      </c>
      <c r="FYE14">
        <v>0</v>
      </c>
      <c r="FYF14">
        <v>0</v>
      </c>
      <c r="FYG14">
        <v>0</v>
      </c>
      <c r="FYH14">
        <v>62.99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311.73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535.99</v>
      </c>
      <c r="FZA14">
        <v>709</v>
      </c>
      <c r="FZB14">
        <v>0</v>
      </c>
      <c r="FZC14">
        <v>201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379.96</v>
      </c>
      <c r="FZN14">
        <v>1164.96</v>
      </c>
      <c r="FZO14">
        <v>0</v>
      </c>
      <c r="FZP14">
        <v>87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134.99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110.26</v>
      </c>
      <c r="GAE14">
        <v>0</v>
      </c>
      <c r="GAF14">
        <v>0</v>
      </c>
      <c r="GAG14">
        <v>0</v>
      </c>
      <c r="GAH14">
        <v>48</v>
      </c>
      <c r="GAI14">
        <v>0</v>
      </c>
      <c r="GAJ14">
        <v>0</v>
      </c>
      <c r="GAK14">
        <v>0</v>
      </c>
      <c r="GAL14">
        <v>46</v>
      </c>
      <c r="GAM14">
        <v>0</v>
      </c>
      <c r="GAN14">
        <v>0</v>
      </c>
      <c r="GAO14">
        <v>0</v>
      </c>
      <c r="GAP14">
        <v>34.99</v>
      </c>
      <c r="GAQ14">
        <v>1852.9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50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795.99</v>
      </c>
      <c r="GBF14">
        <v>381</v>
      </c>
      <c r="GBG14">
        <v>0</v>
      </c>
      <c r="GBH14">
        <v>0</v>
      </c>
      <c r="GBI14">
        <v>0</v>
      </c>
      <c r="GBJ14">
        <v>0</v>
      </c>
      <c r="GBK14">
        <v>1589.96</v>
      </c>
      <c r="GBL14">
        <v>0</v>
      </c>
      <c r="GBM14">
        <v>0</v>
      </c>
      <c r="GBN14">
        <v>108</v>
      </c>
      <c r="GBO14">
        <v>15</v>
      </c>
      <c r="GBP14">
        <v>0</v>
      </c>
      <c r="GBQ14">
        <v>89.99</v>
      </c>
      <c r="GBR14">
        <v>0</v>
      </c>
      <c r="GBS14">
        <v>25</v>
      </c>
      <c r="GBT14">
        <v>0</v>
      </c>
      <c r="GBU14">
        <v>0</v>
      </c>
      <c r="GBV14">
        <v>0</v>
      </c>
      <c r="GBW14">
        <v>17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545</v>
      </c>
      <c r="GCD14">
        <v>0</v>
      </c>
      <c r="GCE14">
        <v>0</v>
      </c>
      <c r="GCF14">
        <v>0</v>
      </c>
      <c r="GCG14">
        <v>44</v>
      </c>
      <c r="GCH14">
        <v>0</v>
      </c>
      <c r="GCI14">
        <v>378.96</v>
      </c>
      <c r="GCJ14">
        <v>0</v>
      </c>
      <c r="GCK14">
        <v>0</v>
      </c>
      <c r="GCL14">
        <v>0</v>
      </c>
      <c r="GCM14">
        <v>0</v>
      </c>
      <c r="GCN14">
        <v>36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163</v>
      </c>
      <c r="GDD14">
        <v>0</v>
      </c>
      <c r="GDE14">
        <v>200</v>
      </c>
      <c r="GDF14">
        <v>97</v>
      </c>
      <c r="GDG14">
        <v>0</v>
      </c>
      <c r="GDH14">
        <v>79.47</v>
      </c>
      <c r="GDI14">
        <v>2107.84</v>
      </c>
      <c r="GDJ14">
        <v>0</v>
      </c>
      <c r="GDK14">
        <v>0</v>
      </c>
      <c r="GDL14">
        <v>0</v>
      </c>
      <c r="GDM14">
        <v>104.99</v>
      </c>
      <c r="GDN14">
        <v>0</v>
      </c>
      <c r="GDO14">
        <v>0</v>
      </c>
      <c r="GDP14">
        <v>0</v>
      </c>
      <c r="GDQ14">
        <v>235.99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1428</v>
      </c>
      <c r="GDX14">
        <v>0</v>
      </c>
      <c r="GDY14">
        <v>0</v>
      </c>
      <c r="GDZ14">
        <v>0</v>
      </c>
      <c r="GEA14">
        <v>0</v>
      </c>
      <c r="GEB14">
        <v>172.98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66.989999999999995</v>
      </c>
      <c r="GEI14">
        <v>94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610.95000000000005</v>
      </c>
      <c r="GFG14">
        <v>0</v>
      </c>
      <c r="GFH14">
        <v>0</v>
      </c>
      <c r="GFI14">
        <v>0</v>
      </c>
      <c r="GFJ14">
        <v>0</v>
      </c>
      <c r="GFK14">
        <v>46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156.99</v>
      </c>
      <c r="GFS14">
        <v>0</v>
      </c>
      <c r="GFT14">
        <v>0</v>
      </c>
      <c r="GFU14">
        <v>65</v>
      </c>
      <c r="GFV14">
        <v>492.99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1813.96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616.95000000000005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88</v>
      </c>
      <c r="GGY14">
        <v>0</v>
      </c>
      <c r="GGZ14">
        <v>0</v>
      </c>
      <c r="GHA14">
        <v>703.99</v>
      </c>
      <c r="GHB14">
        <v>0</v>
      </c>
      <c r="GHC14">
        <v>54</v>
      </c>
      <c r="GHD14">
        <v>0</v>
      </c>
      <c r="GHE14">
        <v>0</v>
      </c>
      <c r="GHF14">
        <v>0</v>
      </c>
      <c r="GHG14">
        <v>0</v>
      </c>
      <c r="GHH14">
        <v>36</v>
      </c>
      <c r="GHI14">
        <v>122.29</v>
      </c>
      <c r="GHJ14">
        <v>0</v>
      </c>
      <c r="GHK14">
        <v>0</v>
      </c>
      <c r="GHL14">
        <v>85</v>
      </c>
      <c r="GHM14">
        <v>0</v>
      </c>
      <c r="GHN14">
        <v>58.01</v>
      </c>
      <c r="GHO14">
        <v>179</v>
      </c>
      <c r="GHP14">
        <v>0</v>
      </c>
      <c r="GHQ14">
        <v>0</v>
      </c>
      <c r="GHR14">
        <v>541.97</v>
      </c>
      <c r="GHS14">
        <v>0</v>
      </c>
      <c r="GHT14">
        <v>0</v>
      </c>
      <c r="GHU14">
        <v>0</v>
      </c>
      <c r="GHV14">
        <v>0</v>
      </c>
      <c r="GHW14">
        <v>1822.98</v>
      </c>
      <c r="GHX14">
        <v>1866</v>
      </c>
      <c r="GHY14">
        <v>0</v>
      </c>
      <c r="GHZ14">
        <v>0</v>
      </c>
      <c r="GIA14">
        <v>390</v>
      </c>
      <c r="GIB14">
        <v>0</v>
      </c>
      <c r="GIC14">
        <v>84</v>
      </c>
      <c r="GID14">
        <v>0</v>
      </c>
      <c r="GIE14">
        <v>0</v>
      </c>
      <c r="GIF14">
        <v>51</v>
      </c>
      <c r="GIG14">
        <v>0</v>
      </c>
      <c r="GIH14">
        <v>382</v>
      </c>
      <c r="GII14">
        <v>0</v>
      </c>
      <c r="GIJ14">
        <v>0</v>
      </c>
      <c r="GIK14">
        <v>0</v>
      </c>
      <c r="GIL14">
        <v>464.06</v>
      </c>
      <c r="GIM14">
        <v>137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431</v>
      </c>
      <c r="GIT14">
        <v>15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28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22</v>
      </c>
      <c r="GJH14">
        <v>0</v>
      </c>
      <c r="GJI14">
        <v>0</v>
      </c>
      <c r="GJJ14">
        <v>0</v>
      </c>
      <c r="GJK14">
        <v>0</v>
      </c>
      <c r="GJL14">
        <v>286.99</v>
      </c>
      <c r="GJM14">
        <v>0</v>
      </c>
      <c r="GJN14">
        <v>0</v>
      </c>
      <c r="GJO14">
        <v>0</v>
      </c>
      <c r="GJP14">
        <v>95</v>
      </c>
      <c r="GJQ14">
        <v>0</v>
      </c>
      <c r="GJR14">
        <v>231.97</v>
      </c>
      <c r="GJS14">
        <v>0</v>
      </c>
      <c r="GJT14">
        <v>831.96</v>
      </c>
      <c r="GJU14">
        <v>0</v>
      </c>
      <c r="GJV14">
        <v>23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61.99</v>
      </c>
      <c r="GKM14">
        <v>23.99</v>
      </c>
      <c r="GKN14">
        <v>0</v>
      </c>
      <c r="GKO14">
        <v>0</v>
      </c>
      <c r="GKP14">
        <v>51</v>
      </c>
      <c r="GKQ14">
        <v>0</v>
      </c>
      <c r="GKR14">
        <v>0</v>
      </c>
      <c r="GKS14">
        <v>0</v>
      </c>
      <c r="GKT14">
        <v>1277.96</v>
      </c>
      <c r="GKU14">
        <v>0</v>
      </c>
      <c r="GKV14">
        <v>0</v>
      </c>
      <c r="GKW14">
        <v>0</v>
      </c>
      <c r="GKX14">
        <v>0</v>
      </c>
      <c r="GKY14">
        <v>160.99</v>
      </c>
      <c r="GKZ14">
        <v>0</v>
      </c>
      <c r="GLA14">
        <v>0</v>
      </c>
      <c r="GLB14">
        <v>2229.9299999999998</v>
      </c>
      <c r="GLC14">
        <v>0</v>
      </c>
      <c r="GLD14">
        <v>86.08</v>
      </c>
      <c r="GLE14">
        <v>0</v>
      </c>
      <c r="GLF14">
        <v>4260.9399999999996</v>
      </c>
      <c r="GLG14">
        <v>0</v>
      </c>
      <c r="GLH14">
        <v>0</v>
      </c>
      <c r="GLI14">
        <v>0</v>
      </c>
      <c r="GLJ14">
        <v>264.99</v>
      </c>
      <c r="GLK14">
        <v>0</v>
      </c>
      <c r="GLL14">
        <v>0</v>
      </c>
      <c r="GLM14">
        <v>0</v>
      </c>
      <c r="GLN14">
        <v>4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702.99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1134.99</v>
      </c>
      <c r="GMB14">
        <v>0</v>
      </c>
      <c r="GMC14">
        <v>0</v>
      </c>
      <c r="GMD14">
        <v>426.98</v>
      </c>
      <c r="GME14">
        <v>0</v>
      </c>
      <c r="GMF14">
        <v>0</v>
      </c>
      <c r="GMG14">
        <v>0</v>
      </c>
      <c r="GMH14">
        <v>503.99</v>
      </c>
      <c r="GMI14">
        <v>0</v>
      </c>
      <c r="GMJ14">
        <v>0</v>
      </c>
      <c r="GMK14">
        <v>224.99</v>
      </c>
      <c r="GML14">
        <v>0</v>
      </c>
      <c r="GMM14">
        <v>0</v>
      </c>
      <c r="GMN14">
        <v>0</v>
      </c>
      <c r="GMO14">
        <v>0</v>
      </c>
      <c r="GMP14">
        <v>384.99</v>
      </c>
      <c r="GMQ14">
        <v>606.99</v>
      </c>
      <c r="GMR14">
        <v>0</v>
      </c>
      <c r="GMS14">
        <v>6056.52</v>
      </c>
      <c r="GMT14">
        <v>88</v>
      </c>
      <c r="GMU14">
        <v>0</v>
      </c>
      <c r="GMV14">
        <v>80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581</v>
      </c>
      <c r="GND14">
        <v>283.99</v>
      </c>
      <c r="GNE14">
        <v>0</v>
      </c>
      <c r="GNF14">
        <v>0</v>
      </c>
      <c r="GNG14">
        <v>0</v>
      </c>
      <c r="GNH14">
        <v>150</v>
      </c>
      <c r="GNI14">
        <v>0</v>
      </c>
      <c r="GNJ14">
        <v>0</v>
      </c>
      <c r="GNK14">
        <v>7253.44</v>
      </c>
      <c r="GNL14">
        <v>0</v>
      </c>
      <c r="GNM14">
        <v>0</v>
      </c>
      <c r="GNN14">
        <v>0</v>
      </c>
      <c r="GNO14">
        <v>718.96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205.99</v>
      </c>
      <c r="GNZ14">
        <v>0</v>
      </c>
      <c r="GOA14">
        <v>1264.96</v>
      </c>
      <c r="GOB14">
        <v>0</v>
      </c>
      <c r="GOC14">
        <v>665.08</v>
      </c>
      <c r="GOD14">
        <v>0</v>
      </c>
      <c r="GOE14">
        <v>0</v>
      </c>
      <c r="GOF14">
        <v>0</v>
      </c>
      <c r="GOG14">
        <v>162</v>
      </c>
      <c r="GOH14">
        <v>0</v>
      </c>
      <c r="GOI14">
        <v>0</v>
      </c>
      <c r="GOJ14">
        <v>0</v>
      </c>
      <c r="GOK14">
        <v>0</v>
      </c>
      <c r="GOL14">
        <v>611.96</v>
      </c>
      <c r="GOM14">
        <v>0</v>
      </c>
      <c r="GON14">
        <v>0</v>
      </c>
      <c r="GOO14">
        <v>415.99</v>
      </c>
      <c r="GOP14">
        <v>0</v>
      </c>
      <c r="GOQ14">
        <v>0</v>
      </c>
      <c r="GOR14">
        <v>2537.9299999999998</v>
      </c>
      <c r="GOS14">
        <v>64</v>
      </c>
      <c r="GOT14">
        <v>0</v>
      </c>
      <c r="GOU14">
        <v>58.99</v>
      </c>
      <c r="GOV14">
        <v>2688.92</v>
      </c>
      <c r="GOW14">
        <v>774.96</v>
      </c>
      <c r="GOX14">
        <v>0</v>
      </c>
      <c r="GOY14">
        <v>644.99</v>
      </c>
      <c r="GOZ14">
        <v>0</v>
      </c>
      <c r="GPA14">
        <v>3318.47</v>
      </c>
      <c r="GPB14">
        <v>1008.96</v>
      </c>
      <c r="GPC14">
        <v>0</v>
      </c>
      <c r="GPD14">
        <v>3325.96</v>
      </c>
      <c r="GPE14">
        <v>3085.99</v>
      </c>
      <c r="GPF14">
        <v>0</v>
      </c>
      <c r="GPG14">
        <v>0</v>
      </c>
      <c r="GPH14">
        <v>562</v>
      </c>
      <c r="GPI14">
        <v>0</v>
      </c>
      <c r="GPJ14">
        <v>2563.9899999999998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106</v>
      </c>
      <c r="GPQ14">
        <v>0</v>
      </c>
      <c r="GPR14">
        <v>1410.91</v>
      </c>
      <c r="GPS14">
        <v>0</v>
      </c>
      <c r="GPT14">
        <v>0</v>
      </c>
      <c r="GPU14">
        <v>58</v>
      </c>
      <c r="GPV14">
        <v>0</v>
      </c>
      <c r="GPW14">
        <v>0</v>
      </c>
      <c r="GPX14">
        <v>0</v>
      </c>
      <c r="GPY14">
        <v>131.99</v>
      </c>
      <c r="GPZ14">
        <v>335.99</v>
      </c>
      <c r="GQA14">
        <v>0</v>
      </c>
      <c r="GQB14">
        <v>0</v>
      </c>
      <c r="GQC14">
        <v>3580.91</v>
      </c>
      <c r="GQD14">
        <v>50</v>
      </c>
      <c r="GQE14">
        <v>0</v>
      </c>
      <c r="GQF14">
        <v>1484.91</v>
      </c>
      <c r="GQG14">
        <v>0</v>
      </c>
      <c r="GQH14">
        <v>0</v>
      </c>
      <c r="GQI14">
        <v>89</v>
      </c>
      <c r="GQJ14">
        <v>3018.9</v>
      </c>
      <c r="GQK14">
        <v>0</v>
      </c>
      <c r="GQL14">
        <v>0</v>
      </c>
      <c r="GQM14">
        <v>2519.96</v>
      </c>
      <c r="GQN14">
        <v>0</v>
      </c>
      <c r="GQO14">
        <v>0</v>
      </c>
      <c r="GQP14">
        <v>0</v>
      </c>
      <c r="GQQ14">
        <v>0</v>
      </c>
      <c r="GQR14">
        <v>2078.9499999999998</v>
      </c>
      <c r="GQS14">
        <v>0</v>
      </c>
      <c r="GQT14">
        <v>4173.74</v>
      </c>
      <c r="GQU14">
        <v>0</v>
      </c>
      <c r="GQV14">
        <v>4408.8999999999996</v>
      </c>
      <c r="GQW14">
        <v>0</v>
      </c>
      <c r="GQX14">
        <v>0</v>
      </c>
      <c r="GQY14">
        <v>1031.96</v>
      </c>
      <c r="GQZ14">
        <v>701.96</v>
      </c>
      <c r="GRA14">
        <v>2274</v>
      </c>
      <c r="GRB14">
        <v>0</v>
      </c>
      <c r="GRC14">
        <v>0</v>
      </c>
      <c r="GRD14">
        <v>33</v>
      </c>
      <c r="GRE14">
        <v>0</v>
      </c>
      <c r="GRF14">
        <v>0</v>
      </c>
      <c r="GRG14">
        <v>182</v>
      </c>
      <c r="GRH14">
        <v>0</v>
      </c>
      <c r="GRI14">
        <v>319</v>
      </c>
      <c r="GRJ14">
        <v>0</v>
      </c>
      <c r="GRK14">
        <v>0</v>
      </c>
      <c r="GRL14">
        <v>5684.78</v>
      </c>
      <c r="GRM14">
        <v>1256</v>
      </c>
      <c r="GRN14">
        <v>4575.33</v>
      </c>
      <c r="GRO14">
        <v>0</v>
      </c>
      <c r="GRP14">
        <v>0</v>
      </c>
      <c r="GRQ14">
        <v>0</v>
      </c>
      <c r="GRR14">
        <v>5038.8100000000004</v>
      </c>
      <c r="GRS14">
        <v>2121.92</v>
      </c>
      <c r="GRT14">
        <v>0</v>
      </c>
      <c r="GRU14">
        <v>1377.92</v>
      </c>
      <c r="GRV14">
        <v>0</v>
      </c>
      <c r="GRW14">
        <v>2316.1</v>
      </c>
      <c r="GRX14">
        <v>4432.92</v>
      </c>
      <c r="GRY14">
        <v>1013.96</v>
      </c>
      <c r="GRZ14">
        <v>0</v>
      </c>
      <c r="GSA14">
        <v>0</v>
      </c>
      <c r="GSB14">
        <v>3182.05</v>
      </c>
      <c r="GSC14">
        <v>2662.39</v>
      </c>
      <c r="GSD14">
        <v>0</v>
      </c>
      <c r="GSE14">
        <v>2336.9899999999998</v>
      </c>
      <c r="GSF14">
        <v>0</v>
      </c>
      <c r="GSG14">
        <v>2044.91</v>
      </c>
      <c r="GSH14">
        <v>1930.35</v>
      </c>
      <c r="GSI14">
        <v>2986.91</v>
      </c>
      <c r="GSJ14">
        <v>3198.96</v>
      </c>
      <c r="GSK14">
        <v>4313.8500000000004</v>
      </c>
      <c r="GSL14">
        <v>7890.86</v>
      </c>
      <c r="GSM14">
        <v>2352.86</v>
      </c>
      <c r="GSN14">
        <v>0</v>
      </c>
      <c r="GSO14">
        <v>6399.85</v>
      </c>
      <c r="GSP14">
        <v>15442.32</v>
      </c>
      <c r="GSQ14">
        <v>581.98</v>
      </c>
      <c r="GSR14">
        <v>246723.26</v>
      </c>
    </row>
    <row r="15" spans="1:5244" x14ac:dyDescent="0.2">
      <c r="A15" s="7">
        <v>138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4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6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10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11</v>
      </c>
      <c r="PO15">
        <v>11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12</v>
      </c>
      <c r="SD15">
        <v>12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13</v>
      </c>
      <c r="UD15">
        <v>13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14</v>
      </c>
      <c r="WF15">
        <v>14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15</v>
      </c>
      <c r="YK15">
        <v>15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16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17</v>
      </c>
      <c r="ACE15">
        <v>17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18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19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20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21</v>
      </c>
      <c r="AKO15">
        <v>21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21.99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15</v>
      </c>
      <c r="AOA15">
        <v>23</v>
      </c>
      <c r="AOB15">
        <v>23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23.01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24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25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27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28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29</v>
      </c>
      <c r="AXG15">
        <v>29</v>
      </c>
      <c r="AXH15">
        <v>29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29.01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30</v>
      </c>
      <c r="AYM15">
        <v>30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31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34.99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18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19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38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39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24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40.99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41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41.99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19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42.01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9</v>
      </c>
      <c r="BOW15">
        <v>43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33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46.99</v>
      </c>
      <c r="BSD15">
        <v>0</v>
      </c>
      <c r="BSE15">
        <v>34</v>
      </c>
      <c r="BSF15">
        <v>0</v>
      </c>
      <c r="BSG15">
        <v>0</v>
      </c>
      <c r="BSH15">
        <v>0</v>
      </c>
      <c r="BSI15">
        <v>20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24.01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10</v>
      </c>
      <c r="BUK15">
        <v>49</v>
      </c>
      <c r="BUL15">
        <v>0</v>
      </c>
      <c r="BUM15">
        <v>0</v>
      </c>
      <c r="BUN15">
        <v>0</v>
      </c>
      <c r="BUO15">
        <v>0</v>
      </c>
      <c r="BUP15">
        <v>49.01</v>
      </c>
      <c r="BUQ15">
        <v>0</v>
      </c>
      <c r="BUR15">
        <v>0</v>
      </c>
      <c r="BUS15">
        <v>0</v>
      </c>
      <c r="BUT15">
        <v>0</v>
      </c>
      <c r="BUU15">
        <v>49.99</v>
      </c>
      <c r="BUV15">
        <v>49.99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50.99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52.01</v>
      </c>
      <c r="BXH15">
        <v>52.98</v>
      </c>
      <c r="BXI15">
        <v>0</v>
      </c>
      <c r="BXJ15">
        <v>0</v>
      </c>
      <c r="BXK15">
        <v>52.99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</v>
      </c>
      <c r="BXY15">
        <v>0</v>
      </c>
      <c r="BXZ15">
        <v>0</v>
      </c>
      <c r="BYA15">
        <v>0</v>
      </c>
      <c r="BYB15">
        <v>16</v>
      </c>
      <c r="BYC15">
        <v>0</v>
      </c>
      <c r="BYD15">
        <v>0</v>
      </c>
      <c r="BYE15">
        <v>0</v>
      </c>
      <c r="BYF15">
        <v>0</v>
      </c>
      <c r="BYG15">
        <v>0</v>
      </c>
      <c r="BYH15">
        <v>0</v>
      </c>
      <c r="BYI15">
        <v>0</v>
      </c>
      <c r="BYJ15">
        <v>0</v>
      </c>
      <c r="BYK15">
        <v>0</v>
      </c>
      <c r="BYL15">
        <v>0</v>
      </c>
      <c r="BYM15">
        <v>0</v>
      </c>
      <c r="BYN15">
        <v>43.01</v>
      </c>
      <c r="BYO15">
        <v>0</v>
      </c>
      <c r="BYP15">
        <v>54.01</v>
      </c>
      <c r="BYQ15">
        <v>0</v>
      </c>
      <c r="BYR15">
        <v>0</v>
      </c>
      <c r="BYS15">
        <v>0</v>
      </c>
      <c r="BYT15">
        <v>0</v>
      </c>
      <c r="BYU15">
        <v>0</v>
      </c>
      <c r="BYV15">
        <v>0</v>
      </c>
      <c r="BYW15">
        <v>0</v>
      </c>
      <c r="BYX15">
        <v>0</v>
      </c>
      <c r="BYY15">
        <v>0</v>
      </c>
      <c r="BYZ15">
        <v>0</v>
      </c>
      <c r="BZA15">
        <v>0</v>
      </c>
      <c r="BZB15">
        <v>0</v>
      </c>
      <c r="BZC15">
        <v>0</v>
      </c>
      <c r="BZD15">
        <v>0</v>
      </c>
      <c r="BZE15">
        <v>0</v>
      </c>
      <c r="BZF15">
        <v>0</v>
      </c>
      <c r="BZG15">
        <v>0</v>
      </c>
      <c r="BZH15">
        <v>0</v>
      </c>
      <c r="BZI15">
        <v>0</v>
      </c>
      <c r="BZJ15">
        <v>0</v>
      </c>
      <c r="BZK15">
        <v>0</v>
      </c>
      <c r="BZL15">
        <v>0</v>
      </c>
      <c r="BZM15">
        <v>0</v>
      </c>
      <c r="BZN15">
        <v>55</v>
      </c>
      <c r="BZO15">
        <v>55</v>
      </c>
      <c r="BZP15">
        <v>55</v>
      </c>
      <c r="BZQ15">
        <v>0</v>
      </c>
      <c r="BZR15">
        <v>0</v>
      </c>
      <c r="BZS15">
        <v>0</v>
      </c>
      <c r="BZT15">
        <v>0</v>
      </c>
      <c r="BZU15">
        <v>0</v>
      </c>
      <c r="BZV15">
        <v>0</v>
      </c>
      <c r="BZW15">
        <v>0</v>
      </c>
      <c r="BZX15">
        <v>0</v>
      </c>
      <c r="BZY15">
        <v>0</v>
      </c>
      <c r="BZZ15">
        <v>0</v>
      </c>
      <c r="CAA15">
        <v>0</v>
      </c>
      <c r="CAB15">
        <v>56</v>
      </c>
      <c r="CAC15">
        <v>0</v>
      </c>
      <c r="CAD15">
        <v>37.99</v>
      </c>
      <c r="CAE15">
        <v>0</v>
      </c>
      <c r="CAF15">
        <v>0</v>
      </c>
      <c r="CAG15">
        <v>0</v>
      </c>
      <c r="CAH15">
        <v>0</v>
      </c>
      <c r="CAI15">
        <v>0</v>
      </c>
      <c r="CAJ15">
        <v>0</v>
      </c>
      <c r="CAK15">
        <v>0</v>
      </c>
      <c r="CAL15">
        <v>0</v>
      </c>
      <c r="CAM15">
        <v>0</v>
      </c>
      <c r="CAN15">
        <v>0</v>
      </c>
      <c r="CAO15">
        <v>0</v>
      </c>
      <c r="CAP15">
        <v>0</v>
      </c>
      <c r="CAQ15">
        <v>0</v>
      </c>
      <c r="CAR15">
        <v>0</v>
      </c>
      <c r="CAS15">
        <v>0</v>
      </c>
      <c r="CAT15">
        <v>0</v>
      </c>
      <c r="CAU15">
        <v>0</v>
      </c>
      <c r="CAV15">
        <v>0</v>
      </c>
      <c r="CAW15">
        <v>0</v>
      </c>
      <c r="CAX15">
        <v>0</v>
      </c>
      <c r="CAY15">
        <v>0</v>
      </c>
      <c r="CAZ15">
        <v>0</v>
      </c>
      <c r="CBA15">
        <v>0</v>
      </c>
      <c r="CBB15">
        <v>0</v>
      </c>
      <c r="CBC15">
        <v>0</v>
      </c>
      <c r="CBD15">
        <v>20</v>
      </c>
      <c r="CBE15">
        <v>0</v>
      </c>
      <c r="CBF15">
        <v>0</v>
      </c>
      <c r="CBG15">
        <v>0</v>
      </c>
      <c r="CBH15">
        <v>0</v>
      </c>
      <c r="CBI15">
        <v>0</v>
      </c>
      <c r="CBJ15">
        <v>0</v>
      </c>
      <c r="CBK15">
        <v>0</v>
      </c>
      <c r="CBL15">
        <v>0</v>
      </c>
      <c r="CBM15">
        <v>0</v>
      </c>
      <c r="CBN15">
        <v>0</v>
      </c>
      <c r="CBO15">
        <v>0</v>
      </c>
      <c r="CBP15">
        <v>0</v>
      </c>
      <c r="CBQ15">
        <v>0</v>
      </c>
      <c r="CBR15">
        <v>0</v>
      </c>
      <c r="CBS15">
        <v>0</v>
      </c>
      <c r="CBT15">
        <v>0</v>
      </c>
      <c r="CBU15">
        <v>0</v>
      </c>
      <c r="CBV15">
        <v>0</v>
      </c>
      <c r="CBW15">
        <v>0</v>
      </c>
      <c r="CBX15">
        <v>0</v>
      </c>
      <c r="CBY15">
        <v>0</v>
      </c>
      <c r="CBZ15">
        <v>0</v>
      </c>
      <c r="CCA15">
        <v>0</v>
      </c>
      <c r="CCB15">
        <v>0</v>
      </c>
      <c r="CCC15">
        <v>0</v>
      </c>
      <c r="CCD15">
        <v>0</v>
      </c>
      <c r="CCE15">
        <v>0</v>
      </c>
      <c r="CCF15">
        <v>0</v>
      </c>
      <c r="CCG15">
        <v>0</v>
      </c>
      <c r="CCH15">
        <v>0</v>
      </c>
      <c r="CCI15">
        <v>0</v>
      </c>
      <c r="CCJ15">
        <v>0</v>
      </c>
      <c r="CCK15">
        <v>0</v>
      </c>
      <c r="CCL15">
        <v>0</v>
      </c>
      <c r="CCM15">
        <v>0</v>
      </c>
      <c r="CCN15">
        <v>0</v>
      </c>
      <c r="CCO15">
        <v>0</v>
      </c>
      <c r="CCP15">
        <v>0</v>
      </c>
      <c r="CCQ15">
        <v>0</v>
      </c>
      <c r="CCR15">
        <v>0</v>
      </c>
      <c r="CCS15">
        <v>0</v>
      </c>
      <c r="CCT15">
        <v>0</v>
      </c>
      <c r="CCU15">
        <v>0</v>
      </c>
      <c r="CCV15">
        <v>0</v>
      </c>
      <c r="CCW15">
        <v>0</v>
      </c>
      <c r="CCX15">
        <v>0</v>
      </c>
      <c r="CCY15">
        <v>0</v>
      </c>
      <c r="CCZ15">
        <v>0</v>
      </c>
      <c r="CDA15">
        <v>0</v>
      </c>
      <c r="CDB15">
        <v>0</v>
      </c>
      <c r="CDC15">
        <v>0</v>
      </c>
      <c r="CDD15">
        <v>0</v>
      </c>
      <c r="CDE15">
        <v>0</v>
      </c>
      <c r="CDF15">
        <v>0</v>
      </c>
      <c r="CDG15">
        <v>0</v>
      </c>
      <c r="CDH15">
        <v>0</v>
      </c>
      <c r="CDI15">
        <v>0</v>
      </c>
      <c r="CDJ15">
        <v>0</v>
      </c>
      <c r="CDK15">
        <v>0</v>
      </c>
      <c r="CDL15">
        <v>0</v>
      </c>
      <c r="CDM15">
        <v>0</v>
      </c>
      <c r="CDN15">
        <v>0</v>
      </c>
      <c r="CDO15">
        <v>61.99</v>
      </c>
      <c r="CDP15">
        <v>0</v>
      </c>
      <c r="CDQ15">
        <v>0</v>
      </c>
      <c r="CDR15">
        <v>0</v>
      </c>
      <c r="CDS15">
        <v>0</v>
      </c>
      <c r="CDT15">
        <v>0</v>
      </c>
      <c r="CDU15">
        <v>0</v>
      </c>
      <c r="CDV15">
        <v>0</v>
      </c>
      <c r="CDW15">
        <v>0</v>
      </c>
      <c r="CDX15">
        <v>0</v>
      </c>
      <c r="CDY15">
        <v>62</v>
      </c>
      <c r="CDZ15">
        <v>0</v>
      </c>
      <c r="CEA15">
        <v>0</v>
      </c>
      <c r="CEB15">
        <v>0</v>
      </c>
      <c r="CEC15">
        <v>0</v>
      </c>
      <c r="CED15">
        <v>0</v>
      </c>
      <c r="CEE15">
        <v>0</v>
      </c>
      <c r="CEF15">
        <v>0</v>
      </c>
      <c r="CEG15">
        <v>0</v>
      </c>
      <c r="CEH15">
        <v>0</v>
      </c>
      <c r="CEI15">
        <v>0</v>
      </c>
      <c r="CEJ15">
        <v>0</v>
      </c>
      <c r="CEK15">
        <v>0</v>
      </c>
      <c r="CEL15">
        <v>0</v>
      </c>
      <c r="CEM15">
        <v>0</v>
      </c>
      <c r="CEN15">
        <v>0</v>
      </c>
      <c r="CEO15">
        <v>0</v>
      </c>
      <c r="CEP15">
        <v>0</v>
      </c>
      <c r="CEQ15">
        <v>0</v>
      </c>
      <c r="CER15">
        <v>0</v>
      </c>
      <c r="CES15">
        <v>0</v>
      </c>
      <c r="CET15">
        <v>0</v>
      </c>
      <c r="CEU15">
        <v>0</v>
      </c>
      <c r="CEV15">
        <v>0</v>
      </c>
      <c r="CEW15">
        <v>0</v>
      </c>
      <c r="CEX15">
        <v>0</v>
      </c>
      <c r="CEY15">
        <v>0</v>
      </c>
      <c r="CEZ15">
        <v>0</v>
      </c>
      <c r="CFA15">
        <v>0</v>
      </c>
      <c r="CFB15">
        <v>0</v>
      </c>
      <c r="CFC15">
        <v>0</v>
      </c>
      <c r="CFD15">
        <v>0</v>
      </c>
      <c r="CFE15">
        <v>0</v>
      </c>
      <c r="CFF15">
        <v>0</v>
      </c>
      <c r="CFG15">
        <v>0</v>
      </c>
      <c r="CFH15">
        <v>0</v>
      </c>
      <c r="CFI15">
        <v>0</v>
      </c>
      <c r="CFJ15">
        <v>0</v>
      </c>
      <c r="CFK15">
        <v>0</v>
      </c>
      <c r="CFL15">
        <v>64</v>
      </c>
      <c r="CFM15">
        <v>0</v>
      </c>
      <c r="CFN15">
        <v>0</v>
      </c>
      <c r="CFO15">
        <v>0</v>
      </c>
      <c r="CFP15">
        <v>0</v>
      </c>
      <c r="CFQ15">
        <v>0</v>
      </c>
      <c r="CFR15">
        <v>0</v>
      </c>
      <c r="CFS15">
        <v>0</v>
      </c>
      <c r="CFT15">
        <v>0</v>
      </c>
      <c r="CFU15">
        <v>0</v>
      </c>
      <c r="CFV15">
        <v>0</v>
      </c>
      <c r="CFW15">
        <v>0</v>
      </c>
      <c r="CFX15">
        <v>0</v>
      </c>
      <c r="CFY15">
        <v>0</v>
      </c>
      <c r="CFZ15">
        <v>0</v>
      </c>
      <c r="CGA15">
        <v>0</v>
      </c>
      <c r="CGB15">
        <v>0</v>
      </c>
      <c r="CGC15">
        <v>0</v>
      </c>
      <c r="CGD15">
        <v>0</v>
      </c>
      <c r="CGE15">
        <v>0</v>
      </c>
      <c r="CGF15">
        <v>0</v>
      </c>
      <c r="CGG15">
        <v>0</v>
      </c>
      <c r="CGH15">
        <v>0</v>
      </c>
      <c r="CGI15">
        <v>0</v>
      </c>
      <c r="CGJ15">
        <v>0</v>
      </c>
      <c r="CGK15">
        <v>0</v>
      </c>
      <c r="CGL15">
        <v>0</v>
      </c>
      <c r="CGM15">
        <v>0</v>
      </c>
      <c r="CGN15">
        <v>0</v>
      </c>
      <c r="CGO15">
        <v>0</v>
      </c>
      <c r="CGP15">
        <v>0</v>
      </c>
      <c r="CGQ15">
        <v>0</v>
      </c>
      <c r="CGR15">
        <v>0</v>
      </c>
      <c r="CGS15">
        <v>0</v>
      </c>
      <c r="CGT15">
        <v>0</v>
      </c>
      <c r="CGU15">
        <v>0</v>
      </c>
      <c r="CGV15">
        <v>0</v>
      </c>
      <c r="CGW15">
        <v>0</v>
      </c>
      <c r="CGX15">
        <v>66</v>
      </c>
      <c r="CGY15">
        <v>0</v>
      </c>
      <c r="CGZ15">
        <v>0</v>
      </c>
      <c r="CHA15">
        <v>0</v>
      </c>
      <c r="CHB15">
        <v>0</v>
      </c>
      <c r="CHC15">
        <v>0</v>
      </c>
      <c r="CHD15">
        <v>0</v>
      </c>
      <c r="CHE15">
        <v>0</v>
      </c>
      <c r="CHF15">
        <v>0</v>
      </c>
      <c r="CHG15">
        <v>0</v>
      </c>
      <c r="CHH15">
        <v>0</v>
      </c>
      <c r="CHI15">
        <v>0</v>
      </c>
      <c r="CHJ15">
        <v>0</v>
      </c>
      <c r="CHK15">
        <v>0</v>
      </c>
      <c r="CHL15">
        <v>0</v>
      </c>
      <c r="CHM15">
        <v>0</v>
      </c>
      <c r="CHN15">
        <v>0</v>
      </c>
      <c r="CHO15">
        <v>0</v>
      </c>
      <c r="CHP15">
        <v>0</v>
      </c>
      <c r="CHQ15">
        <v>0</v>
      </c>
      <c r="CHR15">
        <v>0</v>
      </c>
      <c r="CHS15">
        <v>0</v>
      </c>
      <c r="CHT15">
        <v>0</v>
      </c>
      <c r="CHU15">
        <v>0</v>
      </c>
      <c r="CHV15">
        <v>0</v>
      </c>
      <c r="CHW15">
        <v>0</v>
      </c>
      <c r="CHX15">
        <v>0</v>
      </c>
      <c r="CHY15">
        <v>0</v>
      </c>
      <c r="CHZ15">
        <v>0</v>
      </c>
      <c r="CIA15">
        <v>0</v>
      </c>
      <c r="CIB15">
        <v>17</v>
      </c>
      <c r="CIC15">
        <v>0</v>
      </c>
      <c r="CID15">
        <v>0</v>
      </c>
      <c r="CIE15">
        <v>0</v>
      </c>
      <c r="CIF15">
        <v>0</v>
      </c>
      <c r="CIG15">
        <v>0</v>
      </c>
      <c r="CIH15">
        <v>0</v>
      </c>
      <c r="CII15">
        <v>0</v>
      </c>
      <c r="CIJ15">
        <v>0</v>
      </c>
      <c r="CIK15">
        <v>0</v>
      </c>
      <c r="CIL15">
        <v>0</v>
      </c>
      <c r="CIM15">
        <v>0</v>
      </c>
      <c r="CIN15">
        <v>0</v>
      </c>
      <c r="CIO15">
        <v>0</v>
      </c>
      <c r="CIP15">
        <v>0</v>
      </c>
      <c r="CIQ15">
        <v>56.98</v>
      </c>
      <c r="CIR15">
        <v>0</v>
      </c>
      <c r="CIS15">
        <v>0</v>
      </c>
      <c r="CIT15">
        <v>0</v>
      </c>
      <c r="CIU15">
        <v>0</v>
      </c>
      <c r="CIV15">
        <v>68.989999999999995</v>
      </c>
      <c r="CIW15">
        <v>0</v>
      </c>
      <c r="CIX15">
        <v>0</v>
      </c>
      <c r="CIY15">
        <v>0</v>
      </c>
      <c r="CIZ15">
        <v>0</v>
      </c>
      <c r="CJA15">
        <v>0</v>
      </c>
      <c r="CJB15">
        <v>0</v>
      </c>
      <c r="CJC15">
        <v>0</v>
      </c>
      <c r="CJD15">
        <v>0</v>
      </c>
      <c r="CJE15">
        <v>0</v>
      </c>
      <c r="CJF15">
        <v>0</v>
      </c>
      <c r="CJG15">
        <v>0</v>
      </c>
      <c r="CJH15">
        <v>0</v>
      </c>
      <c r="CJI15">
        <v>0</v>
      </c>
      <c r="CJJ15">
        <v>54</v>
      </c>
      <c r="CJK15">
        <v>0</v>
      </c>
      <c r="CJL15">
        <v>0</v>
      </c>
      <c r="CJM15">
        <v>69</v>
      </c>
      <c r="CJN15">
        <v>69</v>
      </c>
      <c r="CJO15">
        <v>0</v>
      </c>
      <c r="CJP15">
        <v>0</v>
      </c>
      <c r="CJQ15">
        <v>0</v>
      </c>
      <c r="CJR15">
        <v>0</v>
      </c>
      <c r="CJS15">
        <v>0</v>
      </c>
      <c r="CJT15">
        <v>0</v>
      </c>
      <c r="CJU15">
        <v>0</v>
      </c>
      <c r="CJV15">
        <v>0</v>
      </c>
      <c r="CJW15">
        <v>0</v>
      </c>
      <c r="CJX15">
        <v>0</v>
      </c>
      <c r="CJY15">
        <v>0</v>
      </c>
      <c r="CJZ15">
        <v>0</v>
      </c>
      <c r="CKA15">
        <v>0</v>
      </c>
      <c r="CKB15">
        <v>0</v>
      </c>
      <c r="CKC15">
        <v>0</v>
      </c>
      <c r="CKD15">
        <v>0</v>
      </c>
      <c r="CKE15">
        <v>0</v>
      </c>
      <c r="CKF15">
        <v>0</v>
      </c>
      <c r="CKG15">
        <v>0</v>
      </c>
      <c r="CKH15">
        <v>0</v>
      </c>
      <c r="CKI15">
        <v>0</v>
      </c>
      <c r="CKJ15">
        <v>0</v>
      </c>
      <c r="CKK15">
        <v>0</v>
      </c>
      <c r="CKL15">
        <v>0</v>
      </c>
      <c r="CKM15">
        <v>0</v>
      </c>
      <c r="CKN15">
        <v>0</v>
      </c>
      <c r="CKO15">
        <v>0</v>
      </c>
      <c r="CKP15">
        <v>0</v>
      </c>
      <c r="CKQ15">
        <v>0</v>
      </c>
      <c r="CKR15">
        <v>71</v>
      </c>
      <c r="CKS15">
        <v>71</v>
      </c>
      <c r="CKT15">
        <v>0</v>
      </c>
      <c r="CKU15">
        <v>0</v>
      </c>
      <c r="CKV15">
        <v>0</v>
      </c>
      <c r="CKW15">
        <v>0</v>
      </c>
      <c r="CKX15">
        <v>71.989999999999995</v>
      </c>
      <c r="CKY15">
        <v>0</v>
      </c>
      <c r="CKZ15">
        <v>0</v>
      </c>
      <c r="CLA15">
        <v>0</v>
      </c>
      <c r="CLB15">
        <v>0</v>
      </c>
      <c r="CLC15">
        <v>0</v>
      </c>
      <c r="CLD15">
        <v>0</v>
      </c>
      <c r="CLE15">
        <v>0</v>
      </c>
      <c r="CLF15">
        <v>0</v>
      </c>
      <c r="CLG15">
        <v>0</v>
      </c>
      <c r="CLH15">
        <v>0</v>
      </c>
      <c r="CLI15">
        <v>0</v>
      </c>
      <c r="CLJ15">
        <v>0</v>
      </c>
      <c r="CLK15">
        <v>0</v>
      </c>
      <c r="CLL15">
        <v>0</v>
      </c>
      <c r="CLM15">
        <v>0</v>
      </c>
      <c r="CLN15">
        <v>0</v>
      </c>
      <c r="CLO15">
        <v>0</v>
      </c>
      <c r="CLP15">
        <v>0</v>
      </c>
      <c r="CLQ15">
        <v>0</v>
      </c>
      <c r="CLR15">
        <v>0</v>
      </c>
      <c r="CLS15">
        <v>0</v>
      </c>
      <c r="CLT15">
        <v>0</v>
      </c>
      <c r="CLU15">
        <v>0</v>
      </c>
      <c r="CLV15">
        <v>0</v>
      </c>
      <c r="CLW15">
        <v>0</v>
      </c>
      <c r="CLX15">
        <v>0</v>
      </c>
      <c r="CLY15">
        <v>0</v>
      </c>
      <c r="CLZ15">
        <v>0</v>
      </c>
      <c r="CMA15">
        <v>0</v>
      </c>
      <c r="CMB15">
        <v>0</v>
      </c>
      <c r="CMC15">
        <v>0</v>
      </c>
      <c r="CMD15">
        <v>0</v>
      </c>
      <c r="CME15">
        <v>0</v>
      </c>
      <c r="CMF15">
        <v>0</v>
      </c>
      <c r="CMG15">
        <v>0</v>
      </c>
      <c r="CMH15">
        <v>0</v>
      </c>
      <c r="CMI15">
        <v>0</v>
      </c>
      <c r="CMJ15">
        <v>0</v>
      </c>
      <c r="CMK15">
        <v>0</v>
      </c>
      <c r="CML15">
        <v>0</v>
      </c>
      <c r="CMM15">
        <v>0</v>
      </c>
      <c r="CMN15">
        <v>0</v>
      </c>
      <c r="CMO15">
        <v>75</v>
      </c>
      <c r="CMP15">
        <v>0</v>
      </c>
      <c r="CMQ15">
        <v>0</v>
      </c>
      <c r="CMR15">
        <v>0</v>
      </c>
      <c r="CMS15">
        <v>0</v>
      </c>
      <c r="CMT15">
        <v>0</v>
      </c>
      <c r="CMU15">
        <v>0</v>
      </c>
      <c r="CMV15">
        <v>0</v>
      </c>
      <c r="CMW15">
        <v>0</v>
      </c>
      <c r="CMX15">
        <v>0</v>
      </c>
      <c r="CMY15">
        <v>0</v>
      </c>
      <c r="CMZ15">
        <v>76</v>
      </c>
      <c r="CNA15">
        <v>0</v>
      </c>
      <c r="CNB15">
        <v>0</v>
      </c>
      <c r="CNC15">
        <v>0</v>
      </c>
      <c r="CND15">
        <v>0</v>
      </c>
      <c r="CNE15">
        <v>0</v>
      </c>
      <c r="CNF15">
        <v>0</v>
      </c>
      <c r="CNG15">
        <v>0</v>
      </c>
      <c r="CNH15">
        <v>0</v>
      </c>
      <c r="CNI15">
        <v>0</v>
      </c>
      <c r="CNJ15">
        <v>0</v>
      </c>
      <c r="CNK15">
        <v>0</v>
      </c>
      <c r="CNL15">
        <v>0</v>
      </c>
      <c r="CNM15">
        <v>0</v>
      </c>
      <c r="CNN15">
        <v>0</v>
      </c>
      <c r="CNO15">
        <v>0</v>
      </c>
      <c r="CNP15">
        <v>0</v>
      </c>
      <c r="CNQ15">
        <v>0</v>
      </c>
      <c r="CNR15">
        <v>0</v>
      </c>
      <c r="CNS15">
        <v>0</v>
      </c>
      <c r="CNT15">
        <v>0</v>
      </c>
      <c r="CNU15">
        <v>0</v>
      </c>
      <c r="CNV15">
        <v>0</v>
      </c>
      <c r="CNW15">
        <v>0</v>
      </c>
      <c r="CNX15">
        <v>0</v>
      </c>
      <c r="CNY15">
        <v>0</v>
      </c>
      <c r="CNZ15">
        <v>0</v>
      </c>
      <c r="COA15">
        <v>0</v>
      </c>
      <c r="COB15">
        <v>0</v>
      </c>
      <c r="COC15">
        <v>0</v>
      </c>
      <c r="COD15">
        <v>0</v>
      </c>
      <c r="COE15">
        <v>0</v>
      </c>
      <c r="COF15">
        <v>0</v>
      </c>
      <c r="COG15">
        <v>0</v>
      </c>
      <c r="COH15">
        <v>0</v>
      </c>
      <c r="COI15">
        <v>0</v>
      </c>
      <c r="COJ15">
        <v>0</v>
      </c>
      <c r="COK15">
        <v>0</v>
      </c>
      <c r="COL15">
        <v>0</v>
      </c>
      <c r="COM15">
        <v>0</v>
      </c>
      <c r="CON15">
        <v>0</v>
      </c>
      <c r="COO15">
        <v>0</v>
      </c>
      <c r="COP15">
        <v>0</v>
      </c>
      <c r="COQ15">
        <v>0</v>
      </c>
      <c r="COR15">
        <v>0</v>
      </c>
      <c r="COS15">
        <v>0</v>
      </c>
      <c r="COT15">
        <v>79.010000000000005</v>
      </c>
      <c r="COU15">
        <v>0</v>
      </c>
      <c r="COV15">
        <v>0</v>
      </c>
      <c r="COW15">
        <v>0</v>
      </c>
      <c r="COX15">
        <v>0</v>
      </c>
      <c r="COY15">
        <v>0</v>
      </c>
      <c r="COZ15">
        <v>0</v>
      </c>
      <c r="CPA15">
        <v>0</v>
      </c>
      <c r="CPB15">
        <v>0</v>
      </c>
      <c r="CPC15">
        <v>0</v>
      </c>
      <c r="CPD15">
        <v>0</v>
      </c>
      <c r="CPE15">
        <v>0</v>
      </c>
      <c r="CPF15">
        <v>0</v>
      </c>
      <c r="CPG15">
        <v>0</v>
      </c>
      <c r="CPH15">
        <v>0</v>
      </c>
      <c r="CPI15">
        <v>0</v>
      </c>
      <c r="CPJ15">
        <v>0</v>
      </c>
      <c r="CPK15">
        <v>0</v>
      </c>
      <c r="CPL15">
        <v>0</v>
      </c>
      <c r="CPM15">
        <v>0</v>
      </c>
      <c r="CPN15">
        <v>0</v>
      </c>
      <c r="CPO15">
        <v>0</v>
      </c>
      <c r="CPP15">
        <v>0</v>
      </c>
      <c r="CPQ15">
        <v>0</v>
      </c>
      <c r="CPR15">
        <v>0</v>
      </c>
      <c r="CPS15">
        <v>0</v>
      </c>
      <c r="CPT15">
        <v>0</v>
      </c>
      <c r="CPU15">
        <v>82</v>
      </c>
      <c r="CPV15">
        <v>0</v>
      </c>
      <c r="CPW15">
        <v>0</v>
      </c>
      <c r="CPX15">
        <v>0</v>
      </c>
      <c r="CPY15">
        <v>0</v>
      </c>
      <c r="CPZ15">
        <v>0</v>
      </c>
      <c r="CQA15">
        <v>0</v>
      </c>
      <c r="CQB15">
        <v>83</v>
      </c>
      <c r="CQC15">
        <v>0</v>
      </c>
      <c r="CQD15">
        <v>0</v>
      </c>
      <c r="CQE15">
        <v>0</v>
      </c>
      <c r="CQF15">
        <v>0</v>
      </c>
      <c r="CQG15">
        <v>0</v>
      </c>
      <c r="CQH15">
        <v>0</v>
      </c>
      <c r="CQI15">
        <v>0</v>
      </c>
      <c r="CQJ15">
        <v>0</v>
      </c>
      <c r="CQK15">
        <v>0</v>
      </c>
      <c r="CQL15">
        <v>0</v>
      </c>
      <c r="CQM15">
        <v>0</v>
      </c>
      <c r="CQN15">
        <v>0</v>
      </c>
      <c r="CQO15">
        <v>0</v>
      </c>
      <c r="CQP15">
        <v>0</v>
      </c>
      <c r="CQQ15">
        <v>0</v>
      </c>
      <c r="CQR15">
        <v>0</v>
      </c>
      <c r="CQS15">
        <v>0</v>
      </c>
      <c r="CQT15">
        <v>0</v>
      </c>
      <c r="CQU15">
        <v>0</v>
      </c>
      <c r="CQV15">
        <v>0</v>
      </c>
      <c r="CQW15">
        <v>0</v>
      </c>
      <c r="CQX15">
        <v>55.01</v>
      </c>
      <c r="CQY15">
        <v>0</v>
      </c>
      <c r="CQZ15">
        <v>0</v>
      </c>
      <c r="CRA15">
        <v>0</v>
      </c>
      <c r="CRB15">
        <v>0</v>
      </c>
      <c r="CRC15">
        <v>0</v>
      </c>
      <c r="CRD15">
        <v>0</v>
      </c>
      <c r="CRE15">
        <v>0</v>
      </c>
      <c r="CRF15">
        <v>0</v>
      </c>
      <c r="CRG15">
        <v>0</v>
      </c>
      <c r="CRH15">
        <v>0</v>
      </c>
      <c r="CRI15">
        <v>0</v>
      </c>
      <c r="CRJ15">
        <v>0</v>
      </c>
      <c r="CRK15">
        <v>0</v>
      </c>
      <c r="CRL15">
        <v>0</v>
      </c>
      <c r="CRM15">
        <v>0</v>
      </c>
      <c r="CRN15">
        <v>0</v>
      </c>
      <c r="CRO15">
        <v>0</v>
      </c>
      <c r="CRP15">
        <v>0</v>
      </c>
      <c r="CRQ15">
        <v>0</v>
      </c>
      <c r="CRR15">
        <v>0</v>
      </c>
      <c r="CRS15">
        <v>0</v>
      </c>
      <c r="CRT15">
        <v>0</v>
      </c>
      <c r="CRU15">
        <v>0</v>
      </c>
      <c r="CRV15">
        <v>87.99</v>
      </c>
      <c r="CRW15">
        <v>0</v>
      </c>
      <c r="CRX15">
        <v>0</v>
      </c>
      <c r="CRY15">
        <v>0</v>
      </c>
      <c r="CRZ15">
        <v>0</v>
      </c>
      <c r="CSA15">
        <v>0</v>
      </c>
      <c r="CSB15">
        <v>0</v>
      </c>
      <c r="CSC15">
        <v>0</v>
      </c>
      <c r="CSD15">
        <v>0</v>
      </c>
      <c r="CSE15">
        <v>0</v>
      </c>
      <c r="CSF15">
        <v>0</v>
      </c>
      <c r="CSG15">
        <v>0</v>
      </c>
      <c r="CSH15">
        <v>21</v>
      </c>
      <c r="CSI15">
        <v>0</v>
      </c>
      <c r="CSJ15">
        <v>0</v>
      </c>
      <c r="CSK15">
        <v>0</v>
      </c>
      <c r="CSL15">
        <v>0</v>
      </c>
      <c r="CSM15">
        <v>0</v>
      </c>
      <c r="CSN15">
        <v>0</v>
      </c>
      <c r="CSO15">
        <v>0</v>
      </c>
      <c r="CSP15">
        <v>0</v>
      </c>
      <c r="CSQ15">
        <v>61</v>
      </c>
      <c r="CSR15">
        <v>0</v>
      </c>
      <c r="CSS15">
        <v>0</v>
      </c>
      <c r="CST15">
        <v>0</v>
      </c>
      <c r="CSU15">
        <v>40.01</v>
      </c>
      <c r="CSV15">
        <v>0</v>
      </c>
      <c r="CSW15">
        <v>0</v>
      </c>
      <c r="CSX15">
        <v>0</v>
      </c>
      <c r="CSY15">
        <v>43</v>
      </c>
      <c r="CSZ15">
        <v>0</v>
      </c>
      <c r="CTA15">
        <v>0</v>
      </c>
      <c r="CTB15">
        <v>0</v>
      </c>
      <c r="CTC15">
        <v>0</v>
      </c>
      <c r="CTD15">
        <v>0</v>
      </c>
      <c r="CTE15">
        <v>0</v>
      </c>
      <c r="CTF15">
        <v>0</v>
      </c>
      <c r="CTG15">
        <v>0</v>
      </c>
      <c r="CTH15">
        <v>0</v>
      </c>
      <c r="CTI15">
        <v>0</v>
      </c>
      <c r="CTJ15">
        <v>0</v>
      </c>
      <c r="CTK15">
        <v>0</v>
      </c>
      <c r="CTL15">
        <v>0</v>
      </c>
      <c r="CTM15">
        <v>0</v>
      </c>
      <c r="CTN15">
        <v>0</v>
      </c>
      <c r="CTO15">
        <v>0</v>
      </c>
      <c r="CTP15">
        <v>0</v>
      </c>
      <c r="CTQ15">
        <v>0</v>
      </c>
      <c r="CTR15">
        <v>0</v>
      </c>
      <c r="CTS15">
        <v>0</v>
      </c>
      <c r="CTT15">
        <v>0</v>
      </c>
      <c r="CTU15">
        <v>0</v>
      </c>
      <c r="CTV15">
        <v>0</v>
      </c>
      <c r="CTW15">
        <v>0</v>
      </c>
      <c r="CTX15">
        <v>0</v>
      </c>
      <c r="CTY15">
        <v>0</v>
      </c>
      <c r="CTZ15">
        <v>0</v>
      </c>
      <c r="CUA15">
        <v>0</v>
      </c>
      <c r="CUB15">
        <v>0</v>
      </c>
      <c r="CUC15">
        <v>0</v>
      </c>
      <c r="CUD15">
        <v>0</v>
      </c>
      <c r="CUE15">
        <v>0</v>
      </c>
      <c r="CUF15">
        <v>0</v>
      </c>
      <c r="CUG15">
        <v>0</v>
      </c>
      <c r="CUH15">
        <v>0</v>
      </c>
      <c r="CUI15">
        <v>0</v>
      </c>
      <c r="CUJ15">
        <v>0</v>
      </c>
      <c r="CUK15">
        <v>0</v>
      </c>
      <c r="CUL15">
        <v>0</v>
      </c>
      <c r="CUM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0</v>
      </c>
      <c r="CUT15">
        <v>0</v>
      </c>
      <c r="CUU15">
        <v>0</v>
      </c>
      <c r="CUV15">
        <v>0</v>
      </c>
      <c r="CUW15">
        <v>0</v>
      </c>
      <c r="CUX15">
        <v>0</v>
      </c>
      <c r="CUY15">
        <v>0</v>
      </c>
      <c r="CUZ15">
        <v>0</v>
      </c>
      <c r="CVA15">
        <v>95</v>
      </c>
      <c r="CVB15">
        <v>95</v>
      </c>
      <c r="CVC15">
        <v>32</v>
      </c>
      <c r="CVD15">
        <v>95</v>
      </c>
      <c r="CVE15">
        <v>0</v>
      </c>
      <c r="CVF15">
        <v>0</v>
      </c>
      <c r="CVG15">
        <v>0</v>
      </c>
      <c r="CVH15">
        <v>0</v>
      </c>
      <c r="CVI15">
        <v>0</v>
      </c>
      <c r="CVJ15">
        <v>0</v>
      </c>
      <c r="CVK15">
        <v>0</v>
      </c>
      <c r="CVL15">
        <v>0</v>
      </c>
      <c r="CVM15">
        <v>0</v>
      </c>
      <c r="CVN15">
        <v>0</v>
      </c>
      <c r="CVO15">
        <v>0</v>
      </c>
      <c r="CVP15">
        <v>0</v>
      </c>
      <c r="CVQ15">
        <v>0</v>
      </c>
      <c r="CVR15">
        <v>0</v>
      </c>
      <c r="CVS15">
        <v>0</v>
      </c>
      <c r="CVT15">
        <v>0</v>
      </c>
      <c r="CVU15">
        <v>0</v>
      </c>
      <c r="CVV15">
        <v>0</v>
      </c>
      <c r="CVW15">
        <v>0</v>
      </c>
      <c r="CVX15">
        <v>0</v>
      </c>
      <c r="CVY15">
        <v>0</v>
      </c>
      <c r="CVZ15">
        <v>0</v>
      </c>
      <c r="CWA15">
        <v>0</v>
      </c>
      <c r="CWB15">
        <v>0</v>
      </c>
      <c r="CWC15">
        <v>33.99</v>
      </c>
      <c r="CWD15">
        <v>0</v>
      </c>
      <c r="CWE15">
        <v>0</v>
      </c>
      <c r="CWF15">
        <v>0</v>
      </c>
      <c r="CWG15">
        <v>0</v>
      </c>
      <c r="CWH15">
        <v>0</v>
      </c>
      <c r="CWI15">
        <v>0</v>
      </c>
      <c r="CWJ15">
        <v>0</v>
      </c>
      <c r="CWK15">
        <v>0</v>
      </c>
      <c r="CWL15">
        <v>0</v>
      </c>
      <c r="CWM15">
        <v>0</v>
      </c>
      <c r="CWN15">
        <v>0</v>
      </c>
      <c r="CWO15">
        <v>0</v>
      </c>
      <c r="CWP15">
        <v>0</v>
      </c>
      <c r="CWQ15">
        <v>0</v>
      </c>
      <c r="CWR15">
        <v>0</v>
      </c>
      <c r="CWS15">
        <v>0</v>
      </c>
      <c r="CWT15">
        <v>0</v>
      </c>
      <c r="CWU15">
        <v>0</v>
      </c>
      <c r="CWV15">
        <v>0</v>
      </c>
      <c r="CWW15">
        <v>0</v>
      </c>
      <c r="CWX15">
        <v>0</v>
      </c>
      <c r="CWY15">
        <v>0</v>
      </c>
      <c r="CWZ15">
        <v>0</v>
      </c>
      <c r="CXA15">
        <v>0</v>
      </c>
      <c r="CXB15">
        <v>0</v>
      </c>
      <c r="CXC15">
        <v>0</v>
      </c>
      <c r="CXD15">
        <v>0</v>
      </c>
      <c r="CXE15">
        <v>0</v>
      </c>
      <c r="CXF15">
        <v>0</v>
      </c>
      <c r="CXG15">
        <v>0</v>
      </c>
      <c r="CXH15">
        <v>73</v>
      </c>
      <c r="CXI15">
        <v>0</v>
      </c>
      <c r="CXJ15">
        <v>0</v>
      </c>
      <c r="CXK15">
        <v>0</v>
      </c>
      <c r="CXL15">
        <v>0</v>
      </c>
      <c r="CXM15">
        <v>0</v>
      </c>
      <c r="CXN15">
        <v>0</v>
      </c>
      <c r="CXO15">
        <v>0</v>
      </c>
      <c r="CXP15">
        <v>0</v>
      </c>
      <c r="CXQ15">
        <v>0</v>
      </c>
      <c r="CXR15">
        <v>0</v>
      </c>
      <c r="CXS15">
        <v>0</v>
      </c>
      <c r="CXT15">
        <v>90.01</v>
      </c>
      <c r="CXU15">
        <v>0</v>
      </c>
      <c r="CXV15">
        <v>0</v>
      </c>
      <c r="CXW15">
        <v>0</v>
      </c>
      <c r="CXX15">
        <v>0</v>
      </c>
      <c r="CXY15">
        <v>0</v>
      </c>
      <c r="CXZ15">
        <v>0</v>
      </c>
      <c r="CYA15">
        <v>30</v>
      </c>
      <c r="CYB15">
        <v>0</v>
      </c>
      <c r="CYC15">
        <v>0</v>
      </c>
      <c r="CYD15">
        <v>0</v>
      </c>
      <c r="CYE15">
        <v>0</v>
      </c>
      <c r="CYF15">
        <v>0</v>
      </c>
      <c r="CYG15">
        <v>0</v>
      </c>
      <c r="CYH15">
        <v>0</v>
      </c>
      <c r="CYI15">
        <v>0</v>
      </c>
      <c r="CYJ15">
        <v>0</v>
      </c>
      <c r="CYK15">
        <v>98</v>
      </c>
      <c r="CYL15">
        <v>0</v>
      </c>
      <c r="CYM15">
        <v>0</v>
      </c>
      <c r="CYN15">
        <v>0</v>
      </c>
      <c r="CYO15">
        <v>0</v>
      </c>
      <c r="CYP15">
        <v>0</v>
      </c>
      <c r="CYQ15">
        <v>0</v>
      </c>
      <c r="CYR15">
        <v>33</v>
      </c>
      <c r="CYS15">
        <v>0</v>
      </c>
      <c r="CYT15">
        <v>0</v>
      </c>
      <c r="CYU15">
        <v>0</v>
      </c>
      <c r="CYV15">
        <v>0</v>
      </c>
      <c r="CYW15">
        <v>0</v>
      </c>
      <c r="CYX15">
        <v>0</v>
      </c>
      <c r="CYY15">
        <v>0</v>
      </c>
      <c r="CYZ15">
        <v>0</v>
      </c>
      <c r="CZA15">
        <v>0</v>
      </c>
      <c r="CZB15">
        <v>0</v>
      </c>
      <c r="CZC15">
        <v>0</v>
      </c>
      <c r="CZD15">
        <v>0</v>
      </c>
      <c r="CZE15">
        <v>0</v>
      </c>
      <c r="CZF15">
        <v>0</v>
      </c>
      <c r="CZG15">
        <v>0</v>
      </c>
      <c r="CZH15">
        <v>0</v>
      </c>
      <c r="CZI15">
        <v>0</v>
      </c>
      <c r="CZJ15">
        <v>0</v>
      </c>
      <c r="CZK15">
        <v>0</v>
      </c>
      <c r="CZL15">
        <v>0</v>
      </c>
      <c r="CZM15">
        <v>0</v>
      </c>
      <c r="CZN15">
        <v>0</v>
      </c>
      <c r="CZO15">
        <v>0</v>
      </c>
      <c r="CZP15">
        <v>0</v>
      </c>
      <c r="CZQ15">
        <v>0</v>
      </c>
      <c r="CZR15">
        <v>9</v>
      </c>
      <c r="CZS15">
        <v>0</v>
      </c>
      <c r="CZT15">
        <v>0</v>
      </c>
      <c r="CZU15">
        <v>0</v>
      </c>
      <c r="CZV15">
        <v>0</v>
      </c>
      <c r="CZW15">
        <v>0</v>
      </c>
      <c r="CZX15">
        <v>0</v>
      </c>
      <c r="CZY15">
        <v>0</v>
      </c>
      <c r="CZZ15">
        <v>0</v>
      </c>
      <c r="DAA15">
        <v>0</v>
      </c>
      <c r="DAB15">
        <v>0</v>
      </c>
      <c r="DAC15">
        <v>0</v>
      </c>
      <c r="DAD15">
        <v>0</v>
      </c>
      <c r="DAE15">
        <v>0</v>
      </c>
      <c r="DAF15">
        <v>0</v>
      </c>
      <c r="DAG15">
        <v>0</v>
      </c>
      <c r="DAH15">
        <v>0</v>
      </c>
      <c r="DAI15">
        <v>0</v>
      </c>
      <c r="DAJ15">
        <v>0</v>
      </c>
      <c r="DAK15">
        <v>0</v>
      </c>
      <c r="DAL15">
        <v>0</v>
      </c>
      <c r="DAM15">
        <v>0</v>
      </c>
      <c r="DAN15">
        <v>0</v>
      </c>
      <c r="DAO15">
        <v>0</v>
      </c>
      <c r="DAP15">
        <v>0</v>
      </c>
      <c r="DAQ15">
        <v>0</v>
      </c>
      <c r="DAR15">
        <v>0</v>
      </c>
      <c r="DAS15">
        <v>108.02</v>
      </c>
      <c r="DAT15">
        <v>0</v>
      </c>
      <c r="DAU15">
        <v>0</v>
      </c>
      <c r="DAV15">
        <v>0</v>
      </c>
      <c r="DAW15">
        <v>0</v>
      </c>
      <c r="DAX15">
        <v>0</v>
      </c>
      <c r="DAY15">
        <v>0</v>
      </c>
      <c r="DAZ15">
        <v>0</v>
      </c>
      <c r="DBA15">
        <v>109</v>
      </c>
      <c r="DBB15">
        <v>0</v>
      </c>
      <c r="DBC15">
        <v>0</v>
      </c>
      <c r="DBD15">
        <v>0</v>
      </c>
      <c r="DBE15">
        <v>0</v>
      </c>
      <c r="DBF15">
        <v>0</v>
      </c>
      <c r="DBG15">
        <v>0</v>
      </c>
      <c r="DBH15">
        <v>0</v>
      </c>
      <c r="DBI15">
        <v>0</v>
      </c>
      <c r="DBJ15">
        <v>0</v>
      </c>
      <c r="DBK15">
        <v>0</v>
      </c>
      <c r="DBL15">
        <v>0</v>
      </c>
      <c r="DBM15">
        <v>0</v>
      </c>
      <c r="DBN15">
        <v>0</v>
      </c>
      <c r="DBO15">
        <v>0</v>
      </c>
      <c r="DBP15">
        <v>0</v>
      </c>
      <c r="DBQ15">
        <v>0</v>
      </c>
      <c r="DBR15">
        <v>0</v>
      </c>
      <c r="DBS15">
        <v>0</v>
      </c>
      <c r="DBT15">
        <v>0</v>
      </c>
      <c r="DBU15">
        <v>111.02</v>
      </c>
      <c r="DBV15">
        <v>0</v>
      </c>
      <c r="DBW15">
        <v>0</v>
      </c>
      <c r="DBX15">
        <v>0</v>
      </c>
      <c r="DBY15">
        <v>0</v>
      </c>
      <c r="DBZ15">
        <v>0</v>
      </c>
      <c r="DCA15">
        <v>13</v>
      </c>
      <c r="DCB15">
        <v>0</v>
      </c>
      <c r="DCC15">
        <v>0</v>
      </c>
      <c r="DCD15">
        <v>112</v>
      </c>
      <c r="DCE15">
        <v>0</v>
      </c>
      <c r="DCF15">
        <v>0</v>
      </c>
      <c r="DCG15">
        <v>0</v>
      </c>
      <c r="DCH15">
        <v>0</v>
      </c>
      <c r="DCI15">
        <v>0</v>
      </c>
      <c r="DCJ15">
        <v>0</v>
      </c>
      <c r="DCK15">
        <v>0</v>
      </c>
      <c r="DCL15">
        <v>0</v>
      </c>
      <c r="DCM15">
        <v>0</v>
      </c>
      <c r="DCN15">
        <v>0</v>
      </c>
      <c r="DCO15">
        <v>0</v>
      </c>
      <c r="DCP15">
        <v>0</v>
      </c>
      <c r="DCQ15">
        <v>0</v>
      </c>
      <c r="DCR15">
        <v>0</v>
      </c>
      <c r="DCS15">
        <v>0</v>
      </c>
      <c r="DCT15">
        <v>114</v>
      </c>
      <c r="DCU15">
        <v>0</v>
      </c>
      <c r="DCV15">
        <v>0</v>
      </c>
      <c r="DCW15">
        <v>0</v>
      </c>
      <c r="DCX15">
        <v>0</v>
      </c>
      <c r="DCY15">
        <v>0</v>
      </c>
      <c r="DCZ15">
        <v>0</v>
      </c>
      <c r="DDA15">
        <v>0</v>
      </c>
      <c r="DDB15">
        <v>0</v>
      </c>
      <c r="DDC15">
        <v>0</v>
      </c>
      <c r="DDD15">
        <v>0</v>
      </c>
      <c r="DDE15">
        <v>0</v>
      </c>
      <c r="DDF15">
        <v>0</v>
      </c>
      <c r="DDG15">
        <v>0</v>
      </c>
      <c r="DDH15">
        <v>0</v>
      </c>
      <c r="DDI15">
        <v>0</v>
      </c>
      <c r="DDJ15">
        <v>0</v>
      </c>
      <c r="DDK15">
        <v>104</v>
      </c>
      <c r="DDL15">
        <v>0</v>
      </c>
      <c r="DDM15">
        <v>0</v>
      </c>
      <c r="DDN15">
        <v>0</v>
      </c>
      <c r="DDO15">
        <v>0</v>
      </c>
      <c r="DDP15">
        <v>0</v>
      </c>
      <c r="DDQ15">
        <v>0</v>
      </c>
      <c r="DDR15">
        <v>0</v>
      </c>
      <c r="DDS15">
        <v>0</v>
      </c>
      <c r="DDT15">
        <v>0</v>
      </c>
      <c r="DDU15">
        <v>0</v>
      </c>
      <c r="DDV15">
        <v>0</v>
      </c>
      <c r="DDW15">
        <v>0</v>
      </c>
      <c r="DDX15">
        <v>0</v>
      </c>
      <c r="DDY15">
        <v>0</v>
      </c>
      <c r="DDZ15">
        <v>0</v>
      </c>
      <c r="DEA15">
        <v>0</v>
      </c>
      <c r="DEB15">
        <v>0</v>
      </c>
      <c r="DEC15">
        <v>0</v>
      </c>
      <c r="DED15">
        <v>0</v>
      </c>
      <c r="DEE15">
        <v>0</v>
      </c>
      <c r="DEF15">
        <v>0</v>
      </c>
      <c r="DEG15">
        <v>0</v>
      </c>
      <c r="DEH15">
        <v>0</v>
      </c>
      <c r="DEI15">
        <v>64</v>
      </c>
      <c r="DEJ15">
        <v>0</v>
      </c>
      <c r="DEK15">
        <v>0</v>
      </c>
      <c r="DEL15">
        <v>0</v>
      </c>
      <c r="DEM15">
        <v>0</v>
      </c>
      <c r="DEN15">
        <v>0</v>
      </c>
      <c r="DEO15">
        <v>0</v>
      </c>
      <c r="DEP15">
        <v>0</v>
      </c>
      <c r="DEQ15">
        <v>0</v>
      </c>
      <c r="DER15">
        <v>0</v>
      </c>
      <c r="DES15">
        <v>0</v>
      </c>
      <c r="DET15">
        <v>0</v>
      </c>
      <c r="DEU15">
        <v>0</v>
      </c>
      <c r="DEV15">
        <v>0</v>
      </c>
      <c r="DEW15">
        <v>0</v>
      </c>
      <c r="DEX15">
        <v>0</v>
      </c>
      <c r="DEY15">
        <v>0</v>
      </c>
      <c r="DEZ15">
        <v>0</v>
      </c>
      <c r="DFA15">
        <v>29</v>
      </c>
      <c r="DFB15">
        <v>0</v>
      </c>
      <c r="DFC15">
        <v>0</v>
      </c>
      <c r="DFD15">
        <v>0</v>
      </c>
      <c r="DFE15">
        <v>0</v>
      </c>
      <c r="DFF15">
        <v>0</v>
      </c>
      <c r="DFG15">
        <v>0</v>
      </c>
      <c r="DFH15">
        <v>0</v>
      </c>
      <c r="DFI15">
        <v>113</v>
      </c>
      <c r="DFJ15">
        <v>0</v>
      </c>
      <c r="DFK15">
        <v>121.99</v>
      </c>
      <c r="DFL15">
        <v>0</v>
      </c>
      <c r="DFM15">
        <v>0</v>
      </c>
      <c r="DFN15">
        <v>0</v>
      </c>
      <c r="DFO15">
        <v>0</v>
      </c>
      <c r="DFP15">
        <v>0</v>
      </c>
      <c r="DFQ15">
        <v>0</v>
      </c>
      <c r="DFR15">
        <v>0</v>
      </c>
      <c r="DFS15">
        <v>0</v>
      </c>
      <c r="DFT15">
        <v>0</v>
      </c>
      <c r="DFU15">
        <v>0</v>
      </c>
      <c r="DFV15">
        <v>0</v>
      </c>
      <c r="DFW15">
        <v>0</v>
      </c>
      <c r="DFX15">
        <v>0</v>
      </c>
      <c r="DFY15">
        <v>0</v>
      </c>
      <c r="DFZ15">
        <v>0</v>
      </c>
      <c r="DGA15">
        <v>0</v>
      </c>
      <c r="DGB15">
        <v>124.99</v>
      </c>
      <c r="DGC15">
        <v>0</v>
      </c>
      <c r="DGD15">
        <v>0</v>
      </c>
      <c r="DGE15">
        <v>0</v>
      </c>
      <c r="DGF15">
        <v>0</v>
      </c>
      <c r="DGG15">
        <v>125</v>
      </c>
      <c r="DGH15">
        <v>0</v>
      </c>
      <c r="DGI15">
        <v>0</v>
      </c>
      <c r="DGJ15">
        <v>0</v>
      </c>
      <c r="DGK15">
        <v>0</v>
      </c>
      <c r="DGL15">
        <v>0</v>
      </c>
      <c r="DGM15">
        <v>0</v>
      </c>
      <c r="DGN15">
        <v>0</v>
      </c>
      <c r="DGO15">
        <v>0</v>
      </c>
      <c r="DGP15">
        <v>0</v>
      </c>
      <c r="DGQ15">
        <v>0</v>
      </c>
      <c r="DGR15">
        <v>52.98</v>
      </c>
      <c r="DGS15">
        <v>0</v>
      </c>
      <c r="DGT15">
        <v>0</v>
      </c>
      <c r="DGU15">
        <v>0</v>
      </c>
      <c r="DGV15">
        <v>0</v>
      </c>
      <c r="DGW15">
        <v>0</v>
      </c>
      <c r="DGX15">
        <v>0</v>
      </c>
      <c r="DGY15">
        <v>111</v>
      </c>
      <c r="DGZ15">
        <v>0</v>
      </c>
      <c r="DHA15">
        <v>0</v>
      </c>
      <c r="DHB15">
        <v>26.01</v>
      </c>
      <c r="DHC15">
        <v>0</v>
      </c>
      <c r="DHD15">
        <v>0</v>
      </c>
      <c r="DHE15">
        <v>0</v>
      </c>
      <c r="DHF15">
        <v>0</v>
      </c>
      <c r="DHG15">
        <v>0</v>
      </c>
      <c r="DHH15">
        <v>127.99</v>
      </c>
      <c r="DHI15">
        <v>0</v>
      </c>
      <c r="DHJ15">
        <v>0</v>
      </c>
      <c r="DHK15">
        <v>0</v>
      </c>
      <c r="DHL15">
        <v>0</v>
      </c>
      <c r="DHM15">
        <v>0</v>
      </c>
      <c r="DHN15">
        <v>0</v>
      </c>
      <c r="DHO15">
        <v>0</v>
      </c>
      <c r="DHP15">
        <v>114.99</v>
      </c>
      <c r="DHQ15">
        <v>0</v>
      </c>
      <c r="DHR15">
        <v>0</v>
      </c>
      <c r="DHS15">
        <v>0</v>
      </c>
      <c r="DHT15">
        <v>0</v>
      </c>
      <c r="DHU15">
        <v>0</v>
      </c>
      <c r="DHV15">
        <v>0</v>
      </c>
      <c r="DHW15">
        <v>25.01</v>
      </c>
      <c r="DHX15">
        <v>0</v>
      </c>
      <c r="DHY15">
        <v>0</v>
      </c>
      <c r="DHZ15">
        <v>0</v>
      </c>
      <c r="DIA15">
        <v>0</v>
      </c>
      <c r="DIB15">
        <v>0</v>
      </c>
      <c r="DIC15">
        <v>0</v>
      </c>
      <c r="DID15">
        <v>0</v>
      </c>
      <c r="DIE15">
        <v>0</v>
      </c>
      <c r="DIF15">
        <v>0</v>
      </c>
      <c r="DIG15">
        <v>0</v>
      </c>
      <c r="DIH15">
        <v>0</v>
      </c>
      <c r="DII15">
        <v>0</v>
      </c>
      <c r="DIJ15">
        <v>29</v>
      </c>
      <c r="DIK15">
        <v>0</v>
      </c>
      <c r="DIL15">
        <v>0</v>
      </c>
      <c r="DIM15">
        <v>0</v>
      </c>
      <c r="DIN15">
        <v>0</v>
      </c>
      <c r="DIO15">
        <v>131</v>
      </c>
      <c r="DIP15">
        <v>0</v>
      </c>
      <c r="DIQ15">
        <v>0</v>
      </c>
      <c r="DIR15">
        <v>0</v>
      </c>
      <c r="DIS15">
        <v>0</v>
      </c>
      <c r="DIT15">
        <v>0</v>
      </c>
      <c r="DIU15">
        <v>0</v>
      </c>
      <c r="DIV15">
        <v>0</v>
      </c>
      <c r="DIW15">
        <v>0</v>
      </c>
      <c r="DIX15">
        <v>0</v>
      </c>
      <c r="DIY15">
        <v>0</v>
      </c>
      <c r="DIZ15">
        <v>0</v>
      </c>
      <c r="DJA15">
        <v>0</v>
      </c>
      <c r="DJB15">
        <v>0</v>
      </c>
      <c r="DJC15">
        <v>0</v>
      </c>
      <c r="DJD15">
        <v>0</v>
      </c>
      <c r="DJE15">
        <v>0</v>
      </c>
      <c r="DJF15">
        <v>0</v>
      </c>
      <c r="DJG15">
        <v>0</v>
      </c>
      <c r="DJH15">
        <v>0</v>
      </c>
      <c r="DJI15">
        <v>0</v>
      </c>
      <c r="DJJ15">
        <v>19</v>
      </c>
      <c r="DJK15">
        <v>21</v>
      </c>
      <c r="DJL15">
        <v>0</v>
      </c>
      <c r="DJM15">
        <v>0</v>
      </c>
      <c r="DJN15">
        <v>0</v>
      </c>
      <c r="DJO15">
        <v>0</v>
      </c>
      <c r="DJP15">
        <v>0</v>
      </c>
      <c r="DJQ15">
        <v>0</v>
      </c>
      <c r="DJR15">
        <v>0</v>
      </c>
      <c r="DJS15">
        <v>0</v>
      </c>
      <c r="DJT15">
        <v>0</v>
      </c>
      <c r="DJU15">
        <v>39.99</v>
      </c>
      <c r="DJV15">
        <v>0</v>
      </c>
      <c r="DJW15">
        <v>0</v>
      </c>
      <c r="DJX15">
        <v>0</v>
      </c>
      <c r="DJY15">
        <v>0</v>
      </c>
      <c r="DJZ15">
        <v>0</v>
      </c>
      <c r="DKA15">
        <v>0</v>
      </c>
      <c r="DKB15">
        <v>74.97</v>
      </c>
      <c r="DKC15">
        <v>0</v>
      </c>
      <c r="DKD15">
        <v>0</v>
      </c>
      <c r="DKE15">
        <v>0</v>
      </c>
      <c r="DKF15">
        <v>0</v>
      </c>
      <c r="DKG15">
        <v>0</v>
      </c>
      <c r="DKH15">
        <v>0</v>
      </c>
      <c r="DKI15">
        <v>0</v>
      </c>
      <c r="DKJ15">
        <v>0</v>
      </c>
      <c r="DKK15">
        <v>0</v>
      </c>
      <c r="DKL15">
        <v>0</v>
      </c>
      <c r="DKM15">
        <v>110.99</v>
      </c>
      <c r="DKN15">
        <v>0</v>
      </c>
      <c r="DKO15">
        <v>138.96</v>
      </c>
      <c r="DKP15">
        <v>0</v>
      </c>
      <c r="DKQ15">
        <v>0</v>
      </c>
      <c r="DKR15">
        <v>0</v>
      </c>
      <c r="DKS15">
        <v>0</v>
      </c>
      <c r="DKT15">
        <v>58</v>
      </c>
      <c r="DKU15">
        <v>0</v>
      </c>
      <c r="DKV15">
        <v>0</v>
      </c>
      <c r="DKW15">
        <v>0</v>
      </c>
      <c r="DKX15">
        <v>0</v>
      </c>
      <c r="DKY15">
        <v>0</v>
      </c>
      <c r="DKZ15">
        <v>0</v>
      </c>
      <c r="DLA15">
        <v>0</v>
      </c>
      <c r="DLB15">
        <v>0</v>
      </c>
      <c r="DLC15">
        <v>140</v>
      </c>
      <c r="DLD15">
        <v>0</v>
      </c>
      <c r="DLE15">
        <v>140.04</v>
      </c>
      <c r="DLF15">
        <v>0</v>
      </c>
      <c r="DLG15">
        <v>7</v>
      </c>
      <c r="DLH15">
        <v>0</v>
      </c>
      <c r="DLI15">
        <v>0</v>
      </c>
      <c r="DLJ15">
        <v>0</v>
      </c>
      <c r="DLK15">
        <v>0</v>
      </c>
      <c r="DLL15">
        <v>0</v>
      </c>
      <c r="DLM15">
        <v>0</v>
      </c>
      <c r="DLN15">
        <v>0</v>
      </c>
      <c r="DLO15">
        <v>30</v>
      </c>
      <c r="DLP15">
        <v>0</v>
      </c>
      <c r="DLQ15">
        <v>0</v>
      </c>
      <c r="DLR15">
        <v>0</v>
      </c>
      <c r="DLS15">
        <v>0</v>
      </c>
      <c r="DLT15">
        <v>0</v>
      </c>
      <c r="DLU15">
        <v>0</v>
      </c>
      <c r="DLV15">
        <v>0</v>
      </c>
      <c r="DLW15">
        <v>0</v>
      </c>
      <c r="DLX15">
        <v>90.98</v>
      </c>
      <c r="DLY15">
        <v>0</v>
      </c>
      <c r="DLZ15">
        <v>0</v>
      </c>
      <c r="DMA15">
        <v>0</v>
      </c>
      <c r="DMB15">
        <v>145</v>
      </c>
      <c r="DMC15">
        <v>63.01</v>
      </c>
      <c r="DMD15">
        <v>0</v>
      </c>
      <c r="DME15">
        <v>0</v>
      </c>
      <c r="DMF15">
        <v>0</v>
      </c>
      <c r="DMG15">
        <v>146</v>
      </c>
      <c r="DMH15">
        <v>0</v>
      </c>
      <c r="DMI15">
        <v>0</v>
      </c>
      <c r="DMJ15">
        <v>0</v>
      </c>
      <c r="DMK15">
        <v>0</v>
      </c>
      <c r="DML15">
        <v>0</v>
      </c>
      <c r="DMM15">
        <v>0</v>
      </c>
      <c r="DMN15">
        <v>0</v>
      </c>
      <c r="DMO15">
        <v>0</v>
      </c>
      <c r="DMP15">
        <v>0</v>
      </c>
      <c r="DMQ15">
        <v>0</v>
      </c>
      <c r="DMR15">
        <v>0</v>
      </c>
      <c r="DMS15">
        <v>0</v>
      </c>
      <c r="DMT15">
        <v>0</v>
      </c>
      <c r="DMU15">
        <v>0</v>
      </c>
      <c r="DMV15">
        <v>0</v>
      </c>
      <c r="DMW15">
        <v>0</v>
      </c>
      <c r="DMX15">
        <v>0</v>
      </c>
      <c r="DMY15">
        <v>0</v>
      </c>
      <c r="DMZ15">
        <v>0</v>
      </c>
      <c r="DNA15">
        <v>0</v>
      </c>
      <c r="DNB15">
        <v>0</v>
      </c>
      <c r="DNC15">
        <v>0</v>
      </c>
      <c r="DND15">
        <v>0</v>
      </c>
      <c r="DNE15">
        <v>0</v>
      </c>
      <c r="DNF15">
        <v>0</v>
      </c>
      <c r="DNG15">
        <v>0</v>
      </c>
      <c r="DNH15">
        <v>0</v>
      </c>
      <c r="DNI15">
        <v>0</v>
      </c>
      <c r="DNJ15">
        <v>0</v>
      </c>
      <c r="DNK15">
        <v>0</v>
      </c>
      <c r="DNL15">
        <v>0</v>
      </c>
      <c r="DNM15">
        <v>95</v>
      </c>
      <c r="DNN15">
        <v>0</v>
      </c>
      <c r="DNO15">
        <v>150</v>
      </c>
      <c r="DNP15">
        <v>0</v>
      </c>
      <c r="DNQ15">
        <v>0</v>
      </c>
      <c r="DNR15">
        <v>0</v>
      </c>
      <c r="DNS15">
        <v>0</v>
      </c>
      <c r="DNT15">
        <v>0</v>
      </c>
      <c r="DNU15">
        <v>0</v>
      </c>
      <c r="DNV15">
        <v>0</v>
      </c>
      <c r="DNW15">
        <v>0</v>
      </c>
      <c r="DNX15">
        <v>0</v>
      </c>
      <c r="DNY15">
        <v>0</v>
      </c>
      <c r="DNZ15">
        <v>0</v>
      </c>
      <c r="DOA15">
        <v>0</v>
      </c>
      <c r="DOB15">
        <v>40.01</v>
      </c>
      <c r="DOC15">
        <v>0</v>
      </c>
      <c r="DOD15">
        <v>0</v>
      </c>
      <c r="DOE15">
        <v>0</v>
      </c>
      <c r="DOF15">
        <v>0</v>
      </c>
      <c r="DOG15">
        <v>0</v>
      </c>
      <c r="DOH15">
        <v>0</v>
      </c>
      <c r="DOI15">
        <v>0</v>
      </c>
      <c r="DOJ15">
        <v>153.01</v>
      </c>
      <c r="DOK15">
        <v>0</v>
      </c>
      <c r="DOL15">
        <v>33</v>
      </c>
      <c r="DOM15">
        <v>0</v>
      </c>
      <c r="DON15">
        <v>0</v>
      </c>
      <c r="DOO15">
        <v>0</v>
      </c>
      <c r="DOP15">
        <v>0</v>
      </c>
      <c r="DOQ15">
        <v>0</v>
      </c>
      <c r="DOR15">
        <v>0</v>
      </c>
      <c r="DOS15">
        <v>0</v>
      </c>
      <c r="DOT15">
        <v>0</v>
      </c>
      <c r="DOU15">
        <v>0</v>
      </c>
      <c r="DOV15">
        <v>0</v>
      </c>
      <c r="DOW15">
        <v>0</v>
      </c>
      <c r="DOX15">
        <v>0</v>
      </c>
      <c r="DOY15">
        <v>0</v>
      </c>
      <c r="DOZ15">
        <v>0</v>
      </c>
      <c r="DPA15">
        <v>0</v>
      </c>
      <c r="DPB15">
        <v>0</v>
      </c>
      <c r="DPC15">
        <v>0</v>
      </c>
      <c r="DPD15">
        <v>0</v>
      </c>
      <c r="DPE15">
        <v>0</v>
      </c>
      <c r="DPF15">
        <v>0</v>
      </c>
      <c r="DPG15">
        <v>0</v>
      </c>
      <c r="DPH15">
        <v>0</v>
      </c>
      <c r="DPI15">
        <v>0</v>
      </c>
      <c r="DPJ15">
        <v>0</v>
      </c>
      <c r="DPK15">
        <v>0</v>
      </c>
      <c r="DPL15">
        <v>0</v>
      </c>
      <c r="DPM15">
        <v>0</v>
      </c>
      <c r="DPN15">
        <v>0</v>
      </c>
      <c r="DPO15">
        <v>0</v>
      </c>
      <c r="DPP15">
        <v>158.99</v>
      </c>
      <c r="DPQ15">
        <v>0</v>
      </c>
      <c r="DPR15">
        <v>0</v>
      </c>
      <c r="DPS15">
        <v>0</v>
      </c>
      <c r="DPT15">
        <v>15</v>
      </c>
      <c r="DPU15">
        <v>0</v>
      </c>
      <c r="DPV15">
        <v>0</v>
      </c>
      <c r="DPW15">
        <v>0</v>
      </c>
      <c r="DPX15">
        <v>0</v>
      </c>
      <c r="DPY15">
        <v>0</v>
      </c>
      <c r="DPZ15">
        <v>0</v>
      </c>
      <c r="DQA15">
        <v>0</v>
      </c>
      <c r="DQB15">
        <v>0</v>
      </c>
      <c r="DQC15">
        <v>0</v>
      </c>
      <c r="DQD15">
        <v>0</v>
      </c>
      <c r="DQE15">
        <v>0</v>
      </c>
      <c r="DQF15">
        <v>0</v>
      </c>
      <c r="DQG15">
        <v>0</v>
      </c>
      <c r="DQH15">
        <v>0</v>
      </c>
      <c r="DQI15">
        <v>0</v>
      </c>
      <c r="DQJ15">
        <v>0</v>
      </c>
      <c r="DQK15">
        <v>0</v>
      </c>
      <c r="DQL15">
        <v>0</v>
      </c>
      <c r="DQM15">
        <v>0</v>
      </c>
      <c r="DQN15">
        <v>0</v>
      </c>
      <c r="DQO15">
        <v>0</v>
      </c>
      <c r="DQP15">
        <v>0</v>
      </c>
      <c r="DQQ15">
        <v>0</v>
      </c>
      <c r="DQR15">
        <v>0</v>
      </c>
      <c r="DQS15">
        <v>0</v>
      </c>
      <c r="DQT15">
        <v>0</v>
      </c>
      <c r="DQU15">
        <v>0</v>
      </c>
      <c r="DQV15">
        <v>0</v>
      </c>
      <c r="DQW15">
        <v>0</v>
      </c>
      <c r="DQX15">
        <v>0</v>
      </c>
      <c r="DQY15">
        <v>0</v>
      </c>
      <c r="DQZ15">
        <v>0</v>
      </c>
      <c r="DRA15">
        <v>0</v>
      </c>
      <c r="DRB15">
        <v>0</v>
      </c>
      <c r="DRC15">
        <v>0</v>
      </c>
      <c r="DRD15">
        <v>0</v>
      </c>
      <c r="DRE15">
        <v>0</v>
      </c>
      <c r="DRF15">
        <v>0</v>
      </c>
      <c r="DRG15">
        <v>0</v>
      </c>
      <c r="DRH15">
        <v>77.97</v>
      </c>
      <c r="DRI15">
        <v>0</v>
      </c>
      <c r="DRJ15">
        <v>0</v>
      </c>
      <c r="DRK15">
        <v>0</v>
      </c>
      <c r="DRL15">
        <v>0</v>
      </c>
      <c r="DRM15">
        <v>0</v>
      </c>
      <c r="DRN15">
        <v>0</v>
      </c>
      <c r="DRO15">
        <v>0</v>
      </c>
      <c r="DRP15">
        <v>0</v>
      </c>
      <c r="DRQ15">
        <v>0</v>
      </c>
      <c r="DRR15">
        <v>0</v>
      </c>
      <c r="DRS15">
        <v>0</v>
      </c>
      <c r="DRT15">
        <v>0</v>
      </c>
      <c r="DRU15">
        <v>0</v>
      </c>
      <c r="DRV15">
        <v>0</v>
      </c>
      <c r="DRW15">
        <v>0</v>
      </c>
      <c r="DRX15">
        <v>0</v>
      </c>
      <c r="DRY15">
        <v>0</v>
      </c>
      <c r="DRZ15">
        <v>0</v>
      </c>
      <c r="DSA15">
        <v>0</v>
      </c>
      <c r="DSB15">
        <v>0</v>
      </c>
      <c r="DSC15">
        <v>0</v>
      </c>
      <c r="DSD15">
        <v>0</v>
      </c>
      <c r="DSE15">
        <v>0</v>
      </c>
      <c r="DSF15">
        <v>0</v>
      </c>
      <c r="DSG15">
        <v>0</v>
      </c>
      <c r="DSH15">
        <v>0</v>
      </c>
      <c r="DSI15">
        <v>0</v>
      </c>
      <c r="DSJ15">
        <v>0</v>
      </c>
      <c r="DSK15">
        <v>0</v>
      </c>
      <c r="DSL15">
        <v>0</v>
      </c>
      <c r="DSM15">
        <v>0</v>
      </c>
      <c r="DSN15">
        <v>173.99</v>
      </c>
      <c r="DSO15">
        <v>0</v>
      </c>
      <c r="DSP15">
        <v>0</v>
      </c>
      <c r="DSQ15">
        <v>0</v>
      </c>
      <c r="DSR15">
        <v>0</v>
      </c>
      <c r="DSS15">
        <v>0</v>
      </c>
      <c r="DST15">
        <v>0</v>
      </c>
      <c r="DSU15">
        <v>0</v>
      </c>
      <c r="DSV15">
        <v>0</v>
      </c>
      <c r="DSW15">
        <v>0</v>
      </c>
      <c r="DSX15">
        <v>0</v>
      </c>
      <c r="DSY15">
        <v>0</v>
      </c>
      <c r="DSZ15">
        <v>0</v>
      </c>
      <c r="DTA15">
        <v>0</v>
      </c>
      <c r="DTB15">
        <v>0</v>
      </c>
      <c r="DTC15">
        <v>176</v>
      </c>
      <c r="DTD15">
        <v>0</v>
      </c>
      <c r="DTE15">
        <v>0</v>
      </c>
      <c r="DTF15">
        <v>0</v>
      </c>
      <c r="DTG15">
        <v>0</v>
      </c>
      <c r="DTH15">
        <v>0</v>
      </c>
      <c r="DTI15">
        <v>0</v>
      </c>
      <c r="DTJ15">
        <v>0</v>
      </c>
      <c r="DTK15">
        <v>0</v>
      </c>
      <c r="DTL15">
        <v>0</v>
      </c>
      <c r="DTM15">
        <v>0</v>
      </c>
      <c r="DTN15">
        <v>0</v>
      </c>
      <c r="DTO15">
        <v>0</v>
      </c>
      <c r="DTP15">
        <v>0</v>
      </c>
      <c r="DTQ15">
        <v>0</v>
      </c>
      <c r="DTR15">
        <v>0</v>
      </c>
      <c r="DTS15">
        <v>180.94</v>
      </c>
      <c r="DTT15">
        <v>0</v>
      </c>
      <c r="DTU15">
        <v>0</v>
      </c>
      <c r="DTV15">
        <v>0</v>
      </c>
      <c r="DTW15">
        <v>0</v>
      </c>
      <c r="DTX15">
        <v>0</v>
      </c>
      <c r="DTY15">
        <v>0</v>
      </c>
      <c r="DTZ15">
        <v>0</v>
      </c>
      <c r="DUA15">
        <v>181.05</v>
      </c>
      <c r="DUB15">
        <v>181.99</v>
      </c>
      <c r="DUC15">
        <v>0</v>
      </c>
      <c r="DUD15">
        <v>0</v>
      </c>
      <c r="DUE15">
        <v>0</v>
      </c>
      <c r="DUF15">
        <v>0</v>
      </c>
      <c r="DUG15">
        <v>0</v>
      </c>
      <c r="DUH15">
        <v>0</v>
      </c>
      <c r="DUI15">
        <v>0</v>
      </c>
      <c r="DUJ15">
        <v>0</v>
      </c>
      <c r="DUK15">
        <v>0</v>
      </c>
      <c r="DUL15">
        <v>0</v>
      </c>
      <c r="DUM15">
        <v>0</v>
      </c>
      <c r="DUN15">
        <v>0</v>
      </c>
      <c r="DUO15">
        <v>77.97</v>
      </c>
      <c r="DUP15">
        <v>0</v>
      </c>
      <c r="DUQ15">
        <v>0</v>
      </c>
      <c r="DUR15">
        <v>0</v>
      </c>
      <c r="DUS15">
        <v>0</v>
      </c>
      <c r="DUT15">
        <v>0</v>
      </c>
      <c r="DUU15">
        <v>0</v>
      </c>
      <c r="DUV15">
        <v>0</v>
      </c>
      <c r="DUW15">
        <v>0</v>
      </c>
      <c r="DUX15">
        <v>0</v>
      </c>
      <c r="DUY15">
        <v>0</v>
      </c>
      <c r="DUZ15">
        <v>0</v>
      </c>
      <c r="DVA15">
        <v>0</v>
      </c>
      <c r="DVB15">
        <v>0</v>
      </c>
      <c r="DVC15">
        <v>0</v>
      </c>
      <c r="DVD15">
        <v>0</v>
      </c>
      <c r="DVE15">
        <v>0</v>
      </c>
      <c r="DVF15">
        <v>0</v>
      </c>
      <c r="DVG15">
        <v>0</v>
      </c>
      <c r="DVH15">
        <v>0</v>
      </c>
      <c r="DVI15">
        <v>132</v>
      </c>
      <c r="DVJ15">
        <v>0</v>
      </c>
      <c r="DVK15">
        <v>0</v>
      </c>
      <c r="DVL15">
        <v>0</v>
      </c>
      <c r="DVM15">
        <v>0</v>
      </c>
      <c r="DVN15">
        <v>0</v>
      </c>
      <c r="DVO15">
        <v>0</v>
      </c>
      <c r="DVP15">
        <v>0</v>
      </c>
      <c r="DVQ15">
        <v>0</v>
      </c>
      <c r="DVR15">
        <v>0</v>
      </c>
      <c r="DVS15">
        <v>0</v>
      </c>
      <c r="DVT15">
        <v>0</v>
      </c>
      <c r="DVU15">
        <v>0</v>
      </c>
      <c r="DVV15">
        <v>0</v>
      </c>
      <c r="DVW15">
        <v>0</v>
      </c>
      <c r="DVX15">
        <v>0</v>
      </c>
      <c r="DVY15">
        <v>0</v>
      </c>
      <c r="DVZ15">
        <v>0</v>
      </c>
      <c r="DWA15">
        <v>0</v>
      </c>
      <c r="DWB15">
        <v>0</v>
      </c>
      <c r="DWC15">
        <v>0</v>
      </c>
      <c r="DWD15">
        <v>25.01</v>
      </c>
      <c r="DWE15">
        <v>0</v>
      </c>
      <c r="DWF15">
        <v>0</v>
      </c>
      <c r="DWG15">
        <v>0</v>
      </c>
      <c r="DWH15">
        <v>0</v>
      </c>
      <c r="DWI15">
        <v>0</v>
      </c>
      <c r="DWJ15">
        <v>0</v>
      </c>
      <c r="DWK15">
        <v>0</v>
      </c>
      <c r="DWL15">
        <v>13</v>
      </c>
      <c r="DWM15">
        <v>0</v>
      </c>
      <c r="DWN15">
        <v>96</v>
      </c>
      <c r="DWO15">
        <v>0</v>
      </c>
      <c r="DWP15">
        <v>0</v>
      </c>
      <c r="DWQ15">
        <v>0</v>
      </c>
      <c r="DWR15">
        <v>0</v>
      </c>
      <c r="DWS15">
        <v>0</v>
      </c>
      <c r="DWT15">
        <v>0</v>
      </c>
      <c r="DWU15">
        <v>0</v>
      </c>
      <c r="DWV15">
        <v>0</v>
      </c>
      <c r="DWW15">
        <v>0</v>
      </c>
      <c r="DWX15">
        <v>0</v>
      </c>
      <c r="DWY15">
        <v>0</v>
      </c>
      <c r="DWZ15">
        <v>0</v>
      </c>
      <c r="DXA15">
        <v>0</v>
      </c>
      <c r="DXB15">
        <v>0</v>
      </c>
      <c r="DXC15">
        <v>0</v>
      </c>
      <c r="DXD15">
        <v>0</v>
      </c>
      <c r="DXE15">
        <v>0</v>
      </c>
      <c r="DXF15">
        <v>0</v>
      </c>
      <c r="DXG15">
        <v>0</v>
      </c>
      <c r="DXH15">
        <v>0</v>
      </c>
      <c r="DXI15">
        <v>0</v>
      </c>
      <c r="DXJ15">
        <v>0</v>
      </c>
      <c r="DXK15">
        <v>0</v>
      </c>
      <c r="DXL15">
        <v>0</v>
      </c>
      <c r="DXM15">
        <v>0</v>
      </c>
      <c r="DXN15">
        <v>0</v>
      </c>
      <c r="DXO15">
        <v>0</v>
      </c>
      <c r="DXP15">
        <v>0</v>
      </c>
      <c r="DXQ15">
        <v>0</v>
      </c>
      <c r="DXR15">
        <v>0</v>
      </c>
      <c r="DXS15">
        <v>0</v>
      </c>
      <c r="DXT15">
        <v>0</v>
      </c>
      <c r="DXU15">
        <v>0</v>
      </c>
      <c r="DXV15">
        <v>0</v>
      </c>
      <c r="DXW15">
        <v>0</v>
      </c>
      <c r="DXX15">
        <v>0</v>
      </c>
      <c r="DXY15">
        <v>0</v>
      </c>
      <c r="DXZ15">
        <v>140.04</v>
      </c>
      <c r="DYA15">
        <v>0</v>
      </c>
      <c r="DYB15">
        <v>0</v>
      </c>
      <c r="DYC15">
        <v>0</v>
      </c>
      <c r="DYD15">
        <v>0</v>
      </c>
      <c r="DYE15">
        <v>0</v>
      </c>
      <c r="DYF15">
        <v>0</v>
      </c>
      <c r="DYG15">
        <v>0</v>
      </c>
      <c r="DYH15">
        <v>0</v>
      </c>
      <c r="DYI15">
        <v>0</v>
      </c>
      <c r="DYJ15">
        <v>0</v>
      </c>
      <c r="DYK15">
        <v>0</v>
      </c>
      <c r="DYL15">
        <v>0</v>
      </c>
      <c r="DYM15">
        <v>0</v>
      </c>
      <c r="DYN15">
        <v>0</v>
      </c>
      <c r="DYO15">
        <v>0</v>
      </c>
      <c r="DYP15">
        <v>0</v>
      </c>
      <c r="DYQ15">
        <v>211.99</v>
      </c>
      <c r="DYR15">
        <v>0</v>
      </c>
      <c r="DYS15">
        <v>0</v>
      </c>
      <c r="DYT15">
        <v>0</v>
      </c>
      <c r="DYU15">
        <v>0</v>
      </c>
      <c r="DYV15">
        <v>0</v>
      </c>
      <c r="DYW15">
        <v>0</v>
      </c>
      <c r="DYX15">
        <v>0</v>
      </c>
      <c r="DYY15">
        <v>0</v>
      </c>
      <c r="DYZ15">
        <v>0</v>
      </c>
      <c r="DZA15">
        <v>0</v>
      </c>
      <c r="DZB15">
        <v>0</v>
      </c>
      <c r="DZC15">
        <v>0</v>
      </c>
      <c r="DZD15">
        <v>215.05</v>
      </c>
      <c r="DZE15">
        <v>0</v>
      </c>
      <c r="DZF15">
        <v>0</v>
      </c>
      <c r="DZG15">
        <v>0</v>
      </c>
      <c r="DZH15">
        <v>0</v>
      </c>
      <c r="DZI15">
        <v>0</v>
      </c>
      <c r="DZJ15">
        <v>0</v>
      </c>
      <c r="DZK15">
        <v>0</v>
      </c>
      <c r="DZL15">
        <v>0</v>
      </c>
      <c r="DZM15">
        <v>0</v>
      </c>
      <c r="DZN15">
        <v>0</v>
      </c>
      <c r="DZO15">
        <v>0</v>
      </c>
      <c r="DZP15">
        <v>0</v>
      </c>
      <c r="DZQ15">
        <v>0</v>
      </c>
      <c r="DZR15">
        <v>0</v>
      </c>
      <c r="DZS15">
        <v>0</v>
      </c>
      <c r="DZT15">
        <v>171.99</v>
      </c>
      <c r="DZU15">
        <v>0</v>
      </c>
      <c r="DZV15">
        <v>0</v>
      </c>
      <c r="DZW15">
        <v>0</v>
      </c>
      <c r="DZX15">
        <v>0</v>
      </c>
      <c r="DZY15">
        <v>0</v>
      </c>
      <c r="DZZ15">
        <v>0</v>
      </c>
      <c r="EAA15">
        <v>0</v>
      </c>
      <c r="EAB15">
        <v>0</v>
      </c>
      <c r="EAC15">
        <v>0</v>
      </c>
      <c r="EAD15">
        <v>0</v>
      </c>
      <c r="EAE15">
        <v>0</v>
      </c>
      <c r="EAF15">
        <v>0</v>
      </c>
      <c r="EAG15">
        <v>0</v>
      </c>
      <c r="EAH15">
        <v>0</v>
      </c>
      <c r="EAI15">
        <v>0</v>
      </c>
      <c r="EAJ15">
        <v>0</v>
      </c>
      <c r="EAK15">
        <v>0</v>
      </c>
      <c r="EAL15">
        <v>174</v>
      </c>
      <c r="EAM15">
        <v>0</v>
      </c>
      <c r="EAN15">
        <v>70</v>
      </c>
      <c r="EAO15">
        <v>49</v>
      </c>
      <c r="EAP15">
        <v>0</v>
      </c>
      <c r="EAQ15">
        <v>0</v>
      </c>
      <c r="EAR15">
        <v>0</v>
      </c>
      <c r="EAS15">
        <v>101.98</v>
      </c>
      <c r="EAT15">
        <v>64</v>
      </c>
      <c r="EAU15">
        <v>0</v>
      </c>
      <c r="EAV15">
        <v>0</v>
      </c>
      <c r="EAW15">
        <v>0</v>
      </c>
      <c r="EAX15">
        <v>0</v>
      </c>
      <c r="EAY15">
        <v>0</v>
      </c>
      <c r="EAZ15">
        <v>57.99</v>
      </c>
      <c r="EBA15">
        <v>0</v>
      </c>
      <c r="EBB15">
        <v>0</v>
      </c>
      <c r="EBC15">
        <v>0</v>
      </c>
      <c r="EBD15">
        <v>0</v>
      </c>
      <c r="EBE15">
        <v>0</v>
      </c>
      <c r="EBF15">
        <v>0</v>
      </c>
      <c r="EBG15">
        <v>0</v>
      </c>
      <c r="EBH15">
        <v>0</v>
      </c>
      <c r="EBI15">
        <v>0</v>
      </c>
      <c r="EBJ15">
        <v>0</v>
      </c>
      <c r="EBK15">
        <v>0</v>
      </c>
      <c r="EBL15">
        <v>0</v>
      </c>
      <c r="EBM15">
        <v>0</v>
      </c>
      <c r="EBN15">
        <v>0</v>
      </c>
      <c r="EBO15">
        <v>0</v>
      </c>
      <c r="EBP15">
        <v>0</v>
      </c>
      <c r="EBQ15">
        <v>0</v>
      </c>
      <c r="EBR15">
        <v>0</v>
      </c>
      <c r="EBS15">
        <v>0</v>
      </c>
      <c r="EBT15">
        <v>0</v>
      </c>
      <c r="EBU15">
        <v>0</v>
      </c>
      <c r="EBV15">
        <v>0</v>
      </c>
      <c r="EBW15">
        <v>0</v>
      </c>
      <c r="EBX15">
        <v>0</v>
      </c>
      <c r="EBY15">
        <v>0</v>
      </c>
      <c r="EBZ15">
        <v>0</v>
      </c>
      <c r="ECA15">
        <v>0</v>
      </c>
      <c r="ECB15">
        <v>214.01</v>
      </c>
      <c r="ECC15">
        <v>239.95</v>
      </c>
      <c r="ECD15">
        <v>0</v>
      </c>
      <c r="ECE15">
        <v>0</v>
      </c>
      <c r="ECF15">
        <v>0</v>
      </c>
      <c r="ECG15">
        <v>0</v>
      </c>
      <c r="ECH15">
        <v>0</v>
      </c>
      <c r="ECI15">
        <v>0</v>
      </c>
      <c r="ECJ15">
        <v>0</v>
      </c>
      <c r="ECK15">
        <v>0</v>
      </c>
      <c r="ECL15">
        <v>0</v>
      </c>
      <c r="ECM15">
        <v>0</v>
      </c>
      <c r="ECN15">
        <v>0</v>
      </c>
      <c r="ECO15">
        <v>0</v>
      </c>
      <c r="ECP15">
        <v>0</v>
      </c>
      <c r="ECQ15">
        <v>0</v>
      </c>
      <c r="ECR15">
        <v>106</v>
      </c>
      <c r="ECS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CZ15">
        <v>0</v>
      </c>
      <c r="EDA15">
        <v>0</v>
      </c>
      <c r="EDB15">
        <v>232.05</v>
      </c>
      <c r="EDC15">
        <v>0</v>
      </c>
      <c r="EDD15">
        <v>0</v>
      </c>
      <c r="EDE15">
        <v>0</v>
      </c>
      <c r="EDF15">
        <v>248.92</v>
      </c>
      <c r="EDG15">
        <v>0</v>
      </c>
      <c r="EDH15">
        <v>0</v>
      </c>
      <c r="EDI15">
        <v>0</v>
      </c>
      <c r="EDJ15">
        <v>0</v>
      </c>
      <c r="EDK15">
        <v>0</v>
      </c>
      <c r="EDL15">
        <v>134.01</v>
      </c>
      <c r="EDM15">
        <v>0</v>
      </c>
      <c r="EDN15">
        <v>59</v>
      </c>
      <c r="EDO15">
        <v>0</v>
      </c>
      <c r="EDP15">
        <v>0</v>
      </c>
      <c r="EDQ15">
        <v>0</v>
      </c>
      <c r="EDR15">
        <v>0</v>
      </c>
      <c r="EDS15">
        <v>0</v>
      </c>
      <c r="EDT15">
        <v>0</v>
      </c>
      <c r="EDU15">
        <v>254</v>
      </c>
      <c r="EDV15">
        <v>0</v>
      </c>
      <c r="EDW15">
        <v>0</v>
      </c>
      <c r="EDX15">
        <v>0</v>
      </c>
      <c r="EDY15">
        <v>0</v>
      </c>
      <c r="EDZ15">
        <v>0</v>
      </c>
      <c r="EEA15">
        <v>0</v>
      </c>
      <c r="EEB15">
        <v>0</v>
      </c>
      <c r="EEC15">
        <v>0</v>
      </c>
      <c r="EED15">
        <v>256.99</v>
      </c>
      <c r="EEE15">
        <v>0</v>
      </c>
      <c r="EEF15">
        <v>0</v>
      </c>
      <c r="EEG15">
        <v>0</v>
      </c>
      <c r="EEH15">
        <v>0</v>
      </c>
      <c r="EEI15">
        <v>0</v>
      </c>
      <c r="EEJ15">
        <v>0</v>
      </c>
      <c r="EEK15">
        <v>0</v>
      </c>
      <c r="EEL15">
        <v>258.92</v>
      </c>
      <c r="EEM15">
        <v>0</v>
      </c>
      <c r="EEN15">
        <v>0</v>
      </c>
      <c r="EEO15">
        <v>0</v>
      </c>
      <c r="EEP15">
        <v>0</v>
      </c>
      <c r="EEQ15">
        <v>0</v>
      </c>
      <c r="EER15">
        <v>0</v>
      </c>
      <c r="EES15">
        <v>0</v>
      </c>
      <c r="EET15">
        <v>0</v>
      </c>
      <c r="EEU15">
        <v>0</v>
      </c>
      <c r="EEV15">
        <v>0</v>
      </c>
      <c r="EEW15">
        <v>0</v>
      </c>
      <c r="EEX15">
        <v>0</v>
      </c>
      <c r="EEY15">
        <v>0</v>
      </c>
      <c r="EEZ15">
        <v>0</v>
      </c>
      <c r="EFA15">
        <v>0</v>
      </c>
      <c r="EFB15">
        <v>0</v>
      </c>
      <c r="EFC15">
        <v>0</v>
      </c>
      <c r="EFD15">
        <v>0</v>
      </c>
      <c r="EFE15">
        <v>0</v>
      </c>
      <c r="EFF15">
        <v>0</v>
      </c>
      <c r="EFG15">
        <v>0</v>
      </c>
      <c r="EFH15">
        <v>0</v>
      </c>
      <c r="EFI15">
        <v>0</v>
      </c>
      <c r="EFJ15">
        <v>0</v>
      </c>
      <c r="EFK15">
        <v>0</v>
      </c>
      <c r="EFL15">
        <v>20</v>
      </c>
      <c r="EFM15">
        <v>0</v>
      </c>
      <c r="EFN15">
        <v>0</v>
      </c>
      <c r="EFO15">
        <v>0</v>
      </c>
      <c r="EFP15">
        <v>0</v>
      </c>
      <c r="EFQ15">
        <v>0</v>
      </c>
      <c r="EFR15">
        <v>129.99</v>
      </c>
      <c r="EFS15">
        <v>0</v>
      </c>
      <c r="EFT15">
        <v>0</v>
      </c>
      <c r="EFU15">
        <v>0</v>
      </c>
      <c r="EFV15">
        <v>0</v>
      </c>
      <c r="EFW15">
        <v>0</v>
      </c>
      <c r="EFX15">
        <v>0</v>
      </c>
      <c r="EFY15">
        <v>111</v>
      </c>
      <c r="EFZ15">
        <v>0</v>
      </c>
      <c r="EGA15">
        <v>0</v>
      </c>
      <c r="EGB15">
        <v>0</v>
      </c>
      <c r="EGC15">
        <v>0</v>
      </c>
      <c r="EGD15">
        <v>0</v>
      </c>
      <c r="EGE15">
        <v>0</v>
      </c>
      <c r="EGF15">
        <v>0</v>
      </c>
      <c r="EGG15">
        <v>0</v>
      </c>
      <c r="EGH15">
        <v>0</v>
      </c>
      <c r="EGI15">
        <v>0</v>
      </c>
      <c r="EGJ15">
        <v>0</v>
      </c>
      <c r="EGK15">
        <v>0</v>
      </c>
      <c r="EGL15">
        <v>0</v>
      </c>
      <c r="EGM15">
        <v>0</v>
      </c>
      <c r="EGN15">
        <v>0</v>
      </c>
      <c r="EGO15">
        <v>0</v>
      </c>
      <c r="EGP15">
        <v>0</v>
      </c>
      <c r="EGQ15">
        <v>0</v>
      </c>
      <c r="EGR15">
        <v>0</v>
      </c>
      <c r="EGS15">
        <v>16</v>
      </c>
      <c r="EGT15">
        <v>0</v>
      </c>
      <c r="EGU15">
        <v>0</v>
      </c>
      <c r="EGV15">
        <v>279.99</v>
      </c>
      <c r="EGW15">
        <v>0</v>
      </c>
      <c r="EGX15">
        <v>0</v>
      </c>
      <c r="EGY15">
        <v>0</v>
      </c>
      <c r="EGZ15">
        <v>0</v>
      </c>
      <c r="EHA15">
        <v>43</v>
      </c>
      <c r="EHB15">
        <v>0</v>
      </c>
      <c r="EHC15">
        <v>0</v>
      </c>
      <c r="EHD15">
        <v>0</v>
      </c>
      <c r="EHE15">
        <v>0</v>
      </c>
      <c r="EHF15">
        <v>0</v>
      </c>
      <c r="EHG15">
        <v>0</v>
      </c>
      <c r="EHH15">
        <v>0</v>
      </c>
      <c r="EHI15">
        <v>0</v>
      </c>
      <c r="EHJ15">
        <v>0</v>
      </c>
      <c r="EHK15">
        <v>0</v>
      </c>
      <c r="EHL15">
        <v>0</v>
      </c>
      <c r="EHM15">
        <v>0</v>
      </c>
      <c r="EHN15">
        <v>0</v>
      </c>
      <c r="EHO15">
        <v>286.99</v>
      </c>
      <c r="EHP15">
        <v>0</v>
      </c>
      <c r="EHQ15">
        <v>0</v>
      </c>
      <c r="EHR15">
        <v>0</v>
      </c>
      <c r="EHS15">
        <v>0</v>
      </c>
      <c r="EHT15">
        <v>0</v>
      </c>
      <c r="EHU15">
        <v>0</v>
      </c>
      <c r="EHV15">
        <v>0</v>
      </c>
      <c r="EHW15">
        <v>0</v>
      </c>
      <c r="EHX15">
        <v>0</v>
      </c>
      <c r="EHY15">
        <v>292.91000000000003</v>
      </c>
      <c r="EHZ15">
        <v>0</v>
      </c>
      <c r="EIA15">
        <v>0</v>
      </c>
      <c r="EIB15">
        <v>0</v>
      </c>
      <c r="EIC15">
        <v>0</v>
      </c>
      <c r="EID15">
        <v>0</v>
      </c>
      <c r="EIE15">
        <v>11</v>
      </c>
      <c r="EIF15">
        <v>0</v>
      </c>
      <c r="EIG15">
        <v>0</v>
      </c>
      <c r="EIH15">
        <v>0</v>
      </c>
      <c r="EII15">
        <v>32</v>
      </c>
      <c r="EIJ15">
        <v>0</v>
      </c>
      <c r="EIK15">
        <v>210.01</v>
      </c>
      <c r="EIL15">
        <v>0</v>
      </c>
      <c r="EIM15">
        <v>0</v>
      </c>
      <c r="EIN15">
        <v>0</v>
      </c>
      <c r="EIO15">
        <v>0</v>
      </c>
      <c r="EIP15">
        <v>0</v>
      </c>
      <c r="EIQ15">
        <v>0</v>
      </c>
      <c r="EIR15">
        <v>0</v>
      </c>
      <c r="EIS15">
        <v>0</v>
      </c>
      <c r="EIT15">
        <v>0</v>
      </c>
      <c r="EIU15">
        <v>0</v>
      </c>
      <c r="EIV15">
        <v>0</v>
      </c>
      <c r="EIW15">
        <v>0</v>
      </c>
      <c r="EIX15">
        <v>0</v>
      </c>
      <c r="EIY15">
        <v>0</v>
      </c>
      <c r="EIZ15">
        <v>0</v>
      </c>
      <c r="EJA15">
        <v>0</v>
      </c>
      <c r="EJB15">
        <v>0</v>
      </c>
      <c r="EJC15">
        <v>0</v>
      </c>
      <c r="EJD15">
        <v>0</v>
      </c>
      <c r="EJE15">
        <v>0</v>
      </c>
      <c r="EJF15">
        <v>0</v>
      </c>
      <c r="EJG15">
        <v>0</v>
      </c>
      <c r="EJH15">
        <v>0</v>
      </c>
      <c r="EJI15">
        <v>0</v>
      </c>
      <c r="EJJ15">
        <v>0</v>
      </c>
      <c r="EJK15">
        <v>0</v>
      </c>
      <c r="EJL15">
        <v>0</v>
      </c>
      <c r="EJM15">
        <v>0</v>
      </c>
      <c r="EJN15">
        <v>0</v>
      </c>
      <c r="EJO15">
        <v>0</v>
      </c>
      <c r="EJP15">
        <v>0</v>
      </c>
      <c r="EJQ15">
        <v>0</v>
      </c>
      <c r="EJR15">
        <v>0</v>
      </c>
      <c r="EJS15">
        <v>0</v>
      </c>
      <c r="EJT15">
        <v>0</v>
      </c>
      <c r="EJU15">
        <v>0</v>
      </c>
      <c r="EJV15">
        <v>0</v>
      </c>
      <c r="EJW15">
        <v>313</v>
      </c>
      <c r="EJX15">
        <v>0</v>
      </c>
      <c r="EJY15">
        <v>0</v>
      </c>
      <c r="EJZ15">
        <v>0</v>
      </c>
      <c r="EKA15">
        <v>0</v>
      </c>
      <c r="EKB15">
        <v>0</v>
      </c>
      <c r="EKC15">
        <v>0</v>
      </c>
      <c r="EKD15">
        <v>0</v>
      </c>
      <c r="EKE15">
        <v>0</v>
      </c>
      <c r="EKF15">
        <v>0</v>
      </c>
      <c r="EKG15">
        <v>0</v>
      </c>
      <c r="EKH15">
        <v>0</v>
      </c>
      <c r="EKI15">
        <v>0</v>
      </c>
      <c r="EKJ15">
        <v>0</v>
      </c>
      <c r="EKK15">
        <v>0</v>
      </c>
      <c r="EKL15">
        <v>0</v>
      </c>
      <c r="EKM15">
        <v>0</v>
      </c>
      <c r="EKN15">
        <v>0</v>
      </c>
      <c r="EKO15">
        <v>0</v>
      </c>
      <c r="EKP15">
        <v>0</v>
      </c>
      <c r="EKQ15">
        <v>0</v>
      </c>
      <c r="EKR15">
        <v>0</v>
      </c>
      <c r="EKS15">
        <v>46.99</v>
      </c>
      <c r="EKT15">
        <v>0</v>
      </c>
      <c r="EKU15">
        <v>0</v>
      </c>
      <c r="EKV15">
        <v>0</v>
      </c>
      <c r="EKW15">
        <v>0</v>
      </c>
      <c r="EKX15">
        <v>0</v>
      </c>
      <c r="EKY15">
        <v>0</v>
      </c>
      <c r="EKZ15">
        <v>0</v>
      </c>
      <c r="ELA15">
        <v>0</v>
      </c>
      <c r="ELB15">
        <v>0</v>
      </c>
      <c r="ELC15">
        <v>326</v>
      </c>
      <c r="ELD15">
        <v>0</v>
      </c>
      <c r="ELE15">
        <v>0</v>
      </c>
      <c r="ELF15">
        <v>0</v>
      </c>
      <c r="ELG15">
        <v>0</v>
      </c>
      <c r="ELH15">
        <v>0</v>
      </c>
      <c r="ELI15">
        <v>0</v>
      </c>
      <c r="ELJ15">
        <v>0</v>
      </c>
      <c r="ELK15">
        <v>0</v>
      </c>
      <c r="ELL15">
        <v>0</v>
      </c>
      <c r="ELM15">
        <v>0</v>
      </c>
      <c r="ELN15">
        <v>0</v>
      </c>
      <c r="ELO15">
        <v>0</v>
      </c>
      <c r="ELP15">
        <v>0</v>
      </c>
      <c r="ELQ15">
        <v>0</v>
      </c>
      <c r="ELR15">
        <v>0</v>
      </c>
      <c r="ELS15">
        <v>0</v>
      </c>
      <c r="ELT15">
        <v>0</v>
      </c>
      <c r="ELU15">
        <v>0</v>
      </c>
      <c r="ELV15">
        <v>0</v>
      </c>
      <c r="ELW15">
        <v>0</v>
      </c>
      <c r="ELX15">
        <v>0</v>
      </c>
      <c r="ELY15">
        <v>336.09</v>
      </c>
      <c r="ELZ15">
        <v>0</v>
      </c>
      <c r="EMA15">
        <v>0</v>
      </c>
      <c r="EMB15">
        <v>0</v>
      </c>
      <c r="EMC15">
        <v>0</v>
      </c>
      <c r="EMD15">
        <v>0</v>
      </c>
      <c r="EME15">
        <v>0</v>
      </c>
      <c r="EMF15">
        <v>0</v>
      </c>
      <c r="EMG15">
        <v>16</v>
      </c>
      <c r="EMH15">
        <v>0</v>
      </c>
      <c r="EMI15">
        <v>0</v>
      </c>
      <c r="EMJ15">
        <v>0</v>
      </c>
      <c r="EMK15">
        <v>0</v>
      </c>
      <c r="EML15">
        <v>0</v>
      </c>
      <c r="EMM15">
        <v>0</v>
      </c>
      <c r="EMN15">
        <v>0</v>
      </c>
      <c r="EMO15">
        <v>0</v>
      </c>
      <c r="EMP15">
        <v>0</v>
      </c>
      <c r="EMQ15">
        <v>0</v>
      </c>
      <c r="EMR15">
        <v>0</v>
      </c>
      <c r="EMS15">
        <v>0</v>
      </c>
      <c r="EMT15">
        <v>0</v>
      </c>
      <c r="EMU15">
        <v>0</v>
      </c>
      <c r="EMV15">
        <v>0</v>
      </c>
      <c r="EMW15">
        <v>0</v>
      </c>
      <c r="EMX15">
        <v>0</v>
      </c>
      <c r="EMY15">
        <v>0</v>
      </c>
      <c r="EMZ15">
        <v>0</v>
      </c>
      <c r="ENA15">
        <v>0</v>
      </c>
      <c r="ENB15">
        <v>0</v>
      </c>
      <c r="ENC15">
        <v>0</v>
      </c>
      <c r="END15">
        <v>0</v>
      </c>
      <c r="ENE15">
        <v>88</v>
      </c>
      <c r="ENF15">
        <v>0</v>
      </c>
      <c r="ENG15">
        <v>0</v>
      </c>
      <c r="ENH15">
        <v>67</v>
      </c>
      <c r="ENI15">
        <v>0</v>
      </c>
      <c r="ENJ15">
        <v>0</v>
      </c>
      <c r="ENK15">
        <v>0</v>
      </c>
      <c r="ENL15">
        <v>0</v>
      </c>
      <c r="ENM15">
        <v>0</v>
      </c>
      <c r="ENN15">
        <v>0</v>
      </c>
      <c r="ENO15">
        <v>0</v>
      </c>
      <c r="ENP15">
        <v>0</v>
      </c>
      <c r="ENQ15">
        <v>359</v>
      </c>
      <c r="ENR15">
        <v>0</v>
      </c>
      <c r="ENS15">
        <v>0</v>
      </c>
      <c r="ENT15">
        <v>0</v>
      </c>
      <c r="ENU15">
        <v>0</v>
      </c>
      <c r="ENV15">
        <v>0</v>
      </c>
      <c r="ENW15">
        <v>29</v>
      </c>
      <c r="ENX15">
        <v>0</v>
      </c>
      <c r="ENY15">
        <v>0</v>
      </c>
      <c r="ENZ15">
        <v>0</v>
      </c>
      <c r="EOA15">
        <v>0</v>
      </c>
      <c r="EOB15">
        <v>0</v>
      </c>
      <c r="EOC15">
        <v>364.9</v>
      </c>
      <c r="EOD15">
        <v>0</v>
      </c>
      <c r="EOE15">
        <v>0</v>
      </c>
      <c r="EOF15">
        <v>0</v>
      </c>
      <c r="EOG15">
        <v>0</v>
      </c>
      <c r="EOH15">
        <v>0</v>
      </c>
      <c r="EOI15">
        <v>0</v>
      </c>
      <c r="EOJ15">
        <v>0</v>
      </c>
      <c r="EOK15">
        <v>0</v>
      </c>
      <c r="EOL15">
        <v>0</v>
      </c>
      <c r="EOM15">
        <v>372.01</v>
      </c>
      <c r="EON15">
        <v>0</v>
      </c>
      <c r="EOO15">
        <v>0</v>
      </c>
      <c r="EOP15">
        <v>0</v>
      </c>
      <c r="EOQ15">
        <v>0</v>
      </c>
      <c r="EOR15">
        <v>0</v>
      </c>
      <c r="EOS15">
        <v>0</v>
      </c>
      <c r="EOT15">
        <v>0</v>
      </c>
      <c r="EOU15">
        <v>0</v>
      </c>
      <c r="EOV15">
        <v>0</v>
      </c>
      <c r="EOW15">
        <v>0</v>
      </c>
      <c r="EOX15">
        <v>0</v>
      </c>
      <c r="EOY15">
        <v>0</v>
      </c>
      <c r="EOZ15">
        <v>0</v>
      </c>
      <c r="EPA15">
        <v>0</v>
      </c>
      <c r="EPB15">
        <v>0</v>
      </c>
      <c r="EPC15">
        <v>0</v>
      </c>
      <c r="EPD15">
        <v>379.88</v>
      </c>
      <c r="EPE15">
        <v>0</v>
      </c>
      <c r="EPF15">
        <v>0</v>
      </c>
      <c r="EPG15">
        <v>0</v>
      </c>
      <c r="EPH15">
        <v>0</v>
      </c>
      <c r="EPI15">
        <v>0</v>
      </c>
      <c r="EPJ15">
        <v>0</v>
      </c>
      <c r="EPK15">
        <v>0</v>
      </c>
      <c r="EPL15">
        <v>0</v>
      </c>
      <c r="EPM15">
        <v>0</v>
      </c>
      <c r="EPN15">
        <v>322.99</v>
      </c>
      <c r="EPO15">
        <v>0</v>
      </c>
      <c r="EPP15">
        <v>0</v>
      </c>
      <c r="EPQ15">
        <v>0</v>
      </c>
      <c r="EPR15">
        <v>0</v>
      </c>
      <c r="EPS15">
        <v>0</v>
      </c>
      <c r="EPT15">
        <v>0</v>
      </c>
      <c r="EPU15">
        <v>0</v>
      </c>
      <c r="EPV15">
        <v>0</v>
      </c>
      <c r="EPW15">
        <v>0</v>
      </c>
      <c r="EPX15">
        <v>0</v>
      </c>
      <c r="EPY15">
        <v>0</v>
      </c>
      <c r="EPZ15">
        <v>0</v>
      </c>
      <c r="EQA15">
        <v>0</v>
      </c>
      <c r="EQB15">
        <v>0</v>
      </c>
      <c r="EQC15">
        <v>0</v>
      </c>
      <c r="EQD15">
        <v>0</v>
      </c>
      <c r="EQE15">
        <v>390</v>
      </c>
      <c r="EQF15">
        <v>0</v>
      </c>
      <c r="EQG15">
        <v>0</v>
      </c>
      <c r="EQH15">
        <v>0</v>
      </c>
      <c r="EQI15">
        <v>0</v>
      </c>
      <c r="EQJ15">
        <v>0</v>
      </c>
      <c r="EQK15">
        <v>0</v>
      </c>
      <c r="EQL15">
        <v>0</v>
      </c>
      <c r="EQM15">
        <v>0</v>
      </c>
      <c r="EQN15">
        <v>0</v>
      </c>
      <c r="EQO15">
        <v>0</v>
      </c>
      <c r="EQP15">
        <v>27</v>
      </c>
      <c r="EQQ15">
        <v>0</v>
      </c>
      <c r="EQR15">
        <v>0</v>
      </c>
      <c r="EQS15">
        <v>0</v>
      </c>
      <c r="EQT15">
        <v>0</v>
      </c>
      <c r="EQU15">
        <v>0</v>
      </c>
      <c r="EQV15">
        <v>0</v>
      </c>
      <c r="EQW15">
        <v>69</v>
      </c>
      <c r="EQX15">
        <v>0</v>
      </c>
      <c r="EQY15">
        <v>0</v>
      </c>
      <c r="EQZ15">
        <v>0</v>
      </c>
      <c r="ERA15">
        <v>0</v>
      </c>
      <c r="ERB15">
        <v>0</v>
      </c>
      <c r="ERC15">
        <v>161</v>
      </c>
      <c r="ERD15">
        <v>0</v>
      </c>
      <c r="ERE15">
        <v>0</v>
      </c>
      <c r="ERF15">
        <v>0</v>
      </c>
      <c r="ERG15">
        <v>0</v>
      </c>
      <c r="ERH15">
        <v>0</v>
      </c>
      <c r="ERI15">
        <v>0</v>
      </c>
      <c r="ERJ15">
        <v>69</v>
      </c>
      <c r="ERK15">
        <v>0</v>
      </c>
      <c r="ERL15">
        <v>0</v>
      </c>
      <c r="ERM15">
        <v>111.02</v>
      </c>
      <c r="ERN15">
        <v>0</v>
      </c>
      <c r="ERO15">
        <v>0</v>
      </c>
      <c r="ERP15">
        <v>0</v>
      </c>
      <c r="ERQ15">
        <v>0</v>
      </c>
      <c r="ERR15">
        <v>0</v>
      </c>
      <c r="ERS15">
        <v>0</v>
      </c>
      <c r="ERT15">
        <v>0</v>
      </c>
      <c r="ERU15">
        <v>0</v>
      </c>
      <c r="ERV15">
        <v>0</v>
      </c>
      <c r="ERW15">
        <v>0</v>
      </c>
      <c r="ERX15">
        <v>152</v>
      </c>
      <c r="ERY15">
        <v>0</v>
      </c>
      <c r="ERZ15">
        <v>0</v>
      </c>
      <c r="ESA15">
        <v>0</v>
      </c>
      <c r="ESB15">
        <v>0</v>
      </c>
      <c r="ESC15">
        <v>0</v>
      </c>
      <c r="ESD15">
        <v>0</v>
      </c>
      <c r="ESE15">
        <v>0</v>
      </c>
      <c r="ESF15">
        <v>0</v>
      </c>
      <c r="ESG15">
        <v>0</v>
      </c>
      <c r="ESH15">
        <v>0</v>
      </c>
      <c r="ESI15">
        <v>0</v>
      </c>
      <c r="ESJ15">
        <v>0</v>
      </c>
      <c r="ESK15">
        <v>0</v>
      </c>
      <c r="ESL15">
        <v>0</v>
      </c>
      <c r="ESM15">
        <v>0</v>
      </c>
      <c r="ESN15">
        <v>0</v>
      </c>
      <c r="ESO15">
        <v>0</v>
      </c>
      <c r="ESP15">
        <v>0</v>
      </c>
      <c r="ESQ15">
        <v>0</v>
      </c>
      <c r="ESR15">
        <v>0</v>
      </c>
      <c r="ESS15">
        <v>0</v>
      </c>
      <c r="EST15">
        <v>0</v>
      </c>
      <c r="ESU15">
        <v>0</v>
      </c>
      <c r="ESV15">
        <v>0</v>
      </c>
      <c r="ESW15">
        <v>0</v>
      </c>
      <c r="ESX15">
        <v>105.01</v>
      </c>
      <c r="ESY15">
        <v>0</v>
      </c>
      <c r="ESZ15">
        <v>0</v>
      </c>
      <c r="ETA15">
        <v>0</v>
      </c>
      <c r="ETB15">
        <v>0</v>
      </c>
      <c r="ETC15">
        <v>0</v>
      </c>
      <c r="ETD15">
        <v>334</v>
      </c>
      <c r="ETE15">
        <v>0</v>
      </c>
      <c r="ETF15">
        <v>0</v>
      </c>
      <c r="ETG15">
        <v>0</v>
      </c>
      <c r="ETH15">
        <v>157.97999999999999</v>
      </c>
      <c r="ETI15">
        <v>0</v>
      </c>
      <c r="ETJ15">
        <v>0</v>
      </c>
      <c r="ETK15">
        <v>0</v>
      </c>
      <c r="ETL15">
        <v>0</v>
      </c>
      <c r="ETM15">
        <v>0</v>
      </c>
      <c r="ETN15">
        <v>0</v>
      </c>
      <c r="ETO15">
        <v>0</v>
      </c>
      <c r="ETP15">
        <v>0</v>
      </c>
      <c r="ETQ15">
        <v>0</v>
      </c>
      <c r="ETR15">
        <v>84.02</v>
      </c>
      <c r="ETS15">
        <v>0</v>
      </c>
      <c r="ETT15">
        <v>0</v>
      </c>
      <c r="ETU15">
        <v>0</v>
      </c>
      <c r="ETV15">
        <v>441.01</v>
      </c>
      <c r="ETW15">
        <v>0</v>
      </c>
      <c r="ETX15">
        <v>0</v>
      </c>
      <c r="ETY15">
        <v>0</v>
      </c>
      <c r="ETZ15">
        <v>0</v>
      </c>
      <c r="EUA15">
        <v>246.01</v>
      </c>
      <c r="EUB15">
        <v>0</v>
      </c>
      <c r="EUC15">
        <v>0</v>
      </c>
      <c r="EUD15">
        <v>445.87</v>
      </c>
      <c r="EUE15">
        <v>0</v>
      </c>
      <c r="EUF15">
        <v>0</v>
      </c>
      <c r="EUG15">
        <v>0</v>
      </c>
      <c r="EUH15">
        <v>0</v>
      </c>
      <c r="EUI15">
        <v>447.01</v>
      </c>
      <c r="EUJ15">
        <v>0</v>
      </c>
      <c r="EUK15">
        <v>0</v>
      </c>
      <c r="EUL15">
        <v>0</v>
      </c>
      <c r="EUM15">
        <v>0</v>
      </c>
      <c r="EUN15">
        <v>0</v>
      </c>
      <c r="EUO15">
        <v>0</v>
      </c>
      <c r="EUP15">
        <v>0</v>
      </c>
      <c r="EUQ15">
        <v>0</v>
      </c>
      <c r="EUR15">
        <v>0</v>
      </c>
      <c r="EUS15">
        <v>0</v>
      </c>
      <c r="EUT15">
        <v>0</v>
      </c>
      <c r="EUU15">
        <v>0</v>
      </c>
      <c r="EUV15">
        <v>0</v>
      </c>
      <c r="EUW15">
        <v>291.99</v>
      </c>
      <c r="EUX15">
        <v>0</v>
      </c>
      <c r="EUY15">
        <v>0</v>
      </c>
      <c r="EUZ15">
        <v>0</v>
      </c>
      <c r="EVA15">
        <v>0</v>
      </c>
      <c r="EVB15">
        <v>0</v>
      </c>
      <c r="EVC15">
        <v>0</v>
      </c>
      <c r="EVD15">
        <v>0</v>
      </c>
      <c r="EVE15">
        <v>0</v>
      </c>
      <c r="EVF15">
        <v>0</v>
      </c>
      <c r="EVG15">
        <v>0</v>
      </c>
      <c r="EVH15">
        <v>0</v>
      </c>
      <c r="EVI15">
        <v>0</v>
      </c>
      <c r="EVJ15">
        <v>0</v>
      </c>
      <c r="EVK15">
        <v>0</v>
      </c>
      <c r="EVL15">
        <v>0</v>
      </c>
      <c r="EVM15">
        <v>202.99</v>
      </c>
      <c r="EVN15">
        <v>0</v>
      </c>
      <c r="EVO15">
        <v>0</v>
      </c>
      <c r="EVP15">
        <v>0</v>
      </c>
      <c r="EVQ15">
        <v>0</v>
      </c>
      <c r="EVR15">
        <v>0</v>
      </c>
      <c r="EVS15">
        <v>0</v>
      </c>
      <c r="EVT15">
        <v>0</v>
      </c>
      <c r="EVU15">
        <v>0</v>
      </c>
      <c r="EVV15">
        <v>0</v>
      </c>
      <c r="EVW15">
        <v>0</v>
      </c>
      <c r="EVX15">
        <v>0</v>
      </c>
      <c r="EVY15">
        <v>0</v>
      </c>
      <c r="EVZ15">
        <v>0</v>
      </c>
      <c r="EWA15">
        <v>232.95</v>
      </c>
      <c r="EWB15">
        <v>0</v>
      </c>
      <c r="EWC15">
        <v>0</v>
      </c>
      <c r="EWD15">
        <v>0</v>
      </c>
      <c r="EWE15">
        <v>0</v>
      </c>
      <c r="EWF15">
        <v>0</v>
      </c>
      <c r="EWG15">
        <v>0</v>
      </c>
      <c r="EWH15">
        <v>0</v>
      </c>
      <c r="EWI15">
        <v>0</v>
      </c>
      <c r="EWJ15">
        <v>0</v>
      </c>
      <c r="EWK15">
        <v>0</v>
      </c>
      <c r="EWL15">
        <v>0</v>
      </c>
      <c r="EWM15">
        <v>0</v>
      </c>
      <c r="EWN15">
        <v>0</v>
      </c>
      <c r="EWO15">
        <v>0</v>
      </c>
      <c r="EWP15">
        <v>0</v>
      </c>
      <c r="EWQ15">
        <v>0</v>
      </c>
      <c r="EWR15">
        <v>0</v>
      </c>
      <c r="EWS15">
        <v>0</v>
      </c>
      <c r="EWT15">
        <v>139.01</v>
      </c>
      <c r="EWU15">
        <v>0</v>
      </c>
      <c r="EWV15">
        <v>0</v>
      </c>
      <c r="EWW15">
        <v>0</v>
      </c>
      <c r="EWX15">
        <v>0</v>
      </c>
      <c r="EWY15">
        <v>0</v>
      </c>
      <c r="EWZ15">
        <v>0</v>
      </c>
      <c r="EXA15">
        <v>0</v>
      </c>
      <c r="EXB15">
        <v>0</v>
      </c>
      <c r="EXC15">
        <v>0</v>
      </c>
      <c r="EXD15">
        <v>0</v>
      </c>
      <c r="EXE15">
        <v>0</v>
      </c>
      <c r="EXF15">
        <v>0</v>
      </c>
      <c r="EXG15">
        <v>0</v>
      </c>
      <c r="EXH15">
        <v>65.010000000000005</v>
      </c>
      <c r="EXI15">
        <v>0</v>
      </c>
      <c r="EXJ15">
        <v>0</v>
      </c>
      <c r="EXK15">
        <v>0</v>
      </c>
      <c r="EXL15">
        <v>0</v>
      </c>
      <c r="EXM15">
        <v>0</v>
      </c>
      <c r="EXN15">
        <v>0</v>
      </c>
      <c r="EXO15">
        <v>0</v>
      </c>
      <c r="EXP15">
        <v>0</v>
      </c>
      <c r="EXQ15">
        <v>0</v>
      </c>
      <c r="EXR15">
        <v>0</v>
      </c>
      <c r="EXS15">
        <v>0</v>
      </c>
      <c r="EXT15">
        <v>0</v>
      </c>
      <c r="EXU15">
        <v>0</v>
      </c>
      <c r="EXV15">
        <v>0</v>
      </c>
      <c r="EXW15">
        <v>0</v>
      </c>
      <c r="EXX15">
        <v>0</v>
      </c>
      <c r="EXY15">
        <v>0</v>
      </c>
      <c r="EXZ15">
        <v>0</v>
      </c>
      <c r="EYA15">
        <v>0</v>
      </c>
      <c r="EYB15">
        <v>0</v>
      </c>
      <c r="EYC15">
        <v>0</v>
      </c>
      <c r="EYD15">
        <v>0</v>
      </c>
      <c r="EYE15">
        <v>0</v>
      </c>
      <c r="EYF15">
        <v>0</v>
      </c>
      <c r="EYG15">
        <v>0</v>
      </c>
      <c r="EYH15">
        <v>0</v>
      </c>
      <c r="EYI15">
        <v>0</v>
      </c>
      <c r="EYJ15">
        <v>0</v>
      </c>
      <c r="EYK15">
        <v>0</v>
      </c>
      <c r="EYL15">
        <v>106</v>
      </c>
      <c r="EYM15">
        <v>489.02</v>
      </c>
      <c r="EYN15">
        <v>0</v>
      </c>
      <c r="EYO15">
        <v>0</v>
      </c>
      <c r="EYP15">
        <v>0</v>
      </c>
      <c r="EYQ15">
        <v>0</v>
      </c>
      <c r="EYR15">
        <v>0</v>
      </c>
      <c r="EYS15">
        <v>0</v>
      </c>
      <c r="EYT15">
        <v>0</v>
      </c>
      <c r="EYU15">
        <v>0</v>
      </c>
      <c r="EYV15">
        <v>0</v>
      </c>
      <c r="EYW15">
        <v>20</v>
      </c>
      <c r="EYX15">
        <v>0</v>
      </c>
      <c r="EYY15">
        <v>0</v>
      </c>
      <c r="EYZ15">
        <v>0</v>
      </c>
      <c r="EZA15">
        <v>0</v>
      </c>
      <c r="EZB15">
        <v>0</v>
      </c>
      <c r="EZC15">
        <v>0</v>
      </c>
      <c r="EZD15">
        <v>0</v>
      </c>
      <c r="EZE15">
        <v>0</v>
      </c>
      <c r="EZF15">
        <v>0</v>
      </c>
      <c r="EZG15">
        <v>0</v>
      </c>
      <c r="EZH15">
        <v>0</v>
      </c>
      <c r="EZI15">
        <v>0</v>
      </c>
      <c r="EZJ15">
        <v>0</v>
      </c>
      <c r="EZK15">
        <v>0</v>
      </c>
      <c r="EZL15">
        <v>544.01</v>
      </c>
      <c r="EZM15">
        <v>0</v>
      </c>
      <c r="EZN15">
        <v>0</v>
      </c>
      <c r="EZO15">
        <v>0</v>
      </c>
      <c r="EZP15">
        <v>0</v>
      </c>
      <c r="EZQ15">
        <v>0</v>
      </c>
      <c r="EZR15">
        <v>0</v>
      </c>
      <c r="EZS15">
        <v>292.01</v>
      </c>
      <c r="EZT15">
        <v>0</v>
      </c>
      <c r="EZU15">
        <v>0</v>
      </c>
      <c r="EZV15">
        <v>0</v>
      </c>
      <c r="EZW15">
        <v>0</v>
      </c>
      <c r="EZX15">
        <v>0</v>
      </c>
      <c r="EZY15">
        <v>0</v>
      </c>
      <c r="EZZ15">
        <v>0</v>
      </c>
      <c r="FAA15">
        <v>0</v>
      </c>
      <c r="FAB15">
        <v>0</v>
      </c>
      <c r="FAC15">
        <v>0</v>
      </c>
      <c r="FAD15">
        <v>0</v>
      </c>
      <c r="FAE15">
        <v>0</v>
      </c>
      <c r="FAF15">
        <v>0</v>
      </c>
      <c r="FAG15">
        <v>0</v>
      </c>
      <c r="FAH15">
        <v>0</v>
      </c>
      <c r="FAI15">
        <v>0</v>
      </c>
      <c r="FAJ15">
        <v>0</v>
      </c>
      <c r="FAK15">
        <v>0</v>
      </c>
      <c r="FAL15">
        <v>0</v>
      </c>
      <c r="FAM15">
        <v>0</v>
      </c>
      <c r="FAN15">
        <v>0</v>
      </c>
      <c r="FAO15">
        <v>0</v>
      </c>
      <c r="FAP15">
        <v>0</v>
      </c>
      <c r="FAQ15">
        <v>0</v>
      </c>
      <c r="FAR15">
        <v>0</v>
      </c>
      <c r="FAS15">
        <v>0</v>
      </c>
      <c r="FAT15">
        <v>575.84</v>
      </c>
      <c r="FAU15">
        <v>0</v>
      </c>
      <c r="FAV15">
        <v>0</v>
      </c>
      <c r="FAW15">
        <v>578.99</v>
      </c>
      <c r="FAX15">
        <v>0</v>
      </c>
      <c r="FAY15">
        <v>0</v>
      </c>
      <c r="FAZ15">
        <v>0</v>
      </c>
      <c r="FBA15">
        <v>0</v>
      </c>
      <c r="FBB15">
        <v>0</v>
      </c>
      <c r="FBC15">
        <v>0</v>
      </c>
      <c r="FBD15">
        <v>0</v>
      </c>
      <c r="FBE15">
        <v>0</v>
      </c>
      <c r="FBF15">
        <v>0</v>
      </c>
      <c r="FBG15">
        <v>0</v>
      </c>
      <c r="FBH15">
        <v>0</v>
      </c>
      <c r="FBI15">
        <v>0</v>
      </c>
      <c r="FBJ15">
        <v>0</v>
      </c>
      <c r="FBK15">
        <v>0</v>
      </c>
      <c r="FBL15">
        <v>0</v>
      </c>
      <c r="FBM15">
        <v>0</v>
      </c>
      <c r="FBN15">
        <v>0</v>
      </c>
      <c r="FBO15">
        <v>597.83000000000004</v>
      </c>
      <c r="FBP15">
        <v>15</v>
      </c>
      <c r="FBQ15">
        <v>0</v>
      </c>
      <c r="FBR15">
        <v>0</v>
      </c>
      <c r="FBS15">
        <v>0</v>
      </c>
      <c r="FBT15">
        <v>0</v>
      </c>
      <c r="FBU15">
        <v>0</v>
      </c>
      <c r="FBV15">
        <v>0</v>
      </c>
      <c r="FBW15">
        <v>0</v>
      </c>
      <c r="FBX15">
        <v>0</v>
      </c>
      <c r="FBY15">
        <v>0</v>
      </c>
      <c r="FBZ15">
        <v>0</v>
      </c>
      <c r="FCA15">
        <v>0</v>
      </c>
      <c r="FCB15">
        <v>0</v>
      </c>
      <c r="FCC15">
        <v>0</v>
      </c>
      <c r="FCD15">
        <v>0</v>
      </c>
      <c r="FCE15">
        <v>0</v>
      </c>
      <c r="FCF15">
        <v>0</v>
      </c>
      <c r="FCG15">
        <v>0</v>
      </c>
      <c r="FCH15">
        <v>0</v>
      </c>
      <c r="FCI15">
        <v>66</v>
      </c>
      <c r="FCJ15">
        <v>0</v>
      </c>
      <c r="FCK15">
        <v>0</v>
      </c>
      <c r="FCL15">
        <v>104.96</v>
      </c>
      <c r="FCM15">
        <v>0</v>
      </c>
      <c r="FCN15">
        <v>0</v>
      </c>
      <c r="FCO15">
        <v>18.989999999999998</v>
      </c>
      <c r="FCP15">
        <v>0</v>
      </c>
      <c r="FCQ15">
        <v>0</v>
      </c>
      <c r="FCR15">
        <v>0</v>
      </c>
      <c r="FCS15">
        <v>0</v>
      </c>
      <c r="FCT15">
        <v>0</v>
      </c>
      <c r="FCU15">
        <v>0</v>
      </c>
      <c r="FCV15">
        <v>0</v>
      </c>
      <c r="FCW15">
        <v>0</v>
      </c>
      <c r="FCX15">
        <v>0</v>
      </c>
      <c r="FCY15">
        <v>0</v>
      </c>
      <c r="FCZ15">
        <v>0</v>
      </c>
      <c r="FDA15">
        <v>0</v>
      </c>
      <c r="FDB15">
        <v>0</v>
      </c>
      <c r="FDC15">
        <v>0</v>
      </c>
      <c r="FDD15">
        <v>0</v>
      </c>
      <c r="FDE15">
        <v>640.99</v>
      </c>
      <c r="FDF15">
        <v>0</v>
      </c>
      <c r="FDG15">
        <v>0</v>
      </c>
      <c r="FDH15">
        <v>0</v>
      </c>
      <c r="FDI15">
        <v>0</v>
      </c>
      <c r="FDJ15">
        <v>0</v>
      </c>
      <c r="FDK15">
        <v>0</v>
      </c>
      <c r="FDL15">
        <v>68.989999999999995</v>
      </c>
      <c r="FDM15">
        <v>0</v>
      </c>
      <c r="FDN15">
        <v>0</v>
      </c>
      <c r="FDO15">
        <v>0</v>
      </c>
      <c r="FDP15">
        <v>0</v>
      </c>
      <c r="FDQ15">
        <v>0</v>
      </c>
      <c r="FDR15">
        <v>0</v>
      </c>
      <c r="FDS15">
        <v>0</v>
      </c>
      <c r="FDT15">
        <v>0</v>
      </c>
      <c r="FDU15">
        <v>49.01</v>
      </c>
      <c r="FDV15">
        <v>0</v>
      </c>
      <c r="FDW15">
        <v>0</v>
      </c>
      <c r="FDX15">
        <v>0</v>
      </c>
      <c r="FDY15">
        <v>0</v>
      </c>
      <c r="FDZ15">
        <v>0</v>
      </c>
      <c r="FEA15">
        <v>0</v>
      </c>
      <c r="FEB15">
        <v>0</v>
      </c>
      <c r="FEC15">
        <v>0</v>
      </c>
      <c r="FED15">
        <v>0</v>
      </c>
      <c r="FEE15">
        <v>0</v>
      </c>
      <c r="FEF15">
        <v>0</v>
      </c>
      <c r="FEG15">
        <v>0</v>
      </c>
      <c r="FEH15">
        <v>0</v>
      </c>
      <c r="FEI15">
        <v>0</v>
      </c>
      <c r="FEJ15">
        <v>0</v>
      </c>
      <c r="FEK15">
        <v>0</v>
      </c>
      <c r="FEL15">
        <v>0</v>
      </c>
      <c r="FEM15">
        <v>137.04</v>
      </c>
      <c r="FEN15">
        <v>0</v>
      </c>
      <c r="FEO15">
        <v>0</v>
      </c>
      <c r="FEP15">
        <v>0</v>
      </c>
      <c r="FEQ15">
        <v>0</v>
      </c>
      <c r="FER15">
        <v>0</v>
      </c>
      <c r="FES15">
        <v>0</v>
      </c>
      <c r="FET15">
        <v>0</v>
      </c>
      <c r="FEU15">
        <v>0</v>
      </c>
      <c r="FEV15">
        <v>0</v>
      </c>
      <c r="FEW15">
        <v>0</v>
      </c>
      <c r="FEX15">
        <v>0</v>
      </c>
      <c r="FEY15">
        <v>0</v>
      </c>
      <c r="FEZ15">
        <v>0</v>
      </c>
      <c r="FFA15">
        <v>0</v>
      </c>
      <c r="FFB15">
        <v>0</v>
      </c>
      <c r="FFC15">
        <v>0</v>
      </c>
      <c r="FFD15">
        <v>0</v>
      </c>
      <c r="FFE15">
        <v>0</v>
      </c>
      <c r="FFF15">
        <v>0</v>
      </c>
      <c r="FFG15">
        <v>0</v>
      </c>
      <c r="FFH15">
        <v>0</v>
      </c>
      <c r="FFI15">
        <v>0</v>
      </c>
      <c r="FFJ15">
        <v>0</v>
      </c>
      <c r="FFK15">
        <v>43</v>
      </c>
      <c r="FFL15">
        <v>0</v>
      </c>
      <c r="FFM15">
        <v>0</v>
      </c>
      <c r="FFN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U15">
        <v>0</v>
      </c>
      <c r="FFV15">
        <v>0</v>
      </c>
      <c r="FFW15">
        <v>730.98</v>
      </c>
      <c r="FFX15">
        <v>0</v>
      </c>
      <c r="FFY15">
        <v>0</v>
      </c>
      <c r="FFZ15">
        <v>0</v>
      </c>
      <c r="FGA15">
        <v>0</v>
      </c>
      <c r="FGB15">
        <v>0</v>
      </c>
      <c r="FGC15">
        <v>0</v>
      </c>
      <c r="FGD15">
        <v>0</v>
      </c>
      <c r="FGE15">
        <v>0</v>
      </c>
      <c r="FGF15">
        <v>0</v>
      </c>
      <c r="FGG15">
        <v>0</v>
      </c>
      <c r="FGH15">
        <v>246.01</v>
      </c>
      <c r="FGI15">
        <v>0</v>
      </c>
      <c r="FGJ15">
        <v>0</v>
      </c>
      <c r="FGK15">
        <v>63.02</v>
      </c>
      <c r="FGL15">
        <v>0</v>
      </c>
      <c r="FGM15">
        <v>0</v>
      </c>
      <c r="FGN15">
        <v>0</v>
      </c>
      <c r="FGO15">
        <v>0</v>
      </c>
      <c r="FGP15">
        <v>0</v>
      </c>
      <c r="FGQ15">
        <v>0</v>
      </c>
      <c r="FGR15">
        <v>0</v>
      </c>
      <c r="FGS15">
        <v>0</v>
      </c>
      <c r="FGT15">
        <v>20</v>
      </c>
      <c r="FGU15">
        <v>68</v>
      </c>
      <c r="FGV15">
        <v>0</v>
      </c>
      <c r="FGW15">
        <v>0</v>
      </c>
      <c r="FGX15">
        <v>57</v>
      </c>
      <c r="FGY15">
        <v>0</v>
      </c>
      <c r="FGZ15">
        <v>0</v>
      </c>
      <c r="FHA15">
        <v>0</v>
      </c>
      <c r="FHB15">
        <v>0</v>
      </c>
      <c r="FHC15">
        <v>0</v>
      </c>
      <c r="FHD15">
        <v>0</v>
      </c>
      <c r="FHE15">
        <v>0</v>
      </c>
      <c r="FHF15">
        <v>0</v>
      </c>
      <c r="FHG15">
        <v>0</v>
      </c>
      <c r="FHH15">
        <v>0</v>
      </c>
      <c r="FHI15">
        <v>0</v>
      </c>
      <c r="FHJ15">
        <v>0</v>
      </c>
      <c r="FHK15">
        <v>771.98</v>
      </c>
      <c r="FHL15">
        <v>0</v>
      </c>
      <c r="FHM15">
        <v>0</v>
      </c>
      <c r="FHN15">
        <v>0</v>
      </c>
      <c r="FHO15">
        <v>93</v>
      </c>
      <c r="FHP15">
        <v>0</v>
      </c>
      <c r="FHQ15">
        <v>0</v>
      </c>
      <c r="FHR15">
        <v>0</v>
      </c>
      <c r="FHS15">
        <v>0</v>
      </c>
      <c r="FHT15">
        <v>0</v>
      </c>
      <c r="FHU15">
        <v>0</v>
      </c>
      <c r="FHV15">
        <v>0</v>
      </c>
      <c r="FHW15">
        <v>0</v>
      </c>
      <c r="FHX15">
        <v>0</v>
      </c>
      <c r="FHY15">
        <v>0</v>
      </c>
      <c r="FHZ15">
        <v>277.99</v>
      </c>
      <c r="FIA15">
        <v>0</v>
      </c>
      <c r="FIB15">
        <v>242.06</v>
      </c>
      <c r="FIC15">
        <v>0</v>
      </c>
      <c r="FID15">
        <v>41</v>
      </c>
      <c r="FIE15">
        <v>0</v>
      </c>
      <c r="FIF15">
        <v>0</v>
      </c>
      <c r="FIG15">
        <v>0</v>
      </c>
      <c r="FIH15">
        <v>0</v>
      </c>
      <c r="FII15">
        <v>0</v>
      </c>
      <c r="FIJ15">
        <v>0</v>
      </c>
      <c r="FIK15">
        <v>0</v>
      </c>
      <c r="FIL15">
        <v>0</v>
      </c>
      <c r="FIM15">
        <v>0</v>
      </c>
      <c r="FIN15">
        <v>399.89</v>
      </c>
      <c r="FIO15">
        <v>48.99</v>
      </c>
      <c r="FIP15">
        <v>0</v>
      </c>
      <c r="FIQ15">
        <v>0</v>
      </c>
      <c r="FIR15">
        <v>0</v>
      </c>
      <c r="FIS15">
        <v>0</v>
      </c>
      <c r="FIT15">
        <v>0</v>
      </c>
      <c r="FIU15">
        <v>0</v>
      </c>
      <c r="FIV15">
        <v>0</v>
      </c>
      <c r="FIW15">
        <v>0</v>
      </c>
      <c r="FIX15">
        <v>0</v>
      </c>
      <c r="FIY15">
        <v>0</v>
      </c>
      <c r="FIZ15">
        <v>0</v>
      </c>
      <c r="FJA15">
        <v>0</v>
      </c>
      <c r="FJB15">
        <v>0</v>
      </c>
      <c r="FJC15">
        <v>0</v>
      </c>
      <c r="FJD15">
        <v>115</v>
      </c>
      <c r="FJE15">
        <v>829.75</v>
      </c>
      <c r="FJF15">
        <v>0</v>
      </c>
      <c r="FJG15">
        <v>0</v>
      </c>
      <c r="FJH15">
        <v>0</v>
      </c>
      <c r="FJI15">
        <v>0</v>
      </c>
      <c r="FJJ15">
        <v>0</v>
      </c>
      <c r="FJK15">
        <v>0</v>
      </c>
      <c r="FJL15">
        <v>0</v>
      </c>
      <c r="FJM15">
        <v>0</v>
      </c>
      <c r="FJN15">
        <v>0</v>
      </c>
      <c r="FJO15">
        <v>0</v>
      </c>
      <c r="FJP15">
        <v>0</v>
      </c>
      <c r="FJQ15">
        <v>0</v>
      </c>
      <c r="FJR15">
        <v>0</v>
      </c>
      <c r="FJS15">
        <v>0</v>
      </c>
      <c r="FJT15">
        <v>36.01</v>
      </c>
      <c r="FJU15">
        <v>0</v>
      </c>
      <c r="FJV15">
        <v>0</v>
      </c>
      <c r="FJW15">
        <v>0</v>
      </c>
      <c r="FJX15">
        <v>0</v>
      </c>
      <c r="FJY15">
        <v>0</v>
      </c>
      <c r="FJZ15">
        <v>0</v>
      </c>
      <c r="FKA15">
        <v>45</v>
      </c>
      <c r="FKB15">
        <v>0</v>
      </c>
      <c r="FKC15">
        <v>0</v>
      </c>
      <c r="FKD15">
        <v>0</v>
      </c>
      <c r="FKE15">
        <v>0</v>
      </c>
      <c r="FKF15">
        <v>0</v>
      </c>
      <c r="FKG15">
        <v>503.98</v>
      </c>
      <c r="FKH15">
        <v>0</v>
      </c>
      <c r="FKI15">
        <v>0</v>
      </c>
      <c r="FKJ15">
        <v>0</v>
      </c>
      <c r="FKK15">
        <v>0</v>
      </c>
      <c r="FKL15">
        <v>0</v>
      </c>
      <c r="FKM15">
        <v>182.99</v>
      </c>
      <c r="FKN15">
        <v>0</v>
      </c>
      <c r="FKO15">
        <v>0</v>
      </c>
      <c r="FKP15">
        <v>0</v>
      </c>
      <c r="FKQ15">
        <v>0</v>
      </c>
      <c r="FKR15">
        <v>0</v>
      </c>
      <c r="FKS15">
        <v>0</v>
      </c>
      <c r="FKT15">
        <v>0</v>
      </c>
      <c r="FKU15">
        <v>0</v>
      </c>
      <c r="FKV15">
        <v>0</v>
      </c>
      <c r="FKW15">
        <v>0</v>
      </c>
      <c r="FKX15">
        <v>0</v>
      </c>
      <c r="FKY15">
        <v>0</v>
      </c>
      <c r="FKZ15">
        <v>0</v>
      </c>
      <c r="FLA15">
        <v>0</v>
      </c>
      <c r="FLB15">
        <v>0</v>
      </c>
      <c r="FLC15">
        <v>0</v>
      </c>
      <c r="FLD15">
        <v>893.02</v>
      </c>
      <c r="FLE15">
        <v>127.99</v>
      </c>
      <c r="FLF15">
        <v>0</v>
      </c>
      <c r="FLG15">
        <v>0</v>
      </c>
      <c r="FLH15">
        <v>0</v>
      </c>
      <c r="FLI15">
        <v>0</v>
      </c>
      <c r="FLJ15">
        <v>0</v>
      </c>
      <c r="FLK15">
        <v>0</v>
      </c>
      <c r="FLL15">
        <v>0</v>
      </c>
      <c r="FLM15">
        <v>0</v>
      </c>
      <c r="FLN15">
        <v>0</v>
      </c>
      <c r="FLO15">
        <v>0</v>
      </c>
      <c r="FLP15">
        <v>0</v>
      </c>
      <c r="FLQ15">
        <v>0</v>
      </c>
      <c r="FLR15">
        <v>0</v>
      </c>
      <c r="FLS15">
        <v>0</v>
      </c>
      <c r="FLT15">
        <v>0</v>
      </c>
      <c r="FLU15">
        <v>0</v>
      </c>
      <c r="FLV15">
        <v>0</v>
      </c>
      <c r="FLW15">
        <v>0</v>
      </c>
      <c r="FLX15">
        <v>0</v>
      </c>
      <c r="FLY15">
        <v>932.98</v>
      </c>
      <c r="FLZ15">
        <v>0</v>
      </c>
      <c r="FMA15">
        <v>288.95999999999998</v>
      </c>
      <c r="FMB15">
        <v>0</v>
      </c>
      <c r="FMC15">
        <v>935.04</v>
      </c>
      <c r="FMD15">
        <v>0</v>
      </c>
      <c r="FME15">
        <v>0</v>
      </c>
      <c r="FMF15">
        <v>0</v>
      </c>
      <c r="FMG15">
        <v>0</v>
      </c>
      <c r="FMH15">
        <v>0</v>
      </c>
      <c r="FMI15">
        <v>0</v>
      </c>
      <c r="FMJ15">
        <v>0</v>
      </c>
      <c r="FMK15">
        <v>0</v>
      </c>
      <c r="FML15">
        <v>0</v>
      </c>
      <c r="FMM15">
        <v>0</v>
      </c>
      <c r="FMN15">
        <v>0</v>
      </c>
      <c r="FMO15">
        <v>0</v>
      </c>
      <c r="FMP15">
        <v>480.96</v>
      </c>
      <c r="FMQ15">
        <v>0</v>
      </c>
      <c r="FMR15">
        <v>0</v>
      </c>
      <c r="FMS15">
        <v>0</v>
      </c>
      <c r="FMT15">
        <v>0</v>
      </c>
      <c r="FMU15">
        <v>0</v>
      </c>
      <c r="FMV15">
        <v>0</v>
      </c>
      <c r="FMW15">
        <v>0</v>
      </c>
      <c r="FMX15">
        <v>0</v>
      </c>
      <c r="FMY15">
        <v>0</v>
      </c>
      <c r="FMZ15">
        <v>0</v>
      </c>
      <c r="FNA15">
        <v>0</v>
      </c>
      <c r="FNB15">
        <v>0</v>
      </c>
      <c r="FNC15">
        <v>0</v>
      </c>
      <c r="FND15">
        <v>0</v>
      </c>
      <c r="FNE15">
        <v>0</v>
      </c>
      <c r="FNF15">
        <v>58.01</v>
      </c>
      <c r="FNG15">
        <v>0</v>
      </c>
      <c r="FNH15">
        <v>0</v>
      </c>
      <c r="FNI15">
        <v>0</v>
      </c>
      <c r="FNJ15">
        <v>0</v>
      </c>
      <c r="FNK15">
        <v>0</v>
      </c>
      <c r="FNL15">
        <v>0</v>
      </c>
      <c r="FNM15">
        <v>0</v>
      </c>
      <c r="FNN15">
        <v>0</v>
      </c>
      <c r="FNO15">
        <v>566.99</v>
      </c>
      <c r="FNP15">
        <v>0</v>
      </c>
      <c r="FNQ15">
        <v>374.99</v>
      </c>
      <c r="FNR15">
        <v>0</v>
      </c>
      <c r="FNS15">
        <v>0</v>
      </c>
      <c r="FNT15">
        <v>1007.98</v>
      </c>
      <c r="FNU15">
        <v>0</v>
      </c>
      <c r="FNV15">
        <v>0</v>
      </c>
      <c r="FNW15">
        <v>0</v>
      </c>
      <c r="FNX15">
        <v>0</v>
      </c>
      <c r="FNY15">
        <v>0</v>
      </c>
      <c r="FNZ15">
        <v>0</v>
      </c>
      <c r="FOA15">
        <v>0</v>
      </c>
      <c r="FOB15">
        <v>0</v>
      </c>
      <c r="FOC15">
        <v>0</v>
      </c>
      <c r="FOD15">
        <v>0</v>
      </c>
      <c r="FOE15">
        <v>0</v>
      </c>
      <c r="FOF15">
        <v>0</v>
      </c>
      <c r="FOG15">
        <v>0</v>
      </c>
      <c r="FOH15">
        <v>0</v>
      </c>
      <c r="FOI15">
        <v>0</v>
      </c>
      <c r="FOJ15">
        <v>0</v>
      </c>
      <c r="FOK15">
        <v>0</v>
      </c>
      <c r="FOL15">
        <v>0</v>
      </c>
      <c r="FOM15">
        <v>0</v>
      </c>
      <c r="FON15">
        <v>0</v>
      </c>
      <c r="FOO15">
        <v>0</v>
      </c>
      <c r="FOP15">
        <v>0</v>
      </c>
      <c r="FOQ15">
        <v>0</v>
      </c>
      <c r="FOR15">
        <v>0</v>
      </c>
      <c r="FOS15">
        <v>0</v>
      </c>
      <c r="FOT15">
        <v>0</v>
      </c>
      <c r="FOU15">
        <v>0</v>
      </c>
      <c r="FOV15">
        <v>0</v>
      </c>
      <c r="FOW15">
        <v>0</v>
      </c>
      <c r="FOX15">
        <v>41.01</v>
      </c>
      <c r="FOY15">
        <v>0</v>
      </c>
      <c r="FOZ15">
        <v>0</v>
      </c>
      <c r="FPA15">
        <v>0</v>
      </c>
      <c r="FPB15">
        <v>163.99</v>
      </c>
      <c r="FPC15">
        <v>0</v>
      </c>
      <c r="FPD15">
        <v>0</v>
      </c>
      <c r="FPE15">
        <v>0</v>
      </c>
      <c r="FPF15">
        <v>42.99</v>
      </c>
      <c r="FPG15">
        <v>46</v>
      </c>
      <c r="FPH15">
        <v>0</v>
      </c>
      <c r="FPI15">
        <v>0</v>
      </c>
      <c r="FPJ15">
        <v>0</v>
      </c>
      <c r="FPK15">
        <v>0</v>
      </c>
      <c r="FPL15">
        <v>0</v>
      </c>
      <c r="FPM15">
        <v>0</v>
      </c>
      <c r="FPN15">
        <v>0</v>
      </c>
      <c r="FPO15">
        <v>0</v>
      </c>
      <c r="FPP15">
        <v>0</v>
      </c>
      <c r="FPQ15">
        <v>126</v>
      </c>
      <c r="FPR15">
        <v>0</v>
      </c>
      <c r="FPS15">
        <v>118</v>
      </c>
      <c r="FPT15">
        <v>0</v>
      </c>
      <c r="FPU15">
        <v>0</v>
      </c>
      <c r="FPV15">
        <v>0</v>
      </c>
      <c r="FPW15">
        <v>0</v>
      </c>
      <c r="FPX15">
        <v>0</v>
      </c>
      <c r="FPY15">
        <v>0</v>
      </c>
      <c r="FPZ15">
        <v>0</v>
      </c>
      <c r="FQA15">
        <v>0</v>
      </c>
      <c r="FQB15">
        <v>0</v>
      </c>
      <c r="FQC15">
        <v>0</v>
      </c>
      <c r="FQD15">
        <v>40</v>
      </c>
      <c r="FQE15">
        <v>103.02</v>
      </c>
      <c r="FQF15">
        <v>19</v>
      </c>
      <c r="FQG15">
        <v>0</v>
      </c>
      <c r="FQH15">
        <v>0</v>
      </c>
      <c r="FQI15">
        <v>0</v>
      </c>
      <c r="FQJ15">
        <v>0</v>
      </c>
      <c r="FQK15">
        <v>0</v>
      </c>
      <c r="FQL15">
        <v>0</v>
      </c>
      <c r="FQM15">
        <v>0</v>
      </c>
      <c r="FQN15">
        <v>0</v>
      </c>
      <c r="FQO15">
        <v>0</v>
      </c>
      <c r="FQP15">
        <v>0</v>
      </c>
      <c r="FQQ15">
        <v>0</v>
      </c>
      <c r="FQR15">
        <v>0</v>
      </c>
      <c r="FQS15">
        <v>0</v>
      </c>
      <c r="FQT15">
        <v>0</v>
      </c>
      <c r="FQU15">
        <v>0</v>
      </c>
      <c r="FQV15">
        <v>0</v>
      </c>
      <c r="FQW15">
        <v>0</v>
      </c>
      <c r="FQX15">
        <v>0</v>
      </c>
      <c r="FQY15">
        <v>0</v>
      </c>
      <c r="FQZ15">
        <v>0</v>
      </c>
      <c r="FRA15">
        <v>0</v>
      </c>
      <c r="FRB15">
        <v>0</v>
      </c>
      <c r="FRC15">
        <v>93</v>
      </c>
      <c r="FRD15">
        <v>0</v>
      </c>
      <c r="FRE15">
        <v>0</v>
      </c>
      <c r="FRF15">
        <v>0</v>
      </c>
      <c r="FRG15">
        <v>0</v>
      </c>
      <c r="FRH15">
        <v>0</v>
      </c>
      <c r="FRI15">
        <v>0</v>
      </c>
      <c r="FRJ15">
        <v>0</v>
      </c>
      <c r="FRK15">
        <v>614.96</v>
      </c>
      <c r="FRL15">
        <v>0</v>
      </c>
      <c r="FRM15">
        <v>0</v>
      </c>
      <c r="FRN15">
        <v>0</v>
      </c>
      <c r="FRO15">
        <v>0</v>
      </c>
      <c r="FRP15">
        <v>519.99</v>
      </c>
      <c r="FRQ15">
        <v>85.98</v>
      </c>
      <c r="FRR15">
        <v>0</v>
      </c>
      <c r="FRS15">
        <v>0</v>
      </c>
      <c r="FRT15">
        <v>0</v>
      </c>
      <c r="FRU15">
        <v>0</v>
      </c>
      <c r="FRV15">
        <v>1256.04</v>
      </c>
      <c r="FRW15">
        <v>0</v>
      </c>
      <c r="FRX15">
        <v>0</v>
      </c>
      <c r="FRY15">
        <v>0</v>
      </c>
      <c r="FRZ15">
        <v>0</v>
      </c>
      <c r="FSA15">
        <v>1265.04</v>
      </c>
      <c r="FSB15">
        <v>0</v>
      </c>
      <c r="FSC15">
        <v>0</v>
      </c>
      <c r="FSD15">
        <v>0</v>
      </c>
      <c r="FSE15">
        <v>0</v>
      </c>
      <c r="FSF15">
        <v>0</v>
      </c>
      <c r="FSG15">
        <v>0</v>
      </c>
      <c r="FSH15">
        <v>0</v>
      </c>
      <c r="FSI15">
        <v>0</v>
      </c>
      <c r="FSJ15">
        <v>0</v>
      </c>
      <c r="FSK15">
        <v>0</v>
      </c>
      <c r="FSL15">
        <v>0</v>
      </c>
      <c r="FSM15">
        <v>0</v>
      </c>
      <c r="FSN15">
        <v>1318.98</v>
      </c>
      <c r="FSO15">
        <v>0</v>
      </c>
      <c r="FSP15">
        <v>0</v>
      </c>
      <c r="FSQ15">
        <v>0</v>
      </c>
      <c r="FSR15">
        <v>0</v>
      </c>
      <c r="FSS15">
        <v>0</v>
      </c>
      <c r="FST15">
        <v>0</v>
      </c>
      <c r="FSU15">
        <v>0</v>
      </c>
      <c r="FSV15">
        <v>0</v>
      </c>
      <c r="FSW15">
        <v>0</v>
      </c>
      <c r="FSX15">
        <v>1357.32</v>
      </c>
      <c r="FSY15">
        <v>0</v>
      </c>
      <c r="FSZ15">
        <v>0</v>
      </c>
      <c r="FTA15">
        <v>0</v>
      </c>
      <c r="FTB15">
        <v>0</v>
      </c>
      <c r="FTC15">
        <v>0</v>
      </c>
      <c r="FTD15">
        <v>0</v>
      </c>
      <c r="FTE15">
        <v>0</v>
      </c>
      <c r="FTF15">
        <v>137</v>
      </c>
      <c r="FTG15">
        <v>136.02000000000001</v>
      </c>
      <c r="FTH15">
        <v>0</v>
      </c>
      <c r="FTI15">
        <v>0</v>
      </c>
      <c r="FTJ15">
        <v>0</v>
      </c>
      <c r="FTK15">
        <v>0</v>
      </c>
      <c r="FTL15">
        <v>15</v>
      </c>
      <c r="FTM15">
        <v>0</v>
      </c>
      <c r="FTN15">
        <v>0</v>
      </c>
      <c r="FTO15">
        <v>0</v>
      </c>
      <c r="FTP15">
        <v>0</v>
      </c>
      <c r="FTQ15">
        <v>0</v>
      </c>
      <c r="FTR15">
        <v>0</v>
      </c>
      <c r="FTS15">
        <v>0</v>
      </c>
      <c r="FTT15">
        <v>0</v>
      </c>
      <c r="FTU15">
        <v>388</v>
      </c>
      <c r="FTV15">
        <v>0</v>
      </c>
      <c r="FTW15">
        <v>0</v>
      </c>
      <c r="FTX15">
        <v>0</v>
      </c>
      <c r="FTY15">
        <v>0</v>
      </c>
      <c r="FTZ15">
        <v>0</v>
      </c>
      <c r="FUA15">
        <v>0</v>
      </c>
      <c r="FUB15">
        <v>0</v>
      </c>
      <c r="FUC15">
        <v>0</v>
      </c>
      <c r="FUD15">
        <v>0</v>
      </c>
      <c r="FUE15">
        <v>0</v>
      </c>
      <c r="FUF15">
        <v>0</v>
      </c>
      <c r="FUG15">
        <v>0</v>
      </c>
      <c r="FUH15">
        <v>0</v>
      </c>
      <c r="FUI15">
        <v>0</v>
      </c>
      <c r="FUJ15">
        <v>403.02</v>
      </c>
      <c r="FUK15">
        <v>0</v>
      </c>
      <c r="FUL15">
        <v>0</v>
      </c>
      <c r="FUM15">
        <v>0</v>
      </c>
      <c r="FUN15">
        <v>0</v>
      </c>
      <c r="FUO15">
        <v>0</v>
      </c>
      <c r="FUP15">
        <v>135</v>
      </c>
      <c r="FUQ15">
        <v>0</v>
      </c>
      <c r="FUR15">
        <v>0</v>
      </c>
      <c r="FUS15">
        <v>0</v>
      </c>
      <c r="FUT15">
        <v>483.99</v>
      </c>
      <c r="FUU15">
        <v>0</v>
      </c>
      <c r="FUV15">
        <v>643.99</v>
      </c>
      <c r="FUW15">
        <v>0</v>
      </c>
      <c r="FUX15">
        <v>1483.79</v>
      </c>
      <c r="FUY15">
        <v>231.99</v>
      </c>
      <c r="FUZ15">
        <v>0</v>
      </c>
      <c r="FVA15">
        <v>0</v>
      </c>
      <c r="FVB15">
        <v>0</v>
      </c>
      <c r="FVC15">
        <v>542.85</v>
      </c>
      <c r="FVD15">
        <v>0</v>
      </c>
      <c r="FVE15">
        <v>0</v>
      </c>
      <c r="FVF15">
        <v>0</v>
      </c>
      <c r="FVG15">
        <v>147.96</v>
      </c>
      <c r="FVH15">
        <v>0</v>
      </c>
      <c r="FVI15">
        <v>0</v>
      </c>
      <c r="FVJ15">
        <v>0</v>
      </c>
      <c r="FVK15">
        <v>0</v>
      </c>
      <c r="FVL15">
        <v>0</v>
      </c>
      <c r="FVM15">
        <v>0</v>
      </c>
      <c r="FVN15">
        <v>0</v>
      </c>
      <c r="FVO15">
        <v>249</v>
      </c>
      <c r="FVP15">
        <v>0</v>
      </c>
      <c r="FVQ15">
        <v>0</v>
      </c>
      <c r="FVR15">
        <v>0</v>
      </c>
      <c r="FVS15">
        <v>0</v>
      </c>
      <c r="FVT15">
        <v>0</v>
      </c>
      <c r="FVU15">
        <v>0</v>
      </c>
      <c r="FVV15">
        <v>0</v>
      </c>
      <c r="FVW15">
        <v>0</v>
      </c>
      <c r="FVX15">
        <v>0</v>
      </c>
      <c r="FVY15">
        <v>0</v>
      </c>
      <c r="FVZ15">
        <v>0</v>
      </c>
      <c r="FWB15">
        <v>0</v>
      </c>
      <c r="FWC15">
        <v>0</v>
      </c>
      <c r="FWD15">
        <v>0</v>
      </c>
      <c r="FWE15">
        <v>0</v>
      </c>
      <c r="FWF15">
        <v>0</v>
      </c>
      <c r="FWG15">
        <v>1589.96</v>
      </c>
      <c r="FWH15">
        <v>0</v>
      </c>
      <c r="FWI15">
        <v>0</v>
      </c>
      <c r="FWJ15">
        <v>590.04</v>
      </c>
      <c r="FWK15">
        <v>0</v>
      </c>
      <c r="FWL15">
        <v>0</v>
      </c>
      <c r="FWM15">
        <v>99</v>
      </c>
      <c r="FWN15">
        <v>0</v>
      </c>
      <c r="FWO15">
        <v>0</v>
      </c>
      <c r="FWP15">
        <v>0</v>
      </c>
      <c r="FWQ15">
        <v>0</v>
      </c>
      <c r="FWR15">
        <v>0</v>
      </c>
      <c r="FWS15">
        <v>0</v>
      </c>
      <c r="FWT15">
        <v>0</v>
      </c>
      <c r="FWU15">
        <v>115</v>
      </c>
      <c r="FWV15">
        <v>43.99</v>
      </c>
      <c r="FWW15">
        <v>0</v>
      </c>
      <c r="FWX15">
        <v>457.95</v>
      </c>
      <c r="FWY15">
        <v>0</v>
      </c>
      <c r="FWZ15">
        <v>0</v>
      </c>
      <c r="FXA15">
        <v>748.98</v>
      </c>
      <c r="FXB15">
        <v>431.01</v>
      </c>
      <c r="FXC15">
        <v>0</v>
      </c>
      <c r="FXD15">
        <v>0</v>
      </c>
      <c r="FXE15">
        <v>0</v>
      </c>
      <c r="FXF15">
        <v>0</v>
      </c>
      <c r="FXG15">
        <v>54</v>
      </c>
      <c r="FXH15">
        <v>0</v>
      </c>
      <c r="FXI15">
        <v>0</v>
      </c>
      <c r="FXJ15">
        <v>0</v>
      </c>
      <c r="FXK15">
        <v>1457.84</v>
      </c>
      <c r="FXL15">
        <v>0</v>
      </c>
      <c r="FXM15">
        <v>1708.96</v>
      </c>
      <c r="FXN15">
        <v>0</v>
      </c>
      <c r="FXO15">
        <v>0</v>
      </c>
      <c r="FXP15">
        <v>0</v>
      </c>
      <c r="FXQ15">
        <v>0</v>
      </c>
      <c r="FXR15">
        <v>0</v>
      </c>
      <c r="FXS15">
        <v>0</v>
      </c>
      <c r="FXT15">
        <v>307.89999999999998</v>
      </c>
      <c r="FXU15">
        <v>0</v>
      </c>
      <c r="FXV15">
        <v>669.98</v>
      </c>
      <c r="FXW15">
        <v>0</v>
      </c>
      <c r="FXX15">
        <v>454.94</v>
      </c>
      <c r="FXY15">
        <v>0</v>
      </c>
      <c r="FXZ15">
        <v>0</v>
      </c>
      <c r="FYA15">
        <v>0</v>
      </c>
      <c r="FYB15">
        <v>218.99</v>
      </c>
      <c r="FYC15">
        <v>0</v>
      </c>
      <c r="FYD15">
        <v>0</v>
      </c>
      <c r="FYE15">
        <v>0</v>
      </c>
      <c r="FYF15">
        <v>0</v>
      </c>
      <c r="FYG15">
        <v>0</v>
      </c>
      <c r="FYH15">
        <v>62.99</v>
      </c>
      <c r="FYI15">
        <v>0</v>
      </c>
      <c r="FYJ15">
        <v>0</v>
      </c>
      <c r="FYK15">
        <v>0</v>
      </c>
      <c r="FYL15">
        <v>0</v>
      </c>
      <c r="FYM15">
        <v>0</v>
      </c>
      <c r="FYN15">
        <v>0</v>
      </c>
      <c r="FYO15">
        <v>0</v>
      </c>
      <c r="FYP15">
        <v>120</v>
      </c>
      <c r="FYQ15">
        <v>1380.59</v>
      </c>
      <c r="FYR15">
        <v>0</v>
      </c>
      <c r="FYS15">
        <v>23</v>
      </c>
      <c r="FYT15">
        <v>0</v>
      </c>
      <c r="FYU15">
        <v>0</v>
      </c>
      <c r="FYV15">
        <v>0</v>
      </c>
      <c r="FYW15">
        <v>0</v>
      </c>
      <c r="FYX15">
        <v>0</v>
      </c>
      <c r="FYY15">
        <v>0</v>
      </c>
      <c r="FYZ15">
        <v>0</v>
      </c>
      <c r="FZA15">
        <v>61</v>
      </c>
      <c r="FZB15">
        <v>0</v>
      </c>
      <c r="FZC15">
        <v>215.96</v>
      </c>
      <c r="FZD15">
        <v>0</v>
      </c>
      <c r="FZE15">
        <v>0</v>
      </c>
      <c r="FZF15">
        <v>0</v>
      </c>
      <c r="FZG15">
        <v>0</v>
      </c>
      <c r="FZH15">
        <v>0</v>
      </c>
      <c r="FZI15">
        <v>0</v>
      </c>
      <c r="FZJ15">
        <v>0</v>
      </c>
      <c r="FZK15">
        <v>84</v>
      </c>
      <c r="FZL15">
        <v>0</v>
      </c>
      <c r="FZM15">
        <v>0</v>
      </c>
      <c r="FZN15">
        <v>0</v>
      </c>
      <c r="FZO15">
        <v>0</v>
      </c>
      <c r="FZP15">
        <v>157</v>
      </c>
      <c r="FZQ15">
        <v>0</v>
      </c>
      <c r="FZR15">
        <v>0</v>
      </c>
      <c r="FZS15">
        <v>0</v>
      </c>
      <c r="FZT15">
        <v>886.98</v>
      </c>
      <c r="FZU15">
        <v>0</v>
      </c>
      <c r="FZV15">
        <v>0</v>
      </c>
      <c r="FZW15">
        <v>0</v>
      </c>
      <c r="FZX15">
        <v>0</v>
      </c>
      <c r="FZY15">
        <v>0</v>
      </c>
      <c r="FZZ15">
        <v>0</v>
      </c>
      <c r="GAA15">
        <v>0</v>
      </c>
      <c r="GAB15">
        <v>0</v>
      </c>
      <c r="GAC15">
        <v>0</v>
      </c>
      <c r="GAD15">
        <v>89</v>
      </c>
      <c r="GAE15">
        <v>0</v>
      </c>
      <c r="GAF15">
        <v>0</v>
      </c>
      <c r="GAG15">
        <v>0</v>
      </c>
      <c r="GAH15">
        <v>98.98</v>
      </c>
      <c r="GAI15">
        <v>0</v>
      </c>
      <c r="GAJ15">
        <v>0</v>
      </c>
      <c r="GAK15">
        <v>0</v>
      </c>
      <c r="GAL15">
        <v>0</v>
      </c>
      <c r="GAM15">
        <v>0</v>
      </c>
      <c r="GAN15">
        <v>1098.68</v>
      </c>
      <c r="GAO15">
        <v>0</v>
      </c>
      <c r="GAP15">
        <v>100.02</v>
      </c>
      <c r="GAQ15">
        <v>170</v>
      </c>
      <c r="GAR15">
        <v>0</v>
      </c>
      <c r="GAS15">
        <v>0</v>
      </c>
      <c r="GAT15">
        <v>101.02</v>
      </c>
      <c r="GAU15">
        <v>0</v>
      </c>
      <c r="GAV15">
        <v>182.96</v>
      </c>
      <c r="GAW15">
        <v>0</v>
      </c>
      <c r="GAX15">
        <v>246.99</v>
      </c>
      <c r="GAY15">
        <v>0</v>
      </c>
      <c r="GAZ15">
        <v>0</v>
      </c>
      <c r="GBA15">
        <v>0</v>
      </c>
      <c r="GBB15">
        <v>1075.96</v>
      </c>
      <c r="GBC15">
        <v>0</v>
      </c>
      <c r="GBD15">
        <v>0</v>
      </c>
      <c r="GBE15">
        <v>0</v>
      </c>
      <c r="GBF15">
        <v>0</v>
      </c>
      <c r="GBG15">
        <v>0</v>
      </c>
      <c r="GBH15">
        <v>0</v>
      </c>
      <c r="GBI15">
        <v>0</v>
      </c>
      <c r="GBJ15">
        <v>0</v>
      </c>
      <c r="GBK15">
        <v>0</v>
      </c>
      <c r="GBL15">
        <v>1281.96</v>
      </c>
      <c r="GBM15">
        <v>0</v>
      </c>
      <c r="GBN15">
        <v>0</v>
      </c>
      <c r="GBO15">
        <v>1543.96</v>
      </c>
      <c r="GBP15">
        <v>1568.01</v>
      </c>
      <c r="GBQ15">
        <v>0</v>
      </c>
      <c r="GBR15">
        <v>0</v>
      </c>
      <c r="GBS15">
        <v>113</v>
      </c>
      <c r="GBT15">
        <v>0</v>
      </c>
      <c r="GBU15">
        <v>0</v>
      </c>
      <c r="GBV15">
        <v>0</v>
      </c>
      <c r="GBW15">
        <v>0</v>
      </c>
      <c r="GBX15">
        <v>0</v>
      </c>
      <c r="GBY15">
        <v>202.05</v>
      </c>
      <c r="GBZ15">
        <v>2161.94</v>
      </c>
      <c r="GCA15">
        <v>0</v>
      </c>
      <c r="GCB15">
        <v>0</v>
      </c>
      <c r="GCC15">
        <v>0</v>
      </c>
      <c r="GCD15">
        <v>0</v>
      </c>
      <c r="GCE15">
        <v>0</v>
      </c>
      <c r="GCF15">
        <v>0</v>
      </c>
      <c r="GCG15">
        <v>31.02</v>
      </c>
      <c r="GCH15">
        <v>0</v>
      </c>
      <c r="GCI15">
        <v>0</v>
      </c>
      <c r="GCJ15">
        <v>0</v>
      </c>
      <c r="GCK15">
        <v>0</v>
      </c>
      <c r="GCL15">
        <v>0</v>
      </c>
      <c r="GCM15">
        <v>0</v>
      </c>
      <c r="GCN15">
        <v>42</v>
      </c>
      <c r="GCO15">
        <v>0</v>
      </c>
      <c r="GCP15">
        <v>0</v>
      </c>
      <c r="GCQ15">
        <v>0</v>
      </c>
      <c r="GCR15">
        <v>0</v>
      </c>
      <c r="GCS15">
        <v>0</v>
      </c>
      <c r="GCT15">
        <v>0</v>
      </c>
      <c r="GCU15">
        <v>412.01</v>
      </c>
      <c r="GCV15">
        <v>0</v>
      </c>
      <c r="GCW15">
        <v>0</v>
      </c>
      <c r="GCX15">
        <v>0</v>
      </c>
      <c r="GCY15">
        <v>0</v>
      </c>
      <c r="GCZ15">
        <v>0</v>
      </c>
      <c r="GDA15">
        <v>76</v>
      </c>
      <c r="GDB15">
        <v>0</v>
      </c>
      <c r="GDC15">
        <v>0</v>
      </c>
      <c r="GDD15">
        <v>0</v>
      </c>
      <c r="GDE15">
        <v>100</v>
      </c>
      <c r="GDF15">
        <v>0</v>
      </c>
      <c r="GDG15">
        <v>0</v>
      </c>
      <c r="GDH15">
        <v>0</v>
      </c>
      <c r="GDI15">
        <v>0</v>
      </c>
      <c r="GDJ15">
        <v>0</v>
      </c>
      <c r="GDK15">
        <v>0</v>
      </c>
      <c r="GDL15">
        <v>0</v>
      </c>
      <c r="GDM15">
        <v>140.99</v>
      </c>
      <c r="GDN15">
        <v>0</v>
      </c>
      <c r="GDO15">
        <v>0</v>
      </c>
      <c r="GDP15">
        <v>0</v>
      </c>
      <c r="GDQ15">
        <v>274.99</v>
      </c>
      <c r="GDR15">
        <v>385.9</v>
      </c>
      <c r="GDS15">
        <v>0</v>
      </c>
      <c r="GDT15">
        <v>0</v>
      </c>
      <c r="GDU15">
        <v>927.22</v>
      </c>
      <c r="GDV15">
        <v>0</v>
      </c>
      <c r="GDW15">
        <v>0</v>
      </c>
      <c r="GDX15">
        <v>0</v>
      </c>
      <c r="GDY15">
        <v>0</v>
      </c>
      <c r="GDZ15">
        <v>0</v>
      </c>
      <c r="GEA15">
        <v>0</v>
      </c>
      <c r="GEB15">
        <v>259</v>
      </c>
      <c r="GEC15">
        <v>0</v>
      </c>
      <c r="GED15">
        <v>0</v>
      </c>
      <c r="GEE15">
        <v>0</v>
      </c>
      <c r="GEF15">
        <v>0</v>
      </c>
      <c r="GEG15">
        <v>0</v>
      </c>
      <c r="GEH15">
        <v>0</v>
      </c>
      <c r="GEI15">
        <v>50</v>
      </c>
      <c r="GEJ15">
        <v>2478.75</v>
      </c>
      <c r="GEK15">
        <v>0</v>
      </c>
      <c r="GEL15">
        <v>0</v>
      </c>
      <c r="GEM15">
        <v>0</v>
      </c>
      <c r="GEN15">
        <v>730.96</v>
      </c>
      <c r="GEO15">
        <v>64</v>
      </c>
      <c r="GEP15">
        <v>0</v>
      </c>
      <c r="GEQ15">
        <v>40</v>
      </c>
      <c r="GER15">
        <v>0</v>
      </c>
      <c r="GES15">
        <v>0</v>
      </c>
      <c r="GET15">
        <v>0</v>
      </c>
      <c r="GEU15">
        <v>0</v>
      </c>
      <c r="GEV15">
        <v>0</v>
      </c>
      <c r="GEW15">
        <v>0</v>
      </c>
      <c r="GEX15">
        <v>0</v>
      </c>
      <c r="GEY15">
        <v>0</v>
      </c>
      <c r="GEZ15">
        <v>0</v>
      </c>
      <c r="GFA15">
        <v>552.86</v>
      </c>
      <c r="GFB15">
        <v>0</v>
      </c>
      <c r="GFC15">
        <v>2634.94</v>
      </c>
      <c r="GFD15">
        <v>0</v>
      </c>
      <c r="GFE15">
        <v>0</v>
      </c>
      <c r="GFF15">
        <v>0</v>
      </c>
      <c r="GFG15">
        <v>2659.08</v>
      </c>
      <c r="GFH15">
        <v>0</v>
      </c>
      <c r="GFI15">
        <v>0</v>
      </c>
      <c r="GFJ15">
        <v>0</v>
      </c>
      <c r="GFK15">
        <v>214</v>
      </c>
      <c r="GFL15">
        <v>0</v>
      </c>
      <c r="GFM15">
        <v>0</v>
      </c>
      <c r="GFN15">
        <v>0</v>
      </c>
      <c r="GFO15">
        <v>0</v>
      </c>
      <c r="GFP15">
        <v>0</v>
      </c>
      <c r="GFQ15">
        <v>0</v>
      </c>
      <c r="GFR15">
        <v>2007.4</v>
      </c>
      <c r="GFS15">
        <v>0</v>
      </c>
      <c r="GFT15">
        <v>0</v>
      </c>
      <c r="GFU15">
        <v>0</v>
      </c>
      <c r="GFV15">
        <v>0</v>
      </c>
      <c r="GFW15">
        <v>0</v>
      </c>
      <c r="GFX15">
        <v>0</v>
      </c>
      <c r="GFY15">
        <v>0</v>
      </c>
      <c r="GFZ15">
        <v>0</v>
      </c>
      <c r="GGA15">
        <v>2327.0700000000002</v>
      </c>
      <c r="GGB15">
        <v>0</v>
      </c>
      <c r="GGC15">
        <v>0</v>
      </c>
      <c r="GGD15">
        <v>0</v>
      </c>
      <c r="GGE15">
        <v>0</v>
      </c>
      <c r="GGF15">
        <v>0</v>
      </c>
      <c r="GGG15">
        <v>71</v>
      </c>
      <c r="GGH15">
        <v>0</v>
      </c>
      <c r="GGI15">
        <v>0</v>
      </c>
      <c r="GGJ15">
        <v>0</v>
      </c>
      <c r="GGK15">
        <v>0</v>
      </c>
      <c r="GGL15">
        <v>0</v>
      </c>
      <c r="GGM15">
        <v>346.98</v>
      </c>
      <c r="GGN15">
        <v>0</v>
      </c>
      <c r="GGO15">
        <v>772</v>
      </c>
      <c r="GGP15">
        <v>0</v>
      </c>
      <c r="GGQ15">
        <v>1405</v>
      </c>
      <c r="GGR15">
        <v>0</v>
      </c>
      <c r="GGS15">
        <v>0</v>
      </c>
      <c r="GGT15">
        <v>0</v>
      </c>
      <c r="GGU15">
        <v>0</v>
      </c>
      <c r="GGV15">
        <v>0</v>
      </c>
      <c r="GGW15">
        <v>0</v>
      </c>
      <c r="GGX15">
        <v>3012.86</v>
      </c>
      <c r="GGY15">
        <v>0</v>
      </c>
      <c r="GGZ15">
        <v>0</v>
      </c>
      <c r="GHA15">
        <v>43.99</v>
      </c>
      <c r="GHB15">
        <v>0</v>
      </c>
      <c r="GHC15">
        <v>20</v>
      </c>
      <c r="GHD15">
        <v>0</v>
      </c>
      <c r="GHE15">
        <v>304.08</v>
      </c>
      <c r="GHF15">
        <v>0</v>
      </c>
      <c r="GHG15">
        <v>0</v>
      </c>
      <c r="GHH15">
        <v>504.91</v>
      </c>
      <c r="GHI15">
        <v>0</v>
      </c>
      <c r="GHJ15">
        <v>433</v>
      </c>
      <c r="GHK15">
        <v>0</v>
      </c>
      <c r="GHL15">
        <v>438</v>
      </c>
      <c r="GHM15">
        <v>0</v>
      </c>
      <c r="GHN15">
        <v>101</v>
      </c>
      <c r="GHO15">
        <v>0</v>
      </c>
      <c r="GHP15">
        <v>0</v>
      </c>
      <c r="GHQ15">
        <v>0</v>
      </c>
      <c r="GHR15">
        <v>223</v>
      </c>
      <c r="GHS15">
        <v>0</v>
      </c>
      <c r="GHT15">
        <v>0</v>
      </c>
      <c r="GHU15">
        <v>0</v>
      </c>
      <c r="GHV15">
        <v>0</v>
      </c>
      <c r="GHW15">
        <v>87</v>
      </c>
      <c r="GHX15">
        <v>42</v>
      </c>
      <c r="GHY15">
        <v>0</v>
      </c>
      <c r="GHZ15">
        <v>0</v>
      </c>
      <c r="GIA15">
        <v>0</v>
      </c>
      <c r="GIB15">
        <v>1438.98</v>
      </c>
      <c r="GIC15">
        <v>279.98</v>
      </c>
      <c r="GID15">
        <v>2778.16</v>
      </c>
      <c r="GIE15">
        <v>0</v>
      </c>
      <c r="GIF15">
        <v>0</v>
      </c>
      <c r="GIG15">
        <v>0</v>
      </c>
      <c r="GIH15">
        <v>115.99</v>
      </c>
      <c r="GII15">
        <v>0</v>
      </c>
      <c r="GIJ15">
        <v>0</v>
      </c>
      <c r="GIK15">
        <v>289.99</v>
      </c>
      <c r="GIL15">
        <v>0</v>
      </c>
      <c r="GIM15">
        <v>197.96</v>
      </c>
      <c r="GIN15">
        <v>0</v>
      </c>
      <c r="GIO15">
        <v>355.98</v>
      </c>
      <c r="GIP15">
        <v>0</v>
      </c>
      <c r="GIQ15">
        <v>43</v>
      </c>
      <c r="GIR15">
        <v>0</v>
      </c>
      <c r="GIS15">
        <v>0</v>
      </c>
      <c r="GIT15">
        <v>0</v>
      </c>
      <c r="GIU15">
        <v>0</v>
      </c>
      <c r="GIV15">
        <v>0</v>
      </c>
      <c r="GIW15">
        <v>0</v>
      </c>
      <c r="GIX15">
        <v>0</v>
      </c>
      <c r="GIY15">
        <v>56.98</v>
      </c>
      <c r="GIZ15">
        <v>0</v>
      </c>
      <c r="GJA15">
        <v>159</v>
      </c>
      <c r="GJB15">
        <v>0</v>
      </c>
      <c r="GJC15">
        <v>0</v>
      </c>
      <c r="GJD15">
        <v>0</v>
      </c>
      <c r="GJE15">
        <v>0</v>
      </c>
      <c r="GJF15">
        <v>0</v>
      </c>
      <c r="GJG15">
        <v>0</v>
      </c>
      <c r="GJH15">
        <v>2285.9899999999998</v>
      </c>
      <c r="GJI15">
        <v>0</v>
      </c>
      <c r="GJJ15">
        <v>0</v>
      </c>
      <c r="GJK15">
        <v>0</v>
      </c>
      <c r="GJL15">
        <v>0</v>
      </c>
      <c r="GJM15">
        <v>0</v>
      </c>
      <c r="GJN15">
        <v>0</v>
      </c>
      <c r="GJO15">
        <v>0</v>
      </c>
      <c r="GJP15">
        <v>104.99</v>
      </c>
      <c r="GJQ15">
        <v>0</v>
      </c>
      <c r="GJR15">
        <v>423.99</v>
      </c>
      <c r="GJS15">
        <v>0</v>
      </c>
      <c r="GJT15">
        <v>1136.8900000000001</v>
      </c>
      <c r="GJU15">
        <v>0</v>
      </c>
      <c r="GJV15">
        <v>4184.1400000000003</v>
      </c>
      <c r="GJW15">
        <v>0</v>
      </c>
      <c r="GJX15">
        <v>0</v>
      </c>
      <c r="GJY15">
        <v>0</v>
      </c>
      <c r="GJZ15">
        <v>0</v>
      </c>
      <c r="GKA15">
        <v>4371.1400000000003</v>
      </c>
      <c r="GKB15">
        <v>0</v>
      </c>
      <c r="GKC15">
        <v>3627.9</v>
      </c>
      <c r="GKD15">
        <v>0</v>
      </c>
      <c r="GKE15">
        <v>0</v>
      </c>
      <c r="GKF15">
        <v>0</v>
      </c>
      <c r="GKG15">
        <v>0</v>
      </c>
      <c r="GKH15">
        <v>0</v>
      </c>
      <c r="GKI15">
        <v>0</v>
      </c>
      <c r="GKJ15">
        <v>74</v>
      </c>
      <c r="GKK15">
        <v>301</v>
      </c>
      <c r="GKL15">
        <v>0</v>
      </c>
      <c r="GKM15">
        <v>2807.86</v>
      </c>
      <c r="GKN15">
        <v>4821.8999999999996</v>
      </c>
      <c r="GKO15">
        <v>0</v>
      </c>
      <c r="GKP15">
        <v>1622.66</v>
      </c>
      <c r="GKQ15">
        <v>0</v>
      </c>
      <c r="GKR15">
        <v>0</v>
      </c>
      <c r="GKS15">
        <v>0</v>
      </c>
      <c r="GKT15">
        <v>412.01</v>
      </c>
      <c r="GKU15">
        <v>0</v>
      </c>
      <c r="GKV15">
        <v>0</v>
      </c>
      <c r="GKW15">
        <v>5076.88</v>
      </c>
      <c r="GKX15">
        <v>0</v>
      </c>
      <c r="GKY15">
        <v>0</v>
      </c>
      <c r="GKZ15">
        <v>0</v>
      </c>
      <c r="GLA15">
        <v>0</v>
      </c>
      <c r="GLB15">
        <v>0</v>
      </c>
      <c r="GLC15">
        <v>0</v>
      </c>
      <c r="GLD15">
        <v>0</v>
      </c>
      <c r="GLE15">
        <v>0</v>
      </c>
      <c r="GLF15">
        <v>0</v>
      </c>
      <c r="GLG15">
        <v>0</v>
      </c>
      <c r="GLH15">
        <v>92</v>
      </c>
      <c r="GLI15">
        <v>0</v>
      </c>
      <c r="GLJ15">
        <v>1183.97</v>
      </c>
      <c r="GLK15">
        <v>0</v>
      </c>
      <c r="GLL15">
        <v>0</v>
      </c>
      <c r="GLM15">
        <v>0</v>
      </c>
      <c r="GLN15">
        <v>68</v>
      </c>
      <c r="GLO15">
        <v>190.99</v>
      </c>
      <c r="GLP15">
        <v>0</v>
      </c>
      <c r="GLQ15">
        <v>0</v>
      </c>
      <c r="GLR15">
        <v>0</v>
      </c>
      <c r="GLS15">
        <v>0</v>
      </c>
      <c r="GLT15">
        <v>0</v>
      </c>
      <c r="GLU15">
        <v>0</v>
      </c>
      <c r="GLV15">
        <v>0</v>
      </c>
      <c r="GLW15">
        <v>719.86</v>
      </c>
      <c r="GLX15">
        <v>0</v>
      </c>
      <c r="GLY15">
        <v>0</v>
      </c>
      <c r="GLZ15">
        <v>0</v>
      </c>
      <c r="GMA15">
        <v>0</v>
      </c>
      <c r="GMB15">
        <v>0</v>
      </c>
      <c r="GMC15">
        <v>0</v>
      </c>
      <c r="GMD15">
        <v>0</v>
      </c>
      <c r="GME15">
        <v>0</v>
      </c>
      <c r="GMF15">
        <v>0</v>
      </c>
      <c r="GMG15">
        <v>0</v>
      </c>
      <c r="GMH15">
        <v>0</v>
      </c>
      <c r="GMI15">
        <v>0</v>
      </c>
      <c r="GMJ15">
        <v>0</v>
      </c>
      <c r="GMK15">
        <v>219</v>
      </c>
      <c r="GML15">
        <v>0</v>
      </c>
      <c r="GMM15">
        <v>0</v>
      </c>
      <c r="GMN15">
        <v>0</v>
      </c>
      <c r="GMO15">
        <v>0</v>
      </c>
      <c r="GMP15">
        <v>0</v>
      </c>
      <c r="GMQ15">
        <v>0</v>
      </c>
      <c r="GMR15">
        <v>0</v>
      </c>
      <c r="GMS15">
        <v>0</v>
      </c>
      <c r="GMT15">
        <v>0</v>
      </c>
      <c r="GMU15">
        <v>0</v>
      </c>
      <c r="GMV15">
        <v>94</v>
      </c>
      <c r="GMW15">
        <v>0</v>
      </c>
      <c r="GMX15">
        <v>0</v>
      </c>
      <c r="GMY15">
        <v>0</v>
      </c>
      <c r="GMZ15">
        <v>0</v>
      </c>
      <c r="GNA15">
        <v>0</v>
      </c>
      <c r="GNB15">
        <v>0</v>
      </c>
      <c r="GNC15">
        <v>24</v>
      </c>
      <c r="GND15">
        <v>190.99</v>
      </c>
      <c r="GNE15">
        <v>0</v>
      </c>
      <c r="GNF15">
        <v>9</v>
      </c>
      <c r="GNG15">
        <v>0</v>
      </c>
      <c r="GNH15">
        <v>1826.46</v>
      </c>
      <c r="GNI15">
        <v>0</v>
      </c>
      <c r="GNJ15">
        <v>0</v>
      </c>
      <c r="GNK15">
        <v>0</v>
      </c>
      <c r="GNL15">
        <v>0</v>
      </c>
      <c r="GNM15">
        <v>1620.99</v>
      </c>
      <c r="GNN15">
        <v>0</v>
      </c>
      <c r="GNO15">
        <v>0</v>
      </c>
      <c r="GNP15">
        <v>0</v>
      </c>
      <c r="GNQ15">
        <v>0</v>
      </c>
      <c r="GNR15">
        <v>0</v>
      </c>
      <c r="GNS15">
        <v>0</v>
      </c>
      <c r="GNT15">
        <v>55.01</v>
      </c>
      <c r="GNU15">
        <v>529.85</v>
      </c>
      <c r="GNV15">
        <v>0</v>
      </c>
      <c r="GNW15">
        <v>0</v>
      </c>
      <c r="GNX15">
        <v>0</v>
      </c>
      <c r="GNY15">
        <v>0</v>
      </c>
      <c r="GNZ15">
        <v>0</v>
      </c>
      <c r="GOA15">
        <v>0</v>
      </c>
      <c r="GOB15">
        <v>363.99</v>
      </c>
      <c r="GOC15">
        <v>64</v>
      </c>
      <c r="GOD15">
        <v>0</v>
      </c>
      <c r="GOE15">
        <v>0</v>
      </c>
      <c r="GOF15">
        <v>0</v>
      </c>
      <c r="GOG15">
        <v>0</v>
      </c>
      <c r="GOH15">
        <v>0</v>
      </c>
      <c r="GOI15">
        <v>276.01</v>
      </c>
      <c r="GOJ15">
        <v>0</v>
      </c>
      <c r="GOK15">
        <v>0</v>
      </c>
      <c r="GOL15">
        <v>0</v>
      </c>
      <c r="GOM15">
        <v>0</v>
      </c>
      <c r="GON15">
        <v>0</v>
      </c>
      <c r="GOO15">
        <v>459.99</v>
      </c>
      <c r="GOP15">
        <v>0</v>
      </c>
      <c r="GOQ15">
        <v>0</v>
      </c>
      <c r="GOR15">
        <v>0</v>
      </c>
      <c r="GOS15">
        <v>520.94000000000005</v>
      </c>
      <c r="GOT15">
        <v>3806.92</v>
      </c>
      <c r="GOU15">
        <v>226</v>
      </c>
      <c r="GOV15">
        <v>0</v>
      </c>
      <c r="GOW15">
        <v>1068.96</v>
      </c>
      <c r="GOX15">
        <v>0</v>
      </c>
      <c r="GOY15">
        <v>487</v>
      </c>
      <c r="GOZ15">
        <v>0</v>
      </c>
      <c r="GPA15">
        <v>0</v>
      </c>
      <c r="GPB15">
        <v>1499.7</v>
      </c>
      <c r="GPC15">
        <v>0</v>
      </c>
      <c r="GPD15">
        <v>0</v>
      </c>
      <c r="GPE15">
        <v>0</v>
      </c>
      <c r="GPF15">
        <v>11281.69</v>
      </c>
      <c r="GPG15">
        <v>422.91</v>
      </c>
      <c r="GPH15">
        <v>180</v>
      </c>
      <c r="GPI15">
        <v>161.94999999999999</v>
      </c>
      <c r="GPJ15">
        <v>0</v>
      </c>
      <c r="GPK15">
        <v>0</v>
      </c>
      <c r="GPL15">
        <v>0</v>
      </c>
      <c r="GPM15">
        <v>0</v>
      </c>
      <c r="GPN15">
        <v>961.99</v>
      </c>
      <c r="GPO15">
        <v>0</v>
      </c>
      <c r="GPP15">
        <v>703.92</v>
      </c>
      <c r="GPQ15">
        <v>0</v>
      </c>
      <c r="GPR15">
        <v>122.96</v>
      </c>
      <c r="GPS15">
        <v>351.99</v>
      </c>
      <c r="GPT15">
        <v>0</v>
      </c>
      <c r="GPU15">
        <v>245</v>
      </c>
      <c r="GPV15">
        <v>0</v>
      </c>
      <c r="GPW15">
        <v>0</v>
      </c>
      <c r="GPX15">
        <v>0</v>
      </c>
      <c r="GPY15">
        <v>88.99</v>
      </c>
      <c r="GPZ15">
        <v>615.80999999999995</v>
      </c>
      <c r="GQA15">
        <v>41.99</v>
      </c>
      <c r="GQB15">
        <v>0</v>
      </c>
      <c r="GQC15">
        <v>0</v>
      </c>
      <c r="GQD15">
        <v>40</v>
      </c>
      <c r="GQE15">
        <v>3632.91</v>
      </c>
      <c r="GQF15">
        <v>951.96</v>
      </c>
      <c r="GQG15">
        <v>246.06</v>
      </c>
      <c r="GQH15">
        <v>0</v>
      </c>
      <c r="GQI15">
        <v>30</v>
      </c>
      <c r="GQJ15">
        <v>0</v>
      </c>
      <c r="GQK15">
        <v>0</v>
      </c>
      <c r="GQL15">
        <v>0</v>
      </c>
      <c r="GQM15">
        <v>2259.98</v>
      </c>
      <c r="GQN15">
        <v>0</v>
      </c>
      <c r="GQO15">
        <v>0</v>
      </c>
      <c r="GQP15">
        <v>0</v>
      </c>
      <c r="GQQ15">
        <v>0</v>
      </c>
      <c r="GQR15">
        <v>0</v>
      </c>
      <c r="GQS15">
        <v>0</v>
      </c>
      <c r="GQT15">
        <v>379</v>
      </c>
      <c r="GQU15">
        <v>0</v>
      </c>
      <c r="GQV15">
        <v>605.95000000000005</v>
      </c>
      <c r="GQW15">
        <v>0</v>
      </c>
      <c r="GQX15">
        <v>3960.9</v>
      </c>
      <c r="GQY15">
        <v>63.01</v>
      </c>
      <c r="GQZ15">
        <v>26.99</v>
      </c>
      <c r="GRA15">
        <v>2124.65</v>
      </c>
      <c r="GRB15">
        <v>0</v>
      </c>
      <c r="GRC15">
        <v>241.92</v>
      </c>
      <c r="GRD15">
        <v>0</v>
      </c>
      <c r="GRE15">
        <v>0</v>
      </c>
      <c r="GRF15">
        <v>0</v>
      </c>
      <c r="GRG15">
        <v>136.99</v>
      </c>
      <c r="GRH15">
        <v>2950.12</v>
      </c>
      <c r="GRI15">
        <v>0</v>
      </c>
      <c r="GRJ15">
        <v>4240.8100000000004</v>
      </c>
      <c r="GRK15">
        <v>1350.76</v>
      </c>
      <c r="GRL15">
        <v>688.06</v>
      </c>
      <c r="GRM15">
        <v>277</v>
      </c>
      <c r="GRN15">
        <v>0</v>
      </c>
      <c r="GRO15">
        <v>0</v>
      </c>
      <c r="GRP15">
        <v>60</v>
      </c>
      <c r="GRQ15">
        <v>3089.92</v>
      </c>
      <c r="GRR15">
        <v>7130.54</v>
      </c>
      <c r="GRS15">
        <v>1589.85</v>
      </c>
      <c r="GRT15">
        <v>0</v>
      </c>
      <c r="GRU15">
        <v>624.01</v>
      </c>
      <c r="GRV15">
        <v>0</v>
      </c>
      <c r="GRW15">
        <v>2074.96</v>
      </c>
      <c r="GRX15">
        <v>556.99</v>
      </c>
      <c r="GRY15">
        <v>17.989999999999998</v>
      </c>
      <c r="GRZ15">
        <v>1664.93</v>
      </c>
      <c r="GSA15">
        <v>806</v>
      </c>
      <c r="GSB15">
        <v>340.01</v>
      </c>
      <c r="GSC15">
        <v>1667.75</v>
      </c>
      <c r="GSD15">
        <v>39</v>
      </c>
      <c r="GSE15">
        <v>75</v>
      </c>
      <c r="GSF15">
        <v>0</v>
      </c>
      <c r="GSG15">
        <v>1241.0899999999999</v>
      </c>
      <c r="GSH15">
        <v>3896.95</v>
      </c>
      <c r="GSI15">
        <v>521.72</v>
      </c>
      <c r="GSJ15">
        <v>2727.79</v>
      </c>
      <c r="GSK15">
        <v>367.97</v>
      </c>
      <c r="GSL15">
        <v>4886.92</v>
      </c>
      <c r="GSM15">
        <v>294</v>
      </c>
      <c r="GSN15">
        <v>33748.29</v>
      </c>
      <c r="GSO15">
        <v>134.96</v>
      </c>
      <c r="GSP15">
        <v>1577.99</v>
      </c>
      <c r="GSQ15">
        <v>40933.49</v>
      </c>
      <c r="GSR15">
        <v>296427.44</v>
      </c>
    </row>
    <row r="16" spans="1:5244" x14ac:dyDescent="0.2">
      <c r="A16" s="7">
        <v>139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3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5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6</v>
      </c>
      <c r="EU16">
        <v>6</v>
      </c>
      <c r="EV16">
        <v>6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7</v>
      </c>
      <c r="HP16">
        <v>7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8</v>
      </c>
      <c r="JK16">
        <v>8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8.99</v>
      </c>
      <c r="JS16">
        <v>8.99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9</v>
      </c>
      <c r="LF16">
        <v>9</v>
      </c>
      <c r="LG16">
        <v>9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10</v>
      </c>
      <c r="NM16">
        <v>10</v>
      </c>
      <c r="NN16">
        <v>10</v>
      </c>
      <c r="NO16">
        <v>10</v>
      </c>
      <c r="NP16">
        <v>10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7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11</v>
      </c>
      <c r="PQ16">
        <v>11</v>
      </c>
      <c r="PR16">
        <v>11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12</v>
      </c>
      <c r="SF16">
        <v>12</v>
      </c>
      <c r="SG16">
        <v>12</v>
      </c>
      <c r="SH16">
        <v>12</v>
      </c>
      <c r="SI16">
        <v>12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13</v>
      </c>
      <c r="UF16">
        <v>13</v>
      </c>
      <c r="UG16">
        <v>13</v>
      </c>
      <c r="UH16">
        <v>13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14</v>
      </c>
      <c r="WH16">
        <v>14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15</v>
      </c>
      <c r="YM16">
        <v>15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16</v>
      </c>
      <c r="AAJ16">
        <v>16</v>
      </c>
      <c r="AAK16">
        <v>16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14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17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18</v>
      </c>
      <c r="AEA16">
        <v>18</v>
      </c>
      <c r="AEB16">
        <v>18</v>
      </c>
      <c r="AEC16">
        <v>18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18.989999999999998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19</v>
      </c>
      <c r="AGM16">
        <v>19</v>
      </c>
      <c r="AGN16">
        <v>19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19.989999999999998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20</v>
      </c>
      <c r="AIM16">
        <v>20</v>
      </c>
      <c r="AIN16">
        <v>20</v>
      </c>
      <c r="AIO16">
        <v>20</v>
      </c>
      <c r="AIP16">
        <v>20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7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21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22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23</v>
      </c>
      <c r="AOD16">
        <v>23</v>
      </c>
      <c r="AOE16">
        <v>23</v>
      </c>
      <c r="AOF16">
        <v>23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24</v>
      </c>
      <c r="APP16">
        <v>24</v>
      </c>
      <c r="APQ16">
        <v>0</v>
      </c>
      <c r="APR16">
        <v>0</v>
      </c>
      <c r="APS16">
        <v>0</v>
      </c>
      <c r="APT16">
        <v>24.01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25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13</v>
      </c>
      <c r="ATG16">
        <v>0</v>
      </c>
      <c r="ATH16">
        <v>26.99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20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28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28.01</v>
      </c>
      <c r="AWE16">
        <v>0</v>
      </c>
      <c r="AWF16">
        <v>0</v>
      </c>
      <c r="AWG16">
        <v>28.99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29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5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19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32</v>
      </c>
      <c r="BBA16">
        <v>32</v>
      </c>
      <c r="BBB16">
        <v>32</v>
      </c>
      <c r="BBC16">
        <v>32</v>
      </c>
      <c r="BBD16">
        <v>32</v>
      </c>
      <c r="BBE16">
        <v>32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32.99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33</v>
      </c>
      <c r="BCS16">
        <v>33</v>
      </c>
      <c r="BCT16">
        <v>33</v>
      </c>
      <c r="BCU16">
        <v>33</v>
      </c>
      <c r="BCV16">
        <v>33</v>
      </c>
      <c r="BCW16">
        <v>33</v>
      </c>
      <c r="BCX16">
        <v>33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12</v>
      </c>
      <c r="BDY16">
        <v>0</v>
      </c>
      <c r="BDZ16">
        <v>0</v>
      </c>
      <c r="BEA16">
        <v>0</v>
      </c>
      <c r="BEB16">
        <v>34</v>
      </c>
      <c r="BEC16">
        <v>34</v>
      </c>
      <c r="BED16">
        <v>34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34.99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36</v>
      </c>
      <c r="BGW16">
        <v>9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37</v>
      </c>
      <c r="BIC16">
        <v>37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37.99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38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38.01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39</v>
      </c>
      <c r="BKV16">
        <v>39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39.99</v>
      </c>
      <c r="BLC16">
        <v>39.99</v>
      </c>
      <c r="BLD16">
        <v>39.99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40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41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7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42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34</v>
      </c>
      <c r="BOW16">
        <v>0</v>
      </c>
      <c r="BOX16">
        <v>43</v>
      </c>
      <c r="BOY16">
        <v>43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44</v>
      </c>
      <c r="BPY16">
        <v>0</v>
      </c>
      <c r="BPZ16">
        <v>36.01</v>
      </c>
      <c r="BQA16">
        <v>44.01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13</v>
      </c>
      <c r="BQQ16">
        <v>0</v>
      </c>
      <c r="BQR16">
        <v>0</v>
      </c>
      <c r="BQS16">
        <v>0</v>
      </c>
      <c r="BQT16">
        <v>6</v>
      </c>
      <c r="BQU16">
        <v>0</v>
      </c>
      <c r="BQV16">
        <v>45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45.99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46.01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46.99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47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48</v>
      </c>
      <c r="BTM16">
        <v>48</v>
      </c>
      <c r="BTN16">
        <v>48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39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49.99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22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50</v>
      </c>
      <c r="BVK16">
        <v>50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52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52.99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</v>
      </c>
      <c r="BXY16">
        <v>53</v>
      </c>
      <c r="BXZ16">
        <v>0</v>
      </c>
      <c r="BYA16">
        <v>0</v>
      </c>
      <c r="BYB16">
        <v>0</v>
      </c>
      <c r="BYC16">
        <v>0</v>
      </c>
      <c r="BYD16">
        <v>0</v>
      </c>
      <c r="BYE16">
        <v>0</v>
      </c>
      <c r="BYF16">
        <v>0</v>
      </c>
      <c r="BYG16">
        <v>0</v>
      </c>
      <c r="BYH16">
        <v>0</v>
      </c>
      <c r="BYI16">
        <v>0</v>
      </c>
      <c r="BYJ16">
        <v>0</v>
      </c>
      <c r="BYK16">
        <v>0</v>
      </c>
      <c r="BYL16">
        <v>0</v>
      </c>
      <c r="BYM16">
        <v>0</v>
      </c>
      <c r="BYN16">
        <v>0</v>
      </c>
      <c r="BYO16">
        <v>0</v>
      </c>
      <c r="BYP16">
        <v>0</v>
      </c>
      <c r="BYQ16">
        <v>0</v>
      </c>
      <c r="BYR16">
        <v>0</v>
      </c>
      <c r="BYS16">
        <v>0</v>
      </c>
      <c r="BYT16">
        <v>0</v>
      </c>
      <c r="BYU16">
        <v>0</v>
      </c>
      <c r="BYV16">
        <v>54.99</v>
      </c>
      <c r="BYW16">
        <v>0</v>
      </c>
      <c r="BYX16">
        <v>0</v>
      </c>
      <c r="BYY16">
        <v>49</v>
      </c>
      <c r="BYZ16">
        <v>0</v>
      </c>
      <c r="BZA16">
        <v>0</v>
      </c>
      <c r="BZB16">
        <v>0</v>
      </c>
      <c r="BZC16">
        <v>0</v>
      </c>
      <c r="BZD16">
        <v>0</v>
      </c>
      <c r="BZE16">
        <v>0</v>
      </c>
      <c r="BZF16">
        <v>0</v>
      </c>
      <c r="BZG16">
        <v>0</v>
      </c>
      <c r="BZH16">
        <v>0</v>
      </c>
      <c r="BZI16">
        <v>0</v>
      </c>
      <c r="BZJ16">
        <v>0</v>
      </c>
      <c r="BZK16">
        <v>0</v>
      </c>
      <c r="BZL16">
        <v>0</v>
      </c>
      <c r="BZM16">
        <v>0</v>
      </c>
      <c r="BZN16">
        <v>0</v>
      </c>
      <c r="BZO16">
        <v>0</v>
      </c>
      <c r="BZP16">
        <v>0</v>
      </c>
      <c r="BZQ16">
        <v>0</v>
      </c>
      <c r="BZR16">
        <v>0</v>
      </c>
      <c r="BZS16">
        <v>0</v>
      </c>
      <c r="BZT16">
        <v>0</v>
      </c>
      <c r="BZU16">
        <v>0</v>
      </c>
      <c r="BZV16">
        <v>0</v>
      </c>
      <c r="BZW16">
        <v>0</v>
      </c>
      <c r="BZX16">
        <v>0</v>
      </c>
      <c r="BZY16">
        <v>0</v>
      </c>
      <c r="BZZ16">
        <v>0</v>
      </c>
      <c r="CAA16">
        <v>0</v>
      </c>
      <c r="CAB16">
        <v>0</v>
      </c>
      <c r="CAC16">
        <v>0</v>
      </c>
      <c r="CAD16">
        <v>0</v>
      </c>
      <c r="CAE16">
        <v>0</v>
      </c>
      <c r="CAF16">
        <v>0</v>
      </c>
      <c r="CAG16">
        <v>0</v>
      </c>
      <c r="CAH16">
        <v>0</v>
      </c>
      <c r="CAI16">
        <v>0</v>
      </c>
      <c r="CAJ16">
        <v>0</v>
      </c>
      <c r="CAK16">
        <v>0</v>
      </c>
      <c r="CAL16">
        <v>0</v>
      </c>
      <c r="CAM16">
        <v>0</v>
      </c>
      <c r="CAN16">
        <v>0</v>
      </c>
      <c r="CAO16">
        <v>0</v>
      </c>
      <c r="CAP16">
        <v>0</v>
      </c>
      <c r="CAQ16">
        <v>57</v>
      </c>
      <c r="CAR16">
        <v>0</v>
      </c>
      <c r="CAS16">
        <v>0</v>
      </c>
      <c r="CAT16">
        <v>0</v>
      </c>
      <c r="CAU16">
        <v>0</v>
      </c>
      <c r="CAV16">
        <v>0</v>
      </c>
      <c r="CAW16">
        <v>0</v>
      </c>
      <c r="CAX16">
        <v>0</v>
      </c>
      <c r="CAY16">
        <v>0</v>
      </c>
      <c r="CAZ16">
        <v>0</v>
      </c>
      <c r="CBA16">
        <v>19</v>
      </c>
      <c r="CBB16">
        <v>0</v>
      </c>
      <c r="CBC16">
        <v>0</v>
      </c>
      <c r="CBD16">
        <v>0</v>
      </c>
      <c r="CBE16">
        <v>0</v>
      </c>
      <c r="CBF16">
        <v>0</v>
      </c>
      <c r="CBG16">
        <v>0</v>
      </c>
      <c r="CBH16">
        <v>0</v>
      </c>
      <c r="CBI16">
        <v>23</v>
      </c>
      <c r="CBJ16">
        <v>0</v>
      </c>
      <c r="CBK16">
        <v>58</v>
      </c>
      <c r="CBL16">
        <v>0</v>
      </c>
      <c r="CBM16">
        <v>0</v>
      </c>
      <c r="CBN16">
        <v>0</v>
      </c>
      <c r="CBO16">
        <v>37.99</v>
      </c>
      <c r="CBP16">
        <v>0</v>
      </c>
      <c r="CBQ16">
        <v>58.99</v>
      </c>
      <c r="CBR16">
        <v>58.99</v>
      </c>
      <c r="CBS16">
        <v>0</v>
      </c>
      <c r="CBT16">
        <v>0</v>
      </c>
      <c r="CBU16">
        <v>0</v>
      </c>
      <c r="CBV16">
        <v>0</v>
      </c>
      <c r="CBW16">
        <v>0</v>
      </c>
      <c r="CBX16">
        <v>0</v>
      </c>
      <c r="CBY16">
        <v>0</v>
      </c>
      <c r="CBZ16">
        <v>0</v>
      </c>
      <c r="CCA16">
        <v>0</v>
      </c>
      <c r="CCB16">
        <v>0</v>
      </c>
      <c r="CCC16">
        <v>0</v>
      </c>
      <c r="CCD16">
        <v>0</v>
      </c>
      <c r="CCE16">
        <v>59.98</v>
      </c>
      <c r="CCF16">
        <v>0</v>
      </c>
      <c r="CCG16">
        <v>0</v>
      </c>
      <c r="CCH16">
        <v>0</v>
      </c>
      <c r="CCI16">
        <v>0</v>
      </c>
      <c r="CCJ16">
        <v>0</v>
      </c>
      <c r="CCK16">
        <v>0</v>
      </c>
      <c r="CCL16">
        <v>0</v>
      </c>
      <c r="CCM16">
        <v>0</v>
      </c>
      <c r="CCN16">
        <v>0</v>
      </c>
      <c r="CCO16">
        <v>14</v>
      </c>
      <c r="CCP16">
        <v>0</v>
      </c>
      <c r="CCQ16">
        <v>0</v>
      </c>
      <c r="CCR16">
        <v>0</v>
      </c>
      <c r="CCS16">
        <v>60</v>
      </c>
      <c r="CCT16">
        <v>60</v>
      </c>
      <c r="CCU16">
        <v>0</v>
      </c>
      <c r="CCV16">
        <v>7</v>
      </c>
      <c r="CCW16">
        <v>0</v>
      </c>
      <c r="CCX16">
        <v>0</v>
      </c>
      <c r="CCY16">
        <v>0</v>
      </c>
      <c r="CCZ16">
        <v>0</v>
      </c>
      <c r="CDA16">
        <v>0</v>
      </c>
      <c r="CDB16">
        <v>18</v>
      </c>
      <c r="CDC16">
        <v>0</v>
      </c>
      <c r="CDD16">
        <v>0</v>
      </c>
      <c r="CDE16">
        <v>0</v>
      </c>
      <c r="CDF16">
        <v>0</v>
      </c>
      <c r="CDG16">
        <v>0</v>
      </c>
      <c r="CDH16">
        <v>0</v>
      </c>
      <c r="CDI16">
        <v>0</v>
      </c>
      <c r="CDJ16">
        <v>0</v>
      </c>
      <c r="CDK16">
        <v>0</v>
      </c>
      <c r="CDL16">
        <v>0</v>
      </c>
      <c r="CDM16">
        <v>0</v>
      </c>
      <c r="CDN16">
        <v>0</v>
      </c>
      <c r="CDO16">
        <v>0</v>
      </c>
      <c r="CDP16">
        <v>0</v>
      </c>
      <c r="CDQ16">
        <v>0</v>
      </c>
      <c r="CDR16">
        <v>0</v>
      </c>
      <c r="CDS16">
        <v>0</v>
      </c>
      <c r="CDT16">
        <v>0</v>
      </c>
      <c r="CDU16">
        <v>0</v>
      </c>
      <c r="CDV16">
        <v>0</v>
      </c>
      <c r="CDW16">
        <v>0</v>
      </c>
      <c r="CDX16">
        <v>0</v>
      </c>
      <c r="CDY16">
        <v>0</v>
      </c>
      <c r="CDZ16">
        <v>0</v>
      </c>
      <c r="CEA16">
        <v>0</v>
      </c>
      <c r="CEB16">
        <v>0</v>
      </c>
      <c r="CEC16">
        <v>0</v>
      </c>
      <c r="CED16">
        <v>62.99</v>
      </c>
      <c r="CEE16">
        <v>0</v>
      </c>
      <c r="CEF16">
        <v>0</v>
      </c>
      <c r="CEG16">
        <v>0</v>
      </c>
      <c r="CEH16">
        <v>0</v>
      </c>
      <c r="CEI16">
        <v>0</v>
      </c>
      <c r="CEJ16">
        <v>0</v>
      </c>
      <c r="CEK16">
        <v>0</v>
      </c>
      <c r="CEL16">
        <v>0</v>
      </c>
      <c r="CEM16">
        <v>0</v>
      </c>
      <c r="CEN16">
        <v>0</v>
      </c>
      <c r="CEO16">
        <v>0</v>
      </c>
      <c r="CEP16">
        <v>63</v>
      </c>
      <c r="CEQ16">
        <v>63</v>
      </c>
      <c r="CER16">
        <v>7</v>
      </c>
      <c r="CES16">
        <v>0</v>
      </c>
      <c r="CET16">
        <v>0</v>
      </c>
      <c r="CEU16">
        <v>0</v>
      </c>
      <c r="CEV16">
        <v>34.99</v>
      </c>
      <c r="CEW16">
        <v>0</v>
      </c>
      <c r="CEX16">
        <v>0</v>
      </c>
      <c r="CEY16">
        <v>0</v>
      </c>
      <c r="CEZ16">
        <v>0</v>
      </c>
      <c r="CFA16">
        <v>0</v>
      </c>
      <c r="CFB16">
        <v>0</v>
      </c>
      <c r="CFC16">
        <v>0</v>
      </c>
      <c r="CFD16">
        <v>0</v>
      </c>
      <c r="CFE16">
        <v>0</v>
      </c>
      <c r="CFF16">
        <v>0</v>
      </c>
      <c r="CFG16">
        <v>0</v>
      </c>
      <c r="CFH16">
        <v>0</v>
      </c>
      <c r="CFI16">
        <v>0</v>
      </c>
      <c r="CFJ16">
        <v>0</v>
      </c>
      <c r="CFK16">
        <v>0</v>
      </c>
      <c r="CFL16">
        <v>0</v>
      </c>
      <c r="CFM16">
        <v>64</v>
      </c>
      <c r="CFN16">
        <v>0</v>
      </c>
      <c r="CFO16">
        <v>0</v>
      </c>
      <c r="CFP16">
        <v>0</v>
      </c>
      <c r="CFQ16">
        <v>0</v>
      </c>
      <c r="CFR16">
        <v>0</v>
      </c>
      <c r="CFS16">
        <v>0</v>
      </c>
      <c r="CFT16">
        <v>19</v>
      </c>
      <c r="CFU16">
        <v>0</v>
      </c>
      <c r="CFV16">
        <v>0</v>
      </c>
      <c r="CFW16">
        <v>0</v>
      </c>
      <c r="CFX16">
        <v>0</v>
      </c>
      <c r="CFY16">
        <v>0</v>
      </c>
      <c r="CFZ16">
        <v>0</v>
      </c>
      <c r="CGA16">
        <v>0</v>
      </c>
      <c r="CGB16">
        <v>0</v>
      </c>
      <c r="CGC16">
        <v>0</v>
      </c>
      <c r="CGD16">
        <v>0</v>
      </c>
      <c r="CGE16">
        <v>0</v>
      </c>
      <c r="CGF16">
        <v>0</v>
      </c>
      <c r="CGG16">
        <v>0</v>
      </c>
      <c r="CGH16">
        <v>0</v>
      </c>
      <c r="CGI16">
        <v>0</v>
      </c>
      <c r="CGJ16">
        <v>0</v>
      </c>
      <c r="CGK16">
        <v>0</v>
      </c>
      <c r="CGL16">
        <v>65</v>
      </c>
      <c r="CGM16">
        <v>0</v>
      </c>
      <c r="CGN16">
        <v>0</v>
      </c>
      <c r="CGO16">
        <v>0</v>
      </c>
      <c r="CGP16">
        <v>0</v>
      </c>
      <c r="CGQ16">
        <v>0</v>
      </c>
      <c r="CGR16">
        <v>0</v>
      </c>
      <c r="CGS16">
        <v>0</v>
      </c>
      <c r="CGT16">
        <v>0</v>
      </c>
      <c r="CGU16">
        <v>0</v>
      </c>
      <c r="CGV16">
        <v>0</v>
      </c>
      <c r="CGW16">
        <v>0</v>
      </c>
      <c r="CGX16">
        <v>0</v>
      </c>
      <c r="CGY16">
        <v>66</v>
      </c>
      <c r="CGZ16">
        <v>0</v>
      </c>
      <c r="CHA16">
        <v>0</v>
      </c>
      <c r="CHB16">
        <v>0</v>
      </c>
      <c r="CHC16">
        <v>0</v>
      </c>
      <c r="CHD16">
        <v>44.99</v>
      </c>
      <c r="CHE16">
        <v>56.99</v>
      </c>
      <c r="CHF16">
        <v>0</v>
      </c>
      <c r="CHG16">
        <v>0</v>
      </c>
      <c r="CHH16">
        <v>0</v>
      </c>
      <c r="CHI16">
        <v>0</v>
      </c>
      <c r="CHJ16">
        <v>0</v>
      </c>
      <c r="CHK16">
        <v>0</v>
      </c>
      <c r="CHL16">
        <v>0</v>
      </c>
      <c r="CHM16">
        <v>0</v>
      </c>
      <c r="CHN16">
        <v>0</v>
      </c>
      <c r="CHO16">
        <v>0</v>
      </c>
      <c r="CHP16">
        <v>0</v>
      </c>
      <c r="CHQ16">
        <v>67</v>
      </c>
      <c r="CHR16">
        <v>67</v>
      </c>
      <c r="CHS16">
        <v>0</v>
      </c>
      <c r="CHT16">
        <v>0</v>
      </c>
      <c r="CHU16">
        <v>0</v>
      </c>
      <c r="CHV16">
        <v>0</v>
      </c>
      <c r="CHW16">
        <v>0</v>
      </c>
      <c r="CHX16">
        <v>0</v>
      </c>
      <c r="CHY16">
        <v>0</v>
      </c>
      <c r="CHZ16">
        <v>0</v>
      </c>
      <c r="CIA16">
        <v>0</v>
      </c>
      <c r="CIB16">
        <v>0</v>
      </c>
      <c r="CIC16">
        <v>0</v>
      </c>
      <c r="CID16">
        <v>0</v>
      </c>
      <c r="CIE16">
        <v>0</v>
      </c>
      <c r="CIF16">
        <v>0</v>
      </c>
      <c r="CIG16">
        <v>0</v>
      </c>
      <c r="CIH16">
        <v>0</v>
      </c>
      <c r="CII16">
        <v>0</v>
      </c>
      <c r="CIJ16">
        <v>0</v>
      </c>
      <c r="CIK16">
        <v>0</v>
      </c>
      <c r="CIL16">
        <v>0</v>
      </c>
      <c r="CIM16">
        <v>0</v>
      </c>
      <c r="CIN16">
        <v>0</v>
      </c>
      <c r="CIO16">
        <v>0</v>
      </c>
      <c r="CIP16">
        <v>68</v>
      </c>
      <c r="CIQ16">
        <v>0</v>
      </c>
      <c r="CIR16">
        <v>0</v>
      </c>
      <c r="CIS16">
        <v>0</v>
      </c>
      <c r="CIT16">
        <v>0</v>
      </c>
      <c r="CIU16">
        <v>0</v>
      </c>
      <c r="CIV16">
        <v>0</v>
      </c>
      <c r="CIW16">
        <v>0</v>
      </c>
      <c r="CIX16">
        <v>0</v>
      </c>
      <c r="CIY16">
        <v>0</v>
      </c>
      <c r="CIZ16">
        <v>0</v>
      </c>
      <c r="CJA16">
        <v>0</v>
      </c>
      <c r="CJB16">
        <v>0</v>
      </c>
      <c r="CJC16">
        <v>32</v>
      </c>
      <c r="CJD16">
        <v>0</v>
      </c>
      <c r="CJE16">
        <v>0</v>
      </c>
      <c r="CJF16">
        <v>0</v>
      </c>
      <c r="CJG16">
        <v>0</v>
      </c>
      <c r="CJH16">
        <v>0</v>
      </c>
      <c r="CJI16">
        <v>0</v>
      </c>
      <c r="CJJ16">
        <v>0</v>
      </c>
      <c r="CJK16">
        <v>0</v>
      </c>
      <c r="CJL16">
        <v>0</v>
      </c>
      <c r="CJM16">
        <v>0</v>
      </c>
      <c r="CJN16">
        <v>0</v>
      </c>
      <c r="CJO16">
        <v>69</v>
      </c>
      <c r="CJP16">
        <v>0</v>
      </c>
      <c r="CJQ16">
        <v>0</v>
      </c>
      <c r="CJR16">
        <v>19</v>
      </c>
      <c r="CJS16">
        <v>0</v>
      </c>
      <c r="CJT16">
        <v>0</v>
      </c>
      <c r="CJU16">
        <v>0</v>
      </c>
      <c r="CJV16">
        <v>0</v>
      </c>
      <c r="CJW16">
        <v>0</v>
      </c>
      <c r="CJX16">
        <v>0</v>
      </c>
      <c r="CJY16">
        <v>0</v>
      </c>
      <c r="CJZ16">
        <v>0</v>
      </c>
      <c r="CKA16">
        <v>0</v>
      </c>
      <c r="CKB16">
        <v>0</v>
      </c>
      <c r="CKC16">
        <v>70</v>
      </c>
      <c r="CKD16">
        <v>60</v>
      </c>
      <c r="CKE16">
        <v>0</v>
      </c>
      <c r="CKF16">
        <v>0</v>
      </c>
      <c r="CKG16">
        <v>0</v>
      </c>
      <c r="CKH16">
        <v>0</v>
      </c>
      <c r="CKI16">
        <v>0</v>
      </c>
      <c r="CKJ16">
        <v>0</v>
      </c>
      <c r="CKK16">
        <v>70.989999999999995</v>
      </c>
      <c r="CKL16">
        <v>70.989999999999995</v>
      </c>
      <c r="CKM16">
        <v>0</v>
      </c>
      <c r="CKN16">
        <v>0</v>
      </c>
      <c r="CKO16">
        <v>0</v>
      </c>
      <c r="CKP16">
        <v>0</v>
      </c>
      <c r="CKQ16">
        <v>0</v>
      </c>
      <c r="CKR16">
        <v>0</v>
      </c>
      <c r="CKS16">
        <v>0</v>
      </c>
      <c r="CKT16">
        <v>0</v>
      </c>
      <c r="CKU16">
        <v>0</v>
      </c>
      <c r="CKV16">
        <v>0</v>
      </c>
      <c r="CKW16">
        <v>0</v>
      </c>
      <c r="CKX16">
        <v>0</v>
      </c>
      <c r="CKY16">
        <v>0</v>
      </c>
      <c r="CKZ16">
        <v>0</v>
      </c>
      <c r="CLA16">
        <v>0</v>
      </c>
      <c r="CLB16">
        <v>0</v>
      </c>
      <c r="CLC16">
        <v>0</v>
      </c>
      <c r="CLD16">
        <v>0</v>
      </c>
      <c r="CLE16">
        <v>0</v>
      </c>
      <c r="CLF16">
        <v>72</v>
      </c>
      <c r="CLG16">
        <v>72</v>
      </c>
      <c r="CLH16">
        <v>0</v>
      </c>
      <c r="CLI16">
        <v>0</v>
      </c>
      <c r="CLJ16">
        <v>0</v>
      </c>
      <c r="CLK16">
        <v>72.989999999999995</v>
      </c>
      <c r="CLL16">
        <v>0</v>
      </c>
      <c r="CLM16">
        <v>0</v>
      </c>
      <c r="CLN16">
        <v>0</v>
      </c>
      <c r="CLO16">
        <v>0</v>
      </c>
      <c r="CLP16">
        <v>0</v>
      </c>
      <c r="CLQ16">
        <v>0</v>
      </c>
      <c r="CLR16">
        <v>0</v>
      </c>
      <c r="CLS16">
        <v>0</v>
      </c>
      <c r="CLT16">
        <v>0</v>
      </c>
      <c r="CLU16">
        <v>0</v>
      </c>
      <c r="CLV16">
        <v>0</v>
      </c>
      <c r="CLW16">
        <v>0</v>
      </c>
      <c r="CLX16">
        <v>0</v>
      </c>
      <c r="CLY16">
        <v>0</v>
      </c>
      <c r="CLZ16">
        <v>0</v>
      </c>
      <c r="CMA16">
        <v>0</v>
      </c>
      <c r="CMB16">
        <v>0</v>
      </c>
      <c r="CMC16">
        <v>0</v>
      </c>
      <c r="CMD16">
        <v>0</v>
      </c>
      <c r="CME16">
        <v>0</v>
      </c>
      <c r="CMF16">
        <v>0</v>
      </c>
      <c r="CMG16">
        <v>0</v>
      </c>
      <c r="CMH16">
        <v>0</v>
      </c>
      <c r="CMI16">
        <v>0</v>
      </c>
      <c r="CMJ16">
        <v>0</v>
      </c>
      <c r="CMK16">
        <v>0</v>
      </c>
      <c r="CML16">
        <v>0</v>
      </c>
      <c r="CMM16">
        <v>0</v>
      </c>
      <c r="CMN16">
        <v>0</v>
      </c>
      <c r="CMO16">
        <v>0</v>
      </c>
      <c r="CMP16">
        <v>75</v>
      </c>
      <c r="CMQ16">
        <v>0</v>
      </c>
      <c r="CMR16">
        <v>0</v>
      </c>
      <c r="CMS16">
        <v>0</v>
      </c>
      <c r="CMT16">
        <v>0</v>
      </c>
      <c r="CMU16">
        <v>0</v>
      </c>
      <c r="CMV16">
        <v>0</v>
      </c>
      <c r="CMW16">
        <v>0</v>
      </c>
      <c r="CMX16">
        <v>0</v>
      </c>
      <c r="CMY16">
        <v>0</v>
      </c>
      <c r="CMZ16">
        <v>0</v>
      </c>
      <c r="CNA16">
        <v>0</v>
      </c>
      <c r="CNB16">
        <v>0</v>
      </c>
      <c r="CNC16">
        <v>0</v>
      </c>
      <c r="CND16">
        <v>0</v>
      </c>
      <c r="CNE16">
        <v>0</v>
      </c>
      <c r="CNF16">
        <v>0</v>
      </c>
      <c r="CNG16">
        <v>0</v>
      </c>
      <c r="CNH16">
        <v>0</v>
      </c>
      <c r="CNI16">
        <v>0</v>
      </c>
      <c r="CNJ16">
        <v>0</v>
      </c>
      <c r="CNK16">
        <v>0</v>
      </c>
      <c r="CNL16">
        <v>0</v>
      </c>
      <c r="CNM16">
        <v>0</v>
      </c>
      <c r="CNN16">
        <v>0</v>
      </c>
      <c r="CNO16">
        <v>0</v>
      </c>
      <c r="CNP16">
        <v>0</v>
      </c>
      <c r="CNQ16">
        <v>0</v>
      </c>
      <c r="CNR16">
        <v>0</v>
      </c>
      <c r="CNS16">
        <v>0</v>
      </c>
      <c r="CNT16">
        <v>0</v>
      </c>
      <c r="CNU16">
        <v>77.989999999999995</v>
      </c>
      <c r="CNV16">
        <v>0</v>
      </c>
      <c r="CNW16">
        <v>0</v>
      </c>
      <c r="CNX16">
        <v>0</v>
      </c>
      <c r="CNY16">
        <v>0</v>
      </c>
      <c r="CNZ16">
        <v>0</v>
      </c>
      <c r="COA16">
        <v>0</v>
      </c>
      <c r="COB16">
        <v>0</v>
      </c>
      <c r="COC16">
        <v>0</v>
      </c>
      <c r="COD16">
        <v>0</v>
      </c>
      <c r="COE16">
        <v>0</v>
      </c>
      <c r="COF16">
        <v>78</v>
      </c>
      <c r="COG16">
        <v>0</v>
      </c>
      <c r="COH16">
        <v>0</v>
      </c>
      <c r="COI16">
        <v>0</v>
      </c>
      <c r="COJ16">
        <v>0</v>
      </c>
      <c r="COK16">
        <v>0</v>
      </c>
      <c r="COL16">
        <v>0</v>
      </c>
      <c r="COM16">
        <v>0</v>
      </c>
      <c r="CON16">
        <v>0</v>
      </c>
      <c r="COO16">
        <v>59</v>
      </c>
      <c r="COP16">
        <v>0</v>
      </c>
      <c r="COQ16">
        <v>0</v>
      </c>
      <c r="COR16">
        <v>43</v>
      </c>
      <c r="COS16">
        <v>0</v>
      </c>
      <c r="COT16">
        <v>0</v>
      </c>
      <c r="COU16">
        <v>0</v>
      </c>
      <c r="COV16">
        <v>0</v>
      </c>
      <c r="COW16">
        <v>0</v>
      </c>
      <c r="COX16">
        <v>0</v>
      </c>
      <c r="COY16">
        <v>0</v>
      </c>
      <c r="COZ16">
        <v>0</v>
      </c>
      <c r="CPA16">
        <v>0</v>
      </c>
      <c r="CPB16">
        <v>0</v>
      </c>
      <c r="CPC16">
        <v>29</v>
      </c>
      <c r="CPD16">
        <v>0</v>
      </c>
      <c r="CPE16">
        <v>0</v>
      </c>
      <c r="CPF16">
        <v>0</v>
      </c>
      <c r="CPG16">
        <v>0</v>
      </c>
      <c r="CPH16">
        <v>0</v>
      </c>
      <c r="CPI16">
        <v>0</v>
      </c>
      <c r="CPJ16">
        <v>0</v>
      </c>
      <c r="CPK16">
        <v>0</v>
      </c>
      <c r="CPL16">
        <v>0</v>
      </c>
      <c r="CPM16">
        <v>0</v>
      </c>
      <c r="CPN16">
        <v>0</v>
      </c>
      <c r="CPO16">
        <v>0</v>
      </c>
      <c r="CPP16">
        <v>0</v>
      </c>
      <c r="CPQ16">
        <v>0</v>
      </c>
      <c r="CPR16">
        <v>0</v>
      </c>
      <c r="CPS16">
        <v>0</v>
      </c>
      <c r="CPT16">
        <v>0</v>
      </c>
      <c r="CPU16">
        <v>0</v>
      </c>
      <c r="CPV16">
        <v>0</v>
      </c>
      <c r="CPW16">
        <v>0</v>
      </c>
      <c r="CPX16">
        <v>0</v>
      </c>
      <c r="CPY16">
        <v>0</v>
      </c>
      <c r="CPZ16">
        <v>0</v>
      </c>
      <c r="CQA16">
        <v>0</v>
      </c>
      <c r="CQB16">
        <v>0</v>
      </c>
      <c r="CQC16">
        <v>0</v>
      </c>
      <c r="CQD16">
        <v>0</v>
      </c>
      <c r="CQE16">
        <v>18</v>
      </c>
      <c r="CQF16">
        <v>0</v>
      </c>
      <c r="CQG16">
        <v>0</v>
      </c>
      <c r="CQH16">
        <v>0</v>
      </c>
      <c r="CQI16">
        <v>0</v>
      </c>
      <c r="CQJ16">
        <v>0</v>
      </c>
      <c r="CQK16">
        <v>0</v>
      </c>
      <c r="CQL16">
        <v>0</v>
      </c>
      <c r="CQM16">
        <v>0</v>
      </c>
      <c r="CQN16">
        <v>0</v>
      </c>
      <c r="CQO16">
        <v>0</v>
      </c>
      <c r="CQP16">
        <v>0</v>
      </c>
      <c r="CQQ16">
        <v>84.99</v>
      </c>
      <c r="CQR16">
        <v>0</v>
      </c>
      <c r="CQS16">
        <v>0</v>
      </c>
      <c r="CQT16">
        <v>0</v>
      </c>
      <c r="CQU16">
        <v>0</v>
      </c>
      <c r="CQV16">
        <v>0</v>
      </c>
      <c r="CQW16">
        <v>0</v>
      </c>
      <c r="CQX16">
        <v>0</v>
      </c>
      <c r="CQY16">
        <v>85.99</v>
      </c>
      <c r="CQZ16">
        <v>0</v>
      </c>
      <c r="CRA16">
        <v>0</v>
      </c>
      <c r="CRB16">
        <v>0</v>
      </c>
      <c r="CRC16">
        <v>0</v>
      </c>
      <c r="CRD16">
        <v>0</v>
      </c>
      <c r="CRE16">
        <v>0</v>
      </c>
      <c r="CRF16">
        <v>0</v>
      </c>
      <c r="CRG16">
        <v>58</v>
      </c>
      <c r="CRH16">
        <v>58.99</v>
      </c>
      <c r="CRI16">
        <v>0</v>
      </c>
      <c r="CRJ16">
        <v>48.99</v>
      </c>
      <c r="CRK16">
        <v>45.99</v>
      </c>
      <c r="CRL16">
        <v>0</v>
      </c>
      <c r="CRM16">
        <v>86.99</v>
      </c>
      <c r="CRN16">
        <v>0</v>
      </c>
      <c r="CRO16">
        <v>0</v>
      </c>
      <c r="CRP16">
        <v>0</v>
      </c>
      <c r="CRQ16">
        <v>0</v>
      </c>
      <c r="CRR16">
        <v>0</v>
      </c>
      <c r="CRS16">
        <v>0</v>
      </c>
      <c r="CRT16">
        <v>0</v>
      </c>
      <c r="CRU16">
        <v>74.989999999999995</v>
      </c>
      <c r="CRV16">
        <v>0</v>
      </c>
      <c r="CRW16">
        <v>0</v>
      </c>
      <c r="CRX16">
        <v>0</v>
      </c>
      <c r="CRY16">
        <v>0</v>
      </c>
      <c r="CRZ16">
        <v>0</v>
      </c>
      <c r="CSA16">
        <v>0</v>
      </c>
      <c r="CSB16">
        <v>0</v>
      </c>
      <c r="CSC16">
        <v>14</v>
      </c>
      <c r="CSD16">
        <v>0</v>
      </c>
      <c r="CSE16">
        <v>0</v>
      </c>
      <c r="CSF16">
        <v>0</v>
      </c>
      <c r="CSG16">
        <v>0</v>
      </c>
      <c r="CSH16">
        <v>0</v>
      </c>
      <c r="CSI16">
        <v>0</v>
      </c>
      <c r="CSJ16">
        <v>0</v>
      </c>
      <c r="CSK16">
        <v>0</v>
      </c>
      <c r="CSL16">
        <v>0</v>
      </c>
      <c r="CSM16">
        <v>0</v>
      </c>
      <c r="CSN16">
        <v>0</v>
      </c>
      <c r="CSO16">
        <v>0</v>
      </c>
      <c r="CSP16">
        <v>0</v>
      </c>
      <c r="CSQ16">
        <v>0</v>
      </c>
      <c r="CSR16">
        <v>0</v>
      </c>
      <c r="CSS16">
        <v>0</v>
      </c>
      <c r="CST16">
        <v>0</v>
      </c>
      <c r="CSU16">
        <v>0</v>
      </c>
      <c r="CSV16">
        <v>0</v>
      </c>
      <c r="CSW16">
        <v>0</v>
      </c>
      <c r="CSX16">
        <v>0</v>
      </c>
      <c r="CSY16">
        <v>0</v>
      </c>
      <c r="CSZ16">
        <v>0</v>
      </c>
      <c r="CTA16">
        <v>0</v>
      </c>
      <c r="CTB16">
        <v>0</v>
      </c>
      <c r="CTC16">
        <v>0</v>
      </c>
      <c r="CTD16">
        <v>54</v>
      </c>
      <c r="CTE16">
        <v>0</v>
      </c>
      <c r="CTF16">
        <v>0</v>
      </c>
      <c r="CTG16">
        <v>0</v>
      </c>
      <c r="CTH16">
        <v>0</v>
      </c>
      <c r="CTI16">
        <v>90.99</v>
      </c>
      <c r="CTJ16">
        <v>90.99</v>
      </c>
      <c r="CTK16">
        <v>0</v>
      </c>
      <c r="CTL16">
        <v>28</v>
      </c>
      <c r="CTM16">
        <v>0</v>
      </c>
      <c r="CTN16">
        <v>0</v>
      </c>
      <c r="CTO16">
        <v>0</v>
      </c>
      <c r="CTP16">
        <v>0</v>
      </c>
      <c r="CTQ16">
        <v>0</v>
      </c>
      <c r="CTR16">
        <v>0</v>
      </c>
      <c r="CTS16">
        <v>0</v>
      </c>
      <c r="CTT16">
        <v>0</v>
      </c>
      <c r="CTU16">
        <v>0</v>
      </c>
      <c r="CTV16">
        <v>0</v>
      </c>
      <c r="CTW16">
        <v>15</v>
      </c>
      <c r="CTX16">
        <v>0</v>
      </c>
      <c r="CTY16">
        <v>0</v>
      </c>
      <c r="CTZ16">
        <v>0</v>
      </c>
      <c r="CUA16">
        <v>0</v>
      </c>
      <c r="CUB16">
        <v>0</v>
      </c>
      <c r="CUC16">
        <v>0</v>
      </c>
      <c r="CUD16">
        <v>0</v>
      </c>
      <c r="CUE16">
        <v>0</v>
      </c>
      <c r="CUF16">
        <v>0</v>
      </c>
      <c r="CUG16">
        <v>0</v>
      </c>
      <c r="CUH16">
        <v>0</v>
      </c>
      <c r="CUI16">
        <v>0</v>
      </c>
      <c r="CUJ16">
        <v>0</v>
      </c>
      <c r="CUK16">
        <v>0</v>
      </c>
      <c r="CUL16">
        <v>93.99</v>
      </c>
      <c r="CUM16">
        <v>41</v>
      </c>
      <c r="CUN16">
        <v>0</v>
      </c>
      <c r="CUO16">
        <v>0</v>
      </c>
      <c r="CUP16">
        <v>94</v>
      </c>
      <c r="CUQ16">
        <v>0</v>
      </c>
      <c r="CUR16">
        <v>40</v>
      </c>
      <c r="CUS16">
        <v>0</v>
      </c>
      <c r="CUT16">
        <v>0</v>
      </c>
      <c r="CUU16">
        <v>0</v>
      </c>
      <c r="CUV16">
        <v>0</v>
      </c>
      <c r="CUW16">
        <v>0</v>
      </c>
      <c r="CUX16">
        <v>0</v>
      </c>
      <c r="CUY16">
        <v>0</v>
      </c>
      <c r="CUZ16">
        <v>0</v>
      </c>
      <c r="CVA16">
        <v>0</v>
      </c>
      <c r="CVB16">
        <v>0</v>
      </c>
      <c r="CVC16">
        <v>0</v>
      </c>
      <c r="CVD16">
        <v>0</v>
      </c>
      <c r="CVE16">
        <v>95</v>
      </c>
      <c r="CVF16">
        <v>80</v>
      </c>
      <c r="CVG16">
        <v>95.01</v>
      </c>
      <c r="CVH16">
        <v>0</v>
      </c>
      <c r="CVI16">
        <v>0</v>
      </c>
      <c r="CVJ16">
        <v>0</v>
      </c>
      <c r="CVK16">
        <v>0</v>
      </c>
      <c r="CVL16">
        <v>0</v>
      </c>
      <c r="CVM16">
        <v>0</v>
      </c>
      <c r="CVN16">
        <v>0</v>
      </c>
      <c r="CVO16">
        <v>0</v>
      </c>
      <c r="CVP16">
        <v>21</v>
      </c>
      <c r="CVQ16">
        <v>96.01</v>
      </c>
      <c r="CVR16">
        <v>0</v>
      </c>
      <c r="CVS16">
        <v>0</v>
      </c>
      <c r="CVT16">
        <v>96.99</v>
      </c>
      <c r="CVU16">
        <v>0</v>
      </c>
      <c r="CVV16">
        <v>0</v>
      </c>
      <c r="CVW16">
        <v>0</v>
      </c>
      <c r="CVX16">
        <v>69</v>
      </c>
      <c r="CVY16">
        <v>0</v>
      </c>
      <c r="CVZ16">
        <v>0</v>
      </c>
      <c r="CWA16">
        <v>0</v>
      </c>
      <c r="CWB16">
        <v>0</v>
      </c>
      <c r="CWC16">
        <v>0</v>
      </c>
      <c r="CWD16">
        <v>0</v>
      </c>
      <c r="CWE16">
        <v>0</v>
      </c>
      <c r="CWF16">
        <v>0</v>
      </c>
      <c r="CWG16">
        <v>0</v>
      </c>
      <c r="CWH16">
        <v>0</v>
      </c>
      <c r="CWI16">
        <v>0</v>
      </c>
      <c r="CWJ16">
        <v>0</v>
      </c>
      <c r="CWK16">
        <v>0</v>
      </c>
      <c r="CWL16">
        <v>0</v>
      </c>
      <c r="CWM16">
        <v>0</v>
      </c>
      <c r="CWN16">
        <v>0</v>
      </c>
      <c r="CWO16">
        <v>0</v>
      </c>
      <c r="CWP16">
        <v>0</v>
      </c>
      <c r="CWQ16">
        <v>0</v>
      </c>
      <c r="CWR16">
        <v>0</v>
      </c>
      <c r="CWS16">
        <v>0</v>
      </c>
      <c r="CWT16">
        <v>0</v>
      </c>
      <c r="CWU16">
        <v>0</v>
      </c>
      <c r="CWV16">
        <v>99</v>
      </c>
      <c r="CWW16">
        <v>0</v>
      </c>
      <c r="CWX16">
        <v>0</v>
      </c>
      <c r="CWY16">
        <v>0</v>
      </c>
      <c r="CWZ16">
        <v>0</v>
      </c>
      <c r="CXA16">
        <v>0</v>
      </c>
      <c r="CXB16">
        <v>0</v>
      </c>
      <c r="CXC16">
        <v>0</v>
      </c>
      <c r="CXD16">
        <v>0</v>
      </c>
      <c r="CXE16">
        <v>13</v>
      </c>
      <c r="CXF16">
        <v>0</v>
      </c>
      <c r="CXG16">
        <v>0</v>
      </c>
      <c r="CXH16">
        <v>0</v>
      </c>
      <c r="CXI16">
        <v>0</v>
      </c>
      <c r="CXJ16">
        <v>100</v>
      </c>
      <c r="CXK16">
        <v>0</v>
      </c>
      <c r="CXL16">
        <v>0</v>
      </c>
      <c r="CXM16">
        <v>0</v>
      </c>
      <c r="CXN16">
        <v>0</v>
      </c>
      <c r="CXO16">
        <v>0</v>
      </c>
      <c r="CXP16">
        <v>0</v>
      </c>
      <c r="CXQ16">
        <v>0</v>
      </c>
      <c r="CXR16">
        <v>0</v>
      </c>
      <c r="CXS16">
        <v>0</v>
      </c>
      <c r="CXT16">
        <v>0</v>
      </c>
      <c r="CXU16">
        <v>0</v>
      </c>
      <c r="CXV16">
        <v>0</v>
      </c>
      <c r="CXW16">
        <v>101.99</v>
      </c>
      <c r="CXX16">
        <v>101.99</v>
      </c>
      <c r="CXY16">
        <v>0</v>
      </c>
      <c r="CXZ16">
        <v>0</v>
      </c>
      <c r="CYA16">
        <v>0</v>
      </c>
      <c r="CYB16">
        <v>0</v>
      </c>
      <c r="CYC16">
        <v>0</v>
      </c>
      <c r="CYD16">
        <v>0</v>
      </c>
      <c r="CYE16">
        <v>0</v>
      </c>
      <c r="CYF16">
        <v>0</v>
      </c>
      <c r="CYG16">
        <v>0</v>
      </c>
      <c r="CYH16">
        <v>0</v>
      </c>
      <c r="CYI16">
        <v>0</v>
      </c>
      <c r="CYJ16">
        <v>0</v>
      </c>
      <c r="CYK16">
        <v>0</v>
      </c>
      <c r="CYL16">
        <v>0</v>
      </c>
      <c r="CYM16">
        <v>0</v>
      </c>
      <c r="CYN16">
        <v>0</v>
      </c>
      <c r="CYO16">
        <v>0</v>
      </c>
      <c r="CYP16">
        <v>0</v>
      </c>
      <c r="CYQ16">
        <v>23</v>
      </c>
      <c r="CYR16">
        <v>0</v>
      </c>
      <c r="CYS16">
        <v>103.99</v>
      </c>
      <c r="CYT16">
        <v>0</v>
      </c>
      <c r="CYU16">
        <v>0</v>
      </c>
      <c r="CYV16">
        <v>25</v>
      </c>
      <c r="CYW16">
        <v>0</v>
      </c>
      <c r="CYX16">
        <v>0</v>
      </c>
      <c r="CYY16">
        <v>0</v>
      </c>
      <c r="CYZ16">
        <v>0</v>
      </c>
      <c r="CZA16">
        <v>0</v>
      </c>
      <c r="CZB16">
        <v>0</v>
      </c>
      <c r="CZC16">
        <v>0</v>
      </c>
      <c r="CZD16">
        <v>0</v>
      </c>
      <c r="CZE16">
        <v>0</v>
      </c>
      <c r="CZF16">
        <v>0</v>
      </c>
      <c r="CZG16">
        <v>0</v>
      </c>
      <c r="CZH16">
        <v>0</v>
      </c>
      <c r="CZI16">
        <v>0</v>
      </c>
      <c r="CZJ16">
        <v>0</v>
      </c>
      <c r="CZK16">
        <v>0</v>
      </c>
      <c r="CZL16">
        <v>0</v>
      </c>
      <c r="CZM16">
        <v>0</v>
      </c>
      <c r="CZN16">
        <v>105</v>
      </c>
      <c r="CZO16">
        <v>0</v>
      </c>
      <c r="CZP16">
        <v>0</v>
      </c>
      <c r="CZQ16">
        <v>0</v>
      </c>
      <c r="CZR16">
        <v>96.99</v>
      </c>
      <c r="CZS16">
        <v>0</v>
      </c>
      <c r="CZT16">
        <v>0</v>
      </c>
      <c r="CZU16">
        <v>0</v>
      </c>
      <c r="CZV16">
        <v>0</v>
      </c>
      <c r="CZW16">
        <v>0</v>
      </c>
      <c r="CZX16">
        <v>0</v>
      </c>
      <c r="CZY16">
        <v>106.01</v>
      </c>
      <c r="CZZ16">
        <v>0</v>
      </c>
      <c r="DAA16">
        <v>106.99</v>
      </c>
      <c r="DAB16">
        <v>0</v>
      </c>
      <c r="DAC16">
        <v>0</v>
      </c>
      <c r="DAD16">
        <v>0</v>
      </c>
      <c r="DAE16">
        <v>0</v>
      </c>
      <c r="DAF16">
        <v>0</v>
      </c>
      <c r="DAG16">
        <v>0</v>
      </c>
      <c r="DAH16">
        <v>0</v>
      </c>
      <c r="DAI16">
        <v>0</v>
      </c>
      <c r="DAJ16">
        <v>0</v>
      </c>
      <c r="DAK16">
        <v>0</v>
      </c>
      <c r="DAL16">
        <v>26</v>
      </c>
      <c r="DAM16">
        <v>0</v>
      </c>
      <c r="DAN16">
        <v>0</v>
      </c>
      <c r="DAO16">
        <v>0</v>
      </c>
      <c r="DAP16">
        <v>0</v>
      </c>
      <c r="DAQ16">
        <v>0</v>
      </c>
      <c r="DAR16">
        <v>0</v>
      </c>
      <c r="DAS16">
        <v>0</v>
      </c>
      <c r="DAT16">
        <v>0</v>
      </c>
      <c r="DAU16">
        <v>0</v>
      </c>
      <c r="DAV16">
        <v>0</v>
      </c>
      <c r="DAW16">
        <v>0</v>
      </c>
      <c r="DAX16">
        <v>0</v>
      </c>
      <c r="DAY16">
        <v>0</v>
      </c>
      <c r="DAZ16">
        <v>0</v>
      </c>
      <c r="DBA16">
        <v>0</v>
      </c>
      <c r="DBB16">
        <v>0</v>
      </c>
      <c r="DBC16">
        <v>0</v>
      </c>
      <c r="DBD16">
        <v>0</v>
      </c>
      <c r="DBE16">
        <v>0</v>
      </c>
      <c r="DBF16">
        <v>0</v>
      </c>
      <c r="DBG16">
        <v>24</v>
      </c>
      <c r="DBH16">
        <v>0</v>
      </c>
      <c r="DBI16">
        <v>0</v>
      </c>
      <c r="DBJ16">
        <v>0</v>
      </c>
      <c r="DBK16">
        <v>0</v>
      </c>
      <c r="DBL16">
        <v>0</v>
      </c>
      <c r="DBM16">
        <v>0</v>
      </c>
      <c r="DBN16">
        <v>0</v>
      </c>
      <c r="DBO16">
        <v>0</v>
      </c>
      <c r="DBP16">
        <v>110.99</v>
      </c>
      <c r="DBQ16">
        <v>0</v>
      </c>
      <c r="DBR16">
        <v>0</v>
      </c>
      <c r="DBS16">
        <v>0</v>
      </c>
      <c r="DBT16">
        <v>111</v>
      </c>
      <c r="DBU16">
        <v>0</v>
      </c>
      <c r="DBV16">
        <v>0</v>
      </c>
      <c r="DBW16">
        <v>0</v>
      </c>
      <c r="DBX16">
        <v>0</v>
      </c>
      <c r="DBY16">
        <v>111.99</v>
      </c>
      <c r="DBZ16">
        <v>0</v>
      </c>
      <c r="DCA16">
        <v>0</v>
      </c>
      <c r="DCB16">
        <v>0</v>
      </c>
      <c r="DCC16">
        <v>0</v>
      </c>
      <c r="DCD16">
        <v>0</v>
      </c>
      <c r="DCE16">
        <v>0</v>
      </c>
      <c r="DCF16">
        <v>57</v>
      </c>
      <c r="DCG16">
        <v>0</v>
      </c>
      <c r="DCH16">
        <v>0</v>
      </c>
      <c r="DCI16">
        <v>0</v>
      </c>
      <c r="DCJ16">
        <v>0</v>
      </c>
      <c r="DCK16">
        <v>0</v>
      </c>
      <c r="DCL16">
        <v>0</v>
      </c>
      <c r="DCM16">
        <v>0</v>
      </c>
      <c r="DCN16">
        <v>0</v>
      </c>
      <c r="DCO16">
        <v>0</v>
      </c>
      <c r="DCP16">
        <v>0</v>
      </c>
      <c r="DCQ16">
        <v>0</v>
      </c>
      <c r="DCR16">
        <v>0</v>
      </c>
      <c r="DCS16">
        <v>0</v>
      </c>
      <c r="DCT16">
        <v>0</v>
      </c>
      <c r="DCU16">
        <v>0</v>
      </c>
      <c r="DCV16">
        <v>0</v>
      </c>
      <c r="DCW16">
        <v>0</v>
      </c>
      <c r="DCX16">
        <v>0</v>
      </c>
      <c r="DCY16">
        <v>0</v>
      </c>
      <c r="DCZ16">
        <v>9</v>
      </c>
      <c r="DDA16">
        <v>0</v>
      </c>
      <c r="DDB16">
        <v>0</v>
      </c>
      <c r="DDC16">
        <v>0</v>
      </c>
      <c r="DDD16">
        <v>0</v>
      </c>
      <c r="DDE16">
        <v>0</v>
      </c>
      <c r="DDF16">
        <v>18</v>
      </c>
      <c r="DDG16">
        <v>0</v>
      </c>
      <c r="DDH16">
        <v>0</v>
      </c>
      <c r="DDI16">
        <v>0</v>
      </c>
      <c r="DDJ16">
        <v>0</v>
      </c>
      <c r="DDK16">
        <v>0</v>
      </c>
      <c r="DDL16">
        <v>0</v>
      </c>
      <c r="DDM16">
        <v>116</v>
      </c>
      <c r="DDN16">
        <v>0</v>
      </c>
      <c r="DDO16">
        <v>116.99</v>
      </c>
      <c r="DDP16">
        <v>0</v>
      </c>
      <c r="DDQ16">
        <v>0</v>
      </c>
      <c r="DDR16">
        <v>117</v>
      </c>
      <c r="DDS16">
        <v>0</v>
      </c>
      <c r="DDT16">
        <v>0</v>
      </c>
      <c r="DDU16">
        <v>0</v>
      </c>
      <c r="DDV16">
        <v>0</v>
      </c>
      <c r="DDW16">
        <v>0</v>
      </c>
      <c r="DDX16">
        <v>0</v>
      </c>
      <c r="DDY16">
        <v>0</v>
      </c>
      <c r="DDZ16">
        <v>0</v>
      </c>
      <c r="DEA16">
        <v>0</v>
      </c>
      <c r="DEB16">
        <v>0</v>
      </c>
      <c r="DEC16">
        <v>0</v>
      </c>
      <c r="DED16">
        <v>0</v>
      </c>
      <c r="DEE16">
        <v>0</v>
      </c>
      <c r="DEF16">
        <v>0</v>
      </c>
      <c r="DEG16">
        <v>0</v>
      </c>
      <c r="DEH16">
        <v>0</v>
      </c>
      <c r="DEI16">
        <v>0</v>
      </c>
      <c r="DEJ16">
        <v>0</v>
      </c>
      <c r="DEK16">
        <v>0</v>
      </c>
      <c r="DEL16">
        <v>0</v>
      </c>
      <c r="DEM16">
        <v>0</v>
      </c>
      <c r="DEN16">
        <v>0</v>
      </c>
      <c r="DEO16">
        <v>0</v>
      </c>
      <c r="DEP16">
        <v>0</v>
      </c>
      <c r="DEQ16">
        <v>0</v>
      </c>
      <c r="DER16">
        <v>0</v>
      </c>
      <c r="DES16">
        <v>0</v>
      </c>
      <c r="DET16">
        <v>0</v>
      </c>
      <c r="DEU16">
        <v>0</v>
      </c>
      <c r="DEV16">
        <v>0</v>
      </c>
      <c r="DEW16">
        <v>0</v>
      </c>
      <c r="DEX16">
        <v>74</v>
      </c>
      <c r="DEY16">
        <v>0</v>
      </c>
      <c r="DEZ16">
        <v>0</v>
      </c>
      <c r="DFA16">
        <v>90</v>
      </c>
      <c r="DFB16">
        <v>0</v>
      </c>
      <c r="DFC16">
        <v>0</v>
      </c>
      <c r="DFD16">
        <v>0</v>
      </c>
      <c r="DFE16">
        <v>0</v>
      </c>
      <c r="DFF16">
        <v>0</v>
      </c>
      <c r="DFG16">
        <v>0</v>
      </c>
      <c r="DFH16">
        <v>0</v>
      </c>
      <c r="DFI16">
        <v>0</v>
      </c>
      <c r="DFJ16">
        <v>0</v>
      </c>
      <c r="DFK16">
        <v>0</v>
      </c>
      <c r="DFL16">
        <v>0</v>
      </c>
      <c r="DFM16">
        <v>0</v>
      </c>
      <c r="DFN16">
        <v>0</v>
      </c>
      <c r="DFO16">
        <v>0</v>
      </c>
      <c r="DFP16">
        <v>93.99</v>
      </c>
      <c r="DFQ16">
        <v>0</v>
      </c>
      <c r="DFR16">
        <v>0</v>
      </c>
      <c r="DFS16">
        <v>0</v>
      </c>
      <c r="DFT16">
        <v>18</v>
      </c>
      <c r="DFU16">
        <v>0</v>
      </c>
      <c r="DFV16">
        <v>0</v>
      </c>
      <c r="DFW16">
        <v>0</v>
      </c>
      <c r="DFX16">
        <v>0</v>
      </c>
      <c r="DFY16">
        <v>41</v>
      </c>
      <c r="DFZ16">
        <v>28.99</v>
      </c>
      <c r="DGA16">
        <v>0</v>
      </c>
      <c r="DGB16">
        <v>0</v>
      </c>
      <c r="DGC16">
        <v>0</v>
      </c>
      <c r="DGD16">
        <v>0</v>
      </c>
      <c r="DGE16">
        <v>0</v>
      </c>
      <c r="DGF16">
        <v>0</v>
      </c>
      <c r="DGG16">
        <v>0</v>
      </c>
      <c r="DGH16">
        <v>0</v>
      </c>
      <c r="DGI16">
        <v>0</v>
      </c>
      <c r="DGJ16">
        <v>125.99</v>
      </c>
      <c r="DGK16">
        <v>0</v>
      </c>
      <c r="DGL16">
        <v>0</v>
      </c>
      <c r="DGM16">
        <v>0</v>
      </c>
      <c r="DGN16">
        <v>0</v>
      </c>
      <c r="DGO16">
        <v>0</v>
      </c>
      <c r="DGP16">
        <v>0</v>
      </c>
      <c r="DGQ16">
        <v>0</v>
      </c>
      <c r="DGR16">
        <v>0</v>
      </c>
      <c r="DGS16">
        <v>0</v>
      </c>
      <c r="DGT16">
        <v>0</v>
      </c>
      <c r="DGU16">
        <v>0</v>
      </c>
      <c r="DGV16">
        <v>0</v>
      </c>
      <c r="DGW16">
        <v>0</v>
      </c>
      <c r="DGX16">
        <v>0</v>
      </c>
      <c r="DGY16">
        <v>0</v>
      </c>
      <c r="DGZ16">
        <v>127</v>
      </c>
      <c r="DHA16">
        <v>0</v>
      </c>
      <c r="DHB16">
        <v>0</v>
      </c>
      <c r="DHC16">
        <v>127.01</v>
      </c>
      <c r="DHD16">
        <v>127.01</v>
      </c>
      <c r="DHE16">
        <v>0</v>
      </c>
      <c r="DHF16">
        <v>0</v>
      </c>
      <c r="DHG16">
        <v>0</v>
      </c>
      <c r="DHH16">
        <v>0</v>
      </c>
      <c r="DHI16">
        <v>0</v>
      </c>
      <c r="DHJ16">
        <v>23</v>
      </c>
      <c r="DHK16">
        <v>86</v>
      </c>
      <c r="DHL16">
        <v>0</v>
      </c>
      <c r="DHM16">
        <v>36.01</v>
      </c>
      <c r="DHN16">
        <v>0</v>
      </c>
      <c r="DHO16">
        <v>0</v>
      </c>
      <c r="DHP16">
        <v>0</v>
      </c>
      <c r="DHQ16">
        <v>0</v>
      </c>
      <c r="DHR16">
        <v>0</v>
      </c>
      <c r="DHS16">
        <v>0</v>
      </c>
      <c r="DHT16">
        <v>0</v>
      </c>
      <c r="DHU16">
        <v>0</v>
      </c>
      <c r="DHV16">
        <v>0</v>
      </c>
      <c r="DHW16">
        <v>0</v>
      </c>
      <c r="DHX16">
        <v>0</v>
      </c>
      <c r="DHY16">
        <v>0</v>
      </c>
      <c r="DHZ16">
        <v>0</v>
      </c>
      <c r="DIA16">
        <v>0</v>
      </c>
      <c r="DIB16">
        <v>130</v>
      </c>
      <c r="DIC16">
        <v>0</v>
      </c>
      <c r="DID16">
        <v>0</v>
      </c>
      <c r="DIE16">
        <v>0</v>
      </c>
      <c r="DIF16">
        <v>0</v>
      </c>
      <c r="DIG16">
        <v>0</v>
      </c>
      <c r="DIH16">
        <v>0</v>
      </c>
      <c r="DII16">
        <v>0</v>
      </c>
      <c r="DIJ16">
        <v>0</v>
      </c>
      <c r="DIK16">
        <v>0</v>
      </c>
      <c r="DIL16">
        <v>0</v>
      </c>
      <c r="DIM16">
        <v>0</v>
      </c>
      <c r="DIN16">
        <v>0</v>
      </c>
      <c r="DIO16">
        <v>0</v>
      </c>
      <c r="DIP16">
        <v>0</v>
      </c>
      <c r="DIQ16">
        <v>0</v>
      </c>
      <c r="DIR16">
        <v>0</v>
      </c>
      <c r="DIS16">
        <v>0</v>
      </c>
      <c r="DIT16">
        <v>0</v>
      </c>
      <c r="DIU16">
        <v>0</v>
      </c>
      <c r="DIV16">
        <v>0</v>
      </c>
      <c r="DIW16">
        <v>0</v>
      </c>
      <c r="DIX16">
        <v>0</v>
      </c>
      <c r="DIY16">
        <v>0</v>
      </c>
      <c r="DIZ16">
        <v>0</v>
      </c>
      <c r="DJA16">
        <v>0</v>
      </c>
      <c r="DJB16">
        <v>133</v>
      </c>
      <c r="DJC16">
        <v>133</v>
      </c>
      <c r="DJD16">
        <v>0</v>
      </c>
      <c r="DJE16">
        <v>0</v>
      </c>
      <c r="DJF16">
        <v>0</v>
      </c>
      <c r="DJG16">
        <v>0</v>
      </c>
      <c r="DJH16">
        <v>0</v>
      </c>
      <c r="DJI16">
        <v>0</v>
      </c>
      <c r="DJJ16">
        <v>0</v>
      </c>
      <c r="DJK16">
        <v>113</v>
      </c>
      <c r="DJL16">
        <v>0</v>
      </c>
      <c r="DJM16">
        <v>130.97</v>
      </c>
      <c r="DJN16">
        <v>83</v>
      </c>
      <c r="DJO16">
        <v>0</v>
      </c>
      <c r="DJP16">
        <v>135.01</v>
      </c>
      <c r="DJQ16">
        <v>0</v>
      </c>
      <c r="DJR16">
        <v>8</v>
      </c>
      <c r="DJS16">
        <v>0</v>
      </c>
      <c r="DJT16">
        <v>0</v>
      </c>
      <c r="DJU16">
        <v>0</v>
      </c>
      <c r="DJV16">
        <v>0</v>
      </c>
      <c r="DJW16">
        <v>40</v>
      </c>
      <c r="DJX16">
        <v>0</v>
      </c>
      <c r="DJY16">
        <v>0</v>
      </c>
      <c r="DJZ16">
        <v>0</v>
      </c>
      <c r="DKA16">
        <v>0</v>
      </c>
      <c r="DKB16">
        <v>0</v>
      </c>
      <c r="DKC16">
        <v>0</v>
      </c>
      <c r="DKD16">
        <v>0</v>
      </c>
      <c r="DKE16">
        <v>0</v>
      </c>
      <c r="DKF16">
        <v>0</v>
      </c>
      <c r="DKG16">
        <v>0</v>
      </c>
      <c r="DKH16">
        <v>0</v>
      </c>
      <c r="DKI16">
        <v>0</v>
      </c>
      <c r="DKJ16">
        <v>0</v>
      </c>
      <c r="DKK16">
        <v>0</v>
      </c>
      <c r="DKL16">
        <v>0</v>
      </c>
      <c r="DKM16">
        <v>27</v>
      </c>
      <c r="DKN16">
        <v>0</v>
      </c>
      <c r="DKO16">
        <v>0</v>
      </c>
      <c r="DKP16">
        <v>138.97999999999999</v>
      </c>
      <c r="DKQ16">
        <v>0</v>
      </c>
      <c r="DKR16">
        <v>0</v>
      </c>
      <c r="DKS16">
        <v>0</v>
      </c>
      <c r="DKT16">
        <v>0</v>
      </c>
      <c r="DKU16">
        <v>0</v>
      </c>
      <c r="DKV16">
        <v>0</v>
      </c>
      <c r="DKW16">
        <v>0</v>
      </c>
      <c r="DKX16">
        <v>0</v>
      </c>
      <c r="DKY16">
        <v>0</v>
      </c>
      <c r="DKZ16">
        <v>0</v>
      </c>
      <c r="DLA16">
        <v>0</v>
      </c>
      <c r="DLB16">
        <v>0</v>
      </c>
      <c r="DLC16">
        <v>0</v>
      </c>
      <c r="DLD16">
        <v>0</v>
      </c>
      <c r="DLE16">
        <v>0</v>
      </c>
      <c r="DLF16">
        <v>0</v>
      </c>
      <c r="DLG16">
        <v>0</v>
      </c>
      <c r="DLH16">
        <v>0</v>
      </c>
      <c r="DLI16">
        <v>0</v>
      </c>
      <c r="DLJ16">
        <v>0</v>
      </c>
      <c r="DLK16">
        <v>0</v>
      </c>
      <c r="DLL16">
        <v>0</v>
      </c>
      <c r="DLM16">
        <v>0</v>
      </c>
      <c r="DLN16">
        <v>0</v>
      </c>
      <c r="DLO16">
        <v>69.989999999999995</v>
      </c>
      <c r="DLP16">
        <v>0</v>
      </c>
      <c r="DLQ16">
        <v>0</v>
      </c>
      <c r="DLR16">
        <v>0</v>
      </c>
      <c r="DLS16">
        <v>0</v>
      </c>
      <c r="DLT16">
        <v>0</v>
      </c>
      <c r="DLU16">
        <v>0</v>
      </c>
      <c r="DLV16">
        <v>0</v>
      </c>
      <c r="DLW16">
        <v>0</v>
      </c>
      <c r="DLX16">
        <v>0</v>
      </c>
      <c r="DLY16">
        <v>0</v>
      </c>
      <c r="DLZ16">
        <v>144.99</v>
      </c>
      <c r="DMA16">
        <v>0</v>
      </c>
      <c r="DMB16">
        <v>0</v>
      </c>
      <c r="DMC16">
        <v>0</v>
      </c>
      <c r="DMD16">
        <v>0</v>
      </c>
      <c r="DME16">
        <v>0</v>
      </c>
      <c r="DMF16">
        <v>0</v>
      </c>
      <c r="DMG16">
        <v>0</v>
      </c>
      <c r="DMH16">
        <v>146</v>
      </c>
      <c r="DMI16">
        <v>0</v>
      </c>
      <c r="DMJ16">
        <v>0</v>
      </c>
      <c r="DMK16">
        <v>0</v>
      </c>
      <c r="DML16">
        <v>0</v>
      </c>
      <c r="DMM16">
        <v>0</v>
      </c>
      <c r="DMN16">
        <v>48</v>
      </c>
      <c r="DMO16">
        <v>0</v>
      </c>
      <c r="DMP16">
        <v>0</v>
      </c>
      <c r="DMQ16">
        <v>0</v>
      </c>
      <c r="DMR16">
        <v>0</v>
      </c>
      <c r="DMS16">
        <v>110.99</v>
      </c>
      <c r="DMT16">
        <v>0</v>
      </c>
      <c r="DMU16">
        <v>0</v>
      </c>
      <c r="DMV16">
        <v>0</v>
      </c>
      <c r="DMW16">
        <v>0</v>
      </c>
      <c r="DMX16">
        <v>0</v>
      </c>
      <c r="DMY16">
        <v>0</v>
      </c>
      <c r="DMZ16">
        <v>0</v>
      </c>
      <c r="DNA16">
        <v>0</v>
      </c>
      <c r="DNB16">
        <v>0</v>
      </c>
      <c r="DNC16">
        <v>0</v>
      </c>
      <c r="DND16">
        <v>0</v>
      </c>
      <c r="DNE16">
        <v>149</v>
      </c>
      <c r="DNF16">
        <v>0</v>
      </c>
      <c r="DNG16">
        <v>149.01</v>
      </c>
      <c r="DNH16">
        <v>16</v>
      </c>
      <c r="DNI16">
        <v>0</v>
      </c>
      <c r="DNJ16">
        <v>0</v>
      </c>
      <c r="DNK16">
        <v>0</v>
      </c>
      <c r="DNL16">
        <v>0</v>
      </c>
      <c r="DNM16">
        <v>0</v>
      </c>
      <c r="DNN16">
        <v>0</v>
      </c>
      <c r="DNO16">
        <v>0</v>
      </c>
      <c r="DNP16">
        <v>150</v>
      </c>
      <c r="DNQ16">
        <v>0</v>
      </c>
      <c r="DNR16">
        <v>0</v>
      </c>
      <c r="DNS16">
        <v>0</v>
      </c>
      <c r="DNT16">
        <v>0</v>
      </c>
      <c r="DNU16">
        <v>0</v>
      </c>
      <c r="DNV16">
        <v>82.99</v>
      </c>
      <c r="DNW16">
        <v>0</v>
      </c>
      <c r="DNX16">
        <v>0</v>
      </c>
      <c r="DNY16">
        <v>10</v>
      </c>
      <c r="DNZ16">
        <v>0</v>
      </c>
      <c r="DOA16">
        <v>0</v>
      </c>
      <c r="DOB16">
        <v>0</v>
      </c>
      <c r="DOC16">
        <v>0</v>
      </c>
      <c r="DOD16">
        <v>0</v>
      </c>
      <c r="DOE16">
        <v>43</v>
      </c>
      <c r="DOF16">
        <v>0</v>
      </c>
      <c r="DOG16">
        <v>152.97999999999999</v>
      </c>
      <c r="DOH16">
        <v>0</v>
      </c>
      <c r="DOI16">
        <v>0</v>
      </c>
      <c r="DOJ16">
        <v>0</v>
      </c>
      <c r="DOK16">
        <v>0</v>
      </c>
      <c r="DOL16">
        <v>0</v>
      </c>
      <c r="DOM16">
        <v>0</v>
      </c>
      <c r="DON16">
        <v>0</v>
      </c>
      <c r="DOO16">
        <v>0</v>
      </c>
      <c r="DOP16">
        <v>0</v>
      </c>
      <c r="DOQ16">
        <v>0</v>
      </c>
      <c r="DOR16">
        <v>0</v>
      </c>
      <c r="DOS16">
        <v>154.99</v>
      </c>
      <c r="DOT16">
        <v>0</v>
      </c>
      <c r="DOU16">
        <v>0</v>
      </c>
      <c r="DOV16">
        <v>0</v>
      </c>
      <c r="DOW16">
        <v>0</v>
      </c>
      <c r="DOX16">
        <v>0</v>
      </c>
      <c r="DOY16">
        <v>0</v>
      </c>
      <c r="DOZ16">
        <v>0</v>
      </c>
      <c r="DPA16">
        <v>0</v>
      </c>
      <c r="DPB16">
        <v>0</v>
      </c>
      <c r="DPC16">
        <v>0</v>
      </c>
      <c r="DPD16">
        <v>0</v>
      </c>
      <c r="DPE16">
        <v>0</v>
      </c>
      <c r="DPF16">
        <v>0</v>
      </c>
      <c r="DPG16">
        <v>0</v>
      </c>
      <c r="DPH16">
        <v>0</v>
      </c>
      <c r="DPI16">
        <v>0</v>
      </c>
      <c r="DPJ16">
        <v>0</v>
      </c>
      <c r="DPK16">
        <v>0</v>
      </c>
      <c r="DPL16">
        <v>0</v>
      </c>
      <c r="DPM16">
        <v>0</v>
      </c>
      <c r="DPN16">
        <v>0</v>
      </c>
      <c r="DPO16">
        <v>21</v>
      </c>
      <c r="DPP16">
        <v>0</v>
      </c>
      <c r="DPQ16">
        <v>0</v>
      </c>
      <c r="DPR16">
        <v>0</v>
      </c>
      <c r="DPS16">
        <v>0</v>
      </c>
      <c r="DPT16">
        <v>135.99</v>
      </c>
      <c r="DPU16">
        <v>0</v>
      </c>
      <c r="DPV16">
        <v>0</v>
      </c>
      <c r="DPW16">
        <v>0</v>
      </c>
      <c r="DPX16">
        <v>0</v>
      </c>
      <c r="DPY16">
        <v>0</v>
      </c>
      <c r="DPZ16">
        <v>0</v>
      </c>
      <c r="DQA16">
        <v>0</v>
      </c>
      <c r="DQB16">
        <v>0</v>
      </c>
      <c r="DQC16">
        <v>0</v>
      </c>
      <c r="DQD16">
        <v>0</v>
      </c>
      <c r="DQE16">
        <v>0</v>
      </c>
      <c r="DQF16">
        <v>0</v>
      </c>
      <c r="DQG16">
        <v>0</v>
      </c>
      <c r="DQH16">
        <v>0</v>
      </c>
      <c r="DQI16">
        <v>0</v>
      </c>
      <c r="DQJ16">
        <v>0</v>
      </c>
      <c r="DQK16">
        <v>0</v>
      </c>
      <c r="DQL16">
        <v>0</v>
      </c>
      <c r="DQM16">
        <v>0</v>
      </c>
      <c r="DQN16">
        <v>0</v>
      </c>
      <c r="DQO16">
        <v>0</v>
      </c>
      <c r="DQP16">
        <v>0</v>
      </c>
      <c r="DQQ16">
        <v>0</v>
      </c>
      <c r="DQR16">
        <v>0</v>
      </c>
      <c r="DQS16">
        <v>0</v>
      </c>
      <c r="DQT16">
        <v>0</v>
      </c>
      <c r="DQU16">
        <v>0</v>
      </c>
      <c r="DQV16">
        <v>0</v>
      </c>
      <c r="DQW16">
        <v>0</v>
      </c>
      <c r="DQX16">
        <v>0</v>
      </c>
      <c r="DQY16">
        <v>0</v>
      </c>
      <c r="DQZ16">
        <v>0</v>
      </c>
      <c r="DRA16">
        <v>0</v>
      </c>
      <c r="DRB16">
        <v>0</v>
      </c>
      <c r="DRC16">
        <v>0</v>
      </c>
      <c r="DRD16">
        <v>0</v>
      </c>
      <c r="DRE16">
        <v>0</v>
      </c>
      <c r="DRF16">
        <v>0</v>
      </c>
      <c r="DRG16">
        <v>0</v>
      </c>
      <c r="DRH16">
        <v>0</v>
      </c>
      <c r="DRI16">
        <v>0</v>
      </c>
      <c r="DRJ16">
        <v>0</v>
      </c>
      <c r="DRK16">
        <v>63.99</v>
      </c>
      <c r="DRL16">
        <v>0</v>
      </c>
      <c r="DRM16">
        <v>19</v>
      </c>
      <c r="DRN16">
        <v>0</v>
      </c>
      <c r="DRO16">
        <v>169.01</v>
      </c>
      <c r="DRP16">
        <v>0</v>
      </c>
      <c r="DRQ16">
        <v>0</v>
      </c>
      <c r="DRR16">
        <v>0</v>
      </c>
      <c r="DRS16">
        <v>0</v>
      </c>
      <c r="DRT16">
        <v>0</v>
      </c>
      <c r="DRU16">
        <v>0</v>
      </c>
      <c r="DRV16">
        <v>0</v>
      </c>
      <c r="DRW16">
        <v>0</v>
      </c>
      <c r="DRX16">
        <v>52</v>
      </c>
      <c r="DRY16">
        <v>0</v>
      </c>
      <c r="DRZ16">
        <v>33</v>
      </c>
      <c r="DSA16">
        <v>44</v>
      </c>
      <c r="DSB16">
        <v>172.98</v>
      </c>
      <c r="DSC16">
        <v>0</v>
      </c>
      <c r="DSD16">
        <v>0</v>
      </c>
      <c r="DSE16">
        <v>0</v>
      </c>
      <c r="DSF16">
        <v>0</v>
      </c>
      <c r="DSG16">
        <v>0</v>
      </c>
      <c r="DSH16">
        <v>0</v>
      </c>
      <c r="DSI16">
        <v>0</v>
      </c>
      <c r="DSJ16">
        <v>173.98</v>
      </c>
      <c r="DSK16">
        <v>0</v>
      </c>
      <c r="DSL16">
        <v>0</v>
      </c>
      <c r="DSM16">
        <v>0</v>
      </c>
      <c r="DSN16">
        <v>0</v>
      </c>
      <c r="DSO16">
        <v>0</v>
      </c>
      <c r="DSP16">
        <v>0</v>
      </c>
      <c r="DSQ16">
        <v>37</v>
      </c>
      <c r="DSR16">
        <v>0</v>
      </c>
      <c r="DSS16">
        <v>0</v>
      </c>
      <c r="DST16">
        <v>0</v>
      </c>
      <c r="DSU16">
        <v>0</v>
      </c>
      <c r="DSV16">
        <v>0</v>
      </c>
      <c r="DSW16">
        <v>0</v>
      </c>
      <c r="DSX16">
        <v>0</v>
      </c>
      <c r="DSY16">
        <v>0</v>
      </c>
      <c r="DSZ16">
        <v>0</v>
      </c>
      <c r="DTA16">
        <v>0</v>
      </c>
      <c r="DTB16">
        <v>0</v>
      </c>
      <c r="DTC16">
        <v>0</v>
      </c>
      <c r="DTD16">
        <v>0</v>
      </c>
      <c r="DTE16">
        <v>0</v>
      </c>
      <c r="DTF16">
        <v>0</v>
      </c>
      <c r="DTG16">
        <v>0</v>
      </c>
      <c r="DTH16">
        <v>178.04</v>
      </c>
      <c r="DTI16">
        <v>0</v>
      </c>
      <c r="DTJ16">
        <v>0</v>
      </c>
      <c r="DTK16">
        <v>0</v>
      </c>
      <c r="DTL16">
        <v>0</v>
      </c>
      <c r="DTM16">
        <v>0</v>
      </c>
      <c r="DTN16">
        <v>0</v>
      </c>
      <c r="DTO16">
        <v>0</v>
      </c>
      <c r="DTP16">
        <v>0</v>
      </c>
      <c r="DTQ16">
        <v>0</v>
      </c>
      <c r="DTR16">
        <v>0</v>
      </c>
      <c r="DTS16">
        <v>0</v>
      </c>
      <c r="DTT16">
        <v>0</v>
      </c>
      <c r="DTU16">
        <v>0</v>
      </c>
      <c r="DTV16">
        <v>0</v>
      </c>
      <c r="DTW16">
        <v>180.99</v>
      </c>
      <c r="DTX16">
        <v>0</v>
      </c>
      <c r="DTY16">
        <v>0</v>
      </c>
      <c r="DTZ16">
        <v>115</v>
      </c>
      <c r="DUA16">
        <v>0</v>
      </c>
      <c r="DUB16">
        <v>0</v>
      </c>
      <c r="DUC16">
        <v>181.99</v>
      </c>
      <c r="DUD16">
        <v>0</v>
      </c>
      <c r="DUE16">
        <v>0</v>
      </c>
      <c r="DUF16">
        <v>0</v>
      </c>
      <c r="DUG16">
        <v>0</v>
      </c>
      <c r="DUH16">
        <v>0</v>
      </c>
      <c r="DUI16">
        <v>0</v>
      </c>
      <c r="DUJ16">
        <v>0</v>
      </c>
      <c r="DUK16">
        <v>0</v>
      </c>
      <c r="DUL16">
        <v>0</v>
      </c>
      <c r="DUM16">
        <v>0</v>
      </c>
      <c r="DUN16">
        <v>0</v>
      </c>
      <c r="DUO16">
        <v>0</v>
      </c>
      <c r="DUP16">
        <v>0</v>
      </c>
      <c r="DUQ16">
        <v>0</v>
      </c>
      <c r="DUR16">
        <v>0</v>
      </c>
      <c r="DUS16">
        <v>0</v>
      </c>
      <c r="DUT16">
        <v>0</v>
      </c>
      <c r="DUU16">
        <v>0</v>
      </c>
      <c r="DUV16">
        <v>0</v>
      </c>
      <c r="DUW16">
        <v>0</v>
      </c>
      <c r="DUX16">
        <v>0</v>
      </c>
      <c r="DUY16">
        <v>0</v>
      </c>
      <c r="DUZ16">
        <v>0</v>
      </c>
      <c r="DVA16">
        <v>0</v>
      </c>
      <c r="DVB16">
        <v>0</v>
      </c>
      <c r="DVC16">
        <v>0</v>
      </c>
      <c r="DVD16">
        <v>0</v>
      </c>
      <c r="DVE16">
        <v>187.99</v>
      </c>
      <c r="DVF16">
        <v>0</v>
      </c>
      <c r="DVG16">
        <v>0</v>
      </c>
      <c r="DVH16">
        <v>31</v>
      </c>
      <c r="DVI16">
        <v>0</v>
      </c>
      <c r="DVJ16">
        <v>189.98</v>
      </c>
      <c r="DVK16">
        <v>0</v>
      </c>
      <c r="DVL16">
        <v>0</v>
      </c>
      <c r="DVM16">
        <v>0</v>
      </c>
      <c r="DVN16">
        <v>0</v>
      </c>
      <c r="DVO16">
        <v>0</v>
      </c>
      <c r="DVP16">
        <v>0</v>
      </c>
      <c r="DVQ16">
        <v>0</v>
      </c>
      <c r="DVR16">
        <v>0</v>
      </c>
      <c r="DVS16">
        <v>0</v>
      </c>
      <c r="DVT16">
        <v>0</v>
      </c>
      <c r="DVU16">
        <v>0</v>
      </c>
      <c r="DVV16">
        <v>0</v>
      </c>
      <c r="DVW16">
        <v>0</v>
      </c>
      <c r="DVX16">
        <v>0</v>
      </c>
      <c r="DVY16">
        <v>0</v>
      </c>
      <c r="DVZ16">
        <v>174.99</v>
      </c>
      <c r="DWA16">
        <v>168.99</v>
      </c>
      <c r="DWB16">
        <v>194.99</v>
      </c>
      <c r="DWC16">
        <v>0</v>
      </c>
      <c r="DWD16">
        <v>0</v>
      </c>
      <c r="DWE16">
        <v>0</v>
      </c>
      <c r="DWF16">
        <v>0</v>
      </c>
      <c r="DWG16">
        <v>0</v>
      </c>
      <c r="DWH16">
        <v>0</v>
      </c>
      <c r="DWI16">
        <v>0</v>
      </c>
      <c r="DWJ16">
        <v>0</v>
      </c>
      <c r="DWK16">
        <v>0</v>
      </c>
      <c r="DWL16">
        <v>22</v>
      </c>
      <c r="DWM16">
        <v>0</v>
      </c>
      <c r="DWN16">
        <v>61</v>
      </c>
      <c r="DWO16">
        <v>0</v>
      </c>
      <c r="DWP16">
        <v>0</v>
      </c>
      <c r="DWQ16">
        <v>106</v>
      </c>
      <c r="DWR16">
        <v>0</v>
      </c>
      <c r="DWS16">
        <v>0</v>
      </c>
      <c r="DWT16">
        <v>0</v>
      </c>
      <c r="DWU16">
        <v>0</v>
      </c>
      <c r="DWV16">
        <v>0</v>
      </c>
      <c r="DWW16">
        <v>0</v>
      </c>
      <c r="DWX16">
        <v>0</v>
      </c>
      <c r="DWY16">
        <v>0</v>
      </c>
      <c r="DWZ16">
        <v>0</v>
      </c>
      <c r="DXA16">
        <v>0</v>
      </c>
      <c r="DXB16">
        <v>0</v>
      </c>
      <c r="DXC16">
        <v>0</v>
      </c>
      <c r="DXD16">
        <v>0</v>
      </c>
      <c r="DXE16">
        <v>0</v>
      </c>
      <c r="DXF16">
        <v>0</v>
      </c>
      <c r="DXG16">
        <v>0</v>
      </c>
      <c r="DXH16">
        <v>0</v>
      </c>
      <c r="DXI16">
        <v>0</v>
      </c>
      <c r="DXJ16">
        <v>0</v>
      </c>
      <c r="DXK16">
        <v>0</v>
      </c>
      <c r="DXL16">
        <v>0</v>
      </c>
      <c r="DXM16">
        <v>0</v>
      </c>
      <c r="DXN16">
        <v>0</v>
      </c>
      <c r="DXO16">
        <v>0</v>
      </c>
      <c r="DXP16">
        <v>0</v>
      </c>
      <c r="DXQ16">
        <v>0</v>
      </c>
      <c r="DXR16">
        <v>0</v>
      </c>
      <c r="DXS16">
        <v>0</v>
      </c>
      <c r="DXT16">
        <v>0</v>
      </c>
      <c r="DXU16">
        <v>0</v>
      </c>
      <c r="DXV16">
        <v>0</v>
      </c>
      <c r="DXW16">
        <v>0</v>
      </c>
      <c r="DXX16">
        <v>0</v>
      </c>
      <c r="DXY16">
        <v>0</v>
      </c>
      <c r="DXZ16">
        <v>0</v>
      </c>
      <c r="DYA16">
        <v>22</v>
      </c>
      <c r="DYB16">
        <v>0</v>
      </c>
      <c r="DYC16">
        <v>207.99</v>
      </c>
      <c r="DYD16">
        <v>87</v>
      </c>
      <c r="DYE16">
        <v>208.98</v>
      </c>
      <c r="DYF16">
        <v>208.99</v>
      </c>
      <c r="DYG16">
        <v>0</v>
      </c>
      <c r="DYH16">
        <v>0</v>
      </c>
      <c r="DYI16">
        <v>0</v>
      </c>
      <c r="DYJ16">
        <v>0</v>
      </c>
      <c r="DYK16">
        <v>0</v>
      </c>
      <c r="DYL16">
        <v>0</v>
      </c>
      <c r="DYM16">
        <v>210.98</v>
      </c>
      <c r="DYN16">
        <v>0</v>
      </c>
      <c r="DYO16">
        <v>18</v>
      </c>
      <c r="DYP16">
        <v>211.01</v>
      </c>
      <c r="DYQ16">
        <v>0</v>
      </c>
      <c r="DYR16">
        <v>211.99</v>
      </c>
      <c r="DYS16">
        <v>0</v>
      </c>
      <c r="DYT16">
        <v>0</v>
      </c>
      <c r="DYU16">
        <v>0</v>
      </c>
      <c r="DYV16">
        <v>0</v>
      </c>
      <c r="DYW16">
        <v>0</v>
      </c>
      <c r="DYX16">
        <v>0</v>
      </c>
      <c r="DYY16">
        <v>0</v>
      </c>
      <c r="DYZ16">
        <v>0</v>
      </c>
      <c r="DZA16">
        <v>214.99</v>
      </c>
      <c r="DZB16">
        <v>0</v>
      </c>
      <c r="DZC16">
        <v>0</v>
      </c>
      <c r="DZD16">
        <v>0</v>
      </c>
      <c r="DZE16">
        <v>215.97</v>
      </c>
      <c r="DZF16">
        <v>0</v>
      </c>
      <c r="DZG16">
        <v>0</v>
      </c>
      <c r="DZH16">
        <v>0</v>
      </c>
      <c r="DZI16">
        <v>0</v>
      </c>
      <c r="DZJ16">
        <v>0</v>
      </c>
      <c r="DZK16">
        <v>0</v>
      </c>
      <c r="DZL16">
        <v>0</v>
      </c>
      <c r="DZM16">
        <v>0</v>
      </c>
      <c r="DZN16">
        <v>0</v>
      </c>
      <c r="DZO16">
        <v>217</v>
      </c>
      <c r="DZP16">
        <v>0</v>
      </c>
      <c r="DZQ16">
        <v>0</v>
      </c>
      <c r="DZR16">
        <v>0</v>
      </c>
      <c r="DZS16">
        <v>0</v>
      </c>
      <c r="DZT16">
        <v>0</v>
      </c>
      <c r="DZU16">
        <v>0</v>
      </c>
      <c r="DZV16">
        <v>0</v>
      </c>
      <c r="DZW16">
        <v>0</v>
      </c>
      <c r="DZX16">
        <v>0</v>
      </c>
      <c r="DZY16">
        <v>0</v>
      </c>
      <c r="DZZ16">
        <v>0</v>
      </c>
      <c r="EAA16">
        <v>0</v>
      </c>
      <c r="EAB16">
        <v>0</v>
      </c>
      <c r="EAC16">
        <v>0</v>
      </c>
      <c r="EAD16">
        <v>76.989999999999995</v>
      </c>
      <c r="EAE16">
        <v>0</v>
      </c>
      <c r="EAF16">
        <v>0</v>
      </c>
      <c r="EAG16">
        <v>0</v>
      </c>
      <c r="EAH16">
        <v>0</v>
      </c>
      <c r="EAI16">
        <v>43</v>
      </c>
      <c r="EAJ16">
        <v>0</v>
      </c>
      <c r="EAK16">
        <v>0</v>
      </c>
      <c r="EAL16">
        <v>48</v>
      </c>
      <c r="EAM16">
        <v>0</v>
      </c>
      <c r="EAN16">
        <v>0</v>
      </c>
      <c r="EAO16">
        <v>0</v>
      </c>
      <c r="EAP16">
        <v>0</v>
      </c>
      <c r="EAQ16">
        <v>0</v>
      </c>
      <c r="EAR16">
        <v>17.989999999999998</v>
      </c>
      <c r="EAS16">
        <v>0</v>
      </c>
      <c r="EAT16">
        <v>0</v>
      </c>
      <c r="EAU16">
        <v>0</v>
      </c>
      <c r="EAV16">
        <v>0</v>
      </c>
      <c r="EAW16">
        <v>80.989999999999995</v>
      </c>
      <c r="EAX16">
        <v>0</v>
      </c>
      <c r="EAY16">
        <v>0</v>
      </c>
      <c r="EAZ16">
        <v>0</v>
      </c>
      <c r="EBA16">
        <v>0</v>
      </c>
      <c r="EBB16">
        <v>0</v>
      </c>
      <c r="EBC16">
        <v>71</v>
      </c>
      <c r="EBD16">
        <v>0</v>
      </c>
      <c r="EBE16">
        <v>37.99</v>
      </c>
      <c r="EBF16">
        <v>0</v>
      </c>
      <c r="EBG16">
        <v>0</v>
      </c>
      <c r="EBH16">
        <v>0</v>
      </c>
      <c r="EBI16">
        <v>0</v>
      </c>
      <c r="EBJ16">
        <v>0</v>
      </c>
      <c r="EBK16">
        <v>0</v>
      </c>
      <c r="EBL16">
        <v>0</v>
      </c>
      <c r="EBM16">
        <v>0</v>
      </c>
      <c r="EBN16">
        <v>141.99</v>
      </c>
      <c r="EBO16">
        <v>233.99</v>
      </c>
      <c r="EBP16">
        <v>0</v>
      </c>
      <c r="EBQ16">
        <v>0</v>
      </c>
      <c r="EBR16">
        <v>0</v>
      </c>
      <c r="EBS16">
        <v>0</v>
      </c>
      <c r="EBT16">
        <v>0</v>
      </c>
      <c r="EBU16">
        <v>0</v>
      </c>
      <c r="EBV16">
        <v>0</v>
      </c>
      <c r="EBW16">
        <v>0</v>
      </c>
      <c r="EBX16">
        <v>0</v>
      </c>
      <c r="EBY16">
        <v>111.99</v>
      </c>
      <c r="EBZ16">
        <v>0</v>
      </c>
      <c r="ECA16">
        <v>0</v>
      </c>
      <c r="ECB16">
        <v>0</v>
      </c>
      <c r="ECC16">
        <v>0</v>
      </c>
      <c r="ECD16">
        <v>0</v>
      </c>
      <c r="ECE16">
        <v>0</v>
      </c>
      <c r="ECF16">
        <v>0</v>
      </c>
      <c r="ECG16">
        <v>0</v>
      </c>
      <c r="ECH16">
        <v>0</v>
      </c>
      <c r="ECI16">
        <v>0</v>
      </c>
      <c r="ECJ16">
        <v>0</v>
      </c>
      <c r="ECK16">
        <v>0</v>
      </c>
      <c r="ECL16">
        <v>85.99</v>
      </c>
      <c r="ECM16">
        <v>0</v>
      </c>
      <c r="ECN16">
        <v>0</v>
      </c>
      <c r="ECO16">
        <v>0</v>
      </c>
      <c r="ECP16">
        <v>0</v>
      </c>
      <c r="ECQ16">
        <v>0</v>
      </c>
      <c r="ECR16">
        <v>0</v>
      </c>
      <c r="ECS16">
        <v>0</v>
      </c>
      <c r="ECT16">
        <v>0</v>
      </c>
      <c r="ECU16">
        <v>0</v>
      </c>
      <c r="ECV16">
        <v>0</v>
      </c>
      <c r="ECW16">
        <v>0</v>
      </c>
      <c r="ECX16">
        <v>118</v>
      </c>
      <c r="ECY16">
        <v>203.99</v>
      </c>
      <c r="ECZ16">
        <v>0</v>
      </c>
      <c r="EDA16">
        <v>0</v>
      </c>
      <c r="EDB16">
        <v>0</v>
      </c>
      <c r="EDC16">
        <v>0</v>
      </c>
      <c r="EDD16">
        <v>0</v>
      </c>
      <c r="EDE16">
        <v>0</v>
      </c>
      <c r="EDF16">
        <v>0</v>
      </c>
      <c r="EDG16">
        <v>0</v>
      </c>
      <c r="EDH16">
        <v>0</v>
      </c>
      <c r="EDI16">
        <v>0</v>
      </c>
      <c r="EDJ16">
        <v>250.99</v>
      </c>
      <c r="EDK16">
        <v>0</v>
      </c>
      <c r="EDL16">
        <v>0</v>
      </c>
      <c r="EDM16">
        <v>7</v>
      </c>
      <c r="EDN16">
        <v>0</v>
      </c>
      <c r="EDO16">
        <v>0</v>
      </c>
      <c r="EDP16">
        <v>0</v>
      </c>
      <c r="EDQ16">
        <v>252.98</v>
      </c>
      <c r="EDR16">
        <v>87.01</v>
      </c>
      <c r="EDS16">
        <v>0</v>
      </c>
      <c r="EDT16">
        <v>0</v>
      </c>
      <c r="EDU16">
        <v>0</v>
      </c>
      <c r="EDV16">
        <v>0</v>
      </c>
      <c r="EDW16">
        <v>0</v>
      </c>
      <c r="EDX16">
        <v>0</v>
      </c>
      <c r="EDY16">
        <v>0</v>
      </c>
      <c r="EDZ16">
        <v>0</v>
      </c>
      <c r="EEA16">
        <v>0</v>
      </c>
      <c r="EEB16">
        <v>0</v>
      </c>
      <c r="EEC16">
        <v>0</v>
      </c>
      <c r="EED16">
        <v>0</v>
      </c>
      <c r="EEE16">
        <v>0</v>
      </c>
      <c r="EEF16">
        <v>0</v>
      </c>
      <c r="EEG16">
        <v>0</v>
      </c>
      <c r="EEH16">
        <v>0</v>
      </c>
      <c r="EEI16">
        <v>0</v>
      </c>
      <c r="EEJ16">
        <v>0</v>
      </c>
      <c r="EEK16">
        <v>0</v>
      </c>
      <c r="EEL16">
        <v>0</v>
      </c>
      <c r="EEM16">
        <v>0</v>
      </c>
      <c r="EEN16">
        <v>0</v>
      </c>
      <c r="EEO16">
        <v>0</v>
      </c>
      <c r="EEP16">
        <v>0</v>
      </c>
      <c r="EEQ16">
        <v>64</v>
      </c>
      <c r="EER16">
        <v>0</v>
      </c>
      <c r="EES16">
        <v>0</v>
      </c>
      <c r="EET16">
        <v>0</v>
      </c>
      <c r="EEU16">
        <v>0</v>
      </c>
      <c r="EEV16">
        <v>0</v>
      </c>
      <c r="EEW16">
        <v>0</v>
      </c>
      <c r="EEX16">
        <v>0</v>
      </c>
      <c r="EEY16">
        <v>0</v>
      </c>
      <c r="EEZ16">
        <v>0</v>
      </c>
      <c r="EFA16">
        <v>0</v>
      </c>
      <c r="EFB16">
        <v>0</v>
      </c>
      <c r="EFC16">
        <v>0</v>
      </c>
      <c r="EFD16">
        <v>0</v>
      </c>
      <c r="EFE16">
        <v>0</v>
      </c>
      <c r="EFF16">
        <v>0</v>
      </c>
      <c r="EFG16">
        <v>0</v>
      </c>
      <c r="EFH16">
        <v>0</v>
      </c>
      <c r="EFI16">
        <v>0</v>
      </c>
      <c r="EFJ16">
        <v>0</v>
      </c>
      <c r="EFK16">
        <v>0</v>
      </c>
      <c r="EFL16">
        <v>0</v>
      </c>
      <c r="EFM16">
        <v>0</v>
      </c>
      <c r="EFN16">
        <v>0</v>
      </c>
      <c r="EFO16">
        <v>0</v>
      </c>
      <c r="EFP16">
        <v>0</v>
      </c>
      <c r="EFQ16">
        <v>0</v>
      </c>
      <c r="EFR16">
        <v>0</v>
      </c>
      <c r="EFS16">
        <v>0</v>
      </c>
      <c r="EFT16">
        <v>0</v>
      </c>
      <c r="EFU16">
        <v>0</v>
      </c>
      <c r="EFV16">
        <v>0</v>
      </c>
      <c r="EFW16">
        <v>0</v>
      </c>
      <c r="EFX16">
        <v>0</v>
      </c>
      <c r="EFY16">
        <v>0</v>
      </c>
      <c r="EFZ16">
        <v>0</v>
      </c>
      <c r="EGA16">
        <v>269.98</v>
      </c>
      <c r="EGB16">
        <v>0</v>
      </c>
      <c r="EGC16">
        <v>0</v>
      </c>
      <c r="EGD16">
        <v>0</v>
      </c>
      <c r="EGE16">
        <v>0</v>
      </c>
      <c r="EGF16">
        <v>0</v>
      </c>
      <c r="EGG16">
        <v>0</v>
      </c>
      <c r="EGH16">
        <v>0</v>
      </c>
      <c r="EGI16">
        <v>0</v>
      </c>
      <c r="EGJ16">
        <v>273.98</v>
      </c>
      <c r="EGK16">
        <v>0</v>
      </c>
      <c r="EGL16">
        <v>0</v>
      </c>
      <c r="EGM16">
        <v>0</v>
      </c>
      <c r="EGN16">
        <v>0</v>
      </c>
      <c r="EGO16">
        <v>0</v>
      </c>
      <c r="EGP16">
        <v>0</v>
      </c>
      <c r="EGQ16">
        <v>0</v>
      </c>
      <c r="EGR16">
        <v>0</v>
      </c>
      <c r="EGS16">
        <v>23</v>
      </c>
      <c r="EGT16">
        <v>0</v>
      </c>
      <c r="EGU16">
        <v>44</v>
      </c>
      <c r="EGV16">
        <v>0</v>
      </c>
      <c r="EGW16">
        <v>0</v>
      </c>
      <c r="EGX16">
        <v>0</v>
      </c>
      <c r="EGY16">
        <v>280.98</v>
      </c>
      <c r="EGZ16">
        <v>0</v>
      </c>
      <c r="EHA16">
        <v>0</v>
      </c>
      <c r="EHB16">
        <v>41</v>
      </c>
      <c r="EHC16">
        <v>0</v>
      </c>
      <c r="EHD16">
        <v>0</v>
      </c>
      <c r="EHE16">
        <v>0</v>
      </c>
      <c r="EHF16">
        <v>0</v>
      </c>
      <c r="EHG16">
        <v>0</v>
      </c>
      <c r="EHH16">
        <v>0</v>
      </c>
      <c r="EHI16">
        <v>0</v>
      </c>
      <c r="EHJ16">
        <v>0</v>
      </c>
      <c r="EHK16">
        <v>0</v>
      </c>
      <c r="EHL16">
        <v>12</v>
      </c>
      <c r="EHM16">
        <v>0</v>
      </c>
      <c r="EHN16">
        <v>0</v>
      </c>
      <c r="EHO16">
        <v>0</v>
      </c>
      <c r="EHP16">
        <v>0</v>
      </c>
      <c r="EHQ16">
        <v>0</v>
      </c>
      <c r="EHR16">
        <v>288.99</v>
      </c>
      <c r="EHS16">
        <v>0</v>
      </c>
      <c r="EHT16">
        <v>0</v>
      </c>
      <c r="EHU16">
        <v>0</v>
      </c>
      <c r="EHV16">
        <v>0</v>
      </c>
      <c r="EHW16">
        <v>0</v>
      </c>
      <c r="EHX16">
        <v>131.99</v>
      </c>
      <c r="EHY16">
        <v>0</v>
      </c>
      <c r="EHZ16">
        <v>0</v>
      </c>
      <c r="EIA16">
        <v>0</v>
      </c>
      <c r="EIB16">
        <v>0</v>
      </c>
      <c r="EIC16">
        <v>23</v>
      </c>
      <c r="EID16">
        <v>0</v>
      </c>
      <c r="EIE16">
        <v>137</v>
      </c>
      <c r="EIF16">
        <v>0</v>
      </c>
      <c r="EIG16">
        <v>0</v>
      </c>
      <c r="EIH16">
        <v>0</v>
      </c>
      <c r="EII16">
        <v>7</v>
      </c>
      <c r="EIJ16">
        <v>0</v>
      </c>
      <c r="EIK16">
        <v>87.99</v>
      </c>
      <c r="EIL16">
        <v>0</v>
      </c>
      <c r="EIM16">
        <v>0</v>
      </c>
      <c r="EIN16">
        <v>0</v>
      </c>
      <c r="EIO16">
        <v>0</v>
      </c>
      <c r="EIP16">
        <v>0</v>
      </c>
      <c r="EIQ16">
        <v>44.98</v>
      </c>
      <c r="EIR16">
        <v>21</v>
      </c>
      <c r="EIS16">
        <v>0</v>
      </c>
      <c r="EIT16">
        <v>16.989999999999998</v>
      </c>
      <c r="EIU16">
        <v>0</v>
      </c>
      <c r="EIV16">
        <v>0</v>
      </c>
      <c r="EIW16">
        <v>0</v>
      </c>
      <c r="EIX16">
        <v>0</v>
      </c>
      <c r="EIY16">
        <v>0</v>
      </c>
      <c r="EIZ16">
        <v>0</v>
      </c>
      <c r="EJA16">
        <v>0</v>
      </c>
      <c r="EJB16">
        <v>0</v>
      </c>
      <c r="EJC16">
        <v>0</v>
      </c>
      <c r="EJD16">
        <v>0</v>
      </c>
      <c r="EJE16">
        <v>0</v>
      </c>
      <c r="EJF16">
        <v>0</v>
      </c>
      <c r="EJG16">
        <v>0</v>
      </c>
      <c r="EJH16">
        <v>0</v>
      </c>
      <c r="EJI16">
        <v>0</v>
      </c>
      <c r="EJJ16">
        <v>0</v>
      </c>
      <c r="EJK16">
        <v>0</v>
      </c>
      <c r="EJL16">
        <v>0</v>
      </c>
      <c r="EJM16">
        <v>0</v>
      </c>
      <c r="EJN16">
        <v>0</v>
      </c>
      <c r="EJO16">
        <v>0</v>
      </c>
      <c r="EJP16">
        <v>0</v>
      </c>
      <c r="EJQ16">
        <v>0</v>
      </c>
      <c r="EJR16">
        <v>0</v>
      </c>
      <c r="EJS16">
        <v>295.99</v>
      </c>
      <c r="EJT16">
        <v>0</v>
      </c>
      <c r="EJU16">
        <v>0</v>
      </c>
      <c r="EJV16">
        <v>0</v>
      </c>
      <c r="EJW16">
        <v>0</v>
      </c>
      <c r="EJX16">
        <v>0</v>
      </c>
      <c r="EJY16">
        <v>0</v>
      </c>
      <c r="EJZ16">
        <v>0</v>
      </c>
      <c r="EKA16">
        <v>249.98</v>
      </c>
      <c r="EKB16">
        <v>315.98</v>
      </c>
      <c r="EKC16">
        <v>0</v>
      </c>
      <c r="EKD16">
        <v>0</v>
      </c>
      <c r="EKE16">
        <v>316.02</v>
      </c>
      <c r="EKF16">
        <v>0</v>
      </c>
      <c r="EKG16">
        <v>18</v>
      </c>
      <c r="EKH16">
        <v>0</v>
      </c>
      <c r="EKI16">
        <v>0</v>
      </c>
      <c r="EKJ16">
        <v>0</v>
      </c>
      <c r="EKK16">
        <v>0</v>
      </c>
      <c r="EKL16">
        <v>0</v>
      </c>
      <c r="EKM16">
        <v>0</v>
      </c>
      <c r="EKN16">
        <v>320.98</v>
      </c>
      <c r="EKO16">
        <v>0</v>
      </c>
      <c r="EKP16">
        <v>0</v>
      </c>
      <c r="EKQ16">
        <v>0</v>
      </c>
      <c r="EKR16">
        <v>0</v>
      </c>
      <c r="EKS16">
        <v>0</v>
      </c>
      <c r="EKT16">
        <v>323.98</v>
      </c>
      <c r="EKU16">
        <v>0</v>
      </c>
      <c r="EKV16">
        <v>0</v>
      </c>
      <c r="EKW16">
        <v>24</v>
      </c>
      <c r="EKX16">
        <v>7</v>
      </c>
      <c r="EKY16">
        <v>0</v>
      </c>
      <c r="EKZ16">
        <v>0</v>
      </c>
      <c r="ELA16">
        <v>0</v>
      </c>
      <c r="ELB16">
        <v>0</v>
      </c>
      <c r="ELC16">
        <v>0</v>
      </c>
      <c r="ELD16">
        <v>0</v>
      </c>
      <c r="ELE16">
        <v>326.98</v>
      </c>
      <c r="ELF16">
        <v>0</v>
      </c>
      <c r="ELG16">
        <v>0</v>
      </c>
      <c r="ELH16">
        <v>0</v>
      </c>
      <c r="ELI16">
        <v>0</v>
      </c>
      <c r="ELJ16">
        <v>0</v>
      </c>
      <c r="ELK16">
        <v>0</v>
      </c>
      <c r="ELL16">
        <v>0</v>
      </c>
      <c r="ELM16">
        <v>329.98</v>
      </c>
      <c r="ELN16">
        <v>106.99</v>
      </c>
      <c r="ELO16">
        <v>0</v>
      </c>
      <c r="ELP16">
        <v>0</v>
      </c>
      <c r="ELQ16">
        <v>0</v>
      </c>
      <c r="ELR16">
        <v>331.98</v>
      </c>
      <c r="ELS16">
        <v>0</v>
      </c>
      <c r="ELT16">
        <v>58</v>
      </c>
      <c r="ELU16">
        <v>198.98</v>
      </c>
      <c r="ELV16">
        <v>0</v>
      </c>
      <c r="ELW16">
        <v>0</v>
      </c>
      <c r="ELX16">
        <v>0</v>
      </c>
      <c r="ELY16">
        <v>0</v>
      </c>
      <c r="ELZ16">
        <v>336.99</v>
      </c>
      <c r="EMA16">
        <v>0</v>
      </c>
      <c r="EMB16">
        <v>0</v>
      </c>
      <c r="EMC16">
        <v>0</v>
      </c>
      <c r="EMD16">
        <v>0</v>
      </c>
      <c r="EME16">
        <v>0</v>
      </c>
      <c r="EMF16">
        <v>0</v>
      </c>
      <c r="EMG16">
        <v>0</v>
      </c>
      <c r="EMH16">
        <v>0</v>
      </c>
      <c r="EMI16">
        <v>28.99</v>
      </c>
      <c r="EMJ16">
        <v>0</v>
      </c>
      <c r="EMK16">
        <v>32.01</v>
      </c>
      <c r="EML16">
        <v>0</v>
      </c>
      <c r="EMM16">
        <v>61</v>
      </c>
      <c r="EMN16">
        <v>0</v>
      </c>
      <c r="EMO16">
        <v>0</v>
      </c>
      <c r="EMP16">
        <v>0</v>
      </c>
      <c r="EMQ16">
        <v>0</v>
      </c>
      <c r="EMR16">
        <v>0</v>
      </c>
      <c r="EMS16">
        <v>0</v>
      </c>
      <c r="EMT16">
        <v>37</v>
      </c>
      <c r="EMU16">
        <v>0</v>
      </c>
      <c r="EMV16">
        <v>0</v>
      </c>
      <c r="EMW16">
        <v>0</v>
      </c>
      <c r="EMX16">
        <v>0</v>
      </c>
      <c r="EMY16">
        <v>0</v>
      </c>
      <c r="EMZ16">
        <v>0</v>
      </c>
      <c r="ENA16">
        <v>0</v>
      </c>
      <c r="ENB16">
        <v>0</v>
      </c>
      <c r="ENC16">
        <v>0</v>
      </c>
      <c r="END16">
        <v>0</v>
      </c>
      <c r="ENE16">
        <v>115.99</v>
      </c>
      <c r="ENF16">
        <v>353.96</v>
      </c>
      <c r="ENG16">
        <v>0</v>
      </c>
      <c r="ENH16">
        <v>240.98</v>
      </c>
      <c r="ENI16">
        <v>207.99</v>
      </c>
      <c r="ENJ16">
        <v>0</v>
      </c>
      <c r="ENK16">
        <v>0</v>
      </c>
      <c r="ENL16">
        <v>0</v>
      </c>
      <c r="ENM16">
        <v>0</v>
      </c>
      <c r="ENN16">
        <v>0</v>
      </c>
      <c r="ENO16">
        <v>0</v>
      </c>
      <c r="ENP16">
        <v>0</v>
      </c>
      <c r="ENQ16">
        <v>0</v>
      </c>
      <c r="ENR16">
        <v>0</v>
      </c>
      <c r="ENS16">
        <v>0</v>
      </c>
      <c r="ENT16">
        <v>0</v>
      </c>
      <c r="ENU16">
        <v>183.99</v>
      </c>
      <c r="ENV16">
        <v>0</v>
      </c>
      <c r="ENW16">
        <v>0</v>
      </c>
      <c r="ENX16">
        <v>0</v>
      </c>
      <c r="ENY16">
        <v>0</v>
      </c>
      <c r="ENZ16">
        <v>0</v>
      </c>
      <c r="EOA16">
        <v>0</v>
      </c>
      <c r="EOB16">
        <v>0</v>
      </c>
      <c r="EOC16">
        <v>0</v>
      </c>
      <c r="EOD16">
        <v>0</v>
      </c>
      <c r="EOE16">
        <v>0</v>
      </c>
      <c r="EOF16">
        <v>0</v>
      </c>
      <c r="EOG16">
        <v>0</v>
      </c>
      <c r="EOH16">
        <v>31</v>
      </c>
      <c r="EOI16">
        <v>15</v>
      </c>
      <c r="EOJ16">
        <v>285.98</v>
      </c>
      <c r="EOK16">
        <v>0</v>
      </c>
      <c r="EOL16">
        <v>0</v>
      </c>
      <c r="EOM16">
        <v>0</v>
      </c>
      <c r="EON16">
        <v>0</v>
      </c>
      <c r="EOO16">
        <v>35.99</v>
      </c>
      <c r="EOP16">
        <v>0</v>
      </c>
      <c r="EOQ16">
        <v>0</v>
      </c>
      <c r="EOR16">
        <v>373.98</v>
      </c>
      <c r="EOS16">
        <v>0</v>
      </c>
      <c r="EOT16">
        <v>0</v>
      </c>
      <c r="EOU16">
        <v>0</v>
      </c>
      <c r="EOV16">
        <v>0</v>
      </c>
      <c r="EOW16">
        <v>0</v>
      </c>
      <c r="EOX16">
        <v>328.96</v>
      </c>
      <c r="EOY16">
        <v>0</v>
      </c>
      <c r="EOZ16">
        <v>0</v>
      </c>
      <c r="EPA16">
        <v>0</v>
      </c>
      <c r="EPB16">
        <v>0</v>
      </c>
      <c r="EPC16">
        <v>0</v>
      </c>
      <c r="EPD16">
        <v>0</v>
      </c>
      <c r="EPE16">
        <v>14</v>
      </c>
      <c r="EPF16">
        <v>0</v>
      </c>
      <c r="EPG16">
        <v>0</v>
      </c>
      <c r="EPH16">
        <v>0</v>
      </c>
      <c r="EPI16">
        <v>0</v>
      </c>
      <c r="EPJ16">
        <v>312.98</v>
      </c>
      <c r="EPK16">
        <v>0</v>
      </c>
      <c r="EPL16">
        <v>16</v>
      </c>
      <c r="EPM16">
        <v>0</v>
      </c>
      <c r="EPN16">
        <v>0</v>
      </c>
      <c r="EPO16">
        <v>0</v>
      </c>
      <c r="EPP16">
        <v>0</v>
      </c>
      <c r="EPQ16">
        <v>0</v>
      </c>
      <c r="EPR16">
        <v>0</v>
      </c>
      <c r="EPS16">
        <v>19</v>
      </c>
      <c r="EPT16">
        <v>0</v>
      </c>
      <c r="EPU16">
        <v>386.96</v>
      </c>
      <c r="EPV16">
        <v>0</v>
      </c>
      <c r="EPW16">
        <v>0</v>
      </c>
      <c r="EPX16">
        <v>0</v>
      </c>
      <c r="EPY16">
        <v>0</v>
      </c>
      <c r="EPZ16">
        <v>0</v>
      </c>
      <c r="EQA16">
        <v>0</v>
      </c>
      <c r="EQB16">
        <v>0</v>
      </c>
      <c r="EQC16">
        <v>388.98</v>
      </c>
      <c r="EQD16">
        <v>0</v>
      </c>
      <c r="EQE16">
        <v>0</v>
      </c>
      <c r="EQF16">
        <v>0</v>
      </c>
      <c r="EQG16">
        <v>0</v>
      </c>
      <c r="EQH16">
        <v>52.99</v>
      </c>
      <c r="EQI16">
        <v>0</v>
      </c>
      <c r="EQJ16">
        <v>0</v>
      </c>
      <c r="EQK16">
        <v>11</v>
      </c>
      <c r="EQL16">
        <v>0</v>
      </c>
      <c r="EQM16">
        <v>0</v>
      </c>
      <c r="EQN16">
        <v>47.01</v>
      </c>
      <c r="EQO16">
        <v>0</v>
      </c>
      <c r="EQP16">
        <v>83.99</v>
      </c>
      <c r="EQQ16">
        <v>0</v>
      </c>
      <c r="EQR16">
        <v>0</v>
      </c>
      <c r="EQS16">
        <v>0</v>
      </c>
      <c r="EQT16">
        <v>0</v>
      </c>
      <c r="EQU16">
        <v>0</v>
      </c>
      <c r="EQV16">
        <v>0</v>
      </c>
      <c r="EQW16">
        <v>0</v>
      </c>
      <c r="EQX16">
        <v>0</v>
      </c>
      <c r="EQY16">
        <v>0</v>
      </c>
      <c r="EQZ16">
        <v>397.96</v>
      </c>
      <c r="ERA16">
        <v>243.97</v>
      </c>
      <c r="ERB16">
        <v>0</v>
      </c>
      <c r="ERC16">
        <v>59</v>
      </c>
      <c r="ERD16">
        <v>0</v>
      </c>
      <c r="ERE16">
        <v>0</v>
      </c>
      <c r="ERF16">
        <v>0</v>
      </c>
      <c r="ERG16">
        <v>19.989999999999998</v>
      </c>
      <c r="ERH16">
        <v>27</v>
      </c>
      <c r="ERI16">
        <v>0</v>
      </c>
      <c r="ERJ16">
        <v>319.95999999999998</v>
      </c>
      <c r="ERK16">
        <v>0</v>
      </c>
      <c r="ERL16">
        <v>0</v>
      </c>
      <c r="ERM16">
        <v>0</v>
      </c>
      <c r="ERN16">
        <v>0</v>
      </c>
      <c r="ERO16">
        <v>0</v>
      </c>
      <c r="ERP16">
        <v>0</v>
      </c>
      <c r="ERQ16">
        <v>0</v>
      </c>
      <c r="ERR16">
        <v>206.01</v>
      </c>
      <c r="ERS16">
        <v>0</v>
      </c>
      <c r="ERT16">
        <v>0</v>
      </c>
      <c r="ERU16">
        <v>0</v>
      </c>
      <c r="ERV16">
        <v>0</v>
      </c>
      <c r="ERW16">
        <v>0</v>
      </c>
      <c r="ERX16">
        <v>0</v>
      </c>
      <c r="ERY16">
        <v>0</v>
      </c>
      <c r="ERZ16">
        <v>0</v>
      </c>
      <c r="ESA16">
        <v>60</v>
      </c>
      <c r="ESB16">
        <v>0</v>
      </c>
      <c r="ESC16">
        <v>0</v>
      </c>
      <c r="ESD16">
        <v>416.96</v>
      </c>
      <c r="ESE16">
        <v>0</v>
      </c>
      <c r="ESF16">
        <v>0</v>
      </c>
      <c r="ESG16">
        <v>0</v>
      </c>
      <c r="ESH16">
        <v>0</v>
      </c>
      <c r="ESI16">
        <v>0</v>
      </c>
      <c r="ESJ16">
        <v>0</v>
      </c>
      <c r="ESK16">
        <v>0</v>
      </c>
      <c r="ESL16">
        <v>0</v>
      </c>
      <c r="ESM16">
        <v>0</v>
      </c>
      <c r="ESN16">
        <v>0</v>
      </c>
      <c r="ESO16">
        <v>0</v>
      </c>
      <c r="ESP16">
        <v>0</v>
      </c>
      <c r="ESQ16">
        <v>0</v>
      </c>
      <c r="ESR16">
        <v>0</v>
      </c>
      <c r="ESS16">
        <v>0</v>
      </c>
      <c r="EST16">
        <v>0</v>
      </c>
      <c r="ESU16">
        <v>0</v>
      </c>
      <c r="ESV16">
        <v>0</v>
      </c>
      <c r="ESW16">
        <v>0</v>
      </c>
      <c r="ESX16">
        <v>151.99</v>
      </c>
      <c r="ESY16">
        <v>0</v>
      </c>
      <c r="ESZ16">
        <v>0</v>
      </c>
      <c r="ETA16">
        <v>0</v>
      </c>
      <c r="ETB16">
        <v>0</v>
      </c>
      <c r="ETC16">
        <v>0</v>
      </c>
      <c r="ETD16">
        <v>0</v>
      </c>
      <c r="ETE16">
        <v>237.01</v>
      </c>
      <c r="ETF16">
        <v>0</v>
      </c>
      <c r="ETG16">
        <v>0</v>
      </c>
      <c r="ETH16">
        <v>0</v>
      </c>
      <c r="ETI16">
        <v>0</v>
      </c>
      <c r="ETJ16">
        <v>0</v>
      </c>
      <c r="ETK16">
        <v>0</v>
      </c>
      <c r="ETL16">
        <v>0</v>
      </c>
      <c r="ETM16">
        <v>435.99</v>
      </c>
      <c r="ETN16">
        <v>0</v>
      </c>
      <c r="ETO16">
        <v>44.99</v>
      </c>
      <c r="ETP16">
        <v>429.98</v>
      </c>
      <c r="ETQ16">
        <v>0</v>
      </c>
      <c r="ETR16">
        <v>18</v>
      </c>
      <c r="ETS16">
        <v>0</v>
      </c>
      <c r="ETT16">
        <v>0</v>
      </c>
      <c r="ETU16">
        <v>0</v>
      </c>
      <c r="ETV16">
        <v>0</v>
      </c>
      <c r="ETW16">
        <v>255.98</v>
      </c>
      <c r="ETX16">
        <v>122.99</v>
      </c>
      <c r="ETY16">
        <v>0</v>
      </c>
      <c r="ETZ16">
        <v>0</v>
      </c>
      <c r="EUA16">
        <v>0</v>
      </c>
      <c r="EUB16">
        <v>0</v>
      </c>
      <c r="EUC16">
        <v>0</v>
      </c>
      <c r="EUD16">
        <v>0</v>
      </c>
      <c r="EUE16">
        <v>0</v>
      </c>
      <c r="EUF16">
        <v>0</v>
      </c>
      <c r="EUG16">
        <v>0</v>
      </c>
      <c r="EUH16">
        <v>0</v>
      </c>
      <c r="EUI16">
        <v>0</v>
      </c>
      <c r="EUJ16">
        <v>0</v>
      </c>
      <c r="EUK16">
        <v>0</v>
      </c>
      <c r="EUL16">
        <v>76</v>
      </c>
      <c r="EUM16">
        <v>0</v>
      </c>
      <c r="EUN16">
        <v>0</v>
      </c>
      <c r="EUO16">
        <v>452.98</v>
      </c>
      <c r="EUP16">
        <v>0</v>
      </c>
      <c r="EUQ16">
        <v>0</v>
      </c>
      <c r="EUR16">
        <v>0</v>
      </c>
      <c r="EUS16">
        <v>0</v>
      </c>
      <c r="EUT16">
        <v>0</v>
      </c>
      <c r="EUU16">
        <v>0</v>
      </c>
      <c r="EUV16">
        <v>456.01</v>
      </c>
      <c r="EUW16">
        <v>74.989999999999995</v>
      </c>
      <c r="EUX16">
        <v>0</v>
      </c>
      <c r="EUY16">
        <v>53</v>
      </c>
      <c r="EUZ16">
        <v>0</v>
      </c>
      <c r="EVA16">
        <v>0</v>
      </c>
      <c r="EVB16">
        <v>0</v>
      </c>
      <c r="EVC16">
        <v>0</v>
      </c>
      <c r="EVD16">
        <v>0</v>
      </c>
      <c r="EVE16">
        <v>0</v>
      </c>
      <c r="EVF16">
        <v>0</v>
      </c>
      <c r="EVG16">
        <v>0</v>
      </c>
      <c r="EVH16">
        <v>0</v>
      </c>
      <c r="EVI16">
        <v>195.99</v>
      </c>
      <c r="EVJ16">
        <v>0</v>
      </c>
      <c r="EVK16">
        <v>470.98</v>
      </c>
      <c r="EVL16">
        <v>0</v>
      </c>
      <c r="EVM16">
        <v>0</v>
      </c>
      <c r="EVN16">
        <v>0</v>
      </c>
      <c r="EVO16">
        <v>0</v>
      </c>
      <c r="EVP16">
        <v>0</v>
      </c>
      <c r="EVQ16">
        <v>0</v>
      </c>
      <c r="EVR16">
        <v>135.99</v>
      </c>
      <c r="EVS16">
        <v>0</v>
      </c>
      <c r="EVT16">
        <v>0</v>
      </c>
      <c r="EVU16">
        <v>0</v>
      </c>
      <c r="EVV16">
        <v>0</v>
      </c>
      <c r="EVW16">
        <v>0</v>
      </c>
      <c r="EVX16">
        <v>477.96</v>
      </c>
      <c r="EVY16">
        <v>0</v>
      </c>
      <c r="EVZ16">
        <v>0</v>
      </c>
      <c r="EWA16">
        <v>80.010000000000005</v>
      </c>
      <c r="EWB16">
        <v>470.95</v>
      </c>
      <c r="EWC16">
        <v>0</v>
      </c>
      <c r="EWD16">
        <v>0</v>
      </c>
      <c r="EWE16">
        <v>0</v>
      </c>
      <c r="EWF16">
        <v>0</v>
      </c>
      <c r="EWG16">
        <v>0</v>
      </c>
      <c r="EWH16">
        <v>0</v>
      </c>
      <c r="EWI16">
        <v>0</v>
      </c>
      <c r="EWJ16">
        <v>0</v>
      </c>
      <c r="EWK16">
        <v>45.99</v>
      </c>
      <c r="EWL16">
        <v>0</v>
      </c>
      <c r="EWM16">
        <v>0</v>
      </c>
      <c r="EWN16">
        <v>0</v>
      </c>
      <c r="EWO16">
        <v>177.99</v>
      </c>
      <c r="EWP16">
        <v>0</v>
      </c>
      <c r="EWQ16">
        <v>0</v>
      </c>
      <c r="EWR16">
        <v>0</v>
      </c>
      <c r="EWS16">
        <v>0</v>
      </c>
      <c r="EWT16">
        <v>0</v>
      </c>
      <c r="EWU16">
        <v>0</v>
      </c>
      <c r="EWV16">
        <v>0</v>
      </c>
      <c r="EWW16">
        <v>0</v>
      </c>
      <c r="EWX16">
        <v>0</v>
      </c>
      <c r="EWY16">
        <v>0</v>
      </c>
      <c r="EWZ16">
        <v>0</v>
      </c>
      <c r="EXA16">
        <v>0</v>
      </c>
      <c r="EXB16">
        <v>0</v>
      </c>
      <c r="EXC16">
        <v>0</v>
      </c>
      <c r="EXD16">
        <v>500.96</v>
      </c>
      <c r="EXE16">
        <v>67</v>
      </c>
      <c r="EXF16">
        <v>0</v>
      </c>
      <c r="EXG16">
        <v>0</v>
      </c>
      <c r="EXH16">
        <v>12</v>
      </c>
      <c r="EXI16">
        <v>0</v>
      </c>
      <c r="EXJ16">
        <v>0</v>
      </c>
      <c r="EXK16">
        <v>0</v>
      </c>
      <c r="EXL16">
        <v>0</v>
      </c>
      <c r="EXM16">
        <v>0</v>
      </c>
      <c r="EXN16">
        <v>0</v>
      </c>
      <c r="EXO16">
        <v>0</v>
      </c>
      <c r="EXP16">
        <v>0</v>
      </c>
      <c r="EXQ16">
        <v>50</v>
      </c>
      <c r="EXR16">
        <v>0</v>
      </c>
      <c r="EXS16">
        <v>0</v>
      </c>
      <c r="EXT16">
        <v>0</v>
      </c>
      <c r="EXU16">
        <v>0</v>
      </c>
      <c r="EXV16">
        <v>0</v>
      </c>
      <c r="EXW16">
        <v>0</v>
      </c>
      <c r="EXX16">
        <v>516.95000000000005</v>
      </c>
      <c r="EXY16">
        <v>0</v>
      </c>
      <c r="EXZ16">
        <v>0</v>
      </c>
      <c r="EYA16">
        <v>34</v>
      </c>
      <c r="EYB16">
        <v>0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0</v>
      </c>
      <c r="EYJ16">
        <v>0</v>
      </c>
      <c r="EYK16">
        <v>0</v>
      </c>
      <c r="EYL16">
        <v>419.95</v>
      </c>
      <c r="EYM16">
        <v>0</v>
      </c>
      <c r="EYN16">
        <v>0</v>
      </c>
      <c r="EYO16">
        <v>0</v>
      </c>
      <c r="EYP16">
        <v>135.99</v>
      </c>
      <c r="EYQ16">
        <v>0</v>
      </c>
      <c r="EYR16">
        <v>0</v>
      </c>
      <c r="EYS16">
        <v>0</v>
      </c>
      <c r="EYT16">
        <v>0</v>
      </c>
      <c r="EYU16">
        <v>0</v>
      </c>
      <c r="EYV16">
        <v>0</v>
      </c>
      <c r="EYW16">
        <v>11</v>
      </c>
      <c r="EYX16">
        <v>0</v>
      </c>
      <c r="EYY16">
        <v>0</v>
      </c>
      <c r="EYZ16">
        <v>0</v>
      </c>
      <c r="EZA16">
        <v>0</v>
      </c>
      <c r="EZB16">
        <v>535.96</v>
      </c>
      <c r="EZC16">
        <v>0</v>
      </c>
      <c r="EZD16">
        <v>0</v>
      </c>
      <c r="EZE16">
        <v>0</v>
      </c>
      <c r="EZF16">
        <v>0</v>
      </c>
      <c r="EZG16">
        <v>0</v>
      </c>
      <c r="EZH16">
        <v>0</v>
      </c>
      <c r="EZI16">
        <v>0</v>
      </c>
      <c r="EZJ16">
        <v>0</v>
      </c>
      <c r="EZK16">
        <v>108</v>
      </c>
      <c r="EZL16">
        <v>0</v>
      </c>
      <c r="EZM16">
        <v>0</v>
      </c>
      <c r="EZN16">
        <v>0</v>
      </c>
      <c r="EZO16">
        <v>0</v>
      </c>
      <c r="EZP16">
        <v>0</v>
      </c>
      <c r="EZQ16">
        <v>0</v>
      </c>
      <c r="EZR16">
        <v>0</v>
      </c>
      <c r="EZS16">
        <v>260</v>
      </c>
      <c r="EZT16">
        <v>0</v>
      </c>
      <c r="EZU16">
        <v>0</v>
      </c>
      <c r="EZV16">
        <v>0</v>
      </c>
      <c r="EZW16">
        <v>0</v>
      </c>
      <c r="EZX16">
        <v>0</v>
      </c>
      <c r="EZY16">
        <v>0</v>
      </c>
      <c r="EZZ16">
        <v>0</v>
      </c>
      <c r="FAA16">
        <v>0</v>
      </c>
      <c r="FAB16">
        <v>242.99</v>
      </c>
      <c r="FAC16">
        <v>0</v>
      </c>
      <c r="FAD16">
        <v>0</v>
      </c>
      <c r="FAE16">
        <v>560.96</v>
      </c>
      <c r="FAF16">
        <v>0</v>
      </c>
      <c r="FAG16">
        <v>0</v>
      </c>
      <c r="FAH16">
        <v>0</v>
      </c>
      <c r="FAI16">
        <v>0</v>
      </c>
      <c r="FAJ16">
        <v>33</v>
      </c>
      <c r="FAK16">
        <v>0</v>
      </c>
      <c r="FAL16">
        <v>0</v>
      </c>
      <c r="FAM16">
        <v>0</v>
      </c>
      <c r="FAN16">
        <v>0</v>
      </c>
      <c r="FAO16">
        <v>0</v>
      </c>
      <c r="FAP16">
        <v>0</v>
      </c>
      <c r="FAQ16">
        <v>552.98</v>
      </c>
      <c r="FAR16">
        <v>0</v>
      </c>
      <c r="FAS16">
        <v>426.96</v>
      </c>
      <c r="FAT16">
        <v>0</v>
      </c>
      <c r="FAU16">
        <v>0</v>
      </c>
      <c r="FAV16">
        <v>0</v>
      </c>
      <c r="FAW16">
        <v>0</v>
      </c>
      <c r="FAX16">
        <v>12</v>
      </c>
      <c r="FAY16">
        <v>0</v>
      </c>
      <c r="FAZ16">
        <v>0</v>
      </c>
      <c r="FBA16">
        <v>0</v>
      </c>
      <c r="FBB16">
        <v>0</v>
      </c>
      <c r="FBC16">
        <v>0</v>
      </c>
      <c r="FBD16">
        <v>0</v>
      </c>
      <c r="FBE16">
        <v>0</v>
      </c>
      <c r="FBF16">
        <v>0</v>
      </c>
      <c r="FBG16">
        <v>0</v>
      </c>
      <c r="FBH16">
        <v>0</v>
      </c>
      <c r="FBI16">
        <v>0</v>
      </c>
      <c r="FBJ16">
        <v>0</v>
      </c>
      <c r="FBK16">
        <v>0</v>
      </c>
      <c r="FBL16">
        <v>0</v>
      </c>
      <c r="FBM16">
        <v>0</v>
      </c>
      <c r="FBN16">
        <v>35.99</v>
      </c>
      <c r="FBO16">
        <v>0</v>
      </c>
      <c r="FBP16">
        <v>582.95000000000005</v>
      </c>
      <c r="FBQ16">
        <v>0</v>
      </c>
      <c r="FBR16">
        <v>0</v>
      </c>
      <c r="FBS16">
        <v>0</v>
      </c>
      <c r="FBT16">
        <v>0</v>
      </c>
      <c r="FBU16">
        <v>32.01</v>
      </c>
      <c r="FBV16">
        <v>0</v>
      </c>
      <c r="FBW16">
        <v>0</v>
      </c>
      <c r="FBX16">
        <v>0</v>
      </c>
      <c r="FBY16">
        <v>71</v>
      </c>
      <c r="FBZ16">
        <v>0</v>
      </c>
      <c r="FCA16">
        <v>0</v>
      </c>
      <c r="FCB16">
        <v>0</v>
      </c>
      <c r="FCC16">
        <v>0</v>
      </c>
      <c r="FCD16">
        <v>0</v>
      </c>
      <c r="FCE16">
        <v>0</v>
      </c>
      <c r="FCF16">
        <v>614.96</v>
      </c>
      <c r="FCG16">
        <v>0</v>
      </c>
      <c r="FCH16">
        <v>0</v>
      </c>
      <c r="FCI16">
        <v>109.99</v>
      </c>
      <c r="FCJ16">
        <v>0</v>
      </c>
      <c r="FCK16">
        <v>0</v>
      </c>
      <c r="FCL16">
        <v>0</v>
      </c>
      <c r="FCM16">
        <v>456.96</v>
      </c>
      <c r="FCN16">
        <v>8</v>
      </c>
      <c r="FCO16">
        <v>0</v>
      </c>
      <c r="FCP16">
        <v>0</v>
      </c>
      <c r="FCQ16">
        <v>0</v>
      </c>
      <c r="FCR16">
        <v>0</v>
      </c>
      <c r="FCS16">
        <v>0</v>
      </c>
      <c r="FCT16">
        <v>0</v>
      </c>
      <c r="FCU16">
        <v>281.98</v>
      </c>
      <c r="FCV16">
        <v>0</v>
      </c>
      <c r="FCW16">
        <v>0</v>
      </c>
      <c r="FCX16">
        <v>0</v>
      </c>
      <c r="FCY16">
        <v>0</v>
      </c>
      <c r="FCZ16">
        <v>0</v>
      </c>
      <c r="FDA16">
        <v>0</v>
      </c>
      <c r="FDB16">
        <v>0</v>
      </c>
      <c r="FDC16">
        <v>0</v>
      </c>
      <c r="FDD16">
        <v>0</v>
      </c>
      <c r="FDE16">
        <v>0</v>
      </c>
      <c r="FDF16">
        <v>0</v>
      </c>
      <c r="FDG16">
        <v>0</v>
      </c>
      <c r="FDH16">
        <v>0</v>
      </c>
      <c r="FDI16">
        <v>0</v>
      </c>
      <c r="FDJ16">
        <v>0</v>
      </c>
      <c r="FDK16">
        <v>0</v>
      </c>
      <c r="FDL16">
        <v>168.99</v>
      </c>
      <c r="FDM16">
        <v>0</v>
      </c>
      <c r="FDN16">
        <v>0</v>
      </c>
      <c r="FDO16">
        <v>0</v>
      </c>
      <c r="FDP16">
        <v>0</v>
      </c>
      <c r="FDQ16">
        <v>0</v>
      </c>
      <c r="FDR16">
        <v>342.96</v>
      </c>
      <c r="FDS16">
        <v>0</v>
      </c>
      <c r="FDT16">
        <v>0</v>
      </c>
      <c r="FDU16">
        <v>0</v>
      </c>
      <c r="FDV16">
        <v>0</v>
      </c>
      <c r="FDW16">
        <v>0</v>
      </c>
      <c r="FDX16">
        <v>0</v>
      </c>
      <c r="FDY16">
        <v>0</v>
      </c>
      <c r="FDZ16">
        <v>0</v>
      </c>
      <c r="FEA16">
        <v>0</v>
      </c>
      <c r="FEB16">
        <v>0</v>
      </c>
      <c r="FEC16">
        <v>130.99</v>
      </c>
      <c r="FED16">
        <v>0</v>
      </c>
      <c r="FEE16">
        <v>668.95</v>
      </c>
      <c r="FEF16">
        <v>0</v>
      </c>
      <c r="FEG16">
        <v>0</v>
      </c>
      <c r="FEH16">
        <v>0</v>
      </c>
      <c r="FEI16">
        <v>0</v>
      </c>
      <c r="FEJ16">
        <v>0</v>
      </c>
      <c r="FEK16">
        <v>0</v>
      </c>
      <c r="FEL16">
        <v>0</v>
      </c>
      <c r="FEM16">
        <v>14</v>
      </c>
      <c r="FEN16">
        <v>578.96</v>
      </c>
      <c r="FEO16">
        <v>0</v>
      </c>
      <c r="FEP16">
        <v>0</v>
      </c>
      <c r="FEQ16">
        <v>0</v>
      </c>
      <c r="FER16">
        <v>684.96</v>
      </c>
      <c r="FES16">
        <v>0</v>
      </c>
      <c r="FET16">
        <v>0</v>
      </c>
      <c r="FEU16">
        <v>37</v>
      </c>
      <c r="FEV16">
        <v>0</v>
      </c>
      <c r="FEW16">
        <v>0</v>
      </c>
      <c r="FEX16">
        <v>0</v>
      </c>
      <c r="FEY16">
        <v>0</v>
      </c>
      <c r="FEZ16">
        <v>0</v>
      </c>
      <c r="FFA16">
        <v>0</v>
      </c>
      <c r="FFB16">
        <v>0</v>
      </c>
      <c r="FFC16">
        <v>0</v>
      </c>
      <c r="FFD16">
        <v>0</v>
      </c>
      <c r="FFE16">
        <v>0</v>
      </c>
      <c r="FFF16">
        <v>0</v>
      </c>
      <c r="FFG16">
        <v>0</v>
      </c>
      <c r="FFH16">
        <v>0</v>
      </c>
      <c r="FFI16">
        <v>0</v>
      </c>
      <c r="FFJ16">
        <v>0</v>
      </c>
      <c r="FFK16">
        <v>669.94</v>
      </c>
      <c r="FFL16">
        <v>0</v>
      </c>
      <c r="FFM16">
        <v>0</v>
      </c>
      <c r="FFN16">
        <v>0</v>
      </c>
      <c r="FFO16">
        <v>30.99</v>
      </c>
      <c r="FFP16">
        <v>110</v>
      </c>
      <c r="FFQ16">
        <v>0</v>
      </c>
      <c r="FFR16">
        <v>703.96</v>
      </c>
      <c r="FFS16">
        <v>0</v>
      </c>
      <c r="FFT16">
        <v>28.99</v>
      </c>
      <c r="FFU16">
        <v>0</v>
      </c>
      <c r="FFV16">
        <v>0</v>
      </c>
      <c r="FFW16">
        <v>0</v>
      </c>
      <c r="FFX16">
        <v>0</v>
      </c>
      <c r="FFY16">
        <v>732.95</v>
      </c>
      <c r="FFZ16">
        <v>0</v>
      </c>
      <c r="FGA16">
        <v>0</v>
      </c>
      <c r="FGB16">
        <v>0</v>
      </c>
      <c r="FGC16">
        <v>0</v>
      </c>
      <c r="FGD16">
        <v>0</v>
      </c>
      <c r="FGE16">
        <v>238</v>
      </c>
      <c r="FGF16">
        <v>0</v>
      </c>
      <c r="FGG16">
        <v>0</v>
      </c>
      <c r="FGH16">
        <v>28</v>
      </c>
      <c r="FGI16">
        <v>0</v>
      </c>
      <c r="FGJ16">
        <v>0</v>
      </c>
      <c r="FGK16">
        <v>41</v>
      </c>
      <c r="FGL16">
        <v>0</v>
      </c>
      <c r="FGM16">
        <v>0</v>
      </c>
      <c r="FGN16">
        <v>0</v>
      </c>
      <c r="FGO16">
        <v>0</v>
      </c>
      <c r="FGP16">
        <v>0</v>
      </c>
      <c r="FGQ16">
        <v>0</v>
      </c>
      <c r="FGR16">
        <v>0</v>
      </c>
      <c r="FGS16">
        <v>230.99</v>
      </c>
      <c r="FGT16">
        <v>0</v>
      </c>
      <c r="FGU16">
        <v>99</v>
      </c>
      <c r="FGV16">
        <v>0</v>
      </c>
      <c r="FGW16">
        <v>0</v>
      </c>
      <c r="FGX16">
        <v>76</v>
      </c>
      <c r="FGY16">
        <v>0</v>
      </c>
      <c r="FGZ16">
        <v>0</v>
      </c>
      <c r="FHA16">
        <v>0</v>
      </c>
      <c r="FHB16">
        <v>0</v>
      </c>
      <c r="FHC16">
        <v>0</v>
      </c>
      <c r="FHD16">
        <v>0</v>
      </c>
      <c r="FHE16">
        <v>0</v>
      </c>
      <c r="FHF16">
        <v>0</v>
      </c>
      <c r="FHG16">
        <v>0</v>
      </c>
      <c r="FHH16">
        <v>0</v>
      </c>
      <c r="FHI16">
        <v>224</v>
      </c>
      <c r="FHJ16">
        <v>26</v>
      </c>
      <c r="FHK16">
        <v>0</v>
      </c>
      <c r="FHL16">
        <v>0</v>
      </c>
      <c r="FHM16">
        <v>0</v>
      </c>
      <c r="FHN16">
        <v>0</v>
      </c>
      <c r="FHO16">
        <v>57</v>
      </c>
      <c r="FHP16">
        <v>0</v>
      </c>
      <c r="FHQ16">
        <v>0</v>
      </c>
      <c r="FHR16">
        <v>0</v>
      </c>
      <c r="FHS16">
        <v>780.95</v>
      </c>
      <c r="FHT16">
        <v>0</v>
      </c>
      <c r="FHU16">
        <v>0</v>
      </c>
      <c r="FHV16">
        <v>0</v>
      </c>
      <c r="FHW16">
        <v>0</v>
      </c>
      <c r="FHX16">
        <v>0</v>
      </c>
      <c r="FHY16">
        <v>0</v>
      </c>
      <c r="FHZ16">
        <v>0</v>
      </c>
      <c r="FIA16">
        <v>0</v>
      </c>
      <c r="FIB16">
        <v>79.989999999999995</v>
      </c>
      <c r="FIC16">
        <v>0</v>
      </c>
      <c r="FID16">
        <v>0</v>
      </c>
      <c r="FIE16">
        <v>0</v>
      </c>
      <c r="FIF16">
        <v>0</v>
      </c>
      <c r="FIG16">
        <v>0</v>
      </c>
      <c r="FIH16">
        <v>0</v>
      </c>
      <c r="FII16">
        <v>0</v>
      </c>
      <c r="FIJ16">
        <v>705.94</v>
      </c>
      <c r="FIK16">
        <v>0</v>
      </c>
      <c r="FIL16">
        <v>0</v>
      </c>
      <c r="FIM16">
        <v>53</v>
      </c>
      <c r="FIN16">
        <v>0</v>
      </c>
      <c r="FIO16">
        <v>0</v>
      </c>
      <c r="FIP16">
        <v>0</v>
      </c>
      <c r="FIQ16">
        <v>0</v>
      </c>
      <c r="FIR16">
        <v>0</v>
      </c>
      <c r="FIS16">
        <v>0</v>
      </c>
      <c r="FIT16">
        <v>0</v>
      </c>
      <c r="FIU16">
        <v>0</v>
      </c>
      <c r="FIV16">
        <v>0</v>
      </c>
      <c r="FIW16">
        <v>0</v>
      </c>
      <c r="FIX16">
        <v>0</v>
      </c>
      <c r="FIY16">
        <v>283.99</v>
      </c>
      <c r="FIZ16">
        <v>0</v>
      </c>
      <c r="FJA16">
        <v>820.94</v>
      </c>
      <c r="FJB16">
        <v>0</v>
      </c>
      <c r="FJC16">
        <v>0</v>
      </c>
      <c r="FJD16">
        <v>147.99</v>
      </c>
      <c r="FJE16">
        <v>0</v>
      </c>
      <c r="FJF16">
        <v>0</v>
      </c>
      <c r="FJG16">
        <v>0</v>
      </c>
      <c r="FJH16">
        <v>0</v>
      </c>
      <c r="FJI16">
        <v>0</v>
      </c>
      <c r="FJJ16">
        <v>0</v>
      </c>
      <c r="FJK16">
        <v>0</v>
      </c>
      <c r="FJL16">
        <v>0</v>
      </c>
      <c r="FJM16">
        <v>0</v>
      </c>
      <c r="FJN16">
        <v>0</v>
      </c>
      <c r="FJO16">
        <v>0</v>
      </c>
      <c r="FJP16">
        <v>38.99</v>
      </c>
      <c r="FJQ16">
        <v>0</v>
      </c>
      <c r="FJR16">
        <v>0</v>
      </c>
      <c r="FJS16">
        <v>0</v>
      </c>
      <c r="FJT16">
        <v>0</v>
      </c>
      <c r="FJU16">
        <v>0</v>
      </c>
      <c r="FJV16">
        <v>39</v>
      </c>
      <c r="FJW16">
        <v>0</v>
      </c>
      <c r="FJX16">
        <v>0</v>
      </c>
      <c r="FJY16">
        <v>0</v>
      </c>
      <c r="FJZ16">
        <v>577.04</v>
      </c>
      <c r="FKA16">
        <v>23</v>
      </c>
      <c r="FKB16">
        <v>0</v>
      </c>
      <c r="FKC16">
        <v>492.97</v>
      </c>
      <c r="FKD16">
        <v>0</v>
      </c>
      <c r="FKE16">
        <v>0</v>
      </c>
      <c r="FKF16">
        <v>0</v>
      </c>
      <c r="FKG16">
        <v>0</v>
      </c>
      <c r="FKH16">
        <v>0</v>
      </c>
      <c r="FKI16">
        <v>0</v>
      </c>
      <c r="FKJ16">
        <v>0</v>
      </c>
      <c r="FKK16">
        <v>0</v>
      </c>
      <c r="FKL16">
        <v>0</v>
      </c>
      <c r="FKM16">
        <v>146</v>
      </c>
      <c r="FKN16">
        <v>0</v>
      </c>
      <c r="FKO16">
        <v>0</v>
      </c>
      <c r="FKP16">
        <v>0</v>
      </c>
      <c r="FKQ16">
        <v>0</v>
      </c>
      <c r="FKR16">
        <v>0</v>
      </c>
      <c r="FKS16">
        <v>0</v>
      </c>
      <c r="FKT16">
        <v>0</v>
      </c>
      <c r="FKU16">
        <v>21</v>
      </c>
      <c r="FKV16">
        <v>0</v>
      </c>
      <c r="FKW16">
        <v>68.97</v>
      </c>
      <c r="FKX16">
        <v>0</v>
      </c>
      <c r="FKY16">
        <v>884.95</v>
      </c>
      <c r="FKZ16">
        <v>0</v>
      </c>
      <c r="FLA16">
        <v>0</v>
      </c>
      <c r="FLB16">
        <v>0</v>
      </c>
      <c r="FLC16">
        <v>0</v>
      </c>
      <c r="FLD16">
        <v>0</v>
      </c>
      <c r="FLE16">
        <v>0</v>
      </c>
      <c r="FLF16">
        <v>0</v>
      </c>
      <c r="FLG16">
        <v>0</v>
      </c>
      <c r="FLH16">
        <v>0</v>
      </c>
      <c r="FLI16">
        <v>0</v>
      </c>
      <c r="FLJ16">
        <v>0</v>
      </c>
      <c r="FLK16">
        <v>0</v>
      </c>
      <c r="FLL16">
        <v>0</v>
      </c>
      <c r="FLM16">
        <v>0</v>
      </c>
      <c r="FLN16">
        <v>909.92</v>
      </c>
      <c r="FLO16">
        <v>0</v>
      </c>
      <c r="FLP16">
        <v>0</v>
      </c>
      <c r="FLQ16">
        <v>0</v>
      </c>
      <c r="FLR16">
        <v>0</v>
      </c>
      <c r="FLS16">
        <v>0</v>
      </c>
      <c r="FLT16">
        <v>0</v>
      </c>
      <c r="FLU16">
        <v>0</v>
      </c>
      <c r="FLV16">
        <v>0</v>
      </c>
      <c r="FLW16">
        <v>44</v>
      </c>
      <c r="FLX16">
        <v>0</v>
      </c>
      <c r="FLY16">
        <v>0</v>
      </c>
      <c r="FLZ16">
        <v>0</v>
      </c>
      <c r="FMA16">
        <v>0</v>
      </c>
      <c r="FMB16">
        <v>933.94</v>
      </c>
      <c r="FMC16">
        <v>0</v>
      </c>
      <c r="FMD16">
        <v>0</v>
      </c>
      <c r="FME16">
        <v>0</v>
      </c>
      <c r="FMF16">
        <v>0</v>
      </c>
      <c r="FMG16">
        <v>0</v>
      </c>
      <c r="FMH16">
        <v>0</v>
      </c>
      <c r="FMI16">
        <v>0</v>
      </c>
      <c r="FMJ16">
        <v>0</v>
      </c>
      <c r="FMK16">
        <v>0</v>
      </c>
      <c r="FML16">
        <v>0</v>
      </c>
      <c r="FMM16">
        <v>0</v>
      </c>
      <c r="FMN16">
        <v>0</v>
      </c>
      <c r="FMO16">
        <v>20</v>
      </c>
      <c r="FMP16">
        <v>0</v>
      </c>
      <c r="FMQ16">
        <v>0</v>
      </c>
      <c r="FMR16">
        <v>0</v>
      </c>
      <c r="FMS16">
        <v>0</v>
      </c>
      <c r="FMT16">
        <v>0</v>
      </c>
      <c r="FMU16">
        <v>0</v>
      </c>
      <c r="FMV16">
        <v>0</v>
      </c>
      <c r="FMW16">
        <v>0</v>
      </c>
      <c r="FMX16">
        <v>20.99</v>
      </c>
      <c r="FMY16">
        <v>0</v>
      </c>
      <c r="FMZ16">
        <v>0</v>
      </c>
      <c r="FNA16">
        <v>0</v>
      </c>
      <c r="FNB16">
        <v>0</v>
      </c>
      <c r="FNC16">
        <v>0</v>
      </c>
      <c r="FND16">
        <v>0</v>
      </c>
      <c r="FNE16">
        <v>0</v>
      </c>
      <c r="FNF16">
        <v>912.91</v>
      </c>
      <c r="FNG16">
        <v>0</v>
      </c>
      <c r="FNH16">
        <v>0</v>
      </c>
      <c r="FNI16">
        <v>0</v>
      </c>
      <c r="FNJ16">
        <v>0</v>
      </c>
      <c r="FNK16">
        <v>0</v>
      </c>
      <c r="FNL16">
        <v>0</v>
      </c>
      <c r="FNM16">
        <v>0</v>
      </c>
      <c r="FNN16">
        <v>0</v>
      </c>
      <c r="FNO16">
        <v>84.99</v>
      </c>
      <c r="FNP16">
        <v>0</v>
      </c>
      <c r="FNQ16">
        <v>0</v>
      </c>
      <c r="FNR16">
        <v>0</v>
      </c>
      <c r="FNS16">
        <v>0</v>
      </c>
      <c r="FNT16">
        <v>0</v>
      </c>
      <c r="FNU16">
        <v>0</v>
      </c>
      <c r="FNV16">
        <v>0</v>
      </c>
      <c r="FNW16">
        <v>0</v>
      </c>
      <c r="FNX16">
        <v>0</v>
      </c>
      <c r="FNY16">
        <v>0</v>
      </c>
      <c r="FNZ16">
        <v>0</v>
      </c>
      <c r="FOA16">
        <v>187.01</v>
      </c>
      <c r="FOB16">
        <v>0</v>
      </c>
      <c r="FOC16">
        <v>0</v>
      </c>
      <c r="FOD16">
        <v>0</v>
      </c>
      <c r="FOE16">
        <v>44</v>
      </c>
      <c r="FOF16">
        <v>0</v>
      </c>
      <c r="FOG16">
        <v>0</v>
      </c>
      <c r="FOH16">
        <v>0</v>
      </c>
      <c r="FOI16">
        <v>0</v>
      </c>
      <c r="FOJ16">
        <v>0</v>
      </c>
      <c r="FOK16">
        <v>0</v>
      </c>
      <c r="FOL16">
        <v>158.96</v>
      </c>
      <c r="FOM16">
        <v>0</v>
      </c>
      <c r="FON16">
        <v>0</v>
      </c>
      <c r="FOO16">
        <v>639.95000000000005</v>
      </c>
      <c r="FOP16">
        <v>1048.94</v>
      </c>
      <c r="FOQ16">
        <v>128.99</v>
      </c>
      <c r="FOR16">
        <v>0</v>
      </c>
      <c r="FOS16">
        <v>176.03</v>
      </c>
      <c r="FOT16">
        <v>192.99</v>
      </c>
      <c r="FOU16">
        <v>0</v>
      </c>
      <c r="FOV16">
        <v>0</v>
      </c>
      <c r="FOW16">
        <v>0</v>
      </c>
      <c r="FOX16">
        <v>0</v>
      </c>
      <c r="FOY16">
        <v>0</v>
      </c>
      <c r="FOZ16">
        <v>0</v>
      </c>
      <c r="FPA16">
        <v>0</v>
      </c>
      <c r="FPB16">
        <v>80.010000000000005</v>
      </c>
      <c r="FPC16">
        <v>48</v>
      </c>
      <c r="FPD16">
        <v>0</v>
      </c>
      <c r="FPE16">
        <v>0</v>
      </c>
      <c r="FPF16">
        <v>20</v>
      </c>
      <c r="FPG16">
        <v>14</v>
      </c>
      <c r="FPH16">
        <v>89</v>
      </c>
      <c r="FPI16">
        <v>0</v>
      </c>
      <c r="FPJ16">
        <v>0</v>
      </c>
      <c r="FPK16">
        <v>0</v>
      </c>
      <c r="FPL16">
        <v>0</v>
      </c>
      <c r="FPM16">
        <v>371.97</v>
      </c>
      <c r="FPN16">
        <v>0</v>
      </c>
      <c r="FPO16">
        <v>0</v>
      </c>
      <c r="FPP16">
        <v>0</v>
      </c>
      <c r="FPQ16">
        <v>14</v>
      </c>
      <c r="FPR16">
        <v>0</v>
      </c>
      <c r="FPS16">
        <v>0</v>
      </c>
      <c r="FPT16">
        <v>105</v>
      </c>
      <c r="FPU16">
        <v>161.99</v>
      </c>
      <c r="FPV16">
        <v>0</v>
      </c>
      <c r="FPW16">
        <v>92</v>
      </c>
      <c r="FPX16">
        <v>0</v>
      </c>
      <c r="FPY16">
        <v>0</v>
      </c>
      <c r="FPZ16">
        <v>0</v>
      </c>
      <c r="FQA16">
        <v>0</v>
      </c>
      <c r="FQB16">
        <v>220.01</v>
      </c>
      <c r="FQC16">
        <v>0</v>
      </c>
      <c r="FQD16">
        <v>136.99</v>
      </c>
      <c r="FQE16">
        <v>151</v>
      </c>
      <c r="FQF16">
        <v>0</v>
      </c>
      <c r="FQG16">
        <v>0</v>
      </c>
      <c r="FQH16">
        <v>0</v>
      </c>
      <c r="FQI16">
        <v>0</v>
      </c>
      <c r="FQJ16">
        <v>0</v>
      </c>
      <c r="FQK16">
        <v>0</v>
      </c>
      <c r="FQL16">
        <v>0</v>
      </c>
      <c r="FQM16">
        <v>0</v>
      </c>
      <c r="FQN16">
        <v>0</v>
      </c>
      <c r="FQO16">
        <v>0</v>
      </c>
      <c r="FQP16">
        <v>0</v>
      </c>
      <c r="FQQ16">
        <v>0</v>
      </c>
      <c r="FQR16">
        <v>0</v>
      </c>
      <c r="FQS16">
        <v>0</v>
      </c>
      <c r="FQT16">
        <v>0</v>
      </c>
      <c r="FQU16">
        <v>0</v>
      </c>
      <c r="FQV16">
        <v>0</v>
      </c>
      <c r="FQW16">
        <v>0</v>
      </c>
      <c r="FQX16">
        <v>0</v>
      </c>
      <c r="FQY16">
        <v>0</v>
      </c>
      <c r="FQZ16">
        <v>0</v>
      </c>
      <c r="FRA16">
        <v>0</v>
      </c>
      <c r="FRB16">
        <v>0</v>
      </c>
      <c r="FRC16">
        <v>0</v>
      </c>
      <c r="FRD16">
        <v>0</v>
      </c>
      <c r="FRE16">
        <v>0</v>
      </c>
      <c r="FRF16">
        <v>0</v>
      </c>
      <c r="FRG16">
        <v>187.99</v>
      </c>
      <c r="FRH16">
        <v>46.99</v>
      </c>
      <c r="FRI16">
        <v>142.99</v>
      </c>
      <c r="FRJ16">
        <v>0</v>
      </c>
      <c r="FRK16">
        <v>0</v>
      </c>
      <c r="FRL16">
        <v>1228.8900000000001</v>
      </c>
      <c r="FRM16">
        <v>0</v>
      </c>
      <c r="FRN16">
        <v>0</v>
      </c>
      <c r="FRO16">
        <v>0</v>
      </c>
      <c r="FRP16">
        <v>248.95</v>
      </c>
      <c r="FRQ16">
        <v>103.99</v>
      </c>
      <c r="FRR16">
        <v>0</v>
      </c>
      <c r="FRS16">
        <v>0</v>
      </c>
      <c r="FRT16">
        <v>0</v>
      </c>
      <c r="FRU16">
        <v>0</v>
      </c>
      <c r="FRV16">
        <v>0</v>
      </c>
      <c r="FRW16">
        <v>0</v>
      </c>
      <c r="FRX16">
        <v>0</v>
      </c>
      <c r="FRY16">
        <v>0</v>
      </c>
      <c r="FRZ16">
        <v>0</v>
      </c>
      <c r="FSA16">
        <v>0</v>
      </c>
      <c r="FSB16">
        <v>0</v>
      </c>
      <c r="FSC16">
        <v>0</v>
      </c>
      <c r="FSD16">
        <v>0</v>
      </c>
      <c r="FSE16">
        <v>0</v>
      </c>
      <c r="FSF16">
        <v>0</v>
      </c>
      <c r="FSG16">
        <v>0</v>
      </c>
      <c r="FSH16">
        <v>0</v>
      </c>
      <c r="FSI16">
        <v>0</v>
      </c>
      <c r="FSJ16">
        <v>0</v>
      </c>
      <c r="FSK16">
        <v>198.99</v>
      </c>
      <c r="FSL16">
        <v>0</v>
      </c>
      <c r="FSM16">
        <v>0</v>
      </c>
      <c r="FSN16">
        <v>0</v>
      </c>
      <c r="FSO16">
        <v>48</v>
      </c>
      <c r="FSP16">
        <v>0</v>
      </c>
      <c r="FSQ16">
        <v>0</v>
      </c>
      <c r="FSR16">
        <v>8</v>
      </c>
      <c r="FSS16">
        <v>0</v>
      </c>
      <c r="FST16">
        <v>0</v>
      </c>
      <c r="FSU16">
        <v>0</v>
      </c>
      <c r="FSV16">
        <v>0</v>
      </c>
      <c r="FSW16">
        <v>23</v>
      </c>
      <c r="FSX16">
        <v>0</v>
      </c>
      <c r="FSY16">
        <v>0</v>
      </c>
      <c r="FSZ16">
        <v>0</v>
      </c>
      <c r="FTA16">
        <v>0</v>
      </c>
      <c r="FTB16">
        <v>0</v>
      </c>
      <c r="FTC16">
        <v>0</v>
      </c>
      <c r="FTD16">
        <v>0</v>
      </c>
      <c r="FTE16">
        <v>0</v>
      </c>
      <c r="FTF16">
        <v>0</v>
      </c>
      <c r="FTG16">
        <v>0</v>
      </c>
      <c r="FTH16">
        <v>0</v>
      </c>
      <c r="FTI16">
        <v>0</v>
      </c>
      <c r="FTJ16">
        <v>0</v>
      </c>
      <c r="FTK16">
        <v>0</v>
      </c>
      <c r="FTL16">
        <v>0</v>
      </c>
      <c r="FTM16">
        <v>0</v>
      </c>
      <c r="FTN16">
        <v>0</v>
      </c>
      <c r="FTO16">
        <v>0</v>
      </c>
      <c r="FTP16">
        <v>0</v>
      </c>
      <c r="FTQ16">
        <v>1164.92</v>
      </c>
      <c r="FTR16">
        <v>0</v>
      </c>
      <c r="FTS16">
        <v>0</v>
      </c>
      <c r="FTT16">
        <v>0</v>
      </c>
      <c r="FTU16">
        <v>99</v>
      </c>
      <c r="FTV16">
        <v>0</v>
      </c>
      <c r="FTW16">
        <v>0</v>
      </c>
      <c r="FTX16">
        <v>0</v>
      </c>
      <c r="FTY16">
        <v>0</v>
      </c>
      <c r="FTZ16">
        <v>0</v>
      </c>
      <c r="FUA16">
        <v>0</v>
      </c>
      <c r="FUB16">
        <v>0</v>
      </c>
      <c r="FUC16">
        <v>0</v>
      </c>
      <c r="FUD16">
        <v>0</v>
      </c>
      <c r="FUE16">
        <v>0</v>
      </c>
      <c r="FUF16">
        <v>0</v>
      </c>
      <c r="FUG16">
        <v>0</v>
      </c>
      <c r="FUH16">
        <v>0</v>
      </c>
      <c r="FUI16">
        <v>0</v>
      </c>
      <c r="FUJ16">
        <v>0</v>
      </c>
      <c r="FUK16">
        <v>0</v>
      </c>
      <c r="FUL16">
        <v>0</v>
      </c>
      <c r="FUM16">
        <v>0</v>
      </c>
      <c r="FUN16">
        <v>0</v>
      </c>
      <c r="FUO16">
        <v>0</v>
      </c>
      <c r="FUP16">
        <v>0</v>
      </c>
      <c r="FUQ16">
        <v>0</v>
      </c>
      <c r="FUR16">
        <v>107.99</v>
      </c>
      <c r="FUS16">
        <v>613.96</v>
      </c>
      <c r="FUT16">
        <v>788.94</v>
      </c>
      <c r="FUU16">
        <v>0</v>
      </c>
      <c r="FUV16">
        <v>70</v>
      </c>
      <c r="FUW16">
        <v>0</v>
      </c>
      <c r="FUX16">
        <v>0</v>
      </c>
      <c r="FUY16">
        <v>241.01</v>
      </c>
      <c r="FUZ16">
        <v>0</v>
      </c>
      <c r="FVA16">
        <v>0</v>
      </c>
      <c r="FVB16">
        <v>0</v>
      </c>
      <c r="FVC16">
        <v>0</v>
      </c>
      <c r="FVD16">
        <v>182.96</v>
      </c>
      <c r="FVE16">
        <v>0</v>
      </c>
      <c r="FVF16">
        <v>0</v>
      </c>
      <c r="FVG16">
        <v>0</v>
      </c>
      <c r="FVH16">
        <v>0</v>
      </c>
      <c r="FVI16">
        <v>0</v>
      </c>
      <c r="FVJ16">
        <v>0</v>
      </c>
      <c r="FVK16">
        <v>0</v>
      </c>
      <c r="FVL16">
        <v>0</v>
      </c>
      <c r="FVM16">
        <v>0</v>
      </c>
      <c r="FVN16">
        <v>89.96</v>
      </c>
      <c r="FVO16">
        <v>170.98</v>
      </c>
      <c r="FVP16">
        <v>0</v>
      </c>
      <c r="FVQ16">
        <v>0</v>
      </c>
      <c r="FVR16">
        <v>0</v>
      </c>
      <c r="FVS16">
        <v>0</v>
      </c>
      <c r="FVT16">
        <v>0</v>
      </c>
      <c r="FVU16">
        <v>0</v>
      </c>
      <c r="FVV16">
        <v>659.96</v>
      </c>
      <c r="FVW16">
        <v>607.97</v>
      </c>
      <c r="FVX16">
        <v>558.96</v>
      </c>
      <c r="FVY16">
        <v>0</v>
      </c>
      <c r="FVZ16">
        <v>0</v>
      </c>
      <c r="FWB16">
        <v>501.96</v>
      </c>
      <c r="FWC16">
        <v>44</v>
      </c>
      <c r="FWD16">
        <v>0</v>
      </c>
      <c r="FWE16">
        <v>0</v>
      </c>
      <c r="FWF16">
        <v>153.99</v>
      </c>
      <c r="FWG16">
        <v>0</v>
      </c>
      <c r="FWH16">
        <v>0</v>
      </c>
      <c r="FWI16">
        <v>0</v>
      </c>
      <c r="FWJ16">
        <v>8</v>
      </c>
      <c r="FWK16">
        <v>0</v>
      </c>
      <c r="FWL16">
        <v>1606.86</v>
      </c>
      <c r="FWM16">
        <v>35.99</v>
      </c>
      <c r="FWN16">
        <v>0</v>
      </c>
      <c r="FWO16">
        <v>0</v>
      </c>
      <c r="FWP16">
        <v>0</v>
      </c>
      <c r="FWQ16">
        <v>0</v>
      </c>
      <c r="FWR16">
        <v>71</v>
      </c>
      <c r="FWS16">
        <v>0</v>
      </c>
      <c r="FWT16">
        <v>357.97</v>
      </c>
      <c r="FWU16">
        <v>0</v>
      </c>
      <c r="FWV16">
        <v>0</v>
      </c>
      <c r="FWW16">
        <v>150.99</v>
      </c>
      <c r="FWX16">
        <v>0</v>
      </c>
      <c r="FWY16">
        <v>0</v>
      </c>
      <c r="FWZ16">
        <v>0</v>
      </c>
      <c r="FXA16">
        <v>0</v>
      </c>
      <c r="FXB16">
        <v>47</v>
      </c>
      <c r="FXC16">
        <v>18</v>
      </c>
      <c r="FXD16">
        <v>831.93</v>
      </c>
      <c r="FXE16">
        <v>0</v>
      </c>
      <c r="FXF16">
        <v>0</v>
      </c>
      <c r="FXG16">
        <v>0</v>
      </c>
      <c r="FXH16">
        <v>10</v>
      </c>
      <c r="FXI16">
        <v>0</v>
      </c>
      <c r="FXJ16">
        <v>1358.91</v>
      </c>
      <c r="FXK16">
        <v>0</v>
      </c>
      <c r="FXL16">
        <v>709.99</v>
      </c>
      <c r="FXM16">
        <v>0</v>
      </c>
      <c r="FXN16">
        <v>120.99</v>
      </c>
      <c r="FXO16">
        <v>0</v>
      </c>
      <c r="FXP16">
        <v>0</v>
      </c>
      <c r="FXQ16">
        <v>0</v>
      </c>
      <c r="FXR16">
        <v>0</v>
      </c>
      <c r="FXS16">
        <v>0</v>
      </c>
      <c r="FXT16">
        <v>0</v>
      </c>
      <c r="FXU16">
        <v>0</v>
      </c>
      <c r="FXV16">
        <v>0</v>
      </c>
      <c r="FXW16">
        <v>0</v>
      </c>
      <c r="FXX16">
        <v>0</v>
      </c>
      <c r="FXY16">
        <v>0</v>
      </c>
      <c r="FXZ16">
        <v>0</v>
      </c>
      <c r="FYA16">
        <v>1758.88</v>
      </c>
      <c r="FYB16">
        <v>0</v>
      </c>
      <c r="FYC16">
        <v>0</v>
      </c>
      <c r="FYD16">
        <v>105</v>
      </c>
      <c r="FYE16">
        <v>0</v>
      </c>
      <c r="FYF16">
        <v>0</v>
      </c>
      <c r="FYG16">
        <v>0</v>
      </c>
      <c r="FYH16">
        <v>69</v>
      </c>
      <c r="FYI16">
        <v>0</v>
      </c>
      <c r="FYJ16">
        <v>0</v>
      </c>
      <c r="FYK16">
        <v>0</v>
      </c>
      <c r="FYL16">
        <v>507.02</v>
      </c>
      <c r="FYM16">
        <v>0</v>
      </c>
      <c r="FYN16">
        <v>113.99</v>
      </c>
      <c r="FYO16">
        <v>0</v>
      </c>
      <c r="FYP16">
        <v>0</v>
      </c>
      <c r="FYQ16">
        <v>0</v>
      </c>
      <c r="FYR16">
        <v>0</v>
      </c>
      <c r="FYS16">
        <v>499.99</v>
      </c>
      <c r="FYT16">
        <v>0</v>
      </c>
      <c r="FYU16">
        <v>0</v>
      </c>
      <c r="FYV16">
        <v>0</v>
      </c>
      <c r="FYW16">
        <v>0</v>
      </c>
      <c r="FYX16">
        <v>0</v>
      </c>
      <c r="FYY16">
        <v>464.95</v>
      </c>
      <c r="FYZ16">
        <v>0</v>
      </c>
      <c r="FZA16">
        <v>213.96</v>
      </c>
      <c r="FZB16">
        <v>0</v>
      </c>
      <c r="FZC16">
        <v>0</v>
      </c>
      <c r="FZD16">
        <v>0</v>
      </c>
      <c r="FZE16">
        <v>262.99</v>
      </c>
      <c r="FZF16">
        <v>0</v>
      </c>
      <c r="FZG16">
        <v>0</v>
      </c>
      <c r="FZH16">
        <v>0</v>
      </c>
      <c r="FZI16">
        <v>0</v>
      </c>
      <c r="FZJ16">
        <v>0</v>
      </c>
      <c r="FZK16">
        <v>26</v>
      </c>
      <c r="FZL16">
        <v>0</v>
      </c>
      <c r="FZM16">
        <v>794.94</v>
      </c>
      <c r="FZN16">
        <v>0</v>
      </c>
      <c r="FZO16">
        <v>0</v>
      </c>
      <c r="FZP16">
        <v>20</v>
      </c>
      <c r="FZQ16">
        <v>0</v>
      </c>
      <c r="FZR16">
        <v>1927.82</v>
      </c>
      <c r="FZS16">
        <v>935.06</v>
      </c>
      <c r="FZT16">
        <v>794.94</v>
      </c>
      <c r="FZU16">
        <v>0</v>
      </c>
      <c r="FZV16">
        <v>0</v>
      </c>
      <c r="FZW16">
        <v>0</v>
      </c>
      <c r="FZX16">
        <v>0</v>
      </c>
      <c r="FZY16">
        <v>0</v>
      </c>
      <c r="FZZ16">
        <v>0</v>
      </c>
      <c r="GAA16">
        <v>0</v>
      </c>
      <c r="GAB16">
        <v>0</v>
      </c>
      <c r="GAC16">
        <v>0</v>
      </c>
      <c r="GAD16">
        <v>139</v>
      </c>
      <c r="GAE16">
        <v>0</v>
      </c>
      <c r="GAF16">
        <v>0</v>
      </c>
      <c r="GAG16">
        <v>0</v>
      </c>
      <c r="GAH16">
        <v>100</v>
      </c>
      <c r="GAI16">
        <v>0</v>
      </c>
      <c r="GAJ16">
        <v>0</v>
      </c>
      <c r="GAK16">
        <v>0</v>
      </c>
      <c r="GAL16">
        <v>203.99</v>
      </c>
      <c r="GAM16">
        <v>0</v>
      </c>
      <c r="GAN16">
        <v>0</v>
      </c>
      <c r="GAO16">
        <v>0</v>
      </c>
      <c r="GAP16">
        <v>99.01</v>
      </c>
      <c r="GAQ16">
        <v>0</v>
      </c>
      <c r="GAR16">
        <v>0</v>
      </c>
      <c r="GAS16">
        <v>471.96</v>
      </c>
      <c r="GAT16">
        <v>118.99</v>
      </c>
      <c r="GAU16">
        <v>0</v>
      </c>
      <c r="GAV16">
        <v>0</v>
      </c>
      <c r="GAW16">
        <v>0</v>
      </c>
      <c r="GAX16">
        <v>0</v>
      </c>
      <c r="GAY16">
        <v>0</v>
      </c>
      <c r="GAZ16">
        <v>0</v>
      </c>
      <c r="GBA16">
        <v>0</v>
      </c>
      <c r="GBB16">
        <v>0</v>
      </c>
      <c r="GBC16">
        <v>0</v>
      </c>
      <c r="GBD16">
        <v>0</v>
      </c>
      <c r="GBE16">
        <v>102.99</v>
      </c>
      <c r="GBF16">
        <v>0</v>
      </c>
      <c r="GBG16">
        <v>0</v>
      </c>
      <c r="GBH16">
        <v>0</v>
      </c>
      <c r="GBI16">
        <v>0</v>
      </c>
      <c r="GBJ16">
        <v>0</v>
      </c>
      <c r="GBK16">
        <v>0</v>
      </c>
      <c r="GBL16">
        <v>0</v>
      </c>
      <c r="GBM16">
        <v>0</v>
      </c>
      <c r="GBN16">
        <v>0</v>
      </c>
      <c r="GBO16">
        <v>53.99</v>
      </c>
      <c r="GBP16">
        <v>0</v>
      </c>
      <c r="GBQ16">
        <v>0</v>
      </c>
      <c r="GBR16">
        <v>775.93</v>
      </c>
      <c r="GBS16">
        <v>190.99</v>
      </c>
      <c r="GBT16">
        <v>557.95000000000005</v>
      </c>
      <c r="GBU16">
        <v>0</v>
      </c>
      <c r="GBV16">
        <v>0</v>
      </c>
      <c r="GBW16">
        <v>0</v>
      </c>
      <c r="GBX16">
        <v>182.98</v>
      </c>
      <c r="GBY16">
        <v>56</v>
      </c>
      <c r="GBZ16">
        <v>0</v>
      </c>
      <c r="GCA16">
        <v>0</v>
      </c>
      <c r="GCB16">
        <v>0</v>
      </c>
      <c r="GCC16">
        <v>436.98</v>
      </c>
      <c r="GCD16">
        <v>0</v>
      </c>
      <c r="GCE16">
        <v>0</v>
      </c>
      <c r="GCF16">
        <v>0</v>
      </c>
      <c r="GCG16">
        <v>72.989999999999995</v>
      </c>
      <c r="GCH16">
        <v>81.99</v>
      </c>
      <c r="GCI16">
        <v>0</v>
      </c>
      <c r="GCJ16">
        <v>0</v>
      </c>
      <c r="GCK16">
        <v>0</v>
      </c>
      <c r="GCL16">
        <v>0</v>
      </c>
      <c r="GCM16">
        <v>0</v>
      </c>
      <c r="GCN16">
        <v>110.99</v>
      </c>
      <c r="GCO16">
        <v>0</v>
      </c>
      <c r="GCP16">
        <v>0</v>
      </c>
      <c r="GCQ16">
        <v>0</v>
      </c>
      <c r="GCR16">
        <v>0</v>
      </c>
      <c r="GCS16">
        <v>0</v>
      </c>
      <c r="GCT16">
        <v>0</v>
      </c>
      <c r="GCU16">
        <v>0</v>
      </c>
      <c r="GCV16">
        <v>1390.9</v>
      </c>
      <c r="GCW16">
        <v>0</v>
      </c>
      <c r="GCX16">
        <v>39</v>
      </c>
      <c r="GCY16">
        <v>0</v>
      </c>
      <c r="GCZ16">
        <v>0</v>
      </c>
      <c r="GDA16">
        <v>0</v>
      </c>
      <c r="GDB16">
        <v>281.99</v>
      </c>
      <c r="GDC16">
        <v>0</v>
      </c>
      <c r="GDD16">
        <v>0</v>
      </c>
      <c r="GDE16">
        <v>398.95</v>
      </c>
      <c r="GDF16">
        <v>6</v>
      </c>
      <c r="GDG16">
        <v>0</v>
      </c>
      <c r="GDH16">
        <v>0</v>
      </c>
      <c r="GDI16">
        <v>0</v>
      </c>
      <c r="GDJ16">
        <v>168.98</v>
      </c>
      <c r="GDK16">
        <v>0</v>
      </c>
      <c r="GDL16">
        <v>0</v>
      </c>
      <c r="GDM16">
        <v>91.99</v>
      </c>
      <c r="GDN16">
        <v>0</v>
      </c>
      <c r="GDO16">
        <v>0</v>
      </c>
      <c r="GDP16">
        <v>2001.89</v>
      </c>
      <c r="GDQ16">
        <v>57</v>
      </c>
      <c r="GDR16">
        <v>49.99</v>
      </c>
      <c r="GDS16">
        <v>0</v>
      </c>
      <c r="GDT16">
        <v>778.05</v>
      </c>
      <c r="GDU16">
        <v>313.02</v>
      </c>
      <c r="GDV16">
        <v>0</v>
      </c>
      <c r="GDW16">
        <v>303.98</v>
      </c>
      <c r="GDX16">
        <v>0</v>
      </c>
      <c r="GDY16">
        <v>0</v>
      </c>
      <c r="GDZ16">
        <v>0</v>
      </c>
      <c r="GEA16">
        <v>1720.88</v>
      </c>
      <c r="GEB16">
        <v>173.98</v>
      </c>
      <c r="GEC16">
        <v>232.01</v>
      </c>
      <c r="GED16">
        <v>0</v>
      </c>
      <c r="GEE16">
        <v>0</v>
      </c>
      <c r="GEF16">
        <v>0</v>
      </c>
      <c r="GEG16">
        <v>0</v>
      </c>
      <c r="GEH16">
        <v>120.99</v>
      </c>
      <c r="GEI16">
        <v>134</v>
      </c>
      <c r="GEJ16">
        <v>0</v>
      </c>
      <c r="GEK16">
        <v>59.01</v>
      </c>
      <c r="GEL16">
        <v>215.99</v>
      </c>
      <c r="GEM16">
        <v>0</v>
      </c>
      <c r="GEN16">
        <v>346</v>
      </c>
      <c r="GEO16">
        <v>454.98</v>
      </c>
      <c r="GEP16">
        <v>0</v>
      </c>
      <c r="GEQ16">
        <v>593.96</v>
      </c>
      <c r="GER16">
        <v>0</v>
      </c>
      <c r="GES16">
        <v>0</v>
      </c>
      <c r="GET16">
        <v>0</v>
      </c>
      <c r="GEU16">
        <v>0</v>
      </c>
      <c r="GEV16">
        <v>0</v>
      </c>
      <c r="GEW16">
        <v>0</v>
      </c>
      <c r="GEX16">
        <v>0</v>
      </c>
      <c r="GEY16">
        <v>0</v>
      </c>
      <c r="GEZ16">
        <v>0</v>
      </c>
      <c r="GFA16">
        <v>0</v>
      </c>
      <c r="GFB16">
        <v>0</v>
      </c>
      <c r="GFC16">
        <v>0</v>
      </c>
      <c r="GFD16">
        <v>0</v>
      </c>
      <c r="GFE16">
        <v>0</v>
      </c>
      <c r="GFF16">
        <v>35</v>
      </c>
      <c r="GFG16">
        <v>0</v>
      </c>
      <c r="GFH16">
        <v>0</v>
      </c>
      <c r="GFI16">
        <v>0</v>
      </c>
      <c r="GFJ16">
        <v>0</v>
      </c>
      <c r="GFK16">
        <v>0</v>
      </c>
      <c r="GFL16">
        <v>0</v>
      </c>
      <c r="GFM16">
        <v>0</v>
      </c>
      <c r="GFN16">
        <v>0</v>
      </c>
      <c r="GFO16">
        <v>0</v>
      </c>
      <c r="GFP16">
        <v>0</v>
      </c>
      <c r="GFQ16">
        <v>0</v>
      </c>
      <c r="GFR16">
        <v>0</v>
      </c>
      <c r="GFS16">
        <v>0</v>
      </c>
      <c r="GFT16">
        <v>0</v>
      </c>
      <c r="GFU16">
        <v>273.95999999999998</v>
      </c>
      <c r="GFV16">
        <v>0</v>
      </c>
      <c r="GFW16">
        <v>0</v>
      </c>
      <c r="GFX16">
        <v>0</v>
      </c>
      <c r="GFY16">
        <v>0</v>
      </c>
      <c r="GFZ16">
        <v>2834.82</v>
      </c>
      <c r="GGA16">
        <v>0</v>
      </c>
      <c r="GGB16">
        <v>0</v>
      </c>
      <c r="GGC16">
        <v>0</v>
      </c>
      <c r="GGD16">
        <v>0</v>
      </c>
      <c r="GGE16">
        <v>0</v>
      </c>
      <c r="GGF16">
        <v>0</v>
      </c>
      <c r="GGG16">
        <v>0</v>
      </c>
      <c r="GGH16">
        <v>0</v>
      </c>
      <c r="GGI16">
        <v>0</v>
      </c>
      <c r="GGJ16">
        <v>0</v>
      </c>
      <c r="GGK16">
        <v>0</v>
      </c>
      <c r="GGL16">
        <v>0</v>
      </c>
      <c r="GGM16">
        <v>105.99</v>
      </c>
      <c r="GGN16">
        <v>593.96</v>
      </c>
      <c r="GGO16">
        <v>236.99</v>
      </c>
      <c r="GGP16">
        <v>156.99</v>
      </c>
      <c r="GGQ16">
        <v>0</v>
      </c>
      <c r="GGR16">
        <v>0</v>
      </c>
      <c r="GGS16">
        <v>0</v>
      </c>
      <c r="GGT16">
        <v>0</v>
      </c>
      <c r="GGU16">
        <v>0</v>
      </c>
      <c r="GGV16">
        <v>283</v>
      </c>
      <c r="GGW16">
        <v>0</v>
      </c>
      <c r="GGX16">
        <v>0</v>
      </c>
      <c r="GGY16">
        <v>0</v>
      </c>
      <c r="GGZ16">
        <v>0</v>
      </c>
      <c r="GHA16">
        <v>53</v>
      </c>
      <c r="GHB16">
        <v>0</v>
      </c>
      <c r="GHC16">
        <v>0</v>
      </c>
      <c r="GHD16">
        <v>0</v>
      </c>
      <c r="GHE16">
        <v>511.99</v>
      </c>
      <c r="GHF16">
        <v>0</v>
      </c>
      <c r="GHG16">
        <v>0</v>
      </c>
      <c r="GHH16">
        <v>548.95000000000005</v>
      </c>
      <c r="GHI16">
        <v>0</v>
      </c>
      <c r="GHJ16">
        <v>0</v>
      </c>
      <c r="GHK16">
        <v>0</v>
      </c>
      <c r="GHL16">
        <v>68</v>
      </c>
      <c r="GHM16">
        <v>0</v>
      </c>
      <c r="GHN16">
        <v>17</v>
      </c>
      <c r="GHO16">
        <v>184</v>
      </c>
      <c r="GHP16">
        <v>0</v>
      </c>
      <c r="GHQ16">
        <v>0</v>
      </c>
      <c r="GHR16">
        <v>42</v>
      </c>
      <c r="GHS16">
        <v>0</v>
      </c>
      <c r="GHT16">
        <v>0</v>
      </c>
      <c r="GHU16">
        <v>0</v>
      </c>
      <c r="GHV16">
        <v>0</v>
      </c>
      <c r="GHW16">
        <v>95</v>
      </c>
      <c r="GHX16">
        <v>0</v>
      </c>
      <c r="GHY16">
        <v>0</v>
      </c>
      <c r="GHZ16">
        <v>0</v>
      </c>
      <c r="GIA16">
        <v>747.89</v>
      </c>
      <c r="GIB16">
        <v>0</v>
      </c>
      <c r="GIC16">
        <v>0</v>
      </c>
      <c r="GID16">
        <v>48</v>
      </c>
      <c r="GIE16">
        <v>0</v>
      </c>
      <c r="GIF16">
        <v>1070.01</v>
      </c>
      <c r="GIG16">
        <v>0</v>
      </c>
      <c r="GIH16">
        <v>147.99</v>
      </c>
      <c r="GII16">
        <v>0</v>
      </c>
      <c r="GIJ16">
        <v>0</v>
      </c>
      <c r="GIK16">
        <v>644.95000000000005</v>
      </c>
      <c r="GIL16">
        <v>0</v>
      </c>
      <c r="GIM16">
        <v>76.010000000000005</v>
      </c>
      <c r="GIN16">
        <v>0</v>
      </c>
      <c r="GIO16">
        <v>531.02</v>
      </c>
      <c r="GIP16">
        <v>241.01</v>
      </c>
      <c r="GIQ16">
        <v>97</v>
      </c>
      <c r="GIR16">
        <v>0</v>
      </c>
      <c r="GIS16">
        <v>382.98</v>
      </c>
      <c r="GIT16">
        <v>0</v>
      </c>
      <c r="GIU16">
        <v>0</v>
      </c>
      <c r="GIV16">
        <v>0</v>
      </c>
      <c r="GIW16">
        <v>0</v>
      </c>
      <c r="GIX16">
        <v>0</v>
      </c>
      <c r="GIY16">
        <v>14</v>
      </c>
      <c r="GIZ16">
        <v>0</v>
      </c>
      <c r="GJA16">
        <v>124</v>
      </c>
      <c r="GJB16">
        <v>0</v>
      </c>
      <c r="GJC16">
        <v>0</v>
      </c>
      <c r="GJD16">
        <v>0</v>
      </c>
      <c r="GJE16">
        <v>0</v>
      </c>
      <c r="GJF16">
        <v>0</v>
      </c>
      <c r="GJG16">
        <v>0</v>
      </c>
      <c r="GJH16">
        <v>0</v>
      </c>
      <c r="GJI16">
        <v>0</v>
      </c>
      <c r="GJJ16">
        <v>0</v>
      </c>
      <c r="GJK16">
        <v>0</v>
      </c>
      <c r="GJL16">
        <v>100.99</v>
      </c>
      <c r="GJM16">
        <v>0</v>
      </c>
      <c r="GJN16">
        <v>0</v>
      </c>
      <c r="GJO16">
        <v>0</v>
      </c>
      <c r="GJP16">
        <v>1197.02</v>
      </c>
      <c r="GJQ16">
        <v>0</v>
      </c>
      <c r="GJR16">
        <v>107.99</v>
      </c>
      <c r="GJS16">
        <v>0</v>
      </c>
      <c r="GJT16">
        <v>184.99</v>
      </c>
      <c r="GJU16">
        <v>0</v>
      </c>
      <c r="GJV16">
        <v>0</v>
      </c>
      <c r="GJW16">
        <v>0</v>
      </c>
      <c r="GJX16">
        <v>186.96</v>
      </c>
      <c r="GJY16">
        <v>0</v>
      </c>
      <c r="GJZ16">
        <v>0</v>
      </c>
      <c r="GKA16">
        <v>0</v>
      </c>
      <c r="GKB16">
        <v>0</v>
      </c>
      <c r="GKC16">
        <v>0</v>
      </c>
      <c r="GKD16">
        <v>0</v>
      </c>
      <c r="GKE16">
        <v>0</v>
      </c>
      <c r="GKF16">
        <v>0</v>
      </c>
      <c r="GKG16">
        <v>463.95</v>
      </c>
      <c r="GKH16">
        <v>0</v>
      </c>
      <c r="GKI16">
        <v>0</v>
      </c>
      <c r="GKJ16">
        <v>1527.9</v>
      </c>
      <c r="GKK16">
        <v>131.01</v>
      </c>
      <c r="GKL16">
        <v>59</v>
      </c>
      <c r="GKM16">
        <v>27</v>
      </c>
      <c r="GKN16">
        <v>0</v>
      </c>
      <c r="GKO16">
        <v>2668.85</v>
      </c>
      <c r="GKP16">
        <v>122.99</v>
      </c>
      <c r="GKQ16">
        <v>0</v>
      </c>
      <c r="GKR16">
        <v>0</v>
      </c>
      <c r="GKS16">
        <v>59.01</v>
      </c>
      <c r="GKT16">
        <v>61.99</v>
      </c>
      <c r="GKU16">
        <v>0</v>
      </c>
      <c r="GKV16">
        <v>0</v>
      </c>
      <c r="GKW16">
        <v>0</v>
      </c>
      <c r="GKX16">
        <v>0</v>
      </c>
      <c r="GKY16">
        <v>0</v>
      </c>
      <c r="GKZ16">
        <v>0</v>
      </c>
      <c r="GLA16">
        <v>152.99</v>
      </c>
      <c r="GLB16">
        <v>210.99</v>
      </c>
      <c r="GLC16">
        <v>1341.89</v>
      </c>
      <c r="GLD16">
        <v>2025.83</v>
      </c>
      <c r="GLE16">
        <v>396.96</v>
      </c>
      <c r="GLF16">
        <v>0</v>
      </c>
      <c r="GLG16">
        <v>0</v>
      </c>
      <c r="GLH16">
        <v>0</v>
      </c>
      <c r="GLI16">
        <v>0</v>
      </c>
      <c r="GLJ16">
        <v>15</v>
      </c>
      <c r="GLK16">
        <v>0</v>
      </c>
      <c r="GLL16">
        <v>186.99</v>
      </c>
      <c r="GLM16">
        <v>0</v>
      </c>
      <c r="GLN16">
        <v>154</v>
      </c>
      <c r="GLO16">
        <v>0</v>
      </c>
      <c r="GLP16">
        <v>0</v>
      </c>
      <c r="GLQ16">
        <v>45.99</v>
      </c>
      <c r="GLR16">
        <v>0</v>
      </c>
      <c r="GLS16">
        <v>0</v>
      </c>
      <c r="GLT16">
        <v>329.98</v>
      </c>
      <c r="GLU16">
        <v>3166.8</v>
      </c>
      <c r="GLV16">
        <v>0</v>
      </c>
      <c r="GLW16">
        <v>95</v>
      </c>
      <c r="GLX16">
        <v>0</v>
      </c>
      <c r="GLY16">
        <v>0</v>
      </c>
      <c r="GLZ16">
        <v>2320.86</v>
      </c>
      <c r="GMA16">
        <v>0</v>
      </c>
      <c r="GMB16">
        <v>0</v>
      </c>
      <c r="GMC16">
        <v>0</v>
      </c>
      <c r="GMD16">
        <v>0</v>
      </c>
      <c r="GME16">
        <v>0</v>
      </c>
      <c r="GMF16">
        <v>0</v>
      </c>
      <c r="GMG16">
        <v>0</v>
      </c>
      <c r="GMH16">
        <v>0</v>
      </c>
      <c r="GMI16">
        <v>79.989999999999995</v>
      </c>
      <c r="GMJ16">
        <v>0</v>
      </c>
      <c r="GMK16">
        <v>289.94</v>
      </c>
      <c r="GML16">
        <v>0</v>
      </c>
      <c r="GMM16">
        <v>1577.86</v>
      </c>
      <c r="GMN16">
        <v>652.88</v>
      </c>
      <c r="GMO16">
        <v>0</v>
      </c>
      <c r="GMP16">
        <v>0</v>
      </c>
      <c r="GMQ16">
        <v>0</v>
      </c>
      <c r="GMR16">
        <v>587.95000000000005</v>
      </c>
      <c r="GMS16">
        <v>0</v>
      </c>
      <c r="GMT16">
        <v>75</v>
      </c>
      <c r="GMU16">
        <v>0</v>
      </c>
      <c r="GMV16">
        <v>575.91999999999996</v>
      </c>
      <c r="GMW16">
        <v>0</v>
      </c>
      <c r="GMX16">
        <v>0</v>
      </c>
      <c r="GMY16">
        <v>0</v>
      </c>
      <c r="GMZ16">
        <v>0</v>
      </c>
      <c r="GNA16">
        <v>0</v>
      </c>
      <c r="GNB16">
        <v>637.96</v>
      </c>
      <c r="GNC16">
        <v>850.95</v>
      </c>
      <c r="GND16">
        <v>1585.86</v>
      </c>
      <c r="GNE16">
        <v>215.99</v>
      </c>
      <c r="GNF16">
        <v>0</v>
      </c>
      <c r="GNG16">
        <v>988.93</v>
      </c>
      <c r="GNH16">
        <v>0</v>
      </c>
      <c r="GNI16">
        <v>0</v>
      </c>
      <c r="GNJ16">
        <v>0</v>
      </c>
      <c r="GNK16">
        <v>0</v>
      </c>
      <c r="GNL16">
        <v>0</v>
      </c>
      <c r="GNM16">
        <v>58</v>
      </c>
      <c r="GNN16">
        <v>0</v>
      </c>
      <c r="GNO16">
        <v>849.93</v>
      </c>
      <c r="GNP16">
        <v>704.97</v>
      </c>
      <c r="GNQ16">
        <v>0</v>
      </c>
      <c r="GNR16">
        <v>72</v>
      </c>
      <c r="GNS16">
        <v>0</v>
      </c>
      <c r="GNT16">
        <v>1278.8599999999999</v>
      </c>
      <c r="GNU16">
        <v>0</v>
      </c>
      <c r="GNV16">
        <v>1039.9100000000001</v>
      </c>
      <c r="GNW16">
        <v>0</v>
      </c>
      <c r="GNX16">
        <v>0</v>
      </c>
      <c r="GNY16">
        <v>0</v>
      </c>
      <c r="GNZ16">
        <v>417.98</v>
      </c>
      <c r="GOA16">
        <v>750.93</v>
      </c>
      <c r="GOB16">
        <v>1587.91</v>
      </c>
      <c r="GOC16">
        <v>26</v>
      </c>
      <c r="GOD16">
        <v>0</v>
      </c>
      <c r="GOE16">
        <v>0</v>
      </c>
      <c r="GOF16">
        <v>0</v>
      </c>
      <c r="GOG16">
        <v>0</v>
      </c>
      <c r="GOH16">
        <v>44</v>
      </c>
      <c r="GOI16">
        <v>280.97000000000003</v>
      </c>
      <c r="GOJ16">
        <v>0</v>
      </c>
      <c r="GOK16">
        <v>0</v>
      </c>
      <c r="GOL16">
        <v>0</v>
      </c>
      <c r="GOM16">
        <v>0</v>
      </c>
      <c r="GON16">
        <v>0</v>
      </c>
      <c r="GOO16">
        <v>866.96</v>
      </c>
      <c r="GOP16">
        <v>0</v>
      </c>
      <c r="GOQ16">
        <v>0</v>
      </c>
      <c r="GOR16">
        <v>0</v>
      </c>
      <c r="GOS16">
        <v>543</v>
      </c>
      <c r="GOT16">
        <v>0</v>
      </c>
      <c r="GOU16">
        <v>1121.02</v>
      </c>
      <c r="GOV16">
        <v>47.99</v>
      </c>
      <c r="GOW16">
        <v>56</v>
      </c>
      <c r="GOX16">
        <v>0</v>
      </c>
      <c r="GOY16">
        <v>251</v>
      </c>
      <c r="GOZ16">
        <v>0</v>
      </c>
      <c r="GPA16">
        <v>0</v>
      </c>
      <c r="GPB16">
        <v>3788.66</v>
      </c>
      <c r="GPC16">
        <v>239.99</v>
      </c>
      <c r="GPD16">
        <v>0</v>
      </c>
      <c r="GPE16">
        <v>0</v>
      </c>
      <c r="GPF16">
        <v>0</v>
      </c>
      <c r="GPG16">
        <v>1986.86</v>
      </c>
      <c r="GPH16">
        <v>1334.9</v>
      </c>
      <c r="GPI16">
        <v>379.98</v>
      </c>
      <c r="GPJ16">
        <v>0</v>
      </c>
      <c r="GPK16">
        <v>0</v>
      </c>
      <c r="GPL16">
        <v>0</v>
      </c>
      <c r="GPM16">
        <v>0</v>
      </c>
      <c r="GPN16">
        <v>1326.86</v>
      </c>
      <c r="GPO16">
        <v>0</v>
      </c>
      <c r="GPP16">
        <v>86.99</v>
      </c>
      <c r="GPQ16">
        <v>0</v>
      </c>
      <c r="GPR16">
        <v>688.94</v>
      </c>
      <c r="GPS16">
        <v>2183.81</v>
      </c>
      <c r="GPT16">
        <v>0</v>
      </c>
      <c r="GPU16">
        <v>121.99</v>
      </c>
      <c r="GPV16">
        <v>0</v>
      </c>
      <c r="GPW16">
        <v>0</v>
      </c>
      <c r="GPX16">
        <v>1706.86</v>
      </c>
      <c r="GPY16">
        <v>1384.91</v>
      </c>
      <c r="GPZ16">
        <v>1772.9</v>
      </c>
      <c r="GQA16">
        <v>1932.78</v>
      </c>
      <c r="GQB16">
        <v>0</v>
      </c>
      <c r="GQC16">
        <v>0</v>
      </c>
      <c r="GQD16">
        <v>0</v>
      </c>
      <c r="GQE16">
        <v>2259.85</v>
      </c>
      <c r="GQF16">
        <v>942.01</v>
      </c>
      <c r="GQG16">
        <v>0</v>
      </c>
      <c r="GQH16">
        <v>0</v>
      </c>
      <c r="GQI16">
        <v>1944.08</v>
      </c>
      <c r="GQJ16">
        <v>0</v>
      </c>
      <c r="GQK16">
        <v>0</v>
      </c>
      <c r="GQL16">
        <v>0</v>
      </c>
      <c r="GQM16">
        <v>1795.94</v>
      </c>
      <c r="GQN16">
        <v>0</v>
      </c>
      <c r="GQO16">
        <v>0</v>
      </c>
      <c r="GQP16">
        <v>0</v>
      </c>
      <c r="GQQ16">
        <v>0</v>
      </c>
      <c r="GQR16">
        <v>0</v>
      </c>
      <c r="GQS16">
        <v>0</v>
      </c>
      <c r="GQT16">
        <v>1153.92</v>
      </c>
      <c r="GQU16">
        <v>1420.88</v>
      </c>
      <c r="GQV16">
        <v>3700.79</v>
      </c>
      <c r="GQW16">
        <v>0</v>
      </c>
      <c r="GQX16">
        <v>0</v>
      </c>
      <c r="GQY16">
        <v>3125.76</v>
      </c>
      <c r="GQZ16">
        <v>547.96</v>
      </c>
      <c r="GRA16">
        <v>3007.75</v>
      </c>
      <c r="GRB16">
        <v>0</v>
      </c>
      <c r="GRC16">
        <v>238.98</v>
      </c>
      <c r="GRD16">
        <v>0</v>
      </c>
      <c r="GRE16">
        <v>0</v>
      </c>
      <c r="GRF16">
        <v>0</v>
      </c>
      <c r="GRG16">
        <v>2079.81</v>
      </c>
      <c r="GRH16">
        <v>0</v>
      </c>
      <c r="GRI16">
        <v>0</v>
      </c>
      <c r="GRJ16">
        <v>5060.95</v>
      </c>
      <c r="GRK16">
        <v>624.98</v>
      </c>
      <c r="GRL16">
        <v>676.95</v>
      </c>
      <c r="GRM16">
        <v>1735.95</v>
      </c>
      <c r="GRN16">
        <v>0</v>
      </c>
      <c r="GRO16">
        <v>0</v>
      </c>
      <c r="GRP16">
        <v>0</v>
      </c>
      <c r="GRQ16">
        <v>0</v>
      </c>
      <c r="GRR16">
        <v>3047.8</v>
      </c>
      <c r="GRS16">
        <v>1302.96</v>
      </c>
      <c r="GRT16">
        <v>0</v>
      </c>
      <c r="GRU16">
        <v>454.96</v>
      </c>
      <c r="GRV16">
        <v>0</v>
      </c>
      <c r="GRW16">
        <v>1403.91</v>
      </c>
      <c r="GRX16">
        <v>6252.41</v>
      </c>
      <c r="GRY16">
        <v>138</v>
      </c>
      <c r="GRZ16">
        <v>0</v>
      </c>
      <c r="GSA16">
        <v>0</v>
      </c>
      <c r="GSB16">
        <v>110</v>
      </c>
      <c r="GSC16">
        <v>1923.94</v>
      </c>
      <c r="GSD16">
        <v>363.98</v>
      </c>
      <c r="GSE16">
        <v>2290.91</v>
      </c>
      <c r="GSF16">
        <v>863.92</v>
      </c>
      <c r="GSG16">
        <v>2828.81</v>
      </c>
      <c r="GSH16">
        <v>7753.45</v>
      </c>
      <c r="GSI16">
        <v>181.99</v>
      </c>
      <c r="GSJ16">
        <v>1327.92</v>
      </c>
      <c r="GSK16">
        <v>2854.91</v>
      </c>
      <c r="GSL16">
        <v>10847.31</v>
      </c>
      <c r="GSM16">
        <v>857.09</v>
      </c>
      <c r="GSN16">
        <v>22246.78</v>
      </c>
      <c r="GSO16">
        <v>5795.62</v>
      </c>
      <c r="GSP16">
        <v>3613.75</v>
      </c>
      <c r="GSQ16">
        <v>12010.56</v>
      </c>
      <c r="GSR16">
        <v>278817.21000000002</v>
      </c>
    </row>
    <row r="17" spans="1:5244" x14ac:dyDescent="0.2">
      <c r="A17" s="7">
        <v>140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6</v>
      </c>
      <c r="EX17">
        <v>6</v>
      </c>
      <c r="EY17">
        <v>6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9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10</v>
      </c>
      <c r="NR17">
        <v>10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11</v>
      </c>
      <c r="PT17">
        <v>11</v>
      </c>
      <c r="PU17">
        <v>11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14</v>
      </c>
      <c r="WJ17">
        <v>14</v>
      </c>
      <c r="WK17">
        <v>14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16.010000000000002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17</v>
      </c>
      <c r="ACH17">
        <v>17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18</v>
      </c>
      <c r="AEE17">
        <v>18</v>
      </c>
      <c r="AEF17">
        <v>18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19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20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21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9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23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24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25</v>
      </c>
      <c r="ARI17">
        <v>25</v>
      </c>
      <c r="ARJ17">
        <v>25</v>
      </c>
      <c r="ARK17">
        <v>25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26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32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34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35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36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18</v>
      </c>
      <c r="BIB17">
        <v>0</v>
      </c>
      <c r="BIC17">
        <v>0</v>
      </c>
      <c r="BID17">
        <v>37</v>
      </c>
      <c r="BIE17">
        <v>0</v>
      </c>
      <c r="BIF17">
        <v>0</v>
      </c>
      <c r="BIG17">
        <v>0</v>
      </c>
      <c r="BIH17">
        <v>32.020000000000003</v>
      </c>
      <c r="BII17">
        <v>37.04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39</v>
      </c>
      <c r="BKX17">
        <v>39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43</v>
      </c>
      <c r="BPA17">
        <v>43</v>
      </c>
      <c r="BPB17">
        <v>43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45.99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50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</v>
      </c>
      <c r="BXY17">
        <v>0</v>
      </c>
      <c r="BXZ17">
        <v>0</v>
      </c>
      <c r="BYA17">
        <v>0</v>
      </c>
      <c r="BYB17">
        <v>0</v>
      </c>
      <c r="BYC17">
        <v>0</v>
      </c>
      <c r="BYD17">
        <v>0</v>
      </c>
      <c r="BYE17">
        <v>0</v>
      </c>
      <c r="BYF17">
        <v>0</v>
      </c>
      <c r="BYG17">
        <v>0</v>
      </c>
      <c r="BYH17">
        <v>0</v>
      </c>
      <c r="BYI17">
        <v>0</v>
      </c>
      <c r="BYJ17">
        <v>54</v>
      </c>
      <c r="BYK17">
        <v>54</v>
      </c>
      <c r="BYL17">
        <v>0</v>
      </c>
      <c r="BYM17">
        <v>0</v>
      </c>
      <c r="BYN17">
        <v>0</v>
      </c>
      <c r="BYO17">
        <v>0</v>
      </c>
      <c r="BYP17">
        <v>0</v>
      </c>
      <c r="BYQ17">
        <v>26.02</v>
      </c>
      <c r="BYR17">
        <v>0</v>
      </c>
      <c r="BYS17">
        <v>0</v>
      </c>
      <c r="BYT17">
        <v>0</v>
      </c>
      <c r="BYU17">
        <v>0</v>
      </c>
      <c r="BYV17">
        <v>0</v>
      </c>
      <c r="BYW17">
        <v>0</v>
      </c>
      <c r="BYX17">
        <v>0</v>
      </c>
      <c r="BYY17">
        <v>0</v>
      </c>
      <c r="BYZ17">
        <v>0</v>
      </c>
      <c r="BZA17">
        <v>0</v>
      </c>
      <c r="BZB17">
        <v>0</v>
      </c>
      <c r="BZC17">
        <v>0</v>
      </c>
      <c r="BZD17">
        <v>0</v>
      </c>
      <c r="BZE17">
        <v>0</v>
      </c>
      <c r="BZF17">
        <v>0</v>
      </c>
      <c r="BZG17">
        <v>0</v>
      </c>
      <c r="BZH17">
        <v>0</v>
      </c>
      <c r="BZI17">
        <v>0</v>
      </c>
      <c r="BZJ17">
        <v>0</v>
      </c>
      <c r="BZK17">
        <v>0</v>
      </c>
      <c r="BZL17">
        <v>0</v>
      </c>
      <c r="BZM17">
        <v>0</v>
      </c>
      <c r="BZN17">
        <v>0</v>
      </c>
      <c r="BZO17">
        <v>0</v>
      </c>
      <c r="BZP17">
        <v>0</v>
      </c>
      <c r="BZQ17">
        <v>55</v>
      </c>
      <c r="BZR17">
        <v>0</v>
      </c>
      <c r="BZS17">
        <v>0</v>
      </c>
      <c r="BZT17">
        <v>0</v>
      </c>
      <c r="BZU17">
        <v>0</v>
      </c>
      <c r="BZV17">
        <v>0</v>
      </c>
      <c r="BZW17">
        <v>0</v>
      </c>
      <c r="BZX17">
        <v>0</v>
      </c>
      <c r="BZY17">
        <v>0</v>
      </c>
      <c r="BZZ17">
        <v>0</v>
      </c>
      <c r="CAA17">
        <v>0</v>
      </c>
      <c r="CAB17">
        <v>0</v>
      </c>
      <c r="CAC17">
        <v>0</v>
      </c>
      <c r="CAD17">
        <v>0</v>
      </c>
      <c r="CAE17">
        <v>0</v>
      </c>
      <c r="CAF17">
        <v>0</v>
      </c>
      <c r="CAG17">
        <v>0</v>
      </c>
      <c r="CAH17">
        <v>0</v>
      </c>
      <c r="CAI17">
        <v>0</v>
      </c>
      <c r="CAJ17">
        <v>0</v>
      </c>
      <c r="CAK17">
        <v>0</v>
      </c>
      <c r="CAL17">
        <v>0</v>
      </c>
      <c r="CAM17">
        <v>0</v>
      </c>
      <c r="CAN17">
        <v>0</v>
      </c>
      <c r="CAO17">
        <v>0</v>
      </c>
      <c r="CAP17">
        <v>0</v>
      </c>
      <c r="CAQ17">
        <v>0</v>
      </c>
      <c r="CAR17">
        <v>57</v>
      </c>
      <c r="CAS17">
        <v>0</v>
      </c>
      <c r="CAT17">
        <v>0</v>
      </c>
      <c r="CAU17">
        <v>0</v>
      </c>
      <c r="CAV17">
        <v>0</v>
      </c>
      <c r="CAW17">
        <v>0</v>
      </c>
      <c r="CAX17">
        <v>0</v>
      </c>
      <c r="CAY17">
        <v>0</v>
      </c>
      <c r="CAZ17">
        <v>0</v>
      </c>
      <c r="CBA17">
        <v>0</v>
      </c>
      <c r="CBB17">
        <v>0</v>
      </c>
      <c r="CBC17">
        <v>0</v>
      </c>
      <c r="CBD17">
        <v>0</v>
      </c>
      <c r="CBE17">
        <v>0</v>
      </c>
      <c r="CBF17">
        <v>0</v>
      </c>
      <c r="CBG17">
        <v>0</v>
      </c>
      <c r="CBH17">
        <v>0</v>
      </c>
      <c r="CBI17">
        <v>0</v>
      </c>
      <c r="CBJ17">
        <v>0</v>
      </c>
      <c r="CBK17">
        <v>0</v>
      </c>
      <c r="CBL17">
        <v>58</v>
      </c>
      <c r="CBM17">
        <v>0</v>
      </c>
      <c r="CBN17">
        <v>0</v>
      </c>
      <c r="CBO17">
        <v>0</v>
      </c>
      <c r="CBP17">
        <v>0</v>
      </c>
      <c r="CBQ17">
        <v>0</v>
      </c>
      <c r="CBR17">
        <v>0</v>
      </c>
      <c r="CBS17">
        <v>0</v>
      </c>
      <c r="CBT17">
        <v>0</v>
      </c>
      <c r="CBU17">
        <v>0</v>
      </c>
      <c r="CBV17">
        <v>0</v>
      </c>
      <c r="CBW17">
        <v>0</v>
      </c>
      <c r="CBX17">
        <v>0</v>
      </c>
      <c r="CBY17">
        <v>0</v>
      </c>
      <c r="CBZ17">
        <v>0</v>
      </c>
      <c r="CCA17">
        <v>0</v>
      </c>
      <c r="CCB17">
        <v>0</v>
      </c>
      <c r="CCC17">
        <v>0</v>
      </c>
      <c r="CCD17">
        <v>0</v>
      </c>
      <c r="CCE17">
        <v>0</v>
      </c>
      <c r="CCF17">
        <v>0</v>
      </c>
      <c r="CCG17">
        <v>0</v>
      </c>
      <c r="CCH17">
        <v>0</v>
      </c>
      <c r="CCI17">
        <v>0</v>
      </c>
      <c r="CCJ17">
        <v>0</v>
      </c>
      <c r="CCK17">
        <v>0</v>
      </c>
      <c r="CCL17">
        <v>0</v>
      </c>
      <c r="CCM17">
        <v>0</v>
      </c>
      <c r="CCN17">
        <v>0</v>
      </c>
      <c r="CCO17">
        <v>0</v>
      </c>
      <c r="CCP17">
        <v>0</v>
      </c>
      <c r="CCQ17">
        <v>0</v>
      </c>
      <c r="CCR17">
        <v>0</v>
      </c>
      <c r="CCS17">
        <v>0</v>
      </c>
      <c r="CCT17">
        <v>0</v>
      </c>
      <c r="CCU17">
        <v>0</v>
      </c>
      <c r="CCV17">
        <v>0</v>
      </c>
      <c r="CCW17">
        <v>0</v>
      </c>
      <c r="CCX17">
        <v>0</v>
      </c>
      <c r="CCY17">
        <v>0</v>
      </c>
      <c r="CCZ17">
        <v>0</v>
      </c>
      <c r="CDA17">
        <v>0</v>
      </c>
      <c r="CDB17">
        <v>0</v>
      </c>
      <c r="CDC17">
        <v>0</v>
      </c>
      <c r="CDD17">
        <v>0</v>
      </c>
      <c r="CDE17">
        <v>0</v>
      </c>
      <c r="CDF17">
        <v>0</v>
      </c>
      <c r="CDG17">
        <v>0</v>
      </c>
      <c r="CDH17">
        <v>0</v>
      </c>
      <c r="CDI17">
        <v>0</v>
      </c>
      <c r="CDJ17">
        <v>0</v>
      </c>
      <c r="CDK17">
        <v>0</v>
      </c>
      <c r="CDL17">
        <v>0</v>
      </c>
      <c r="CDM17">
        <v>0</v>
      </c>
      <c r="CDN17">
        <v>0</v>
      </c>
      <c r="CDO17">
        <v>0</v>
      </c>
      <c r="CDP17">
        <v>0</v>
      </c>
      <c r="CDQ17">
        <v>0</v>
      </c>
      <c r="CDR17">
        <v>0</v>
      </c>
      <c r="CDS17">
        <v>0</v>
      </c>
      <c r="CDT17">
        <v>0</v>
      </c>
      <c r="CDU17">
        <v>0</v>
      </c>
      <c r="CDV17">
        <v>0</v>
      </c>
      <c r="CDW17">
        <v>0</v>
      </c>
      <c r="CDX17">
        <v>0</v>
      </c>
      <c r="CDY17">
        <v>0</v>
      </c>
      <c r="CDZ17">
        <v>62</v>
      </c>
      <c r="CEA17">
        <v>0</v>
      </c>
      <c r="CEB17">
        <v>0</v>
      </c>
      <c r="CEC17">
        <v>0</v>
      </c>
      <c r="CED17">
        <v>0</v>
      </c>
      <c r="CEE17">
        <v>0</v>
      </c>
      <c r="CEF17">
        <v>0</v>
      </c>
      <c r="CEG17">
        <v>0</v>
      </c>
      <c r="CEH17">
        <v>0</v>
      </c>
      <c r="CEI17">
        <v>0</v>
      </c>
      <c r="CEJ17">
        <v>0</v>
      </c>
      <c r="CEK17">
        <v>0</v>
      </c>
      <c r="CEL17">
        <v>0</v>
      </c>
      <c r="CEM17">
        <v>0</v>
      </c>
      <c r="CEN17">
        <v>0</v>
      </c>
      <c r="CEO17">
        <v>0</v>
      </c>
      <c r="CEP17">
        <v>0</v>
      </c>
      <c r="CEQ17">
        <v>0</v>
      </c>
      <c r="CER17">
        <v>0</v>
      </c>
      <c r="CES17">
        <v>0</v>
      </c>
      <c r="CET17">
        <v>0</v>
      </c>
      <c r="CEU17">
        <v>0</v>
      </c>
      <c r="CEV17">
        <v>0</v>
      </c>
      <c r="CEW17">
        <v>0</v>
      </c>
      <c r="CEX17">
        <v>0</v>
      </c>
      <c r="CEY17">
        <v>0</v>
      </c>
      <c r="CEZ17">
        <v>0</v>
      </c>
      <c r="CFA17">
        <v>0</v>
      </c>
      <c r="CFB17">
        <v>0</v>
      </c>
      <c r="CFC17">
        <v>0</v>
      </c>
      <c r="CFD17">
        <v>0</v>
      </c>
      <c r="CFE17">
        <v>0</v>
      </c>
      <c r="CFF17">
        <v>0</v>
      </c>
      <c r="CFG17">
        <v>0</v>
      </c>
      <c r="CFH17">
        <v>0</v>
      </c>
      <c r="CFI17">
        <v>0</v>
      </c>
      <c r="CFJ17">
        <v>0</v>
      </c>
      <c r="CFK17">
        <v>0</v>
      </c>
      <c r="CFL17">
        <v>0</v>
      </c>
      <c r="CFM17">
        <v>0</v>
      </c>
      <c r="CFN17">
        <v>0</v>
      </c>
      <c r="CFO17">
        <v>0</v>
      </c>
      <c r="CFP17">
        <v>0</v>
      </c>
      <c r="CFQ17">
        <v>0</v>
      </c>
      <c r="CFR17">
        <v>0</v>
      </c>
      <c r="CFS17">
        <v>0</v>
      </c>
      <c r="CFT17">
        <v>0</v>
      </c>
      <c r="CFU17">
        <v>0</v>
      </c>
      <c r="CFV17">
        <v>0</v>
      </c>
      <c r="CFW17">
        <v>0</v>
      </c>
      <c r="CFX17">
        <v>0</v>
      </c>
      <c r="CFY17">
        <v>0</v>
      </c>
      <c r="CFZ17">
        <v>0</v>
      </c>
      <c r="CGA17">
        <v>0</v>
      </c>
      <c r="CGB17">
        <v>0</v>
      </c>
      <c r="CGC17">
        <v>0</v>
      </c>
      <c r="CGD17">
        <v>36</v>
      </c>
      <c r="CGE17">
        <v>0</v>
      </c>
      <c r="CGF17">
        <v>0</v>
      </c>
      <c r="CGG17">
        <v>0</v>
      </c>
      <c r="CGH17">
        <v>0</v>
      </c>
      <c r="CGI17">
        <v>0</v>
      </c>
      <c r="CGJ17">
        <v>0</v>
      </c>
      <c r="CGK17">
        <v>0</v>
      </c>
      <c r="CGL17">
        <v>0</v>
      </c>
      <c r="CGM17">
        <v>65</v>
      </c>
      <c r="CGN17">
        <v>0</v>
      </c>
      <c r="CGO17">
        <v>0</v>
      </c>
      <c r="CGP17">
        <v>0</v>
      </c>
      <c r="CGQ17">
        <v>0</v>
      </c>
      <c r="CGR17">
        <v>0</v>
      </c>
      <c r="CGS17">
        <v>0</v>
      </c>
      <c r="CGT17">
        <v>0</v>
      </c>
      <c r="CGU17">
        <v>0</v>
      </c>
      <c r="CGV17">
        <v>0</v>
      </c>
      <c r="CGW17">
        <v>0</v>
      </c>
      <c r="CGX17">
        <v>0</v>
      </c>
      <c r="CGY17">
        <v>0</v>
      </c>
      <c r="CGZ17">
        <v>66</v>
      </c>
      <c r="CHA17">
        <v>66</v>
      </c>
      <c r="CHB17">
        <v>0</v>
      </c>
      <c r="CHC17">
        <v>0</v>
      </c>
      <c r="CHD17">
        <v>0</v>
      </c>
      <c r="CHE17">
        <v>0</v>
      </c>
      <c r="CHF17">
        <v>0</v>
      </c>
      <c r="CHG17">
        <v>0</v>
      </c>
      <c r="CHH17">
        <v>0</v>
      </c>
      <c r="CHI17">
        <v>0</v>
      </c>
      <c r="CHJ17">
        <v>0</v>
      </c>
      <c r="CHK17">
        <v>0</v>
      </c>
      <c r="CHL17">
        <v>0</v>
      </c>
      <c r="CHM17">
        <v>0</v>
      </c>
      <c r="CHN17">
        <v>0</v>
      </c>
      <c r="CHO17">
        <v>0</v>
      </c>
      <c r="CHP17">
        <v>0</v>
      </c>
      <c r="CHQ17">
        <v>0</v>
      </c>
      <c r="CHR17">
        <v>0</v>
      </c>
      <c r="CHS17">
        <v>0</v>
      </c>
      <c r="CHT17">
        <v>0</v>
      </c>
      <c r="CHU17">
        <v>0</v>
      </c>
      <c r="CHV17">
        <v>0</v>
      </c>
      <c r="CHW17">
        <v>0</v>
      </c>
      <c r="CHX17">
        <v>0</v>
      </c>
      <c r="CHY17">
        <v>0</v>
      </c>
      <c r="CHZ17">
        <v>0</v>
      </c>
      <c r="CIA17">
        <v>0</v>
      </c>
      <c r="CIB17">
        <v>0</v>
      </c>
      <c r="CIC17">
        <v>0</v>
      </c>
      <c r="CID17">
        <v>0</v>
      </c>
      <c r="CIE17">
        <v>0</v>
      </c>
      <c r="CIF17">
        <v>37</v>
      </c>
      <c r="CIG17">
        <v>0</v>
      </c>
      <c r="CIH17">
        <v>0</v>
      </c>
      <c r="CII17">
        <v>0</v>
      </c>
      <c r="CIJ17">
        <v>0</v>
      </c>
      <c r="CIK17">
        <v>0</v>
      </c>
      <c r="CIL17">
        <v>0</v>
      </c>
      <c r="CIM17">
        <v>0</v>
      </c>
      <c r="CIN17">
        <v>0</v>
      </c>
      <c r="CIO17">
        <v>0</v>
      </c>
      <c r="CIP17">
        <v>0</v>
      </c>
      <c r="CIQ17">
        <v>0</v>
      </c>
      <c r="CIR17">
        <v>0</v>
      </c>
      <c r="CIS17">
        <v>0</v>
      </c>
      <c r="CIT17">
        <v>0</v>
      </c>
      <c r="CIU17">
        <v>0</v>
      </c>
      <c r="CIV17">
        <v>0</v>
      </c>
      <c r="CIW17">
        <v>0</v>
      </c>
      <c r="CIX17">
        <v>0</v>
      </c>
      <c r="CIY17">
        <v>34</v>
      </c>
      <c r="CIZ17">
        <v>0</v>
      </c>
      <c r="CJA17">
        <v>0</v>
      </c>
      <c r="CJB17">
        <v>0</v>
      </c>
      <c r="CJC17">
        <v>0</v>
      </c>
      <c r="CJD17">
        <v>0</v>
      </c>
      <c r="CJE17">
        <v>0</v>
      </c>
      <c r="CJF17">
        <v>0</v>
      </c>
      <c r="CJG17">
        <v>0</v>
      </c>
      <c r="CJH17">
        <v>0</v>
      </c>
      <c r="CJI17">
        <v>0</v>
      </c>
      <c r="CJJ17">
        <v>0</v>
      </c>
      <c r="CJK17">
        <v>0</v>
      </c>
      <c r="CJL17">
        <v>0</v>
      </c>
      <c r="CJM17">
        <v>0</v>
      </c>
      <c r="CJN17">
        <v>0</v>
      </c>
      <c r="CJO17">
        <v>0</v>
      </c>
      <c r="CJP17">
        <v>0</v>
      </c>
      <c r="CJQ17">
        <v>0</v>
      </c>
      <c r="CJR17">
        <v>0</v>
      </c>
      <c r="CJS17">
        <v>0</v>
      </c>
      <c r="CJT17">
        <v>0</v>
      </c>
      <c r="CJU17">
        <v>0</v>
      </c>
      <c r="CJV17">
        <v>0</v>
      </c>
      <c r="CJW17">
        <v>0</v>
      </c>
      <c r="CJX17">
        <v>0</v>
      </c>
      <c r="CJY17">
        <v>0</v>
      </c>
      <c r="CJZ17">
        <v>0</v>
      </c>
      <c r="CKA17">
        <v>0</v>
      </c>
      <c r="CKB17">
        <v>0</v>
      </c>
      <c r="CKC17">
        <v>0</v>
      </c>
      <c r="CKD17">
        <v>0</v>
      </c>
      <c r="CKE17">
        <v>0</v>
      </c>
      <c r="CKF17">
        <v>0</v>
      </c>
      <c r="CKG17">
        <v>0</v>
      </c>
      <c r="CKH17">
        <v>0</v>
      </c>
      <c r="CKI17">
        <v>0</v>
      </c>
      <c r="CKJ17">
        <v>0</v>
      </c>
      <c r="CKK17">
        <v>0</v>
      </c>
      <c r="CKL17">
        <v>0</v>
      </c>
      <c r="CKM17">
        <v>0</v>
      </c>
      <c r="CKN17">
        <v>0</v>
      </c>
      <c r="CKO17">
        <v>0</v>
      </c>
      <c r="CKP17">
        <v>0</v>
      </c>
      <c r="CKQ17">
        <v>0</v>
      </c>
      <c r="CKR17">
        <v>0</v>
      </c>
      <c r="CKS17">
        <v>0</v>
      </c>
      <c r="CKT17">
        <v>0</v>
      </c>
      <c r="CKU17">
        <v>0</v>
      </c>
      <c r="CKV17">
        <v>0</v>
      </c>
      <c r="CKW17">
        <v>0</v>
      </c>
      <c r="CKX17">
        <v>0</v>
      </c>
      <c r="CKY17">
        <v>0</v>
      </c>
      <c r="CKZ17">
        <v>0</v>
      </c>
      <c r="CLA17">
        <v>0</v>
      </c>
      <c r="CLB17">
        <v>0</v>
      </c>
      <c r="CLC17">
        <v>0</v>
      </c>
      <c r="CLD17">
        <v>0</v>
      </c>
      <c r="CLE17">
        <v>0</v>
      </c>
      <c r="CLF17">
        <v>0</v>
      </c>
      <c r="CLG17">
        <v>0</v>
      </c>
      <c r="CLH17">
        <v>0</v>
      </c>
      <c r="CLI17">
        <v>0</v>
      </c>
      <c r="CLJ17">
        <v>0</v>
      </c>
      <c r="CLK17">
        <v>0</v>
      </c>
      <c r="CLL17">
        <v>0</v>
      </c>
      <c r="CLM17">
        <v>0</v>
      </c>
      <c r="CLN17">
        <v>0</v>
      </c>
      <c r="CLO17">
        <v>0</v>
      </c>
      <c r="CLP17">
        <v>0</v>
      </c>
      <c r="CLQ17">
        <v>0</v>
      </c>
      <c r="CLR17">
        <v>0</v>
      </c>
      <c r="CLS17">
        <v>0</v>
      </c>
      <c r="CLT17">
        <v>0</v>
      </c>
      <c r="CLU17">
        <v>0</v>
      </c>
      <c r="CLV17">
        <v>0</v>
      </c>
      <c r="CLW17">
        <v>0</v>
      </c>
      <c r="CLX17">
        <v>0</v>
      </c>
      <c r="CLY17">
        <v>0</v>
      </c>
      <c r="CLZ17">
        <v>0</v>
      </c>
      <c r="CMA17">
        <v>0</v>
      </c>
      <c r="CMB17">
        <v>0</v>
      </c>
      <c r="CMC17">
        <v>0</v>
      </c>
      <c r="CMD17">
        <v>0</v>
      </c>
      <c r="CME17">
        <v>0</v>
      </c>
      <c r="CMF17">
        <v>0</v>
      </c>
      <c r="CMG17">
        <v>0</v>
      </c>
      <c r="CMH17">
        <v>74</v>
      </c>
      <c r="CMI17">
        <v>0</v>
      </c>
      <c r="CMJ17">
        <v>0</v>
      </c>
      <c r="CMK17">
        <v>0</v>
      </c>
      <c r="CML17">
        <v>0</v>
      </c>
      <c r="CMM17">
        <v>0</v>
      </c>
      <c r="CMN17">
        <v>0</v>
      </c>
      <c r="CMO17">
        <v>0</v>
      </c>
      <c r="CMP17">
        <v>0</v>
      </c>
      <c r="CMQ17">
        <v>0</v>
      </c>
      <c r="CMR17">
        <v>0</v>
      </c>
      <c r="CMS17">
        <v>0</v>
      </c>
      <c r="CMT17">
        <v>0</v>
      </c>
      <c r="CMU17">
        <v>0</v>
      </c>
      <c r="CMV17">
        <v>0</v>
      </c>
      <c r="CMW17">
        <v>0</v>
      </c>
      <c r="CMX17">
        <v>0</v>
      </c>
      <c r="CMY17">
        <v>0</v>
      </c>
      <c r="CMZ17">
        <v>0</v>
      </c>
      <c r="CNA17">
        <v>76</v>
      </c>
      <c r="CNB17">
        <v>0</v>
      </c>
      <c r="CNC17">
        <v>0</v>
      </c>
      <c r="CND17">
        <v>0</v>
      </c>
      <c r="CNE17">
        <v>0</v>
      </c>
      <c r="CNF17">
        <v>0</v>
      </c>
      <c r="CNG17">
        <v>0</v>
      </c>
      <c r="CNH17">
        <v>0</v>
      </c>
      <c r="CNI17">
        <v>0</v>
      </c>
      <c r="CNJ17">
        <v>0</v>
      </c>
      <c r="CNK17">
        <v>0</v>
      </c>
      <c r="CNL17">
        <v>0</v>
      </c>
      <c r="CNM17">
        <v>0</v>
      </c>
      <c r="CNN17">
        <v>0</v>
      </c>
      <c r="CNO17">
        <v>0</v>
      </c>
      <c r="CNP17">
        <v>0</v>
      </c>
      <c r="CNQ17">
        <v>0</v>
      </c>
      <c r="CNR17">
        <v>0</v>
      </c>
      <c r="CNS17">
        <v>0</v>
      </c>
      <c r="CNT17">
        <v>0</v>
      </c>
      <c r="CNU17">
        <v>0</v>
      </c>
      <c r="CNV17">
        <v>0</v>
      </c>
      <c r="CNW17">
        <v>0</v>
      </c>
      <c r="CNX17">
        <v>0</v>
      </c>
      <c r="CNY17">
        <v>0</v>
      </c>
      <c r="CNZ17">
        <v>0</v>
      </c>
      <c r="COA17">
        <v>0</v>
      </c>
      <c r="COB17">
        <v>0</v>
      </c>
      <c r="COC17">
        <v>0</v>
      </c>
      <c r="COD17">
        <v>0</v>
      </c>
      <c r="COE17">
        <v>0</v>
      </c>
      <c r="COF17">
        <v>0</v>
      </c>
      <c r="COG17">
        <v>0</v>
      </c>
      <c r="COH17">
        <v>0</v>
      </c>
      <c r="COI17">
        <v>0</v>
      </c>
      <c r="COJ17">
        <v>0</v>
      </c>
      <c r="COK17">
        <v>0</v>
      </c>
      <c r="COL17">
        <v>0</v>
      </c>
      <c r="COM17">
        <v>0</v>
      </c>
      <c r="CON17">
        <v>0</v>
      </c>
      <c r="COO17">
        <v>0</v>
      </c>
      <c r="COP17">
        <v>0</v>
      </c>
      <c r="COQ17">
        <v>0</v>
      </c>
      <c r="COR17">
        <v>0</v>
      </c>
      <c r="COS17">
        <v>0</v>
      </c>
      <c r="COT17">
        <v>0</v>
      </c>
      <c r="COU17">
        <v>0</v>
      </c>
      <c r="COV17">
        <v>0</v>
      </c>
      <c r="COW17">
        <v>0</v>
      </c>
      <c r="COX17">
        <v>0</v>
      </c>
      <c r="COY17">
        <v>0</v>
      </c>
      <c r="COZ17">
        <v>0</v>
      </c>
      <c r="CPA17">
        <v>0</v>
      </c>
      <c r="CPB17">
        <v>0</v>
      </c>
      <c r="CPC17">
        <v>0</v>
      </c>
      <c r="CPD17">
        <v>0</v>
      </c>
      <c r="CPE17">
        <v>0</v>
      </c>
      <c r="CPF17">
        <v>0</v>
      </c>
      <c r="CPG17">
        <v>0</v>
      </c>
      <c r="CPH17">
        <v>0</v>
      </c>
      <c r="CPI17">
        <v>0</v>
      </c>
      <c r="CPJ17">
        <v>0</v>
      </c>
      <c r="CPK17">
        <v>0</v>
      </c>
      <c r="CPL17">
        <v>35</v>
      </c>
      <c r="CPM17">
        <v>0</v>
      </c>
      <c r="CPN17">
        <v>0</v>
      </c>
      <c r="CPO17">
        <v>0</v>
      </c>
      <c r="CPP17">
        <v>0</v>
      </c>
      <c r="CPQ17">
        <v>0</v>
      </c>
      <c r="CPR17">
        <v>0</v>
      </c>
      <c r="CPS17">
        <v>0</v>
      </c>
      <c r="CPT17">
        <v>0</v>
      </c>
      <c r="CPU17">
        <v>0</v>
      </c>
      <c r="CPV17">
        <v>0</v>
      </c>
      <c r="CPW17">
        <v>0</v>
      </c>
      <c r="CPX17">
        <v>0</v>
      </c>
      <c r="CPY17">
        <v>0</v>
      </c>
      <c r="CPZ17">
        <v>0</v>
      </c>
      <c r="CQA17">
        <v>0</v>
      </c>
      <c r="CQB17">
        <v>0</v>
      </c>
      <c r="CQC17">
        <v>0</v>
      </c>
      <c r="CQD17">
        <v>0</v>
      </c>
      <c r="CQE17">
        <v>0</v>
      </c>
      <c r="CQF17">
        <v>0</v>
      </c>
      <c r="CQG17">
        <v>0</v>
      </c>
      <c r="CQH17">
        <v>0</v>
      </c>
      <c r="CQI17">
        <v>0</v>
      </c>
      <c r="CQJ17">
        <v>0</v>
      </c>
      <c r="CQK17">
        <v>0</v>
      </c>
      <c r="CQL17">
        <v>0</v>
      </c>
      <c r="CQM17">
        <v>0</v>
      </c>
      <c r="CQN17">
        <v>0</v>
      </c>
      <c r="CQO17">
        <v>0</v>
      </c>
      <c r="CQP17">
        <v>0</v>
      </c>
      <c r="CQQ17">
        <v>0</v>
      </c>
      <c r="CQR17">
        <v>84.99</v>
      </c>
      <c r="CQS17">
        <v>0</v>
      </c>
      <c r="CQT17">
        <v>0</v>
      </c>
      <c r="CQU17">
        <v>0</v>
      </c>
      <c r="CQV17">
        <v>0</v>
      </c>
      <c r="CQW17">
        <v>0</v>
      </c>
      <c r="CQX17">
        <v>0</v>
      </c>
      <c r="CQY17">
        <v>0</v>
      </c>
      <c r="CQZ17">
        <v>0</v>
      </c>
      <c r="CRA17">
        <v>0</v>
      </c>
      <c r="CRB17">
        <v>0</v>
      </c>
      <c r="CRC17">
        <v>0</v>
      </c>
      <c r="CRD17">
        <v>0</v>
      </c>
      <c r="CRE17">
        <v>0</v>
      </c>
      <c r="CRF17">
        <v>0</v>
      </c>
      <c r="CRG17">
        <v>0</v>
      </c>
      <c r="CRH17">
        <v>0</v>
      </c>
      <c r="CRI17">
        <v>0</v>
      </c>
      <c r="CRJ17">
        <v>0</v>
      </c>
      <c r="CRK17">
        <v>0</v>
      </c>
      <c r="CRL17">
        <v>0</v>
      </c>
      <c r="CRM17">
        <v>0</v>
      </c>
      <c r="CRN17">
        <v>0</v>
      </c>
      <c r="CRO17">
        <v>0</v>
      </c>
      <c r="CRP17">
        <v>0</v>
      </c>
      <c r="CRQ17">
        <v>0</v>
      </c>
      <c r="CRR17">
        <v>0</v>
      </c>
      <c r="CRS17">
        <v>0</v>
      </c>
      <c r="CRT17">
        <v>0</v>
      </c>
      <c r="CRU17">
        <v>0</v>
      </c>
      <c r="CRV17">
        <v>0</v>
      </c>
      <c r="CRW17">
        <v>0</v>
      </c>
      <c r="CRX17">
        <v>0</v>
      </c>
      <c r="CRY17">
        <v>0</v>
      </c>
      <c r="CRZ17">
        <v>0</v>
      </c>
      <c r="CSA17">
        <v>0</v>
      </c>
      <c r="CSB17">
        <v>0</v>
      </c>
      <c r="CSC17">
        <v>0</v>
      </c>
      <c r="CSD17">
        <v>0</v>
      </c>
      <c r="CSE17">
        <v>0</v>
      </c>
      <c r="CSF17">
        <v>0</v>
      </c>
      <c r="CSG17">
        <v>0</v>
      </c>
      <c r="CSH17">
        <v>0</v>
      </c>
      <c r="CSI17">
        <v>0</v>
      </c>
      <c r="CSJ17">
        <v>0</v>
      </c>
      <c r="CSK17">
        <v>0</v>
      </c>
      <c r="CSL17">
        <v>0</v>
      </c>
      <c r="CSM17">
        <v>29</v>
      </c>
      <c r="CSN17">
        <v>0</v>
      </c>
      <c r="CSO17">
        <v>0</v>
      </c>
      <c r="CSP17">
        <v>0</v>
      </c>
      <c r="CSQ17">
        <v>0</v>
      </c>
      <c r="CSR17">
        <v>0</v>
      </c>
      <c r="CSS17">
        <v>89</v>
      </c>
      <c r="CST17">
        <v>0</v>
      </c>
      <c r="CSU17">
        <v>0</v>
      </c>
      <c r="CSV17">
        <v>0</v>
      </c>
      <c r="CSW17">
        <v>0</v>
      </c>
      <c r="CSX17">
        <v>0</v>
      </c>
      <c r="CSY17">
        <v>0</v>
      </c>
      <c r="CSZ17">
        <v>0</v>
      </c>
      <c r="CTA17">
        <v>0</v>
      </c>
      <c r="CTB17">
        <v>0</v>
      </c>
      <c r="CTC17">
        <v>0</v>
      </c>
      <c r="CTD17">
        <v>0</v>
      </c>
      <c r="CTE17">
        <v>0</v>
      </c>
      <c r="CTF17">
        <v>0</v>
      </c>
      <c r="CTG17">
        <v>0</v>
      </c>
      <c r="CTH17">
        <v>0</v>
      </c>
      <c r="CTI17">
        <v>0</v>
      </c>
      <c r="CTJ17">
        <v>0</v>
      </c>
      <c r="CTK17">
        <v>0</v>
      </c>
      <c r="CTL17">
        <v>0</v>
      </c>
      <c r="CTM17">
        <v>0</v>
      </c>
      <c r="CTN17">
        <v>0</v>
      </c>
      <c r="CTO17">
        <v>0</v>
      </c>
      <c r="CTP17">
        <v>0</v>
      </c>
      <c r="CTQ17">
        <v>0</v>
      </c>
      <c r="CTR17">
        <v>0</v>
      </c>
      <c r="CTS17">
        <v>0</v>
      </c>
      <c r="CTT17">
        <v>0</v>
      </c>
      <c r="CTU17">
        <v>0</v>
      </c>
      <c r="CTV17">
        <v>0</v>
      </c>
      <c r="CTW17">
        <v>0</v>
      </c>
      <c r="CTX17">
        <v>0</v>
      </c>
      <c r="CTY17">
        <v>0</v>
      </c>
      <c r="CTZ17">
        <v>0</v>
      </c>
      <c r="CUA17">
        <v>0</v>
      </c>
      <c r="CUB17">
        <v>0</v>
      </c>
      <c r="CUC17">
        <v>0</v>
      </c>
      <c r="CUD17">
        <v>0</v>
      </c>
      <c r="CUE17">
        <v>0</v>
      </c>
      <c r="CUF17">
        <v>0</v>
      </c>
      <c r="CUG17">
        <v>0</v>
      </c>
      <c r="CUH17">
        <v>0</v>
      </c>
      <c r="CUI17">
        <v>0</v>
      </c>
      <c r="CUJ17">
        <v>0</v>
      </c>
      <c r="CUK17">
        <v>0</v>
      </c>
      <c r="CUL17">
        <v>0</v>
      </c>
      <c r="CUM17">
        <v>0</v>
      </c>
      <c r="CUN17">
        <v>0</v>
      </c>
      <c r="CUO17">
        <v>0</v>
      </c>
      <c r="CUP17">
        <v>0</v>
      </c>
      <c r="CUQ17">
        <v>94</v>
      </c>
      <c r="CUR17">
        <v>0</v>
      </c>
      <c r="CUS17">
        <v>0</v>
      </c>
      <c r="CUT17">
        <v>0</v>
      </c>
      <c r="CUU17">
        <v>0</v>
      </c>
      <c r="CUV17">
        <v>0</v>
      </c>
      <c r="CUW17">
        <v>0</v>
      </c>
      <c r="CUX17">
        <v>0</v>
      </c>
      <c r="CUY17">
        <v>0</v>
      </c>
      <c r="CUZ17">
        <v>0</v>
      </c>
      <c r="CVA17">
        <v>0</v>
      </c>
      <c r="CVB17">
        <v>0</v>
      </c>
      <c r="CVC17">
        <v>0</v>
      </c>
      <c r="CVD17">
        <v>0</v>
      </c>
      <c r="CVE17">
        <v>0</v>
      </c>
      <c r="CVF17">
        <v>0</v>
      </c>
      <c r="CVG17">
        <v>0</v>
      </c>
      <c r="CVH17">
        <v>0</v>
      </c>
      <c r="CVI17">
        <v>0</v>
      </c>
      <c r="CVJ17">
        <v>0</v>
      </c>
      <c r="CVK17">
        <v>0</v>
      </c>
      <c r="CVL17">
        <v>0</v>
      </c>
      <c r="CVM17">
        <v>0</v>
      </c>
      <c r="CVN17">
        <v>0</v>
      </c>
      <c r="CVO17">
        <v>0</v>
      </c>
      <c r="CVP17">
        <v>0</v>
      </c>
      <c r="CVQ17">
        <v>0</v>
      </c>
      <c r="CVR17">
        <v>0</v>
      </c>
      <c r="CVS17">
        <v>0</v>
      </c>
      <c r="CVT17">
        <v>0</v>
      </c>
      <c r="CVU17">
        <v>0</v>
      </c>
      <c r="CVV17">
        <v>0</v>
      </c>
      <c r="CVW17">
        <v>0</v>
      </c>
      <c r="CVX17">
        <v>0</v>
      </c>
      <c r="CVY17">
        <v>0</v>
      </c>
      <c r="CVZ17">
        <v>0</v>
      </c>
      <c r="CWA17">
        <v>0</v>
      </c>
      <c r="CWB17">
        <v>0</v>
      </c>
      <c r="CWC17">
        <v>0</v>
      </c>
      <c r="CWD17">
        <v>0</v>
      </c>
      <c r="CWE17">
        <v>0</v>
      </c>
      <c r="CWF17">
        <v>0</v>
      </c>
      <c r="CWG17">
        <v>0</v>
      </c>
      <c r="CWH17">
        <v>0</v>
      </c>
      <c r="CWI17">
        <v>0</v>
      </c>
      <c r="CWJ17">
        <v>0</v>
      </c>
      <c r="CWK17">
        <v>0</v>
      </c>
      <c r="CWL17">
        <v>0</v>
      </c>
      <c r="CWM17">
        <v>0</v>
      </c>
      <c r="CWN17">
        <v>0</v>
      </c>
      <c r="CWO17">
        <v>0</v>
      </c>
      <c r="CWP17">
        <v>0</v>
      </c>
      <c r="CWQ17">
        <v>0</v>
      </c>
      <c r="CWR17">
        <v>0</v>
      </c>
      <c r="CWS17">
        <v>0</v>
      </c>
      <c r="CWT17">
        <v>0</v>
      </c>
      <c r="CWU17">
        <v>0</v>
      </c>
      <c r="CWV17">
        <v>0</v>
      </c>
      <c r="CWW17">
        <v>15</v>
      </c>
      <c r="CWX17">
        <v>0</v>
      </c>
      <c r="CWY17">
        <v>0</v>
      </c>
      <c r="CWZ17">
        <v>0</v>
      </c>
      <c r="CXA17">
        <v>0</v>
      </c>
      <c r="CXB17">
        <v>0</v>
      </c>
      <c r="CXC17">
        <v>0</v>
      </c>
      <c r="CXD17">
        <v>0</v>
      </c>
      <c r="CXE17">
        <v>0</v>
      </c>
      <c r="CXF17">
        <v>0</v>
      </c>
      <c r="CXG17">
        <v>0</v>
      </c>
      <c r="CXH17">
        <v>0</v>
      </c>
      <c r="CXI17">
        <v>0</v>
      </c>
      <c r="CXJ17">
        <v>0</v>
      </c>
      <c r="CXK17">
        <v>0</v>
      </c>
      <c r="CXL17">
        <v>0</v>
      </c>
      <c r="CXM17">
        <v>0</v>
      </c>
      <c r="CXN17">
        <v>0</v>
      </c>
      <c r="CXO17">
        <v>0</v>
      </c>
      <c r="CXP17">
        <v>0</v>
      </c>
      <c r="CXQ17">
        <v>0</v>
      </c>
      <c r="CXR17">
        <v>0</v>
      </c>
      <c r="CXS17">
        <v>101</v>
      </c>
      <c r="CXT17">
        <v>0</v>
      </c>
      <c r="CXU17">
        <v>0</v>
      </c>
      <c r="CXV17">
        <v>0</v>
      </c>
      <c r="CXW17">
        <v>0</v>
      </c>
      <c r="CXX17">
        <v>0</v>
      </c>
      <c r="CXY17">
        <v>0</v>
      </c>
      <c r="CXZ17">
        <v>8</v>
      </c>
      <c r="CYA17">
        <v>0</v>
      </c>
      <c r="CYB17">
        <v>0</v>
      </c>
      <c r="CYC17">
        <v>0</v>
      </c>
      <c r="CYD17">
        <v>102</v>
      </c>
      <c r="CYE17">
        <v>0</v>
      </c>
      <c r="CYF17">
        <v>0</v>
      </c>
      <c r="CYG17">
        <v>0</v>
      </c>
      <c r="CYH17">
        <v>0</v>
      </c>
      <c r="CYI17">
        <v>0</v>
      </c>
      <c r="CYJ17">
        <v>0</v>
      </c>
      <c r="CYK17">
        <v>0</v>
      </c>
      <c r="CYL17">
        <v>0</v>
      </c>
      <c r="CYM17">
        <v>0</v>
      </c>
      <c r="CYN17">
        <v>0</v>
      </c>
      <c r="CYO17">
        <v>0</v>
      </c>
      <c r="CYP17">
        <v>0</v>
      </c>
      <c r="CYQ17">
        <v>0</v>
      </c>
      <c r="CYR17">
        <v>0</v>
      </c>
      <c r="CYS17">
        <v>0</v>
      </c>
      <c r="CYT17">
        <v>0</v>
      </c>
      <c r="CYU17">
        <v>0</v>
      </c>
      <c r="CYV17">
        <v>0</v>
      </c>
      <c r="CYW17">
        <v>0</v>
      </c>
      <c r="CYX17">
        <v>0</v>
      </c>
      <c r="CYY17">
        <v>0</v>
      </c>
      <c r="CYZ17">
        <v>0</v>
      </c>
      <c r="CZA17">
        <v>0</v>
      </c>
      <c r="CZB17">
        <v>0</v>
      </c>
      <c r="CZC17">
        <v>0</v>
      </c>
      <c r="CZD17">
        <v>0</v>
      </c>
      <c r="CZE17">
        <v>104.99</v>
      </c>
      <c r="CZF17">
        <v>0</v>
      </c>
      <c r="CZG17">
        <v>0</v>
      </c>
      <c r="CZH17">
        <v>0</v>
      </c>
      <c r="CZI17">
        <v>0</v>
      </c>
      <c r="CZJ17">
        <v>0</v>
      </c>
      <c r="CZK17">
        <v>0</v>
      </c>
      <c r="CZL17">
        <v>0</v>
      </c>
      <c r="CZM17">
        <v>0</v>
      </c>
      <c r="CZN17">
        <v>0</v>
      </c>
      <c r="CZO17">
        <v>0</v>
      </c>
      <c r="CZP17">
        <v>0</v>
      </c>
      <c r="CZQ17">
        <v>0</v>
      </c>
      <c r="CZR17">
        <v>0</v>
      </c>
      <c r="CZS17">
        <v>0</v>
      </c>
      <c r="CZT17">
        <v>0</v>
      </c>
      <c r="CZU17">
        <v>0</v>
      </c>
      <c r="CZV17">
        <v>0</v>
      </c>
      <c r="CZW17">
        <v>0</v>
      </c>
      <c r="CZX17">
        <v>0</v>
      </c>
      <c r="CZY17">
        <v>0</v>
      </c>
      <c r="CZZ17">
        <v>0</v>
      </c>
      <c r="DAA17">
        <v>0</v>
      </c>
      <c r="DAB17">
        <v>0</v>
      </c>
      <c r="DAC17">
        <v>0</v>
      </c>
      <c r="DAD17">
        <v>0</v>
      </c>
      <c r="DAE17">
        <v>0</v>
      </c>
      <c r="DAF17">
        <v>0</v>
      </c>
      <c r="DAG17">
        <v>0</v>
      </c>
      <c r="DAH17">
        <v>0</v>
      </c>
      <c r="DAI17">
        <v>0</v>
      </c>
      <c r="DAJ17">
        <v>0</v>
      </c>
      <c r="DAK17">
        <v>0</v>
      </c>
      <c r="DAL17">
        <v>51.99</v>
      </c>
      <c r="DAM17">
        <v>0</v>
      </c>
      <c r="DAN17">
        <v>0</v>
      </c>
      <c r="DAO17">
        <v>0</v>
      </c>
      <c r="DAP17">
        <v>0</v>
      </c>
      <c r="DAQ17">
        <v>0</v>
      </c>
      <c r="DAR17">
        <v>0</v>
      </c>
      <c r="DAS17">
        <v>0</v>
      </c>
      <c r="DAT17">
        <v>0</v>
      </c>
      <c r="DAU17">
        <v>0</v>
      </c>
      <c r="DAV17">
        <v>0</v>
      </c>
      <c r="DAW17">
        <v>0</v>
      </c>
      <c r="DAX17">
        <v>0</v>
      </c>
      <c r="DAY17">
        <v>0</v>
      </c>
      <c r="DAZ17">
        <v>0</v>
      </c>
      <c r="DBA17">
        <v>0</v>
      </c>
      <c r="DBB17">
        <v>0</v>
      </c>
      <c r="DBC17">
        <v>0</v>
      </c>
      <c r="DBD17">
        <v>0</v>
      </c>
      <c r="DBE17">
        <v>0</v>
      </c>
      <c r="DBF17">
        <v>0</v>
      </c>
      <c r="DBG17">
        <v>0</v>
      </c>
      <c r="DBH17">
        <v>0</v>
      </c>
      <c r="DBI17">
        <v>0</v>
      </c>
      <c r="DBJ17">
        <v>0</v>
      </c>
      <c r="DBK17">
        <v>0</v>
      </c>
      <c r="DBL17">
        <v>0</v>
      </c>
      <c r="DBM17">
        <v>0</v>
      </c>
      <c r="DBN17">
        <v>0</v>
      </c>
      <c r="DBO17">
        <v>0</v>
      </c>
      <c r="DBP17">
        <v>0</v>
      </c>
      <c r="DBQ17">
        <v>0</v>
      </c>
      <c r="DBR17">
        <v>0</v>
      </c>
      <c r="DBS17">
        <v>0</v>
      </c>
      <c r="DBT17">
        <v>0</v>
      </c>
      <c r="DBU17">
        <v>0</v>
      </c>
      <c r="DBV17">
        <v>0</v>
      </c>
      <c r="DBW17">
        <v>0</v>
      </c>
      <c r="DBX17">
        <v>0</v>
      </c>
      <c r="DBY17">
        <v>0</v>
      </c>
      <c r="DBZ17">
        <v>0</v>
      </c>
      <c r="DCA17">
        <v>0</v>
      </c>
      <c r="DCB17">
        <v>0</v>
      </c>
      <c r="DCC17">
        <v>0</v>
      </c>
      <c r="DCD17">
        <v>0</v>
      </c>
      <c r="DCE17">
        <v>0</v>
      </c>
      <c r="DCF17">
        <v>0</v>
      </c>
      <c r="DCG17">
        <v>0</v>
      </c>
      <c r="DCH17">
        <v>0</v>
      </c>
      <c r="DCI17">
        <v>0</v>
      </c>
      <c r="DCJ17">
        <v>113</v>
      </c>
      <c r="DCK17">
        <v>0</v>
      </c>
      <c r="DCL17">
        <v>0</v>
      </c>
      <c r="DCM17">
        <v>113.99</v>
      </c>
      <c r="DCN17">
        <v>23</v>
      </c>
      <c r="DCO17">
        <v>0</v>
      </c>
      <c r="DCP17">
        <v>0</v>
      </c>
      <c r="DCQ17">
        <v>0</v>
      </c>
      <c r="DCR17">
        <v>0</v>
      </c>
      <c r="DCS17">
        <v>0</v>
      </c>
      <c r="DCT17">
        <v>0</v>
      </c>
      <c r="DCU17">
        <v>0</v>
      </c>
      <c r="DCV17">
        <v>0</v>
      </c>
      <c r="DCW17">
        <v>0</v>
      </c>
      <c r="DCX17">
        <v>0</v>
      </c>
      <c r="DCY17">
        <v>0</v>
      </c>
      <c r="DCZ17">
        <v>0</v>
      </c>
      <c r="DDA17">
        <v>0</v>
      </c>
      <c r="DDB17">
        <v>115</v>
      </c>
      <c r="DDC17">
        <v>0</v>
      </c>
      <c r="DDD17">
        <v>0</v>
      </c>
      <c r="DDE17">
        <v>0</v>
      </c>
      <c r="DDF17">
        <v>0</v>
      </c>
      <c r="DDG17">
        <v>0</v>
      </c>
      <c r="DDH17">
        <v>0</v>
      </c>
      <c r="DDI17">
        <v>0</v>
      </c>
      <c r="DDJ17">
        <v>0</v>
      </c>
      <c r="DDK17">
        <v>0</v>
      </c>
      <c r="DDL17">
        <v>0</v>
      </c>
      <c r="DDM17">
        <v>0</v>
      </c>
      <c r="DDN17">
        <v>0</v>
      </c>
      <c r="DDO17">
        <v>0</v>
      </c>
      <c r="DDP17">
        <v>0</v>
      </c>
      <c r="DDQ17">
        <v>0</v>
      </c>
      <c r="DDR17">
        <v>0</v>
      </c>
      <c r="DDS17">
        <v>0</v>
      </c>
      <c r="DDT17">
        <v>0</v>
      </c>
      <c r="DDU17">
        <v>0</v>
      </c>
      <c r="DDV17">
        <v>0</v>
      </c>
      <c r="DDW17">
        <v>0</v>
      </c>
      <c r="DDX17">
        <v>0</v>
      </c>
      <c r="DDY17">
        <v>0</v>
      </c>
      <c r="DDZ17">
        <v>0</v>
      </c>
      <c r="DEA17">
        <v>0</v>
      </c>
      <c r="DEB17">
        <v>0</v>
      </c>
      <c r="DEC17">
        <v>0</v>
      </c>
      <c r="DED17">
        <v>0</v>
      </c>
      <c r="DEE17">
        <v>0</v>
      </c>
      <c r="DEF17">
        <v>0</v>
      </c>
      <c r="DEG17">
        <v>0</v>
      </c>
      <c r="DEH17">
        <v>0</v>
      </c>
      <c r="DEI17">
        <v>0</v>
      </c>
      <c r="DEJ17">
        <v>0</v>
      </c>
      <c r="DEK17">
        <v>0</v>
      </c>
      <c r="DEL17">
        <v>0</v>
      </c>
      <c r="DEM17">
        <v>0</v>
      </c>
      <c r="DEN17">
        <v>0</v>
      </c>
      <c r="DEO17">
        <v>0</v>
      </c>
      <c r="DEP17">
        <v>0</v>
      </c>
      <c r="DEQ17">
        <v>0</v>
      </c>
      <c r="DER17">
        <v>0</v>
      </c>
      <c r="DES17">
        <v>0</v>
      </c>
      <c r="DET17">
        <v>0</v>
      </c>
      <c r="DEU17">
        <v>0</v>
      </c>
      <c r="DEV17">
        <v>0</v>
      </c>
      <c r="DEW17">
        <v>0</v>
      </c>
      <c r="DEX17">
        <v>0</v>
      </c>
      <c r="DEY17">
        <v>0</v>
      </c>
      <c r="DEZ17">
        <v>0</v>
      </c>
      <c r="DFA17">
        <v>0</v>
      </c>
      <c r="DFB17">
        <v>0</v>
      </c>
      <c r="DFC17">
        <v>0</v>
      </c>
      <c r="DFD17">
        <v>0</v>
      </c>
      <c r="DFE17">
        <v>0</v>
      </c>
      <c r="DFF17">
        <v>0</v>
      </c>
      <c r="DFG17">
        <v>0</v>
      </c>
      <c r="DFH17">
        <v>0</v>
      </c>
      <c r="DFI17">
        <v>0</v>
      </c>
      <c r="DFJ17">
        <v>0</v>
      </c>
      <c r="DFK17">
        <v>0</v>
      </c>
      <c r="DFL17">
        <v>0</v>
      </c>
      <c r="DFM17">
        <v>0</v>
      </c>
      <c r="DFN17">
        <v>0</v>
      </c>
      <c r="DFO17">
        <v>0</v>
      </c>
      <c r="DFP17">
        <v>0</v>
      </c>
      <c r="DFQ17">
        <v>0</v>
      </c>
      <c r="DFR17">
        <v>0</v>
      </c>
      <c r="DFS17">
        <v>123</v>
      </c>
      <c r="DFT17">
        <v>0</v>
      </c>
      <c r="DFU17">
        <v>0</v>
      </c>
      <c r="DFV17">
        <v>0</v>
      </c>
      <c r="DFW17">
        <v>0</v>
      </c>
      <c r="DFX17">
        <v>0</v>
      </c>
      <c r="DFY17">
        <v>0</v>
      </c>
      <c r="DFZ17">
        <v>0</v>
      </c>
      <c r="DGA17">
        <v>0</v>
      </c>
      <c r="DGB17">
        <v>0</v>
      </c>
      <c r="DGC17">
        <v>0</v>
      </c>
      <c r="DGD17">
        <v>0</v>
      </c>
      <c r="DGE17">
        <v>0</v>
      </c>
      <c r="DGF17">
        <v>0</v>
      </c>
      <c r="DGG17">
        <v>0</v>
      </c>
      <c r="DGH17">
        <v>125</v>
      </c>
      <c r="DGI17">
        <v>0</v>
      </c>
      <c r="DGJ17">
        <v>0</v>
      </c>
      <c r="DGK17">
        <v>0</v>
      </c>
      <c r="DGL17">
        <v>43</v>
      </c>
      <c r="DGM17">
        <v>0</v>
      </c>
      <c r="DGN17">
        <v>0</v>
      </c>
      <c r="DGO17">
        <v>0</v>
      </c>
      <c r="DGP17">
        <v>0</v>
      </c>
      <c r="DGQ17">
        <v>0</v>
      </c>
      <c r="DGR17">
        <v>74</v>
      </c>
      <c r="DGS17">
        <v>0</v>
      </c>
      <c r="DGT17">
        <v>0</v>
      </c>
      <c r="DGU17">
        <v>0</v>
      </c>
      <c r="DGV17">
        <v>0</v>
      </c>
      <c r="DGW17">
        <v>0</v>
      </c>
      <c r="DGX17">
        <v>0</v>
      </c>
      <c r="DGY17">
        <v>0</v>
      </c>
      <c r="DGZ17">
        <v>0</v>
      </c>
      <c r="DHA17">
        <v>127</v>
      </c>
      <c r="DHB17">
        <v>0</v>
      </c>
      <c r="DHC17">
        <v>0</v>
      </c>
      <c r="DHD17">
        <v>0</v>
      </c>
      <c r="DHE17">
        <v>0</v>
      </c>
      <c r="DHF17">
        <v>0</v>
      </c>
      <c r="DHG17">
        <v>0</v>
      </c>
      <c r="DHH17">
        <v>0</v>
      </c>
      <c r="DHI17">
        <v>0</v>
      </c>
      <c r="DHJ17">
        <v>0</v>
      </c>
      <c r="DHK17">
        <v>0</v>
      </c>
      <c r="DHL17">
        <v>0</v>
      </c>
      <c r="DHM17">
        <v>0</v>
      </c>
      <c r="DHN17">
        <v>0</v>
      </c>
      <c r="DHO17">
        <v>0</v>
      </c>
      <c r="DHP17">
        <v>0</v>
      </c>
      <c r="DHQ17">
        <v>0</v>
      </c>
      <c r="DHR17">
        <v>0</v>
      </c>
      <c r="DHS17">
        <v>0</v>
      </c>
      <c r="DHT17">
        <v>0</v>
      </c>
      <c r="DHU17">
        <v>0</v>
      </c>
      <c r="DHV17">
        <v>0</v>
      </c>
      <c r="DHW17">
        <v>0</v>
      </c>
      <c r="DHX17">
        <v>0</v>
      </c>
      <c r="DHY17">
        <v>0</v>
      </c>
      <c r="DHZ17">
        <v>0</v>
      </c>
      <c r="DIA17">
        <v>0</v>
      </c>
      <c r="DIB17">
        <v>0</v>
      </c>
      <c r="DIC17">
        <v>0</v>
      </c>
      <c r="DID17">
        <v>0</v>
      </c>
      <c r="DIE17">
        <v>0</v>
      </c>
      <c r="DIF17">
        <v>0</v>
      </c>
      <c r="DIG17">
        <v>0</v>
      </c>
      <c r="DIH17">
        <v>130.99</v>
      </c>
      <c r="DII17">
        <v>0</v>
      </c>
      <c r="DIJ17">
        <v>0</v>
      </c>
      <c r="DIK17">
        <v>0</v>
      </c>
      <c r="DIL17">
        <v>0</v>
      </c>
      <c r="DIM17">
        <v>0</v>
      </c>
      <c r="DIN17">
        <v>0</v>
      </c>
      <c r="DIO17">
        <v>0</v>
      </c>
      <c r="DIP17">
        <v>109</v>
      </c>
      <c r="DIQ17">
        <v>0</v>
      </c>
      <c r="DIR17">
        <v>0</v>
      </c>
      <c r="DIS17">
        <v>0</v>
      </c>
      <c r="DIT17">
        <v>0</v>
      </c>
      <c r="DIU17">
        <v>0</v>
      </c>
      <c r="DIV17">
        <v>0</v>
      </c>
      <c r="DIW17">
        <v>0</v>
      </c>
      <c r="DIX17">
        <v>0</v>
      </c>
      <c r="DIY17">
        <v>0</v>
      </c>
      <c r="DIZ17">
        <v>0</v>
      </c>
      <c r="DJA17">
        <v>0</v>
      </c>
      <c r="DJB17">
        <v>0</v>
      </c>
      <c r="DJC17">
        <v>0</v>
      </c>
      <c r="DJD17">
        <v>0</v>
      </c>
      <c r="DJE17">
        <v>0</v>
      </c>
      <c r="DJF17">
        <v>0</v>
      </c>
      <c r="DJG17">
        <v>0</v>
      </c>
      <c r="DJH17">
        <v>0</v>
      </c>
      <c r="DJI17">
        <v>0</v>
      </c>
      <c r="DJJ17">
        <v>115</v>
      </c>
      <c r="DJK17">
        <v>0</v>
      </c>
      <c r="DJL17">
        <v>134</v>
      </c>
      <c r="DJM17">
        <v>0</v>
      </c>
      <c r="DJN17">
        <v>0</v>
      </c>
      <c r="DJO17">
        <v>0</v>
      </c>
      <c r="DJP17">
        <v>0</v>
      </c>
      <c r="DJQ17">
        <v>0</v>
      </c>
      <c r="DJR17">
        <v>0</v>
      </c>
      <c r="DJS17">
        <v>0</v>
      </c>
      <c r="DJT17">
        <v>0</v>
      </c>
      <c r="DJU17">
        <v>0</v>
      </c>
      <c r="DJV17">
        <v>0</v>
      </c>
      <c r="DJW17">
        <v>0</v>
      </c>
      <c r="DJX17">
        <v>0</v>
      </c>
      <c r="DJY17">
        <v>0</v>
      </c>
      <c r="DJZ17">
        <v>0</v>
      </c>
      <c r="DKA17">
        <v>0</v>
      </c>
      <c r="DKB17">
        <v>0</v>
      </c>
      <c r="DKC17">
        <v>0</v>
      </c>
      <c r="DKD17">
        <v>0</v>
      </c>
      <c r="DKE17">
        <v>0</v>
      </c>
      <c r="DKF17">
        <v>0</v>
      </c>
      <c r="DKG17">
        <v>0</v>
      </c>
      <c r="DKH17">
        <v>0</v>
      </c>
      <c r="DKI17">
        <v>0</v>
      </c>
      <c r="DKJ17">
        <v>0</v>
      </c>
      <c r="DKK17">
        <v>0</v>
      </c>
      <c r="DKL17">
        <v>0</v>
      </c>
      <c r="DKM17">
        <v>0</v>
      </c>
      <c r="DKN17">
        <v>0</v>
      </c>
      <c r="DKO17">
        <v>0</v>
      </c>
      <c r="DKP17">
        <v>0</v>
      </c>
      <c r="DKQ17">
        <v>0</v>
      </c>
      <c r="DKR17">
        <v>22</v>
      </c>
      <c r="DKS17">
        <v>0</v>
      </c>
      <c r="DKT17">
        <v>0</v>
      </c>
      <c r="DKU17">
        <v>0</v>
      </c>
      <c r="DKV17">
        <v>0</v>
      </c>
      <c r="DKW17">
        <v>0</v>
      </c>
      <c r="DKX17">
        <v>0</v>
      </c>
      <c r="DKY17">
        <v>0</v>
      </c>
      <c r="DKZ17">
        <v>0</v>
      </c>
      <c r="DLA17">
        <v>0</v>
      </c>
      <c r="DLB17">
        <v>0</v>
      </c>
      <c r="DLC17">
        <v>0</v>
      </c>
      <c r="DLD17">
        <v>0</v>
      </c>
      <c r="DLE17">
        <v>0</v>
      </c>
      <c r="DLF17">
        <v>140.99</v>
      </c>
      <c r="DLG17">
        <v>0</v>
      </c>
      <c r="DLH17">
        <v>0</v>
      </c>
      <c r="DLI17">
        <v>0</v>
      </c>
      <c r="DLJ17">
        <v>0</v>
      </c>
      <c r="DLK17">
        <v>0</v>
      </c>
      <c r="DLL17">
        <v>0</v>
      </c>
      <c r="DLM17">
        <v>0</v>
      </c>
      <c r="DLN17">
        <v>86</v>
      </c>
      <c r="DLO17">
        <v>0</v>
      </c>
      <c r="DLP17">
        <v>0</v>
      </c>
      <c r="DLQ17">
        <v>0</v>
      </c>
      <c r="DLR17">
        <v>0</v>
      </c>
      <c r="DLS17">
        <v>0</v>
      </c>
      <c r="DLT17">
        <v>0</v>
      </c>
      <c r="DLU17">
        <v>0</v>
      </c>
      <c r="DLV17">
        <v>0</v>
      </c>
      <c r="DLW17">
        <v>105</v>
      </c>
      <c r="DLX17">
        <v>0</v>
      </c>
      <c r="DLY17">
        <v>0</v>
      </c>
      <c r="DLZ17">
        <v>0</v>
      </c>
      <c r="DMA17">
        <v>0</v>
      </c>
      <c r="DMB17">
        <v>0</v>
      </c>
      <c r="DMC17">
        <v>0</v>
      </c>
      <c r="DMD17">
        <v>0</v>
      </c>
      <c r="DME17">
        <v>0</v>
      </c>
      <c r="DMF17">
        <v>0</v>
      </c>
      <c r="DMG17">
        <v>0</v>
      </c>
      <c r="DMH17">
        <v>0</v>
      </c>
      <c r="DMI17">
        <v>0</v>
      </c>
      <c r="DMJ17">
        <v>0</v>
      </c>
      <c r="DMK17">
        <v>0</v>
      </c>
      <c r="DML17">
        <v>0</v>
      </c>
      <c r="DMM17">
        <v>0</v>
      </c>
      <c r="DMN17">
        <v>0</v>
      </c>
      <c r="DMO17">
        <v>0</v>
      </c>
      <c r="DMP17">
        <v>0</v>
      </c>
      <c r="DMQ17">
        <v>0</v>
      </c>
      <c r="DMR17">
        <v>147</v>
      </c>
      <c r="DMS17">
        <v>0</v>
      </c>
      <c r="DMT17">
        <v>0</v>
      </c>
      <c r="DMU17">
        <v>0</v>
      </c>
      <c r="DMV17">
        <v>0</v>
      </c>
      <c r="DMW17">
        <v>0</v>
      </c>
      <c r="DMX17">
        <v>0</v>
      </c>
      <c r="DMY17">
        <v>0</v>
      </c>
      <c r="DMZ17">
        <v>0</v>
      </c>
      <c r="DNA17">
        <v>0</v>
      </c>
      <c r="DNB17">
        <v>0</v>
      </c>
      <c r="DNC17">
        <v>0</v>
      </c>
      <c r="DND17">
        <v>0</v>
      </c>
      <c r="DNE17">
        <v>0</v>
      </c>
      <c r="DNF17">
        <v>0</v>
      </c>
      <c r="DNG17">
        <v>0</v>
      </c>
      <c r="DNH17">
        <v>53.04</v>
      </c>
      <c r="DNI17">
        <v>0</v>
      </c>
      <c r="DNJ17">
        <v>0</v>
      </c>
      <c r="DNK17">
        <v>0</v>
      </c>
      <c r="DNL17">
        <v>0</v>
      </c>
      <c r="DNM17">
        <v>0</v>
      </c>
      <c r="DNN17">
        <v>0</v>
      </c>
      <c r="DNO17">
        <v>0</v>
      </c>
      <c r="DNP17">
        <v>0</v>
      </c>
      <c r="DNQ17">
        <v>0</v>
      </c>
      <c r="DNR17">
        <v>0</v>
      </c>
      <c r="DNS17">
        <v>0</v>
      </c>
      <c r="DNT17">
        <v>0</v>
      </c>
      <c r="DNU17">
        <v>0</v>
      </c>
      <c r="DNV17">
        <v>0</v>
      </c>
      <c r="DNW17">
        <v>0</v>
      </c>
      <c r="DNX17">
        <v>0</v>
      </c>
      <c r="DNY17">
        <v>0</v>
      </c>
      <c r="DNZ17">
        <v>0</v>
      </c>
      <c r="DOA17">
        <v>151</v>
      </c>
      <c r="DOB17">
        <v>0</v>
      </c>
      <c r="DOC17">
        <v>0</v>
      </c>
      <c r="DOD17">
        <v>0</v>
      </c>
      <c r="DOE17">
        <v>0</v>
      </c>
      <c r="DOF17">
        <v>0</v>
      </c>
      <c r="DOG17">
        <v>0</v>
      </c>
      <c r="DOH17">
        <v>0</v>
      </c>
      <c r="DOI17">
        <v>0</v>
      </c>
      <c r="DOJ17">
        <v>0</v>
      </c>
      <c r="DOK17">
        <v>0</v>
      </c>
      <c r="DOL17">
        <v>0</v>
      </c>
      <c r="DOM17">
        <v>0</v>
      </c>
      <c r="DON17">
        <v>0</v>
      </c>
      <c r="DOO17">
        <v>0</v>
      </c>
      <c r="DOP17">
        <v>0</v>
      </c>
      <c r="DOQ17">
        <v>0</v>
      </c>
      <c r="DOR17">
        <v>0</v>
      </c>
      <c r="DOS17">
        <v>0</v>
      </c>
      <c r="DOT17">
        <v>0</v>
      </c>
      <c r="DOU17">
        <v>0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B17">
        <v>0</v>
      </c>
      <c r="DPC17">
        <v>0</v>
      </c>
      <c r="DPD17">
        <v>0</v>
      </c>
      <c r="DPE17">
        <v>0</v>
      </c>
      <c r="DPF17">
        <v>0</v>
      </c>
      <c r="DPG17">
        <v>0</v>
      </c>
      <c r="DPH17">
        <v>0</v>
      </c>
      <c r="DPI17">
        <v>0</v>
      </c>
      <c r="DPJ17">
        <v>0</v>
      </c>
      <c r="DPK17">
        <v>0</v>
      </c>
      <c r="DPL17">
        <v>0</v>
      </c>
      <c r="DPM17">
        <v>0</v>
      </c>
      <c r="DPN17">
        <v>0</v>
      </c>
      <c r="DPO17">
        <v>0</v>
      </c>
      <c r="DPP17">
        <v>0</v>
      </c>
      <c r="DPQ17">
        <v>0</v>
      </c>
      <c r="DPR17">
        <v>0</v>
      </c>
      <c r="DPS17">
        <v>0</v>
      </c>
      <c r="DPT17">
        <v>0</v>
      </c>
      <c r="DPU17">
        <v>0</v>
      </c>
      <c r="DPV17">
        <v>0</v>
      </c>
      <c r="DPW17">
        <v>0</v>
      </c>
      <c r="DPX17">
        <v>0</v>
      </c>
      <c r="DPY17">
        <v>0</v>
      </c>
      <c r="DPZ17">
        <v>0</v>
      </c>
      <c r="DQA17">
        <v>0</v>
      </c>
      <c r="DQB17">
        <v>0</v>
      </c>
      <c r="DQC17">
        <v>0</v>
      </c>
      <c r="DQD17">
        <v>0</v>
      </c>
      <c r="DQE17">
        <v>0</v>
      </c>
      <c r="DQF17">
        <v>0</v>
      </c>
      <c r="DQG17">
        <v>0</v>
      </c>
      <c r="DQH17">
        <v>0</v>
      </c>
      <c r="DQI17">
        <v>0</v>
      </c>
      <c r="DQJ17">
        <v>0</v>
      </c>
      <c r="DQK17">
        <v>0</v>
      </c>
      <c r="DQL17">
        <v>0</v>
      </c>
      <c r="DQM17">
        <v>0</v>
      </c>
      <c r="DQN17">
        <v>0</v>
      </c>
      <c r="DQO17">
        <v>0</v>
      </c>
      <c r="DQP17">
        <v>0</v>
      </c>
      <c r="DQQ17">
        <v>0</v>
      </c>
      <c r="DQR17">
        <v>0</v>
      </c>
      <c r="DQS17">
        <v>0</v>
      </c>
      <c r="DQT17">
        <v>0</v>
      </c>
      <c r="DQU17">
        <v>0</v>
      </c>
      <c r="DQV17">
        <v>0</v>
      </c>
      <c r="DQW17">
        <v>0</v>
      </c>
      <c r="DQX17">
        <v>0</v>
      </c>
      <c r="DQY17">
        <v>0</v>
      </c>
      <c r="DQZ17">
        <v>0</v>
      </c>
      <c r="DRA17">
        <v>0</v>
      </c>
      <c r="DRB17">
        <v>0</v>
      </c>
      <c r="DRC17">
        <v>0</v>
      </c>
      <c r="DRD17">
        <v>0</v>
      </c>
      <c r="DRE17">
        <v>0</v>
      </c>
      <c r="DRF17">
        <v>0</v>
      </c>
      <c r="DRG17">
        <v>0</v>
      </c>
      <c r="DRH17">
        <v>0</v>
      </c>
      <c r="DRI17">
        <v>0</v>
      </c>
      <c r="DRJ17">
        <v>0</v>
      </c>
      <c r="DRK17">
        <v>0</v>
      </c>
      <c r="DRL17">
        <v>0</v>
      </c>
      <c r="DRM17">
        <v>0</v>
      </c>
      <c r="DRN17">
        <v>127</v>
      </c>
      <c r="DRO17">
        <v>0</v>
      </c>
      <c r="DRP17">
        <v>0</v>
      </c>
      <c r="DRQ17">
        <v>0</v>
      </c>
      <c r="DRR17">
        <v>0</v>
      </c>
      <c r="DRS17">
        <v>0</v>
      </c>
      <c r="DRT17">
        <v>0</v>
      </c>
      <c r="DRU17">
        <v>0</v>
      </c>
      <c r="DRV17">
        <v>0</v>
      </c>
      <c r="DRW17">
        <v>0</v>
      </c>
      <c r="DRX17">
        <v>7</v>
      </c>
      <c r="DRY17">
        <v>0</v>
      </c>
      <c r="DRZ17">
        <v>0</v>
      </c>
      <c r="DSA17">
        <v>0</v>
      </c>
      <c r="DSB17">
        <v>0</v>
      </c>
      <c r="DSC17">
        <v>0</v>
      </c>
      <c r="DSD17">
        <v>0</v>
      </c>
      <c r="DSE17">
        <v>0</v>
      </c>
      <c r="DSF17">
        <v>0</v>
      </c>
      <c r="DSG17">
        <v>0</v>
      </c>
      <c r="DSH17">
        <v>0</v>
      </c>
      <c r="DSI17">
        <v>0</v>
      </c>
      <c r="DSJ17">
        <v>0</v>
      </c>
      <c r="DSK17">
        <v>0</v>
      </c>
      <c r="DSL17">
        <v>0</v>
      </c>
      <c r="DSM17">
        <v>0</v>
      </c>
      <c r="DSN17">
        <v>0</v>
      </c>
      <c r="DSO17">
        <v>0</v>
      </c>
      <c r="DSP17">
        <v>0</v>
      </c>
      <c r="DSQ17">
        <v>0</v>
      </c>
      <c r="DSR17">
        <v>174</v>
      </c>
      <c r="DSS17">
        <v>0</v>
      </c>
      <c r="DST17">
        <v>0</v>
      </c>
      <c r="DSU17">
        <v>0</v>
      </c>
      <c r="DSV17">
        <v>0</v>
      </c>
      <c r="DSW17">
        <v>0</v>
      </c>
      <c r="DSX17">
        <v>175</v>
      </c>
      <c r="DSY17">
        <v>0</v>
      </c>
      <c r="DSZ17">
        <v>0</v>
      </c>
      <c r="DTA17">
        <v>0</v>
      </c>
      <c r="DTB17">
        <v>0</v>
      </c>
      <c r="DTC17">
        <v>0</v>
      </c>
      <c r="DTD17">
        <v>176</v>
      </c>
      <c r="DTE17">
        <v>0</v>
      </c>
      <c r="DTF17">
        <v>0</v>
      </c>
      <c r="DTG17">
        <v>0</v>
      </c>
      <c r="DTH17">
        <v>0</v>
      </c>
      <c r="DTI17">
        <v>0</v>
      </c>
      <c r="DTJ17">
        <v>0</v>
      </c>
      <c r="DTK17">
        <v>0</v>
      </c>
      <c r="DTL17">
        <v>56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S17">
        <v>0</v>
      </c>
      <c r="DTT17">
        <v>0</v>
      </c>
      <c r="DTU17">
        <v>0</v>
      </c>
      <c r="DTV17">
        <v>0</v>
      </c>
      <c r="DTW17">
        <v>0</v>
      </c>
      <c r="DTX17">
        <v>0</v>
      </c>
      <c r="DTY17">
        <v>0</v>
      </c>
      <c r="DTZ17">
        <v>0</v>
      </c>
      <c r="DUA17">
        <v>0</v>
      </c>
      <c r="DUB17">
        <v>0</v>
      </c>
      <c r="DUC17">
        <v>0</v>
      </c>
      <c r="DUD17">
        <v>181.99</v>
      </c>
      <c r="DUE17">
        <v>0</v>
      </c>
      <c r="DUF17">
        <v>0</v>
      </c>
      <c r="DUG17">
        <v>0</v>
      </c>
      <c r="DUH17">
        <v>0</v>
      </c>
      <c r="DUI17">
        <v>0</v>
      </c>
      <c r="DUJ17">
        <v>0</v>
      </c>
      <c r="DUK17">
        <v>0</v>
      </c>
      <c r="DUL17">
        <v>0</v>
      </c>
      <c r="DUM17">
        <v>0</v>
      </c>
      <c r="DUN17">
        <v>0</v>
      </c>
      <c r="DUO17">
        <v>0</v>
      </c>
      <c r="DUP17">
        <v>0</v>
      </c>
      <c r="DUQ17">
        <v>0</v>
      </c>
      <c r="DUR17">
        <v>0</v>
      </c>
      <c r="DUS17">
        <v>0</v>
      </c>
      <c r="DUT17">
        <v>0</v>
      </c>
      <c r="DUU17">
        <v>0</v>
      </c>
      <c r="DUV17">
        <v>0</v>
      </c>
      <c r="DUW17">
        <v>172.99</v>
      </c>
      <c r="DUX17">
        <v>0</v>
      </c>
      <c r="DUY17">
        <v>0</v>
      </c>
      <c r="DUZ17">
        <v>0</v>
      </c>
      <c r="DVA17">
        <v>0</v>
      </c>
      <c r="DVB17">
        <v>0</v>
      </c>
      <c r="DVC17">
        <v>0</v>
      </c>
      <c r="DVD17">
        <v>0</v>
      </c>
      <c r="DVE17">
        <v>0</v>
      </c>
      <c r="DVF17">
        <v>0</v>
      </c>
      <c r="DVG17">
        <v>0</v>
      </c>
      <c r="DVH17">
        <v>0</v>
      </c>
      <c r="DVI17">
        <v>0</v>
      </c>
      <c r="DVJ17">
        <v>0</v>
      </c>
      <c r="DVK17">
        <v>0</v>
      </c>
      <c r="DVL17">
        <v>0</v>
      </c>
      <c r="DVM17">
        <v>0</v>
      </c>
      <c r="DVN17">
        <v>0</v>
      </c>
      <c r="DVO17">
        <v>191</v>
      </c>
      <c r="DVP17">
        <v>0</v>
      </c>
      <c r="DVQ17">
        <v>0</v>
      </c>
      <c r="DVR17">
        <v>0</v>
      </c>
      <c r="DVS17">
        <v>0</v>
      </c>
      <c r="DVT17">
        <v>0</v>
      </c>
      <c r="DVU17">
        <v>0</v>
      </c>
      <c r="DVV17">
        <v>0</v>
      </c>
      <c r="DVW17">
        <v>0</v>
      </c>
      <c r="DVX17">
        <v>0</v>
      </c>
      <c r="DVY17">
        <v>0</v>
      </c>
      <c r="DVZ17">
        <v>0</v>
      </c>
      <c r="DWA17">
        <v>0</v>
      </c>
      <c r="DWB17">
        <v>0</v>
      </c>
      <c r="DWC17">
        <v>0</v>
      </c>
      <c r="DWD17">
        <v>0</v>
      </c>
      <c r="DWE17">
        <v>0</v>
      </c>
      <c r="DWF17">
        <v>0</v>
      </c>
      <c r="DWG17">
        <v>174</v>
      </c>
      <c r="DWH17">
        <v>0</v>
      </c>
      <c r="DWI17">
        <v>0</v>
      </c>
      <c r="DWJ17">
        <v>0</v>
      </c>
      <c r="DWK17">
        <v>197.01</v>
      </c>
      <c r="DWL17">
        <v>162.99</v>
      </c>
      <c r="DWM17">
        <v>0</v>
      </c>
      <c r="DWN17">
        <v>28</v>
      </c>
      <c r="DWO17">
        <v>0</v>
      </c>
      <c r="DWP17">
        <v>0</v>
      </c>
      <c r="DWQ17">
        <v>0</v>
      </c>
      <c r="DWR17">
        <v>0</v>
      </c>
      <c r="DWS17">
        <v>0</v>
      </c>
      <c r="DWT17">
        <v>0</v>
      </c>
      <c r="DWU17">
        <v>0</v>
      </c>
      <c r="DWV17">
        <v>0</v>
      </c>
      <c r="DWW17">
        <v>0</v>
      </c>
      <c r="DWX17">
        <v>0</v>
      </c>
      <c r="DWY17">
        <v>0</v>
      </c>
      <c r="DWZ17">
        <v>0</v>
      </c>
      <c r="DXA17">
        <v>0</v>
      </c>
      <c r="DXB17">
        <v>0</v>
      </c>
      <c r="DXC17">
        <v>0</v>
      </c>
      <c r="DXD17">
        <v>0</v>
      </c>
      <c r="DXE17">
        <v>0</v>
      </c>
      <c r="DXF17">
        <v>0</v>
      </c>
      <c r="DXG17">
        <v>0</v>
      </c>
      <c r="DXH17">
        <v>0</v>
      </c>
      <c r="DXI17">
        <v>0</v>
      </c>
      <c r="DXJ17">
        <v>0</v>
      </c>
      <c r="DXK17">
        <v>0</v>
      </c>
      <c r="DXL17">
        <v>0</v>
      </c>
      <c r="DXM17">
        <v>0</v>
      </c>
      <c r="DXN17">
        <v>0</v>
      </c>
      <c r="DXO17">
        <v>0</v>
      </c>
      <c r="DXP17">
        <v>0</v>
      </c>
      <c r="DXQ17">
        <v>0</v>
      </c>
      <c r="DXR17">
        <v>0</v>
      </c>
      <c r="DXS17">
        <v>0</v>
      </c>
      <c r="DXT17">
        <v>0</v>
      </c>
      <c r="DXU17">
        <v>206.99</v>
      </c>
      <c r="DXV17">
        <v>0</v>
      </c>
      <c r="DXW17">
        <v>0</v>
      </c>
      <c r="DXX17">
        <v>0</v>
      </c>
      <c r="DXY17">
        <v>0</v>
      </c>
      <c r="DXZ17">
        <v>0</v>
      </c>
      <c r="DYA17">
        <v>0</v>
      </c>
      <c r="DYB17">
        <v>0</v>
      </c>
      <c r="DYC17">
        <v>0</v>
      </c>
      <c r="DYD17">
        <v>0</v>
      </c>
      <c r="DYE17">
        <v>0</v>
      </c>
      <c r="DYF17">
        <v>0</v>
      </c>
      <c r="DYG17">
        <v>0</v>
      </c>
      <c r="DYH17">
        <v>0</v>
      </c>
      <c r="DYI17">
        <v>0</v>
      </c>
      <c r="DYJ17">
        <v>0</v>
      </c>
      <c r="DYK17">
        <v>0</v>
      </c>
      <c r="DYL17">
        <v>0</v>
      </c>
      <c r="DYM17">
        <v>0</v>
      </c>
      <c r="DYN17">
        <v>0</v>
      </c>
      <c r="DYO17">
        <v>0</v>
      </c>
      <c r="DYP17">
        <v>0</v>
      </c>
      <c r="DYQ17">
        <v>0</v>
      </c>
      <c r="DYR17">
        <v>0</v>
      </c>
      <c r="DYS17">
        <v>0</v>
      </c>
      <c r="DYT17">
        <v>0</v>
      </c>
      <c r="DYU17">
        <v>0</v>
      </c>
      <c r="DYV17">
        <v>0</v>
      </c>
      <c r="DYW17">
        <v>0</v>
      </c>
      <c r="DYX17">
        <v>0</v>
      </c>
      <c r="DYY17">
        <v>0</v>
      </c>
      <c r="DYZ17">
        <v>0</v>
      </c>
      <c r="DZA17">
        <v>0</v>
      </c>
      <c r="DZB17">
        <v>0</v>
      </c>
      <c r="DZC17">
        <v>0</v>
      </c>
      <c r="DZD17">
        <v>0</v>
      </c>
      <c r="DZE17">
        <v>0</v>
      </c>
      <c r="DZF17">
        <v>0</v>
      </c>
      <c r="DZG17">
        <v>0</v>
      </c>
      <c r="DZH17">
        <v>0</v>
      </c>
      <c r="DZI17">
        <v>0</v>
      </c>
      <c r="DZJ17">
        <v>0</v>
      </c>
      <c r="DZK17">
        <v>0</v>
      </c>
      <c r="DZL17">
        <v>0</v>
      </c>
      <c r="DZM17">
        <v>0</v>
      </c>
      <c r="DZN17">
        <v>0</v>
      </c>
      <c r="DZO17">
        <v>0</v>
      </c>
      <c r="DZP17">
        <v>0</v>
      </c>
      <c r="DZQ17">
        <v>0</v>
      </c>
      <c r="DZR17">
        <v>0</v>
      </c>
      <c r="DZS17">
        <v>0</v>
      </c>
      <c r="DZT17">
        <v>0</v>
      </c>
      <c r="DZU17">
        <v>0</v>
      </c>
      <c r="DZV17">
        <v>0</v>
      </c>
      <c r="DZW17">
        <v>0</v>
      </c>
      <c r="DZX17">
        <v>0</v>
      </c>
      <c r="DZY17">
        <v>0</v>
      </c>
      <c r="DZZ17">
        <v>0</v>
      </c>
      <c r="EAA17">
        <v>0</v>
      </c>
      <c r="EAB17">
        <v>0</v>
      </c>
      <c r="EAC17">
        <v>0</v>
      </c>
      <c r="EAD17">
        <v>0</v>
      </c>
      <c r="EAE17">
        <v>0</v>
      </c>
      <c r="EAF17">
        <v>0</v>
      </c>
      <c r="EAG17">
        <v>0</v>
      </c>
      <c r="EAH17">
        <v>0</v>
      </c>
      <c r="EAI17">
        <v>0</v>
      </c>
      <c r="EAJ17">
        <v>0</v>
      </c>
      <c r="EAK17">
        <v>0</v>
      </c>
      <c r="EAL17">
        <v>0</v>
      </c>
      <c r="EAM17">
        <v>0</v>
      </c>
      <c r="EAN17">
        <v>0</v>
      </c>
      <c r="EAO17">
        <v>0</v>
      </c>
      <c r="EAP17">
        <v>0</v>
      </c>
      <c r="EAQ17">
        <v>0</v>
      </c>
      <c r="EAR17">
        <v>92.99</v>
      </c>
      <c r="EAS17">
        <v>0</v>
      </c>
      <c r="EAT17">
        <v>0</v>
      </c>
      <c r="EAU17">
        <v>0</v>
      </c>
      <c r="EAV17">
        <v>0</v>
      </c>
      <c r="EAW17">
        <v>0</v>
      </c>
      <c r="EAX17">
        <v>0</v>
      </c>
      <c r="EAY17">
        <v>0</v>
      </c>
      <c r="EAZ17">
        <v>0</v>
      </c>
      <c r="EBA17">
        <v>0</v>
      </c>
      <c r="EBB17">
        <v>119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0</v>
      </c>
      <c r="EBI17">
        <v>0</v>
      </c>
      <c r="EBJ17">
        <v>0</v>
      </c>
      <c r="EBK17">
        <v>0</v>
      </c>
      <c r="EBL17">
        <v>0</v>
      </c>
      <c r="EBM17">
        <v>0</v>
      </c>
      <c r="EBN17">
        <v>0</v>
      </c>
      <c r="EBO17">
        <v>0</v>
      </c>
      <c r="EBP17">
        <v>0</v>
      </c>
      <c r="EBQ17">
        <v>0</v>
      </c>
      <c r="EBR17">
        <v>0</v>
      </c>
      <c r="EBS17">
        <v>0</v>
      </c>
      <c r="EBT17">
        <v>0</v>
      </c>
      <c r="EBU17">
        <v>0</v>
      </c>
      <c r="EBV17">
        <v>0</v>
      </c>
      <c r="EBW17">
        <v>0</v>
      </c>
      <c r="EBX17">
        <v>0</v>
      </c>
      <c r="EBY17">
        <v>0</v>
      </c>
      <c r="EBZ17">
        <v>0</v>
      </c>
      <c r="ECA17">
        <v>0</v>
      </c>
      <c r="ECB17">
        <v>0</v>
      </c>
      <c r="ECC17">
        <v>0</v>
      </c>
      <c r="ECD17">
        <v>0</v>
      </c>
      <c r="ECE17">
        <v>0</v>
      </c>
      <c r="ECF17">
        <v>0</v>
      </c>
      <c r="ECG17">
        <v>14</v>
      </c>
      <c r="ECH17">
        <v>0</v>
      </c>
      <c r="ECI17">
        <v>0</v>
      </c>
      <c r="ECJ17">
        <v>151</v>
      </c>
      <c r="ECK17">
        <v>0</v>
      </c>
      <c r="ECL17">
        <v>0</v>
      </c>
      <c r="ECM17">
        <v>0</v>
      </c>
      <c r="ECN17">
        <v>0</v>
      </c>
      <c r="ECO17">
        <v>0</v>
      </c>
      <c r="ECP17">
        <v>0</v>
      </c>
      <c r="ECQ17">
        <v>0</v>
      </c>
      <c r="ECR17">
        <v>0</v>
      </c>
      <c r="ECS17">
        <v>0</v>
      </c>
      <c r="ECT17">
        <v>0</v>
      </c>
      <c r="ECU17">
        <v>0</v>
      </c>
      <c r="ECV17">
        <v>0</v>
      </c>
      <c r="ECW17">
        <v>244</v>
      </c>
      <c r="ECX17">
        <v>0</v>
      </c>
      <c r="ECY17">
        <v>0</v>
      </c>
      <c r="ECZ17">
        <v>0</v>
      </c>
      <c r="EDA17">
        <v>0</v>
      </c>
      <c r="EDB17">
        <v>0</v>
      </c>
      <c r="EDC17">
        <v>0</v>
      </c>
      <c r="EDD17">
        <v>0</v>
      </c>
      <c r="EDE17">
        <v>0</v>
      </c>
      <c r="EDF17">
        <v>0</v>
      </c>
      <c r="EDG17">
        <v>0</v>
      </c>
      <c r="EDH17">
        <v>0</v>
      </c>
      <c r="EDI17">
        <v>0</v>
      </c>
      <c r="EDJ17">
        <v>0</v>
      </c>
      <c r="EDK17">
        <v>0</v>
      </c>
      <c r="EDL17">
        <v>0</v>
      </c>
      <c r="EDM17">
        <v>0</v>
      </c>
      <c r="EDN17">
        <v>0</v>
      </c>
      <c r="EDO17">
        <v>0</v>
      </c>
      <c r="EDP17">
        <v>0</v>
      </c>
      <c r="EDQ17">
        <v>0</v>
      </c>
      <c r="EDR17">
        <v>0</v>
      </c>
      <c r="EDS17">
        <v>0</v>
      </c>
      <c r="EDT17">
        <v>0</v>
      </c>
      <c r="EDU17">
        <v>0</v>
      </c>
      <c r="EDV17">
        <v>0</v>
      </c>
      <c r="EDW17">
        <v>0</v>
      </c>
      <c r="EDX17">
        <v>0</v>
      </c>
      <c r="EDY17">
        <v>0</v>
      </c>
      <c r="EDZ17">
        <v>0</v>
      </c>
      <c r="EEA17">
        <v>0</v>
      </c>
      <c r="EEB17">
        <v>0</v>
      </c>
      <c r="EEC17">
        <v>0</v>
      </c>
      <c r="EED17">
        <v>0</v>
      </c>
      <c r="EEE17">
        <v>0</v>
      </c>
      <c r="EEF17">
        <v>0</v>
      </c>
      <c r="EEG17">
        <v>0</v>
      </c>
      <c r="EEH17">
        <v>0</v>
      </c>
      <c r="EEI17">
        <v>0</v>
      </c>
      <c r="EEJ17">
        <v>0</v>
      </c>
      <c r="EEK17">
        <v>0</v>
      </c>
      <c r="EEL17">
        <v>0</v>
      </c>
      <c r="EEM17">
        <v>0</v>
      </c>
      <c r="EEN17">
        <v>0</v>
      </c>
      <c r="EEO17">
        <v>0</v>
      </c>
      <c r="EEP17">
        <v>0</v>
      </c>
      <c r="EEQ17">
        <v>92</v>
      </c>
      <c r="EER17">
        <v>0</v>
      </c>
      <c r="EES17">
        <v>102</v>
      </c>
      <c r="EET17">
        <v>0</v>
      </c>
      <c r="EEU17">
        <v>0</v>
      </c>
      <c r="EEV17">
        <v>0</v>
      </c>
      <c r="EEW17">
        <v>0</v>
      </c>
      <c r="EEX17">
        <v>0</v>
      </c>
      <c r="EEY17">
        <v>21</v>
      </c>
      <c r="EEZ17">
        <v>0</v>
      </c>
      <c r="EFA17">
        <v>0</v>
      </c>
      <c r="EFB17">
        <v>0</v>
      </c>
      <c r="EFC17">
        <v>0</v>
      </c>
      <c r="EFD17">
        <v>0</v>
      </c>
      <c r="EFE17">
        <v>0</v>
      </c>
      <c r="EFF17">
        <v>0</v>
      </c>
      <c r="EFG17">
        <v>0</v>
      </c>
      <c r="EFH17">
        <v>0</v>
      </c>
      <c r="EFI17">
        <v>0</v>
      </c>
      <c r="EFJ17">
        <v>0</v>
      </c>
      <c r="EFK17">
        <v>0</v>
      </c>
      <c r="EFL17">
        <v>17</v>
      </c>
      <c r="EFM17">
        <v>0</v>
      </c>
      <c r="EFN17">
        <v>0</v>
      </c>
      <c r="EFO17">
        <v>0</v>
      </c>
      <c r="EFP17">
        <v>0</v>
      </c>
      <c r="EFQ17">
        <v>0</v>
      </c>
      <c r="EFR17">
        <v>112</v>
      </c>
      <c r="EFS17">
        <v>0</v>
      </c>
      <c r="EFT17">
        <v>0</v>
      </c>
      <c r="EFU17">
        <v>0</v>
      </c>
      <c r="EFV17">
        <v>0</v>
      </c>
      <c r="EFW17">
        <v>0</v>
      </c>
      <c r="EFX17">
        <v>0</v>
      </c>
      <c r="EFY17">
        <v>0</v>
      </c>
      <c r="EFZ17">
        <v>0</v>
      </c>
      <c r="EGA17">
        <v>0</v>
      </c>
      <c r="EGB17">
        <v>0</v>
      </c>
      <c r="EGC17">
        <v>65</v>
      </c>
      <c r="EGD17">
        <v>0</v>
      </c>
      <c r="EGE17">
        <v>0</v>
      </c>
      <c r="EGF17">
        <v>0</v>
      </c>
      <c r="EGG17">
        <v>0</v>
      </c>
      <c r="EGH17">
        <v>0</v>
      </c>
      <c r="EGI17">
        <v>24</v>
      </c>
      <c r="EGJ17">
        <v>0</v>
      </c>
      <c r="EGK17">
        <v>0</v>
      </c>
      <c r="EGL17">
        <v>0</v>
      </c>
      <c r="EGM17">
        <v>0</v>
      </c>
      <c r="EGN17">
        <v>0</v>
      </c>
      <c r="EGO17">
        <v>0</v>
      </c>
      <c r="EGP17">
        <v>0</v>
      </c>
      <c r="EGQ17">
        <v>0</v>
      </c>
      <c r="EGR17">
        <v>0</v>
      </c>
      <c r="EGS17">
        <v>22.99</v>
      </c>
      <c r="EGT17">
        <v>0</v>
      </c>
      <c r="EGU17">
        <v>0</v>
      </c>
      <c r="EGV17">
        <v>0</v>
      </c>
      <c r="EGW17">
        <v>8.01</v>
      </c>
      <c r="EGX17">
        <v>0</v>
      </c>
      <c r="EGY17">
        <v>0</v>
      </c>
      <c r="EGZ17">
        <v>0</v>
      </c>
      <c r="EHA17">
        <v>0</v>
      </c>
      <c r="EHB17">
        <v>0</v>
      </c>
      <c r="EHC17">
        <v>0</v>
      </c>
      <c r="EHD17">
        <v>0</v>
      </c>
      <c r="EHE17">
        <v>0</v>
      </c>
      <c r="EHF17">
        <v>0</v>
      </c>
      <c r="EHG17">
        <v>0</v>
      </c>
      <c r="EHH17">
        <v>0</v>
      </c>
      <c r="EHI17">
        <v>0</v>
      </c>
      <c r="EHJ17">
        <v>0</v>
      </c>
      <c r="EHK17">
        <v>0</v>
      </c>
      <c r="EHL17">
        <v>0</v>
      </c>
      <c r="EHM17">
        <v>0</v>
      </c>
      <c r="EHN17">
        <v>0</v>
      </c>
      <c r="EHO17">
        <v>0</v>
      </c>
      <c r="EHP17">
        <v>0</v>
      </c>
      <c r="EHQ17">
        <v>0</v>
      </c>
      <c r="EHR17">
        <v>0</v>
      </c>
      <c r="EHS17">
        <v>0</v>
      </c>
      <c r="EHT17">
        <v>289.89999999999998</v>
      </c>
      <c r="EHU17">
        <v>0</v>
      </c>
      <c r="EHV17">
        <v>0</v>
      </c>
      <c r="EHW17">
        <v>0</v>
      </c>
      <c r="EHX17">
        <v>0</v>
      </c>
      <c r="EHY17">
        <v>0</v>
      </c>
      <c r="EHZ17">
        <v>0</v>
      </c>
      <c r="EIA17">
        <v>0</v>
      </c>
      <c r="EIB17">
        <v>0</v>
      </c>
      <c r="EIC17">
        <v>0</v>
      </c>
      <c r="EID17">
        <v>0</v>
      </c>
      <c r="EIE17">
        <v>0</v>
      </c>
      <c r="EIF17">
        <v>0</v>
      </c>
      <c r="EIG17">
        <v>205</v>
      </c>
      <c r="EIH17">
        <v>0</v>
      </c>
      <c r="EII17">
        <v>0</v>
      </c>
      <c r="EIJ17">
        <v>0</v>
      </c>
      <c r="EIK17">
        <v>0</v>
      </c>
      <c r="EIL17">
        <v>0</v>
      </c>
      <c r="EIM17">
        <v>0</v>
      </c>
      <c r="EIN17">
        <v>0</v>
      </c>
      <c r="EIO17">
        <v>0</v>
      </c>
      <c r="EIP17">
        <v>0</v>
      </c>
      <c r="EIQ17">
        <v>254.99</v>
      </c>
      <c r="EIR17">
        <v>0</v>
      </c>
      <c r="EIS17">
        <v>0</v>
      </c>
      <c r="EIT17">
        <v>0</v>
      </c>
      <c r="EIU17">
        <v>0</v>
      </c>
      <c r="EIV17">
        <v>0</v>
      </c>
      <c r="EIW17">
        <v>0</v>
      </c>
      <c r="EIX17">
        <v>0</v>
      </c>
      <c r="EIY17">
        <v>0</v>
      </c>
      <c r="EIZ17">
        <v>0</v>
      </c>
      <c r="EJA17">
        <v>0</v>
      </c>
      <c r="EJB17">
        <v>0</v>
      </c>
      <c r="EJC17">
        <v>0</v>
      </c>
      <c r="EJD17">
        <v>0</v>
      </c>
      <c r="EJE17">
        <v>0</v>
      </c>
      <c r="EJF17">
        <v>0</v>
      </c>
      <c r="EJG17">
        <v>0</v>
      </c>
      <c r="EJH17">
        <v>0</v>
      </c>
      <c r="EJI17">
        <v>0</v>
      </c>
      <c r="EJJ17">
        <v>0</v>
      </c>
      <c r="EJK17">
        <v>307</v>
      </c>
      <c r="EJL17">
        <v>0</v>
      </c>
      <c r="EJM17">
        <v>0</v>
      </c>
      <c r="EJN17">
        <v>0</v>
      </c>
      <c r="EJO17">
        <v>309.99</v>
      </c>
      <c r="EJP17">
        <v>0</v>
      </c>
      <c r="EJQ17">
        <v>0</v>
      </c>
      <c r="EJR17">
        <v>0</v>
      </c>
      <c r="EJS17">
        <v>0</v>
      </c>
      <c r="EJT17">
        <v>0</v>
      </c>
      <c r="EJU17">
        <v>0</v>
      </c>
      <c r="EJV17">
        <v>0</v>
      </c>
      <c r="EJW17">
        <v>0</v>
      </c>
      <c r="EJX17">
        <v>0</v>
      </c>
      <c r="EJY17">
        <v>0</v>
      </c>
      <c r="EJZ17">
        <v>0</v>
      </c>
      <c r="EKA17">
        <v>65</v>
      </c>
      <c r="EKB17">
        <v>0</v>
      </c>
      <c r="EKC17">
        <v>0</v>
      </c>
      <c r="EKD17">
        <v>0</v>
      </c>
      <c r="EKE17">
        <v>0</v>
      </c>
      <c r="EKF17">
        <v>0</v>
      </c>
      <c r="EKG17">
        <v>0</v>
      </c>
      <c r="EKH17">
        <v>0</v>
      </c>
      <c r="EKI17">
        <v>0</v>
      </c>
      <c r="EKJ17">
        <v>0</v>
      </c>
      <c r="EKK17">
        <v>0</v>
      </c>
      <c r="EKL17">
        <v>0</v>
      </c>
      <c r="EKM17">
        <v>0</v>
      </c>
      <c r="EKN17">
        <v>0</v>
      </c>
      <c r="EKO17">
        <v>0</v>
      </c>
      <c r="EKP17">
        <v>0</v>
      </c>
      <c r="EKQ17">
        <v>0</v>
      </c>
      <c r="EKR17">
        <v>0</v>
      </c>
      <c r="EKS17">
        <v>84</v>
      </c>
      <c r="EKT17">
        <v>0</v>
      </c>
      <c r="EKU17">
        <v>0</v>
      </c>
      <c r="EKV17">
        <v>0</v>
      </c>
      <c r="EKW17">
        <v>0</v>
      </c>
      <c r="EKX17">
        <v>0</v>
      </c>
      <c r="EKY17">
        <v>0</v>
      </c>
      <c r="EKZ17">
        <v>0</v>
      </c>
      <c r="ELA17">
        <v>0</v>
      </c>
      <c r="ELB17">
        <v>0</v>
      </c>
      <c r="ELC17">
        <v>0</v>
      </c>
      <c r="ELD17">
        <v>0</v>
      </c>
      <c r="ELE17">
        <v>0</v>
      </c>
      <c r="ELF17">
        <v>0</v>
      </c>
      <c r="ELG17">
        <v>0</v>
      </c>
      <c r="ELH17">
        <v>0</v>
      </c>
      <c r="ELI17">
        <v>0</v>
      </c>
      <c r="ELJ17">
        <v>0</v>
      </c>
      <c r="ELK17">
        <v>0</v>
      </c>
      <c r="ELL17">
        <v>0</v>
      </c>
      <c r="ELM17">
        <v>0</v>
      </c>
      <c r="ELN17">
        <v>0</v>
      </c>
      <c r="ELO17">
        <v>0</v>
      </c>
      <c r="ELP17">
        <v>0</v>
      </c>
      <c r="ELQ17">
        <v>0</v>
      </c>
      <c r="ELR17">
        <v>0</v>
      </c>
      <c r="ELS17">
        <v>0</v>
      </c>
      <c r="ELT17">
        <v>51</v>
      </c>
      <c r="ELU17">
        <v>0</v>
      </c>
      <c r="ELV17">
        <v>0</v>
      </c>
      <c r="ELW17">
        <v>0</v>
      </c>
      <c r="ELX17">
        <v>297</v>
      </c>
      <c r="ELY17">
        <v>0</v>
      </c>
      <c r="ELZ17">
        <v>0</v>
      </c>
      <c r="EMA17">
        <v>0</v>
      </c>
      <c r="EMB17">
        <v>0</v>
      </c>
      <c r="EMC17">
        <v>0</v>
      </c>
      <c r="EMD17">
        <v>0</v>
      </c>
      <c r="EME17">
        <v>121</v>
      </c>
      <c r="EMF17">
        <v>0</v>
      </c>
      <c r="EMG17">
        <v>0</v>
      </c>
      <c r="EMH17">
        <v>8</v>
      </c>
      <c r="EMI17">
        <v>0</v>
      </c>
      <c r="EMJ17">
        <v>0</v>
      </c>
      <c r="EMK17">
        <v>0</v>
      </c>
      <c r="EML17">
        <v>0</v>
      </c>
      <c r="EMM17">
        <v>0</v>
      </c>
      <c r="EMN17">
        <v>0</v>
      </c>
      <c r="EMO17">
        <v>0</v>
      </c>
      <c r="EMP17">
        <v>0</v>
      </c>
      <c r="EMQ17">
        <v>345</v>
      </c>
      <c r="EMR17">
        <v>0</v>
      </c>
      <c r="EMS17">
        <v>0</v>
      </c>
      <c r="EMT17">
        <v>0</v>
      </c>
      <c r="EMU17">
        <v>0</v>
      </c>
      <c r="EMV17">
        <v>0</v>
      </c>
      <c r="EMW17">
        <v>0</v>
      </c>
      <c r="EMX17">
        <v>0</v>
      </c>
      <c r="EMY17">
        <v>0</v>
      </c>
      <c r="EMZ17">
        <v>0</v>
      </c>
      <c r="ENA17">
        <v>0</v>
      </c>
      <c r="ENB17">
        <v>0</v>
      </c>
      <c r="ENC17">
        <v>0</v>
      </c>
      <c r="END17">
        <v>0</v>
      </c>
      <c r="ENE17">
        <v>149</v>
      </c>
      <c r="ENF17">
        <v>0</v>
      </c>
      <c r="ENG17">
        <v>0</v>
      </c>
      <c r="ENH17">
        <v>0</v>
      </c>
      <c r="ENI17">
        <v>0</v>
      </c>
      <c r="ENJ17">
        <v>0</v>
      </c>
      <c r="ENK17">
        <v>0</v>
      </c>
      <c r="ENL17">
        <v>0</v>
      </c>
      <c r="ENM17">
        <v>0</v>
      </c>
      <c r="ENN17">
        <v>0</v>
      </c>
      <c r="ENO17">
        <v>0</v>
      </c>
      <c r="ENP17">
        <v>0</v>
      </c>
      <c r="ENQ17">
        <v>0</v>
      </c>
      <c r="ENR17">
        <v>0</v>
      </c>
      <c r="ENS17">
        <v>360</v>
      </c>
      <c r="ENT17">
        <v>0</v>
      </c>
      <c r="ENU17">
        <v>0</v>
      </c>
      <c r="ENV17">
        <v>0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0</v>
      </c>
      <c r="EOC17">
        <v>0</v>
      </c>
      <c r="EOD17">
        <v>0</v>
      </c>
      <c r="EOE17">
        <v>0</v>
      </c>
      <c r="EOF17">
        <v>0</v>
      </c>
      <c r="EOG17">
        <v>0</v>
      </c>
      <c r="EOH17">
        <v>0</v>
      </c>
      <c r="EOI17">
        <v>0</v>
      </c>
      <c r="EOJ17">
        <v>0</v>
      </c>
      <c r="EOK17">
        <v>0</v>
      </c>
      <c r="EOL17">
        <v>0</v>
      </c>
      <c r="EOM17">
        <v>0</v>
      </c>
      <c r="EON17">
        <v>0</v>
      </c>
      <c r="EOO17">
        <v>0</v>
      </c>
      <c r="EOP17">
        <v>0</v>
      </c>
      <c r="EOQ17">
        <v>0</v>
      </c>
      <c r="EOR17">
        <v>0</v>
      </c>
      <c r="EOS17">
        <v>0</v>
      </c>
      <c r="EOT17">
        <v>0</v>
      </c>
      <c r="EOU17">
        <v>0</v>
      </c>
      <c r="EOV17">
        <v>0</v>
      </c>
      <c r="EOW17">
        <v>0</v>
      </c>
      <c r="EOX17">
        <v>25</v>
      </c>
      <c r="EOY17">
        <v>0</v>
      </c>
      <c r="EOZ17">
        <v>0</v>
      </c>
      <c r="EPA17">
        <v>0</v>
      </c>
      <c r="EPB17">
        <v>0</v>
      </c>
      <c r="EPC17">
        <v>0</v>
      </c>
      <c r="EPD17">
        <v>0</v>
      </c>
      <c r="EPE17">
        <v>0</v>
      </c>
      <c r="EPF17">
        <v>0</v>
      </c>
      <c r="EPG17">
        <v>0</v>
      </c>
      <c r="EPH17">
        <v>0</v>
      </c>
      <c r="EPI17">
        <v>0</v>
      </c>
      <c r="EPJ17">
        <v>0</v>
      </c>
      <c r="EPK17">
        <v>0</v>
      </c>
      <c r="EPL17">
        <v>0</v>
      </c>
      <c r="EPM17">
        <v>0</v>
      </c>
      <c r="EPN17">
        <v>0</v>
      </c>
      <c r="EPO17">
        <v>383.98</v>
      </c>
      <c r="EPP17">
        <v>0</v>
      </c>
      <c r="EPQ17">
        <v>0</v>
      </c>
      <c r="EPR17">
        <v>0</v>
      </c>
      <c r="EPS17">
        <v>0</v>
      </c>
      <c r="EPT17">
        <v>0</v>
      </c>
      <c r="EPU17">
        <v>0</v>
      </c>
      <c r="EPV17">
        <v>0</v>
      </c>
      <c r="EPW17">
        <v>0</v>
      </c>
      <c r="EPX17">
        <v>0</v>
      </c>
      <c r="EPY17">
        <v>0</v>
      </c>
      <c r="EPZ17">
        <v>0</v>
      </c>
      <c r="EQA17">
        <v>0</v>
      </c>
      <c r="EQB17">
        <v>0</v>
      </c>
      <c r="EQC17">
        <v>0</v>
      </c>
      <c r="EQD17">
        <v>0</v>
      </c>
      <c r="EQE17">
        <v>0</v>
      </c>
      <c r="EQF17">
        <v>0</v>
      </c>
      <c r="EQG17">
        <v>0</v>
      </c>
      <c r="EQH17">
        <v>0</v>
      </c>
      <c r="EQI17">
        <v>0</v>
      </c>
      <c r="EQJ17">
        <v>0</v>
      </c>
      <c r="EQK17">
        <v>7</v>
      </c>
      <c r="EQL17">
        <v>0</v>
      </c>
      <c r="EQM17">
        <v>0</v>
      </c>
      <c r="EQN17">
        <v>0</v>
      </c>
      <c r="EQO17">
        <v>0</v>
      </c>
      <c r="EQP17">
        <v>0</v>
      </c>
      <c r="EQQ17">
        <v>96</v>
      </c>
      <c r="EQR17">
        <v>0</v>
      </c>
      <c r="EQS17">
        <v>0</v>
      </c>
      <c r="EQT17">
        <v>0</v>
      </c>
      <c r="EQU17">
        <v>0</v>
      </c>
      <c r="EQV17">
        <v>0</v>
      </c>
      <c r="EQW17">
        <v>0</v>
      </c>
      <c r="EQX17">
        <v>0</v>
      </c>
      <c r="EQY17">
        <v>0</v>
      </c>
      <c r="EQZ17">
        <v>0</v>
      </c>
      <c r="ERA17">
        <v>0</v>
      </c>
      <c r="ERB17">
        <v>0</v>
      </c>
      <c r="ERC17">
        <v>0</v>
      </c>
      <c r="ERD17">
        <v>0</v>
      </c>
      <c r="ERE17">
        <v>0</v>
      </c>
      <c r="ERF17">
        <v>0</v>
      </c>
      <c r="ERG17">
        <v>0</v>
      </c>
      <c r="ERH17">
        <v>0</v>
      </c>
      <c r="ERI17">
        <v>401.01</v>
      </c>
      <c r="ERJ17">
        <v>0</v>
      </c>
      <c r="ERK17">
        <v>0</v>
      </c>
      <c r="ERL17">
        <v>0</v>
      </c>
      <c r="ERM17">
        <v>0</v>
      </c>
      <c r="ERN17">
        <v>0</v>
      </c>
      <c r="ERO17">
        <v>0</v>
      </c>
      <c r="ERP17">
        <v>0</v>
      </c>
      <c r="ERQ17">
        <v>0</v>
      </c>
      <c r="ERR17">
        <v>0</v>
      </c>
      <c r="ERS17">
        <v>0</v>
      </c>
      <c r="ERT17">
        <v>0</v>
      </c>
      <c r="ERU17">
        <v>37</v>
      </c>
      <c r="ERV17">
        <v>0</v>
      </c>
      <c r="ERW17">
        <v>0</v>
      </c>
      <c r="ERX17">
        <v>0</v>
      </c>
      <c r="ERY17">
        <v>259.99</v>
      </c>
      <c r="ERZ17">
        <v>0</v>
      </c>
      <c r="ESA17">
        <v>0</v>
      </c>
      <c r="ESB17">
        <v>0</v>
      </c>
      <c r="ESC17">
        <v>0</v>
      </c>
      <c r="ESD17">
        <v>0</v>
      </c>
      <c r="ESE17">
        <v>417.99</v>
      </c>
      <c r="ESF17">
        <v>0</v>
      </c>
      <c r="ESG17">
        <v>0</v>
      </c>
      <c r="ESH17">
        <v>0</v>
      </c>
      <c r="ESI17">
        <v>0</v>
      </c>
      <c r="ESJ17">
        <v>0</v>
      </c>
      <c r="ESK17">
        <v>0</v>
      </c>
      <c r="ESL17">
        <v>0</v>
      </c>
      <c r="ESM17">
        <v>0</v>
      </c>
      <c r="ESN17">
        <v>0</v>
      </c>
      <c r="ESO17">
        <v>0</v>
      </c>
      <c r="ESP17">
        <v>15</v>
      </c>
      <c r="ESQ17">
        <v>0</v>
      </c>
      <c r="ESR17">
        <v>0</v>
      </c>
      <c r="ESS17">
        <v>0</v>
      </c>
      <c r="EST17">
        <v>0</v>
      </c>
      <c r="ESU17">
        <v>45</v>
      </c>
      <c r="ESV17">
        <v>0</v>
      </c>
      <c r="ESW17">
        <v>0</v>
      </c>
      <c r="ESX17">
        <v>0</v>
      </c>
      <c r="ESY17">
        <v>0</v>
      </c>
      <c r="ESZ17">
        <v>0</v>
      </c>
      <c r="ETA17">
        <v>0</v>
      </c>
      <c r="ETB17">
        <v>0</v>
      </c>
      <c r="ETC17">
        <v>0</v>
      </c>
      <c r="ETD17">
        <v>96</v>
      </c>
      <c r="ETE17">
        <v>0</v>
      </c>
      <c r="ETF17">
        <v>0</v>
      </c>
      <c r="ETG17">
        <v>0</v>
      </c>
      <c r="ETH17">
        <v>0</v>
      </c>
      <c r="ETI17">
        <v>0</v>
      </c>
      <c r="ETJ17">
        <v>0</v>
      </c>
      <c r="ETK17">
        <v>0</v>
      </c>
      <c r="ETL17">
        <v>0</v>
      </c>
      <c r="ETM17">
        <v>0</v>
      </c>
      <c r="ETN17">
        <v>0</v>
      </c>
      <c r="ETO17">
        <v>0</v>
      </c>
      <c r="ETP17">
        <v>0</v>
      </c>
      <c r="ETQ17">
        <v>0</v>
      </c>
      <c r="ETR17">
        <v>0</v>
      </c>
      <c r="ETS17">
        <v>0</v>
      </c>
      <c r="ETT17">
        <v>0</v>
      </c>
      <c r="ETU17">
        <v>0</v>
      </c>
      <c r="ETV17">
        <v>0</v>
      </c>
      <c r="ETW17">
        <v>0</v>
      </c>
      <c r="ETX17">
        <v>0</v>
      </c>
      <c r="ETY17">
        <v>0</v>
      </c>
      <c r="ETZ17">
        <v>0</v>
      </c>
      <c r="EUA17">
        <v>0</v>
      </c>
      <c r="EUB17">
        <v>0</v>
      </c>
      <c r="EUC17">
        <v>0</v>
      </c>
      <c r="EUD17">
        <v>0</v>
      </c>
      <c r="EUE17">
        <v>0</v>
      </c>
      <c r="EUF17">
        <v>0</v>
      </c>
      <c r="EUG17">
        <v>0</v>
      </c>
      <c r="EUH17">
        <v>0</v>
      </c>
      <c r="EUI17">
        <v>0</v>
      </c>
      <c r="EUJ17">
        <v>0</v>
      </c>
      <c r="EUK17">
        <v>450</v>
      </c>
      <c r="EUL17">
        <v>0</v>
      </c>
      <c r="EUM17">
        <v>0</v>
      </c>
      <c r="EUN17">
        <v>0</v>
      </c>
      <c r="EUO17">
        <v>0</v>
      </c>
      <c r="EUP17">
        <v>0</v>
      </c>
      <c r="EUQ17">
        <v>0</v>
      </c>
      <c r="EUR17">
        <v>0</v>
      </c>
      <c r="EUS17">
        <v>0</v>
      </c>
      <c r="EUT17">
        <v>0</v>
      </c>
      <c r="EUU17">
        <v>0</v>
      </c>
      <c r="EUV17">
        <v>0</v>
      </c>
      <c r="EUW17">
        <v>0</v>
      </c>
      <c r="EUX17">
        <v>0</v>
      </c>
      <c r="EUY17">
        <v>0</v>
      </c>
      <c r="EUZ17">
        <v>0</v>
      </c>
      <c r="EVA17">
        <v>0</v>
      </c>
      <c r="EVB17">
        <v>0</v>
      </c>
      <c r="EVC17">
        <v>0</v>
      </c>
      <c r="EVD17">
        <v>0</v>
      </c>
      <c r="EVE17">
        <v>0</v>
      </c>
      <c r="EVF17">
        <v>0</v>
      </c>
      <c r="EVG17">
        <v>0</v>
      </c>
      <c r="EVH17">
        <v>0</v>
      </c>
      <c r="EVI17">
        <v>0</v>
      </c>
      <c r="EVJ17">
        <v>0</v>
      </c>
      <c r="EVK17">
        <v>0</v>
      </c>
      <c r="EVL17">
        <v>0</v>
      </c>
      <c r="EVM17">
        <v>0</v>
      </c>
      <c r="EVN17">
        <v>0</v>
      </c>
      <c r="EVO17">
        <v>0</v>
      </c>
      <c r="EVP17">
        <v>0</v>
      </c>
      <c r="EVQ17">
        <v>0</v>
      </c>
      <c r="EVR17">
        <v>0</v>
      </c>
      <c r="EVS17">
        <v>0</v>
      </c>
      <c r="EVT17">
        <v>0</v>
      </c>
      <c r="EVU17">
        <v>0</v>
      </c>
      <c r="EVV17">
        <v>0</v>
      </c>
      <c r="EVW17">
        <v>0</v>
      </c>
      <c r="EVX17">
        <v>0</v>
      </c>
      <c r="EVY17">
        <v>0</v>
      </c>
      <c r="EVZ17">
        <v>0</v>
      </c>
      <c r="EWA17">
        <v>0</v>
      </c>
      <c r="EWB17">
        <v>0</v>
      </c>
      <c r="EWC17">
        <v>0</v>
      </c>
      <c r="EWD17">
        <v>0</v>
      </c>
      <c r="EWE17">
        <v>0</v>
      </c>
      <c r="EWF17">
        <v>0</v>
      </c>
      <c r="EWG17">
        <v>0</v>
      </c>
      <c r="EWH17">
        <v>482.99</v>
      </c>
      <c r="EWI17">
        <v>0</v>
      </c>
      <c r="EWJ17">
        <v>0</v>
      </c>
      <c r="EWK17">
        <v>0</v>
      </c>
      <c r="EWL17">
        <v>0</v>
      </c>
      <c r="EWM17">
        <v>0</v>
      </c>
      <c r="EWN17">
        <v>0</v>
      </c>
      <c r="EWO17">
        <v>0</v>
      </c>
      <c r="EWP17">
        <v>0</v>
      </c>
      <c r="EWQ17">
        <v>432</v>
      </c>
      <c r="EWR17">
        <v>0</v>
      </c>
      <c r="EWS17">
        <v>0</v>
      </c>
      <c r="EWT17">
        <v>0</v>
      </c>
      <c r="EWU17">
        <v>0</v>
      </c>
      <c r="EWV17">
        <v>0</v>
      </c>
      <c r="EWW17">
        <v>0</v>
      </c>
      <c r="EWX17">
        <v>0</v>
      </c>
      <c r="EWY17">
        <v>239.99</v>
      </c>
      <c r="EWZ17">
        <v>0</v>
      </c>
      <c r="EXA17">
        <v>498.99</v>
      </c>
      <c r="EXB17">
        <v>0</v>
      </c>
      <c r="EXC17">
        <v>0</v>
      </c>
      <c r="EXD17">
        <v>0</v>
      </c>
      <c r="EXE17">
        <v>0</v>
      </c>
      <c r="EXF17">
        <v>159</v>
      </c>
      <c r="EXG17">
        <v>0</v>
      </c>
      <c r="EXH17">
        <v>117.99</v>
      </c>
      <c r="EXI17">
        <v>0</v>
      </c>
      <c r="EXJ17">
        <v>504.99</v>
      </c>
      <c r="EXK17">
        <v>0</v>
      </c>
      <c r="EXL17">
        <v>505.99</v>
      </c>
      <c r="EXM17">
        <v>0</v>
      </c>
      <c r="EXN17">
        <v>0</v>
      </c>
      <c r="EXO17">
        <v>0</v>
      </c>
      <c r="EXP17">
        <v>0</v>
      </c>
      <c r="EXQ17">
        <v>0</v>
      </c>
      <c r="EXR17">
        <v>0</v>
      </c>
      <c r="EXS17">
        <v>0</v>
      </c>
      <c r="EXT17">
        <v>0</v>
      </c>
      <c r="EXU17">
        <v>0</v>
      </c>
      <c r="EXV17">
        <v>0</v>
      </c>
      <c r="EXW17">
        <v>0</v>
      </c>
      <c r="EXX17">
        <v>0</v>
      </c>
      <c r="EXY17">
        <v>0</v>
      </c>
      <c r="EXZ17">
        <v>0</v>
      </c>
      <c r="EYA17">
        <v>0</v>
      </c>
      <c r="EYB17">
        <v>0</v>
      </c>
      <c r="EYC17">
        <v>0</v>
      </c>
      <c r="EYD17">
        <v>0</v>
      </c>
      <c r="EYE17">
        <v>0</v>
      </c>
      <c r="EYF17">
        <v>0</v>
      </c>
      <c r="EYG17">
        <v>0</v>
      </c>
      <c r="EYH17">
        <v>0</v>
      </c>
      <c r="EYI17">
        <v>0</v>
      </c>
      <c r="EYJ17">
        <v>0</v>
      </c>
      <c r="EYK17">
        <v>0</v>
      </c>
      <c r="EYL17">
        <v>0</v>
      </c>
      <c r="EYM17">
        <v>0</v>
      </c>
      <c r="EYN17">
        <v>0</v>
      </c>
      <c r="EYO17">
        <v>0</v>
      </c>
      <c r="EYP17">
        <v>0</v>
      </c>
      <c r="EYQ17">
        <v>0</v>
      </c>
      <c r="EYR17">
        <v>0</v>
      </c>
      <c r="EYS17">
        <v>0</v>
      </c>
      <c r="EYT17">
        <v>0</v>
      </c>
      <c r="EYU17">
        <v>215.99</v>
      </c>
      <c r="EYV17">
        <v>0</v>
      </c>
      <c r="EYW17">
        <v>0</v>
      </c>
      <c r="EYX17">
        <v>0</v>
      </c>
      <c r="EYY17">
        <v>0</v>
      </c>
      <c r="EYZ17">
        <v>0</v>
      </c>
      <c r="EZA17">
        <v>0</v>
      </c>
      <c r="EZB17">
        <v>0</v>
      </c>
      <c r="EZC17">
        <v>0</v>
      </c>
      <c r="EZD17">
        <v>0</v>
      </c>
      <c r="EZE17">
        <v>0</v>
      </c>
      <c r="EZF17">
        <v>0</v>
      </c>
      <c r="EZG17">
        <v>0</v>
      </c>
      <c r="EZH17">
        <v>0</v>
      </c>
      <c r="EZI17">
        <v>0</v>
      </c>
      <c r="EZJ17">
        <v>0</v>
      </c>
      <c r="EZK17">
        <v>0</v>
      </c>
      <c r="EZL17">
        <v>0</v>
      </c>
      <c r="EZM17">
        <v>0</v>
      </c>
      <c r="EZN17">
        <v>0</v>
      </c>
      <c r="EZO17">
        <v>0</v>
      </c>
      <c r="EZP17">
        <v>0</v>
      </c>
      <c r="EZQ17">
        <v>0</v>
      </c>
      <c r="EZR17">
        <v>0</v>
      </c>
      <c r="EZS17">
        <v>0</v>
      </c>
      <c r="EZT17">
        <v>0</v>
      </c>
      <c r="EZU17">
        <v>0</v>
      </c>
      <c r="EZV17">
        <v>0</v>
      </c>
      <c r="EZW17">
        <v>0</v>
      </c>
      <c r="EZX17">
        <v>0</v>
      </c>
      <c r="EZY17">
        <v>0</v>
      </c>
      <c r="EZZ17">
        <v>0</v>
      </c>
      <c r="FAA17">
        <v>0</v>
      </c>
      <c r="FAB17">
        <v>0</v>
      </c>
      <c r="FAC17">
        <v>0</v>
      </c>
      <c r="FAD17">
        <v>0</v>
      </c>
      <c r="FAE17">
        <v>0</v>
      </c>
      <c r="FAF17">
        <v>0</v>
      </c>
      <c r="FAG17">
        <v>562</v>
      </c>
      <c r="FAH17">
        <v>0</v>
      </c>
      <c r="FAI17">
        <v>0</v>
      </c>
      <c r="FAJ17">
        <v>0</v>
      </c>
      <c r="FAK17">
        <v>0</v>
      </c>
      <c r="FAL17">
        <v>0</v>
      </c>
      <c r="FAM17">
        <v>0</v>
      </c>
      <c r="FAN17">
        <v>0</v>
      </c>
      <c r="FAO17">
        <v>0</v>
      </c>
      <c r="FAP17">
        <v>0</v>
      </c>
      <c r="FAQ17">
        <v>0</v>
      </c>
      <c r="FAR17">
        <v>571.98</v>
      </c>
      <c r="FAS17">
        <v>43</v>
      </c>
      <c r="FAT17">
        <v>0</v>
      </c>
      <c r="FAU17">
        <v>0</v>
      </c>
      <c r="FAV17">
        <v>0</v>
      </c>
      <c r="FAW17">
        <v>0</v>
      </c>
      <c r="FAX17">
        <v>0</v>
      </c>
      <c r="FAY17">
        <v>0</v>
      </c>
      <c r="FAZ17">
        <v>0</v>
      </c>
      <c r="FBA17">
        <v>0</v>
      </c>
      <c r="FBB17">
        <v>0</v>
      </c>
      <c r="FBC17">
        <v>0</v>
      </c>
      <c r="FBD17">
        <v>0</v>
      </c>
      <c r="FBE17">
        <v>0</v>
      </c>
      <c r="FBF17">
        <v>0</v>
      </c>
      <c r="FBG17">
        <v>0</v>
      </c>
      <c r="FBH17">
        <v>0</v>
      </c>
      <c r="FBI17">
        <v>0</v>
      </c>
      <c r="FBJ17">
        <v>0</v>
      </c>
      <c r="FBK17">
        <v>0</v>
      </c>
      <c r="FBL17">
        <v>0</v>
      </c>
      <c r="FBM17">
        <v>0</v>
      </c>
      <c r="FBN17">
        <v>0</v>
      </c>
      <c r="FBO17">
        <v>0</v>
      </c>
      <c r="FBP17">
        <v>0</v>
      </c>
      <c r="FBQ17">
        <v>0</v>
      </c>
      <c r="FBR17">
        <v>0</v>
      </c>
      <c r="FBS17">
        <v>0</v>
      </c>
      <c r="FBT17">
        <v>0</v>
      </c>
      <c r="FBU17">
        <v>0</v>
      </c>
      <c r="FBV17">
        <v>0</v>
      </c>
      <c r="FBW17">
        <v>0</v>
      </c>
      <c r="FBX17">
        <v>0</v>
      </c>
      <c r="FBY17">
        <v>0</v>
      </c>
      <c r="FBZ17">
        <v>0</v>
      </c>
      <c r="FCA17">
        <v>0</v>
      </c>
      <c r="FCB17">
        <v>0</v>
      </c>
      <c r="FCC17">
        <v>0</v>
      </c>
      <c r="FCD17">
        <v>0</v>
      </c>
      <c r="FCE17">
        <v>0</v>
      </c>
      <c r="FCF17">
        <v>0</v>
      </c>
      <c r="FCG17">
        <v>570.99</v>
      </c>
      <c r="FCH17">
        <v>0</v>
      </c>
      <c r="FCI17">
        <v>0</v>
      </c>
      <c r="FCJ17">
        <v>0</v>
      </c>
      <c r="FCK17">
        <v>0</v>
      </c>
      <c r="FCL17">
        <v>0</v>
      </c>
      <c r="FCM17">
        <v>0</v>
      </c>
      <c r="FCN17">
        <v>0</v>
      </c>
      <c r="FCO17">
        <v>0</v>
      </c>
      <c r="FCP17">
        <v>0</v>
      </c>
      <c r="FCQ17">
        <v>0</v>
      </c>
      <c r="FCR17">
        <v>0</v>
      </c>
      <c r="FCS17">
        <v>0</v>
      </c>
      <c r="FCT17">
        <v>0</v>
      </c>
      <c r="FCU17">
        <v>0</v>
      </c>
      <c r="FCV17">
        <v>451.98</v>
      </c>
      <c r="FCW17">
        <v>0</v>
      </c>
      <c r="FCX17">
        <v>0</v>
      </c>
      <c r="FCY17">
        <v>0</v>
      </c>
      <c r="FCZ17">
        <v>0</v>
      </c>
      <c r="FDA17">
        <v>0</v>
      </c>
      <c r="FDB17">
        <v>0</v>
      </c>
      <c r="FDC17">
        <v>0</v>
      </c>
      <c r="FDD17">
        <v>613.99</v>
      </c>
      <c r="FDE17">
        <v>0</v>
      </c>
      <c r="FDF17">
        <v>4</v>
      </c>
      <c r="FDG17">
        <v>0</v>
      </c>
      <c r="FDH17">
        <v>0</v>
      </c>
      <c r="FDI17">
        <v>0</v>
      </c>
      <c r="FDJ17">
        <v>0</v>
      </c>
      <c r="FDK17">
        <v>0</v>
      </c>
      <c r="FDL17">
        <v>0</v>
      </c>
      <c r="FDM17">
        <v>0</v>
      </c>
      <c r="FDN17">
        <v>0</v>
      </c>
      <c r="FDO17">
        <v>0</v>
      </c>
      <c r="FDP17">
        <v>0</v>
      </c>
      <c r="FDQ17">
        <v>0</v>
      </c>
      <c r="FDR17">
        <v>0</v>
      </c>
      <c r="FDS17">
        <v>0</v>
      </c>
      <c r="FDT17">
        <v>658.97</v>
      </c>
      <c r="FDU17">
        <v>0</v>
      </c>
      <c r="FDV17">
        <v>0</v>
      </c>
      <c r="FDW17">
        <v>0</v>
      </c>
      <c r="FDX17">
        <v>0</v>
      </c>
      <c r="FDY17">
        <v>0</v>
      </c>
      <c r="FDZ17">
        <v>0</v>
      </c>
      <c r="FEA17">
        <v>0</v>
      </c>
      <c r="FEB17">
        <v>0</v>
      </c>
      <c r="FEC17">
        <v>0</v>
      </c>
      <c r="FED17">
        <v>0</v>
      </c>
      <c r="FEE17">
        <v>0</v>
      </c>
      <c r="FEF17">
        <v>0</v>
      </c>
      <c r="FEG17">
        <v>0</v>
      </c>
      <c r="FEH17">
        <v>0</v>
      </c>
      <c r="FEI17">
        <v>0</v>
      </c>
      <c r="FEJ17">
        <v>0</v>
      </c>
      <c r="FEK17">
        <v>0</v>
      </c>
      <c r="FEL17">
        <v>0</v>
      </c>
      <c r="FEM17">
        <v>19</v>
      </c>
      <c r="FEN17">
        <v>0</v>
      </c>
      <c r="FEO17">
        <v>0</v>
      </c>
      <c r="FEP17">
        <v>0</v>
      </c>
      <c r="FEQ17">
        <v>0</v>
      </c>
      <c r="FER17">
        <v>0</v>
      </c>
      <c r="FES17">
        <v>0</v>
      </c>
      <c r="FET17">
        <v>0</v>
      </c>
      <c r="FEU17">
        <v>0</v>
      </c>
      <c r="FEV17">
        <v>0</v>
      </c>
      <c r="FEW17">
        <v>0</v>
      </c>
      <c r="FEX17">
        <v>0</v>
      </c>
      <c r="FEY17">
        <v>0</v>
      </c>
      <c r="FEZ17">
        <v>0</v>
      </c>
      <c r="FFA17">
        <v>0</v>
      </c>
      <c r="FFB17">
        <v>0</v>
      </c>
      <c r="FFC17">
        <v>0</v>
      </c>
      <c r="FFD17">
        <v>701.99</v>
      </c>
      <c r="FFE17">
        <v>0</v>
      </c>
      <c r="FFF17">
        <v>0</v>
      </c>
      <c r="FFG17">
        <v>0</v>
      </c>
      <c r="FFH17">
        <v>0</v>
      </c>
      <c r="FFI17">
        <v>716</v>
      </c>
      <c r="FFJ17">
        <v>0</v>
      </c>
      <c r="FFK17">
        <v>0</v>
      </c>
      <c r="FFL17">
        <v>0</v>
      </c>
      <c r="FFM17">
        <v>0</v>
      </c>
      <c r="FFN17">
        <v>0</v>
      </c>
      <c r="FFO17">
        <v>0</v>
      </c>
      <c r="FFP17">
        <v>0</v>
      </c>
      <c r="FFQ17">
        <v>0</v>
      </c>
      <c r="FFR17">
        <v>0</v>
      </c>
      <c r="FFS17">
        <v>0</v>
      </c>
      <c r="FFT17">
        <v>0</v>
      </c>
      <c r="FFU17">
        <v>0</v>
      </c>
      <c r="FFV17">
        <v>0</v>
      </c>
      <c r="FFW17">
        <v>0</v>
      </c>
      <c r="FFX17">
        <v>0</v>
      </c>
      <c r="FFY17">
        <v>0</v>
      </c>
      <c r="FFZ17">
        <v>0</v>
      </c>
      <c r="FGA17">
        <v>0</v>
      </c>
      <c r="FGB17">
        <v>0</v>
      </c>
      <c r="FGC17">
        <v>0</v>
      </c>
      <c r="FGD17">
        <v>0</v>
      </c>
      <c r="FGE17">
        <v>0</v>
      </c>
      <c r="FGF17">
        <v>0</v>
      </c>
      <c r="FGG17">
        <v>0</v>
      </c>
      <c r="FGH17">
        <v>0</v>
      </c>
      <c r="FGI17">
        <v>0</v>
      </c>
      <c r="FGJ17">
        <v>0</v>
      </c>
      <c r="FGK17">
        <v>60</v>
      </c>
      <c r="FGL17">
        <v>0</v>
      </c>
      <c r="FGM17">
        <v>0</v>
      </c>
      <c r="FGN17">
        <v>0</v>
      </c>
      <c r="FGO17">
        <v>0</v>
      </c>
      <c r="FGP17">
        <v>604.99</v>
      </c>
      <c r="FGQ17">
        <v>0</v>
      </c>
      <c r="FGR17">
        <v>0</v>
      </c>
      <c r="FGS17">
        <v>142</v>
      </c>
      <c r="FGT17">
        <v>0</v>
      </c>
      <c r="FGU17">
        <v>0</v>
      </c>
      <c r="FGV17">
        <v>0</v>
      </c>
      <c r="FGW17">
        <v>0</v>
      </c>
      <c r="FGX17">
        <v>0</v>
      </c>
      <c r="FGY17">
        <v>0</v>
      </c>
      <c r="FGZ17">
        <v>0</v>
      </c>
      <c r="FHA17">
        <v>0</v>
      </c>
      <c r="FHB17">
        <v>0</v>
      </c>
      <c r="FHC17">
        <v>561</v>
      </c>
      <c r="FHD17">
        <v>0</v>
      </c>
      <c r="FHE17">
        <v>0</v>
      </c>
      <c r="FHF17">
        <v>0</v>
      </c>
      <c r="FHG17">
        <v>0</v>
      </c>
      <c r="FHH17">
        <v>0</v>
      </c>
      <c r="FHI17">
        <v>0</v>
      </c>
      <c r="FHJ17">
        <v>0</v>
      </c>
      <c r="FHK17">
        <v>0</v>
      </c>
      <c r="FHL17">
        <v>0</v>
      </c>
      <c r="FHM17">
        <v>0</v>
      </c>
      <c r="FHN17">
        <v>0</v>
      </c>
      <c r="FHO17">
        <v>0</v>
      </c>
      <c r="FHP17">
        <v>0</v>
      </c>
      <c r="FHQ17">
        <v>0</v>
      </c>
      <c r="FHR17">
        <v>0</v>
      </c>
      <c r="FHS17">
        <v>0</v>
      </c>
      <c r="FHT17">
        <v>0</v>
      </c>
      <c r="FHU17">
        <v>0</v>
      </c>
      <c r="FHV17">
        <v>0</v>
      </c>
      <c r="FHW17">
        <v>0</v>
      </c>
      <c r="FHX17">
        <v>0</v>
      </c>
      <c r="FHY17">
        <v>0</v>
      </c>
      <c r="FHZ17">
        <v>0</v>
      </c>
      <c r="FIA17">
        <v>0</v>
      </c>
      <c r="FIB17">
        <v>0</v>
      </c>
      <c r="FIC17">
        <v>0</v>
      </c>
      <c r="FID17">
        <v>0</v>
      </c>
      <c r="FIE17">
        <v>0</v>
      </c>
      <c r="FIF17">
        <v>0</v>
      </c>
      <c r="FIG17">
        <v>0</v>
      </c>
      <c r="FIH17">
        <v>0</v>
      </c>
      <c r="FII17">
        <v>0</v>
      </c>
      <c r="FIJ17">
        <v>0</v>
      </c>
      <c r="FIK17">
        <v>104</v>
      </c>
      <c r="FIL17">
        <v>0</v>
      </c>
      <c r="FIM17">
        <v>0</v>
      </c>
      <c r="FIN17">
        <v>277.99</v>
      </c>
      <c r="FIO17">
        <v>100</v>
      </c>
      <c r="FIP17">
        <v>0</v>
      </c>
      <c r="FIQ17">
        <v>0</v>
      </c>
      <c r="FIR17">
        <v>0</v>
      </c>
      <c r="FIS17">
        <v>0</v>
      </c>
      <c r="FIT17">
        <v>0</v>
      </c>
      <c r="FIU17">
        <v>115</v>
      </c>
      <c r="FIV17">
        <v>0</v>
      </c>
      <c r="FIW17">
        <v>0</v>
      </c>
      <c r="FIX17">
        <v>0</v>
      </c>
      <c r="FIY17">
        <v>0</v>
      </c>
      <c r="FIZ17">
        <v>0</v>
      </c>
      <c r="FJA17">
        <v>0</v>
      </c>
      <c r="FJB17">
        <v>0</v>
      </c>
      <c r="FJC17">
        <v>0</v>
      </c>
      <c r="FJD17">
        <v>0</v>
      </c>
      <c r="FJE17">
        <v>0</v>
      </c>
      <c r="FJF17">
        <v>0</v>
      </c>
      <c r="FJG17">
        <v>811.98</v>
      </c>
      <c r="FJH17">
        <v>0</v>
      </c>
      <c r="FJI17">
        <v>0</v>
      </c>
      <c r="FJJ17">
        <v>0</v>
      </c>
      <c r="FJK17">
        <v>0</v>
      </c>
      <c r="FJL17">
        <v>0</v>
      </c>
      <c r="FJM17">
        <v>834.99</v>
      </c>
      <c r="FJN17">
        <v>0</v>
      </c>
      <c r="FJO17">
        <v>0</v>
      </c>
      <c r="FJP17">
        <v>0</v>
      </c>
      <c r="FJQ17">
        <v>839.95</v>
      </c>
      <c r="FJR17">
        <v>842.99</v>
      </c>
      <c r="FJS17">
        <v>0</v>
      </c>
      <c r="FJT17">
        <v>0</v>
      </c>
      <c r="FJU17">
        <v>0</v>
      </c>
      <c r="FJV17">
        <v>0</v>
      </c>
      <c r="FJW17">
        <v>229</v>
      </c>
      <c r="FJX17">
        <v>0</v>
      </c>
      <c r="FJY17">
        <v>0</v>
      </c>
      <c r="FJZ17">
        <v>0</v>
      </c>
      <c r="FKA17">
        <v>0</v>
      </c>
      <c r="FKB17">
        <v>0</v>
      </c>
      <c r="FKC17">
        <v>0</v>
      </c>
      <c r="FKD17">
        <v>0</v>
      </c>
      <c r="FKE17">
        <v>0</v>
      </c>
      <c r="FKF17">
        <v>0</v>
      </c>
      <c r="FKG17">
        <v>0</v>
      </c>
      <c r="FKH17">
        <v>860.01</v>
      </c>
      <c r="FKI17">
        <v>0</v>
      </c>
      <c r="FKJ17">
        <v>0</v>
      </c>
      <c r="FKK17">
        <v>864.94</v>
      </c>
      <c r="FKL17">
        <v>0</v>
      </c>
      <c r="FKM17">
        <v>0</v>
      </c>
      <c r="FKN17">
        <v>0</v>
      </c>
      <c r="FKO17">
        <v>0</v>
      </c>
      <c r="FKP17">
        <v>0</v>
      </c>
      <c r="FKQ17">
        <v>0</v>
      </c>
      <c r="FKR17">
        <v>0</v>
      </c>
      <c r="FKS17">
        <v>0</v>
      </c>
      <c r="FKT17">
        <v>0</v>
      </c>
      <c r="FKU17">
        <v>0</v>
      </c>
      <c r="FKV17">
        <v>0</v>
      </c>
      <c r="FKW17">
        <v>0</v>
      </c>
      <c r="FKX17">
        <v>0</v>
      </c>
      <c r="FKY17">
        <v>0</v>
      </c>
      <c r="FKZ17">
        <v>0</v>
      </c>
      <c r="FLA17">
        <v>0</v>
      </c>
      <c r="FLB17">
        <v>0</v>
      </c>
      <c r="FLC17">
        <v>0</v>
      </c>
      <c r="FLD17">
        <v>0</v>
      </c>
      <c r="FLE17">
        <v>57.02</v>
      </c>
      <c r="FLF17">
        <v>0</v>
      </c>
      <c r="FLG17">
        <v>0</v>
      </c>
      <c r="FLH17">
        <v>0</v>
      </c>
      <c r="FLI17">
        <v>0</v>
      </c>
      <c r="FLJ17">
        <v>0</v>
      </c>
      <c r="FLK17">
        <v>0</v>
      </c>
      <c r="FLL17">
        <v>906.99</v>
      </c>
      <c r="FLM17">
        <v>0</v>
      </c>
      <c r="FLN17">
        <v>0</v>
      </c>
      <c r="FLO17">
        <v>703</v>
      </c>
      <c r="FLP17">
        <v>0</v>
      </c>
      <c r="FLQ17">
        <v>0</v>
      </c>
      <c r="FLR17">
        <v>0</v>
      </c>
      <c r="FLS17">
        <v>0</v>
      </c>
      <c r="FLT17">
        <v>0</v>
      </c>
      <c r="FLU17">
        <v>0</v>
      </c>
      <c r="FLV17">
        <v>0</v>
      </c>
      <c r="FLW17">
        <v>0</v>
      </c>
      <c r="FLX17">
        <v>0</v>
      </c>
      <c r="FLY17">
        <v>0</v>
      </c>
      <c r="FLZ17">
        <v>0</v>
      </c>
      <c r="FMA17">
        <v>0</v>
      </c>
      <c r="FMB17">
        <v>0</v>
      </c>
      <c r="FMC17">
        <v>0</v>
      </c>
      <c r="FMD17">
        <v>0</v>
      </c>
      <c r="FME17">
        <v>0</v>
      </c>
      <c r="FMF17">
        <v>0</v>
      </c>
      <c r="FMG17">
        <v>0</v>
      </c>
      <c r="FMH17">
        <v>0</v>
      </c>
      <c r="FMI17">
        <v>0</v>
      </c>
      <c r="FMJ17">
        <v>0</v>
      </c>
      <c r="FMK17">
        <v>0</v>
      </c>
      <c r="FML17">
        <v>0</v>
      </c>
      <c r="FMM17">
        <v>0</v>
      </c>
      <c r="FMN17">
        <v>0</v>
      </c>
      <c r="FMO17">
        <v>15</v>
      </c>
      <c r="FMP17">
        <v>0</v>
      </c>
      <c r="FMQ17">
        <v>0</v>
      </c>
      <c r="FMR17">
        <v>0</v>
      </c>
      <c r="FMS17">
        <v>0</v>
      </c>
      <c r="FMT17">
        <v>0</v>
      </c>
      <c r="FMU17">
        <v>0</v>
      </c>
      <c r="FMV17">
        <v>0</v>
      </c>
      <c r="FMW17">
        <v>13</v>
      </c>
      <c r="FMX17">
        <v>34</v>
      </c>
      <c r="FMY17">
        <v>0</v>
      </c>
      <c r="FMZ17">
        <v>0</v>
      </c>
      <c r="FNA17">
        <v>0</v>
      </c>
      <c r="FNB17">
        <v>0</v>
      </c>
      <c r="FNC17">
        <v>0</v>
      </c>
      <c r="FND17">
        <v>410</v>
      </c>
      <c r="FNE17">
        <v>0</v>
      </c>
      <c r="FNF17">
        <v>0</v>
      </c>
      <c r="FNG17">
        <v>0</v>
      </c>
      <c r="FNH17">
        <v>0</v>
      </c>
      <c r="FNI17">
        <v>0</v>
      </c>
      <c r="FNJ17">
        <v>0</v>
      </c>
      <c r="FNK17">
        <v>0</v>
      </c>
      <c r="FNL17">
        <v>0</v>
      </c>
      <c r="FNM17">
        <v>0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0</v>
      </c>
      <c r="FNT17">
        <v>0</v>
      </c>
      <c r="FNU17">
        <v>0</v>
      </c>
      <c r="FNV17">
        <v>0</v>
      </c>
      <c r="FNW17">
        <v>0</v>
      </c>
      <c r="FNX17">
        <v>0</v>
      </c>
      <c r="FNY17">
        <v>0</v>
      </c>
      <c r="FNZ17">
        <v>0</v>
      </c>
      <c r="FOA17">
        <v>0</v>
      </c>
      <c r="FOB17">
        <v>0</v>
      </c>
      <c r="FOC17">
        <v>0</v>
      </c>
      <c r="FOD17">
        <v>0</v>
      </c>
      <c r="FOE17">
        <v>60</v>
      </c>
      <c r="FOF17">
        <v>0</v>
      </c>
      <c r="FOG17">
        <v>0</v>
      </c>
      <c r="FOH17">
        <v>0</v>
      </c>
      <c r="FOI17">
        <v>107</v>
      </c>
      <c r="FOJ17">
        <v>0</v>
      </c>
      <c r="FOK17">
        <v>0</v>
      </c>
      <c r="FOL17">
        <v>0</v>
      </c>
      <c r="FOM17">
        <v>0</v>
      </c>
      <c r="FON17">
        <v>0</v>
      </c>
      <c r="FOO17">
        <v>0</v>
      </c>
      <c r="FOP17">
        <v>0</v>
      </c>
      <c r="FOQ17">
        <v>0</v>
      </c>
      <c r="FOR17">
        <v>0</v>
      </c>
      <c r="FOS17">
        <v>84</v>
      </c>
      <c r="FOT17">
        <v>0</v>
      </c>
      <c r="FOU17">
        <v>0</v>
      </c>
      <c r="FOV17">
        <v>0</v>
      </c>
      <c r="FOW17">
        <v>0</v>
      </c>
      <c r="FOX17">
        <v>72</v>
      </c>
      <c r="FOY17">
        <v>0</v>
      </c>
      <c r="FOZ17">
        <v>0</v>
      </c>
      <c r="FPA17">
        <v>0</v>
      </c>
      <c r="FPB17">
        <v>89.99</v>
      </c>
      <c r="FPC17">
        <v>0</v>
      </c>
      <c r="FPD17">
        <v>0</v>
      </c>
      <c r="FPE17">
        <v>59</v>
      </c>
      <c r="FPF17">
        <v>391.04</v>
      </c>
      <c r="FPG17">
        <v>64.06</v>
      </c>
      <c r="FPH17">
        <v>49</v>
      </c>
      <c r="FPI17">
        <v>0</v>
      </c>
      <c r="FPJ17">
        <v>1085.99</v>
      </c>
      <c r="FPK17">
        <v>0</v>
      </c>
      <c r="FPL17">
        <v>0</v>
      </c>
      <c r="FPM17">
        <v>0</v>
      </c>
      <c r="FPN17">
        <v>0</v>
      </c>
      <c r="FPO17">
        <v>0</v>
      </c>
      <c r="FPP17">
        <v>0</v>
      </c>
      <c r="FPQ17">
        <v>0</v>
      </c>
      <c r="FPR17">
        <v>0</v>
      </c>
      <c r="FPS17">
        <v>5</v>
      </c>
      <c r="FPT17">
        <v>0</v>
      </c>
      <c r="FPU17">
        <v>0</v>
      </c>
      <c r="FPV17">
        <v>0</v>
      </c>
      <c r="FPW17">
        <v>0</v>
      </c>
      <c r="FPX17">
        <v>0</v>
      </c>
      <c r="FPY17">
        <v>0</v>
      </c>
      <c r="FPZ17">
        <v>0</v>
      </c>
      <c r="FQA17">
        <v>0</v>
      </c>
      <c r="FQB17">
        <v>0</v>
      </c>
      <c r="FQC17">
        <v>0</v>
      </c>
      <c r="FQD17">
        <v>27</v>
      </c>
      <c r="FQE17">
        <v>0</v>
      </c>
      <c r="FQF17">
        <v>0</v>
      </c>
      <c r="FQG17">
        <v>1130.95</v>
      </c>
      <c r="FQH17">
        <v>0</v>
      </c>
      <c r="FQI17">
        <v>0</v>
      </c>
      <c r="FQJ17">
        <v>0</v>
      </c>
      <c r="FQK17">
        <v>0</v>
      </c>
      <c r="FQL17">
        <v>0</v>
      </c>
      <c r="FQM17">
        <v>0</v>
      </c>
      <c r="FQN17">
        <v>0</v>
      </c>
      <c r="FQO17">
        <v>0</v>
      </c>
      <c r="FQP17">
        <v>0</v>
      </c>
      <c r="FQQ17">
        <v>0</v>
      </c>
      <c r="FQR17">
        <v>0</v>
      </c>
      <c r="FQS17">
        <v>0</v>
      </c>
      <c r="FQT17">
        <v>0</v>
      </c>
      <c r="FQU17">
        <v>0</v>
      </c>
      <c r="FQV17">
        <v>0</v>
      </c>
      <c r="FQW17">
        <v>0</v>
      </c>
      <c r="FQX17">
        <v>1072.97</v>
      </c>
      <c r="FQY17">
        <v>0</v>
      </c>
      <c r="FQZ17">
        <v>0</v>
      </c>
      <c r="FRA17">
        <v>0</v>
      </c>
      <c r="FRB17">
        <v>0</v>
      </c>
      <c r="FRC17">
        <v>0</v>
      </c>
      <c r="FRD17">
        <v>0</v>
      </c>
      <c r="FRE17">
        <v>0</v>
      </c>
      <c r="FRF17">
        <v>0</v>
      </c>
      <c r="FRG17">
        <v>0</v>
      </c>
      <c r="FRH17">
        <v>0</v>
      </c>
      <c r="FRI17">
        <v>0</v>
      </c>
      <c r="FRJ17">
        <v>0</v>
      </c>
      <c r="FRK17">
        <v>61</v>
      </c>
      <c r="FRL17">
        <v>0</v>
      </c>
      <c r="FRM17">
        <v>0</v>
      </c>
      <c r="FRN17">
        <v>0</v>
      </c>
      <c r="FRO17">
        <v>0</v>
      </c>
      <c r="FRP17">
        <v>279.99</v>
      </c>
      <c r="FRQ17">
        <v>39</v>
      </c>
      <c r="FRR17">
        <v>0</v>
      </c>
      <c r="FRS17">
        <v>0</v>
      </c>
      <c r="FRT17">
        <v>0</v>
      </c>
      <c r="FRU17">
        <v>0</v>
      </c>
      <c r="FRV17">
        <v>0</v>
      </c>
      <c r="FRW17">
        <v>0</v>
      </c>
      <c r="FRX17">
        <v>0</v>
      </c>
      <c r="FRY17">
        <v>0</v>
      </c>
      <c r="FRZ17">
        <v>0</v>
      </c>
      <c r="FSA17">
        <v>0</v>
      </c>
      <c r="FSB17">
        <v>0</v>
      </c>
      <c r="FSC17">
        <v>0</v>
      </c>
      <c r="FSD17">
        <v>0</v>
      </c>
      <c r="FSE17">
        <v>0</v>
      </c>
      <c r="FSF17">
        <v>1291.96</v>
      </c>
      <c r="FSG17">
        <v>0</v>
      </c>
      <c r="FSH17">
        <v>0</v>
      </c>
      <c r="FSI17">
        <v>0</v>
      </c>
      <c r="FSJ17">
        <v>0</v>
      </c>
      <c r="FSK17">
        <v>43</v>
      </c>
      <c r="FSL17">
        <v>0</v>
      </c>
      <c r="FSM17">
        <v>0</v>
      </c>
      <c r="FSN17">
        <v>0</v>
      </c>
      <c r="FSO17">
        <v>224</v>
      </c>
      <c r="FSP17">
        <v>0</v>
      </c>
      <c r="FSQ17">
        <v>0</v>
      </c>
      <c r="FSR17">
        <v>35.020000000000003</v>
      </c>
      <c r="FSS17">
        <v>0</v>
      </c>
      <c r="FST17">
        <v>0</v>
      </c>
      <c r="FSU17">
        <v>0</v>
      </c>
      <c r="FSV17">
        <v>478.98</v>
      </c>
      <c r="FSW17">
        <v>0</v>
      </c>
      <c r="FSX17">
        <v>0</v>
      </c>
      <c r="FSY17">
        <v>0</v>
      </c>
      <c r="FSZ17">
        <v>0</v>
      </c>
      <c r="FTA17">
        <v>0</v>
      </c>
      <c r="FTB17">
        <v>0</v>
      </c>
      <c r="FTC17">
        <v>0</v>
      </c>
      <c r="FTD17">
        <v>0</v>
      </c>
      <c r="FTE17">
        <v>0</v>
      </c>
      <c r="FTF17">
        <v>0</v>
      </c>
      <c r="FTG17">
        <v>0</v>
      </c>
      <c r="FTH17">
        <v>0</v>
      </c>
      <c r="FTI17">
        <v>0</v>
      </c>
      <c r="FTJ17">
        <v>1381.99</v>
      </c>
      <c r="FTK17">
        <v>0</v>
      </c>
      <c r="FTL17">
        <v>427.99</v>
      </c>
      <c r="FTM17">
        <v>0</v>
      </c>
      <c r="FTN17">
        <v>0</v>
      </c>
      <c r="FTO17">
        <v>0</v>
      </c>
      <c r="FTP17">
        <v>0</v>
      </c>
      <c r="FTQ17">
        <v>0</v>
      </c>
      <c r="FTR17">
        <v>0</v>
      </c>
      <c r="FTS17">
        <v>0</v>
      </c>
      <c r="FTT17">
        <v>0</v>
      </c>
      <c r="FTU17">
        <v>0</v>
      </c>
      <c r="FTV17">
        <v>0</v>
      </c>
      <c r="FTW17">
        <v>0</v>
      </c>
      <c r="FTX17">
        <v>0</v>
      </c>
      <c r="FTY17">
        <v>0</v>
      </c>
      <c r="FTZ17">
        <v>0</v>
      </c>
      <c r="FUA17">
        <v>0</v>
      </c>
      <c r="FUB17">
        <v>0</v>
      </c>
      <c r="FUC17">
        <v>0</v>
      </c>
      <c r="FUD17">
        <v>0</v>
      </c>
      <c r="FUE17">
        <v>0</v>
      </c>
      <c r="FUF17">
        <v>0</v>
      </c>
      <c r="FUG17">
        <v>0</v>
      </c>
      <c r="FUH17">
        <v>1364.92</v>
      </c>
      <c r="FUI17">
        <v>0</v>
      </c>
      <c r="FUJ17">
        <v>0</v>
      </c>
      <c r="FUK17">
        <v>0</v>
      </c>
      <c r="FUL17">
        <v>158.99</v>
      </c>
      <c r="FUM17">
        <v>0</v>
      </c>
      <c r="FUN17">
        <v>0</v>
      </c>
      <c r="FUO17">
        <v>0</v>
      </c>
      <c r="FUP17">
        <v>0</v>
      </c>
      <c r="FUQ17">
        <v>0</v>
      </c>
      <c r="FUR17">
        <v>40</v>
      </c>
      <c r="FUS17">
        <v>0</v>
      </c>
      <c r="FUT17">
        <v>199</v>
      </c>
      <c r="FUU17">
        <v>0</v>
      </c>
      <c r="FUV17">
        <v>0</v>
      </c>
      <c r="FUW17">
        <v>0</v>
      </c>
      <c r="FUX17">
        <v>0</v>
      </c>
      <c r="FUY17">
        <v>122</v>
      </c>
      <c r="FUZ17">
        <v>0</v>
      </c>
      <c r="FVA17">
        <v>0</v>
      </c>
      <c r="FVB17">
        <v>0</v>
      </c>
      <c r="FVC17">
        <v>0</v>
      </c>
      <c r="FVD17">
        <v>0</v>
      </c>
      <c r="FVE17">
        <v>0</v>
      </c>
      <c r="FVF17">
        <v>0</v>
      </c>
      <c r="FVG17">
        <v>238</v>
      </c>
      <c r="FVH17">
        <v>0</v>
      </c>
      <c r="FVI17">
        <v>0</v>
      </c>
      <c r="FVJ17">
        <v>0</v>
      </c>
      <c r="FVK17">
        <v>0</v>
      </c>
      <c r="FVL17">
        <v>0</v>
      </c>
      <c r="FVM17">
        <v>0</v>
      </c>
      <c r="FVN17">
        <v>132</v>
      </c>
      <c r="FVO17">
        <v>0</v>
      </c>
      <c r="FVP17">
        <v>58</v>
      </c>
      <c r="FVQ17">
        <v>624.99</v>
      </c>
      <c r="FVR17">
        <v>0</v>
      </c>
      <c r="FVS17">
        <v>0</v>
      </c>
      <c r="FVT17">
        <v>0</v>
      </c>
      <c r="FVU17">
        <v>0</v>
      </c>
      <c r="FVV17">
        <v>0</v>
      </c>
      <c r="FVW17">
        <v>0</v>
      </c>
      <c r="FVX17">
        <v>0</v>
      </c>
      <c r="FVY17">
        <v>0</v>
      </c>
      <c r="FVZ17">
        <v>0</v>
      </c>
      <c r="FWB17">
        <v>0</v>
      </c>
      <c r="FWC17">
        <v>0</v>
      </c>
      <c r="FWD17">
        <v>0</v>
      </c>
      <c r="FWE17">
        <v>0</v>
      </c>
      <c r="FWF17">
        <v>39</v>
      </c>
      <c r="FWG17">
        <v>0</v>
      </c>
      <c r="FWH17">
        <v>1576.95</v>
      </c>
      <c r="FWI17">
        <v>0</v>
      </c>
      <c r="FWJ17">
        <v>13</v>
      </c>
      <c r="FWK17">
        <v>1598.98</v>
      </c>
      <c r="FWL17">
        <v>0</v>
      </c>
      <c r="FWM17">
        <v>12.01</v>
      </c>
      <c r="FWN17">
        <v>0</v>
      </c>
      <c r="FWO17">
        <v>0</v>
      </c>
      <c r="FWP17">
        <v>1620.91</v>
      </c>
      <c r="FWQ17">
        <v>0</v>
      </c>
      <c r="FWR17">
        <v>0</v>
      </c>
      <c r="FWS17">
        <v>0</v>
      </c>
      <c r="FWT17">
        <v>0</v>
      </c>
      <c r="FWU17">
        <v>238.98</v>
      </c>
      <c r="FWV17">
        <v>77</v>
      </c>
      <c r="FWW17">
        <v>0</v>
      </c>
      <c r="FWX17">
        <v>0</v>
      </c>
      <c r="FWY17">
        <v>0</v>
      </c>
      <c r="FWZ17">
        <v>0</v>
      </c>
      <c r="FXA17">
        <v>0</v>
      </c>
      <c r="FXB17">
        <v>0</v>
      </c>
      <c r="FXC17">
        <v>0</v>
      </c>
      <c r="FXD17">
        <v>0</v>
      </c>
      <c r="FXE17">
        <v>0</v>
      </c>
      <c r="FXF17">
        <v>0</v>
      </c>
      <c r="FXG17">
        <v>0</v>
      </c>
      <c r="FXH17">
        <v>0</v>
      </c>
      <c r="FXI17">
        <v>0</v>
      </c>
      <c r="FXJ17">
        <v>0</v>
      </c>
      <c r="FXK17">
        <v>0</v>
      </c>
      <c r="FXL17">
        <v>0</v>
      </c>
      <c r="FXM17">
        <v>0</v>
      </c>
      <c r="FXN17">
        <v>0</v>
      </c>
      <c r="FXO17">
        <v>0</v>
      </c>
      <c r="FXP17">
        <v>0</v>
      </c>
      <c r="FXQ17">
        <v>0</v>
      </c>
      <c r="FXR17">
        <v>0</v>
      </c>
      <c r="FXS17">
        <v>0</v>
      </c>
      <c r="FXT17">
        <v>631.96</v>
      </c>
      <c r="FXU17">
        <v>0</v>
      </c>
      <c r="FXV17">
        <v>0</v>
      </c>
      <c r="FXW17">
        <v>0</v>
      </c>
      <c r="FXX17">
        <v>756</v>
      </c>
      <c r="FXY17">
        <v>0</v>
      </c>
      <c r="FXZ17">
        <v>0</v>
      </c>
      <c r="FYA17">
        <v>0</v>
      </c>
      <c r="FYB17">
        <v>0</v>
      </c>
      <c r="FYC17">
        <v>0</v>
      </c>
      <c r="FYD17">
        <v>143.99</v>
      </c>
      <c r="FYE17">
        <v>0</v>
      </c>
      <c r="FYF17">
        <v>0</v>
      </c>
      <c r="FYG17">
        <v>0</v>
      </c>
      <c r="FYH17">
        <v>13</v>
      </c>
      <c r="FYI17">
        <v>0</v>
      </c>
      <c r="FYJ17">
        <v>0</v>
      </c>
      <c r="FYK17">
        <v>0</v>
      </c>
      <c r="FYL17">
        <v>257</v>
      </c>
      <c r="FYM17">
        <v>109</v>
      </c>
      <c r="FYN17">
        <v>67</v>
      </c>
      <c r="FYO17">
        <v>1821.94</v>
      </c>
      <c r="FYP17">
        <v>0</v>
      </c>
      <c r="FYQ17">
        <v>0</v>
      </c>
      <c r="FYR17">
        <v>0</v>
      </c>
      <c r="FYS17">
        <v>0</v>
      </c>
      <c r="FYT17">
        <v>0</v>
      </c>
      <c r="FYU17">
        <v>1401.99</v>
      </c>
      <c r="FYV17">
        <v>0</v>
      </c>
      <c r="FYW17">
        <v>0</v>
      </c>
      <c r="FYX17">
        <v>0</v>
      </c>
      <c r="FYY17">
        <v>260</v>
      </c>
      <c r="FYZ17">
        <v>0</v>
      </c>
      <c r="FZA17">
        <v>0</v>
      </c>
      <c r="FZB17">
        <v>0</v>
      </c>
      <c r="FZC17">
        <v>0</v>
      </c>
      <c r="FZD17">
        <v>0</v>
      </c>
      <c r="FZE17">
        <v>0</v>
      </c>
      <c r="FZF17">
        <v>0</v>
      </c>
      <c r="FZG17">
        <v>0</v>
      </c>
      <c r="FZH17">
        <v>0</v>
      </c>
      <c r="FZI17">
        <v>0</v>
      </c>
      <c r="FZJ17">
        <v>23</v>
      </c>
      <c r="FZK17">
        <v>0</v>
      </c>
      <c r="FZL17">
        <v>0</v>
      </c>
      <c r="FZM17">
        <v>0</v>
      </c>
      <c r="FZN17">
        <v>0</v>
      </c>
      <c r="FZO17">
        <v>0</v>
      </c>
      <c r="FZP17">
        <v>0</v>
      </c>
      <c r="FZQ17">
        <v>0</v>
      </c>
      <c r="FZR17">
        <v>0</v>
      </c>
      <c r="FZS17">
        <v>0</v>
      </c>
      <c r="FZT17">
        <v>0</v>
      </c>
      <c r="FZU17">
        <v>0</v>
      </c>
      <c r="FZV17">
        <v>0</v>
      </c>
      <c r="FZW17">
        <v>0</v>
      </c>
      <c r="FZX17">
        <v>0</v>
      </c>
      <c r="FZY17">
        <v>0</v>
      </c>
      <c r="FZZ17">
        <v>0</v>
      </c>
      <c r="GAA17">
        <v>0</v>
      </c>
      <c r="GAB17">
        <v>0</v>
      </c>
      <c r="GAC17">
        <v>0</v>
      </c>
      <c r="GAD17">
        <v>365.05</v>
      </c>
      <c r="GAE17">
        <v>0</v>
      </c>
      <c r="GAF17">
        <v>0</v>
      </c>
      <c r="GAG17">
        <v>0</v>
      </c>
      <c r="GAH17">
        <v>0</v>
      </c>
      <c r="GAI17">
        <v>0</v>
      </c>
      <c r="GAJ17">
        <v>0</v>
      </c>
      <c r="GAK17">
        <v>0</v>
      </c>
      <c r="GAL17">
        <v>95</v>
      </c>
      <c r="GAM17">
        <v>0</v>
      </c>
      <c r="GAN17">
        <v>0</v>
      </c>
      <c r="GAO17">
        <v>0</v>
      </c>
      <c r="GAP17">
        <v>0</v>
      </c>
      <c r="GAQ17">
        <v>0</v>
      </c>
      <c r="GAR17">
        <v>0</v>
      </c>
      <c r="GAS17">
        <v>0</v>
      </c>
      <c r="GAT17">
        <v>72</v>
      </c>
      <c r="GAU17">
        <v>1903.94</v>
      </c>
      <c r="GAV17">
        <v>0</v>
      </c>
      <c r="GAW17">
        <v>0</v>
      </c>
      <c r="GAX17">
        <v>284</v>
      </c>
      <c r="GAY17">
        <v>0</v>
      </c>
      <c r="GAZ17">
        <v>0</v>
      </c>
      <c r="GBA17">
        <v>0</v>
      </c>
      <c r="GBB17">
        <v>0</v>
      </c>
      <c r="GBC17">
        <v>0</v>
      </c>
      <c r="GBD17">
        <v>310.99</v>
      </c>
      <c r="GBE17">
        <v>73</v>
      </c>
      <c r="GBF17">
        <v>0</v>
      </c>
      <c r="GBG17">
        <v>0</v>
      </c>
      <c r="GBH17">
        <v>0</v>
      </c>
      <c r="GBI17">
        <v>0</v>
      </c>
      <c r="GBJ17">
        <v>0</v>
      </c>
      <c r="GBK17">
        <v>0</v>
      </c>
      <c r="GBL17">
        <v>499</v>
      </c>
      <c r="GBM17">
        <v>0</v>
      </c>
      <c r="GBN17">
        <v>0</v>
      </c>
      <c r="GBO17">
        <v>38</v>
      </c>
      <c r="GBP17">
        <v>0</v>
      </c>
      <c r="GBQ17">
        <v>721</v>
      </c>
      <c r="GBR17">
        <v>0</v>
      </c>
      <c r="GBS17">
        <v>28</v>
      </c>
      <c r="GBT17">
        <v>0</v>
      </c>
      <c r="GBU17">
        <v>0</v>
      </c>
      <c r="GBV17">
        <v>0</v>
      </c>
      <c r="GBW17">
        <v>0</v>
      </c>
      <c r="GBX17">
        <v>43.04</v>
      </c>
      <c r="GBY17">
        <v>0</v>
      </c>
      <c r="GBZ17">
        <v>0</v>
      </c>
      <c r="GCA17">
        <v>0</v>
      </c>
      <c r="GCB17">
        <v>0</v>
      </c>
      <c r="GCC17">
        <v>0</v>
      </c>
      <c r="GCD17">
        <v>0</v>
      </c>
      <c r="GCE17">
        <v>0</v>
      </c>
      <c r="GCF17">
        <v>0</v>
      </c>
      <c r="GCG17">
        <v>0</v>
      </c>
      <c r="GCH17">
        <v>0</v>
      </c>
      <c r="GCI17">
        <v>0</v>
      </c>
      <c r="GCJ17">
        <v>2248.94</v>
      </c>
      <c r="GCK17">
        <v>0</v>
      </c>
      <c r="GCL17">
        <v>0</v>
      </c>
      <c r="GCM17">
        <v>0</v>
      </c>
      <c r="GCN17">
        <v>93</v>
      </c>
      <c r="GCO17">
        <v>0</v>
      </c>
      <c r="GCP17">
        <v>0</v>
      </c>
      <c r="GCQ17">
        <v>0</v>
      </c>
      <c r="GCR17">
        <v>0</v>
      </c>
      <c r="GCS17">
        <v>0</v>
      </c>
      <c r="GCT17">
        <v>0</v>
      </c>
      <c r="GCU17">
        <v>0</v>
      </c>
      <c r="GCV17">
        <v>0</v>
      </c>
      <c r="GCW17">
        <v>0</v>
      </c>
      <c r="GCX17">
        <v>100</v>
      </c>
      <c r="GCY17">
        <v>0</v>
      </c>
      <c r="GCZ17">
        <v>0</v>
      </c>
      <c r="GDA17">
        <v>90</v>
      </c>
      <c r="GDB17">
        <v>0</v>
      </c>
      <c r="GDC17">
        <v>0</v>
      </c>
      <c r="GDD17">
        <v>0</v>
      </c>
      <c r="GDE17">
        <v>0</v>
      </c>
      <c r="GDF17">
        <v>0</v>
      </c>
      <c r="GDG17">
        <v>0</v>
      </c>
      <c r="GDH17">
        <v>0</v>
      </c>
      <c r="GDI17">
        <v>257</v>
      </c>
      <c r="GDJ17">
        <v>0</v>
      </c>
      <c r="GDK17">
        <v>0</v>
      </c>
      <c r="GDL17">
        <v>0</v>
      </c>
      <c r="GDM17">
        <v>0</v>
      </c>
      <c r="GDN17">
        <v>0</v>
      </c>
      <c r="GDO17">
        <v>0</v>
      </c>
      <c r="GDP17">
        <v>0</v>
      </c>
      <c r="GDQ17">
        <v>0</v>
      </c>
      <c r="GDR17">
        <v>604.99</v>
      </c>
      <c r="GDS17">
        <v>0</v>
      </c>
      <c r="GDT17">
        <v>0</v>
      </c>
      <c r="GDU17">
        <v>0</v>
      </c>
      <c r="GDV17">
        <v>2392.98</v>
      </c>
      <c r="GDW17">
        <v>0</v>
      </c>
      <c r="GDX17">
        <v>0</v>
      </c>
      <c r="GDY17">
        <v>0</v>
      </c>
      <c r="GDZ17">
        <v>0</v>
      </c>
      <c r="GEA17">
        <v>0</v>
      </c>
      <c r="GEB17">
        <v>463</v>
      </c>
      <c r="GEC17">
        <v>0</v>
      </c>
      <c r="GED17">
        <v>0</v>
      </c>
      <c r="GEE17">
        <v>0</v>
      </c>
      <c r="GEF17">
        <v>0</v>
      </c>
      <c r="GEG17">
        <v>0</v>
      </c>
      <c r="GEH17">
        <v>0</v>
      </c>
      <c r="GEI17">
        <v>0</v>
      </c>
      <c r="GEJ17">
        <v>0</v>
      </c>
      <c r="GEK17">
        <v>0</v>
      </c>
      <c r="GEL17">
        <v>0</v>
      </c>
      <c r="GEM17">
        <v>0</v>
      </c>
      <c r="GEN17">
        <v>0</v>
      </c>
      <c r="GEO17">
        <v>0</v>
      </c>
      <c r="GEP17">
        <v>0</v>
      </c>
      <c r="GEQ17">
        <v>173</v>
      </c>
      <c r="GER17">
        <v>0</v>
      </c>
      <c r="GES17">
        <v>0</v>
      </c>
      <c r="GET17">
        <v>0</v>
      </c>
      <c r="GEU17">
        <v>0</v>
      </c>
      <c r="GEV17">
        <v>0</v>
      </c>
      <c r="GEW17">
        <v>0</v>
      </c>
      <c r="GEX17">
        <v>2081.9899999999998</v>
      </c>
      <c r="GEY17">
        <v>0</v>
      </c>
      <c r="GEZ17">
        <v>0</v>
      </c>
      <c r="GFA17">
        <v>926.95</v>
      </c>
      <c r="GFB17">
        <v>0</v>
      </c>
      <c r="GFC17">
        <v>0</v>
      </c>
      <c r="GFD17">
        <v>0</v>
      </c>
      <c r="GFE17">
        <v>0</v>
      </c>
      <c r="GFF17">
        <v>0</v>
      </c>
      <c r="GFG17">
        <v>0</v>
      </c>
      <c r="GFH17">
        <v>0</v>
      </c>
      <c r="GFI17">
        <v>0</v>
      </c>
      <c r="GFJ17">
        <v>0</v>
      </c>
      <c r="GFK17">
        <v>685.99</v>
      </c>
      <c r="GFL17">
        <v>0</v>
      </c>
      <c r="GFM17">
        <v>0</v>
      </c>
      <c r="GFN17">
        <v>0</v>
      </c>
      <c r="GFO17">
        <v>0</v>
      </c>
      <c r="GFP17">
        <v>0</v>
      </c>
      <c r="GFQ17">
        <v>0</v>
      </c>
      <c r="GFR17">
        <v>108.96</v>
      </c>
      <c r="GFS17">
        <v>0</v>
      </c>
      <c r="GFT17">
        <v>0</v>
      </c>
      <c r="GFU17">
        <v>0</v>
      </c>
      <c r="GFV17">
        <v>0</v>
      </c>
      <c r="GFW17">
        <v>0</v>
      </c>
      <c r="GFX17">
        <v>0</v>
      </c>
      <c r="GFY17">
        <v>0</v>
      </c>
      <c r="GFZ17">
        <v>0</v>
      </c>
      <c r="GGA17">
        <v>0</v>
      </c>
      <c r="GGB17">
        <v>0</v>
      </c>
      <c r="GGC17">
        <v>0</v>
      </c>
      <c r="GGD17">
        <v>0</v>
      </c>
      <c r="GGE17">
        <v>0</v>
      </c>
      <c r="GGF17">
        <v>0</v>
      </c>
      <c r="GGG17">
        <v>0</v>
      </c>
      <c r="GGH17">
        <v>0</v>
      </c>
      <c r="GGI17">
        <v>0</v>
      </c>
      <c r="GGJ17">
        <v>0</v>
      </c>
      <c r="GGK17">
        <v>0</v>
      </c>
      <c r="GGL17">
        <v>0</v>
      </c>
      <c r="GGM17">
        <v>341.99</v>
      </c>
      <c r="GGN17">
        <v>0</v>
      </c>
      <c r="GGO17">
        <v>0</v>
      </c>
      <c r="GGP17">
        <v>134.99</v>
      </c>
      <c r="GGQ17">
        <v>0</v>
      </c>
      <c r="GGR17">
        <v>0</v>
      </c>
      <c r="GGS17">
        <v>0</v>
      </c>
      <c r="GGT17">
        <v>0</v>
      </c>
      <c r="GGU17">
        <v>0</v>
      </c>
      <c r="GGV17">
        <v>0</v>
      </c>
      <c r="GGW17">
        <v>0</v>
      </c>
      <c r="GGX17">
        <v>0</v>
      </c>
      <c r="GGY17">
        <v>0</v>
      </c>
      <c r="GGZ17">
        <v>0</v>
      </c>
      <c r="GHA17">
        <v>55.05</v>
      </c>
      <c r="GHB17">
        <v>0</v>
      </c>
      <c r="GHC17">
        <v>27</v>
      </c>
      <c r="GHD17">
        <v>0</v>
      </c>
      <c r="GHE17">
        <v>0</v>
      </c>
      <c r="GHF17">
        <v>0</v>
      </c>
      <c r="GHG17">
        <v>0</v>
      </c>
      <c r="GHH17">
        <v>31</v>
      </c>
      <c r="GHI17">
        <v>0</v>
      </c>
      <c r="GHJ17">
        <v>170</v>
      </c>
      <c r="GHK17">
        <v>0</v>
      </c>
      <c r="GHL17">
        <v>19</v>
      </c>
      <c r="GHM17">
        <v>403</v>
      </c>
      <c r="GHN17">
        <v>0</v>
      </c>
      <c r="GHO17">
        <v>0</v>
      </c>
      <c r="GHP17">
        <v>0</v>
      </c>
      <c r="GHQ17">
        <v>0</v>
      </c>
      <c r="GHR17">
        <v>0</v>
      </c>
      <c r="GHS17">
        <v>0</v>
      </c>
      <c r="GHT17">
        <v>0</v>
      </c>
      <c r="GHU17">
        <v>2593.9299999999998</v>
      </c>
      <c r="GHV17">
        <v>0</v>
      </c>
      <c r="GHW17">
        <v>0</v>
      </c>
      <c r="GHX17">
        <v>0</v>
      </c>
      <c r="GHY17">
        <v>0</v>
      </c>
      <c r="GHZ17">
        <v>0</v>
      </c>
      <c r="GIA17">
        <v>0</v>
      </c>
      <c r="GIB17">
        <v>0</v>
      </c>
      <c r="GIC17">
        <v>0</v>
      </c>
      <c r="GID17">
        <v>320.99</v>
      </c>
      <c r="GIE17">
        <v>0</v>
      </c>
      <c r="GIF17">
        <v>0</v>
      </c>
      <c r="GIG17">
        <v>0</v>
      </c>
      <c r="GIH17">
        <v>0</v>
      </c>
      <c r="GII17">
        <v>0</v>
      </c>
      <c r="GIJ17">
        <v>29</v>
      </c>
      <c r="GIK17">
        <v>289.99</v>
      </c>
      <c r="GIL17">
        <v>41</v>
      </c>
      <c r="GIM17">
        <v>279.02</v>
      </c>
      <c r="GIN17">
        <v>0</v>
      </c>
      <c r="GIO17">
        <v>0</v>
      </c>
      <c r="GIP17">
        <v>0</v>
      </c>
      <c r="GIQ17">
        <v>216.99</v>
      </c>
      <c r="GIR17">
        <v>0</v>
      </c>
      <c r="GIS17">
        <v>0</v>
      </c>
      <c r="GIT17">
        <v>58</v>
      </c>
      <c r="GIU17">
        <v>0</v>
      </c>
      <c r="GIV17">
        <v>0</v>
      </c>
      <c r="GIW17">
        <v>0</v>
      </c>
      <c r="GIX17">
        <v>0</v>
      </c>
      <c r="GIY17">
        <v>26</v>
      </c>
      <c r="GIZ17">
        <v>0</v>
      </c>
      <c r="GJA17">
        <v>408</v>
      </c>
      <c r="GJB17">
        <v>0</v>
      </c>
      <c r="GJC17">
        <v>0</v>
      </c>
      <c r="GJD17">
        <v>0</v>
      </c>
      <c r="GJE17">
        <v>3739.96</v>
      </c>
      <c r="GJF17">
        <v>0</v>
      </c>
      <c r="GJG17">
        <v>2460.94</v>
      </c>
      <c r="GJH17">
        <v>0</v>
      </c>
      <c r="GJI17">
        <v>0</v>
      </c>
      <c r="GJJ17">
        <v>0</v>
      </c>
      <c r="GJK17">
        <v>0</v>
      </c>
      <c r="GJL17">
        <v>0</v>
      </c>
      <c r="GJM17">
        <v>0</v>
      </c>
      <c r="GJN17">
        <v>917.99</v>
      </c>
      <c r="GJO17">
        <v>0</v>
      </c>
      <c r="GJP17">
        <v>77</v>
      </c>
      <c r="GJQ17">
        <v>0</v>
      </c>
      <c r="GJR17">
        <v>292</v>
      </c>
      <c r="GJS17">
        <v>0</v>
      </c>
      <c r="GJT17">
        <v>0</v>
      </c>
      <c r="GJU17">
        <v>0</v>
      </c>
      <c r="GJV17">
        <v>0</v>
      </c>
      <c r="GJW17">
        <v>0</v>
      </c>
      <c r="GJX17">
        <v>0</v>
      </c>
      <c r="GJY17">
        <v>0</v>
      </c>
      <c r="GJZ17">
        <v>1062.95</v>
      </c>
      <c r="GKA17">
        <v>0</v>
      </c>
      <c r="GKB17">
        <v>0</v>
      </c>
      <c r="GKC17">
        <v>0</v>
      </c>
      <c r="GKD17">
        <v>0</v>
      </c>
      <c r="GKE17">
        <v>0</v>
      </c>
      <c r="GKF17">
        <v>0</v>
      </c>
      <c r="GKG17">
        <v>0</v>
      </c>
      <c r="GKH17">
        <v>0</v>
      </c>
      <c r="GKI17">
        <v>0</v>
      </c>
      <c r="GKJ17">
        <v>0</v>
      </c>
      <c r="GKK17">
        <v>0</v>
      </c>
      <c r="GKL17">
        <v>0</v>
      </c>
      <c r="GKM17">
        <v>0</v>
      </c>
      <c r="GKN17">
        <v>0</v>
      </c>
      <c r="GKO17">
        <v>0</v>
      </c>
      <c r="GKP17">
        <v>183.99</v>
      </c>
      <c r="GKQ17">
        <v>0</v>
      </c>
      <c r="GKR17">
        <v>0</v>
      </c>
      <c r="GKS17">
        <v>0</v>
      </c>
      <c r="GKT17">
        <v>2256</v>
      </c>
      <c r="GKU17">
        <v>0</v>
      </c>
      <c r="GKV17">
        <v>0</v>
      </c>
      <c r="GKW17">
        <v>0</v>
      </c>
      <c r="GKX17">
        <v>0</v>
      </c>
      <c r="GKY17">
        <v>81.03</v>
      </c>
      <c r="GKZ17">
        <v>0</v>
      </c>
      <c r="GLA17">
        <v>0</v>
      </c>
      <c r="GLB17">
        <v>0</v>
      </c>
      <c r="GLC17">
        <v>0</v>
      </c>
      <c r="GLD17">
        <v>0</v>
      </c>
      <c r="GLE17">
        <v>0</v>
      </c>
      <c r="GLF17">
        <v>0</v>
      </c>
      <c r="GLG17">
        <v>0</v>
      </c>
      <c r="GLH17">
        <v>0</v>
      </c>
      <c r="GLI17">
        <v>0</v>
      </c>
      <c r="GLJ17">
        <v>430.98</v>
      </c>
      <c r="GLK17">
        <v>0</v>
      </c>
      <c r="GLL17">
        <v>0</v>
      </c>
      <c r="GLM17">
        <v>0</v>
      </c>
      <c r="GLN17">
        <v>185</v>
      </c>
      <c r="GLO17">
        <v>0</v>
      </c>
      <c r="GLP17">
        <v>0</v>
      </c>
      <c r="GLQ17">
        <v>0</v>
      </c>
      <c r="GLR17">
        <v>0</v>
      </c>
      <c r="GLS17">
        <v>0</v>
      </c>
      <c r="GLT17">
        <v>0</v>
      </c>
      <c r="GLU17">
        <v>0</v>
      </c>
      <c r="GLV17">
        <v>0</v>
      </c>
      <c r="GLW17">
        <v>0</v>
      </c>
      <c r="GLX17">
        <v>0</v>
      </c>
      <c r="GLY17">
        <v>0</v>
      </c>
      <c r="GLZ17">
        <v>0</v>
      </c>
      <c r="GMA17">
        <v>0</v>
      </c>
      <c r="GMB17">
        <v>0</v>
      </c>
      <c r="GMC17">
        <v>0</v>
      </c>
      <c r="GMD17">
        <v>1736.08</v>
      </c>
      <c r="GME17">
        <v>0</v>
      </c>
      <c r="GMF17">
        <v>0</v>
      </c>
      <c r="GMG17">
        <v>0</v>
      </c>
      <c r="GMH17">
        <v>0</v>
      </c>
      <c r="GMI17">
        <v>0</v>
      </c>
      <c r="GMJ17">
        <v>0</v>
      </c>
      <c r="GMK17">
        <v>0</v>
      </c>
      <c r="GML17">
        <v>0</v>
      </c>
      <c r="GMM17">
        <v>577.99</v>
      </c>
      <c r="GMN17">
        <v>0</v>
      </c>
      <c r="GMO17">
        <v>0</v>
      </c>
      <c r="GMP17">
        <v>0</v>
      </c>
      <c r="GMQ17">
        <v>1098.96</v>
      </c>
      <c r="GMR17">
        <v>0</v>
      </c>
      <c r="GMS17">
        <v>0</v>
      </c>
      <c r="GMT17">
        <v>73</v>
      </c>
      <c r="GMU17">
        <v>0</v>
      </c>
      <c r="GMV17">
        <v>0</v>
      </c>
      <c r="GMW17">
        <v>0</v>
      </c>
      <c r="GMX17">
        <v>0</v>
      </c>
      <c r="GMY17">
        <v>0</v>
      </c>
      <c r="GMZ17">
        <v>0</v>
      </c>
      <c r="GNA17">
        <v>0</v>
      </c>
      <c r="GNB17">
        <v>0</v>
      </c>
      <c r="GNC17">
        <v>11.01</v>
      </c>
      <c r="GND17">
        <v>267.99</v>
      </c>
      <c r="GNE17">
        <v>0</v>
      </c>
      <c r="GNF17">
        <v>0</v>
      </c>
      <c r="GNG17">
        <v>0</v>
      </c>
      <c r="GNH17">
        <v>7</v>
      </c>
      <c r="GNI17">
        <v>0</v>
      </c>
      <c r="GNJ17">
        <v>0</v>
      </c>
      <c r="GNK17">
        <v>0</v>
      </c>
      <c r="GNL17">
        <v>0</v>
      </c>
      <c r="GNM17">
        <v>865.95</v>
      </c>
      <c r="GNN17">
        <v>0</v>
      </c>
      <c r="GNO17">
        <v>0</v>
      </c>
      <c r="GNP17">
        <v>0</v>
      </c>
      <c r="GNQ17">
        <v>0</v>
      </c>
      <c r="GNR17">
        <v>0</v>
      </c>
      <c r="GNS17">
        <v>0</v>
      </c>
      <c r="GNT17">
        <v>0</v>
      </c>
      <c r="GNU17">
        <v>0</v>
      </c>
      <c r="GNV17">
        <v>0</v>
      </c>
      <c r="GNW17">
        <v>0</v>
      </c>
      <c r="GNX17">
        <v>0</v>
      </c>
      <c r="GNY17">
        <v>0</v>
      </c>
      <c r="GNZ17">
        <v>0</v>
      </c>
      <c r="GOA17">
        <v>0</v>
      </c>
      <c r="GOB17">
        <v>124</v>
      </c>
      <c r="GOC17">
        <v>115</v>
      </c>
      <c r="GOD17">
        <v>0</v>
      </c>
      <c r="GOE17">
        <v>0</v>
      </c>
      <c r="GOF17">
        <v>0</v>
      </c>
      <c r="GOG17">
        <v>1659.96</v>
      </c>
      <c r="GOH17">
        <v>250.99</v>
      </c>
      <c r="GOI17">
        <v>0</v>
      </c>
      <c r="GOJ17">
        <v>0</v>
      </c>
      <c r="GOK17">
        <v>0</v>
      </c>
      <c r="GOL17">
        <v>0</v>
      </c>
      <c r="GOM17">
        <v>0</v>
      </c>
      <c r="GON17">
        <v>0</v>
      </c>
      <c r="GOO17">
        <v>553.91</v>
      </c>
      <c r="GOP17">
        <v>0</v>
      </c>
      <c r="GOQ17">
        <v>0</v>
      </c>
      <c r="GOR17">
        <v>0</v>
      </c>
      <c r="GOS17">
        <v>231.99</v>
      </c>
      <c r="GOT17">
        <v>0</v>
      </c>
      <c r="GOU17">
        <v>45</v>
      </c>
      <c r="GOV17">
        <v>0</v>
      </c>
      <c r="GOW17">
        <v>810.98</v>
      </c>
      <c r="GOX17">
        <v>0</v>
      </c>
      <c r="GOY17">
        <v>623.01</v>
      </c>
      <c r="GOZ17">
        <v>0</v>
      </c>
      <c r="GPA17">
        <v>0</v>
      </c>
      <c r="GPB17">
        <v>1045</v>
      </c>
      <c r="GPC17">
        <v>0</v>
      </c>
      <c r="GPD17">
        <v>0</v>
      </c>
      <c r="GPE17">
        <v>0</v>
      </c>
      <c r="GPF17">
        <v>0</v>
      </c>
      <c r="GPG17">
        <v>0</v>
      </c>
      <c r="GPH17">
        <v>125.08</v>
      </c>
      <c r="GPI17">
        <v>0</v>
      </c>
      <c r="GPJ17">
        <v>0</v>
      </c>
      <c r="GPK17">
        <v>0</v>
      </c>
      <c r="GPL17">
        <v>0</v>
      </c>
      <c r="GPM17">
        <v>0</v>
      </c>
      <c r="GPN17">
        <v>1457.98</v>
      </c>
      <c r="GPO17">
        <v>0</v>
      </c>
      <c r="GPP17">
        <v>291.99</v>
      </c>
      <c r="GPQ17">
        <v>0</v>
      </c>
      <c r="GPR17">
        <v>0</v>
      </c>
      <c r="GPS17">
        <v>0</v>
      </c>
      <c r="GPT17">
        <v>0</v>
      </c>
      <c r="GPU17">
        <v>0</v>
      </c>
      <c r="GPV17">
        <v>0</v>
      </c>
      <c r="GPW17">
        <v>0</v>
      </c>
      <c r="GPX17">
        <v>0</v>
      </c>
      <c r="GPY17">
        <v>9</v>
      </c>
      <c r="GPZ17">
        <v>0</v>
      </c>
      <c r="GQA17">
        <v>890.99</v>
      </c>
      <c r="GQB17">
        <v>0</v>
      </c>
      <c r="GQC17">
        <v>0</v>
      </c>
      <c r="GQD17">
        <v>57.97</v>
      </c>
      <c r="GQE17">
        <v>0</v>
      </c>
      <c r="GQF17">
        <v>918.88</v>
      </c>
      <c r="GQG17">
        <v>0</v>
      </c>
      <c r="GQH17">
        <v>13590.41</v>
      </c>
      <c r="GQI17">
        <v>0</v>
      </c>
      <c r="GQJ17">
        <v>5587.48</v>
      </c>
      <c r="GQK17">
        <v>0</v>
      </c>
      <c r="GQL17">
        <v>3544.89</v>
      </c>
      <c r="GQM17">
        <v>373</v>
      </c>
      <c r="GQN17">
        <v>0</v>
      </c>
      <c r="GQO17">
        <v>0</v>
      </c>
      <c r="GQP17">
        <v>0</v>
      </c>
      <c r="GQQ17">
        <v>0</v>
      </c>
      <c r="GQR17">
        <v>2256.96</v>
      </c>
      <c r="GQS17">
        <v>0</v>
      </c>
      <c r="GQT17">
        <v>1201.95</v>
      </c>
      <c r="GQU17">
        <v>0</v>
      </c>
      <c r="GQV17">
        <v>0</v>
      </c>
      <c r="GQW17">
        <v>12074.66</v>
      </c>
      <c r="GQX17">
        <v>253.99</v>
      </c>
      <c r="GQY17">
        <v>222</v>
      </c>
      <c r="GQZ17">
        <v>504.92</v>
      </c>
      <c r="GRA17">
        <v>6412.95</v>
      </c>
      <c r="GRB17">
        <v>0</v>
      </c>
      <c r="GRC17">
        <v>4158.99</v>
      </c>
      <c r="GRD17">
        <v>1076.97</v>
      </c>
      <c r="GRE17">
        <v>0</v>
      </c>
      <c r="GRF17">
        <v>3170.91</v>
      </c>
      <c r="GRG17">
        <v>3317.18</v>
      </c>
      <c r="GRH17">
        <v>0</v>
      </c>
      <c r="GRI17">
        <v>95.99</v>
      </c>
      <c r="GRJ17">
        <v>0</v>
      </c>
      <c r="GRK17">
        <v>26</v>
      </c>
      <c r="GRL17">
        <v>443.98</v>
      </c>
      <c r="GRM17">
        <v>928.1</v>
      </c>
      <c r="GRN17">
        <v>0</v>
      </c>
      <c r="GRO17">
        <v>0</v>
      </c>
      <c r="GRP17">
        <v>0</v>
      </c>
      <c r="GRQ17">
        <v>0</v>
      </c>
      <c r="GRR17">
        <v>298.98</v>
      </c>
      <c r="GRS17">
        <v>1543.81</v>
      </c>
      <c r="GRT17">
        <v>0</v>
      </c>
      <c r="GRU17">
        <v>473.96</v>
      </c>
      <c r="GRV17">
        <v>0</v>
      </c>
      <c r="GRW17">
        <v>2963.91</v>
      </c>
      <c r="GRX17">
        <v>1139.03</v>
      </c>
      <c r="GRY17">
        <v>0</v>
      </c>
      <c r="GRZ17">
        <v>0</v>
      </c>
      <c r="GSA17">
        <v>44</v>
      </c>
      <c r="GSB17">
        <v>659.19</v>
      </c>
      <c r="GSC17">
        <v>76</v>
      </c>
      <c r="GSD17">
        <v>61</v>
      </c>
      <c r="GSE17">
        <v>0</v>
      </c>
      <c r="GSF17">
        <v>0</v>
      </c>
      <c r="GSG17">
        <v>1401.99</v>
      </c>
      <c r="GSH17">
        <v>2455.29</v>
      </c>
      <c r="GSI17">
        <v>104</v>
      </c>
      <c r="GSJ17">
        <v>10422.76</v>
      </c>
      <c r="GSK17">
        <v>1092.03</v>
      </c>
      <c r="GSL17">
        <v>6848.09</v>
      </c>
      <c r="GSM17">
        <v>412.99</v>
      </c>
      <c r="GSN17">
        <v>0</v>
      </c>
      <c r="GSO17">
        <v>5837.85</v>
      </c>
      <c r="GSP17">
        <v>449.4</v>
      </c>
      <c r="GSQ17">
        <v>3610.8</v>
      </c>
      <c r="GSR17">
        <v>197212.64</v>
      </c>
    </row>
    <row r="18" spans="1:5244" x14ac:dyDescent="0.2">
      <c r="A18" s="7">
        <v>235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4.99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6</v>
      </c>
      <c r="FA18">
        <v>6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7</v>
      </c>
      <c r="HR18">
        <v>7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8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9</v>
      </c>
      <c r="LJ18">
        <v>9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11</v>
      </c>
      <c r="PW18">
        <v>11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12</v>
      </c>
      <c r="SK18">
        <v>12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13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14</v>
      </c>
      <c r="WM18">
        <v>14</v>
      </c>
      <c r="WN18">
        <v>14</v>
      </c>
      <c r="WO18">
        <v>14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15</v>
      </c>
      <c r="YO18">
        <v>15</v>
      </c>
      <c r="YP18">
        <v>15</v>
      </c>
      <c r="YQ18">
        <v>15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16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18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19</v>
      </c>
      <c r="AGQ18">
        <v>19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20</v>
      </c>
      <c r="AIS18">
        <v>20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21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13</v>
      </c>
      <c r="AMR18">
        <v>22</v>
      </c>
      <c r="AMS18">
        <v>22</v>
      </c>
      <c r="AMT18">
        <v>22</v>
      </c>
      <c r="AMU18">
        <v>22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23</v>
      </c>
      <c r="AOI18">
        <v>23</v>
      </c>
      <c r="AOJ18">
        <v>23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26</v>
      </c>
      <c r="ATB18">
        <v>26</v>
      </c>
      <c r="ATC18">
        <v>26</v>
      </c>
      <c r="ATD18">
        <v>26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27</v>
      </c>
      <c r="AUL18">
        <v>27</v>
      </c>
      <c r="AUM18">
        <v>27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28</v>
      </c>
      <c r="AVZ18">
        <v>28</v>
      </c>
      <c r="AWA18">
        <v>28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29</v>
      </c>
      <c r="AXK18">
        <v>29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30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31</v>
      </c>
      <c r="AZU18">
        <v>31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32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18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34</v>
      </c>
      <c r="BEG18">
        <v>34</v>
      </c>
      <c r="BEH18">
        <v>34</v>
      </c>
      <c r="BEI18">
        <v>34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34.99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35</v>
      </c>
      <c r="BFS18">
        <v>35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37</v>
      </c>
      <c r="BIF18">
        <v>37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40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41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42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43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45</v>
      </c>
      <c r="BQX18">
        <v>45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46</v>
      </c>
      <c r="BRP18">
        <v>46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33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47</v>
      </c>
      <c r="BSP18">
        <v>47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50</v>
      </c>
      <c r="BVN18">
        <v>50</v>
      </c>
      <c r="BVO18">
        <v>25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51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52</v>
      </c>
      <c r="BXE18">
        <v>52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8</v>
      </c>
      <c r="BXX18">
        <v>0</v>
      </c>
      <c r="BXY18">
        <v>0</v>
      </c>
      <c r="BXZ18">
        <v>0</v>
      </c>
      <c r="BYA18">
        <v>0</v>
      </c>
      <c r="BYB18">
        <v>0</v>
      </c>
      <c r="BYC18">
        <v>0</v>
      </c>
      <c r="BYD18">
        <v>0</v>
      </c>
      <c r="BYE18">
        <v>0</v>
      </c>
      <c r="BYF18">
        <v>0</v>
      </c>
      <c r="BYG18">
        <v>0</v>
      </c>
      <c r="BYH18">
        <v>0</v>
      </c>
      <c r="BYI18">
        <v>0</v>
      </c>
      <c r="BYJ18">
        <v>0</v>
      </c>
      <c r="BYK18">
        <v>0</v>
      </c>
      <c r="BYL18">
        <v>54</v>
      </c>
      <c r="BYM18">
        <v>0</v>
      </c>
      <c r="BYN18">
        <v>0</v>
      </c>
      <c r="BYO18">
        <v>0</v>
      </c>
      <c r="BYP18">
        <v>0</v>
      </c>
      <c r="BYQ18">
        <v>0</v>
      </c>
      <c r="BYR18">
        <v>0</v>
      </c>
      <c r="BYS18">
        <v>0</v>
      </c>
      <c r="BYT18">
        <v>0</v>
      </c>
      <c r="BYU18">
        <v>0</v>
      </c>
      <c r="BYV18">
        <v>0</v>
      </c>
      <c r="BYW18">
        <v>0</v>
      </c>
      <c r="BYX18">
        <v>0</v>
      </c>
      <c r="BYY18">
        <v>0</v>
      </c>
      <c r="BYZ18">
        <v>0</v>
      </c>
      <c r="BZA18">
        <v>0</v>
      </c>
      <c r="BZB18">
        <v>0</v>
      </c>
      <c r="BZC18">
        <v>0</v>
      </c>
      <c r="BZD18">
        <v>0</v>
      </c>
      <c r="BZE18">
        <v>0</v>
      </c>
      <c r="BZF18">
        <v>0</v>
      </c>
      <c r="BZG18">
        <v>0</v>
      </c>
      <c r="BZH18">
        <v>0</v>
      </c>
      <c r="BZI18">
        <v>0</v>
      </c>
      <c r="BZJ18">
        <v>0</v>
      </c>
      <c r="BZK18">
        <v>0</v>
      </c>
      <c r="BZL18">
        <v>0</v>
      </c>
      <c r="BZM18">
        <v>0</v>
      </c>
      <c r="BZN18">
        <v>0</v>
      </c>
      <c r="BZO18">
        <v>0</v>
      </c>
      <c r="BZP18">
        <v>0</v>
      </c>
      <c r="BZQ18">
        <v>0</v>
      </c>
      <c r="BZR18">
        <v>55</v>
      </c>
      <c r="BZS18">
        <v>0</v>
      </c>
      <c r="BZT18">
        <v>0</v>
      </c>
      <c r="BZU18">
        <v>0</v>
      </c>
      <c r="BZV18">
        <v>0</v>
      </c>
      <c r="BZW18">
        <v>0</v>
      </c>
      <c r="BZX18">
        <v>0</v>
      </c>
      <c r="BZY18">
        <v>0</v>
      </c>
      <c r="BZZ18">
        <v>0</v>
      </c>
      <c r="CAA18">
        <v>0</v>
      </c>
      <c r="CAB18">
        <v>0</v>
      </c>
      <c r="CAC18">
        <v>56</v>
      </c>
      <c r="CAD18">
        <v>0</v>
      </c>
      <c r="CAE18">
        <v>0</v>
      </c>
      <c r="CAF18">
        <v>0</v>
      </c>
      <c r="CAG18">
        <v>0</v>
      </c>
      <c r="CAH18">
        <v>0</v>
      </c>
      <c r="CAI18">
        <v>0</v>
      </c>
      <c r="CAJ18">
        <v>0</v>
      </c>
      <c r="CAK18">
        <v>0</v>
      </c>
      <c r="CAL18">
        <v>0</v>
      </c>
      <c r="CAM18">
        <v>0</v>
      </c>
      <c r="CAN18">
        <v>0</v>
      </c>
      <c r="CAO18">
        <v>18</v>
      </c>
      <c r="CAP18">
        <v>0</v>
      </c>
      <c r="CAQ18">
        <v>0</v>
      </c>
      <c r="CAR18">
        <v>0</v>
      </c>
      <c r="CAS18">
        <v>0</v>
      </c>
      <c r="CAT18">
        <v>0</v>
      </c>
      <c r="CAU18">
        <v>0</v>
      </c>
      <c r="CAV18">
        <v>0</v>
      </c>
      <c r="CAW18">
        <v>0</v>
      </c>
      <c r="CAX18">
        <v>0</v>
      </c>
      <c r="CAY18">
        <v>0</v>
      </c>
      <c r="CAZ18">
        <v>0</v>
      </c>
      <c r="CBA18">
        <v>0</v>
      </c>
      <c r="CBB18">
        <v>0</v>
      </c>
      <c r="CBC18">
        <v>0</v>
      </c>
      <c r="CBD18">
        <v>0</v>
      </c>
      <c r="CBE18">
        <v>0</v>
      </c>
      <c r="CBF18">
        <v>0</v>
      </c>
      <c r="CBG18">
        <v>0</v>
      </c>
      <c r="CBH18">
        <v>0</v>
      </c>
      <c r="CBI18">
        <v>0</v>
      </c>
      <c r="CBJ18">
        <v>0</v>
      </c>
      <c r="CBK18">
        <v>0</v>
      </c>
      <c r="CBL18">
        <v>0</v>
      </c>
      <c r="CBM18">
        <v>0</v>
      </c>
      <c r="CBN18">
        <v>0</v>
      </c>
      <c r="CBO18">
        <v>0</v>
      </c>
      <c r="CBP18">
        <v>0</v>
      </c>
      <c r="CBQ18">
        <v>0</v>
      </c>
      <c r="CBR18">
        <v>0</v>
      </c>
      <c r="CBS18">
        <v>0</v>
      </c>
      <c r="CBT18">
        <v>0</v>
      </c>
      <c r="CBU18">
        <v>0</v>
      </c>
      <c r="CBV18">
        <v>29</v>
      </c>
      <c r="CBW18">
        <v>0</v>
      </c>
      <c r="CBX18">
        <v>0</v>
      </c>
      <c r="CBY18">
        <v>0</v>
      </c>
      <c r="CBZ18">
        <v>0</v>
      </c>
      <c r="CCA18">
        <v>0</v>
      </c>
      <c r="CCB18">
        <v>0</v>
      </c>
      <c r="CCC18">
        <v>0</v>
      </c>
      <c r="CCD18">
        <v>0</v>
      </c>
      <c r="CCE18">
        <v>0</v>
      </c>
      <c r="CCF18">
        <v>0</v>
      </c>
      <c r="CCG18">
        <v>0</v>
      </c>
      <c r="CCH18">
        <v>0</v>
      </c>
      <c r="CCI18">
        <v>0</v>
      </c>
      <c r="CCJ18">
        <v>0</v>
      </c>
      <c r="CCK18">
        <v>0</v>
      </c>
      <c r="CCL18">
        <v>0</v>
      </c>
      <c r="CCM18">
        <v>0</v>
      </c>
      <c r="CCN18">
        <v>0</v>
      </c>
      <c r="CCO18">
        <v>38</v>
      </c>
      <c r="CCP18">
        <v>0</v>
      </c>
      <c r="CCQ18">
        <v>0</v>
      </c>
      <c r="CCR18">
        <v>0</v>
      </c>
      <c r="CCS18">
        <v>0</v>
      </c>
      <c r="CCT18">
        <v>0</v>
      </c>
      <c r="CCU18">
        <v>60</v>
      </c>
      <c r="CCV18">
        <v>0</v>
      </c>
      <c r="CCW18">
        <v>0</v>
      </c>
      <c r="CCX18">
        <v>0</v>
      </c>
      <c r="CCY18">
        <v>0</v>
      </c>
      <c r="CCZ18">
        <v>0</v>
      </c>
      <c r="CDA18">
        <v>0</v>
      </c>
      <c r="CDB18">
        <v>0</v>
      </c>
      <c r="CDC18">
        <v>0</v>
      </c>
      <c r="CDD18">
        <v>0</v>
      </c>
      <c r="CDE18">
        <v>0</v>
      </c>
      <c r="CDF18">
        <v>0</v>
      </c>
      <c r="CDG18">
        <v>0</v>
      </c>
      <c r="CDH18">
        <v>0</v>
      </c>
      <c r="CDI18">
        <v>0</v>
      </c>
      <c r="CDJ18">
        <v>0</v>
      </c>
      <c r="CDK18">
        <v>0</v>
      </c>
      <c r="CDL18">
        <v>0</v>
      </c>
      <c r="CDM18">
        <v>0</v>
      </c>
      <c r="CDN18">
        <v>0</v>
      </c>
      <c r="CDO18">
        <v>0</v>
      </c>
      <c r="CDP18">
        <v>0</v>
      </c>
      <c r="CDQ18">
        <v>0</v>
      </c>
      <c r="CDR18">
        <v>0</v>
      </c>
      <c r="CDS18">
        <v>0</v>
      </c>
      <c r="CDT18">
        <v>0</v>
      </c>
      <c r="CDU18">
        <v>0</v>
      </c>
      <c r="CDV18">
        <v>0</v>
      </c>
      <c r="CDW18">
        <v>0</v>
      </c>
      <c r="CDX18">
        <v>0</v>
      </c>
      <c r="CDY18">
        <v>0</v>
      </c>
      <c r="CDZ18">
        <v>0</v>
      </c>
      <c r="CEA18">
        <v>0</v>
      </c>
      <c r="CEB18">
        <v>0</v>
      </c>
      <c r="CEC18">
        <v>0</v>
      </c>
      <c r="CED18">
        <v>0</v>
      </c>
      <c r="CEE18">
        <v>0</v>
      </c>
      <c r="CEF18">
        <v>0</v>
      </c>
      <c r="CEG18">
        <v>0</v>
      </c>
      <c r="CEH18">
        <v>0</v>
      </c>
      <c r="CEI18">
        <v>0</v>
      </c>
      <c r="CEJ18">
        <v>0</v>
      </c>
      <c r="CEK18">
        <v>0</v>
      </c>
      <c r="CEL18">
        <v>0</v>
      </c>
      <c r="CEM18">
        <v>0</v>
      </c>
      <c r="CEN18">
        <v>0</v>
      </c>
      <c r="CEO18">
        <v>0</v>
      </c>
      <c r="CEP18">
        <v>0</v>
      </c>
      <c r="CEQ18">
        <v>0</v>
      </c>
      <c r="CER18">
        <v>56</v>
      </c>
      <c r="CES18">
        <v>63</v>
      </c>
      <c r="CET18">
        <v>63</v>
      </c>
      <c r="CEU18">
        <v>0</v>
      </c>
      <c r="CEV18">
        <v>0</v>
      </c>
      <c r="CEW18">
        <v>0</v>
      </c>
      <c r="CEX18">
        <v>0</v>
      </c>
      <c r="CEY18">
        <v>0</v>
      </c>
      <c r="CEZ18">
        <v>0</v>
      </c>
      <c r="CFA18">
        <v>0</v>
      </c>
      <c r="CFB18">
        <v>0</v>
      </c>
      <c r="CFC18">
        <v>0</v>
      </c>
      <c r="CFD18">
        <v>0</v>
      </c>
      <c r="CFE18">
        <v>0</v>
      </c>
      <c r="CFF18">
        <v>22</v>
      </c>
      <c r="CFG18">
        <v>0</v>
      </c>
      <c r="CFH18">
        <v>0</v>
      </c>
      <c r="CFI18">
        <v>0</v>
      </c>
      <c r="CFJ18">
        <v>0</v>
      </c>
      <c r="CFK18">
        <v>0</v>
      </c>
      <c r="CFL18">
        <v>0</v>
      </c>
      <c r="CFM18">
        <v>0</v>
      </c>
      <c r="CFN18">
        <v>64</v>
      </c>
      <c r="CFO18">
        <v>64</v>
      </c>
      <c r="CFP18">
        <v>0</v>
      </c>
      <c r="CFQ18">
        <v>0</v>
      </c>
      <c r="CFR18">
        <v>0</v>
      </c>
      <c r="CFS18">
        <v>0</v>
      </c>
      <c r="CFT18">
        <v>0</v>
      </c>
      <c r="CFU18">
        <v>0</v>
      </c>
      <c r="CFV18">
        <v>0</v>
      </c>
      <c r="CFW18">
        <v>0</v>
      </c>
      <c r="CFX18">
        <v>0</v>
      </c>
      <c r="CFY18">
        <v>0</v>
      </c>
      <c r="CFZ18">
        <v>0</v>
      </c>
      <c r="CGA18">
        <v>0</v>
      </c>
      <c r="CGB18">
        <v>0</v>
      </c>
      <c r="CGC18">
        <v>0</v>
      </c>
      <c r="CGD18">
        <v>0</v>
      </c>
      <c r="CGE18">
        <v>0</v>
      </c>
      <c r="CGF18">
        <v>0</v>
      </c>
      <c r="CGG18">
        <v>0</v>
      </c>
      <c r="CGH18">
        <v>0</v>
      </c>
      <c r="CGI18">
        <v>0</v>
      </c>
      <c r="CGJ18">
        <v>0</v>
      </c>
      <c r="CGK18">
        <v>8</v>
      </c>
      <c r="CGL18">
        <v>0</v>
      </c>
      <c r="CGM18">
        <v>0</v>
      </c>
      <c r="CGN18">
        <v>0</v>
      </c>
      <c r="CGO18">
        <v>0</v>
      </c>
      <c r="CGP18">
        <v>0</v>
      </c>
      <c r="CGQ18">
        <v>0</v>
      </c>
      <c r="CGR18">
        <v>0</v>
      </c>
      <c r="CGS18">
        <v>0</v>
      </c>
      <c r="CGT18">
        <v>0</v>
      </c>
      <c r="CGU18">
        <v>0</v>
      </c>
      <c r="CGV18">
        <v>0</v>
      </c>
      <c r="CGW18">
        <v>0</v>
      </c>
      <c r="CGX18">
        <v>0</v>
      </c>
      <c r="CGY18">
        <v>0</v>
      </c>
      <c r="CGZ18">
        <v>0</v>
      </c>
      <c r="CHA18">
        <v>0</v>
      </c>
      <c r="CHB18">
        <v>0</v>
      </c>
      <c r="CHC18">
        <v>0</v>
      </c>
      <c r="CHD18">
        <v>0</v>
      </c>
      <c r="CHE18">
        <v>0</v>
      </c>
      <c r="CHF18">
        <v>0</v>
      </c>
      <c r="CHG18">
        <v>0</v>
      </c>
      <c r="CHH18">
        <v>0</v>
      </c>
      <c r="CHI18">
        <v>0</v>
      </c>
      <c r="CHJ18">
        <v>0</v>
      </c>
      <c r="CHK18">
        <v>0</v>
      </c>
      <c r="CHL18">
        <v>0</v>
      </c>
      <c r="CHM18">
        <v>0</v>
      </c>
      <c r="CHN18">
        <v>0</v>
      </c>
      <c r="CHO18">
        <v>0</v>
      </c>
      <c r="CHP18">
        <v>0</v>
      </c>
      <c r="CHQ18">
        <v>0</v>
      </c>
      <c r="CHR18">
        <v>0</v>
      </c>
      <c r="CHS18">
        <v>67</v>
      </c>
      <c r="CHT18">
        <v>67</v>
      </c>
      <c r="CHU18">
        <v>67</v>
      </c>
      <c r="CHV18">
        <v>0</v>
      </c>
      <c r="CHW18">
        <v>0</v>
      </c>
      <c r="CHX18">
        <v>0</v>
      </c>
      <c r="CHY18">
        <v>0</v>
      </c>
      <c r="CHZ18">
        <v>0</v>
      </c>
      <c r="CIA18">
        <v>0</v>
      </c>
      <c r="CIB18">
        <v>0</v>
      </c>
      <c r="CIC18">
        <v>0</v>
      </c>
      <c r="CID18">
        <v>0</v>
      </c>
      <c r="CIE18">
        <v>0</v>
      </c>
      <c r="CIF18">
        <v>0</v>
      </c>
      <c r="CIG18">
        <v>0</v>
      </c>
      <c r="CIH18">
        <v>0</v>
      </c>
      <c r="CII18">
        <v>0</v>
      </c>
      <c r="CIJ18">
        <v>0</v>
      </c>
      <c r="CIK18">
        <v>0</v>
      </c>
      <c r="CIL18">
        <v>0</v>
      </c>
      <c r="CIM18">
        <v>0</v>
      </c>
      <c r="CIN18">
        <v>0</v>
      </c>
      <c r="CIO18">
        <v>0</v>
      </c>
      <c r="CIP18">
        <v>0</v>
      </c>
      <c r="CIQ18">
        <v>0</v>
      </c>
      <c r="CIR18">
        <v>0</v>
      </c>
      <c r="CIS18">
        <v>0</v>
      </c>
      <c r="CIT18">
        <v>0</v>
      </c>
      <c r="CIU18">
        <v>0</v>
      </c>
      <c r="CIV18">
        <v>0</v>
      </c>
      <c r="CIW18">
        <v>0</v>
      </c>
      <c r="CIX18">
        <v>0</v>
      </c>
      <c r="CIY18">
        <v>0</v>
      </c>
      <c r="CIZ18">
        <v>0</v>
      </c>
      <c r="CJA18">
        <v>0</v>
      </c>
      <c r="CJB18">
        <v>0</v>
      </c>
      <c r="CJC18">
        <v>0</v>
      </c>
      <c r="CJD18">
        <v>0</v>
      </c>
      <c r="CJE18">
        <v>0</v>
      </c>
      <c r="CJF18">
        <v>0</v>
      </c>
      <c r="CJG18">
        <v>0</v>
      </c>
      <c r="CJH18">
        <v>0</v>
      </c>
      <c r="CJI18">
        <v>0</v>
      </c>
      <c r="CJJ18">
        <v>0</v>
      </c>
      <c r="CJK18">
        <v>0</v>
      </c>
      <c r="CJL18">
        <v>0</v>
      </c>
      <c r="CJM18">
        <v>0</v>
      </c>
      <c r="CJN18">
        <v>0</v>
      </c>
      <c r="CJO18">
        <v>0</v>
      </c>
      <c r="CJP18">
        <v>0</v>
      </c>
      <c r="CJQ18">
        <v>0</v>
      </c>
      <c r="CJR18">
        <v>0</v>
      </c>
      <c r="CJS18">
        <v>0</v>
      </c>
      <c r="CJT18">
        <v>0</v>
      </c>
      <c r="CJU18">
        <v>0</v>
      </c>
      <c r="CJV18">
        <v>0</v>
      </c>
      <c r="CJW18">
        <v>0</v>
      </c>
      <c r="CJX18">
        <v>0</v>
      </c>
      <c r="CJY18">
        <v>0</v>
      </c>
      <c r="CJZ18">
        <v>0</v>
      </c>
      <c r="CKA18">
        <v>0</v>
      </c>
      <c r="CKB18">
        <v>0</v>
      </c>
      <c r="CKC18">
        <v>0</v>
      </c>
      <c r="CKD18">
        <v>0</v>
      </c>
      <c r="CKE18">
        <v>36</v>
      </c>
      <c r="CKF18">
        <v>0</v>
      </c>
      <c r="CKG18">
        <v>0</v>
      </c>
      <c r="CKH18">
        <v>0</v>
      </c>
      <c r="CKI18">
        <v>0</v>
      </c>
      <c r="CKJ18">
        <v>0</v>
      </c>
      <c r="CKK18">
        <v>0</v>
      </c>
      <c r="CKL18">
        <v>0</v>
      </c>
      <c r="CKM18">
        <v>0</v>
      </c>
      <c r="CKN18">
        <v>0</v>
      </c>
      <c r="CKO18">
        <v>0</v>
      </c>
      <c r="CKP18">
        <v>0</v>
      </c>
      <c r="CKQ18">
        <v>0</v>
      </c>
      <c r="CKR18">
        <v>0</v>
      </c>
      <c r="CKS18">
        <v>0</v>
      </c>
      <c r="CKT18">
        <v>0</v>
      </c>
      <c r="CKU18">
        <v>0</v>
      </c>
      <c r="CKV18">
        <v>0</v>
      </c>
      <c r="CKW18">
        <v>0</v>
      </c>
      <c r="CKX18">
        <v>0</v>
      </c>
      <c r="CKY18">
        <v>0</v>
      </c>
      <c r="CKZ18">
        <v>0</v>
      </c>
      <c r="CLA18">
        <v>0</v>
      </c>
      <c r="CLB18">
        <v>0</v>
      </c>
      <c r="CLC18">
        <v>0</v>
      </c>
      <c r="CLD18">
        <v>48</v>
      </c>
      <c r="CLE18">
        <v>0</v>
      </c>
      <c r="CLF18">
        <v>0</v>
      </c>
      <c r="CLG18">
        <v>0</v>
      </c>
      <c r="CLH18">
        <v>0</v>
      </c>
      <c r="CLI18">
        <v>0</v>
      </c>
      <c r="CLJ18">
        <v>0</v>
      </c>
      <c r="CLK18">
        <v>0</v>
      </c>
      <c r="CLL18">
        <v>0</v>
      </c>
      <c r="CLM18">
        <v>0</v>
      </c>
      <c r="CLN18">
        <v>0</v>
      </c>
      <c r="CLO18">
        <v>0</v>
      </c>
      <c r="CLP18">
        <v>0</v>
      </c>
      <c r="CLQ18">
        <v>0</v>
      </c>
      <c r="CLR18">
        <v>0</v>
      </c>
      <c r="CLS18">
        <v>0</v>
      </c>
      <c r="CLT18">
        <v>38</v>
      </c>
      <c r="CLU18">
        <v>0</v>
      </c>
      <c r="CLV18">
        <v>0</v>
      </c>
      <c r="CLW18">
        <v>0</v>
      </c>
      <c r="CLX18">
        <v>0</v>
      </c>
      <c r="CLY18">
        <v>0</v>
      </c>
      <c r="CLZ18">
        <v>0</v>
      </c>
      <c r="CMA18">
        <v>0</v>
      </c>
      <c r="CMB18">
        <v>0</v>
      </c>
      <c r="CMC18">
        <v>0</v>
      </c>
      <c r="CMD18">
        <v>0</v>
      </c>
      <c r="CME18">
        <v>0</v>
      </c>
      <c r="CMF18">
        <v>0</v>
      </c>
      <c r="CMG18">
        <v>0</v>
      </c>
      <c r="CMH18">
        <v>0</v>
      </c>
      <c r="CMI18">
        <v>0</v>
      </c>
      <c r="CMJ18">
        <v>0</v>
      </c>
      <c r="CMK18">
        <v>0</v>
      </c>
      <c r="CML18">
        <v>0</v>
      </c>
      <c r="CMM18">
        <v>0</v>
      </c>
      <c r="CMN18">
        <v>0</v>
      </c>
      <c r="CMO18">
        <v>0</v>
      </c>
      <c r="CMP18">
        <v>0</v>
      </c>
      <c r="CMQ18">
        <v>75</v>
      </c>
      <c r="CMR18">
        <v>75</v>
      </c>
      <c r="CMS18">
        <v>0</v>
      </c>
      <c r="CMT18">
        <v>0</v>
      </c>
      <c r="CMU18">
        <v>0</v>
      </c>
      <c r="CMV18">
        <v>0</v>
      </c>
      <c r="CMW18">
        <v>0</v>
      </c>
      <c r="CMX18">
        <v>0</v>
      </c>
      <c r="CMY18">
        <v>0</v>
      </c>
      <c r="CMZ18">
        <v>0</v>
      </c>
      <c r="CNA18">
        <v>0</v>
      </c>
      <c r="CNB18">
        <v>0</v>
      </c>
      <c r="CNC18">
        <v>0</v>
      </c>
      <c r="CND18">
        <v>0</v>
      </c>
      <c r="CNE18">
        <v>0</v>
      </c>
      <c r="CNF18">
        <v>0</v>
      </c>
      <c r="CNG18">
        <v>0</v>
      </c>
      <c r="CNH18">
        <v>0</v>
      </c>
      <c r="CNI18">
        <v>0</v>
      </c>
      <c r="CNJ18">
        <v>0</v>
      </c>
      <c r="CNK18">
        <v>0</v>
      </c>
      <c r="CNL18">
        <v>0</v>
      </c>
      <c r="CNM18">
        <v>0</v>
      </c>
      <c r="CNN18">
        <v>77</v>
      </c>
      <c r="CNO18">
        <v>0</v>
      </c>
      <c r="CNP18">
        <v>0</v>
      </c>
      <c r="CNQ18">
        <v>0</v>
      </c>
      <c r="CNR18">
        <v>28</v>
      </c>
      <c r="CNS18">
        <v>0</v>
      </c>
      <c r="CNT18">
        <v>0</v>
      </c>
      <c r="CNU18">
        <v>0</v>
      </c>
      <c r="CNV18">
        <v>0</v>
      </c>
      <c r="CNW18">
        <v>0</v>
      </c>
      <c r="CNX18">
        <v>0</v>
      </c>
      <c r="CNY18">
        <v>0</v>
      </c>
      <c r="CNZ18">
        <v>0</v>
      </c>
      <c r="COA18">
        <v>0</v>
      </c>
      <c r="COB18">
        <v>0</v>
      </c>
      <c r="COC18">
        <v>0</v>
      </c>
      <c r="COD18">
        <v>0</v>
      </c>
      <c r="COE18">
        <v>0</v>
      </c>
      <c r="COF18">
        <v>0</v>
      </c>
      <c r="COG18">
        <v>0</v>
      </c>
      <c r="COH18">
        <v>0</v>
      </c>
      <c r="COI18">
        <v>0</v>
      </c>
      <c r="COJ18">
        <v>0</v>
      </c>
      <c r="COK18">
        <v>0</v>
      </c>
      <c r="COL18">
        <v>0</v>
      </c>
      <c r="COM18">
        <v>0</v>
      </c>
      <c r="CON18">
        <v>0</v>
      </c>
      <c r="COO18">
        <v>0</v>
      </c>
      <c r="COP18">
        <v>0</v>
      </c>
      <c r="COQ18">
        <v>0</v>
      </c>
      <c r="COR18">
        <v>23</v>
      </c>
      <c r="COS18">
        <v>0</v>
      </c>
      <c r="COT18">
        <v>0</v>
      </c>
      <c r="COU18">
        <v>0</v>
      </c>
      <c r="COV18">
        <v>0</v>
      </c>
      <c r="COW18">
        <v>0</v>
      </c>
      <c r="COX18">
        <v>0</v>
      </c>
      <c r="COY18">
        <v>0</v>
      </c>
      <c r="COZ18">
        <v>0</v>
      </c>
      <c r="CPA18">
        <v>0</v>
      </c>
      <c r="CPB18">
        <v>0</v>
      </c>
      <c r="CPC18">
        <v>0</v>
      </c>
      <c r="CPD18">
        <v>0</v>
      </c>
      <c r="CPE18">
        <v>0</v>
      </c>
      <c r="CPF18">
        <v>0</v>
      </c>
      <c r="CPG18">
        <v>0</v>
      </c>
      <c r="CPH18">
        <v>0</v>
      </c>
      <c r="CPI18">
        <v>0</v>
      </c>
      <c r="CPJ18">
        <v>0</v>
      </c>
      <c r="CPK18">
        <v>0</v>
      </c>
      <c r="CPL18">
        <v>0</v>
      </c>
      <c r="CPM18">
        <v>18</v>
      </c>
      <c r="CPN18">
        <v>81</v>
      </c>
      <c r="CPO18">
        <v>0</v>
      </c>
      <c r="CPP18">
        <v>0</v>
      </c>
      <c r="CPQ18">
        <v>0</v>
      </c>
      <c r="CPR18">
        <v>0</v>
      </c>
      <c r="CPS18">
        <v>0</v>
      </c>
      <c r="CPT18">
        <v>0</v>
      </c>
      <c r="CPU18">
        <v>0</v>
      </c>
      <c r="CPV18">
        <v>0</v>
      </c>
      <c r="CPW18">
        <v>0</v>
      </c>
      <c r="CPX18">
        <v>0</v>
      </c>
      <c r="CPY18">
        <v>0</v>
      </c>
      <c r="CPZ18">
        <v>0</v>
      </c>
      <c r="CQA18">
        <v>0</v>
      </c>
      <c r="CQB18">
        <v>0</v>
      </c>
      <c r="CQC18">
        <v>0</v>
      </c>
      <c r="CQD18">
        <v>0</v>
      </c>
      <c r="CQE18">
        <v>0</v>
      </c>
      <c r="CQF18">
        <v>0</v>
      </c>
      <c r="CQG18">
        <v>0</v>
      </c>
      <c r="CQH18">
        <v>0</v>
      </c>
      <c r="CQI18">
        <v>0</v>
      </c>
      <c r="CQJ18">
        <v>0</v>
      </c>
      <c r="CQK18">
        <v>0</v>
      </c>
      <c r="CQL18">
        <v>0</v>
      </c>
      <c r="CQM18">
        <v>0</v>
      </c>
      <c r="CQN18">
        <v>0</v>
      </c>
      <c r="CQO18">
        <v>0</v>
      </c>
      <c r="CQP18">
        <v>0</v>
      </c>
      <c r="CQQ18">
        <v>0</v>
      </c>
      <c r="CQR18">
        <v>0</v>
      </c>
      <c r="CQS18">
        <v>0</v>
      </c>
      <c r="CQT18">
        <v>0</v>
      </c>
      <c r="CQU18">
        <v>0</v>
      </c>
      <c r="CQV18">
        <v>0</v>
      </c>
      <c r="CQW18">
        <v>0</v>
      </c>
      <c r="CQX18">
        <v>0</v>
      </c>
      <c r="CQY18">
        <v>0</v>
      </c>
      <c r="CQZ18">
        <v>0</v>
      </c>
      <c r="CRA18">
        <v>0</v>
      </c>
      <c r="CRB18">
        <v>0</v>
      </c>
      <c r="CRC18">
        <v>0</v>
      </c>
      <c r="CRD18">
        <v>0</v>
      </c>
      <c r="CRE18">
        <v>0</v>
      </c>
      <c r="CRF18">
        <v>0</v>
      </c>
      <c r="CRG18">
        <v>0</v>
      </c>
      <c r="CRH18">
        <v>0</v>
      </c>
      <c r="CRI18">
        <v>0</v>
      </c>
      <c r="CRJ18">
        <v>0</v>
      </c>
      <c r="CRK18">
        <v>0</v>
      </c>
      <c r="CRL18">
        <v>0</v>
      </c>
      <c r="CRM18">
        <v>0</v>
      </c>
      <c r="CRN18">
        <v>0</v>
      </c>
      <c r="CRO18">
        <v>0</v>
      </c>
      <c r="CRP18">
        <v>0</v>
      </c>
      <c r="CRQ18">
        <v>0</v>
      </c>
      <c r="CRR18">
        <v>25</v>
      </c>
      <c r="CRS18">
        <v>0</v>
      </c>
      <c r="CRT18">
        <v>0</v>
      </c>
      <c r="CRU18">
        <v>0</v>
      </c>
      <c r="CRV18">
        <v>0</v>
      </c>
      <c r="CRW18">
        <v>0</v>
      </c>
      <c r="CRX18">
        <v>0</v>
      </c>
      <c r="CRY18">
        <v>0</v>
      </c>
      <c r="CRZ18">
        <v>0</v>
      </c>
      <c r="CSA18">
        <v>0</v>
      </c>
      <c r="CSB18">
        <v>0</v>
      </c>
      <c r="CSC18">
        <v>0</v>
      </c>
      <c r="CSD18">
        <v>88</v>
      </c>
      <c r="CSE18">
        <v>0</v>
      </c>
      <c r="CSF18">
        <v>0</v>
      </c>
      <c r="CSG18">
        <v>0</v>
      </c>
      <c r="CSH18">
        <v>0</v>
      </c>
      <c r="CSI18">
        <v>0</v>
      </c>
      <c r="CSJ18">
        <v>0</v>
      </c>
      <c r="CSK18">
        <v>0</v>
      </c>
      <c r="CSL18">
        <v>0</v>
      </c>
      <c r="CSM18">
        <v>0</v>
      </c>
      <c r="CSN18">
        <v>0</v>
      </c>
      <c r="CSO18">
        <v>0</v>
      </c>
      <c r="CSP18">
        <v>0</v>
      </c>
      <c r="CSQ18">
        <v>0</v>
      </c>
      <c r="CSR18">
        <v>0</v>
      </c>
      <c r="CSS18">
        <v>0</v>
      </c>
      <c r="CST18">
        <v>0</v>
      </c>
      <c r="CSU18">
        <v>0</v>
      </c>
      <c r="CSV18">
        <v>0</v>
      </c>
      <c r="CSW18">
        <v>0</v>
      </c>
      <c r="CSX18">
        <v>0</v>
      </c>
      <c r="CSY18">
        <v>0</v>
      </c>
      <c r="CSZ18">
        <v>0</v>
      </c>
      <c r="CTA18">
        <v>0</v>
      </c>
      <c r="CTB18">
        <v>0</v>
      </c>
      <c r="CTC18">
        <v>0</v>
      </c>
      <c r="CTD18">
        <v>0</v>
      </c>
      <c r="CTE18">
        <v>0</v>
      </c>
      <c r="CTF18">
        <v>0</v>
      </c>
      <c r="CTG18">
        <v>0</v>
      </c>
      <c r="CTH18">
        <v>0</v>
      </c>
      <c r="CTI18">
        <v>0</v>
      </c>
      <c r="CTJ18">
        <v>0</v>
      </c>
      <c r="CTK18">
        <v>0</v>
      </c>
      <c r="CTL18">
        <v>0</v>
      </c>
      <c r="CTM18">
        <v>0</v>
      </c>
      <c r="CTN18">
        <v>0</v>
      </c>
      <c r="CTO18">
        <v>0</v>
      </c>
      <c r="CTP18">
        <v>0</v>
      </c>
      <c r="CTQ18">
        <v>0</v>
      </c>
      <c r="CTR18">
        <v>0</v>
      </c>
      <c r="CTS18">
        <v>0</v>
      </c>
      <c r="CTT18">
        <v>0</v>
      </c>
      <c r="CTU18">
        <v>0</v>
      </c>
      <c r="CTV18">
        <v>0</v>
      </c>
      <c r="CTW18">
        <v>0</v>
      </c>
      <c r="CTX18">
        <v>0</v>
      </c>
      <c r="CTY18">
        <v>0</v>
      </c>
      <c r="CTZ18">
        <v>0</v>
      </c>
      <c r="CUA18">
        <v>92</v>
      </c>
      <c r="CUB18">
        <v>0</v>
      </c>
      <c r="CUC18">
        <v>0</v>
      </c>
      <c r="CUD18">
        <v>0</v>
      </c>
      <c r="CUE18">
        <v>0</v>
      </c>
      <c r="CUF18">
        <v>0</v>
      </c>
      <c r="CUG18">
        <v>0</v>
      </c>
      <c r="CUH18">
        <v>0</v>
      </c>
      <c r="CUI18">
        <v>0</v>
      </c>
      <c r="CUJ18">
        <v>0</v>
      </c>
      <c r="CUK18">
        <v>0</v>
      </c>
      <c r="CUL18">
        <v>0</v>
      </c>
      <c r="CUM18">
        <v>0</v>
      </c>
      <c r="CUN18">
        <v>0</v>
      </c>
      <c r="CUO18">
        <v>0</v>
      </c>
      <c r="CUP18">
        <v>0</v>
      </c>
      <c r="CUQ18">
        <v>0</v>
      </c>
      <c r="CUR18">
        <v>54.99</v>
      </c>
      <c r="CUS18">
        <v>0</v>
      </c>
      <c r="CUT18">
        <v>0</v>
      </c>
      <c r="CUU18">
        <v>0</v>
      </c>
      <c r="CUV18">
        <v>0</v>
      </c>
      <c r="CUW18">
        <v>0</v>
      </c>
      <c r="CUX18">
        <v>0</v>
      </c>
      <c r="CUY18">
        <v>0</v>
      </c>
      <c r="CUZ18">
        <v>0</v>
      </c>
      <c r="CVA18">
        <v>0</v>
      </c>
      <c r="CVB18">
        <v>0</v>
      </c>
      <c r="CVC18">
        <v>0</v>
      </c>
      <c r="CVD18">
        <v>0</v>
      </c>
      <c r="CVE18">
        <v>0</v>
      </c>
      <c r="CVF18">
        <v>0</v>
      </c>
      <c r="CVG18">
        <v>0</v>
      </c>
      <c r="CVH18">
        <v>0</v>
      </c>
      <c r="CVI18">
        <v>0</v>
      </c>
      <c r="CVJ18">
        <v>0</v>
      </c>
      <c r="CVK18">
        <v>0</v>
      </c>
      <c r="CVL18">
        <v>0</v>
      </c>
      <c r="CVM18">
        <v>0</v>
      </c>
      <c r="CVN18">
        <v>0</v>
      </c>
      <c r="CVO18">
        <v>0</v>
      </c>
      <c r="CVP18">
        <v>0</v>
      </c>
      <c r="CVQ18">
        <v>0</v>
      </c>
      <c r="CVR18">
        <v>0</v>
      </c>
      <c r="CVS18">
        <v>0</v>
      </c>
      <c r="CVT18">
        <v>0</v>
      </c>
      <c r="CVU18">
        <v>0</v>
      </c>
      <c r="CVV18">
        <v>41</v>
      </c>
      <c r="CVW18">
        <v>0</v>
      </c>
      <c r="CVX18">
        <v>0</v>
      </c>
      <c r="CVY18">
        <v>0</v>
      </c>
      <c r="CVZ18">
        <v>0</v>
      </c>
      <c r="CWA18">
        <v>97</v>
      </c>
      <c r="CWB18">
        <v>0</v>
      </c>
      <c r="CWC18">
        <v>0</v>
      </c>
      <c r="CWD18">
        <v>0</v>
      </c>
      <c r="CWE18">
        <v>0</v>
      </c>
      <c r="CWF18">
        <v>0</v>
      </c>
      <c r="CWG18">
        <v>0</v>
      </c>
      <c r="CWH18">
        <v>0</v>
      </c>
      <c r="CWI18">
        <v>0</v>
      </c>
      <c r="CWJ18">
        <v>0</v>
      </c>
      <c r="CWK18">
        <v>0</v>
      </c>
      <c r="CWL18">
        <v>0</v>
      </c>
      <c r="CWM18">
        <v>0</v>
      </c>
      <c r="CWN18">
        <v>0</v>
      </c>
      <c r="CWO18">
        <v>0</v>
      </c>
      <c r="CWP18">
        <v>0</v>
      </c>
      <c r="CWQ18">
        <v>0</v>
      </c>
      <c r="CWR18">
        <v>0</v>
      </c>
      <c r="CWS18">
        <v>0</v>
      </c>
      <c r="CWT18">
        <v>0</v>
      </c>
      <c r="CWU18">
        <v>0</v>
      </c>
      <c r="CWV18">
        <v>0</v>
      </c>
      <c r="CWW18">
        <v>84</v>
      </c>
      <c r="CWX18">
        <v>0</v>
      </c>
      <c r="CWY18">
        <v>0</v>
      </c>
      <c r="CWZ18">
        <v>0</v>
      </c>
      <c r="CXA18">
        <v>0</v>
      </c>
      <c r="CXB18">
        <v>0</v>
      </c>
      <c r="CXC18">
        <v>0</v>
      </c>
      <c r="CXD18">
        <v>0</v>
      </c>
      <c r="CXE18">
        <v>0</v>
      </c>
      <c r="CXF18">
        <v>0</v>
      </c>
      <c r="CXG18">
        <v>0</v>
      </c>
      <c r="CXH18">
        <v>0</v>
      </c>
      <c r="CXI18">
        <v>0</v>
      </c>
      <c r="CXJ18">
        <v>0</v>
      </c>
      <c r="CXK18">
        <v>100</v>
      </c>
      <c r="CXL18">
        <v>0</v>
      </c>
      <c r="CXM18">
        <v>0</v>
      </c>
      <c r="CXN18">
        <v>0</v>
      </c>
      <c r="CXO18">
        <v>0</v>
      </c>
      <c r="CXP18">
        <v>0</v>
      </c>
      <c r="CXQ18">
        <v>0</v>
      </c>
      <c r="CXR18">
        <v>0</v>
      </c>
      <c r="CXS18">
        <v>0</v>
      </c>
      <c r="CXT18">
        <v>0</v>
      </c>
      <c r="CXU18">
        <v>0</v>
      </c>
      <c r="CXV18">
        <v>0</v>
      </c>
      <c r="CXW18">
        <v>0</v>
      </c>
      <c r="CXX18">
        <v>0</v>
      </c>
      <c r="CXY18">
        <v>0</v>
      </c>
      <c r="CXZ18">
        <v>0</v>
      </c>
      <c r="CYA18">
        <v>0</v>
      </c>
      <c r="CYB18">
        <v>0</v>
      </c>
      <c r="CYC18">
        <v>0</v>
      </c>
      <c r="CYD18">
        <v>0</v>
      </c>
      <c r="CYE18">
        <v>19</v>
      </c>
      <c r="CYF18">
        <v>0</v>
      </c>
      <c r="CYG18">
        <v>0</v>
      </c>
      <c r="CYH18">
        <v>0</v>
      </c>
      <c r="CYI18">
        <v>0</v>
      </c>
      <c r="CYJ18">
        <v>0</v>
      </c>
      <c r="CYK18">
        <v>0</v>
      </c>
      <c r="CYL18">
        <v>0</v>
      </c>
      <c r="CYM18">
        <v>0</v>
      </c>
      <c r="CYN18">
        <v>0</v>
      </c>
      <c r="CYO18">
        <v>0</v>
      </c>
      <c r="CYP18">
        <v>0</v>
      </c>
      <c r="CYQ18">
        <v>10</v>
      </c>
      <c r="CYR18">
        <v>0</v>
      </c>
      <c r="CYS18">
        <v>0</v>
      </c>
      <c r="CYT18">
        <v>0</v>
      </c>
      <c r="CYU18">
        <v>0</v>
      </c>
      <c r="CYV18">
        <v>0</v>
      </c>
      <c r="CYW18">
        <v>0</v>
      </c>
      <c r="CYX18">
        <v>0</v>
      </c>
      <c r="CYY18">
        <v>0</v>
      </c>
      <c r="CYZ18">
        <v>0</v>
      </c>
      <c r="CZA18">
        <v>0</v>
      </c>
      <c r="CZB18">
        <v>104</v>
      </c>
      <c r="CZC18">
        <v>104</v>
      </c>
      <c r="CZD18">
        <v>0</v>
      </c>
      <c r="CZE18">
        <v>0</v>
      </c>
      <c r="CZF18">
        <v>0</v>
      </c>
      <c r="CZG18">
        <v>0</v>
      </c>
      <c r="CZH18">
        <v>0</v>
      </c>
      <c r="CZI18">
        <v>0</v>
      </c>
      <c r="CZJ18">
        <v>0</v>
      </c>
      <c r="CZK18">
        <v>0</v>
      </c>
      <c r="CZL18">
        <v>0</v>
      </c>
      <c r="CZM18">
        <v>0</v>
      </c>
      <c r="CZN18">
        <v>0</v>
      </c>
      <c r="CZO18">
        <v>0</v>
      </c>
      <c r="CZP18">
        <v>0</v>
      </c>
      <c r="CZQ18">
        <v>0</v>
      </c>
      <c r="CZR18">
        <v>0</v>
      </c>
      <c r="CZS18">
        <v>0</v>
      </c>
      <c r="CZT18">
        <v>0</v>
      </c>
      <c r="CZU18">
        <v>0</v>
      </c>
      <c r="CZV18">
        <v>0</v>
      </c>
      <c r="CZW18">
        <v>106</v>
      </c>
      <c r="CZX18">
        <v>106</v>
      </c>
      <c r="CZY18">
        <v>0</v>
      </c>
      <c r="CZZ18">
        <v>0</v>
      </c>
      <c r="DAA18">
        <v>0</v>
      </c>
      <c r="DAB18">
        <v>0</v>
      </c>
      <c r="DAC18">
        <v>0</v>
      </c>
      <c r="DAD18">
        <v>0</v>
      </c>
      <c r="DAE18">
        <v>0</v>
      </c>
      <c r="DAF18">
        <v>0</v>
      </c>
      <c r="DAG18">
        <v>0</v>
      </c>
      <c r="DAH18">
        <v>0</v>
      </c>
      <c r="DAI18">
        <v>0</v>
      </c>
      <c r="DAJ18">
        <v>0</v>
      </c>
      <c r="DAK18">
        <v>0</v>
      </c>
      <c r="DAL18">
        <v>0</v>
      </c>
      <c r="DAM18">
        <v>0</v>
      </c>
      <c r="DAN18">
        <v>0</v>
      </c>
      <c r="DAO18">
        <v>0</v>
      </c>
      <c r="DAP18">
        <v>0</v>
      </c>
      <c r="DAQ18">
        <v>0</v>
      </c>
      <c r="DAR18">
        <v>0</v>
      </c>
      <c r="DAS18">
        <v>0</v>
      </c>
      <c r="DAT18">
        <v>0</v>
      </c>
      <c r="DAU18">
        <v>0</v>
      </c>
      <c r="DAV18">
        <v>0</v>
      </c>
      <c r="DAW18">
        <v>0</v>
      </c>
      <c r="DAX18">
        <v>83</v>
      </c>
      <c r="DAY18">
        <v>0</v>
      </c>
      <c r="DAZ18">
        <v>0</v>
      </c>
      <c r="DBA18">
        <v>0</v>
      </c>
      <c r="DBB18">
        <v>60</v>
      </c>
      <c r="DBC18">
        <v>0</v>
      </c>
      <c r="DBD18">
        <v>0</v>
      </c>
      <c r="DBE18">
        <v>0</v>
      </c>
      <c r="DBF18">
        <v>0</v>
      </c>
      <c r="DBG18">
        <v>0</v>
      </c>
      <c r="DBH18">
        <v>0</v>
      </c>
      <c r="DBI18">
        <v>0</v>
      </c>
      <c r="DBJ18">
        <v>0</v>
      </c>
      <c r="DBK18">
        <v>0</v>
      </c>
      <c r="DBL18">
        <v>34</v>
      </c>
      <c r="DBM18">
        <v>0</v>
      </c>
      <c r="DBN18">
        <v>0</v>
      </c>
      <c r="DBO18">
        <v>0</v>
      </c>
      <c r="DBP18">
        <v>0</v>
      </c>
      <c r="DBQ18">
        <v>0</v>
      </c>
      <c r="DBR18">
        <v>0</v>
      </c>
      <c r="DBS18">
        <v>55</v>
      </c>
      <c r="DBT18">
        <v>0</v>
      </c>
      <c r="DBU18">
        <v>0</v>
      </c>
      <c r="DBV18">
        <v>0</v>
      </c>
      <c r="DBW18">
        <v>0</v>
      </c>
      <c r="DBX18">
        <v>0</v>
      </c>
      <c r="DBY18">
        <v>0</v>
      </c>
      <c r="DBZ18">
        <v>0</v>
      </c>
      <c r="DCA18">
        <v>0</v>
      </c>
      <c r="DCB18">
        <v>0</v>
      </c>
      <c r="DCC18">
        <v>0</v>
      </c>
      <c r="DCD18">
        <v>0</v>
      </c>
      <c r="DCE18">
        <v>0</v>
      </c>
      <c r="DCF18">
        <v>0</v>
      </c>
      <c r="DCG18">
        <v>0</v>
      </c>
      <c r="DCH18">
        <v>0</v>
      </c>
      <c r="DCI18">
        <v>0</v>
      </c>
      <c r="DCJ18">
        <v>0</v>
      </c>
      <c r="DCK18">
        <v>0</v>
      </c>
      <c r="DCL18">
        <v>0</v>
      </c>
      <c r="DCM18">
        <v>0</v>
      </c>
      <c r="DCN18">
        <v>0</v>
      </c>
      <c r="DCO18">
        <v>0</v>
      </c>
      <c r="DCP18">
        <v>0</v>
      </c>
      <c r="DCQ18">
        <v>92</v>
      </c>
      <c r="DCR18">
        <v>0</v>
      </c>
      <c r="DCS18">
        <v>0</v>
      </c>
      <c r="DCT18">
        <v>0</v>
      </c>
      <c r="DCU18">
        <v>114</v>
      </c>
      <c r="DCV18">
        <v>63</v>
      </c>
      <c r="DCW18">
        <v>84</v>
      </c>
      <c r="DCX18">
        <v>0</v>
      </c>
      <c r="DCY18">
        <v>114.99</v>
      </c>
      <c r="DCZ18">
        <v>0</v>
      </c>
      <c r="DDA18">
        <v>0</v>
      </c>
      <c r="DDB18">
        <v>0</v>
      </c>
      <c r="DDC18">
        <v>0</v>
      </c>
      <c r="DDD18">
        <v>0</v>
      </c>
      <c r="DDE18">
        <v>0</v>
      </c>
      <c r="DDF18">
        <v>0</v>
      </c>
      <c r="DDG18">
        <v>0</v>
      </c>
      <c r="DDH18">
        <v>0</v>
      </c>
      <c r="DDI18">
        <v>0</v>
      </c>
      <c r="DDJ18">
        <v>0</v>
      </c>
      <c r="DDK18">
        <v>0</v>
      </c>
      <c r="DDL18">
        <v>0</v>
      </c>
      <c r="DDM18">
        <v>0</v>
      </c>
      <c r="DDN18">
        <v>0</v>
      </c>
      <c r="DDO18">
        <v>0</v>
      </c>
      <c r="DDP18">
        <v>0</v>
      </c>
      <c r="DDQ18">
        <v>0</v>
      </c>
      <c r="DDR18">
        <v>0</v>
      </c>
      <c r="DDS18">
        <v>0</v>
      </c>
      <c r="DDT18">
        <v>0</v>
      </c>
      <c r="DDU18">
        <v>0</v>
      </c>
      <c r="DDV18">
        <v>0</v>
      </c>
      <c r="DDW18">
        <v>0</v>
      </c>
      <c r="DDX18">
        <v>0</v>
      </c>
      <c r="DDY18">
        <v>0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0</v>
      </c>
      <c r="DEF18">
        <v>0</v>
      </c>
      <c r="DEG18">
        <v>0</v>
      </c>
      <c r="DEH18">
        <v>0</v>
      </c>
      <c r="DEI18">
        <v>0</v>
      </c>
      <c r="DEJ18">
        <v>0</v>
      </c>
      <c r="DEK18">
        <v>0</v>
      </c>
      <c r="DEL18">
        <v>0</v>
      </c>
      <c r="DEM18">
        <v>0</v>
      </c>
      <c r="DEN18">
        <v>0</v>
      </c>
      <c r="DEO18">
        <v>0</v>
      </c>
      <c r="DEP18">
        <v>0</v>
      </c>
      <c r="DEQ18">
        <v>0</v>
      </c>
      <c r="DER18">
        <v>0</v>
      </c>
      <c r="DES18">
        <v>0</v>
      </c>
      <c r="DET18">
        <v>0</v>
      </c>
      <c r="DEU18">
        <v>0</v>
      </c>
      <c r="DEV18">
        <v>0</v>
      </c>
      <c r="DEW18">
        <v>0</v>
      </c>
      <c r="DEX18">
        <v>0</v>
      </c>
      <c r="DEY18">
        <v>0</v>
      </c>
      <c r="DEZ18">
        <v>0</v>
      </c>
      <c r="DFA18">
        <v>0</v>
      </c>
      <c r="DFB18">
        <v>0</v>
      </c>
      <c r="DFC18">
        <v>0</v>
      </c>
      <c r="DFD18">
        <v>0</v>
      </c>
      <c r="DFE18">
        <v>120.99</v>
      </c>
      <c r="DFF18">
        <v>0</v>
      </c>
      <c r="DFG18">
        <v>0</v>
      </c>
      <c r="DFH18">
        <v>0</v>
      </c>
      <c r="DFI18">
        <v>8</v>
      </c>
      <c r="DFJ18">
        <v>0</v>
      </c>
      <c r="DFK18">
        <v>0</v>
      </c>
      <c r="DFL18">
        <v>0</v>
      </c>
      <c r="DFM18">
        <v>0</v>
      </c>
      <c r="DFN18">
        <v>0</v>
      </c>
      <c r="DFO18">
        <v>0</v>
      </c>
      <c r="DFP18">
        <v>0</v>
      </c>
      <c r="DFQ18">
        <v>0</v>
      </c>
      <c r="DFR18">
        <v>0</v>
      </c>
      <c r="DFS18">
        <v>0</v>
      </c>
      <c r="DFT18">
        <v>0</v>
      </c>
      <c r="DFU18">
        <v>0</v>
      </c>
      <c r="DFV18">
        <v>0</v>
      </c>
      <c r="DFW18">
        <v>0</v>
      </c>
      <c r="DFX18">
        <v>0</v>
      </c>
      <c r="DFY18">
        <v>0</v>
      </c>
      <c r="DFZ18">
        <v>0</v>
      </c>
      <c r="DGA18">
        <v>0</v>
      </c>
      <c r="DGB18">
        <v>0</v>
      </c>
      <c r="DGC18">
        <v>0</v>
      </c>
      <c r="DGD18">
        <v>0</v>
      </c>
      <c r="DGE18">
        <v>0</v>
      </c>
      <c r="DGF18">
        <v>65</v>
      </c>
      <c r="DGG18">
        <v>0</v>
      </c>
      <c r="DGH18">
        <v>0</v>
      </c>
      <c r="DGI18">
        <v>0</v>
      </c>
      <c r="DGJ18">
        <v>0</v>
      </c>
      <c r="DGK18">
        <v>125.99</v>
      </c>
      <c r="DGL18">
        <v>0</v>
      </c>
      <c r="DGM18">
        <v>0</v>
      </c>
      <c r="DGN18">
        <v>0</v>
      </c>
      <c r="DGO18">
        <v>126</v>
      </c>
      <c r="DGP18">
        <v>0</v>
      </c>
      <c r="DGQ18">
        <v>0</v>
      </c>
      <c r="DGR18">
        <v>0</v>
      </c>
      <c r="DGS18">
        <v>0</v>
      </c>
      <c r="DGT18">
        <v>0</v>
      </c>
      <c r="DGU18">
        <v>0</v>
      </c>
      <c r="DGV18">
        <v>84</v>
      </c>
      <c r="DGW18">
        <v>0</v>
      </c>
      <c r="DGX18">
        <v>0</v>
      </c>
      <c r="DGY18">
        <v>0</v>
      </c>
      <c r="DGZ18">
        <v>0</v>
      </c>
      <c r="DHA18">
        <v>0</v>
      </c>
      <c r="DHB18">
        <v>0</v>
      </c>
      <c r="DHC18">
        <v>0</v>
      </c>
      <c r="DHD18">
        <v>0</v>
      </c>
      <c r="DHE18">
        <v>0</v>
      </c>
      <c r="DHF18">
        <v>0</v>
      </c>
      <c r="DHG18">
        <v>0</v>
      </c>
      <c r="DHH18">
        <v>0</v>
      </c>
      <c r="DHI18">
        <v>0</v>
      </c>
      <c r="DHJ18">
        <v>0</v>
      </c>
      <c r="DHK18">
        <v>0</v>
      </c>
      <c r="DHL18">
        <v>128</v>
      </c>
      <c r="DHM18">
        <v>0</v>
      </c>
      <c r="DHN18">
        <v>0</v>
      </c>
      <c r="DHO18">
        <v>0</v>
      </c>
      <c r="DHP18">
        <v>0</v>
      </c>
      <c r="DHQ18">
        <v>0</v>
      </c>
      <c r="DHR18">
        <v>0</v>
      </c>
      <c r="DHS18">
        <v>0</v>
      </c>
      <c r="DHT18">
        <v>0</v>
      </c>
      <c r="DHU18">
        <v>0</v>
      </c>
      <c r="DHV18">
        <v>129</v>
      </c>
      <c r="DHW18">
        <v>0</v>
      </c>
      <c r="DHX18">
        <v>13</v>
      </c>
      <c r="DHY18">
        <v>0</v>
      </c>
      <c r="DHZ18">
        <v>0</v>
      </c>
      <c r="DIA18">
        <v>0</v>
      </c>
      <c r="DIB18">
        <v>0</v>
      </c>
      <c r="DIC18">
        <v>0</v>
      </c>
      <c r="DID18">
        <v>0</v>
      </c>
      <c r="DIE18">
        <v>0</v>
      </c>
      <c r="DIF18">
        <v>0</v>
      </c>
      <c r="DIG18">
        <v>0</v>
      </c>
      <c r="DIH18">
        <v>0</v>
      </c>
      <c r="DII18">
        <v>0</v>
      </c>
      <c r="DIJ18">
        <v>0</v>
      </c>
      <c r="DIK18">
        <v>0</v>
      </c>
      <c r="DIL18">
        <v>0</v>
      </c>
      <c r="DIM18">
        <v>0</v>
      </c>
      <c r="DIN18">
        <v>0</v>
      </c>
      <c r="DIO18">
        <v>0</v>
      </c>
      <c r="DIP18">
        <v>0</v>
      </c>
      <c r="DIQ18">
        <v>131</v>
      </c>
      <c r="DIR18">
        <v>0</v>
      </c>
      <c r="DIS18">
        <v>0</v>
      </c>
      <c r="DIT18">
        <v>0</v>
      </c>
      <c r="DIU18">
        <v>0</v>
      </c>
      <c r="DIV18">
        <v>0</v>
      </c>
      <c r="DIW18">
        <v>0</v>
      </c>
      <c r="DIX18">
        <v>0</v>
      </c>
      <c r="DIY18">
        <v>0</v>
      </c>
      <c r="DIZ18">
        <v>0</v>
      </c>
      <c r="DJA18">
        <v>0</v>
      </c>
      <c r="DJB18">
        <v>0</v>
      </c>
      <c r="DJC18">
        <v>0</v>
      </c>
      <c r="DJD18">
        <v>0</v>
      </c>
      <c r="DJE18">
        <v>0</v>
      </c>
      <c r="DJF18">
        <v>0</v>
      </c>
      <c r="DJG18">
        <v>0</v>
      </c>
      <c r="DJH18">
        <v>0</v>
      </c>
      <c r="DJI18">
        <v>0</v>
      </c>
      <c r="DJJ18">
        <v>0</v>
      </c>
      <c r="DJK18">
        <v>0</v>
      </c>
      <c r="DJL18">
        <v>0</v>
      </c>
      <c r="DJM18">
        <v>0</v>
      </c>
      <c r="DJN18">
        <v>0</v>
      </c>
      <c r="DJO18">
        <v>0</v>
      </c>
      <c r="DJP18">
        <v>0</v>
      </c>
      <c r="DJQ18">
        <v>0</v>
      </c>
      <c r="DJR18">
        <v>0</v>
      </c>
      <c r="DJS18">
        <v>0</v>
      </c>
      <c r="DJT18">
        <v>0</v>
      </c>
      <c r="DJU18">
        <v>0</v>
      </c>
      <c r="DJV18">
        <v>0</v>
      </c>
      <c r="DJW18">
        <v>0</v>
      </c>
      <c r="DJX18">
        <v>0</v>
      </c>
      <c r="DJY18">
        <v>0</v>
      </c>
      <c r="DJZ18">
        <v>136</v>
      </c>
      <c r="DKA18">
        <v>0</v>
      </c>
      <c r="DKB18">
        <v>0</v>
      </c>
      <c r="DKC18">
        <v>0</v>
      </c>
      <c r="DKD18">
        <v>0</v>
      </c>
      <c r="DKE18">
        <v>0</v>
      </c>
      <c r="DKF18">
        <v>0</v>
      </c>
      <c r="DKG18">
        <v>137</v>
      </c>
      <c r="DKH18">
        <v>137</v>
      </c>
      <c r="DKI18">
        <v>0</v>
      </c>
      <c r="DKJ18">
        <v>0</v>
      </c>
      <c r="DKK18">
        <v>0</v>
      </c>
      <c r="DKL18">
        <v>0</v>
      </c>
      <c r="DKM18">
        <v>0</v>
      </c>
      <c r="DKN18">
        <v>0</v>
      </c>
      <c r="DKO18">
        <v>0</v>
      </c>
      <c r="DKP18">
        <v>0</v>
      </c>
      <c r="DKQ18">
        <v>0</v>
      </c>
      <c r="DKR18">
        <v>0</v>
      </c>
      <c r="DKS18">
        <v>0</v>
      </c>
      <c r="DKT18">
        <v>0</v>
      </c>
      <c r="DKU18">
        <v>0</v>
      </c>
      <c r="DKV18">
        <v>139</v>
      </c>
      <c r="DKW18">
        <v>139</v>
      </c>
      <c r="DKX18">
        <v>0</v>
      </c>
      <c r="DKY18">
        <v>0</v>
      </c>
      <c r="DKZ18">
        <v>0</v>
      </c>
      <c r="DLA18">
        <v>0</v>
      </c>
      <c r="DLB18">
        <v>0</v>
      </c>
      <c r="DLC18">
        <v>0</v>
      </c>
      <c r="DLD18">
        <v>140</v>
      </c>
      <c r="DLE18">
        <v>0</v>
      </c>
      <c r="DLF18">
        <v>0</v>
      </c>
      <c r="DLG18">
        <v>0</v>
      </c>
      <c r="DLH18">
        <v>0</v>
      </c>
      <c r="DLI18">
        <v>0</v>
      </c>
      <c r="DLJ18">
        <v>0</v>
      </c>
      <c r="DLK18">
        <v>0</v>
      </c>
      <c r="DLL18">
        <v>0</v>
      </c>
      <c r="DLM18">
        <v>0</v>
      </c>
      <c r="DLN18">
        <v>56</v>
      </c>
      <c r="DLO18">
        <v>0</v>
      </c>
      <c r="DLP18">
        <v>0</v>
      </c>
      <c r="DLQ18">
        <v>126</v>
      </c>
      <c r="DLR18">
        <v>0</v>
      </c>
      <c r="DLS18">
        <v>0</v>
      </c>
      <c r="DLT18">
        <v>0</v>
      </c>
      <c r="DLU18">
        <v>0</v>
      </c>
      <c r="DLV18">
        <v>0</v>
      </c>
      <c r="DLW18">
        <v>0</v>
      </c>
      <c r="DLX18">
        <v>0</v>
      </c>
      <c r="DLY18">
        <v>0</v>
      </c>
      <c r="DLZ18">
        <v>0</v>
      </c>
      <c r="DMA18">
        <v>0</v>
      </c>
      <c r="DMB18">
        <v>0</v>
      </c>
      <c r="DMC18">
        <v>0</v>
      </c>
      <c r="DMD18">
        <v>0</v>
      </c>
      <c r="DME18">
        <v>0</v>
      </c>
      <c r="DMF18">
        <v>0</v>
      </c>
      <c r="DMG18">
        <v>0</v>
      </c>
      <c r="DMH18">
        <v>0</v>
      </c>
      <c r="DMI18">
        <v>0</v>
      </c>
      <c r="DMJ18">
        <v>69</v>
      </c>
      <c r="DMK18">
        <v>0</v>
      </c>
      <c r="DML18">
        <v>0</v>
      </c>
      <c r="DMM18">
        <v>0</v>
      </c>
      <c r="DMN18">
        <v>0</v>
      </c>
      <c r="DMO18">
        <v>0</v>
      </c>
      <c r="DMP18">
        <v>0</v>
      </c>
      <c r="DMQ18">
        <v>0</v>
      </c>
      <c r="DMR18">
        <v>0</v>
      </c>
      <c r="DMS18">
        <v>0</v>
      </c>
      <c r="DMT18">
        <v>0</v>
      </c>
      <c r="DMU18">
        <v>0</v>
      </c>
      <c r="DMV18">
        <v>0</v>
      </c>
      <c r="DMW18">
        <v>0</v>
      </c>
      <c r="DMX18">
        <v>0</v>
      </c>
      <c r="DMY18">
        <v>0</v>
      </c>
      <c r="DMZ18">
        <v>0</v>
      </c>
      <c r="DNA18">
        <v>0</v>
      </c>
      <c r="DNB18">
        <v>0</v>
      </c>
      <c r="DNC18">
        <v>0</v>
      </c>
      <c r="DND18">
        <v>0</v>
      </c>
      <c r="DNE18">
        <v>0</v>
      </c>
      <c r="DNF18">
        <v>0</v>
      </c>
      <c r="DNG18">
        <v>0</v>
      </c>
      <c r="DNH18">
        <v>0</v>
      </c>
      <c r="DNI18">
        <v>0</v>
      </c>
      <c r="DNJ18">
        <v>0</v>
      </c>
      <c r="DNK18">
        <v>0</v>
      </c>
      <c r="DNL18">
        <v>77</v>
      </c>
      <c r="DNM18">
        <v>0</v>
      </c>
      <c r="DNN18">
        <v>0</v>
      </c>
      <c r="DNO18">
        <v>0</v>
      </c>
      <c r="DNP18">
        <v>0</v>
      </c>
      <c r="DNQ18">
        <v>0</v>
      </c>
      <c r="DNR18">
        <v>0</v>
      </c>
      <c r="DNS18">
        <v>0</v>
      </c>
      <c r="DNT18">
        <v>0</v>
      </c>
      <c r="DNU18">
        <v>0</v>
      </c>
      <c r="DNV18">
        <v>0</v>
      </c>
      <c r="DNW18">
        <v>0</v>
      </c>
      <c r="DNX18">
        <v>0</v>
      </c>
      <c r="DNY18">
        <v>0</v>
      </c>
      <c r="DNZ18">
        <v>0</v>
      </c>
      <c r="DOA18">
        <v>0</v>
      </c>
      <c r="DOB18">
        <v>66</v>
      </c>
      <c r="DOC18">
        <v>0</v>
      </c>
      <c r="DOD18">
        <v>0</v>
      </c>
      <c r="DOE18">
        <v>0</v>
      </c>
      <c r="DOF18">
        <v>52</v>
      </c>
      <c r="DOG18">
        <v>0</v>
      </c>
      <c r="DOH18">
        <v>0</v>
      </c>
      <c r="DOI18">
        <v>0</v>
      </c>
      <c r="DOJ18">
        <v>0</v>
      </c>
      <c r="DOK18">
        <v>0</v>
      </c>
      <c r="DOL18">
        <v>0</v>
      </c>
      <c r="DOM18">
        <v>0</v>
      </c>
      <c r="DON18">
        <v>0</v>
      </c>
      <c r="DOO18">
        <v>0</v>
      </c>
      <c r="DOP18">
        <v>0</v>
      </c>
      <c r="DOQ18">
        <v>0</v>
      </c>
      <c r="DOR18">
        <v>0</v>
      </c>
      <c r="DOS18">
        <v>0</v>
      </c>
      <c r="DOT18">
        <v>0</v>
      </c>
      <c r="DOU18">
        <v>0</v>
      </c>
      <c r="DOV18">
        <v>0</v>
      </c>
      <c r="DOW18">
        <v>0</v>
      </c>
      <c r="DOX18">
        <v>0</v>
      </c>
      <c r="DOY18">
        <v>0</v>
      </c>
      <c r="DOZ18">
        <v>0</v>
      </c>
      <c r="DPA18">
        <v>0</v>
      </c>
      <c r="DPB18">
        <v>0</v>
      </c>
      <c r="DPC18">
        <v>0</v>
      </c>
      <c r="DPD18">
        <v>55</v>
      </c>
      <c r="DPE18">
        <v>0</v>
      </c>
      <c r="DPF18">
        <v>0</v>
      </c>
      <c r="DPG18">
        <v>0</v>
      </c>
      <c r="DPH18">
        <v>0</v>
      </c>
      <c r="DPI18">
        <v>0</v>
      </c>
      <c r="DPJ18">
        <v>158</v>
      </c>
      <c r="DPK18">
        <v>0</v>
      </c>
      <c r="DPL18">
        <v>0</v>
      </c>
      <c r="DPM18">
        <v>0</v>
      </c>
      <c r="DPN18">
        <v>0</v>
      </c>
      <c r="DPO18">
        <v>0</v>
      </c>
      <c r="DPP18">
        <v>0</v>
      </c>
      <c r="DPQ18">
        <v>0</v>
      </c>
      <c r="DPR18">
        <v>0</v>
      </c>
      <c r="DPS18">
        <v>0</v>
      </c>
      <c r="DPT18">
        <v>0</v>
      </c>
      <c r="DPU18">
        <v>0</v>
      </c>
      <c r="DPV18">
        <v>0</v>
      </c>
      <c r="DPW18">
        <v>0</v>
      </c>
      <c r="DPX18">
        <v>0</v>
      </c>
      <c r="DPY18">
        <v>0</v>
      </c>
      <c r="DPZ18">
        <v>0</v>
      </c>
      <c r="DQA18">
        <v>0</v>
      </c>
      <c r="DQB18">
        <v>0</v>
      </c>
      <c r="DQC18">
        <v>0</v>
      </c>
      <c r="DQD18">
        <v>0</v>
      </c>
      <c r="DQE18">
        <v>0</v>
      </c>
      <c r="DQF18">
        <v>0</v>
      </c>
      <c r="DQG18">
        <v>0</v>
      </c>
      <c r="DQH18">
        <v>0</v>
      </c>
      <c r="DQI18">
        <v>0</v>
      </c>
      <c r="DQJ18">
        <v>0</v>
      </c>
      <c r="DQK18">
        <v>0</v>
      </c>
      <c r="DQL18">
        <v>0</v>
      </c>
      <c r="DQM18">
        <v>0</v>
      </c>
      <c r="DQN18">
        <v>0</v>
      </c>
      <c r="DQO18">
        <v>0</v>
      </c>
      <c r="DQP18">
        <v>28</v>
      </c>
      <c r="DQQ18">
        <v>0</v>
      </c>
      <c r="DQR18">
        <v>0</v>
      </c>
      <c r="DQS18">
        <v>0</v>
      </c>
      <c r="DQT18">
        <v>0</v>
      </c>
      <c r="DQU18">
        <v>0</v>
      </c>
      <c r="DQV18">
        <v>165</v>
      </c>
      <c r="DQW18">
        <v>0</v>
      </c>
      <c r="DQX18">
        <v>0</v>
      </c>
      <c r="DQY18">
        <v>0</v>
      </c>
      <c r="DQZ18">
        <v>166</v>
      </c>
      <c r="DRA18">
        <v>0</v>
      </c>
      <c r="DRB18">
        <v>0</v>
      </c>
      <c r="DRC18">
        <v>60</v>
      </c>
      <c r="DRD18">
        <v>0</v>
      </c>
      <c r="DRE18">
        <v>0</v>
      </c>
      <c r="DRF18">
        <v>0</v>
      </c>
      <c r="DRG18">
        <v>167</v>
      </c>
      <c r="DRH18">
        <v>0</v>
      </c>
      <c r="DRI18">
        <v>0</v>
      </c>
      <c r="DRJ18">
        <v>31</v>
      </c>
      <c r="DRK18">
        <v>0</v>
      </c>
      <c r="DRL18">
        <v>76</v>
      </c>
      <c r="DRM18">
        <v>0</v>
      </c>
      <c r="DRN18">
        <v>0</v>
      </c>
      <c r="DRO18">
        <v>0</v>
      </c>
      <c r="DRP18">
        <v>0</v>
      </c>
      <c r="DRQ18">
        <v>21</v>
      </c>
      <c r="DRR18">
        <v>0</v>
      </c>
      <c r="DRS18">
        <v>0</v>
      </c>
      <c r="DRT18">
        <v>0</v>
      </c>
      <c r="DRU18">
        <v>171</v>
      </c>
      <c r="DRV18">
        <v>171</v>
      </c>
      <c r="DRW18">
        <v>0</v>
      </c>
      <c r="DRX18">
        <v>0</v>
      </c>
      <c r="DRY18">
        <v>0</v>
      </c>
      <c r="DRZ18">
        <v>0</v>
      </c>
      <c r="DSA18">
        <v>0</v>
      </c>
      <c r="DSB18">
        <v>0</v>
      </c>
      <c r="DSC18">
        <v>0</v>
      </c>
      <c r="DSD18">
        <v>0</v>
      </c>
      <c r="DSE18">
        <v>0</v>
      </c>
      <c r="DSF18">
        <v>0</v>
      </c>
      <c r="DSG18">
        <v>0</v>
      </c>
      <c r="DSH18">
        <v>173</v>
      </c>
      <c r="DSI18">
        <v>0</v>
      </c>
      <c r="DSJ18">
        <v>0</v>
      </c>
      <c r="DSK18">
        <v>0</v>
      </c>
      <c r="DSL18">
        <v>0</v>
      </c>
      <c r="DSM18">
        <v>0</v>
      </c>
      <c r="DSN18">
        <v>0</v>
      </c>
      <c r="DSO18">
        <v>0</v>
      </c>
      <c r="DSP18">
        <v>0</v>
      </c>
      <c r="DSQ18">
        <v>114</v>
      </c>
      <c r="DSR18">
        <v>0</v>
      </c>
      <c r="DSS18">
        <v>0</v>
      </c>
      <c r="DST18">
        <v>0</v>
      </c>
      <c r="DSU18">
        <v>0</v>
      </c>
      <c r="DSV18">
        <v>0</v>
      </c>
      <c r="DSW18">
        <v>0</v>
      </c>
      <c r="DSX18">
        <v>0</v>
      </c>
      <c r="DSY18">
        <v>0</v>
      </c>
      <c r="DSZ18">
        <v>0</v>
      </c>
      <c r="DTA18">
        <v>0</v>
      </c>
      <c r="DTB18">
        <v>0</v>
      </c>
      <c r="DTC18">
        <v>0</v>
      </c>
      <c r="DTD18">
        <v>0</v>
      </c>
      <c r="DTE18">
        <v>177</v>
      </c>
      <c r="DTF18">
        <v>0</v>
      </c>
      <c r="DTG18">
        <v>0</v>
      </c>
      <c r="DTH18">
        <v>0</v>
      </c>
      <c r="DTI18">
        <v>0</v>
      </c>
      <c r="DTJ18">
        <v>0</v>
      </c>
      <c r="DTK18">
        <v>0</v>
      </c>
      <c r="DTL18">
        <v>24</v>
      </c>
      <c r="DTM18">
        <v>62</v>
      </c>
      <c r="DTN18">
        <v>0</v>
      </c>
      <c r="DTO18">
        <v>0</v>
      </c>
      <c r="DTP18">
        <v>0</v>
      </c>
      <c r="DTQ18">
        <v>0</v>
      </c>
      <c r="DTR18">
        <v>0</v>
      </c>
      <c r="DTS18">
        <v>0</v>
      </c>
      <c r="DTT18">
        <v>0</v>
      </c>
      <c r="DTU18">
        <v>0</v>
      </c>
      <c r="DTV18">
        <v>0</v>
      </c>
      <c r="DTW18">
        <v>0</v>
      </c>
      <c r="DTX18">
        <v>0</v>
      </c>
      <c r="DTY18">
        <v>0</v>
      </c>
      <c r="DTZ18">
        <v>0</v>
      </c>
      <c r="DUA18">
        <v>0</v>
      </c>
      <c r="DUB18">
        <v>0</v>
      </c>
      <c r="DUC18">
        <v>0</v>
      </c>
      <c r="DUD18">
        <v>0</v>
      </c>
      <c r="DUE18">
        <v>0</v>
      </c>
      <c r="DUF18">
        <v>0</v>
      </c>
      <c r="DUG18">
        <v>0</v>
      </c>
      <c r="DUH18">
        <v>108</v>
      </c>
      <c r="DUI18">
        <v>173</v>
      </c>
      <c r="DUJ18">
        <v>0</v>
      </c>
      <c r="DUK18">
        <v>0</v>
      </c>
      <c r="DUL18">
        <v>0</v>
      </c>
      <c r="DUM18">
        <v>0</v>
      </c>
      <c r="DUN18">
        <v>0</v>
      </c>
      <c r="DUO18">
        <v>0</v>
      </c>
      <c r="DUP18">
        <v>0</v>
      </c>
      <c r="DUQ18">
        <v>0</v>
      </c>
      <c r="DUR18">
        <v>0</v>
      </c>
      <c r="DUS18">
        <v>0</v>
      </c>
      <c r="DUT18">
        <v>0</v>
      </c>
      <c r="DUU18">
        <v>56</v>
      </c>
      <c r="DUV18">
        <v>10.99</v>
      </c>
      <c r="DUW18">
        <v>0</v>
      </c>
      <c r="DUX18">
        <v>0</v>
      </c>
      <c r="DUY18">
        <v>0</v>
      </c>
      <c r="DUZ18">
        <v>0</v>
      </c>
      <c r="DVA18">
        <v>167</v>
      </c>
      <c r="DVB18">
        <v>186</v>
      </c>
      <c r="DVC18">
        <v>0</v>
      </c>
      <c r="DVD18">
        <v>0</v>
      </c>
      <c r="DVE18">
        <v>0</v>
      </c>
      <c r="DVF18">
        <v>188</v>
      </c>
      <c r="DVG18">
        <v>0</v>
      </c>
      <c r="DVH18">
        <v>0</v>
      </c>
      <c r="DVI18">
        <v>0</v>
      </c>
      <c r="DVJ18">
        <v>0</v>
      </c>
      <c r="DVK18">
        <v>0</v>
      </c>
      <c r="DVL18">
        <v>0</v>
      </c>
      <c r="DVM18">
        <v>0</v>
      </c>
      <c r="DVN18">
        <v>0</v>
      </c>
      <c r="DVO18">
        <v>0</v>
      </c>
      <c r="DVP18">
        <v>0</v>
      </c>
      <c r="DVQ18">
        <v>0</v>
      </c>
      <c r="DVR18">
        <v>0</v>
      </c>
      <c r="DVS18">
        <v>0</v>
      </c>
      <c r="DVT18">
        <v>0</v>
      </c>
      <c r="DVU18">
        <v>0</v>
      </c>
      <c r="DVV18">
        <v>0</v>
      </c>
      <c r="DVW18">
        <v>0</v>
      </c>
      <c r="DVX18">
        <v>0</v>
      </c>
      <c r="DVY18">
        <v>0</v>
      </c>
      <c r="DVZ18">
        <v>0</v>
      </c>
      <c r="DWA18">
        <v>0</v>
      </c>
      <c r="DWB18">
        <v>0</v>
      </c>
      <c r="DWC18">
        <v>0</v>
      </c>
      <c r="DWD18">
        <v>35</v>
      </c>
      <c r="DWE18">
        <v>0</v>
      </c>
      <c r="DWF18">
        <v>0</v>
      </c>
      <c r="DWG18">
        <v>22</v>
      </c>
      <c r="DWH18">
        <v>0</v>
      </c>
      <c r="DWI18">
        <v>0</v>
      </c>
      <c r="DWJ18">
        <v>0</v>
      </c>
      <c r="DWK18">
        <v>0</v>
      </c>
      <c r="DWL18">
        <v>0</v>
      </c>
      <c r="DWM18">
        <v>0</v>
      </c>
      <c r="DWN18">
        <v>0</v>
      </c>
      <c r="DWO18">
        <v>0</v>
      </c>
      <c r="DWP18">
        <v>0</v>
      </c>
      <c r="DWQ18">
        <v>0</v>
      </c>
      <c r="DWR18">
        <v>0</v>
      </c>
      <c r="DWS18">
        <v>0</v>
      </c>
      <c r="DWT18">
        <v>0</v>
      </c>
      <c r="DWU18">
        <v>0</v>
      </c>
      <c r="DWV18">
        <v>0</v>
      </c>
      <c r="DWW18">
        <v>0</v>
      </c>
      <c r="DWX18">
        <v>0</v>
      </c>
      <c r="DWY18">
        <v>0</v>
      </c>
      <c r="DWZ18">
        <v>0</v>
      </c>
      <c r="DXA18">
        <v>0</v>
      </c>
      <c r="DXB18">
        <v>0</v>
      </c>
      <c r="DXC18">
        <v>0</v>
      </c>
      <c r="DXD18">
        <v>0</v>
      </c>
      <c r="DXE18">
        <v>0</v>
      </c>
      <c r="DXF18">
        <v>0</v>
      </c>
      <c r="DXG18">
        <v>0</v>
      </c>
      <c r="DXH18">
        <v>0</v>
      </c>
      <c r="DXI18">
        <v>0</v>
      </c>
      <c r="DXJ18">
        <v>0</v>
      </c>
      <c r="DXK18">
        <v>0</v>
      </c>
      <c r="DXL18">
        <v>0</v>
      </c>
      <c r="DXM18">
        <v>0</v>
      </c>
      <c r="DXN18">
        <v>0</v>
      </c>
      <c r="DXO18">
        <v>205</v>
      </c>
      <c r="DXP18">
        <v>0</v>
      </c>
      <c r="DXQ18">
        <v>0</v>
      </c>
      <c r="DXR18">
        <v>0</v>
      </c>
      <c r="DXS18">
        <v>0</v>
      </c>
      <c r="DXT18">
        <v>0</v>
      </c>
      <c r="DXU18">
        <v>0</v>
      </c>
      <c r="DXV18">
        <v>0</v>
      </c>
      <c r="DXW18">
        <v>0</v>
      </c>
      <c r="DXX18">
        <v>0</v>
      </c>
      <c r="DXY18">
        <v>0</v>
      </c>
      <c r="DXZ18">
        <v>38</v>
      </c>
      <c r="DYA18">
        <v>0</v>
      </c>
      <c r="DYB18">
        <v>0</v>
      </c>
      <c r="DYC18">
        <v>0</v>
      </c>
      <c r="DYD18">
        <v>0</v>
      </c>
      <c r="DYE18">
        <v>0</v>
      </c>
      <c r="DYF18">
        <v>0</v>
      </c>
      <c r="DYG18">
        <v>0</v>
      </c>
      <c r="DYH18">
        <v>0</v>
      </c>
      <c r="DYI18">
        <v>209</v>
      </c>
      <c r="DYJ18">
        <v>0</v>
      </c>
      <c r="DYK18">
        <v>0</v>
      </c>
      <c r="DYL18">
        <v>0</v>
      </c>
      <c r="DYM18">
        <v>0</v>
      </c>
      <c r="DYN18">
        <v>0</v>
      </c>
      <c r="DYO18">
        <v>0</v>
      </c>
      <c r="DYP18">
        <v>0</v>
      </c>
      <c r="DYQ18">
        <v>0</v>
      </c>
      <c r="DYR18">
        <v>0</v>
      </c>
      <c r="DYS18">
        <v>0</v>
      </c>
      <c r="DYT18">
        <v>0</v>
      </c>
      <c r="DYU18">
        <v>0</v>
      </c>
      <c r="DYV18">
        <v>0</v>
      </c>
      <c r="DYW18">
        <v>0</v>
      </c>
      <c r="DYX18">
        <v>0</v>
      </c>
      <c r="DYY18">
        <v>0</v>
      </c>
      <c r="DYZ18">
        <v>0</v>
      </c>
      <c r="DZA18">
        <v>0</v>
      </c>
      <c r="DZB18">
        <v>0</v>
      </c>
      <c r="DZC18">
        <v>0</v>
      </c>
      <c r="DZD18">
        <v>0</v>
      </c>
      <c r="DZE18">
        <v>0</v>
      </c>
      <c r="DZF18">
        <v>0</v>
      </c>
      <c r="DZG18">
        <v>0</v>
      </c>
      <c r="DZH18">
        <v>0</v>
      </c>
      <c r="DZI18">
        <v>0</v>
      </c>
      <c r="DZJ18">
        <v>0</v>
      </c>
      <c r="DZK18">
        <v>0</v>
      </c>
      <c r="DZL18">
        <v>0</v>
      </c>
      <c r="DZM18">
        <v>0</v>
      </c>
      <c r="DZN18">
        <v>0</v>
      </c>
      <c r="DZO18">
        <v>0</v>
      </c>
      <c r="DZP18">
        <v>0</v>
      </c>
      <c r="DZQ18">
        <v>0</v>
      </c>
      <c r="DZR18">
        <v>0</v>
      </c>
      <c r="DZS18">
        <v>0</v>
      </c>
      <c r="DZT18">
        <v>0</v>
      </c>
      <c r="DZU18">
        <v>0</v>
      </c>
      <c r="DZV18">
        <v>169</v>
      </c>
      <c r="DZW18">
        <v>0</v>
      </c>
      <c r="DZX18">
        <v>0</v>
      </c>
      <c r="DZY18">
        <v>0</v>
      </c>
      <c r="DZZ18">
        <v>0</v>
      </c>
      <c r="EAA18">
        <v>0</v>
      </c>
      <c r="EAB18">
        <v>0</v>
      </c>
      <c r="EAC18">
        <v>0</v>
      </c>
      <c r="EAD18">
        <v>0</v>
      </c>
      <c r="EAE18">
        <v>0</v>
      </c>
      <c r="EAF18">
        <v>68</v>
      </c>
      <c r="EAG18">
        <v>0</v>
      </c>
      <c r="EAH18">
        <v>0</v>
      </c>
      <c r="EAI18">
        <v>0</v>
      </c>
      <c r="EAJ18">
        <v>0</v>
      </c>
      <c r="EAK18">
        <v>0</v>
      </c>
      <c r="EAL18">
        <v>0</v>
      </c>
      <c r="EAM18">
        <v>225</v>
      </c>
      <c r="EAN18">
        <v>61.99</v>
      </c>
      <c r="EAO18">
        <v>0</v>
      </c>
      <c r="EAP18">
        <v>0</v>
      </c>
      <c r="EAQ18">
        <v>0</v>
      </c>
      <c r="EAR18">
        <v>0</v>
      </c>
      <c r="EAS18">
        <v>0</v>
      </c>
      <c r="EAT18">
        <v>0</v>
      </c>
      <c r="EAU18">
        <v>102</v>
      </c>
      <c r="EAV18">
        <v>0</v>
      </c>
      <c r="EAW18">
        <v>25</v>
      </c>
      <c r="EAX18">
        <v>0</v>
      </c>
      <c r="EAY18">
        <v>0</v>
      </c>
      <c r="EAZ18">
        <v>0</v>
      </c>
      <c r="EBA18">
        <v>0</v>
      </c>
      <c r="EBB18">
        <v>0</v>
      </c>
      <c r="EBC18">
        <v>0</v>
      </c>
      <c r="EBD18">
        <v>0</v>
      </c>
      <c r="EBE18">
        <v>0</v>
      </c>
      <c r="EBF18">
        <v>0</v>
      </c>
      <c r="EBG18">
        <v>0</v>
      </c>
      <c r="EBH18">
        <v>0</v>
      </c>
      <c r="EBI18">
        <v>0</v>
      </c>
      <c r="EBJ18">
        <v>0</v>
      </c>
      <c r="EBK18">
        <v>0</v>
      </c>
      <c r="EBL18">
        <v>0</v>
      </c>
      <c r="EBM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0</v>
      </c>
      <c r="EBT18">
        <v>0</v>
      </c>
      <c r="EBU18">
        <v>0</v>
      </c>
      <c r="EBV18">
        <v>0</v>
      </c>
      <c r="EBW18">
        <v>0</v>
      </c>
      <c r="EBX18">
        <v>236</v>
      </c>
      <c r="EBY18">
        <v>0</v>
      </c>
      <c r="EBZ18">
        <v>0</v>
      </c>
      <c r="ECA18">
        <v>0</v>
      </c>
      <c r="ECB18">
        <v>0</v>
      </c>
      <c r="ECC18">
        <v>0</v>
      </c>
      <c r="ECD18">
        <v>118</v>
      </c>
      <c r="ECE18">
        <v>234</v>
      </c>
      <c r="ECF18">
        <v>0</v>
      </c>
      <c r="ECG18">
        <v>0</v>
      </c>
      <c r="ECH18">
        <v>0</v>
      </c>
      <c r="ECI18">
        <v>0</v>
      </c>
      <c r="ECJ18">
        <v>0</v>
      </c>
      <c r="ECK18">
        <v>0</v>
      </c>
      <c r="ECL18">
        <v>0</v>
      </c>
      <c r="ECM18">
        <v>0</v>
      </c>
      <c r="ECN18">
        <v>0</v>
      </c>
      <c r="ECO18">
        <v>0</v>
      </c>
      <c r="ECP18">
        <v>0</v>
      </c>
      <c r="ECQ18">
        <v>0</v>
      </c>
      <c r="ECR18">
        <v>0</v>
      </c>
      <c r="ECS18">
        <v>0</v>
      </c>
      <c r="ECT18">
        <v>0</v>
      </c>
      <c r="ECU18">
        <v>0</v>
      </c>
      <c r="ECV18">
        <v>0</v>
      </c>
      <c r="ECW18">
        <v>0</v>
      </c>
      <c r="ECX18">
        <v>0</v>
      </c>
      <c r="ECY18">
        <v>0</v>
      </c>
      <c r="ECZ18">
        <v>0</v>
      </c>
      <c r="EDA18">
        <v>0</v>
      </c>
      <c r="EDB18">
        <v>15</v>
      </c>
      <c r="EDC18">
        <v>0</v>
      </c>
      <c r="EDD18">
        <v>0</v>
      </c>
      <c r="EDE18">
        <v>0</v>
      </c>
      <c r="EDF18">
        <v>0</v>
      </c>
      <c r="EDG18">
        <v>0</v>
      </c>
      <c r="EDH18">
        <v>0</v>
      </c>
      <c r="EDI18">
        <v>0</v>
      </c>
      <c r="EDJ18">
        <v>0</v>
      </c>
      <c r="EDK18">
        <v>49</v>
      </c>
      <c r="EDL18">
        <v>0</v>
      </c>
      <c r="EDM18">
        <v>129</v>
      </c>
      <c r="EDN18">
        <v>0</v>
      </c>
      <c r="EDO18">
        <v>0</v>
      </c>
      <c r="EDP18">
        <v>0</v>
      </c>
      <c r="EDQ18">
        <v>0</v>
      </c>
      <c r="EDR18">
        <v>65</v>
      </c>
      <c r="EDS18">
        <v>0</v>
      </c>
      <c r="EDT18">
        <v>0</v>
      </c>
      <c r="EDU18">
        <v>0</v>
      </c>
      <c r="EDV18">
        <v>234</v>
      </c>
      <c r="EDW18">
        <v>103</v>
      </c>
      <c r="EDX18">
        <v>8</v>
      </c>
      <c r="EDY18">
        <v>0</v>
      </c>
      <c r="EDZ18">
        <v>0</v>
      </c>
      <c r="EEA18">
        <v>63</v>
      </c>
      <c r="EEB18">
        <v>0</v>
      </c>
      <c r="EEC18">
        <v>0</v>
      </c>
      <c r="EED18">
        <v>0</v>
      </c>
      <c r="EEE18">
        <v>0</v>
      </c>
      <c r="EEF18">
        <v>0</v>
      </c>
      <c r="EEG18">
        <v>0</v>
      </c>
      <c r="EEH18">
        <v>0</v>
      </c>
      <c r="EEI18">
        <v>0</v>
      </c>
      <c r="EEJ18">
        <v>0</v>
      </c>
      <c r="EEK18">
        <v>258</v>
      </c>
      <c r="EEL18">
        <v>0</v>
      </c>
      <c r="EEM18">
        <v>0</v>
      </c>
      <c r="EEN18">
        <v>0</v>
      </c>
      <c r="EEO18">
        <v>0</v>
      </c>
      <c r="EEP18">
        <v>0</v>
      </c>
      <c r="EEQ18">
        <v>0</v>
      </c>
      <c r="EER18">
        <v>0</v>
      </c>
      <c r="EES18">
        <v>150</v>
      </c>
      <c r="EET18">
        <v>0</v>
      </c>
      <c r="EEU18">
        <v>0</v>
      </c>
      <c r="EEV18">
        <v>0</v>
      </c>
      <c r="EEW18">
        <v>0</v>
      </c>
      <c r="EEX18">
        <v>0</v>
      </c>
      <c r="EEY18">
        <v>0</v>
      </c>
      <c r="EEZ18">
        <v>0</v>
      </c>
      <c r="EFA18">
        <v>0</v>
      </c>
      <c r="EFB18">
        <v>0</v>
      </c>
      <c r="EFC18">
        <v>0</v>
      </c>
      <c r="EFD18">
        <v>262.99</v>
      </c>
      <c r="EFE18">
        <v>0</v>
      </c>
      <c r="EFF18">
        <v>0</v>
      </c>
      <c r="EFG18">
        <v>0</v>
      </c>
      <c r="EFH18">
        <v>0</v>
      </c>
      <c r="EFI18">
        <v>0</v>
      </c>
      <c r="EFJ18">
        <v>0</v>
      </c>
      <c r="EFK18">
        <v>0</v>
      </c>
      <c r="EFL18">
        <v>0</v>
      </c>
      <c r="EFM18">
        <v>0</v>
      </c>
      <c r="EFN18">
        <v>0</v>
      </c>
      <c r="EFO18">
        <v>0</v>
      </c>
      <c r="EFP18">
        <v>0</v>
      </c>
      <c r="EFQ18">
        <v>0</v>
      </c>
      <c r="EFR18">
        <v>0</v>
      </c>
      <c r="EFS18">
        <v>0</v>
      </c>
      <c r="EFT18">
        <v>0</v>
      </c>
      <c r="EFU18">
        <v>0</v>
      </c>
      <c r="EFV18">
        <v>0</v>
      </c>
      <c r="EFW18">
        <v>0</v>
      </c>
      <c r="EFX18">
        <v>0</v>
      </c>
      <c r="EFY18">
        <v>20</v>
      </c>
      <c r="EFZ18">
        <v>0</v>
      </c>
      <c r="EGA18">
        <v>0</v>
      </c>
      <c r="EGB18">
        <v>0</v>
      </c>
      <c r="EGC18">
        <v>0</v>
      </c>
      <c r="EGD18">
        <v>0</v>
      </c>
      <c r="EGE18">
        <v>258</v>
      </c>
      <c r="EGF18">
        <v>0</v>
      </c>
      <c r="EGG18">
        <v>0</v>
      </c>
      <c r="EGH18">
        <v>0</v>
      </c>
      <c r="EGI18">
        <v>43</v>
      </c>
      <c r="EGJ18">
        <v>0</v>
      </c>
      <c r="EGK18">
        <v>0</v>
      </c>
      <c r="EGL18">
        <v>0</v>
      </c>
      <c r="EGM18">
        <v>0</v>
      </c>
      <c r="EGN18">
        <v>141</v>
      </c>
      <c r="EGO18">
        <v>0</v>
      </c>
      <c r="EGP18">
        <v>0</v>
      </c>
      <c r="EGQ18">
        <v>0</v>
      </c>
      <c r="EGR18">
        <v>0</v>
      </c>
      <c r="EGS18">
        <v>0</v>
      </c>
      <c r="EGT18">
        <v>0</v>
      </c>
      <c r="EGU18">
        <v>0</v>
      </c>
      <c r="EGV18">
        <v>0</v>
      </c>
      <c r="EGW18">
        <v>0</v>
      </c>
      <c r="EGX18">
        <v>0</v>
      </c>
      <c r="EGY18">
        <v>0</v>
      </c>
      <c r="EGZ18">
        <v>0</v>
      </c>
      <c r="EHA18">
        <v>0</v>
      </c>
      <c r="EHB18">
        <v>0</v>
      </c>
      <c r="EHC18">
        <v>0</v>
      </c>
      <c r="EHD18">
        <v>0</v>
      </c>
      <c r="EHE18">
        <v>0</v>
      </c>
      <c r="EHF18">
        <v>284</v>
      </c>
      <c r="EHG18">
        <v>0</v>
      </c>
      <c r="EHH18">
        <v>0</v>
      </c>
      <c r="EHI18">
        <v>0</v>
      </c>
      <c r="EHJ18">
        <v>0</v>
      </c>
      <c r="EHK18">
        <v>0</v>
      </c>
      <c r="EHL18">
        <v>23</v>
      </c>
      <c r="EHM18">
        <v>0</v>
      </c>
      <c r="EHN18">
        <v>0</v>
      </c>
      <c r="EHO18">
        <v>0</v>
      </c>
      <c r="EHP18">
        <v>0</v>
      </c>
      <c r="EHQ18">
        <v>0</v>
      </c>
      <c r="EHR18">
        <v>0</v>
      </c>
      <c r="EHS18">
        <v>0</v>
      </c>
      <c r="EHT18">
        <v>0</v>
      </c>
      <c r="EHU18">
        <v>0</v>
      </c>
      <c r="EHV18">
        <v>0</v>
      </c>
      <c r="EHW18">
        <v>0</v>
      </c>
      <c r="EHX18">
        <v>0</v>
      </c>
      <c r="EHY18">
        <v>0</v>
      </c>
      <c r="EHZ18">
        <v>0</v>
      </c>
      <c r="EIA18">
        <v>0</v>
      </c>
      <c r="EIB18">
        <v>294</v>
      </c>
      <c r="EIC18">
        <v>0</v>
      </c>
      <c r="EID18">
        <v>0</v>
      </c>
      <c r="EIE18">
        <v>0</v>
      </c>
      <c r="EIF18">
        <v>0</v>
      </c>
      <c r="EIG18">
        <v>0</v>
      </c>
      <c r="EIH18">
        <v>0</v>
      </c>
      <c r="EII18">
        <v>0</v>
      </c>
      <c r="EIJ18">
        <v>0</v>
      </c>
      <c r="EIK18">
        <v>0</v>
      </c>
      <c r="EIL18">
        <v>298</v>
      </c>
      <c r="EIM18">
        <v>298</v>
      </c>
      <c r="EIN18">
        <v>0</v>
      </c>
      <c r="EIO18">
        <v>0</v>
      </c>
      <c r="EIP18">
        <v>0</v>
      </c>
      <c r="EIQ18">
        <v>0</v>
      </c>
      <c r="EIR18">
        <v>0</v>
      </c>
      <c r="EIS18">
        <v>0</v>
      </c>
      <c r="EIT18">
        <v>0</v>
      </c>
      <c r="EIU18">
        <v>0</v>
      </c>
      <c r="EIV18">
        <v>0</v>
      </c>
      <c r="EIW18">
        <v>0</v>
      </c>
      <c r="EIX18">
        <v>0</v>
      </c>
      <c r="EIY18">
        <v>0</v>
      </c>
      <c r="EIZ18">
        <v>0</v>
      </c>
      <c r="EJA18">
        <v>41</v>
      </c>
      <c r="EJB18">
        <v>14</v>
      </c>
      <c r="EJC18">
        <v>0</v>
      </c>
      <c r="EJD18">
        <v>0</v>
      </c>
      <c r="EJE18">
        <v>0</v>
      </c>
      <c r="EJF18">
        <v>0</v>
      </c>
      <c r="EJG18">
        <v>0</v>
      </c>
      <c r="EJH18">
        <v>0</v>
      </c>
      <c r="EJI18">
        <v>0</v>
      </c>
      <c r="EJJ18">
        <v>0</v>
      </c>
      <c r="EJK18">
        <v>0</v>
      </c>
      <c r="EJL18">
        <v>0</v>
      </c>
      <c r="EJM18">
        <v>0</v>
      </c>
      <c r="EJN18">
        <v>0</v>
      </c>
      <c r="EJO18">
        <v>0</v>
      </c>
      <c r="EJP18">
        <v>0</v>
      </c>
      <c r="EJQ18">
        <v>0</v>
      </c>
      <c r="EJR18">
        <v>0</v>
      </c>
      <c r="EJS18">
        <v>0</v>
      </c>
      <c r="EJT18">
        <v>0</v>
      </c>
      <c r="EJU18">
        <v>0</v>
      </c>
      <c r="EJV18">
        <v>0</v>
      </c>
      <c r="EJW18">
        <v>0</v>
      </c>
      <c r="EJX18">
        <v>0</v>
      </c>
      <c r="EJY18">
        <v>0</v>
      </c>
      <c r="EJZ18">
        <v>0</v>
      </c>
      <c r="EKA18">
        <v>0</v>
      </c>
      <c r="EKB18">
        <v>0</v>
      </c>
      <c r="EKC18">
        <v>0</v>
      </c>
      <c r="EKD18">
        <v>0</v>
      </c>
      <c r="EKE18">
        <v>0</v>
      </c>
      <c r="EKF18">
        <v>0</v>
      </c>
      <c r="EKG18">
        <v>0</v>
      </c>
      <c r="EKH18">
        <v>0</v>
      </c>
      <c r="EKI18">
        <v>0</v>
      </c>
      <c r="EKJ18">
        <v>0</v>
      </c>
      <c r="EKK18">
        <v>0</v>
      </c>
      <c r="EKL18">
        <v>0</v>
      </c>
      <c r="EKM18">
        <v>0</v>
      </c>
      <c r="EKN18">
        <v>0</v>
      </c>
      <c r="EKO18">
        <v>0</v>
      </c>
      <c r="EKP18">
        <v>0</v>
      </c>
      <c r="EKQ18">
        <v>0</v>
      </c>
      <c r="EKR18">
        <v>0</v>
      </c>
      <c r="EKS18">
        <v>0</v>
      </c>
      <c r="EKT18">
        <v>0</v>
      </c>
      <c r="EKU18">
        <v>0</v>
      </c>
      <c r="EKV18">
        <v>0</v>
      </c>
      <c r="EKW18">
        <v>238.99</v>
      </c>
      <c r="EKX18">
        <v>0</v>
      </c>
      <c r="EKY18">
        <v>0</v>
      </c>
      <c r="EKZ18">
        <v>0</v>
      </c>
      <c r="ELA18">
        <v>0</v>
      </c>
      <c r="ELB18">
        <v>0</v>
      </c>
      <c r="ELC18">
        <v>0</v>
      </c>
      <c r="ELD18">
        <v>0</v>
      </c>
      <c r="ELE18">
        <v>0</v>
      </c>
      <c r="ELF18">
        <v>0</v>
      </c>
      <c r="ELG18">
        <v>0</v>
      </c>
      <c r="ELH18">
        <v>0</v>
      </c>
      <c r="ELI18">
        <v>0</v>
      </c>
      <c r="ELJ18">
        <v>328.99</v>
      </c>
      <c r="ELK18">
        <v>0</v>
      </c>
      <c r="ELL18">
        <v>0</v>
      </c>
      <c r="ELM18">
        <v>0</v>
      </c>
      <c r="ELN18">
        <v>0</v>
      </c>
      <c r="ELO18">
        <v>0</v>
      </c>
      <c r="ELP18">
        <v>0</v>
      </c>
      <c r="ELQ18">
        <v>0</v>
      </c>
      <c r="ELR18">
        <v>0</v>
      </c>
      <c r="ELS18">
        <v>0</v>
      </c>
      <c r="ELT18">
        <v>0</v>
      </c>
      <c r="ELU18">
        <v>0</v>
      </c>
      <c r="ELV18">
        <v>0</v>
      </c>
      <c r="ELW18">
        <v>0</v>
      </c>
      <c r="ELX18">
        <v>0</v>
      </c>
      <c r="ELY18">
        <v>0</v>
      </c>
      <c r="ELZ18">
        <v>0</v>
      </c>
      <c r="EMA18">
        <v>0</v>
      </c>
      <c r="EMB18">
        <v>0</v>
      </c>
      <c r="EMC18">
        <v>0</v>
      </c>
      <c r="EMD18">
        <v>0</v>
      </c>
      <c r="EME18">
        <v>0</v>
      </c>
      <c r="EMF18">
        <v>0</v>
      </c>
      <c r="EMG18">
        <v>0</v>
      </c>
      <c r="EMH18">
        <v>0</v>
      </c>
      <c r="EMI18">
        <v>11</v>
      </c>
      <c r="EMJ18">
        <v>0</v>
      </c>
      <c r="EMK18">
        <v>0</v>
      </c>
      <c r="EML18">
        <v>0</v>
      </c>
      <c r="EMM18">
        <v>0</v>
      </c>
      <c r="EMN18">
        <v>0</v>
      </c>
      <c r="EMO18">
        <v>0</v>
      </c>
      <c r="EMP18">
        <v>343.99</v>
      </c>
      <c r="EMQ18">
        <v>0</v>
      </c>
      <c r="EMR18">
        <v>0</v>
      </c>
      <c r="EMS18">
        <v>0</v>
      </c>
      <c r="EMT18">
        <v>4</v>
      </c>
      <c r="EMU18">
        <v>0</v>
      </c>
      <c r="EMV18">
        <v>0</v>
      </c>
      <c r="EMW18">
        <v>0</v>
      </c>
      <c r="EMX18">
        <v>0</v>
      </c>
      <c r="EMY18">
        <v>0</v>
      </c>
      <c r="EMZ18">
        <v>0</v>
      </c>
      <c r="ENA18">
        <v>0</v>
      </c>
      <c r="ENB18">
        <v>0</v>
      </c>
      <c r="ENC18">
        <v>0</v>
      </c>
      <c r="END18">
        <v>0</v>
      </c>
      <c r="ENE18">
        <v>0</v>
      </c>
      <c r="ENF18">
        <v>0</v>
      </c>
      <c r="ENG18">
        <v>0</v>
      </c>
      <c r="ENH18">
        <v>0</v>
      </c>
      <c r="ENI18">
        <v>0</v>
      </c>
      <c r="ENJ18">
        <v>0</v>
      </c>
      <c r="ENK18">
        <v>0</v>
      </c>
      <c r="ENL18">
        <v>0</v>
      </c>
      <c r="ENM18">
        <v>0</v>
      </c>
      <c r="ENN18">
        <v>0</v>
      </c>
      <c r="ENO18">
        <v>0</v>
      </c>
      <c r="ENP18">
        <v>113</v>
      </c>
      <c r="ENQ18">
        <v>0</v>
      </c>
      <c r="ENR18">
        <v>0</v>
      </c>
      <c r="ENS18">
        <v>0</v>
      </c>
      <c r="ENT18">
        <v>360</v>
      </c>
      <c r="ENU18">
        <v>0</v>
      </c>
      <c r="ENV18">
        <v>0</v>
      </c>
      <c r="ENW18">
        <v>0</v>
      </c>
      <c r="ENX18">
        <v>0</v>
      </c>
      <c r="ENY18">
        <v>9</v>
      </c>
      <c r="ENZ18">
        <v>0</v>
      </c>
      <c r="EOA18">
        <v>0</v>
      </c>
      <c r="EOB18">
        <v>0</v>
      </c>
      <c r="EOC18">
        <v>0</v>
      </c>
      <c r="EOD18">
        <v>0</v>
      </c>
      <c r="EOE18">
        <v>0</v>
      </c>
      <c r="EOF18">
        <v>0</v>
      </c>
      <c r="EOG18">
        <v>0</v>
      </c>
      <c r="EOH18">
        <v>0</v>
      </c>
      <c r="EOI18">
        <v>0</v>
      </c>
      <c r="EOJ18">
        <v>0</v>
      </c>
      <c r="EOK18">
        <v>0</v>
      </c>
      <c r="EOL18">
        <v>0</v>
      </c>
      <c r="EOM18">
        <v>0</v>
      </c>
      <c r="EON18">
        <v>0</v>
      </c>
      <c r="EOO18">
        <v>0</v>
      </c>
      <c r="EOP18">
        <v>0</v>
      </c>
      <c r="EOQ18">
        <v>0</v>
      </c>
      <c r="EOR18">
        <v>0</v>
      </c>
      <c r="EOS18">
        <v>0</v>
      </c>
      <c r="EOT18">
        <v>0</v>
      </c>
      <c r="EOU18">
        <v>0</v>
      </c>
      <c r="EOV18">
        <v>0</v>
      </c>
      <c r="EOW18">
        <v>0</v>
      </c>
      <c r="EOX18">
        <v>0</v>
      </c>
      <c r="EOY18">
        <v>166</v>
      </c>
      <c r="EOZ18">
        <v>0</v>
      </c>
      <c r="EPA18">
        <v>0</v>
      </c>
      <c r="EPB18">
        <v>0</v>
      </c>
      <c r="EPC18">
        <v>0</v>
      </c>
      <c r="EPD18">
        <v>0</v>
      </c>
      <c r="EPE18">
        <v>0</v>
      </c>
      <c r="EPF18">
        <v>0</v>
      </c>
      <c r="EPG18">
        <v>0</v>
      </c>
      <c r="EPH18">
        <v>198</v>
      </c>
      <c r="EPI18">
        <v>58</v>
      </c>
      <c r="EPJ18">
        <v>0</v>
      </c>
      <c r="EPK18">
        <v>0</v>
      </c>
      <c r="EPL18">
        <v>0</v>
      </c>
      <c r="EPM18">
        <v>0</v>
      </c>
      <c r="EPN18">
        <v>0</v>
      </c>
      <c r="EPO18">
        <v>0</v>
      </c>
      <c r="EPP18">
        <v>0</v>
      </c>
      <c r="EPQ18">
        <v>0</v>
      </c>
      <c r="EPR18">
        <v>0</v>
      </c>
      <c r="EPS18">
        <v>0</v>
      </c>
      <c r="EPT18">
        <v>0</v>
      </c>
      <c r="EPU18">
        <v>0</v>
      </c>
      <c r="EPV18">
        <v>0</v>
      </c>
      <c r="EPW18">
        <v>0</v>
      </c>
      <c r="EPX18">
        <v>0</v>
      </c>
      <c r="EPY18">
        <v>0</v>
      </c>
      <c r="EPZ18">
        <v>0</v>
      </c>
      <c r="EQA18">
        <v>199.99</v>
      </c>
      <c r="EQB18">
        <v>0</v>
      </c>
      <c r="EQC18">
        <v>0</v>
      </c>
      <c r="EQD18">
        <v>0</v>
      </c>
      <c r="EQE18">
        <v>0</v>
      </c>
      <c r="EQF18">
        <v>0</v>
      </c>
      <c r="EQG18">
        <v>0</v>
      </c>
      <c r="EQH18">
        <v>0</v>
      </c>
      <c r="EQI18">
        <v>0</v>
      </c>
      <c r="EQJ18">
        <v>0</v>
      </c>
      <c r="EQK18">
        <v>8</v>
      </c>
      <c r="EQL18">
        <v>0</v>
      </c>
      <c r="EQM18">
        <v>0</v>
      </c>
      <c r="EQN18">
        <v>0</v>
      </c>
      <c r="EQO18">
        <v>0</v>
      </c>
      <c r="EQP18">
        <v>52</v>
      </c>
      <c r="EQQ18">
        <v>0</v>
      </c>
      <c r="EQR18">
        <v>0</v>
      </c>
      <c r="EQS18">
        <v>0</v>
      </c>
      <c r="EQT18">
        <v>0</v>
      </c>
      <c r="EQU18">
        <v>345</v>
      </c>
      <c r="EQV18">
        <v>0</v>
      </c>
      <c r="EQW18">
        <v>0</v>
      </c>
      <c r="EQX18">
        <v>0</v>
      </c>
      <c r="EQY18">
        <v>0</v>
      </c>
      <c r="EQZ18">
        <v>0</v>
      </c>
      <c r="ERA18">
        <v>0</v>
      </c>
      <c r="ERB18">
        <v>29</v>
      </c>
      <c r="ERC18">
        <v>0</v>
      </c>
      <c r="ERD18">
        <v>0</v>
      </c>
      <c r="ERE18">
        <v>0</v>
      </c>
      <c r="ERF18">
        <v>0</v>
      </c>
      <c r="ERG18">
        <v>0</v>
      </c>
      <c r="ERH18">
        <v>0</v>
      </c>
      <c r="ERI18">
        <v>0</v>
      </c>
      <c r="ERJ18">
        <v>0</v>
      </c>
      <c r="ERK18">
        <v>0</v>
      </c>
      <c r="ERL18">
        <v>0</v>
      </c>
      <c r="ERM18">
        <v>0</v>
      </c>
      <c r="ERN18">
        <v>0</v>
      </c>
      <c r="ERO18">
        <v>0</v>
      </c>
      <c r="ERP18">
        <v>0</v>
      </c>
      <c r="ERQ18">
        <v>0</v>
      </c>
      <c r="ERR18">
        <v>0</v>
      </c>
      <c r="ERS18">
        <v>0</v>
      </c>
      <c r="ERT18">
        <v>0</v>
      </c>
      <c r="ERU18">
        <v>0</v>
      </c>
      <c r="ERV18">
        <v>349</v>
      </c>
      <c r="ERW18">
        <v>0</v>
      </c>
      <c r="ERX18">
        <v>0</v>
      </c>
      <c r="ERY18">
        <v>0</v>
      </c>
      <c r="ERZ18">
        <v>0</v>
      </c>
      <c r="ESA18">
        <v>57</v>
      </c>
      <c r="ESB18">
        <v>0</v>
      </c>
      <c r="ESC18">
        <v>0</v>
      </c>
      <c r="ESD18">
        <v>0</v>
      </c>
      <c r="ESE18">
        <v>0</v>
      </c>
      <c r="ESF18">
        <v>0</v>
      </c>
      <c r="ESG18">
        <v>0</v>
      </c>
      <c r="ESH18">
        <v>0</v>
      </c>
      <c r="ESI18">
        <v>0</v>
      </c>
      <c r="ESJ18">
        <v>0</v>
      </c>
      <c r="ESK18">
        <v>0</v>
      </c>
      <c r="ESL18">
        <v>0</v>
      </c>
      <c r="ESM18">
        <v>0</v>
      </c>
      <c r="ESN18">
        <v>0</v>
      </c>
      <c r="ESO18">
        <v>0</v>
      </c>
      <c r="ESP18">
        <v>18</v>
      </c>
      <c r="ESQ18">
        <v>0</v>
      </c>
      <c r="ESR18">
        <v>367</v>
      </c>
      <c r="ESS18">
        <v>0</v>
      </c>
      <c r="EST18">
        <v>326.99</v>
      </c>
      <c r="ESU18">
        <v>0</v>
      </c>
      <c r="ESV18">
        <v>0</v>
      </c>
      <c r="ESW18">
        <v>0</v>
      </c>
      <c r="ESX18">
        <v>0</v>
      </c>
      <c r="ESY18">
        <v>0</v>
      </c>
      <c r="ESZ18">
        <v>84</v>
      </c>
      <c r="ETA18">
        <v>0</v>
      </c>
      <c r="ETB18">
        <v>55</v>
      </c>
      <c r="ETC18">
        <v>0</v>
      </c>
      <c r="ETD18">
        <v>0</v>
      </c>
      <c r="ETE18">
        <v>0</v>
      </c>
      <c r="ETF18">
        <v>0</v>
      </c>
      <c r="ETG18">
        <v>196</v>
      </c>
      <c r="ETH18">
        <v>0</v>
      </c>
      <c r="ETI18">
        <v>433.99</v>
      </c>
      <c r="ETJ18">
        <v>0</v>
      </c>
      <c r="ETK18">
        <v>0</v>
      </c>
      <c r="ETL18">
        <v>0</v>
      </c>
      <c r="ETM18">
        <v>0</v>
      </c>
      <c r="ETN18">
        <v>0</v>
      </c>
      <c r="ETO18">
        <v>75</v>
      </c>
      <c r="ETP18">
        <v>0</v>
      </c>
      <c r="ETQ18">
        <v>0</v>
      </c>
      <c r="ETR18">
        <v>0</v>
      </c>
      <c r="ETS18">
        <v>0</v>
      </c>
      <c r="ETT18">
        <v>0</v>
      </c>
      <c r="ETU18">
        <v>0</v>
      </c>
      <c r="ETV18">
        <v>0</v>
      </c>
      <c r="ETW18">
        <v>0</v>
      </c>
      <c r="ETX18">
        <v>0</v>
      </c>
      <c r="ETY18">
        <v>0</v>
      </c>
      <c r="ETZ18">
        <v>0</v>
      </c>
      <c r="EUA18">
        <v>0</v>
      </c>
      <c r="EUB18">
        <v>0</v>
      </c>
      <c r="EUC18">
        <v>0</v>
      </c>
      <c r="EUD18">
        <v>0</v>
      </c>
      <c r="EUE18">
        <v>0</v>
      </c>
      <c r="EUF18">
        <v>0</v>
      </c>
      <c r="EUG18">
        <v>0</v>
      </c>
      <c r="EUH18">
        <v>0</v>
      </c>
      <c r="EUI18">
        <v>0</v>
      </c>
      <c r="EUJ18">
        <v>0</v>
      </c>
      <c r="EUK18">
        <v>0</v>
      </c>
      <c r="EUL18">
        <v>0</v>
      </c>
      <c r="EUM18">
        <v>0</v>
      </c>
      <c r="EUN18">
        <v>0</v>
      </c>
      <c r="EUO18">
        <v>0</v>
      </c>
      <c r="EUP18">
        <v>0</v>
      </c>
      <c r="EUQ18">
        <v>0</v>
      </c>
      <c r="EUR18">
        <v>0</v>
      </c>
      <c r="EUS18">
        <v>0</v>
      </c>
      <c r="EUT18">
        <v>0</v>
      </c>
      <c r="EUU18">
        <v>0</v>
      </c>
      <c r="EUV18">
        <v>0</v>
      </c>
      <c r="EUW18">
        <v>0</v>
      </c>
      <c r="EUX18">
        <v>25</v>
      </c>
      <c r="EUY18">
        <v>0</v>
      </c>
      <c r="EUZ18">
        <v>0</v>
      </c>
      <c r="EVA18">
        <v>0</v>
      </c>
      <c r="EVB18">
        <v>67</v>
      </c>
      <c r="EVC18">
        <v>0</v>
      </c>
      <c r="EVD18">
        <v>0</v>
      </c>
      <c r="EVE18">
        <v>0</v>
      </c>
      <c r="EVF18">
        <v>0</v>
      </c>
      <c r="EVG18">
        <v>0</v>
      </c>
      <c r="EVH18">
        <v>0</v>
      </c>
      <c r="EVI18">
        <v>0</v>
      </c>
      <c r="EVJ18">
        <v>0</v>
      </c>
      <c r="EVK18">
        <v>0</v>
      </c>
      <c r="EVL18">
        <v>0</v>
      </c>
      <c r="EVM18">
        <v>0</v>
      </c>
      <c r="EVN18">
        <v>0</v>
      </c>
      <c r="EVO18">
        <v>0</v>
      </c>
      <c r="EVP18">
        <v>0</v>
      </c>
      <c r="EVQ18">
        <v>0</v>
      </c>
      <c r="EVR18">
        <v>21</v>
      </c>
      <c r="EVS18">
        <v>0</v>
      </c>
      <c r="EVT18">
        <v>0</v>
      </c>
      <c r="EVU18">
        <v>0</v>
      </c>
      <c r="EVV18">
        <v>0</v>
      </c>
      <c r="EVW18">
        <v>0</v>
      </c>
      <c r="EVX18">
        <v>0</v>
      </c>
      <c r="EVY18">
        <v>53</v>
      </c>
      <c r="EVZ18">
        <v>0</v>
      </c>
      <c r="EWA18">
        <v>0</v>
      </c>
      <c r="EWB18">
        <v>0</v>
      </c>
      <c r="EWC18">
        <v>0</v>
      </c>
      <c r="EWD18">
        <v>0</v>
      </c>
      <c r="EWE18">
        <v>48</v>
      </c>
      <c r="EWF18">
        <v>0</v>
      </c>
      <c r="EWG18">
        <v>0</v>
      </c>
      <c r="EWH18">
        <v>0</v>
      </c>
      <c r="EWI18">
        <v>0</v>
      </c>
      <c r="EWJ18">
        <v>0</v>
      </c>
      <c r="EWK18">
        <v>0</v>
      </c>
      <c r="EWL18">
        <v>0</v>
      </c>
      <c r="EWM18">
        <v>0</v>
      </c>
      <c r="EWN18">
        <v>0</v>
      </c>
      <c r="EWO18">
        <v>0</v>
      </c>
      <c r="EWP18">
        <v>0</v>
      </c>
      <c r="EWQ18">
        <v>0</v>
      </c>
      <c r="EWR18">
        <v>0</v>
      </c>
      <c r="EWS18">
        <v>0</v>
      </c>
      <c r="EWT18">
        <v>0</v>
      </c>
      <c r="EWU18">
        <v>0</v>
      </c>
      <c r="EWV18">
        <v>0</v>
      </c>
      <c r="EWW18">
        <v>0</v>
      </c>
      <c r="EWX18">
        <v>0</v>
      </c>
      <c r="EWY18">
        <v>0</v>
      </c>
      <c r="EWZ18">
        <v>0</v>
      </c>
      <c r="EXA18">
        <v>0</v>
      </c>
      <c r="EXB18">
        <v>0</v>
      </c>
      <c r="EXC18">
        <v>0</v>
      </c>
      <c r="EXD18">
        <v>0</v>
      </c>
      <c r="EXE18">
        <v>434.99</v>
      </c>
      <c r="EXF18">
        <v>0</v>
      </c>
      <c r="EXG18">
        <v>0</v>
      </c>
      <c r="EXH18">
        <v>40</v>
      </c>
      <c r="EXI18">
        <v>0</v>
      </c>
      <c r="EXJ18">
        <v>0</v>
      </c>
      <c r="EXK18">
        <v>0</v>
      </c>
      <c r="EXL18">
        <v>0</v>
      </c>
      <c r="EXM18">
        <v>0</v>
      </c>
      <c r="EXN18">
        <v>0</v>
      </c>
      <c r="EXO18">
        <v>0</v>
      </c>
      <c r="EXP18">
        <v>0</v>
      </c>
      <c r="EXQ18">
        <v>0</v>
      </c>
      <c r="EXR18">
        <v>0</v>
      </c>
      <c r="EXS18">
        <v>0</v>
      </c>
      <c r="EXT18">
        <v>0</v>
      </c>
      <c r="EXU18">
        <v>0</v>
      </c>
      <c r="EXV18">
        <v>513.99</v>
      </c>
      <c r="EXW18">
        <v>0</v>
      </c>
      <c r="EXX18">
        <v>0</v>
      </c>
      <c r="EXY18">
        <v>0</v>
      </c>
      <c r="EXZ18">
        <v>0</v>
      </c>
      <c r="EYA18">
        <v>0</v>
      </c>
      <c r="EYB18">
        <v>0</v>
      </c>
      <c r="EYC18">
        <v>0</v>
      </c>
      <c r="EYD18">
        <v>0</v>
      </c>
      <c r="EYE18">
        <v>0</v>
      </c>
      <c r="EYF18">
        <v>0</v>
      </c>
      <c r="EYG18">
        <v>0</v>
      </c>
      <c r="EYH18">
        <v>0</v>
      </c>
      <c r="EYI18">
        <v>0</v>
      </c>
      <c r="EYJ18">
        <v>0</v>
      </c>
      <c r="EYK18">
        <v>0</v>
      </c>
      <c r="EYL18">
        <v>0</v>
      </c>
      <c r="EYM18">
        <v>37</v>
      </c>
      <c r="EYN18">
        <v>0</v>
      </c>
      <c r="EYO18">
        <v>0</v>
      </c>
      <c r="EYP18">
        <v>19</v>
      </c>
      <c r="EYQ18">
        <v>0</v>
      </c>
      <c r="EYR18">
        <v>0</v>
      </c>
      <c r="EYS18">
        <v>0</v>
      </c>
      <c r="EYT18">
        <v>0</v>
      </c>
      <c r="EYU18">
        <v>0</v>
      </c>
      <c r="EYV18">
        <v>0</v>
      </c>
      <c r="EYW18">
        <v>0</v>
      </c>
      <c r="EYX18">
        <v>0</v>
      </c>
      <c r="EYY18">
        <v>0</v>
      </c>
      <c r="EYZ18">
        <v>0</v>
      </c>
      <c r="EZA18">
        <v>0</v>
      </c>
      <c r="EZB18">
        <v>0</v>
      </c>
      <c r="EZC18">
        <v>0</v>
      </c>
      <c r="EZD18">
        <v>0</v>
      </c>
      <c r="EZE18">
        <v>0</v>
      </c>
      <c r="EZF18">
        <v>0</v>
      </c>
      <c r="EZG18">
        <v>0</v>
      </c>
      <c r="EZH18">
        <v>0</v>
      </c>
      <c r="EZI18">
        <v>0</v>
      </c>
      <c r="EZJ18">
        <v>0</v>
      </c>
      <c r="EZK18">
        <v>0</v>
      </c>
      <c r="EZL18">
        <v>0</v>
      </c>
      <c r="EZM18">
        <v>0</v>
      </c>
      <c r="EZN18">
        <v>0</v>
      </c>
      <c r="EZO18">
        <v>0</v>
      </c>
      <c r="EZP18">
        <v>0</v>
      </c>
      <c r="EZQ18">
        <v>0</v>
      </c>
      <c r="EZR18">
        <v>0</v>
      </c>
      <c r="EZS18">
        <v>0</v>
      </c>
      <c r="EZT18">
        <v>0</v>
      </c>
      <c r="EZU18">
        <v>0</v>
      </c>
      <c r="EZV18">
        <v>0</v>
      </c>
      <c r="EZW18">
        <v>0</v>
      </c>
      <c r="EZX18">
        <v>0</v>
      </c>
      <c r="EZY18">
        <v>0</v>
      </c>
      <c r="EZZ18">
        <v>0</v>
      </c>
      <c r="FAA18">
        <v>0</v>
      </c>
      <c r="FAB18">
        <v>0</v>
      </c>
      <c r="FAC18">
        <v>0</v>
      </c>
      <c r="FAD18">
        <v>0</v>
      </c>
      <c r="FAE18">
        <v>0</v>
      </c>
      <c r="FAF18">
        <v>0</v>
      </c>
      <c r="FAG18">
        <v>0</v>
      </c>
      <c r="FAH18">
        <v>0</v>
      </c>
      <c r="FAI18">
        <v>0</v>
      </c>
      <c r="FAJ18">
        <v>0</v>
      </c>
      <c r="FAK18">
        <v>0</v>
      </c>
      <c r="FAL18">
        <v>0</v>
      </c>
      <c r="FAM18">
        <v>0</v>
      </c>
      <c r="FAN18">
        <v>0</v>
      </c>
      <c r="FAO18">
        <v>0</v>
      </c>
      <c r="FAP18">
        <v>0</v>
      </c>
      <c r="FAQ18">
        <v>0</v>
      </c>
      <c r="FAR18">
        <v>0</v>
      </c>
      <c r="FAS18">
        <v>0</v>
      </c>
      <c r="FAT18">
        <v>0</v>
      </c>
      <c r="FAU18">
        <v>0</v>
      </c>
      <c r="FAV18">
        <v>0</v>
      </c>
      <c r="FAW18">
        <v>0</v>
      </c>
      <c r="FAX18">
        <v>2</v>
      </c>
      <c r="FAY18">
        <v>0</v>
      </c>
      <c r="FAZ18">
        <v>0</v>
      </c>
      <c r="FBA18">
        <v>0</v>
      </c>
      <c r="FBB18">
        <v>0</v>
      </c>
      <c r="FBC18">
        <v>0</v>
      </c>
      <c r="FBD18">
        <v>0</v>
      </c>
      <c r="FBE18">
        <v>0</v>
      </c>
      <c r="FBF18">
        <v>0</v>
      </c>
      <c r="FBG18">
        <v>0</v>
      </c>
      <c r="FBH18">
        <v>0</v>
      </c>
      <c r="FBI18">
        <v>0</v>
      </c>
      <c r="FBJ18">
        <v>0</v>
      </c>
      <c r="FBK18">
        <v>0</v>
      </c>
      <c r="FBL18">
        <v>0</v>
      </c>
      <c r="FBM18">
        <v>0</v>
      </c>
      <c r="FBN18">
        <v>0</v>
      </c>
      <c r="FBO18">
        <v>0</v>
      </c>
      <c r="FBP18">
        <v>0</v>
      </c>
      <c r="FBQ18">
        <v>0</v>
      </c>
      <c r="FBR18">
        <v>0</v>
      </c>
      <c r="FBS18">
        <v>0</v>
      </c>
      <c r="FBT18">
        <v>0</v>
      </c>
      <c r="FBU18">
        <v>0</v>
      </c>
      <c r="FBV18">
        <v>0</v>
      </c>
      <c r="FBW18">
        <v>604</v>
      </c>
      <c r="FBX18">
        <v>0</v>
      </c>
      <c r="FBY18">
        <v>61</v>
      </c>
      <c r="FBZ18">
        <v>0</v>
      </c>
      <c r="FCA18">
        <v>0</v>
      </c>
      <c r="FCB18">
        <v>0</v>
      </c>
      <c r="FCC18">
        <v>0</v>
      </c>
      <c r="FCD18">
        <v>0</v>
      </c>
      <c r="FCE18">
        <v>0</v>
      </c>
      <c r="FCF18">
        <v>0</v>
      </c>
      <c r="FCG18">
        <v>0</v>
      </c>
      <c r="FCH18">
        <v>0</v>
      </c>
      <c r="FCI18">
        <v>0</v>
      </c>
      <c r="FCJ18">
        <v>0</v>
      </c>
      <c r="FCK18">
        <v>0</v>
      </c>
      <c r="FCL18">
        <v>0</v>
      </c>
      <c r="FCM18">
        <v>0</v>
      </c>
      <c r="FCN18">
        <v>0</v>
      </c>
      <c r="FCO18">
        <v>0</v>
      </c>
      <c r="FCP18">
        <v>0</v>
      </c>
      <c r="FCQ18">
        <v>243</v>
      </c>
      <c r="FCR18">
        <v>0</v>
      </c>
      <c r="FCS18">
        <v>0</v>
      </c>
      <c r="FCT18">
        <v>629.98</v>
      </c>
      <c r="FCU18">
        <v>0</v>
      </c>
      <c r="FCV18">
        <v>0</v>
      </c>
      <c r="FCW18">
        <v>0</v>
      </c>
      <c r="FCX18">
        <v>0</v>
      </c>
      <c r="FCY18">
        <v>0</v>
      </c>
      <c r="FCZ18">
        <v>0</v>
      </c>
      <c r="FDA18">
        <v>0</v>
      </c>
      <c r="FDB18">
        <v>0</v>
      </c>
      <c r="FDC18">
        <v>0</v>
      </c>
      <c r="FDD18">
        <v>19</v>
      </c>
      <c r="FDE18">
        <v>0</v>
      </c>
      <c r="FDF18">
        <v>173</v>
      </c>
      <c r="FDG18">
        <v>0</v>
      </c>
      <c r="FDH18">
        <v>0</v>
      </c>
      <c r="FDI18">
        <v>0</v>
      </c>
      <c r="FDJ18">
        <v>0</v>
      </c>
      <c r="FDK18">
        <v>0</v>
      </c>
      <c r="FDL18">
        <v>0</v>
      </c>
      <c r="FDM18">
        <v>0</v>
      </c>
      <c r="FDN18">
        <v>0</v>
      </c>
      <c r="FDO18">
        <v>0</v>
      </c>
      <c r="FDP18">
        <v>0</v>
      </c>
      <c r="FDQ18">
        <v>0</v>
      </c>
      <c r="FDR18">
        <v>0</v>
      </c>
      <c r="FDS18">
        <v>0</v>
      </c>
      <c r="FDT18">
        <v>0</v>
      </c>
      <c r="FDU18">
        <v>0</v>
      </c>
      <c r="FDV18">
        <v>0</v>
      </c>
      <c r="FDW18">
        <v>0</v>
      </c>
      <c r="FDX18">
        <v>383</v>
      </c>
      <c r="FDY18">
        <v>0</v>
      </c>
      <c r="FDZ18">
        <v>0</v>
      </c>
      <c r="FEA18">
        <v>0</v>
      </c>
      <c r="FEB18">
        <v>0</v>
      </c>
      <c r="FEC18">
        <v>0</v>
      </c>
      <c r="FED18">
        <v>0</v>
      </c>
      <c r="FEE18">
        <v>0</v>
      </c>
      <c r="FEF18">
        <v>0</v>
      </c>
      <c r="FEG18">
        <v>0</v>
      </c>
      <c r="FEH18">
        <v>0</v>
      </c>
      <c r="FEI18">
        <v>0</v>
      </c>
      <c r="FEJ18">
        <v>0</v>
      </c>
      <c r="FEK18">
        <v>0</v>
      </c>
      <c r="FEL18">
        <v>0</v>
      </c>
      <c r="FEM18">
        <v>84</v>
      </c>
      <c r="FEN18">
        <v>0</v>
      </c>
      <c r="FEO18">
        <v>0</v>
      </c>
      <c r="FEP18">
        <v>0</v>
      </c>
      <c r="FEQ18">
        <v>537.99</v>
      </c>
      <c r="FER18">
        <v>0</v>
      </c>
      <c r="FES18">
        <v>0</v>
      </c>
      <c r="FET18">
        <v>0</v>
      </c>
      <c r="FEU18">
        <v>0</v>
      </c>
      <c r="FEV18">
        <v>0</v>
      </c>
      <c r="FEW18">
        <v>0</v>
      </c>
      <c r="FEX18">
        <v>0</v>
      </c>
      <c r="FEY18">
        <v>0</v>
      </c>
      <c r="FEZ18">
        <v>0</v>
      </c>
      <c r="FFA18">
        <v>0</v>
      </c>
      <c r="FFB18">
        <v>0</v>
      </c>
      <c r="FFC18">
        <v>0</v>
      </c>
      <c r="FFD18">
        <v>0</v>
      </c>
      <c r="FFE18">
        <v>0</v>
      </c>
      <c r="FFF18">
        <v>709</v>
      </c>
      <c r="FFG18">
        <v>0</v>
      </c>
      <c r="FFH18">
        <v>0</v>
      </c>
      <c r="FFI18">
        <v>0</v>
      </c>
      <c r="FFJ18">
        <v>0</v>
      </c>
      <c r="FFK18">
        <v>0</v>
      </c>
      <c r="FFL18">
        <v>0</v>
      </c>
      <c r="FFM18">
        <v>0</v>
      </c>
      <c r="FFN18">
        <v>0</v>
      </c>
      <c r="FFO18">
        <v>0</v>
      </c>
      <c r="FFP18">
        <v>0</v>
      </c>
      <c r="FFQ18">
        <v>0</v>
      </c>
      <c r="FFR18">
        <v>0</v>
      </c>
      <c r="FFS18">
        <v>100</v>
      </c>
      <c r="FFT18">
        <v>55</v>
      </c>
      <c r="FFU18">
        <v>0</v>
      </c>
      <c r="FFV18">
        <v>0</v>
      </c>
      <c r="FFW18">
        <v>0</v>
      </c>
      <c r="FFX18">
        <v>0</v>
      </c>
      <c r="FFY18">
        <v>0</v>
      </c>
      <c r="FFZ18">
        <v>0</v>
      </c>
      <c r="FGA18">
        <v>0</v>
      </c>
      <c r="FGB18">
        <v>0</v>
      </c>
      <c r="FGC18">
        <v>0</v>
      </c>
      <c r="FGD18">
        <v>0</v>
      </c>
      <c r="FGE18">
        <v>0</v>
      </c>
      <c r="FGF18">
        <v>0</v>
      </c>
      <c r="FGG18">
        <v>0</v>
      </c>
      <c r="FGH18">
        <v>0</v>
      </c>
      <c r="FGI18">
        <v>0</v>
      </c>
      <c r="FGJ18">
        <v>0</v>
      </c>
      <c r="FGK18">
        <v>106.99</v>
      </c>
      <c r="FGL18">
        <v>0</v>
      </c>
      <c r="FGM18">
        <v>0</v>
      </c>
      <c r="FGN18">
        <v>0</v>
      </c>
      <c r="FGO18">
        <v>0</v>
      </c>
      <c r="FGP18">
        <v>0</v>
      </c>
      <c r="FGQ18">
        <v>0</v>
      </c>
      <c r="FGR18">
        <v>172</v>
      </c>
      <c r="FGS18">
        <v>0</v>
      </c>
      <c r="FGT18">
        <v>35</v>
      </c>
      <c r="FGU18">
        <v>0</v>
      </c>
      <c r="FGV18">
        <v>0</v>
      </c>
      <c r="FGW18">
        <v>0</v>
      </c>
      <c r="FGX18">
        <v>0</v>
      </c>
      <c r="FGY18">
        <v>0</v>
      </c>
      <c r="FGZ18">
        <v>0</v>
      </c>
      <c r="FHA18">
        <v>0</v>
      </c>
      <c r="FHB18">
        <v>0</v>
      </c>
      <c r="FHC18">
        <v>0</v>
      </c>
      <c r="FHD18">
        <v>0</v>
      </c>
      <c r="FHE18">
        <v>0</v>
      </c>
      <c r="FHF18">
        <v>0</v>
      </c>
      <c r="FHG18">
        <v>0</v>
      </c>
      <c r="FHH18">
        <v>0</v>
      </c>
      <c r="FHI18">
        <v>0</v>
      </c>
      <c r="FHJ18">
        <v>0</v>
      </c>
      <c r="FHK18">
        <v>0</v>
      </c>
      <c r="FHL18">
        <v>0</v>
      </c>
      <c r="FHM18">
        <v>772.99</v>
      </c>
      <c r="FHN18">
        <v>0</v>
      </c>
      <c r="FHO18">
        <v>34</v>
      </c>
      <c r="FHP18">
        <v>0</v>
      </c>
      <c r="FHQ18">
        <v>0</v>
      </c>
      <c r="FHR18">
        <v>0</v>
      </c>
      <c r="FHS18">
        <v>0</v>
      </c>
      <c r="FHT18">
        <v>0</v>
      </c>
      <c r="FHU18">
        <v>0</v>
      </c>
      <c r="FHV18">
        <v>293.99</v>
      </c>
      <c r="FHW18">
        <v>0</v>
      </c>
      <c r="FHX18">
        <v>0</v>
      </c>
      <c r="FHY18">
        <v>0</v>
      </c>
      <c r="FHZ18">
        <v>0</v>
      </c>
      <c r="FIA18">
        <v>0</v>
      </c>
      <c r="FIB18">
        <v>0</v>
      </c>
      <c r="FIC18">
        <v>0</v>
      </c>
      <c r="FID18">
        <v>0</v>
      </c>
      <c r="FIE18">
        <v>0</v>
      </c>
      <c r="FIF18">
        <v>535.98</v>
      </c>
      <c r="FIG18">
        <v>0</v>
      </c>
      <c r="FIH18">
        <v>0</v>
      </c>
      <c r="FII18">
        <v>0</v>
      </c>
      <c r="FIJ18">
        <v>0</v>
      </c>
      <c r="FIK18">
        <v>0</v>
      </c>
      <c r="FIL18">
        <v>0</v>
      </c>
      <c r="FIM18">
        <v>0</v>
      </c>
      <c r="FIN18">
        <v>0</v>
      </c>
      <c r="FIO18">
        <v>292.99</v>
      </c>
      <c r="FIP18">
        <v>313.99</v>
      </c>
      <c r="FIQ18">
        <v>0</v>
      </c>
      <c r="FIR18">
        <v>0</v>
      </c>
      <c r="FIS18">
        <v>0</v>
      </c>
      <c r="FIT18">
        <v>279</v>
      </c>
      <c r="FIU18">
        <v>0</v>
      </c>
      <c r="FIV18">
        <v>0</v>
      </c>
      <c r="FIW18">
        <v>0</v>
      </c>
      <c r="FIX18">
        <v>0</v>
      </c>
      <c r="FIY18">
        <v>0</v>
      </c>
      <c r="FIZ18">
        <v>0</v>
      </c>
      <c r="FJA18">
        <v>0</v>
      </c>
      <c r="FJB18">
        <v>299</v>
      </c>
      <c r="FJC18">
        <v>0</v>
      </c>
      <c r="FJD18">
        <v>161</v>
      </c>
      <c r="FJE18">
        <v>0</v>
      </c>
      <c r="FJF18">
        <v>0</v>
      </c>
      <c r="FJG18">
        <v>0</v>
      </c>
      <c r="FJH18">
        <v>0</v>
      </c>
      <c r="FJI18">
        <v>476.99</v>
      </c>
      <c r="FJJ18">
        <v>0</v>
      </c>
      <c r="FJK18">
        <v>0</v>
      </c>
      <c r="FJL18">
        <v>0</v>
      </c>
      <c r="FJM18">
        <v>0</v>
      </c>
      <c r="FJN18">
        <v>0</v>
      </c>
      <c r="FJO18">
        <v>0</v>
      </c>
      <c r="FJP18">
        <v>55</v>
      </c>
      <c r="FJQ18">
        <v>0</v>
      </c>
      <c r="FJR18">
        <v>0</v>
      </c>
      <c r="FJS18">
        <v>0</v>
      </c>
      <c r="FJT18">
        <v>0</v>
      </c>
      <c r="FJU18">
        <v>0</v>
      </c>
      <c r="FJV18">
        <v>318</v>
      </c>
      <c r="FJW18">
        <v>0</v>
      </c>
      <c r="FJX18">
        <v>0</v>
      </c>
      <c r="FJY18">
        <v>0</v>
      </c>
      <c r="FJZ18">
        <v>0</v>
      </c>
      <c r="FKA18">
        <v>0</v>
      </c>
      <c r="FKB18">
        <v>0</v>
      </c>
      <c r="FKC18">
        <v>0</v>
      </c>
      <c r="FKD18">
        <v>0</v>
      </c>
      <c r="FKE18">
        <v>5</v>
      </c>
      <c r="FKF18">
        <v>0</v>
      </c>
      <c r="FKG18">
        <v>0</v>
      </c>
      <c r="FKH18">
        <v>0</v>
      </c>
      <c r="FKI18">
        <v>0</v>
      </c>
      <c r="FKJ18">
        <v>0</v>
      </c>
      <c r="FKK18">
        <v>0</v>
      </c>
      <c r="FKL18">
        <v>0</v>
      </c>
      <c r="FKM18">
        <v>0</v>
      </c>
      <c r="FKN18">
        <v>0</v>
      </c>
      <c r="FKO18">
        <v>838.99</v>
      </c>
      <c r="FKP18">
        <v>0</v>
      </c>
      <c r="FKQ18">
        <v>0</v>
      </c>
      <c r="FKR18">
        <v>0</v>
      </c>
      <c r="FKS18">
        <v>0</v>
      </c>
      <c r="FKT18">
        <v>421.99</v>
      </c>
      <c r="FKU18">
        <v>0</v>
      </c>
      <c r="FKV18">
        <v>0</v>
      </c>
      <c r="FKW18">
        <v>0</v>
      </c>
      <c r="FKX18">
        <v>0</v>
      </c>
      <c r="FKY18">
        <v>0</v>
      </c>
      <c r="FKZ18">
        <v>0</v>
      </c>
      <c r="FLA18">
        <v>0</v>
      </c>
      <c r="FLB18">
        <v>0</v>
      </c>
      <c r="FLC18">
        <v>394</v>
      </c>
      <c r="FLD18">
        <v>0</v>
      </c>
      <c r="FLE18">
        <v>0</v>
      </c>
      <c r="FLF18">
        <v>0</v>
      </c>
      <c r="FLG18">
        <v>0</v>
      </c>
      <c r="FLH18">
        <v>0</v>
      </c>
      <c r="FLI18">
        <v>0</v>
      </c>
      <c r="FLJ18">
        <v>0</v>
      </c>
      <c r="FLK18">
        <v>0</v>
      </c>
      <c r="FLL18">
        <v>0</v>
      </c>
      <c r="FLM18">
        <v>0</v>
      </c>
      <c r="FLN18">
        <v>0</v>
      </c>
      <c r="FLO18">
        <v>0</v>
      </c>
      <c r="FLP18">
        <v>0</v>
      </c>
      <c r="FLQ18">
        <v>0</v>
      </c>
      <c r="FLR18">
        <v>304.99</v>
      </c>
      <c r="FLS18">
        <v>0</v>
      </c>
      <c r="FLT18">
        <v>0</v>
      </c>
      <c r="FLU18">
        <v>0</v>
      </c>
      <c r="FLV18">
        <v>0</v>
      </c>
      <c r="FLW18">
        <v>0</v>
      </c>
      <c r="FLX18">
        <v>0</v>
      </c>
      <c r="FLY18">
        <v>0</v>
      </c>
      <c r="FLZ18">
        <v>0</v>
      </c>
      <c r="FMA18">
        <v>0</v>
      </c>
      <c r="FMB18">
        <v>0</v>
      </c>
      <c r="FMC18">
        <v>0</v>
      </c>
      <c r="FMD18">
        <v>0</v>
      </c>
      <c r="FME18">
        <v>0</v>
      </c>
      <c r="FMF18">
        <v>0</v>
      </c>
      <c r="FMG18">
        <v>0</v>
      </c>
      <c r="FMH18">
        <v>0</v>
      </c>
      <c r="FMI18">
        <v>0</v>
      </c>
      <c r="FMJ18">
        <v>0</v>
      </c>
      <c r="FMK18">
        <v>0</v>
      </c>
      <c r="FML18">
        <v>0</v>
      </c>
      <c r="FMM18">
        <v>0</v>
      </c>
      <c r="FMN18">
        <v>0</v>
      </c>
      <c r="FMO18">
        <v>294</v>
      </c>
      <c r="FMP18">
        <v>0</v>
      </c>
      <c r="FMQ18">
        <v>0</v>
      </c>
      <c r="FMR18">
        <v>0</v>
      </c>
      <c r="FMS18">
        <v>0</v>
      </c>
      <c r="FMT18">
        <v>288</v>
      </c>
      <c r="FMU18">
        <v>0</v>
      </c>
      <c r="FMV18">
        <v>136.99</v>
      </c>
      <c r="FMW18">
        <v>0</v>
      </c>
      <c r="FMX18">
        <v>80</v>
      </c>
      <c r="FMY18">
        <v>0</v>
      </c>
      <c r="FMZ18">
        <v>0</v>
      </c>
      <c r="FNA18">
        <v>0</v>
      </c>
      <c r="FNB18">
        <v>0</v>
      </c>
      <c r="FNC18">
        <v>0</v>
      </c>
      <c r="FND18">
        <v>0</v>
      </c>
      <c r="FNE18">
        <v>0</v>
      </c>
      <c r="FNF18">
        <v>0</v>
      </c>
      <c r="FNG18">
        <v>0</v>
      </c>
      <c r="FNH18">
        <v>0</v>
      </c>
      <c r="FNI18">
        <v>0</v>
      </c>
      <c r="FNJ18">
        <v>0</v>
      </c>
      <c r="FNK18">
        <v>0</v>
      </c>
      <c r="FNL18">
        <v>0</v>
      </c>
      <c r="FNM18">
        <v>0</v>
      </c>
      <c r="FNN18">
        <v>0</v>
      </c>
      <c r="FNO18">
        <v>0</v>
      </c>
      <c r="FNP18">
        <v>0</v>
      </c>
      <c r="FNQ18">
        <v>0</v>
      </c>
      <c r="FNR18">
        <v>0</v>
      </c>
      <c r="FNS18">
        <v>0</v>
      </c>
      <c r="FNT18">
        <v>0</v>
      </c>
      <c r="FNU18">
        <v>30</v>
      </c>
      <c r="FNV18">
        <v>0</v>
      </c>
      <c r="FNW18">
        <v>0</v>
      </c>
      <c r="FNX18">
        <v>0</v>
      </c>
      <c r="FNY18">
        <v>0</v>
      </c>
      <c r="FNZ18">
        <v>0</v>
      </c>
      <c r="FOA18">
        <v>0</v>
      </c>
      <c r="FOB18">
        <v>0</v>
      </c>
      <c r="FOC18">
        <v>12</v>
      </c>
      <c r="FOD18">
        <v>0</v>
      </c>
      <c r="FOE18">
        <v>122</v>
      </c>
      <c r="FOF18">
        <v>0</v>
      </c>
      <c r="FOG18">
        <v>475.99</v>
      </c>
      <c r="FOH18">
        <v>0</v>
      </c>
      <c r="FOI18">
        <v>0</v>
      </c>
      <c r="FOJ18">
        <v>0</v>
      </c>
      <c r="FOK18">
        <v>0</v>
      </c>
      <c r="FOL18">
        <v>0</v>
      </c>
      <c r="FOM18">
        <v>0</v>
      </c>
      <c r="FON18">
        <v>0</v>
      </c>
      <c r="FOO18">
        <v>0</v>
      </c>
      <c r="FOP18">
        <v>0</v>
      </c>
      <c r="FOQ18">
        <v>0</v>
      </c>
      <c r="FOR18">
        <v>0</v>
      </c>
      <c r="FOS18">
        <v>248</v>
      </c>
      <c r="FOT18">
        <v>122</v>
      </c>
      <c r="FOU18">
        <v>0</v>
      </c>
      <c r="FOV18">
        <v>0</v>
      </c>
      <c r="FOW18">
        <v>0</v>
      </c>
      <c r="FOX18">
        <v>0</v>
      </c>
      <c r="FOY18">
        <v>0</v>
      </c>
      <c r="FOZ18">
        <v>0</v>
      </c>
      <c r="FPA18">
        <v>0</v>
      </c>
      <c r="FPB18">
        <v>36</v>
      </c>
      <c r="FPC18">
        <v>96</v>
      </c>
      <c r="FPD18">
        <v>0</v>
      </c>
      <c r="FPE18">
        <v>0</v>
      </c>
      <c r="FPF18">
        <v>0</v>
      </c>
      <c r="FPG18">
        <v>91</v>
      </c>
      <c r="FPH18">
        <v>0</v>
      </c>
      <c r="FPI18">
        <v>25</v>
      </c>
      <c r="FPJ18">
        <v>0</v>
      </c>
      <c r="FPK18">
        <v>0</v>
      </c>
      <c r="FPL18">
        <v>0</v>
      </c>
      <c r="FPM18">
        <v>0</v>
      </c>
      <c r="FPN18">
        <v>0</v>
      </c>
      <c r="FPO18">
        <v>1093.99</v>
      </c>
      <c r="FPP18">
        <v>0</v>
      </c>
      <c r="FPQ18">
        <v>279.99</v>
      </c>
      <c r="FPR18">
        <v>0</v>
      </c>
      <c r="FPS18">
        <v>206</v>
      </c>
      <c r="FPT18">
        <v>0</v>
      </c>
      <c r="FPU18">
        <v>0</v>
      </c>
      <c r="FPV18">
        <v>0</v>
      </c>
      <c r="FPW18">
        <v>0</v>
      </c>
      <c r="FPX18">
        <v>0</v>
      </c>
      <c r="FPY18">
        <v>0</v>
      </c>
      <c r="FPZ18">
        <v>0</v>
      </c>
      <c r="FQA18">
        <v>0</v>
      </c>
      <c r="FQB18">
        <v>165</v>
      </c>
      <c r="FQC18">
        <v>0</v>
      </c>
      <c r="FQD18">
        <v>119</v>
      </c>
      <c r="FQE18">
        <v>0</v>
      </c>
      <c r="FQF18">
        <v>0</v>
      </c>
      <c r="FQG18">
        <v>0</v>
      </c>
      <c r="FQH18">
        <v>0</v>
      </c>
      <c r="FQI18">
        <v>0</v>
      </c>
      <c r="FQJ18">
        <v>0</v>
      </c>
      <c r="FQK18">
        <v>0</v>
      </c>
      <c r="FQL18">
        <v>0</v>
      </c>
      <c r="FQM18">
        <v>0</v>
      </c>
      <c r="FQN18">
        <v>0</v>
      </c>
      <c r="FQO18">
        <v>0</v>
      </c>
      <c r="FQP18">
        <v>0</v>
      </c>
      <c r="FQQ18">
        <v>0</v>
      </c>
      <c r="FQR18">
        <v>0</v>
      </c>
      <c r="FQS18">
        <v>0</v>
      </c>
      <c r="FQT18">
        <v>0</v>
      </c>
      <c r="FQU18">
        <v>0</v>
      </c>
      <c r="FQV18">
        <v>0</v>
      </c>
      <c r="FQW18">
        <v>0</v>
      </c>
      <c r="FQX18">
        <v>0</v>
      </c>
      <c r="FQY18">
        <v>1196</v>
      </c>
      <c r="FQZ18">
        <v>0</v>
      </c>
      <c r="FRA18">
        <v>145</v>
      </c>
      <c r="FRB18">
        <v>0</v>
      </c>
      <c r="FRC18">
        <v>428</v>
      </c>
      <c r="FRD18">
        <v>0</v>
      </c>
      <c r="FRE18">
        <v>0</v>
      </c>
      <c r="FRF18">
        <v>0</v>
      </c>
      <c r="FRG18">
        <v>0</v>
      </c>
      <c r="FRH18">
        <v>0</v>
      </c>
      <c r="FRI18">
        <v>0</v>
      </c>
      <c r="FRJ18">
        <v>0</v>
      </c>
      <c r="FRK18">
        <v>77</v>
      </c>
      <c r="FRL18">
        <v>0</v>
      </c>
      <c r="FRM18">
        <v>0</v>
      </c>
      <c r="FRN18">
        <v>50</v>
      </c>
      <c r="FRO18">
        <v>49</v>
      </c>
      <c r="FRP18">
        <v>0</v>
      </c>
      <c r="FRQ18">
        <v>0</v>
      </c>
      <c r="FRR18">
        <v>0</v>
      </c>
      <c r="FRS18">
        <v>0</v>
      </c>
      <c r="FRT18">
        <v>0</v>
      </c>
      <c r="FRU18">
        <v>0</v>
      </c>
      <c r="FRV18">
        <v>0</v>
      </c>
      <c r="FRW18">
        <v>0</v>
      </c>
      <c r="FRX18">
        <v>0</v>
      </c>
      <c r="FRY18">
        <v>0</v>
      </c>
      <c r="FRZ18">
        <v>0</v>
      </c>
      <c r="FSA18">
        <v>0</v>
      </c>
      <c r="FSB18">
        <v>1272.97</v>
      </c>
      <c r="FSC18">
        <v>0</v>
      </c>
      <c r="FSD18">
        <v>0</v>
      </c>
      <c r="FSE18">
        <v>0</v>
      </c>
      <c r="FSF18">
        <v>0</v>
      </c>
      <c r="FSG18">
        <v>0</v>
      </c>
      <c r="FSH18">
        <v>0</v>
      </c>
      <c r="FSI18">
        <v>0</v>
      </c>
      <c r="FSJ18">
        <v>0</v>
      </c>
      <c r="FSK18">
        <v>0</v>
      </c>
      <c r="FSL18">
        <v>0</v>
      </c>
      <c r="FSM18">
        <v>0</v>
      </c>
      <c r="FSN18">
        <v>0</v>
      </c>
      <c r="FSO18">
        <v>0</v>
      </c>
      <c r="FSP18">
        <v>0</v>
      </c>
      <c r="FSQ18">
        <v>0</v>
      </c>
      <c r="FSR18">
        <v>147</v>
      </c>
      <c r="FSS18">
        <v>0</v>
      </c>
      <c r="FST18">
        <v>0</v>
      </c>
      <c r="FSU18">
        <v>0</v>
      </c>
      <c r="FSV18">
        <v>0</v>
      </c>
      <c r="FSW18">
        <v>557</v>
      </c>
      <c r="FSX18">
        <v>0</v>
      </c>
      <c r="FSY18">
        <v>0</v>
      </c>
      <c r="FSZ18">
        <v>0</v>
      </c>
      <c r="FTA18">
        <v>0</v>
      </c>
      <c r="FTB18">
        <v>0</v>
      </c>
      <c r="FTC18">
        <v>0</v>
      </c>
      <c r="FTD18">
        <v>0</v>
      </c>
      <c r="FTE18">
        <v>0</v>
      </c>
      <c r="FTF18">
        <v>0</v>
      </c>
      <c r="FTG18">
        <v>136</v>
      </c>
      <c r="FTH18">
        <v>0</v>
      </c>
      <c r="FTI18">
        <v>0</v>
      </c>
      <c r="FTJ18">
        <v>0</v>
      </c>
      <c r="FTK18">
        <v>0</v>
      </c>
      <c r="FTL18">
        <v>733.96</v>
      </c>
      <c r="FTM18">
        <v>0</v>
      </c>
      <c r="FTN18">
        <v>0</v>
      </c>
      <c r="FTO18">
        <v>0</v>
      </c>
      <c r="FTP18">
        <v>0</v>
      </c>
      <c r="FTQ18">
        <v>0</v>
      </c>
      <c r="FTR18">
        <v>0</v>
      </c>
      <c r="FTS18">
        <v>0</v>
      </c>
      <c r="FTT18">
        <v>0</v>
      </c>
      <c r="FTU18">
        <v>86</v>
      </c>
      <c r="FTV18">
        <v>0</v>
      </c>
      <c r="FTW18">
        <v>1349.99</v>
      </c>
      <c r="FTX18">
        <v>0</v>
      </c>
      <c r="FTY18">
        <v>0</v>
      </c>
      <c r="FTZ18">
        <v>0</v>
      </c>
      <c r="FUA18">
        <v>0</v>
      </c>
      <c r="FUB18">
        <v>0</v>
      </c>
      <c r="FUC18">
        <v>0</v>
      </c>
      <c r="FUD18">
        <v>0</v>
      </c>
      <c r="FUE18">
        <v>0</v>
      </c>
      <c r="FUF18">
        <v>0</v>
      </c>
      <c r="FUG18">
        <v>0</v>
      </c>
      <c r="FUH18">
        <v>0</v>
      </c>
      <c r="FUI18">
        <v>0</v>
      </c>
      <c r="FUJ18">
        <v>0</v>
      </c>
      <c r="FUK18">
        <v>0</v>
      </c>
      <c r="FUL18">
        <v>0</v>
      </c>
      <c r="FUM18">
        <v>0</v>
      </c>
      <c r="FUN18">
        <v>0</v>
      </c>
      <c r="FUO18">
        <v>0</v>
      </c>
      <c r="FUP18">
        <v>0</v>
      </c>
      <c r="FUQ18">
        <v>0</v>
      </c>
      <c r="FUR18">
        <v>83</v>
      </c>
      <c r="FUS18">
        <v>0</v>
      </c>
      <c r="FUT18">
        <v>0</v>
      </c>
      <c r="FUU18">
        <v>0</v>
      </c>
      <c r="FUV18">
        <v>113</v>
      </c>
      <c r="FUW18">
        <v>0</v>
      </c>
      <c r="FUX18">
        <v>0</v>
      </c>
      <c r="FUY18">
        <v>496</v>
      </c>
      <c r="FUZ18">
        <v>0</v>
      </c>
      <c r="FVA18">
        <v>0</v>
      </c>
      <c r="FVB18">
        <v>0</v>
      </c>
      <c r="FVC18">
        <v>115</v>
      </c>
      <c r="FVD18">
        <v>163.99</v>
      </c>
      <c r="FVE18">
        <v>0</v>
      </c>
      <c r="FVF18">
        <v>231</v>
      </c>
      <c r="FVG18">
        <v>0</v>
      </c>
      <c r="FVH18">
        <v>1092.94</v>
      </c>
      <c r="FVI18">
        <v>1516.98</v>
      </c>
      <c r="FVJ18">
        <v>0</v>
      </c>
      <c r="FVK18">
        <v>0</v>
      </c>
      <c r="FVL18">
        <v>0</v>
      </c>
      <c r="FVM18">
        <v>0</v>
      </c>
      <c r="FVN18">
        <v>305.98</v>
      </c>
      <c r="FVO18">
        <v>0</v>
      </c>
      <c r="FVP18">
        <v>0</v>
      </c>
      <c r="FVQ18">
        <v>0</v>
      </c>
      <c r="FVR18">
        <v>41</v>
      </c>
      <c r="FVS18">
        <v>0</v>
      </c>
      <c r="FVT18">
        <v>9</v>
      </c>
      <c r="FVU18">
        <v>0</v>
      </c>
      <c r="FVV18">
        <v>0</v>
      </c>
      <c r="FVW18">
        <v>0</v>
      </c>
      <c r="FVX18">
        <v>125</v>
      </c>
      <c r="FVY18">
        <v>25</v>
      </c>
      <c r="FVZ18">
        <v>0</v>
      </c>
      <c r="FWB18">
        <v>30</v>
      </c>
      <c r="FWC18">
        <v>10</v>
      </c>
      <c r="FWD18">
        <v>0</v>
      </c>
      <c r="FWE18">
        <v>0</v>
      </c>
      <c r="FWF18">
        <v>108</v>
      </c>
      <c r="FWG18">
        <v>0</v>
      </c>
      <c r="FWH18">
        <v>0</v>
      </c>
      <c r="FWI18">
        <v>0</v>
      </c>
      <c r="FWJ18">
        <v>220</v>
      </c>
      <c r="FWK18">
        <v>0</v>
      </c>
      <c r="FWL18">
        <v>0</v>
      </c>
      <c r="FWM18">
        <v>246.99</v>
      </c>
      <c r="FWN18">
        <v>361</v>
      </c>
      <c r="FWO18">
        <v>0</v>
      </c>
      <c r="FWP18">
        <v>0</v>
      </c>
      <c r="FWQ18">
        <v>0</v>
      </c>
      <c r="FWR18">
        <v>0</v>
      </c>
      <c r="FWS18">
        <v>0</v>
      </c>
      <c r="FWT18">
        <v>0</v>
      </c>
      <c r="FWU18">
        <v>0</v>
      </c>
      <c r="FWV18">
        <v>137</v>
      </c>
      <c r="FWW18">
        <v>0</v>
      </c>
      <c r="FWX18">
        <v>0</v>
      </c>
      <c r="FWY18">
        <v>0</v>
      </c>
      <c r="FWZ18">
        <v>0</v>
      </c>
      <c r="FXA18">
        <v>0</v>
      </c>
      <c r="FXB18">
        <v>83</v>
      </c>
      <c r="FXC18">
        <v>121</v>
      </c>
      <c r="FXD18">
        <v>0</v>
      </c>
      <c r="FXE18">
        <v>0</v>
      </c>
      <c r="FXF18">
        <v>431.99</v>
      </c>
      <c r="FXG18">
        <v>0</v>
      </c>
      <c r="FXH18">
        <v>863.99</v>
      </c>
      <c r="FXI18">
        <v>0</v>
      </c>
      <c r="FXJ18">
        <v>0</v>
      </c>
      <c r="FXK18">
        <v>0</v>
      </c>
      <c r="FXL18">
        <v>0</v>
      </c>
      <c r="FXM18">
        <v>0</v>
      </c>
      <c r="FXN18">
        <v>50</v>
      </c>
      <c r="FXO18">
        <v>0</v>
      </c>
      <c r="FXP18">
        <v>0</v>
      </c>
      <c r="FXQ18">
        <v>0</v>
      </c>
      <c r="FXR18">
        <v>0</v>
      </c>
      <c r="FXS18">
        <v>0</v>
      </c>
      <c r="FXT18">
        <v>0</v>
      </c>
      <c r="FXU18">
        <v>0</v>
      </c>
      <c r="FXV18">
        <v>0</v>
      </c>
      <c r="FXW18">
        <v>0</v>
      </c>
      <c r="FXX18">
        <v>0</v>
      </c>
      <c r="FXY18">
        <v>117</v>
      </c>
      <c r="FXZ18">
        <v>0</v>
      </c>
      <c r="FYA18">
        <v>0</v>
      </c>
      <c r="FYB18">
        <v>0</v>
      </c>
      <c r="FYC18">
        <v>0</v>
      </c>
      <c r="FYD18">
        <v>19</v>
      </c>
      <c r="FYE18">
        <v>0</v>
      </c>
      <c r="FYF18">
        <v>0</v>
      </c>
      <c r="FYG18">
        <v>0</v>
      </c>
      <c r="FYH18">
        <v>302.99</v>
      </c>
      <c r="FYI18">
        <v>0</v>
      </c>
      <c r="FYJ18">
        <v>0</v>
      </c>
      <c r="FYK18">
        <v>0</v>
      </c>
      <c r="FYL18">
        <v>29</v>
      </c>
      <c r="FYM18">
        <v>0</v>
      </c>
      <c r="FYN18">
        <v>0</v>
      </c>
      <c r="FYO18">
        <v>0</v>
      </c>
      <c r="FYP18">
        <v>0</v>
      </c>
      <c r="FYQ18">
        <v>0</v>
      </c>
      <c r="FYR18">
        <v>1139.97</v>
      </c>
      <c r="FYS18">
        <v>19</v>
      </c>
      <c r="FYT18">
        <v>0</v>
      </c>
      <c r="FYU18">
        <v>0</v>
      </c>
      <c r="FYV18">
        <v>0</v>
      </c>
      <c r="FYW18">
        <v>0</v>
      </c>
      <c r="FYX18">
        <v>0</v>
      </c>
      <c r="FYY18">
        <v>0</v>
      </c>
      <c r="FYZ18">
        <v>0</v>
      </c>
      <c r="FZA18">
        <v>0</v>
      </c>
      <c r="FZB18">
        <v>0</v>
      </c>
      <c r="FZC18">
        <v>0</v>
      </c>
      <c r="FZD18">
        <v>0</v>
      </c>
      <c r="FZE18">
        <v>0</v>
      </c>
      <c r="FZF18">
        <v>0</v>
      </c>
      <c r="FZG18">
        <v>0</v>
      </c>
      <c r="FZH18">
        <v>0</v>
      </c>
      <c r="FZI18">
        <v>0</v>
      </c>
      <c r="FZJ18">
        <v>0</v>
      </c>
      <c r="FZK18">
        <v>0</v>
      </c>
      <c r="FZL18">
        <v>0</v>
      </c>
      <c r="FZM18">
        <v>0</v>
      </c>
      <c r="FZN18">
        <v>0</v>
      </c>
      <c r="FZO18">
        <v>0</v>
      </c>
      <c r="FZP18">
        <v>126</v>
      </c>
      <c r="FZQ18">
        <v>0</v>
      </c>
      <c r="FZR18">
        <v>0</v>
      </c>
      <c r="FZS18">
        <v>0</v>
      </c>
      <c r="FZT18">
        <v>0</v>
      </c>
      <c r="FZU18">
        <v>0</v>
      </c>
      <c r="FZV18">
        <v>0</v>
      </c>
      <c r="FZW18">
        <v>0</v>
      </c>
      <c r="FZX18">
        <v>0</v>
      </c>
      <c r="FZY18">
        <v>0</v>
      </c>
      <c r="FZZ18">
        <v>314.99</v>
      </c>
      <c r="GAA18">
        <v>0</v>
      </c>
      <c r="GAB18">
        <v>0</v>
      </c>
      <c r="GAC18">
        <v>0</v>
      </c>
      <c r="GAD18">
        <v>361.99</v>
      </c>
      <c r="GAE18">
        <v>0</v>
      </c>
      <c r="GAF18">
        <v>0</v>
      </c>
      <c r="GAG18">
        <v>0</v>
      </c>
      <c r="GAH18">
        <v>299</v>
      </c>
      <c r="GAI18">
        <v>1525.98</v>
      </c>
      <c r="GAJ18">
        <v>0</v>
      </c>
      <c r="GAK18">
        <v>0</v>
      </c>
      <c r="GAL18">
        <v>400</v>
      </c>
      <c r="GAM18">
        <v>0</v>
      </c>
      <c r="GAN18">
        <v>0</v>
      </c>
      <c r="GAO18">
        <v>0</v>
      </c>
      <c r="GAP18">
        <v>133</v>
      </c>
      <c r="GAQ18">
        <v>0</v>
      </c>
      <c r="GAR18">
        <v>0</v>
      </c>
      <c r="GAS18">
        <v>0</v>
      </c>
      <c r="GAT18">
        <v>0</v>
      </c>
      <c r="GAU18">
        <v>0</v>
      </c>
      <c r="GAV18">
        <v>62</v>
      </c>
      <c r="GAW18">
        <v>0</v>
      </c>
      <c r="GAX18">
        <v>0</v>
      </c>
      <c r="GAY18">
        <v>0</v>
      </c>
      <c r="GAZ18">
        <v>0</v>
      </c>
      <c r="GBA18">
        <v>0</v>
      </c>
      <c r="GBB18">
        <v>832.99</v>
      </c>
      <c r="GBC18">
        <v>0</v>
      </c>
      <c r="GBD18">
        <v>0</v>
      </c>
      <c r="GBE18">
        <v>79</v>
      </c>
      <c r="GBF18">
        <v>0</v>
      </c>
      <c r="GBG18">
        <v>0</v>
      </c>
      <c r="GBH18">
        <v>0</v>
      </c>
      <c r="GBI18">
        <v>0</v>
      </c>
      <c r="GBJ18">
        <v>0</v>
      </c>
      <c r="GBK18">
        <v>0</v>
      </c>
      <c r="GBL18">
        <v>0</v>
      </c>
      <c r="GBM18">
        <v>0</v>
      </c>
      <c r="GBN18">
        <v>0</v>
      </c>
      <c r="GBO18">
        <v>0</v>
      </c>
      <c r="GBP18">
        <v>0</v>
      </c>
      <c r="GBQ18">
        <v>0</v>
      </c>
      <c r="GBR18">
        <v>0</v>
      </c>
      <c r="GBS18">
        <v>0</v>
      </c>
      <c r="GBT18">
        <v>0</v>
      </c>
      <c r="GBU18">
        <v>0</v>
      </c>
      <c r="GBV18">
        <v>0</v>
      </c>
      <c r="GBW18">
        <v>24</v>
      </c>
      <c r="GBX18">
        <v>822</v>
      </c>
      <c r="GBY18">
        <v>0</v>
      </c>
      <c r="GBZ18">
        <v>0</v>
      </c>
      <c r="GCA18">
        <v>654.99</v>
      </c>
      <c r="GCB18">
        <v>0</v>
      </c>
      <c r="GCC18">
        <v>104</v>
      </c>
      <c r="GCD18">
        <v>0</v>
      </c>
      <c r="GCE18">
        <v>0</v>
      </c>
      <c r="GCF18">
        <v>0</v>
      </c>
      <c r="GCG18">
        <v>0</v>
      </c>
      <c r="GCH18">
        <v>52</v>
      </c>
      <c r="GCI18">
        <v>0</v>
      </c>
      <c r="GCJ18">
        <v>0</v>
      </c>
      <c r="GCK18">
        <v>0</v>
      </c>
      <c r="GCL18">
        <v>0</v>
      </c>
      <c r="GCM18">
        <v>0</v>
      </c>
      <c r="GCN18">
        <v>14</v>
      </c>
      <c r="GCO18">
        <v>971.99</v>
      </c>
      <c r="GCP18">
        <v>0</v>
      </c>
      <c r="GCQ18">
        <v>2239.96</v>
      </c>
      <c r="GCR18">
        <v>0</v>
      </c>
      <c r="GCS18">
        <v>0</v>
      </c>
      <c r="GCT18">
        <v>0</v>
      </c>
      <c r="GCU18">
        <v>0</v>
      </c>
      <c r="GCV18">
        <v>204</v>
      </c>
      <c r="GCW18">
        <v>0</v>
      </c>
      <c r="GCX18">
        <v>0</v>
      </c>
      <c r="GCY18">
        <v>0</v>
      </c>
      <c r="GCZ18">
        <v>0</v>
      </c>
      <c r="GDA18">
        <v>0</v>
      </c>
      <c r="GDB18">
        <v>36</v>
      </c>
      <c r="GDC18">
        <v>0</v>
      </c>
      <c r="GDD18">
        <v>0</v>
      </c>
      <c r="GDE18">
        <v>0</v>
      </c>
      <c r="GDF18">
        <v>0</v>
      </c>
      <c r="GDG18">
        <v>208.99</v>
      </c>
      <c r="GDH18">
        <v>0</v>
      </c>
      <c r="GDI18">
        <v>0</v>
      </c>
      <c r="GDJ18">
        <v>0</v>
      </c>
      <c r="GDK18">
        <v>63</v>
      </c>
      <c r="GDL18">
        <v>253</v>
      </c>
      <c r="GDM18">
        <v>83.99</v>
      </c>
      <c r="GDN18">
        <v>0</v>
      </c>
      <c r="GDO18">
        <v>0</v>
      </c>
      <c r="GDP18">
        <v>0</v>
      </c>
      <c r="GDQ18">
        <v>0</v>
      </c>
      <c r="GDR18">
        <v>0</v>
      </c>
      <c r="GDS18">
        <v>1449.99</v>
      </c>
      <c r="GDT18">
        <v>0</v>
      </c>
      <c r="GDU18">
        <v>0</v>
      </c>
      <c r="GDV18">
        <v>0</v>
      </c>
      <c r="GDW18">
        <v>0</v>
      </c>
      <c r="GDX18">
        <v>0</v>
      </c>
      <c r="GDY18">
        <v>0</v>
      </c>
      <c r="GDZ18">
        <v>0</v>
      </c>
      <c r="GEA18">
        <v>0</v>
      </c>
      <c r="GEB18">
        <v>97</v>
      </c>
      <c r="GEC18">
        <v>1204.99</v>
      </c>
      <c r="GED18">
        <v>0</v>
      </c>
      <c r="GEE18">
        <v>911.99</v>
      </c>
      <c r="GEF18">
        <v>0</v>
      </c>
      <c r="GEG18">
        <v>0</v>
      </c>
      <c r="GEH18">
        <v>0</v>
      </c>
      <c r="GEI18">
        <v>429</v>
      </c>
      <c r="GEJ18">
        <v>0</v>
      </c>
      <c r="GEK18">
        <v>1557.98</v>
      </c>
      <c r="GEL18">
        <v>0</v>
      </c>
      <c r="GEM18">
        <v>0</v>
      </c>
      <c r="GEN18">
        <v>230</v>
      </c>
      <c r="GEO18">
        <v>41</v>
      </c>
      <c r="GEP18">
        <v>1311.97</v>
      </c>
      <c r="GEQ18">
        <v>0</v>
      </c>
      <c r="GER18">
        <v>0</v>
      </c>
      <c r="GES18">
        <v>0</v>
      </c>
      <c r="GET18">
        <v>0</v>
      </c>
      <c r="GEU18">
        <v>0</v>
      </c>
      <c r="GEV18">
        <v>0</v>
      </c>
      <c r="GEW18">
        <v>1872.94</v>
      </c>
      <c r="GEX18">
        <v>102</v>
      </c>
      <c r="GEY18">
        <v>0</v>
      </c>
      <c r="GEZ18">
        <v>0</v>
      </c>
      <c r="GFA18">
        <v>0</v>
      </c>
      <c r="GFB18">
        <v>0</v>
      </c>
      <c r="GFC18">
        <v>0</v>
      </c>
      <c r="GFD18">
        <v>0</v>
      </c>
      <c r="GFE18">
        <v>0</v>
      </c>
      <c r="GFF18">
        <v>0</v>
      </c>
      <c r="GFG18">
        <v>0</v>
      </c>
      <c r="GFH18">
        <v>0</v>
      </c>
      <c r="GFI18">
        <v>0</v>
      </c>
      <c r="GFJ18">
        <v>0</v>
      </c>
      <c r="GFK18">
        <v>0</v>
      </c>
      <c r="GFL18">
        <v>0</v>
      </c>
      <c r="GFM18">
        <v>0</v>
      </c>
      <c r="GFN18">
        <v>0</v>
      </c>
      <c r="GFO18">
        <v>1402.99</v>
      </c>
      <c r="GFP18">
        <v>0</v>
      </c>
      <c r="GFQ18">
        <v>0</v>
      </c>
      <c r="GFR18">
        <v>0</v>
      </c>
      <c r="GFS18">
        <v>0</v>
      </c>
      <c r="GFT18">
        <v>0</v>
      </c>
      <c r="GFU18">
        <v>0</v>
      </c>
      <c r="GFV18">
        <v>0</v>
      </c>
      <c r="GFW18">
        <v>0</v>
      </c>
      <c r="GFX18">
        <v>0</v>
      </c>
      <c r="GFY18">
        <v>0</v>
      </c>
      <c r="GFZ18">
        <v>0</v>
      </c>
      <c r="GGA18">
        <v>0</v>
      </c>
      <c r="GGB18">
        <v>0</v>
      </c>
      <c r="GGC18">
        <v>0</v>
      </c>
      <c r="GGD18">
        <v>0</v>
      </c>
      <c r="GGE18">
        <v>0</v>
      </c>
      <c r="GGF18">
        <v>2255.9299999999998</v>
      </c>
      <c r="GGG18">
        <v>587.99</v>
      </c>
      <c r="GGH18">
        <v>0</v>
      </c>
      <c r="GGI18">
        <v>0</v>
      </c>
      <c r="GGJ18">
        <v>0</v>
      </c>
      <c r="GGK18">
        <v>0</v>
      </c>
      <c r="GGL18">
        <v>0</v>
      </c>
      <c r="GGM18">
        <v>0</v>
      </c>
      <c r="GGN18">
        <v>66</v>
      </c>
      <c r="GGO18">
        <v>0</v>
      </c>
      <c r="GGP18">
        <v>0</v>
      </c>
      <c r="GGQ18">
        <v>0</v>
      </c>
      <c r="GGR18">
        <v>0</v>
      </c>
      <c r="GGS18">
        <v>3048</v>
      </c>
      <c r="GGT18">
        <v>409</v>
      </c>
      <c r="GGU18">
        <v>0</v>
      </c>
      <c r="GGV18">
        <v>42</v>
      </c>
      <c r="GGW18">
        <v>0</v>
      </c>
      <c r="GGX18">
        <v>0</v>
      </c>
      <c r="GGY18">
        <v>0</v>
      </c>
      <c r="GGZ18">
        <v>0</v>
      </c>
      <c r="GHA18">
        <v>146</v>
      </c>
      <c r="GHB18">
        <v>0</v>
      </c>
      <c r="GHC18">
        <v>191</v>
      </c>
      <c r="GHD18">
        <v>0</v>
      </c>
      <c r="GHE18">
        <v>0</v>
      </c>
      <c r="GHF18">
        <v>0</v>
      </c>
      <c r="GHG18">
        <v>0</v>
      </c>
      <c r="GHH18">
        <v>30</v>
      </c>
      <c r="GHI18">
        <v>0</v>
      </c>
      <c r="GHJ18">
        <v>0</v>
      </c>
      <c r="GHK18">
        <v>0</v>
      </c>
      <c r="GHL18">
        <v>77</v>
      </c>
      <c r="GHM18">
        <v>0</v>
      </c>
      <c r="GHN18">
        <v>477</v>
      </c>
      <c r="GHO18">
        <v>0</v>
      </c>
      <c r="GHP18">
        <v>0</v>
      </c>
      <c r="GHQ18">
        <v>0</v>
      </c>
      <c r="GHR18">
        <v>613.99</v>
      </c>
      <c r="GHS18">
        <v>0</v>
      </c>
      <c r="GHT18">
        <v>0</v>
      </c>
      <c r="GHU18">
        <v>0</v>
      </c>
      <c r="GHV18">
        <v>0</v>
      </c>
      <c r="GHW18">
        <v>0</v>
      </c>
      <c r="GHX18">
        <v>190</v>
      </c>
      <c r="GHY18">
        <v>0</v>
      </c>
      <c r="GHZ18">
        <v>0</v>
      </c>
      <c r="GIA18">
        <v>892.95</v>
      </c>
      <c r="GIB18">
        <v>0</v>
      </c>
      <c r="GIC18">
        <v>0</v>
      </c>
      <c r="GID18">
        <v>0</v>
      </c>
      <c r="GIE18">
        <v>0</v>
      </c>
      <c r="GIF18">
        <v>572</v>
      </c>
      <c r="GIG18">
        <v>0</v>
      </c>
      <c r="GIH18">
        <v>427</v>
      </c>
      <c r="GII18">
        <v>0</v>
      </c>
      <c r="GIJ18">
        <v>0</v>
      </c>
      <c r="GIK18">
        <v>1131.99</v>
      </c>
      <c r="GIL18">
        <v>1109.99</v>
      </c>
      <c r="GIM18">
        <v>17</v>
      </c>
      <c r="GIN18">
        <v>0</v>
      </c>
      <c r="GIO18">
        <v>0</v>
      </c>
      <c r="GIP18">
        <v>154</v>
      </c>
      <c r="GIQ18">
        <v>0</v>
      </c>
      <c r="GIR18">
        <v>0</v>
      </c>
      <c r="GIS18">
        <v>865</v>
      </c>
      <c r="GIT18">
        <v>0</v>
      </c>
      <c r="GIU18">
        <v>0</v>
      </c>
      <c r="GIV18">
        <v>0</v>
      </c>
      <c r="GIW18">
        <v>0</v>
      </c>
      <c r="GIX18">
        <v>242.99</v>
      </c>
      <c r="GIY18">
        <v>0</v>
      </c>
      <c r="GIZ18">
        <v>0</v>
      </c>
      <c r="GJA18">
        <v>0</v>
      </c>
      <c r="GJB18">
        <v>0</v>
      </c>
      <c r="GJC18">
        <v>0</v>
      </c>
      <c r="GJD18">
        <v>0</v>
      </c>
      <c r="GJE18">
        <v>0</v>
      </c>
      <c r="GJF18">
        <v>0</v>
      </c>
      <c r="GJG18">
        <v>0</v>
      </c>
      <c r="GJH18">
        <v>0</v>
      </c>
      <c r="GJI18">
        <v>0</v>
      </c>
      <c r="GJJ18">
        <v>0</v>
      </c>
      <c r="GJK18">
        <v>0</v>
      </c>
      <c r="GJL18">
        <v>0</v>
      </c>
      <c r="GJM18">
        <v>0</v>
      </c>
      <c r="GJN18">
        <v>0</v>
      </c>
      <c r="GJO18">
        <v>0</v>
      </c>
      <c r="GJP18">
        <v>479</v>
      </c>
      <c r="GJQ18">
        <v>0</v>
      </c>
      <c r="GJR18">
        <v>38</v>
      </c>
      <c r="GJS18">
        <v>0</v>
      </c>
      <c r="GJT18">
        <v>0</v>
      </c>
      <c r="GJU18">
        <v>0</v>
      </c>
      <c r="GJV18">
        <v>0</v>
      </c>
      <c r="GJW18">
        <v>0</v>
      </c>
      <c r="GJX18">
        <v>774.99</v>
      </c>
      <c r="GJY18">
        <v>0</v>
      </c>
      <c r="GJZ18">
        <v>0</v>
      </c>
      <c r="GKA18">
        <v>0</v>
      </c>
      <c r="GKB18">
        <v>0</v>
      </c>
      <c r="GKC18">
        <v>0</v>
      </c>
      <c r="GKD18">
        <v>0</v>
      </c>
      <c r="GKE18">
        <v>0</v>
      </c>
      <c r="GKF18">
        <v>0</v>
      </c>
      <c r="GKG18">
        <v>0</v>
      </c>
      <c r="GKH18">
        <v>0</v>
      </c>
      <c r="GKI18">
        <v>0</v>
      </c>
      <c r="GKJ18">
        <v>0</v>
      </c>
      <c r="GKK18">
        <v>26</v>
      </c>
      <c r="GKL18">
        <v>306</v>
      </c>
      <c r="GKM18">
        <v>276.99</v>
      </c>
      <c r="GKN18">
        <v>0</v>
      </c>
      <c r="GKO18">
        <v>0</v>
      </c>
      <c r="GKP18">
        <v>1342.96</v>
      </c>
      <c r="GKQ18">
        <v>0</v>
      </c>
      <c r="GKR18">
        <v>966</v>
      </c>
      <c r="GKS18">
        <v>0</v>
      </c>
      <c r="GKT18">
        <v>14</v>
      </c>
      <c r="GKU18">
        <v>0</v>
      </c>
      <c r="GKV18">
        <v>0</v>
      </c>
      <c r="GKW18">
        <v>0</v>
      </c>
      <c r="GKX18">
        <v>0</v>
      </c>
      <c r="GKY18">
        <v>539.98</v>
      </c>
      <c r="GKZ18">
        <v>740.99</v>
      </c>
      <c r="GLA18">
        <v>0</v>
      </c>
      <c r="GLB18">
        <v>0</v>
      </c>
      <c r="GLC18">
        <v>132</v>
      </c>
      <c r="GLD18">
        <v>0</v>
      </c>
      <c r="GLE18">
        <v>0</v>
      </c>
      <c r="GLF18">
        <v>0</v>
      </c>
      <c r="GLG18">
        <v>0</v>
      </c>
      <c r="GLH18">
        <v>0</v>
      </c>
      <c r="GLI18">
        <v>0</v>
      </c>
      <c r="GLJ18">
        <v>0</v>
      </c>
      <c r="GLK18">
        <v>0</v>
      </c>
      <c r="GLL18">
        <v>0</v>
      </c>
      <c r="GLM18">
        <v>0</v>
      </c>
      <c r="GLN18">
        <v>102.99</v>
      </c>
      <c r="GLO18">
        <v>0</v>
      </c>
      <c r="GLP18">
        <v>0</v>
      </c>
      <c r="GLQ18">
        <v>0</v>
      </c>
      <c r="GLR18">
        <v>0</v>
      </c>
      <c r="GLS18">
        <v>584.98</v>
      </c>
      <c r="GLT18">
        <v>484</v>
      </c>
      <c r="GLU18">
        <v>0</v>
      </c>
      <c r="GLV18">
        <v>0</v>
      </c>
      <c r="GLW18">
        <v>0</v>
      </c>
      <c r="GLX18">
        <v>0</v>
      </c>
      <c r="GLY18">
        <v>0</v>
      </c>
      <c r="GLZ18">
        <v>0</v>
      </c>
      <c r="GMA18">
        <v>0</v>
      </c>
      <c r="GMB18">
        <v>0</v>
      </c>
      <c r="GMC18">
        <v>0</v>
      </c>
      <c r="GMD18">
        <v>0</v>
      </c>
      <c r="GME18">
        <v>0</v>
      </c>
      <c r="GMF18">
        <v>0</v>
      </c>
      <c r="GMG18">
        <v>0</v>
      </c>
      <c r="GMH18">
        <v>0</v>
      </c>
      <c r="GMI18">
        <v>0</v>
      </c>
      <c r="GMJ18">
        <v>0</v>
      </c>
      <c r="GMK18">
        <v>832</v>
      </c>
      <c r="GML18">
        <v>0</v>
      </c>
      <c r="GMM18">
        <v>0</v>
      </c>
      <c r="GMN18">
        <v>0</v>
      </c>
      <c r="GMO18">
        <v>0</v>
      </c>
      <c r="GMP18">
        <v>0</v>
      </c>
      <c r="GMQ18">
        <v>0</v>
      </c>
      <c r="GMR18">
        <v>0</v>
      </c>
      <c r="GMS18">
        <v>115</v>
      </c>
      <c r="GMT18">
        <v>0</v>
      </c>
      <c r="GMU18">
        <v>0</v>
      </c>
      <c r="GMV18">
        <v>0</v>
      </c>
      <c r="GMW18">
        <v>0</v>
      </c>
      <c r="GMX18">
        <v>0</v>
      </c>
      <c r="GMY18">
        <v>0</v>
      </c>
      <c r="GMZ18">
        <v>0</v>
      </c>
      <c r="GNA18">
        <v>0</v>
      </c>
      <c r="GNB18">
        <v>310</v>
      </c>
      <c r="GNC18">
        <v>119.99</v>
      </c>
      <c r="GND18">
        <v>49</v>
      </c>
      <c r="GNE18">
        <v>0</v>
      </c>
      <c r="GNF18">
        <v>0</v>
      </c>
      <c r="GNG18">
        <v>0</v>
      </c>
      <c r="GNH18">
        <v>194</v>
      </c>
      <c r="GNI18">
        <v>0</v>
      </c>
      <c r="GNJ18">
        <v>0</v>
      </c>
      <c r="GNK18">
        <v>0</v>
      </c>
      <c r="GNL18">
        <v>0</v>
      </c>
      <c r="GNM18">
        <v>232</v>
      </c>
      <c r="GNN18">
        <v>0</v>
      </c>
      <c r="GNO18">
        <v>51</v>
      </c>
      <c r="GNP18">
        <v>203</v>
      </c>
      <c r="GNQ18">
        <v>1350.97</v>
      </c>
      <c r="GNR18">
        <v>35</v>
      </c>
      <c r="GNS18">
        <v>84</v>
      </c>
      <c r="GNT18">
        <v>124</v>
      </c>
      <c r="GNU18">
        <v>0</v>
      </c>
      <c r="GNV18">
        <v>0</v>
      </c>
      <c r="GNW18">
        <v>0</v>
      </c>
      <c r="GNX18">
        <v>0</v>
      </c>
      <c r="GNY18">
        <v>1589.98</v>
      </c>
      <c r="GNZ18">
        <v>176</v>
      </c>
      <c r="GOA18">
        <v>0</v>
      </c>
      <c r="GOB18">
        <v>0</v>
      </c>
      <c r="GOC18">
        <v>1461.98</v>
      </c>
      <c r="GOD18">
        <v>0</v>
      </c>
      <c r="GOE18">
        <v>0</v>
      </c>
      <c r="GOF18">
        <v>0</v>
      </c>
      <c r="GOG18">
        <v>0</v>
      </c>
      <c r="GOH18">
        <v>0</v>
      </c>
      <c r="GOI18">
        <v>0</v>
      </c>
      <c r="GOJ18">
        <v>0</v>
      </c>
      <c r="GOK18">
        <v>0</v>
      </c>
      <c r="GOL18">
        <v>0</v>
      </c>
      <c r="GOM18">
        <v>2055.96</v>
      </c>
      <c r="GON18">
        <v>0</v>
      </c>
      <c r="GOO18">
        <v>124</v>
      </c>
      <c r="GOP18">
        <v>0</v>
      </c>
      <c r="GOQ18">
        <v>0</v>
      </c>
      <c r="GOR18">
        <v>0</v>
      </c>
      <c r="GOS18">
        <v>0</v>
      </c>
      <c r="GOT18">
        <v>3532.99</v>
      </c>
      <c r="GOU18">
        <v>0</v>
      </c>
      <c r="GOV18">
        <v>0</v>
      </c>
      <c r="GOW18">
        <v>93</v>
      </c>
      <c r="GOX18">
        <v>0</v>
      </c>
      <c r="GOY18">
        <v>0</v>
      </c>
      <c r="GOZ18">
        <v>61</v>
      </c>
      <c r="GPA18">
        <v>805</v>
      </c>
      <c r="GPB18">
        <v>14</v>
      </c>
      <c r="GPC18">
        <v>296</v>
      </c>
      <c r="GPD18">
        <v>0</v>
      </c>
      <c r="GPE18">
        <v>0</v>
      </c>
      <c r="GPF18">
        <v>0</v>
      </c>
      <c r="GPG18">
        <v>0</v>
      </c>
      <c r="GPH18">
        <v>2447.91</v>
      </c>
      <c r="GPI18">
        <v>3202.96</v>
      </c>
      <c r="GPJ18">
        <v>241</v>
      </c>
      <c r="GPK18">
        <v>0</v>
      </c>
      <c r="GPL18">
        <v>62</v>
      </c>
      <c r="GPM18">
        <v>0</v>
      </c>
      <c r="GPN18">
        <v>130</v>
      </c>
      <c r="GPO18">
        <v>2794.96</v>
      </c>
      <c r="GPP18">
        <v>93</v>
      </c>
      <c r="GPQ18">
        <v>0</v>
      </c>
      <c r="GPR18">
        <v>179</v>
      </c>
      <c r="GPS18">
        <v>0</v>
      </c>
      <c r="GPT18">
        <v>0</v>
      </c>
      <c r="GPU18">
        <v>2435.96</v>
      </c>
      <c r="GPV18">
        <v>0</v>
      </c>
      <c r="GPW18">
        <v>37</v>
      </c>
      <c r="GPX18">
        <v>245</v>
      </c>
      <c r="GPY18">
        <v>0</v>
      </c>
      <c r="GPZ18">
        <v>0</v>
      </c>
      <c r="GQA18">
        <v>603</v>
      </c>
      <c r="GQB18">
        <v>0</v>
      </c>
      <c r="GQC18">
        <v>0</v>
      </c>
      <c r="GQD18">
        <v>3198.95</v>
      </c>
      <c r="GQE18">
        <v>0</v>
      </c>
      <c r="GQF18">
        <v>643</v>
      </c>
      <c r="GQG18">
        <v>0</v>
      </c>
      <c r="GQH18">
        <v>0</v>
      </c>
      <c r="GQI18">
        <v>921.99</v>
      </c>
      <c r="GQJ18">
        <v>0</v>
      </c>
      <c r="GQK18">
        <v>0</v>
      </c>
      <c r="GQL18">
        <v>0</v>
      </c>
      <c r="GQM18">
        <v>759.99</v>
      </c>
      <c r="GQN18">
        <v>0</v>
      </c>
      <c r="GQO18">
        <v>0</v>
      </c>
      <c r="GQP18">
        <v>0</v>
      </c>
      <c r="GQQ18">
        <v>0</v>
      </c>
      <c r="GQR18">
        <v>0</v>
      </c>
      <c r="GQS18">
        <v>0</v>
      </c>
      <c r="GQT18">
        <v>985.99</v>
      </c>
      <c r="GQU18">
        <v>0</v>
      </c>
      <c r="GQV18">
        <v>826.99</v>
      </c>
      <c r="GQW18">
        <v>0</v>
      </c>
      <c r="GQX18">
        <v>0</v>
      </c>
      <c r="GQY18">
        <v>0</v>
      </c>
      <c r="GQZ18">
        <v>4543.95</v>
      </c>
      <c r="GRA18">
        <v>471</v>
      </c>
      <c r="GRB18">
        <v>0</v>
      </c>
      <c r="GRC18">
        <v>0</v>
      </c>
      <c r="GRD18">
        <v>0</v>
      </c>
      <c r="GRE18">
        <v>42</v>
      </c>
      <c r="GRF18">
        <v>0</v>
      </c>
      <c r="GRG18">
        <v>403.99</v>
      </c>
      <c r="GRH18">
        <v>16</v>
      </c>
      <c r="GRI18">
        <v>42</v>
      </c>
      <c r="GRJ18">
        <v>0</v>
      </c>
      <c r="GRK18">
        <v>3198.95</v>
      </c>
      <c r="GRL18">
        <v>986</v>
      </c>
      <c r="GRM18">
        <v>800.97</v>
      </c>
      <c r="GRN18">
        <v>6285.91</v>
      </c>
      <c r="GRO18">
        <v>0</v>
      </c>
      <c r="GRP18">
        <v>4186.8599999999997</v>
      </c>
      <c r="GRQ18">
        <v>64</v>
      </c>
      <c r="GRR18">
        <v>2921.96</v>
      </c>
      <c r="GRS18">
        <v>1819.98</v>
      </c>
      <c r="GRT18">
        <v>115</v>
      </c>
      <c r="GRU18">
        <v>2215.94</v>
      </c>
      <c r="GRV18">
        <v>0</v>
      </c>
      <c r="GRW18">
        <v>304</v>
      </c>
      <c r="GRX18">
        <v>1042</v>
      </c>
      <c r="GRY18">
        <v>1760.96</v>
      </c>
      <c r="GRZ18">
        <v>204</v>
      </c>
      <c r="GSA18">
        <v>3370.94</v>
      </c>
      <c r="GSB18">
        <v>7046.95</v>
      </c>
      <c r="GSC18">
        <v>1238.99</v>
      </c>
      <c r="GSD18">
        <v>689.97</v>
      </c>
      <c r="GSE18">
        <v>5995.87</v>
      </c>
      <c r="GSF18">
        <v>180.99</v>
      </c>
      <c r="GSG18">
        <v>2214.98</v>
      </c>
      <c r="GSH18">
        <v>612.98</v>
      </c>
      <c r="GSI18">
        <v>7285.92</v>
      </c>
      <c r="GSJ18">
        <v>3543.94</v>
      </c>
      <c r="GSK18">
        <v>6502.91</v>
      </c>
      <c r="GSL18">
        <v>2473.9899999999998</v>
      </c>
      <c r="GSM18">
        <v>2442.9</v>
      </c>
      <c r="GSN18">
        <v>0</v>
      </c>
      <c r="GSO18">
        <v>4300.9399999999996</v>
      </c>
      <c r="GSP18">
        <v>34393.64</v>
      </c>
      <c r="GSQ18">
        <v>12633.85</v>
      </c>
      <c r="GSR18">
        <v>249938.44</v>
      </c>
    </row>
    <row r="19" spans="1:5244" x14ac:dyDescent="0.2">
      <c r="A19" s="7">
        <v>239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4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5</v>
      </c>
      <c r="CR19">
        <v>5</v>
      </c>
      <c r="CS19">
        <v>5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6</v>
      </c>
      <c r="FC19">
        <v>6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7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8</v>
      </c>
      <c r="JN19">
        <v>8</v>
      </c>
      <c r="JO19">
        <v>8</v>
      </c>
      <c r="JP19">
        <v>8</v>
      </c>
      <c r="JQ19">
        <v>0</v>
      </c>
      <c r="JR19">
        <v>0</v>
      </c>
      <c r="JS19">
        <v>0</v>
      </c>
      <c r="JT19">
        <v>8.99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9</v>
      </c>
      <c r="LL19">
        <v>9</v>
      </c>
      <c r="LM19">
        <v>9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10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11</v>
      </c>
      <c r="PY19">
        <v>11</v>
      </c>
      <c r="PZ19">
        <v>11</v>
      </c>
      <c r="QA19">
        <v>11</v>
      </c>
      <c r="QB19">
        <v>11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12</v>
      </c>
      <c r="SM19">
        <v>12</v>
      </c>
      <c r="SN19">
        <v>12</v>
      </c>
      <c r="SO19">
        <v>12</v>
      </c>
      <c r="SP19">
        <v>12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13</v>
      </c>
      <c r="UK19">
        <v>13</v>
      </c>
      <c r="UL19">
        <v>0</v>
      </c>
      <c r="UM19">
        <v>0</v>
      </c>
      <c r="UN19">
        <v>0</v>
      </c>
      <c r="UO19">
        <v>0</v>
      </c>
      <c r="UP19">
        <v>13.99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14</v>
      </c>
      <c r="WQ19">
        <v>14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15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16</v>
      </c>
      <c r="AAN19">
        <v>16</v>
      </c>
      <c r="AAO19">
        <v>0</v>
      </c>
      <c r="AAP19">
        <v>0</v>
      </c>
      <c r="AAQ19">
        <v>0</v>
      </c>
      <c r="AAR19">
        <v>16.989999999999998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17</v>
      </c>
      <c r="ACJ19">
        <v>17</v>
      </c>
      <c r="ACK19">
        <v>17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18</v>
      </c>
      <c r="AEI19">
        <v>18</v>
      </c>
      <c r="AEJ19">
        <v>18</v>
      </c>
      <c r="AEK19">
        <v>18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10</v>
      </c>
      <c r="AGS19">
        <v>19</v>
      </c>
      <c r="AGT19">
        <v>19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20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21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15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22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25</v>
      </c>
      <c r="ARM19">
        <v>25</v>
      </c>
      <c r="ARN19">
        <v>25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26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27.99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28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28.99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29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31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32</v>
      </c>
      <c r="BBI19">
        <v>32</v>
      </c>
      <c r="BBJ19">
        <v>32</v>
      </c>
      <c r="BBK19">
        <v>32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33</v>
      </c>
      <c r="BCZ19">
        <v>33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34</v>
      </c>
      <c r="BEK19">
        <v>34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35</v>
      </c>
      <c r="BFU19">
        <v>35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38</v>
      </c>
      <c r="BJP19">
        <v>38</v>
      </c>
      <c r="BJQ19">
        <v>38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40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17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23</v>
      </c>
      <c r="BNV19">
        <v>0</v>
      </c>
      <c r="BNW19">
        <v>0</v>
      </c>
      <c r="BNX19">
        <v>42</v>
      </c>
      <c r="BNY19">
        <v>42</v>
      </c>
      <c r="BNZ19">
        <v>42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43.99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8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25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46</v>
      </c>
      <c r="BRR19">
        <v>46</v>
      </c>
      <c r="BRS19">
        <v>46</v>
      </c>
      <c r="BRT19">
        <v>46</v>
      </c>
      <c r="BRU19">
        <v>46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48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49</v>
      </c>
      <c r="BUM19">
        <v>49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50</v>
      </c>
      <c r="BVQ19">
        <v>50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50.99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51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34</v>
      </c>
      <c r="BXB19">
        <v>0</v>
      </c>
      <c r="BXC19">
        <v>0</v>
      </c>
      <c r="BXD19">
        <v>0</v>
      </c>
      <c r="BXE19">
        <v>0</v>
      </c>
      <c r="BXF19">
        <v>52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</v>
      </c>
      <c r="BXY19">
        <v>0</v>
      </c>
      <c r="BXZ19">
        <v>53</v>
      </c>
      <c r="BYA19">
        <v>0</v>
      </c>
      <c r="BYB19">
        <v>0</v>
      </c>
      <c r="BYC19">
        <v>0</v>
      </c>
      <c r="BYD19">
        <v>0</v>
      </c>
      <c r="BYE19">
        <v>0</v>
      </c>
      <c r="BYF19">
        <v>0</v>
      </c>
      <c r="BYG19">
        <v>0</v>
      </c>
      <c r="BYH19">
        <v>0</v>
      </c>
      <c r="BYI19">
        <v>0</v>
      </c>
      <c r="BYJ19">
        <v>0</v>
      </c>
      <c r="BYK19">
        <v>0</v>
      </c>
      <c r="BYL19">
        <v>0</v>
      </c>
      <c r="BYM19">
        <v>0</v>
      </c>
      <c r="BYN19">
        <v>0</v>
      </c>
      <c r="BYO19">
        <v>0</v>
      </c>
      <c r="BYP19">
        <v>0</v>
      </c>
      <c r="BYQ19">
        <v>0</v>
      </c>
      <c r="BYR19">
        <v>0</v>
      </c>
      <c r="BYS19">
        <v>0</v>
      </c>
      <c r="BYT19">
        <v>0</v>
      </c>
      <c r="BYU19">
        <v>0</v>
      </c>
      <c r="BYV19">
        <v>0</v>
      </c>
      <c r="BYW19">
        <v>0</v>
      </c>
      <c r="BYX19">
        <v>0</v>
      </c>
      <c r="BYY19">
        <v>0</v>
      </c>
      <c r="BYZ19">
        <v>0</v>
      </c>
      <c r="BZA19">
        <v>0</v>
      </c>
      <c r="BZB19">
        <v>0</v>
      </c>
      <c r="BZC19">
        <v>0</v>
      </c>
      <c r="BZD19">
        <v>0</v>
      </c>
      <c r="BZE19">
        <v>0</v>
      </c>
      <c r="BZF19">
        <v>0</v>
      </c>
      <c r="BZG19">
        <v>0</v>
      </c>
      <c r="BZH19">
        <v>0</v>
      </c>
      <c r="BZI19">
        <v>0</v>
      </c>
      <c r="BZJ19">
        <v>0</v>
      </c>
      <c r="BZK19">
        <v>0</v>
      </c>
      <c r="BZL19">
        <v>0</v>
      </c>
      <c r="BZM19">
        <v>0</v>
      </c>
      <c r="BZN19">
        <v>0</v>
      </c>
      <c r="BZO19">
        <v>0</v>
      </c>
      <c r="BZP19">
        <v>0</v>
      </c>
      <c r="BZQ19">
        <v>0</v>
      </c>
      <c r="BZR19">
        <v>0</v>
      </c>
      <c r="BZS19">
        <v>0</v>
      </c>
      <c r="BZT19">
        <v>0</v>
      </c>
      <c r="BZU19">
        <v>0</v>
      </c>
      <c r="BZV19">
        <v>0</v>
      </c>
      <c r="BZW19">
        <v>0</v>
      </c>
      <c r="BZX19">
        <v>0</v>
      </c>
      <c r="BZY19">
        <v>0</v>
      </c>
      <c r="BZZ19">
        <v>0</v>
      </c>
      <c r="CAA19">
        <v>0</v>
      </c>
      <c r="CAB19">
        <v>0</v>
      </c>
      <c r="CAC19">
        <v>0</v>
      </c>
      <c r="CAD19">
        <v>0</v>
      </c>
      <c r="CAE19">
        <v>0</v>
      </c>
      <c r="CAF19">
        <v>0</v>
      </c>
      <c r="CAG19">
        <v>0</v>
      </c>
      <c r="CAH19">
        <v>0</v>
      </c>
      <c r="CAI19">
        <v>0</v>
      </c>
      <c r="CAJ19">
        <v>0</v>
      </c>
      <c r="CAK19">
        <v>0</v>
      </c>
      <c r="CAL19">
        <v>0</v>
      </c>
      <c r="CAM19">
        <v>0</v>
      </c>
      <c r="CAN19">
        <v>0</v>
      </c>
      <c r="CAO19">
        <v>0</v>
      </c>
      <c r="CAP19">
        <v>0</v>
      </c>
      <c r="CAQ19">
        <v>0</v>
      </c>
      <c r="CAR19">
        <v>0</v>
      </c>
      <c r="CAS19">
        <v>0</v>
      </c>
      <c r="CAT19">
        <v>0</v>
      </c>
      <c r="CAU19">
        <v>0</v>
      </c>
      <c r="CAV19">
        <v>0</v>
      </c>
      <c r="CAW19">
        <v>0</v>
      </c>
      <c r="CAX19">
        <v>0</v>
      </c>
      <c r="CAY19">
        <v>0</v>
      </c>
      <c r="CAZ19">
        <v>0</v>
      </c>
      <c r="CBA19">
        <v>0</v>
      </c>
      <c r="CBB19">
        <v>0</v>
      </c>
      <c r="CBC19">
        <v>0</v>
      </c>
      <c r="CBD19">
        <v>0</v>
      </c>
      <c r="CBE19">
        <v>0</v>
      </c>
      <c r="CBF19">
        <v>0</v>
      </c>
      <c r="CBG19">
        <v>0</v>
      </c>
      <c r="CBH19">
        <v>0</v>
      </c>
      <c r="CBI19">
        <v>0</v>
      </c>
      <c r="CBJ19">
        <v>0</v>
      </c>
      <c r="CBK19">
        <v>0</v>
      </c>
      <c r="CBL19">
        <v>0</v>
      </c>
      <c r="CBM19">
        <v>58</v>
      </c>
      <c r="CBN19">
        <v>0</v>
      </c>
      <c r="CBO19">
        <v>0</v>
      </c>
      <c r="CBP19">
        <v>0</v>
      </c>
      <c r="CBQ19">
        <v>0</v>
      </c>
      <c r="CBR19">
        <v>0</v>
      </c>
      <c r="CBS19">
        <v>58.99</v>
      </c>
      <c r="CBT19">
        <v>0</v>
      </c>
      <c r="CBU19">
        <v>0</v>
      </c>
      <c r="CBV19">
        <v>8</v>
      </c>
      <c r="CBW19">
        <v>0</v>
      </c>
      <c r="CBX19">
        <v>0</v>
      </c>
      <c r="CBY19">
        <v>0</v>
      </c>
      <c r="CBZ19">
        <v>0</v>
      </c>
      <c r="CCA19">
        <v>0</v>
      </c>
      <c r="CCB19">
        <v>0</v>
      </c>
      <c r="CCC19">
        <v>59</v>
      </c>
      <c r="CCD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K19">
        <v>0</v>
      </c>
      <c r="CCL19">
        <v>0</v>
      </c>
      <c r="CCM19">
        <v>0</v>
      </c>
      <c r="CCN19">
        <v>0</v>
      </c>
      <c r="CCO19">
        <v>0</v>
      </c>
      <c r="CCP19">
        <v>0</v>
      </c>
      <c r="CCQ19">
        <v>0</v>
      </c>
      <c r="CCR19">
        <v>0</v>
      </c>
      <c r="CCS19">
        <v>0</v>
      </c>
      <c r="CCT19">
        <v>0</v>
      </c>
      <c r="CCU19">
        <v>0</v>
      </c>
      <c r="CCV19">
        <v>0</v>
      </c>
      <c r="CCW19">
        <v>0</v>
      </c>
      <c r="CCX19">
        <v>0</v>
      </c>
      <c r="CCY19">
        <v>0</v>
      </c>
      <c r="CCZ19">
        <v>0</v>
      </c>
      <c r="CDA19">
        <v>53</v>
      </c>
      <c r="CDB19">
        <v>0</v>
      </c>
      <c r="CDC19">
        <v>0</v>
      </c>
      <c r="CDD19">
        <v>0</v>
      </c>
      <c r="CDE19">
        <v>0</v>
      </c>
      <c r="CDF19">
        <v>0</v>
      </c>
      <c r="CDG19">
        <v>0</v>
      </c>
      <c r="CDH19">
        <v>0</v>
      </c>
      <c r="CDI19">
        <v>0</v>
      </c>
      <c r="CDJ19">
        <v>0</v>
      </c>
      <c r="CDK19">
        <v>0</v>
      </c>
      <c r="CDL19">
        <v>0</v>
      </c>
      <c r="CDM19">
        <v>0</v>
      </c>
      <c r="CDN19">
        <v>0</v>
      </c>
      <c r="CDO19">
        <v>0</v>
      </c>
      <c r="CDP19">
        <v>0</v>
      </c>
      <c r="CDQ19">
        <v>0</v>
      </c>
      <c r="CDR19">
        <v>32</v>
      </c>
      <c r="CDS19">
        <v>0</v>
      </c>
      <c r="CDT19">
        <v>0</v>
      </c>
      <c r="CDU19">
        <v>0</v>
      </c>
      <c r="CDV19">
        <v>0</v>
      </c>
      <c r="CDW19">
        <v>0</v>
      </c>
      <c r="CDX19">
        <v>0</v>
      </c>
      <c r="CDY19">
        <v>0</v>
      </c>
      <c r="CDZ19">
        <v>0</v>
      </c>
      <c r="CEA19">
        <v>0</v>
      </c>
      <c r="CEB19">
        <v>0</v>
      </c>
      <c r="CEC19">
        <v>0</v>
      </c>
      <c r="CED19">
        <v>0</v>
      </c>
      <c r="CEE19">
        <v>0</v>
      </c>
      <c r="CEF19">
        <v>0</v>
      </c>
      <c r="CEG19">
        <v>0</v>
      </c>
      <c r="CEH19">
        <v>0</v>
      </c>
      <c r="CEI19">
        <v>0</v>
      </c>
      <c r="CEJ19">
        <v>0</v>
      </c>
      <c r="CEK19">
        <v>0</v>
      </c>
      <c r="CEL19">
        <v>0</v>
      </c>
      <c r="CEM19">
        <v>0</v>
      </c>
      <c r="CEN19">
        <v>0</v>
      </c>
      <c r="CEO19">
        <v>0</v>
      </c>
      <c r="CEP19">
        <v>0</v>
      </c>
      <c r="CEQ19">
        <v>0</v>
      </c>
      <c r="CER19">
        <v>0</v>
      </c>
      <c r="CES19">
        <v>0</v>
      </c>
      <c r="CET19">
        <v>0</v>
      </c>
      <c r="CEU19">
        <v>63</v>
      </c>
      <c r="CEV19">
        <v>17</v>
      </c>
      <c r="CEW19">
        <v>0</v>
      </c>
      <c r="CEX19">
        <v>0</v>
      </c>
      <c r="CEY19">
        <v>0</v>
      </c>
      <c r="CEZ19">
        <v>0</v>
      </c>
      <c r="CFA19">
        <v>0</v>
      </c>
      <c r="CFB19">
        <v>0</v>
      </c>
      <c r="CFC19">
        <v>0</v>
      </c>
      <c r="CFD19">
        <v>0</v>
      </c>
      <c r="CFE19">
        <v>0</v>
      </c>
      <c r="CFF19">
        <v>0</v>
      </c>
      <c r="CFG19">
        <v>0</v>
      </c>
      <c r="CFH19">
        <v>0</v>
      </c>
      <c r="CFI19">
        <v>0</v>
      </c>
      <c r="CFJ19">
        <v>27</v>
      </c>
      <c r="CFK19">
        <v>0</v>
      </c>
      <c r="CFL19">
        <v>0</v>
      </c>
      <c r="CFM19">
        <v>0</v>
      </c>
      <c r="CFN19">
        <v>0</v>
      </c>
      <c r="CFO19">
        <v>0</v>
      </c>
      <c r="CFP19">
        <v>0</v>
      </c>
      <c r="CFQ19">
        <v>0</v>
      </c>
      <c r="CFR19">
        <v>0</v>
      </c>
      <c r="CFS19">
        <v>0</v>
      </c>
      <c r="CFT19">
        <v>0</v>
      </c>
      <c r="CFU19">
        <v>0</v>
      </c>
      <c r="CFV19">
        <v>0</v>
      </c>
      <c r="CFW19">
        <v>0</v>
      </c>
      <c r="CFX19">
        <v>0</v>
      </c>
      <c r="CFY19">
        <v>0</v>
      </c>
      <c r="CFZ19">
        <v>0</v>
      </c>
      <c r="CGA19">
        <v>0</v>
      </c>
      <c r="CGB19">
        <v>0</v>
      </c>
      <c r="CGC19">
        <v>0</v>
      </c>
      <c r="CGD19">
        <v>0</v>
      </c>
      <c r="CGE19">
        <v>0</v>
      </c>
      <c r="CGF19">
        <v>0</v>
      </c>
      <c r="CGG19">
        <v>0</v>
      </c>
      <c r="CGH19">
        <v>0</v>
      </c>
      <c r="CGI19">
        <v>0</v>
      </c>
      <c r="CGJ19">
        <v>0</v>
      </c>
      <c r="CGK19">
        <v>0</v>
      </c>
      <c r="CGL19">
        <v>0</v>
      </c>
      <c r="CGM19">
        <v>0</v>
      </c>
      <c r="CGN19">
        <v>0</v>
      </c>
      <c r="CGO19">
        <v>0</v>
      </c>
      <c r="CGP19">
        <v>0</v>
      </c>
      <c r="CGQ19">
        <v>0</v>
      </c>
      <c r="CGR19">
        <v>0</v>
      </c>
      <c r="CGS19">
        <v>0</v>
      </c>
      <c r="CGT19">
        <v>0</v>
      </c>
      <c r="CGU19">
        <v>0</v>
      </c>
      <c r="CGV19">
        <v>0</v>
      </c>
      <c r="CGW19">
        <v>0</v>
      </c>
      <c r="CGX19">
        <v>0</v>
      </c>
      <c r="CGY19">
        <v>0</v>
      </c>
      <c r="CGZ19">
        <v>0</v>
      </c>
      <c r="CHA19">
        <v>0</v>
      </c>
      <c r="CHB19">
        <v>6</v>
      </c>
      <c r="CHC19">
        <v>0</v>
      </c>
      <c r="CHD19">
        <v>0</v>
      </c>
      <c r="CHE19">
        <v>0</v>
      </c>
      <c r="CHF19">
        <v>0</v>
      </c>
      <c r="CHG19">
        <v>0</v>
      </c>
      <c r="CHH19">
        <v>0</v>
      </c>
      <c r="CHI19">
        <v>15</v>
      </c>
      <c r="CHJ19">
        <v>0</v>
      </c>
      <c r="CHK19">
        <v>0</v>
      </c>
      <c r="CHL19">
        <v>0</v>
      </c>
      <c r="CHM19">
        <v>0</v>
      </c>
      <c r="CHN19">
        <v>0</v>
      </c>
      <c r="CHO19">
        <v>0</v>
      </c>
      <c r="CHP19">
        <v>0</v>
      </c>
      <c r="CHQ19">
        <v>0</v>
      </c>
      <c r="CHR19">
        <v>0</v>
      </c>
      <c r="CHS19">
        <v>0</v>
      </c>
      <c r="CHT19">
        <v>0</v>
      </c>
      <c r="CHU19">
        <v>0</v>
      </c>
      <c r="CHV19">
        <v>67</v>
      </c>
      <c r="CHW19">
        <v>0</v>
      </c>
      <c r="CHX19">
        <v>0</v>
      </c>
      <c r="CHY19">
        <v>0</v>
      </c>
      <c r="CHZ19">
        <v>0</v>
      </c>
      <c r="CIA19">
        <v>0</v>
      </c>
      <c r="CIB19">
        <v>0</v>
      </c>
      <c r="CIC19">
        <v>0</v>
      </c>
      <c r="CID19">
        <v>0</v>
      </c>
      <c r="CIE19">
        <v>0</v>
      </c>
      <c r="CIF19">
        <v>0</v>
      </c>
      <c r="CIG19">
        <v>0</v>
      </c>
      <c r="CIH19">
        <v>0</v>
      </c>
      <c r="CII19">
        <v>0</v>
      </c>
      <c r="CIJ19">
        <v>0</v>
      </c>
      <c r="CIK19">
        <v>0</v>
      </c>
      <c r="CIL19">
        <v>0</v>
      </c>
      <c r="CIM19">
        <v>0</v>
      </c>
      <c r="CIN19">
        <v>0</v>
      </c>
      <c r="CIO19">
        <v>0</v>
      </c>
      <c r="CIP19">
        <v>0</v>
      </c>
      <c r="CIQ19">
        <v>0</v>
      </c>
      <c r="CIR19">
        <v>0</v>
      </c>
      <c r="CIS19">
        <v>0</v>
      </c>
      <c r="CIT19">
        <v>0</v>
      </c>
      <c r="CIU19">
        <v>0</v>
      </c>
      <c r="CIV19">
        <v>0</v>
      </c>
      <c r="CIW19">
        <v>0</v>
      </c>
      <c r="CIX19">
        <v>0</v>
      </c>
      <c r="CIY19">
        <v>0</v>
      </c>
      <c r="CIZ19">
        <v>0</v>
      </c>
      <c r="CJA19">
        <v>0</v>
      </c>
      <c r="CJB19">
        <v>0</v>
      </c>
      <c r="CJC19">
        <v>0</v>
      </c>
      <c r="CJD19">
        <v>0</v>
      </c>
      <c r="CJE19">
        <v>0</v>
      </c>
      <c r="CJF19">
        <v>0</v>
      </c>
      <c r="CJG19">
        <v>0</v>
      </c>
      <c r="CJH19">
        <v>0</v>
      </c>
      <c r="CJI19">
        <v>0</v>
      </c>
      <c r="CJJ19">
        <v>0</v>
      </c>
      <c r="CJK19">
        <v>0</v>
      </c>
      <c r="CJL19">
        <v>0</v>
      </c>
      <c r="CJM19">
        <v>0</v>
      </c>
      <c r="CJN19">
        <v>0</v>
      </c>
      <c r="CJO19">
        <v>0</v>
      </c>
      <c r="CJP19">
        <v>0</v>
      </c>
      <c r="CJQ19">
        <v>0</v>
      </c>
      <c r="CJR19">
        <v>0</v>
      </c>
      <c r="CJS19">
        <v>0</v>
      </c>
      <c r="CJT19">
        <v>0</v>
      </c>
      <c r="CJU19">
        <v>0</v>
      </c>
      <c r="CJV19">
        <v>0</v>
      </c>
      <c r="CJW19">
        <v>0</v>
      </c>
      <c r="CJX19">
        <v>0</v>
      </c>
      <c r="CJY19">
        <v>0</v>
      </c>
      <c r="CJZ19">
        <v>0</v>
      </c>
      <c r="CKA19">
        <v>0</v>
      </c>
      <c r="CKB19">
        <v>0</v>
      </c>
      <c r="CKC19">
        <v>0</v>
      </c>
      <c r="CKD19">
        <v>0</v>
      </c>
      <c r="CKE19">
        <v>0</v>
      </c>
      <c r="CKF19">
        <v>0</v>
      </c>
      <c r="CKG19">
        <v>50.99</v>
      </c>
      <c r="CKH19">
        <v>0</v>
      </c>
      <c r="CKI19">
        <v>0</v>
      </c>
      <c r="CKJ19">
        <v>0</v>
      </c>
      <c r="CKK19">
        <v>0</v>
      </c>
      <c r="CKL19">
        <v>0</v>
      </c>
      <c r="CKM19">
        <v>0</v>
      </c>
      <c r="CKN19">
        <v>0</v>
      </c>
      <c r="CKO19">
        <v>0</v>
      </c>
      <c r="CKP19">
        <v>0</v>
      </c>
      <c r="CKQ19">
        <v>0</v>
      </c>
      <c r="CKR19">
        <v>0</v>
      </c>
      <c r="CKS19">
        <v>0</v>
      </c>
      <c r="CKT19">
        <v>71</v>
      </c>
      <c r="CKU19">
        <v>0</v>
      </c>
      <c r="CKV19">
        <v>0</v>
      </c>
      <c r="CKW19">
        <v>0</v>
      </c>
      <c r="CKX19">
        <v>0</v>
      </c>
      <c r="CKY19">
        <v>0</v>
      </c>
      <c r="CKZ19">
        <v>0</v>
      </c>
      <c r="CLA19">
        <v>0</v>
      </c>
      <c r="CLB19">
        <v>0</v>
      </c>
      <c r="CLC19">
        <v>0</v>
      </c>
      <c r="CLD19">
        <v>0</v>
      </c>
      <c r="CLE19">
        <v>0</v>
      </c>
      <c r="CLF19">
        <v>0</v>
      </c>
      <c r="CLG19">
        <v>0</v>
      </c>
      <c r="CLH19">
        <v>0</v>
      </c>
      <c r="CLI19">
        <v>0</v>
      </c>
      <c r="CLJ19">
        <v>0</v>
      </c>
      <c r="CLK19">
        <v>0</v>
      </c>
      <c r="CLL19">
        <v>0</v>
      </c>
      <c r="CLM19">
        <v>0</v>
      </c>
      <c r="CLN19">
        <v>0</v>
      </c>
      <c r="CLO19">
        <v>0</v>
      </c>
      <c r="CLP19">
        <v>0</v>
      </c>
      <c r="CLQ19">
        <v>0</v>
      </c>
      <c r="CLR19">
        <v>0</v>
      </c>
      <c r="CLS19">
        <v>0</v>
      </c>
      <c r="CLT19">
        <v>0</v>
      </c>
      <c r="CLU19">
        <v>0</v>
      </c>
      <c r="CLV19">
        <v>0</v>
      </c>
      <c r="CLW19">
        <v>0</v>
      </c>
      <c r="CLX19">
        <v>0</v>
      </c>
      <c r="CLY19">
        <v>0</v>
      </c>
      <c r="CLZ19">
        <v>0</v>
      </c>
      <c r="CMA19">
        <v>0</v>
      </c>
      <c r="CMB19">
        <v>0</v>
      </c>
      <c r="CMC19">
        <v>0</v>
      </c>
      <c r="CMD19">
        <v>0</v>
      </c>
      <c r="CME19">
        <v>0</v>
      </c>
      <c r="CMF19">
        <v>0</v>
      </c>
      <c r="CMG19">
        <v>0</v>
      </c>
      <c r="CMH19">
        <v>0</v>
      </c>
      <c r="CMI19">
        <v>0</v>
      </c>
      <c r="CMJ19">
        <v>0</v>
      </c>
      <c r="CMK19">
        <v>0</v>
      </c>
      <c r="CML19">
        <v>0</v>
      </c>
      <c r="CMM19">
        <v>69</v>
      </c>
      <c r="CMN19">
        <v>0</v>
      </c>
      <c r="CMO19">
        <v>0</v>
      </c>
      <c r="CMP19">
        <v>0</v>
      </c>
      <c r="CMQ19">
        <v>0</v>
      </c>
      <c r="CMR19">
        <v>0</v>
      </c>
      <c r="CMS19">
        <v>0</v>
      </c>
      <c r="CMT19">
        <v>0</v>
      </c>
      <c r="CMU19">
        <v>0</v>
      </c>
      <c r="CMV19">
        <v>0</v>
      </c>
      <c r="CMW19">
        <v>0</v>
      </c>
      <c r="CMX19">
        <v>0</v>
      </c>
      <c r="CMY19">
        <v>0</v>
      </c>
      <c r="CMZ19">
        <v>0</v>
      </c>
      <c r="CNA19">
        <v>0</v>
      </c>
      <c r="CNB19">
        <v>0</v>
      </c>
      <c r="CNC19">
        <v>0</v>
      </c>
      <c r="CND19">
        <v>76.989999999999995</v>
      </c>
      <c r="CNE19">
        <v>0</v>
      </c>
      <c r="CNF19">
        <v>0</v>
      </c>
      <c r="CNG19">
        <v>0</v>
      </c>
      <c r="CNH19">
        <v>0</v>
      </c>
      <c r="CNI19">
        <v>0</v>
      </c>
      <c r="CNJ19">
        <v>0</v>
      </c>
      <c r="CNK19">
        <v>0</v>
      </c>
      <c r="CNL19">
        <v>0</v>
      </c>
      <c r="CNM19">
        <v>0</v>
      </c>
      <c r="CNN19">
        <v>0</v>
      </c>
      <c r="CNO19">
        <v>77</v>
      </c>
      <c r="CNP19">
        <v>77</v>
      </c>
      <c r="CNQ19">
        <v>0</v>
      </c>
      <c r="CNR19">
        <v>0</v>
      </c>
      <c r="CNS19">
        <v>0</v>
      </c>
      <c r="CNT19">
        <v>0</v>
      </c>
      <c r="CNU19">
        <v>0</v>
      </c>
      <c r="CNV19">
        <v>0</v>
      </c>
      <c r="CNW19">
        <v>0</v>
      </c>
      <c r="CNX19">
        <v>0</v>
      </c>
      <c r="CNY19">
        <v>0</v>
      </c>
      <c r="CNZ19">
        <v>0</v>
      </c>
      <c r="COA19">
        <v>11</v>
      </c>
      <c r="COB19">
        <v>0</v>
      </c>
      <c r="COC19">
        <v>22</v>
      </c>
      <c r="COD19">
        <v>0</v>
      </c>
      <c r="COE19">
        <v>0</v>
      </c>
      <c r="COF19">
        <v>0</v>
      </c>
      <c r="COG19">
        <v>0</v>
      </c>
      <c r="COH19">
        <v>0</v>
      </c>
      <c r="COI19">
        <v>0</v>
      </c>
      <c r="COJ19">
        <v>0</v>
      </c>
      <c r="COK19">
        <v>0</v>
      </c>
      <c r="COL19">
        <v>0</v>
      </c>
      <c r="COM19">
        <v>0</v>
      </c>
      <c r="CON19">
        <v>0</v>
      </c>
      <c r="COO19">
        <v>0</v>
      </c>
      <c r="COP19">
        <v>0</v>
      </c>
      <c r="COQ19">
        <v>0</v>
      </c>
      <c r="COR19">
        <v>0</v>
      </c>
      <c r="COS19">
        <v>0</v>
      </c>
      <c r="COT19">
        <v>0</v>
      </c>
      <c r="COU19">
        <v>0</v>
      </c>
      <c r="COV19">
        <v>0</v>
      </c>
      <c r="COW19">
        <v>0</v>
      </c>
      <c r="COX19">
        <v>0</v>
      </c>
      <c r="COY19">
        <v>0</v>
      </c>
      <c r="COZ19">
        <v>0</v>
      </c>
      <c r="CPA19">
        <v>0</v>
      </c>
      <c r="CPB19">
        <v>0</v>
      </c>
      <c r="CPC19">
        <v>0</v>
      </c>
      <c r="CPD19">
        <v>0</v>
      </c>
      <c r="CPE19">
        <v>0</v>
      </c>
      <c r="CPF19">
        <v>0</v>
      </c>
      <c r="CPG19">
        <v>0</v>
      </c>
      <c r="CPH19">
        <v>0</v>
      </c>
      <c r="CPI19">
        <v>0</v>
      </c>
      <c r="CPJ19">
        <v>0</v>
      </c>
      <c r="CPK19">
        <v>0</v>
      </c>
      <c r="CPL19">
        <v>0</v>
      </c>
      <c r="CPM19">
        <v>0</v>
      </c>
      <c r="CPN19">
        <v>0</v>
      </c>
      <c r="CPO19">
        <v>81</v>
      </c>
      <c r="CPP19">
        <v>0</v>
      </c>
      <c r="CPQ19">
        <v>81.99</v>
      </c>
      <c r="CPR19">
        <v>0</v>
      </c>
      <c r="CPS19">
        <v>0</v>
      </c>
      <c r="CPT19">
        <v>0</v>
      </c>
      <c r="CPU19">
        <v>0</v>
      </c>
      <c r="CPV19">
        <v>0</v>
      </c>
      <c r="CPW19">
        <v>0</v>
      </c>
      <c r="CPX19">
        <v>0</v>
      </c>
      <c r="CPY19">
        <v>0</v>
      </c>
      <c r="CPZ19">
        <v>0</v>
      </c>
      <c r="CQA19">
        <v>0</v>
      </c>
      <c r="CQB19">
        <v>0</v>
      </c>
      <c r="CQC19">
        <v>0</v>
      </c>
      <c r="CQD19">
        <v>0</v>
      </c>
      <c r="CQE19">
        <v>0</v>
      </c>
      <c r="CQF19">
        <v>38.99</v>
      </c>
      <c r="CQG19">
        <v>0</v>
      </c>
      <c r="CQH19">
        <v>0</v>
      </c>
      <c r="CQI19">
        <v>0</v>
      </c>
      <c r="CQJ19">
        <v>0</v>
      </c>
      <c r="CQK19">
        <v>0</v>
      </c>
      <c r="CQL19">
        <v>0</v>
      </c>
      <c r="CQM19">
        <v>0</v>
      </c>
      <c r="CQN19">
        <v>0</v>
      </c>
      <c r="CQO19">
        <v>0</v>
      </c>
      <c r="CQP19">
        <v>0</v>
      </c>
      <c r="CQQ19">
        <v>0</v>
      </c>
      <c r="CQR19">
        <v>0</v>
      </c>
      <c r="CQS19">
        <v>0</v>
      </c>
      <c r="CQT19">
        <v>0</v>
      </c>
      <c r="CQU19">
        <v>0</v>
      </c>
      <c r="CQV19">
        <v>0</v>
      </c>
      <c r="CQW19">
        <v>0</v>
      </c>
      <c r="CQX19">
        <v>0</v>
      </c>
      <c r="CQY19">
        <v>0</v>
      </c>
      <c r="CQZ19">
        <v>0</v>
      </c>
      <c r="CRA19">
        <v>0</v>
      </c>
      <c r="CRB19">
        <v>0</v>
      </c>
      <c r="CRC19">
        <v>0</v>
      </c>
      <c r="CRD19">
        <v>0</v>
      </c>
      <c r="CRE19">
        <v>0</v>
      </c>
      <c r="CRF19">
        <v>0</v>
      </c>
      <c r="CRG19">
        <v>0</v>
      </c>
      <c r="CRH19">
        <v>0</v>
      </c>
      <c r="CRI19">
        <v>0</v>
      </c>
      <c r="CRJ19">
        <v>0</v>
      </c>
      <c r="CRK19">
        <v>0</v>
      </c>
      <c r="CRL19">
        <v>0</v>
      </c>
      <c r="CRM19">
        <v>0</v>
      </c>
      <c r="CRN19">
        <v>0</v>
      </c>
      <c r="CRO19">
        <v>0</v>
      </c>
      <c r="CRP19">
        <v>0</v>
      </c>
      <c r="CRQ19">
        <v>0</v>
      </c>
      <c r="CRR19">
        <v>0</v>
      </c>
      <c r="CRS19">
        <v>87</v>
      </c>
      <c r="CRT19">
        <v>0</v>
      </c>
      <c r="CRU19">
        <v>0</v>
      </c>
      <c r="CRV19">
        <v>0</v>
      </c>
      <c r="CRW19">
        <v>0</v>
      </c>
      <c r="CRX19">
        <v>0</v>
      </c>
      <c r="CRY19">
        <v>0</v>
      </c>
      <c r="CRZ19">
        <v>0</v>
      </c>
      <c r="CSA19">
        <v>0</v>
      </c>
      <c r="CSB19">
        <v>0</v>
      </c>
      <c r="CSC19">
        <v>31</v>
      </c>
      <c r="CSD19">
        <v>0</v>
      </c>
      <c r="CSE19">
        <v>0</v>
      </c>
      <c r="CSF19">
        <v>0</v>
      </c>
      <c r="CSG19">
        <v>0</v>
      </c>
      <c r="CSH19">
        <v>0</v>
      </c>
      <c r="CSI19">
        <v>0</v>
      </c>
      <c r="CSJ19">
        <v>0</v>
      </c>
      <c r="CSK19">
        <v>0</v>
      </c>
      <c r="CSL19">
        <v>0</v>
      </c>
      <c r="CSM19">
        <v>0</v>
      </c>
      <c r="CSN19">
        <v>41</v>
      </c>
      <c r="CSO19">
        <v>0</v>
      </c>
      <c r="CSP19">
        <v>0</v>
      </c>
      <c r="CSQ19">
        <v>0</v>
      </c>
      <c r="CSR19">
        <v>0</v>
      </c>
      <c r="CSS19">
        <v>0</v>
      </c>
      <c r="CST19">
        <v>89</v>
      </c>
      <c r="CSU19">
        <v>0</v>
      </c>
      <c r="CSV19">
        <v>0</v>
      </c>
      <c r="CSW19">
        <v>0</v>
      </c>
      <c r="CSX19">
        <v>0</v>
      </c>
      <c r="CSY19">
        <v>0</v>
      </c>
      <c r="CSZ19">
        <v>0</v>
      </c>
      <c r="CTA19">
        <v>0</v>
      </c>
      <c r="CTB19">
        <v>0</v>
      </c>
      <c r="CTC19">
        <v>0</v>
      </c>
      <c r="CTD19">
        <v>0</v>
      </c>
      <c r="CTE19">
        <v>0</v>
      </c>
      <c r="CTF19">
        <v>0</v>
      </c>
      <c r="CTG19">
        <v>0</v>
      </c>
      <c r="CTH19">
        <v>0</v>
      </c>
      <c r="CTI19">
        <v>0</v>
      </c>
      <c r="CTJ19">
        <v>0</v>
      </c>
      <c r="CTK19">
        <v>0</v>
      </c>
      <c r="CTL19">
        <v>0</v>
      </c>
      <c r="CTM19">
        <v>0</v>
      </c>
      <c r="CTN19">
        <v>0</v>
      </c>
      <c r="CTO19">
        <v>0</v>
      </c>
      <c r="CTP19">
        <v>0</v>
      </c>
      <c r="CTQ19">
        <v>0</v>
      </c>
      <c r="CTR19">
        <v>91</v>
      </c>
      <c r="CTS19">
        <v>0</v>
      </c>
      <c r="CTT19">
        <v>0</v>
      </c>
      <c r="CTU19">
        <v>0</v>
      </c>
      <c r="CTV19">
        <v>0</v>
      </c>
      <c r="CTW19">
        <v>0</v>
      </c>
      <c r="CTX19">
        <v>0</v>
      </c>
      <c r="CTY19">
        <v>0</v>
      </c>
      <c r="CTZ19">
        <v>0</v>
      </c>
      <c r="CUA19">
        <v>0</v>
      </c>
      <c r="CUB19">
        <v>0</v>
      </c>
      <c r="CUC19">
        <v>0</v>
      </c>
      <c r="CUD19">
        <v>0</v>
      </c>
      <c r="CUE19">
        <v>0</v>
      </c>
      <c r="CUF19">
        <v>0</v>
      </c>
      <c r="CUG19">
        <v>0</v>
      </c>
      <c r="CUH19">
        <v>0</v>
      </c>
      <c r="CUI19">
        <v>0</v>
      </c>
      <c r="CUJ19">
        <v>0</v>
      </c>
      <c r="CUK19">
        <v>0</v>
      </c>
      <c r="CUL19">
        <v>0</v>
      </c>
      <c r="CUM19">
        <v>0</v>
      </c>
      <c r="CUN19">
        <v>0</v>
      </c>
      <c r="CUO19">
        <v>0</v>
      </c>
      <c r="CUP19">
        <v>0</v>
      </c>
      <c r="CUQ19">
        <v>0</v>
      </c>
      <c r="CUR19">
        <v>0</v>
      </c>
      <c r="CUS19">
        <v>0</v>
      </c>
      <c r="CUT19">
        <v>0</v>
      </c>
      <c r="CUU19">
        <v>0</v>
      </c>
      <c r="CUV19">
        <v>0</v>
      </c>
      <c r="CUW19">
        <v>0</v>
      </c>
      <c r="CUX19">
        <v>0</v>
      </c>
      <c r="CUY19">
        <v>0</v>
      </c>
      <c r="CUZ19">
        <v>0</v>
      </c>
      <c r="CVA19">
        <v>0</v>
      </c>
      <c r="CVB19">
        <v>0</v>
      </c>
      <c r="CVC19">
        <v>63</v>
      </c>
      <c r="CVD19">
        <v>0</v>
      </c>
      <c r="CVE19">
        <v>0</v>
      </c>
      <c r="CVF19">
        <v>0</v>
      </c>
      <c r="CVG19">
        <v>0</v>
      </c>
      <c r="CVH19">
        <v>0</v>
      </c>
      <c r="CVI19">
        <v>0</v>
      </c>
      <c r="CVJ19">
        <v>0</v>
      </c>
      <c r="CVK19">
        <v>0</v>
      </c>
      <c r="CVL19">
        <v>11</v>
      </c>
      <c r="CVM19">
        <v>0</v>
      </c>
      <c r="CVN19">
        <v>0</v>
      </c>
      <c r="CVO19">
        <v>0</v>
      </c>
      <c r="CVP19">
        <v>0</v>
      </c>
      <c r="CVQ19">
        <v>0</v>
      </c>
      <c r="CVR19">
        <v>0</v>
      </c>
      <c r="CVS19">
        <v>0</v>
      </c>
      <c r="CVT19">
        <v>0</v>
      </c>
      <c r="CVU19">
        <v>0</v>
      </c>
      <c r="CVV19">
        <v>20</v>
      </c>
      <c r="CVW19">
        <v>0</v>
      </c>
      <c r="CVX19">
        <v>0</v>
      </c>
      <c r="CVY19">
        <v>0</v>
      </c>
      <c r="CVZ19">
        <v>0</v>
      </c>
      <c r="CWA19">
        <v>0</v>
      </c>
      <c r="CWB19">
        <v>97</v>
      </c>
      <c r="CWC19">
        <v>0</v>
      </c>
      <c r="CWD19">
        <v>0</v>
      </c>
      <c r="CWE19">
        <v>0</v>
      </c>
      <c r="CWF19">
        <v>0</v>
      </c>
      <c r="CWG19">
        <v>0</v>
      </c>
      <c r="CWH19">
        <v>0</v>
      </c>
      <c r="CWI19">
        <v>0</v>
      </c>
      <c r="CWJ19">
        <v>0</v>
      </c>
      <c r="CWK19">
        <v>0</v>
      </c>
      <c r="CWL19">
        <v>0</v>
      </c>
      <c r="CWM19">
        <v>0</v>
      </c>
      <c r="CWN19">
        <v>0</v>
      </c>
      <c r="CWO19">
        <v>0</v>
      </c>
      <c r="CWP19">
        <v>0</v>
      </c>
      <c r="CWQ19">
        <v>0</v>
      </c>
      <c r="CWR19">
        <v>0</v>
      </c>
      <c r="CWS19">
        <v>0</v>
      </c>
      <c r="CWT19">
        <v>0</v>
      </c>
      <c r="CWU19">
        <v>0</v>
      </c>
      <c r="CWV19">
        <v>0</v>
      </c>
      <c r="CWW19">
        <v>0</v>
      </c>
      <c r="CWX19">
        <v>0</v>
      </c>
      <c r="CWY19">
        <v>0</v>
      </c>
      <c r="CWZ19">
        <v>0</v>
      </c>
      <c r="CXA19">
        <v>0</v>
      </c>
      <c r="CXB19">
        <v>94</v>
      </c>
      <c r="CXC19">
        <v>0</v>
      </c>
      <c r="CXD19">
        <v>0</v>
      </c>
      <c r="CXE19">
        <v>15</v>
      </c>
      <c r="CXF19">
        <v>0</v>
      </c>
      <c r="CXG19">
        <v>0</v>
      </c>
      <c r="CXH19">
        <v>0</v>
      </c>
      <c r="CXI19">
        <v>0</v>
      </c>
      <c r="CXJ19">
        <v>0</v>
      </c>
      <c r="CXK19">
        <v>0</v>
      </c>
      <c r="CXL19">
        <v>100</v>
      </c>
      <c r="CXM19">
        <v>0</v>
      </c>
      <c r="CXN19">
        <v>0</v>
      </c>
      <c r="CXO19">
        <v>0</v>
      </c>
      <c r="CXP19">
        <v>0</v>
      </c>
      <c r="CXQ19">
        <v>0</v>
      </c>
      <c r="CXR19">
        <v>0</v>
      </c>
      <c r="CXS19">
        <v>0</v>
      </c>
      <c r="CXT19">
        <v>0</v>
      </c>
      <c r="CXU19">
        <v>0</v>
      </c>
      <c r="CXV19">
        <v>0</v>
      </c>
      <c r="CXW19">
        <v>0</v>
      </c>
      <c r="CXX19">
        <v>0</v>
      </c>
      <c r="CXY19">
        <v>0</v>
      </c>
      <c r="CXZ19">
        <v>0</v>
      </c>
      <c r="CYA19">
        <v>0</v>
      </c>
      <c r="CYB19">
        <v>54</v>
      </c>
      <c r="CYC19">
        <v>0</v>
      </c>
      <c r="CYD19">
        <v>0</v>
      </c>
      <c r="CYE19">
        <v>0</v>
      </c>
      <c r="CYF19">
        <v>0</v>
      </c>
      <c r="CYG19">
        <v>0</v>
      </c>
      <c r="CYH19">
        <v>0</v>
      </c>
      <c r="CYI19">
        <v>54</v>
      </c>
      <c r="CYJ19">
        <v>0</v>
      </c>
      <c r="CYK19">
        <v>0</v>
      </c>
      <c r="CYL19">
        <v>0</v>
      </c>
      <c r="CYM19">
        <v>0</v>
      </c>
      <c r="CYN19">
        <v>0</v>
      </c>
      <c r="CYO19">
        <v>0</v>
      </c>
      <c r="CYP19">
        <v>0</v>
      </c>
      <c r="CYQ19">
        <v>0</v>
      </c>
      <c r="CYR19">
        <v>0</v>
      </c>
      <c r="CYS19">
        <v>0</v>
      </c>
      <c r="CYT19">
        <v>0</v>
      </c>
      <c r="CYU19">
        <v>0</v>
      </c>
      <c r="CYV19">
        <v>0</v>
      </c>
      <c r="CYW19">
        <v>0</v>
      </c>
      <c r="CYX19">
        <v>0</v>
      </c>
      <c r="CYY19">
        <v>0</v>
      </c>
      <c r="CYZ19">
        <v>0</v>
      </c>
      <c r="CZA19">
        <v>0</v>
      </c>
      <c r="CZB19">
        <v>0</v>
      </c>
      <c r="CZC19">
        <v>0</v>
      </c>
      <c r="CZD19">
        <v>0</v>
      </c>
      <c r="CZE19">
        <v>0</v>
      </c>
      <c r="CZF19">
        <v>0</v>
      </c>
      <c r="CZG19">
        <v>0</v>
      </c>
      <c r="CZH19">
        <v>0</v>
      </c>
      <c r="CZI19">
        <v>0</v>
      </c>
      <c r="CZJ19">
        <v>0</v>
      </c>
      <c r="CZK19">
        <v>0</v>
      </c>
      <c r="CZL19">
        <v>0</v>
      </c>
      <c r="CZM19">
        <v>0</v>
      </c>
      <c r="CZN19">
        <v>0</v>
      </c>
      <c r="CZO19">
        <v>0</v>
      </c>
      <c r="CZP19">
        <v>0</v>
      </c>
      <c r="CZQ19">
        <v>0</v>
      </c>
      <c r="CZR19">
        <v>0</v>
      </c>
      <c r="CZS19">
        <v>0</v>
      </c>
      <c r="CZT19">
        <v>0</v>
      </c>
      <c r="CZU19">
        <v>0</v>
      </c>
      <c r="CZV19">
        <v>0</v>
      </c>
      <c r="CZW19">
        <v>0</v>
      </c>
      <c r="CZX19">
        <v>0</v>
      </c>
      <c r="CZY19">
        <v>0</v>
      </c>
      <c r="CZZ19">
        <v>0</v>
      </c>
      <c r="DAA19">
        <v>0</v>
      </c>
      <c r="DAB19">
        <v>0</v>
      </c>
      <c r="DAC19">
        <v>0</v>
      </c>
      <c r="DAD19">
        <v>0</v>
      </c>
      <c r="DAE19">
        <v>0</v>
      </c>
      <c r="DAF19">
        <v>0</v>
      </c>
      <c r="DAG19">
        <v>107</v>
      </c>
      <c r="DAH19">
        <v>0</v>
      </c>
      <c r="DAI19">
        <v>0</v>
      </c>
      <c r="DAJ19">
        <v>0</v>
      </c>
      <c r="DAK19">
        <v>24</v>
      </c>
      <c r="DAL19">
        <v>0</v>
      </c>
      <c r="DAM19">
        <v>0</v>
      </c>
      <c r="DAN19">
        <v>0</v>
      </c>
      <c r="DAO19">
        <v>0</v>
      </c>
      <c r="DAP19">
        <v>0</v>
      </c>
      <c r="DAQ19">
        <v>0</v>
      </c>
      <c r="DAR19">
        <v>0</v>
      </c>
      <c r="DAS19">
        <v>0</v>
      </c>
      <c r="DAT19">
        <v>0</v>
      </c>
      <c r="DAU19">
        <v>11</v>
      </c>
      <c r="DAV19">
        <v>0</v>
      </c>
      <c r="DAW19">
        <v>0</v>
      </c>
      <c r="DAX19">
        <v>0</v>
      </c>
      <c r="DAY19">
        <v>0</v>
      </c>
      <c r="DAZ19">
        <v>12</v>
      </c>
      <c r="DBA19">
        <v>0</v>
      </c>
      <c r="DBB19">
        <v>0</v>
      </c>
      <c r="DBC19">
        <v>0</v>
      </c>
      <c r="DBD19">
        <v>0</v>
      </c>
      <c r="DBE19">
        <v>0</v>
      </c>
      <c r="DBF19">
        <v>0</v>
      </c>
      <c r="DBG19">
        <v>0</v>
      </c>
      <c r="DBH19">
        <v>0</v>
      </c>
      <c r="DBI19">
        <v>0</v>
      </c>
      <c r="DBJ19">
        <v>0</v>
      </c>
      <c r="DBK19">
        <v>0</v>
      </c>
      <c r="DBL19">
        <v>0</v>
      </c>
      <c r="DBM19">
        <v>0</v>
      </c>
      <c r="DBN19">
        <v>0</v>
      </c>
      <c r="DBO19">
        <v>0</v>
      </c>
      <c r="DBP19">
        <v>0</v>
      </c>
      <c r="DBQ19">
        <v>0</v>
      </c>
      <c r="DBR19">
        <v>0</v>
      </c>
      <c r="DBS19">
        <v>0</v>
      </c>
      <c r="DBT19">
        <v>0</v>
      </c>
      <c r="DBU19">
        <v>0</v>
      </c>
      <c r="DBV19">
        <v>0</v>
      </c>
      <c r="DBW19">
        <v>0</v>
      </c>
      <c r="DBX19">
        <v>0</v>
      </c>
      <c r="DBY19">
        <v>0</v>
      </c>
      <c r="DBZ19">
        <v>0</v>
      </c>
      <c r="DCA19">
        <v>0</v>
      </c>
      <c r="DCB19">
        <v>0</v>
      </c>
      <c r="DCC19">
        <v>0</v>
      </c>
      <c r="DCD19">
        <v>0</v>
      </c>
      <c r="DCE19">
        <v>0</v>
      </c>
      <c r="DCF19">
        <v>0</v>
      </c>
      <c r="DCG19">
        <v>0</v>
      </c>
      <c r="DCH19">
        <v>0</v>
      </c>
      <c r="DCI19">
        <v>0</v>
      </c>
      <c r="DCJ19">
        <v>0</v>
      </c>
      <c r="DCK19">
        <v>0</v>
      </c>
      <c r="DCL19">
        <v>0</v>
      </c>
      <c r="DCM19">
        <v>0</v>
      </c>
      <c r="DCN19">
        <v>0</v>
      </c>
      <c r="DCO19">
        <v>0</v>
      </c>
      <c r="DCP19">
        <v>0</v>
      </c>
      <c r="DCQ19">
        <v>0</v>
      </c>
      <c r="DCR19">
        <v>0</v>
      </c>
      <c r="DCS19">
        <v>0</v>
      </c>
      <c r="DCT19">
        <v>0</v>
      </c>
      <c r="DCU19">
        <v>0</v>
      </c>
      <c r="DCV19">
        <v>0</v>
      </c>
      <c r="DCW19">
        <v>0</v>
      </c>
      <c r="DCX19">
        <v>0</v>
      </c>
      <c r="DCY19">
        <v>0</v>
      </c>
      <c r="DCZ19">
        <v>0</v>
      </c>
      <c r="DDA19">
        <v>0</v>
      </c>
      <c r="DDB19">
        <v>0</v>
      </c>
      <c r="DDC19">
        <v>0</v>
      </c>
      <c r="DDD19">
        <v>0</v>
      </c>
      <c r="DDE19">
        <v>0</v>
      </c>
      <c r="DDF19">
        <v>11</v>
      </c>
      <c r="DDG19">
        <v>0</v>
      </c>
      <c r="DDH19">
        <v>0</v>
      </c>
      <c r="DDI19">
        <v>0</v>
      </c>
      <c r="DDJ19">
        <v>0</v>
      </c>
      <c r="DDK19">
        <v>0</v>
      </c>
      <c r="DDL19">
        <v>0</v>
      </c>
      <c r="DDM19">
        <v>0</v>
      </c>
      <c r="DDN19">
        <v>0</v>
      </c>
      <c r="DDO19">
        <v>0</v>
      </c>
      <c r="DDP19">
        <v>0</v>
      </c>
      <c r="DDQ19">
        <v>0</v>
      </c>
      <c r="DDR19">
        <v>0</v>
      </c>
      <c r="DDS19">
        <v>0</v>
      </c>
      <c r="DDT19">
        <v>0</v>
      </c>
      <c r="DDU19">
        <v>0</v>
      </c>
      <c r="DDV19">
        <v>117.99</v>
      </c>
      <c r="DDW19">
        <v>0</v>
      </c>
      <c r="DDX19">
        <v>0</v>
      </c>
      <c r="DDY19">
        <v>0</v>
      </c>
      <c r="DDZ19">
        <v>0</v>
      </c>
      <c r="DEA19">
        <v>0</v>
      </c>
      <c r="DEB19">
        <v>0</v>
      </c>
      <c r="DEC19">
        <v>0</v>
      </c>
      <c r="DED19">
        <v>0</v>
      </c>
      <c r="DEE19">
        <v>0</v>
      </c>
      <c r="DEF19">
        <v>0</v>
      </c>
      <c r="DEG19">
        <v>0</v>
      </c>
      <c r="DEH19">
        <v>0</v>
      </c>
      <c r="DEI19">
        <v>0</v>
      </c>
      <c r="DEJ19">
        <v>0</v>
      </c>
      <c r="DEK19">
        <v>0</v>
      </c>
      <c r="DEL19">
        <v>0</v>
      </c>
      <c r="DEM19">
        <v>0</v>
      </c>
      <c r="DEN19">
        <v>0</v>
      </c>
      <c r="DEO19">
        <v>0</v>
      </c>
      <c r="DEP19">
        <v>0</v>
      </c>
      <c r="DEQ19">
        <v>0</v>
      </c>
      <c r="DER19">
        <v>0</v>
      </c>
      <c r="DES19">
        <v>0</v>
      </c>
      <c r="DET19">
        <v>0</v>
      </c>
      <c r="DEU19">
        <v>0</v>
      </c>
      <c r="DEV19">
        <v>0</v>
      </c>
      <c r="DEW19">
        <v>0</v>
      </c>
      <c r="DEX19">
        <v>0</v>
      </c>
      <c r="DEY19">
        <v>0</v>
      </c>
      <c r="DEZ19">
        <v>0</v>
      </c>
      <c r="DFA19">
        <v>0</v>
      </c>
      <c r="DFB19">
        <v>0</v>
      </c>
      <c r="DFC19">
        <v>0</v>
      </c>
      <c r="DFD19">
        <v>0</v>
      </c>
      <c r="DFE19">
        <v>0</v>
      </c>
      <c r="DFF19">
        <v>0</v>
      </c>
      <c r="DFG19">
        <v>0</v>
      </c>
      <c r="DFH19">
        <v>0</v>
      </c>
      <c r="DFI19">
        <v>0</v>
      </c>
      <c r="DFJ19">
        <v>0</v>
      </c>
      <c r="DFK19">
        <v>0</v>
      </c>
      <c r="DFL19">
        <v>0</v>
      </c>
      <c r="DFM19">
        <v>0</v>
      </c>
      <c r="DFN19">
        <v>0</v>
      </c>
      <c r="DFO19">
        <v>0</v>
      </c>
      <c r="DFP19">
        <v>0</v>
      </c>
      <c r="DFQ19">
        <v>0</v>
      </c>
      <c r="DFR19">
        <v>0</v>
      </c>
      <c r="DFS19">
        <v>0</v>
      </c>
      <c r="DFT19">
        <v>0</v>
      </c>
      <c r="DFU19">
        <v>0</v>
      </c>
      <c r="DFV19">
        <v>0</v>
      </c>
      <c r="DFW19">
        <v>0</v>
      </c>
      <c r="DFX19">
        <v>0</v>
      </c>
      <c r="DFY19">
        <v>83</v>
      </c>
      <c r="DFZ19">
        <v>0</v>
      </c>
      <c r="DGA19">
        <v>0</v>
      </c>
      <c r="DGB19">
        <v>0</v>
      </c>
      <c r="DGC19">
        <v>0</v>
      </c>
      <c r="DGD19">
        <v>0</v>
      </c>
      <c r="DGE19">
        <v>0</v>
      </c>
      <c r="DGF19">
        <v>0</v>
      </c>
      <c r="DGG19">
        <v>0</v>
      </c>
      <c r="DGH19">
        <v>0</v>
      </c>
      <c r="DGI19">
        <v>0</v>
      </c>
      <c r="DGJ19">
        <v>0</v>
      </c>
      <c r="DGK19">
        <v>0</v>
      </c>
      <c r="DGL19">
        <v>0</v>
      </c>
      <c r="DGM19">
        <v>0</v>
      </c>
      <c r="DGN19">
        <v>0</v>
      </c>
      <c r="DGO19">
        <v>0</v>
      </c>
      <c r="DGP19">
        <v>126</v>
      </c>
      <c r="DGQ19">
        <v>0</v>
      </c>
      <c r="DGR19">
        <v>0</v>
      </c>
      <c r="DGS19">
        <v>0</v>
      </c>
      <c r="DGT19">
        <v>0</v>
      </c>
      <c r="DGU19">
        <v>0</v>
      </c>
      <c r="DGV19">
        <v>0</v>
      </c>
      <c r="DGW19">
        <v>0</v>
      </c>
      <c r="DGX19">
        <v>0</v>
      </c>
      <c r="DGY19">
        <v>0</v>
      </c>
      <c r="DGZ19">
        <v>0</v>
      </c>
      <c r="DHA19">
        <v>0</v>
      </c>
      <c r="DHB19">
        <v>0</v>
      </c>
      <c r="DHC19">
        <v>0</v>
      </c>
      <c r="DHD19">
        <v>0</v>
      </c>
      <c r="DHE19">
        <v>0</v>
      </c>
      <c r="DHF19">
        <v>0</v>
      </c>
      <c r="DHG19">
        <v>0</v>
      </c>
      <c r="DHH19">
        <v>0</v>
      </c>
      <c r="DHI19">
        <v>0</v>
      </c>
      <c r="DHJ19">
        <v>0</v>
      </c>
      <c r="DHK19">
        <v>0</v>
      </c>
      <c r="DHL19">
        <v>0</v>
      </c>
      <c r="DHM19">
        <v>0</v>
      </c>
      <c r="DHN19">
        <v>0</v>
      </c>
      <c r="DHO19">
        <v>0</v>
      </c>
      <c r="DHP19">
        <v>0</v>
      </c>
      <c r="DHQ19">
        <v>0</v>
      </c>
      <c r="DHR19">
        <v>0</v>
      </c>
      <c r="DHS19">
        <v>0</v>
      </c>
      <c r="DHT19">
        <v>24</v>
      </c>
      <c r="DHU19">
        <v>0</v>
      </c>
      <c r="DHV19">
        <v>0</v>
      </c>
      <c r="DHW19">
        <v>0</v>
      </c>
      <c r="DHX19">
        <v>11</v>
      </c>
      <c r="DHY19">
        <v>0</v>
      </c>
      <c r="DHZ19">
        <v>0</v>
      </c>
      <c r="DIA19">
        <v>17</v>
      </c>
      <c r="DIB19">
        <v>0</v>
      </c>
      <c r="DIC19">
        <v>0</v>
      </c>
      <c r="DID19">
        <v>0</v>
      </c>
      <c r="DIE19">
        <v>0</v>
      </c>
      <c r="DIF19">
        <v>0</v>
      </c>
      <c r="DIG19">
        <v>0</v>
      </c>
      <c r="DIH19">
        <v>0</v>
      </c>
      <c r="DII19">
        <v>130.99</v>
      </c>
      <c r="DIJ19">
        <v>0</v>
      </c>
      <c r="DIK19">
        <v>0</v>
      </c>
      <c r="DIL19">
        <v>0</v>
      </c>
      <c r="DIM19">
        <v>0</v>
      </c>
      <c r="DIN19">
        <v>0</v>
      </c>
      <c r="DIO19">
        <v>0</v>
      </c>
      <c r="DIP19">
        <v>22</v>
      </c>
      <c r="DIQ19">
        <v>0</v>
      </c>
      <c r="DIR19">
        <v>0</v>
      </c>
      <c r="DIS19">
        <v>0</v>
      </c>
      <c r="DIT19">
        <v>0</v>
      </c>
      <c r="DIU19">
        <v>0</v>
      </c>
      <c r="DIV19">
        <v>0</v>
      </c>
      <c r="DIW19">
        <v>0</v>
      </c>
      <c r="DIX19">
        <v>0</v>
      </c>
      <c r="DIY19">
        <v>0</v>
      </c>
      <c r="DIZ19">
        <v>0</v>
      </c>
      <c r="DJA19">
        <v>0</v>
      </c>
      <c r="DJB19">
        <v>0</v>
      </c>
      <c r="DJC19">
        <v>0</v>
      </c>
      <c r="DJD19">
        <v>0</v>
      </c>
      <c r="DJE19">
        <v>0</v>
      </c>
      <c r="DJF19">
        <v>0</v>
      </c>
      <c r="DJG19">
        <v>0</v>
      </c>
      <c r="DJH19">
        <v>0</v>
      </c>
      <c r="DJI19">
        <v>0</v>
      </c>
      <c r="DJJ19">
        <v>0</v>
      </c>
      <c r="DJK19">
        <v>0</v>
      </c>
      <c r="DJL19">
        <v>0</v>
      </c>
      <c r="DJM19">
        <v>0</v>
      </c>
      <c r="DJN19">
        <v>0</v>
      </c>
      <c r="DJO19">
        <v>0</v>
      </c>
      <c r="DJP19">
        <v>0</v>
      </c>
      <c r="DJQ19">
        <v>0</v>
      </c>
      <c r="DJR19">
        <v>0</v>
      </c>
      <c r="DJS19">
        <v>0</v>
      </c>
      <c r="DJT19">
        <v>0</v>
      </c>
      <c r="DJU19">
        <v>0</v>
      </c>
      <c r="DJV19">
        <v>0</v>
      </c>
      <c r="DJW19">
        <v>0</v>
      </c>
      <c r="DJX19">
        <v>0</v>
      </c>
      <c r="DJY19">
        <v>116</v>
      </c>
      <c r="DJZ19">
        <v>0</v>
      </c>
      <c r="DKA19">
        <v>0</v>
      </c>
      <c r="DKB19">
        <v>0</v>
      </c>
      <c r="DKC19">
        <v>0</v>
      </c>
      <c r="DKD19">
        <v>0</v>
      </c>
      <c r="DKE19">
        <v>0</v>
      </c>
      <c r="DKF19">
        <v>0</v>
      </c>
      <c r="DKG19">
        <v>0</v>
      </c>
      <c r="DKH19">
        <v>0</v>
      </c>
      <c r="DKI19">
        <v>0</v>
      </c>
      <c r="DKJ19">
        <v>0</v>
      </c>
      <c r="DKK19">
        <v>0</v>
      </c>
      <c r="DKL19">
        <v>0</v>
      </c>
      <c r="DKM19">
        <v>0</v>
      </c>
      <c r="DKN19">
        <v>0</v>
      </c>
      <c r="DKO19">
        <v>0</v>
      </c>
      <c r="DKP19">
        <v>0</v>
      </c>
      <c r="DKQ19">
        <v>0</v>
      </c>
      <c r="DKR19">
        <v>0</v>
      </c>
      <c r="DKS19">
        <v>0</v>
      </c>
      <c r="DKT19">
        <v>0</v>
      </c>
      <c r="DKU19">
        <v>0</v>
      </c>
      <c r="DKV19">
        <v>0</v>
      </c>
      <c r="DKW19">
        <v>0</v>
      </c>
      <c r="DKX19">
        <v>0</v>
      </c>
      <c r="DKY19">
        <v>0</v>
      </c>
      <c r="DKZ19">
        <v>0</v>
      </c>
      <c r="DLA19">
        <v>0</v>
      </c>
      <c r="DLB19">
        <v>0</v>
      </c>
      <c r="DLC19">
        <v>0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0</v>
      </c>
      <c r="DLJ19">
        <v>119</v>
      </c>
      <c r="DLK19">
        <v>0</v>
      </c>
      <c r="DLL19">
        <v>0</v>
      </c>
      <c r="DLM19">
        <v>0</v>
      </c>
      <c r="DLN19">
        <v>0</v>
      </c>
      <c r="DLO19">
        <v>0</v>
      </c>
      <c r="DLP19">
        <v>0</v>
      </c>
      <c r="DLQ19">
        <v>0</v>
      </c>
      <c r="DLR19">
        <v>0</v>
      </c>
      <c r="DLS19">
        <v>0</v>
      </c>
      <c r="DLT19">
        <v>0</v>
      </c>
      <c r="DLU19">
        <v>0</v>
      </c>
      <c r="DLV19">
        <v>0</v>
      </c>
      <c r="DLW19">
        <v>15</v>
      </c>
      <c r="DLX19">
        <v>0</v>
      </c>
      <c r="DLY19">
        <v>0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F19">
        <v>0</v>
      </c>
      <c r="DMG19">
        <v>0</v>
      </c>
      <c r="DMH19">
        <v>0</v>
      </c>
      <c r="DMI19">
        <v>0</v>
      </c>
      <c r="DMJ19">
        <v>0</v>
      </c>
      <c r="DMK19">
        <v>0</v>
      </c>
      <c r="DML19">
        <v>0</v>
      </c>
      <c r="DMM19">
        <v>0</v>
      </c>
      <c r="DMN19">
        <v>0</v>
      </c>
      <c r="DMO19">
        <v>0</v>
      </c>
      <c r="DMP19">
        <v>0</v>
      </c>
      <c r="DMQ19">
        <v>0</v>
      </c>
      <c r="DMR19">
        <v>0</v>
      </c>
      <c r="DMS19">
        <v>0</v>
      </c>
      <c r="DMT19">
        <v>0</v>
      </c>
      <c r="DMU19">
        <v>0</v>
      </c>
      <c r="DMV19">
        <v>80</v>
      </c>
      <c r="DMW19">
        <v>0</v>
      </c>
      <c r="DMX19">
        <v>0</v>
      </c>
      <c r="DMY19">
        <v>86</v>
      </c>
      <c r="DMZ19">
        <v>0</v>
      </c>
      <c r="DNA19">
        <v>0</v>
      </c>
      <c r="DNB19">
        <v>0</v>
      </c>
      <c r="DNC19">
        <v>0</v>
      </c>
      <c r="DND19">
        <v>0</v>
      </c>
      <c r="DNE19">
        <v>0</v>
      </c>
      <c r="DNF19">
        <v>149</v>
      </c>
      <c r="DNG19">
        <v>0</v>
      </c>
      <c r="DNH19">
        <v>0</v>
      </c>
      <c r="DNI19">
        <v>0</v>
      </c>
      <c r="DNJ19">
        <v>0</v>
      </c>
      <c r="DNK19">
        <v>0</v>
      </c>
      <c r="DNL19">
        <v>0</v>
      </c>
      <c r="DNM19">
        <v>0</v>
      </c>
      <c r="DNN19">
        <v>0</v>
      </c>
      <c r="DNO19">
        <v>0</v>
      </c>
      <c r="DNP19">
        <v>0</v>
      </c>
      <c r="DNQ19">
        <v>0</v>
      </c>
      <c r="DNR19">
        <v>0</v>
      </c>
      <c r="DNS19">
        <v>0</v>
      </c>
      <c r="DNT19">
        <v>0</v>
      </c>
      <c r="DNU19">
        <v>0</v>
      </c>
      <c r="DNV19">
        <v>0</v>
      </c>
      <c r="DNW19">
        <v>0</v>
      </c>
      <c r="DNX19">
        <v>150.99</v>
      </c>
      <c r="DNY19">
        <v>0</v>
      </c>
      <c r="DNZ19">
        <v>0</v>
      </c>
      <c r="DOA19">
        <v>0</v>
      </c>
      <c r="DOB19">
        <v>0</v>
      </c>
      <c r="DOC19">
        <v>0</v>
      </c>
      <c r="DOD19">
        <v>0</v>
      </c>
      <c r="DOE19">
        <v>0</v>
      </c>
      <c r="DOF19">
        <v>0</v>
      </c>
      <c r="DOG19">
        <v>0</v>
      </c>
      <c r="DOH19">
        <v>0</v>
      </c>
      <c r="DOI19">
        <v>0</v>
      </c>
      <c r="DOJ19">
        <v>0</v>
      </c>
      <c r="DOK19">
        <v>0</v>
      </c>
      <c r="DOL19">
        <v>0</v>
      </c>
      <c r="DOM19">
        <v>0</v>
      </c>
      <c r="DON19">
        <v>0</v>
      </c>
      <c r="DOO19">
        <v>0</v>
      </c>
      <c r="DOP19">
        <v>0</v>
      </c>
      <c r="DOQ19">
        <v>0</v>
      </c>
      <c r="DOR19">
        <v>0</v>
      </c>
      <c r="DOS19">
        <v>0</v>
      </c>
      <c r="DOT19">
        <v>0</v>
      </c>
      <c r="DOU19">
        <v>0</v>
      </c>
      <c r="DOV19">
        <v>0</v>
      </c>
      <c r="DOW19">
        <v>98</v>
      </c>
      <c r="DOX19">
        <v>0</v>
      </c>
      <c r="DOY19">
        <v>0</v>
      </c>
      <c r="DOZ19">
        <v>0</v>
      </c>
      <c r="DPA19">
        <v>0</v>
      </c>
      <c r="DPB19">
        <v>0</v>
      </c>
      <c r="DPC19">
        <v>0</v>
      </c>
      <c r="DPD19">
        <v>0</v>
      </c>
      <c r="DPE19">
        <v>0</v>
      </c>
      <c r="DPF19">
        <v>0</v>
      </c>
      <c r="DPG19">
        <v>0</v>
      </c>
      <c r="DPH19">
        <v>0</v>
      </c>
      <c r="DPI19">
        <v>0</v>
      </c>
      <c r="DPJ19">
        <v>0</v>
      </c>
      <c r="DPK19">
        <v>0</v>
      </c>
      <c r="DPL19">
        <v>0</v>
      </c>
      <c r="DPM19">
        <v>0</v>
      </c>
      <c r="DPN19">
        <v>0</v>
      </c>
      <c r="DPO19">
        <v>0</v>
      </c>
      <c r="DPP19">
        <v>0</v>
      </c>
      <c r="DPQ19">
        <v>0</v>
      </c>
      <c r="DPR19">
        <v>0</v>
      </c>
      <c r="DPS19">
        <v>0</v>
      </c>
      <c r="DPT19">
        <v>0</v>
      </c>
      <c r="DPU19">
        <v>0</v>
      </c>
      <c r="DPV19">
        <v>0</v>
      </c>
      <c r="DPW19">
        <v>0</v>
      </c>
      <c r="DPX19">
        <v>0</v>
      </c>
      <c r="DPY19">
        <v>0</v>
      </c>
      <c r="DPZ19">
        <v>0</v>
      </c>
      <c r="DQA19">
        <v>0</v>
      </c>
      <c r="DQB19">
        <v>0</v>
      </c>
      <c r="DQC19">
        <v>0</v>
      </c>
      <c r="DQD19">
        <v>162</v>
      </c>
      <c r="DQE19">
        <v>0</v>
      </c>
      <c r="DQF19">
        <v>0</v>
      </c>
      <c r="DQG19">
        <v>0</v>
      </c>
      <c r="DQH19">
        <v>0</v>
      </c>
      <c r="DQI19">
        <v>0</v>
      </c>
      <c r="DQJ19">
        <v>0</v>
      </c>
      <c r="DQK19">
        <v>0</v>
      </c>
      <c r="DQL19">
        <v>0</v>
      </c>
      <c r="DQM19">
        <v>0</v>
      </c>
      <c r="DQN19">
        <v>0</v>
      </c>
      <c r="DQO19">
        <v>0</v>
      </c>
      <c r="DQP19">
        <v>0</v>
      </c>
      <c r="DQQ19">
        <v>0</v>
      </c>
      <c r="DQR19">
        <v>0</v>
      </c>
      <c r="DQS19">
        <v>0</v>
      </c>
      <c r="DQT19">
        <v>0</v>
      </c>
      <c r="DQU19">
        <v>0</v>
      </c>
      <c r="DQV19">
        <v>0</v>
      </c>
      <c r="DQW19">
        <v>0</v>
      </c>
      <c r="DQX19">
        <v>0</v>
      </c>
      <c r="DQY19">
        <v>0</v>
      </c>
      <c r="DQZ19">
        <v>0</v>
      </c>
      <c r="DRA19">
        <v>0</v>
      </c>
      <c r="DRB19">
        <v>0</v>
      </c>
      <c r="DRC19">
        <v>0</v>
      </c>
      <c r="DRD19">
        <v>0</v>
      </c>
      <c r="DRE19">
        <v>0</v>
      </c>
      <c r="DRF19">
        <v>152</v>
      </c>
      <c r="DRG19">
        <v>0</v>
      </c>
      <c r="DRH19">
        <v>0</v>
      </c>
      <c r="DRI19">
        <v>0</v>
      </c>
      <c r="DRJ19">
        <v>0</v>
      </c>
      <c r="DRK19">
        <v>0</v>
      </c>
      <c r="DRL19">
        <v>0</v>
      </c>
      <c r="DRM19">
        <v>0</v>
      </c>
      <c r="DRN19">
        <v>0</v>
      </c>
      <c r="DRO19">
        <v>0</v>
      </c>
      <c r="DRP19">
        <v>0</v>
      </c>
      <c r="DRQ19">
        <v>0</v>
      </c>
      <c r="DRR19">
        <v>0</v>
      </c>
      <c r="DRS19">
        <v>0</v>
      </c>
      <c r="DRT19">
        <v>0</v>
      </c>
      <c r="DRU19">
        <v>0</v>
      </c>
      <c r="DRV19">
        <v>0</v>
      </c>
      <c r="DRW19">
        <v>0</v>
      </c>
      <c r="DRX19">
        <v>0</v>
      </c>
      <c r="DRY19">
        <v>0</v>
      </c>
      <c r="DRZ19">
        <v>0</v>
      </c>
      <c r="DSA19">
        <v>0</v>
      </c>
      <c r="DSB19">
        <v>0</v>
      </c>
      <c r="DSC19">
        <v>0</v>
      </c>
      <c r="DSD19">
        <v>0</v>
      </c>
      <c r="DSE19">
        <v>0</v>
      </c>
      <c r="DSF19">
        <v>0</v>
      </c>
      <c r="DSG19">
        <v>0</v>
      </c>
      <c r="DSH19">
        <v>0</v>
      </c>
      <c r="DSI19">
        <v>0</v>
      </c>
      <c r="DSJ19">
        <v>0</v>
      </c>
      <c r="DSK19">
        <v>0</v>
      </c>
      <c r="DSL19">
        <v>0</v>
      </c>
      <c r="DSM19">
        <v>0</v>
      </c>
      <c r="DSN19">
        <v>0</v>
      </c>
      <c r="DSO19">
        <v>0</v>
      </c>
      <c r="DSP19">
        <v>0</v>
      </c>
      <c r="DSQ19">
        <v>0</v>
      </c>
      <c r="DSR19">
        <v>0</v>
      </c>
      <c r="DSS19">
        <v>0</v>
      </c>
      <c r="DST19">
        <v>0</v>
      </c>
      <c r="DSU19">
        <v>0</v>
      </c>
      <c r="DSV19">
        <v>0</v>
      </c>
      <c r="DSW19">
        <v>0</v>
      </c>
      <c r="DSX19">
        <v>0</v>
      </c>
      <c r="DSY19">
        <v>0</v>
      </c>
      <c r="DSZ19">
        <v>0</v>
      </c>
      <c r="DTA19">
        <v>0</v>
      </c>
      <c r="DTB19">
        <v>0</v>
      </c>
      <c r="DTC19">
        <v>0</v>
      </c>
      <c r="DTD19">
        <v>0</v>
      </c>
      <c r="DTE19">
        <v>0</v>
      </c>
      <c r="DTF19">
        <v>0</v>
      </c>
      <c r="DTG19">
        <v>0</v>
      </c>
      <c r="DTH19">
        <v>0</v>
      </c>
      <c r="DTI19">
        <v>0</v>
      </c>
      <c r="DTJ19">
        <v>0</v>
      </c>
      <c r="DTK19">
        <v>0</v>
      </c>
      <c r="DTL19">
        <v>5</v>
      </c>
      <c r="DTM19">
        <v>0</v>
      </c>
      <c r="DTN19">
        <v>0</v>
      </c>
      <c r="DTO19">
        <v>0</v>
      </c>
      <c r="DTP19">
        <v>0</v>
      </c>
      <c r="DTQ19">
        <v>0</v>
      </c>
      <c r="DTR19">
        <v>0</v>
      </c>
      <c r="DTS19">
        <v>0</v>
      </c>
      <c r="DTT19">
        <v>19</v>
      </c>
      <c r="DTU19">
        <v>0</v>
      </c>
      <c r="DTV19">
        <v>0</v>
      </c>
      <c r="DTW19">
        <v>0</v>
      </c>
      <c r="DTX19">
        <v>0</v>
      </c>
      <c r="DTY19">
        <v>0</v>
      </c>
      <c r="DTZ19">
        <v>0</v>
      </c>
      <c r="DUA19">
        <v>0</v>
      </c>
      <c r="DUB19">
        <v>0</v>
      </c>
      <c r="DUC19">
        <v>0</v>
      </c>
      <c r="DUD19">
        <v>0</v>
      </c>
      <c r="DUE19">
        <v>0</v>
      </c>
      <c r="DUF19">
        <v>0</v>
      </c>
      <c r="DUG19">
        <v>0</v>
      </c>
      <c r="DUH19">
        <v>0</v>
      </c>
      <c r="DUI19">
        <v>0</v>
      </c>
      <c r="DUJ19">
        <v>0</v>
      </c>
      <c r="DUK19">
        <v>0</v>
      </c>
      <c r="DUL19">
        <v>183.99</v>
      </c>
      <c r="DUM19">
        <v>0</v>
      </c>
      <c r="DUN19">
        <v>0</v>
      </c>
      <c r="DUO19">
        <v>0</v>
      </c>
      <c r="DUP19">
        <v>0</v>
      </c>
      <c r="DUQ19">
        <v>0</v>
      </c>
      <c r="DUR19">
        <v>0</v>
      </c>
      <c r="DUS19">
        <v>0</v>
      </c>
      <c r="DUT19">
        <v>0</v>
      </c>
      <c r="DUU19">
        <v>74.989999999999995</v>
      </c>
      <c r="DUV19">
        <v>14</v>
      </c>
      <c r="DUW19">
        <v>0</v>
      </c>
      <c r="DUX19">
        <v>0</v>
      </c>
      <c r="DUY19">
        <v>0</v>
      </c>
      <c r="DUZ19">
        <v>0</v>
      </c>
      <c r="DVA19">
        <v>0</v>
      </c>
      <c r="DVB19">
        <v>0</v>
      </c>
      <c r="DVC19">
        <v>0</v>
      </c>
      <c r="DVD19">
        <v>0</v>
      </c>
      <c r="DVE19">
        <v>0</v>
      </c>
      <c r="DVF19">
        <v>0</v>
      </c>
      <c r="DVG19">
        <v>0</v>
      </c>
      <c r="DVH19">
        <v>0</v>
      </c>
      <c r="DVI19">
        <v>0</v>
      </c>
      <c r="DVJ19">
        <v>0</v>
      </c>
      <c r="DVK19">
        <v>0</v>
      </c>
      <c r="DVL19">
        <v>0</v>
      </c>
      <c r="DVM19">
        <v>190.99</v>
      </c>
      <c r="DVN19">
        <v>0</v>
      </c>
      <c r="DVO19">
        <v>0</v>
      </c>
      <c r="DVP19">
        <v>0</v>
      </c>
      <c r="DVQ19">
        <v>0</v>
      </c>
      <c r="DVR19">
        <v>19</v>
      </c>
      <c r="DVS19">
        <v>0</v>
      </c>
      <c r="DVT19">
        <v>0</v>
      </c>
      <c r="DVU19">
        <v>0</v>
      </c>
      <c r="DVV19">
        <v>0</v>
      </c>
      <c r="DVW19">
        <v>0</v>
      </c>
      <c r="DVX19">
        <v>0</v>
      </c>
      <c r="DVY19">
        <v>0</v>
      </c>
      <c r="DVZ19">
        <v>20</v>
      </c>
      <c r="DWA19">
        <v>26</v>
      </c>
      <c r="DWB19">
        <v>0</v>
      </c>
      <c r="DWC19">
        <v>0</v>
      </c>
      <c r="DWD19">
        <v>0</v>
      </c>
      <c r="DWE19">
        <v>0</v>
      </c>
      <c r="DWF19">
        <v>0</v>
      </c>
      <c r="DWG19">
        <v>0</v>
      </c>
      <c r="DWH19">
        <v>0</v>
      </c>
      <c r="DWI19">
        <v>0</v>
      </c>
      <c r="DWJ19">
        <v>0</v>
      </c>
      <c r="DWK19">
        <v>0</v>
      </c>
      <c r="DWL19">
        <v>0</v>
      </c>
      <c r="DWM19">
        <v>0</v>
      </c>
      <c r="DWN19">
        <v>0</v>
      </c>
      <c r="DWO19">
        <v>0</v>
      </c>
      <c r="DWP19">
        <v>0</v>
      </c>
      <c r="DWQ19">
        <v>0</v>
      </c>
      <c r="DWR19">
        <v>0</v>
      </c>
      <c r="DWS19">
        <v>0</v>
      </c>
      <c r="DWT19">
        <v>20</v>
      </c>
      <c r="DWU19">
        <v>0</v>
      </c>
      <c r="DWV19">
        <v>0</v>
      </c>
      <c r="DWW19">
        <v>0</v>
      </c>
      <c r="DWX19">
        <v>0</v>
      </c>
      <c r="DWY19">
        <v>0</v>
      </c>
      <c r="DWZ19">
        <v>0</v>
      </c>
      <c r="DXA19">
        <v>0</v>
      </c>
      <c r="DXB19">
        <v>0</v>
      </c>
      <c r="DXC19">
        <v>0</v>
      </c>
      <c r="DXD19">
        <v>0</v>
      </c>
      <c r="DXE19">
        <v>0</v>
      </c>
      <c r="DXF19">
        <v>0</v>
      </c>
      <c r="DXG19">
        <v>0</v>
      </c>
      <c r="DXH19">
        <v>0</v>
      </c>
      <c r="DXI19">
        <v>0</v>
      </c>
      <c r="DXJ19">
        <v>203</v>
      </c>
      <c r="DXK19">
        <v>0</v>
      </c>
      <c r="DXL19">
        <v>0</v>
      </c>
      <c r="DXM19">
        <v>0</v>
      </c>
      <c r="DXN19">
        <v>0</v>
      </c>
      <c r="DXO19">
        <v>0</v>
      </c>
      <c r="DXP19">
        <v>0</v>
      </c>
      <c r="DXQ19">
        <v>0</v>
      </c>
      <c r="DXR19">
        <v>0</v>
      </c>
      <c r="DXS19">
        <v>0</v>
      </c>
      <c r="DXT19">
        <v>0</v>
      </c>
      <c r="DXU19">
        <v>0</v>
      </c>
      <c r="DXV19">
        <v>0</v>
      </c>
      <c r="DXW19">
        <v>0</v>
      </c>
      <c r="DXX19">
        <v>147</v>
      </c>
      <c r="DXY19">
        <v>0</v>
      </c>
      <c r="DXZ19">
        <v>0</v>
      </c>
      <c r="DYA19">
        <v>0</v>
      </c>
      <c r="DYB19">
        <v>0</v>
      </c>
      <c r="DYC19">
        <v>0</v>
      </c>
      <c r="DYD19">
        <v>0</v>
      </c>
      <c r="DYE19">
        <v>0</v>
      </c>
      <c r="DYF19">
        <v>0</v>
      </c>
      <c r="DYG19">
        <v>0</v>
      </c>
      <c r="DYH19">
        <v>0</v>
      </c>
      <c r="DYI19">
        <v>0</v>
      </c>
      <c r="DYJ19">
        <v>0</v>
      </c>
      <c r="DYK19">
        <v>0</v>
      </c>
      <c r="DYL19">
        <v>0</v>
      </c>
      <c r="DYM19">
        <v>0</v>
      </c>
      <c r="DYN19">
        <v>20</v>
      </c>
      <c r="DYO19">
        <v>0</v>
      </c>
      <c r="DYP19">
        <v>0</v>
      </c>
      <c r="DYQ19">
        <v>0</v>
      </c>
      <c r="DYR19">
        <v>0</v>
      </c>
      <c r="DYS19">
        <v>0</v>
      </c>
      <c r="DYT19">
        <v>0</v>
      </c>
      <c r="DYU19">
        <v>0</v>
      </c>
      <c r="DYV19">
        <v>0</v>
      </c>
      <c r="DYW19">
        <v>213</v>
      </c>
      <c r="DYX19">
        <v>0</v>
      </c>
      <c r="DYY19">
        <v>0</v>
      </c>
      <c r="DYZ19">
        <v>12</v>
      </c>
      <c r="DZA19">
        <v>0</v>
      </c>
      <c r="DZB19">
        <v>0</v>
      </c>
      <c r="DZC19">
        <v>0</v>
      </c>
      <c r="DZD19">
        <v>0</v>
      </c>
      <c r="DZE19">
        <v>0</v>
      </c>
      <c r="DZF19">
        <v>0</v>
      </c>
      <c r="DZG19">
        <v>0</v>
      </c>
      <c r="DZH19">
        <v>0</v>
      </c>
      <c r="DZI19">
        <v>0</v>
      </c>
      <c r="DZJ19">
        <v>0</v>
      </c>
      <c r="DZK19">
        <v>0</v>
      </c>
      <c r="DZL19">
        <v>0</v>
      </c>
      <c r="DZM19">
        <v>0</v>
      </c>
      <c r="DZN19">
        <v>0</v>
      </c>
      <c r="DZO19">
        <v>0</v>
      </c>
      <c r="DZP19">
        <v>0</v>
      </c>
      <c r="DZQ19">
        <v>0</v>
      </c>
      <c r="DZR19">
        <v>0</v>
      </c>
      <c r="DZS19">
        <v>0</v>
      </c>
      <c r="DZT19">
        <v>0</v>
      </c>
      <c r="DZU19">
        <v>0</v>
      </c>
      <c r="DZV19">
        <v>0</v>
      </c>
      <c r="DZW19">
        <v>220</v>
      </c>
      <c r="DZX19">
        <v>0</v>
      </c>
      <c r="DZY19">
        <v>0</v>
      </c>
      <c r="DZZ19">
        <v>0</v>
      </c>
      <c r="EAA19">
        <v>0</v>
      </c>
      <c r="EAB19">
        <v>0</v>
      </c>
      <c r="EAC19">
        <v>0</v>
      </c>
      <c r="EAD19">
        <v>0</v>
      </c>
      <c r="EAE19">
        <v>0</v>
      </c>
      <c r="EAF19">
        <v>0</v>
      </c>
      <c r="EAG19">
        <v>223</v>
      </c>
      <c r="EAH19">
        <v>0</v>
      </c>
      <c r="EAI19">
        <v>31</v>
      </c>
      <c r="EAJ19">
        <v>0</v>
      </c>
      <c r="EAK19">
        <v>95</v>
      </c>
      <c r="EAL19">
        <v>0</v>
      </c>
      <c r="EAM19">
        <v>0</v>
      </c>
      <c r="EAN19">
        <v>0</v>
      </c>
      <c r="EAO19">
        <v>0</v>
      </c>
      <c r="EAP19">
        <v>0</v>
      </c>
      <c r="EAQ19">
        <v>0</v>
      </c>
      <c r="EAR19">
        <v>0</v>
      </c>
      <c r="EAS19">
        <v>0</v>
      </c>
      <c r="EAT19">
        <v>163</v>
      </c>
      <c r="EAU19">
        <v>57</v>
      </c>
      <c r="EAV19">
        <v>0</v>
      </c>
      <c r="EAW19">
        <v>0</v>
      </c>
      <c r="EAX19">
        <v>0</v>
      </c>
      <c r="EAY19">
        <v>0</v>
      </c>
      <c r="EAZ19">
        <v>0</v>
      </c>
      <c r="EBA19">
        <v>0</v>
      </c>
      <c r="EBB19">
        <v>0</v>
      </c>
      <c r="EBC19">
        <v>0</v>
      </c>
      <c r="EBD19">
        <v>230</v>
      </c>
      <c r="EBE19">
        <v>17</v>
      </c>
      <c r="EBF19">
        <v>0</v>
      </c>
      <c r="EBG19">
        <v>0</v>
      </c>
      <c r="EBH19">
        <v>0</v>
      </c>
      <c r="EBI19">
        <v>85</v>
      </c>
      <c r="EBJ19">
        <v>0</v>
      </c>
      <c r="EBK19">
        <v>0</v>
      </c>
      <c r="EBL19">
        <v>0</v>
      </c>
      <c r="EBM19">
        <v>0</v>
      </c>
      <c r="EBN19">
        <v>92</v>
      </c>
      <c r="EBO19">
        <v>0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0</v>
      </c>
      <c r="EBV19">
        <v>0</v>
      </c>
      <c r="EBW19">
        <v>0</v>
      </c>
      <c r="EBX19">
        <v>0</v>
      </c>
      <c r="EBY19">
        <v>5</v>
      </c>
      <c r="EBZ19">
        <v>0</v>
      </c>
      <c r="ECA19">
        <v>0</v>
      </c>
      <c r="ECB19">
        <v>0</v>
      </c>
      <c r="ECC19">
        <v>0</v>
      </c>
      <c r="ECD19">
        <v>0</v>
      </c>
      <c r="ECE19">
        <v>0</v>
      </c>
      <c r="ECF19">
        <v>0</v>
      </c>
      <c r="ECG19">
        <v>0</v>
      </c>
      <c r="ECH19">
        <v>0</v>
      </c>
      <c r="ECI19">
        <v>0</v>
      </c>
      <c r="ECJ19">
        <v>0</v>
      </c>
      <c r="ECK19">
        <v>0</v>
      </c>
      <c r="ECL19">
        <v>0</v>
      </c>
      <c r="ECM19">
        <v>0</v>
      </c>
      <c r="ECN19">
        <v>0</v>
      </c>
      <c r="ECO19">
        <v>0</v>
      </c>
      <c r="ECP19">
        <v>0</v>
      </c>
      <c r="ECQ19">
        <v>0</v>
      </c>
      <c r="ECR19">
        <v>0</v>
      </c>
      <c r="ECS19">
        <v>0</v>
      </c>
      <c r="ECT19">
        <v>0</v>
      </c>
      <c r="ECU19">
        <v>0</v>
      </c>
      <c r="ECV19">
        <v>0</v>
      </c>
      <c r="ECW19">
        <v>0</v>
      </c>
      <c r="ECX19">
        <v>0</v>
      </c>
      <c r="ECY19">
        <v>0</v>
      </c>
      <c r="ECZ19">
        <v>0</v>
      </c>
      <c r="EDA19">
        <v>0</v>
      </c>
      <c r="EDB19">
        <v>0</v>
      </c>
      <c r="EDC19">
        <v>0</v>
      </c>
      <c r="EDD19">
        <v>0</v>
      </c>
      <c r="EDE19">
        <v>0</v>
      </c>
      <c r="EDF19">
        <v>0</v>
      </c>
      <c r="EDG19">
        <v>0</v>
      </c>
      <c r="EDH19">
        <v>0</v>
      </c>
      <c r="EDI19">
        <v>0</v>
      </c>
      <c r="EDJ19">
        <v>0</v>
      </c>
      <c r="EDK19">
        <v>0</v>
      </c>
      <c r="EDL19">
        <v>0</v>
      </c>
      <c r="EDM19">
        <v>0</v>
      </c>
      <c r="EDN19">
        <v>24</v>
      </c>
      <c r="EDO19">
        <v>0</v>
      </c>
      <c r="EDP19">
        <v>26</v>
      </c>
      <c r="EDQ19">
        <v>0</v>
      </c>
      <c r="EDR19">
        <v>74.989999999999995</v>
      </c>
      <c r="EDS19">
        <v>0</v>
      </c>
      <c r="EDT19">
        <v>0</v>
      </c>
      <c r="EDU19">
        <v>0</v>
      </c>
      <c r="EDV19">
        <v>0</v>
      </c>
      <c r="EDW19">
        <v>0</v>
      </c>
      <c r="EDX19">
        <v>0</v>
      </c>
      <c r="EDY19">
        <v>0</v>
      </c>
      <c r="EDZ19">
        <v>0</v>
      </c>
      <c r="EEA19">
        <v>0</v>
      </c>
      <c r="EEB19">
        <v>0</v>
      </c>
      <c r="EEC19">
        <v>0</v>
      </c>
      <c r="EED19">
        <v>0</v>
      </c>
      <c r="EEE19">
        <v>115</v>
      </c>
      <c r="EEF19">
        <v>0</v>
      </c>
      <c r="EEG19">
        <v>0</v>
      </c>
      <c r="EEH19">
        <v>56</v>
      </c>
      <c r="EEI19">
        <v>0</v>
      </c>
      <c r="EEJ19">
        <v>6</v>
      </c>
      <c r="EEK19">
        <v>0</v>
      </c>
      <c r="EEL19">
        <v>0</v>
      </c>
      <c r="EEM19">
        <v>0</v>
      </c>
      <c r="EEN19">
        <v>0</v>
      </c>
      <c r="EEO19">
        <v>0</v>
      </c>
      <c r="EEP19">
        <v>0</v>
      </c>
      <c r="EEQ19">
        <v>0</v>
      </c>
      <c r="EER19">
        <v>0</v>
      </c>
      <c r="EES19">
        <v>0</v>
      </c>
      <c r="EET19">
        <v>0</v>
      </c>
      <c r="EEU19">
        <v>0</v>
      </c>
      <c r="EEV19">
        <v>0</v>
      </c>
      <c r="EEW19">
        <v>0</v>
      </c>
      <c r="EEX19">
        <v>0</v>
      </c>
      <c r="EEY19">
        <v>0</v>
      </c>
      <c r="EEZ19">
        <v>0</v>
      </c>
      <c r="EFA19">
        <v>0</v>
      </c>
      <c r="EFB19">
        <v>0</v>
      </c>
      <c r="EFC19">
        <v>0</v>
      </c>
      <c r="EFD19">
        <v>0</v>
      </c>
      <c r="EFE19">
        <v>0</v>
      </c>
      <c r="EFF19">
        <v>0</v>
      </c>
      <c r="EFG19">
        <v>0</v>
      </c>
      <c r="EFH19">
        <v>0</v>
      </c>
      <c r="EFI19">
        <v>0</v>
      </c>
      <c r="EFJ19">
        <v>0</v>
      </c>
      <c r="EFK19">
        <v>0</v>
      </c>
      <c r="EFL19">
        <v>0</v>
      </c>
      <c r="EFM19">
        <v>0</v>
      </c>
      <c r="EFN19">
        <v>0</v>
      </c>
      <c r="EFO19">
        <v>0</v>
      </c>
      <c r="EFP19">
        <v>0</v>
      </c>
      <c r="EFQ19">
        <v>0</v>
      </c>
      <c r="EFR19">
        <v>0</v>
      </c>
      <c r="EFS19">
        <v>0</v>
      </c>
      <c r="EFT19">
        <v>0</v>
      </c>
      <c r="EFU19">
        <v>0</v>
      </c>
      <c r="EFV19">
        <v>0</v>
      </c>
      <c r="EFW19">
        <v>0</v>
      </c>
      <c r="EFX19">
        <v>0</v>
      </c>
      <c r="EFY19">
        <v>0</v>
      </c>
      <c r="EFZ19">
        <v>0</v>
      </c>
      <c r="EGA19">
        <v>0</v>
      </c>
      <c r="EGB19">
        <v>0</v>
      </c>
      <c r="EGC19">
        <v>0</v>
      </c>
      <c r="EGD19">
        <v>0</v>
      </c>
      <c r="EGE19">
        <v>0</v>
      </c>
      <c r="EGF19">
        <v>0</v>
      </c>
      <c r="EGG19">
        <v>0</v>
      </c>
      <c r="EGH19">
        <v>0</v>
      </c>
      <c r="EGI19">
        <v>165</v>
      </c>
      <c r="EGJ19">
        <v>0</v>
      </c>
      <c r="EGK19">
        <v>0</v>
      </c>
      <c r="EGL19">
        <v>0</v>
      </c>
      <c r="EGM19">
        <v>0</v>
      </c>
      <c r="EGN19">
        <v>0</v>
      </c>
      <c r="EGO19">
        <v>0</v>
      </c>
      <c r="EGP19">
        <v>0</v>
      </c>
      <c r="EGQ19">
        <v>0</v>
      </c>
      <c r="EGR19">
        <v>203</v>
      </c>
      <c r="EGS19">
        <v>0</v>
      </c>
      <c r="EGT19">
        <v>0</v>
      </c>
      <c r="EGU19">
        <v>0</v>
      </c>
      <c r="EGV19">
        <v>0</v>
      </c>
      <c r="EGW19">
        <v>0</v>
      </c>
      <c r="EGX19">
        <v>0</v>
      </c>
      <c r="EGY19">
        <v>0</v>
      </c>
      <c r="EGZ19">
        <v>0</v>
      </c>
      <c r="EHA19">
        <v>0</v>
      </c>
      <c r="EHB19">
        <v>12</v>
      </c>
      <c r="EHC19">
        <v>0</v>
      </c>
      <c r="EHD19">
        <v>0</v>
      </c>
      <c r="EHE19">
        <v>0</v>
      </c>
      <c r="EHF19">
        <v>0</v>
      </c>
      <c r="EHG19">
        <v>0</v>
      </c>
      <c r="EHH19">
        <v>214</v>
      </c>
      <c r="EHI19">
        <v>0</v>
      </c>
      <c r="EHJ19">
        <v>0</v>
      </c>
      <c r="EHK19">
        <v>0</v>
      </c>
      <c r="EHL19">
        <v>0</v>
      </c>
      <c r="EHM19">
        <v>0</v>
      </c>
      <c r="EHN19">
        <v>0</v>
      </c>
      <c r="EHO19">
        <v>0</v>
      </c>
      <c r="EHP19">
        <v>0</v>
      </c>
      <c r="EHQ19">
        <v>0</v>
      </c>
      <c r="EHR19">
        <v>0</v>
      </c>
      <c r="EHS19">
        <v>0</v>
      </c>
      <c r="EHT19">
        <v>0</v>
      </c>
      <c r="EHU19">
        <v>0</v>
      </c>
      <c r="EHV19">
        <v>0</v>
      </c>
      <c r="EHW19">
        <v>0</v>
      </c>
      <c r="EHX19">
        <v>0</v>
      </c>
      <c r="EHY19">
        <v>0</v>
      </c>
      <c r="EHZ19">
        <v>38</v>
      </c>
      <c r="EIA19">
        <v>0</v>
      </c>
      <c r="EIB19">
        <v>0</v>
      </c>
      <c r="EIC19">
        <v>0</v>
      </c>
      <c r="EID19">
        <v>17</v>
      </c>
      <c r="EIE19">
        <v>0</v>
      </c>
      <c r="EIF19">
        <v>0</v>
      </c>
      <c r="EIG19">
        <v>68</v>
      </c>
      <c r="EIH19">
        <v>0</v>
      </c>
      <c r="EII19">
        <v>6</v>
      </c>
      <c r="EIJ19">
        <v>0</v>
      </c>
      <c r="EIK19">
        <v>0</v>
      </c>
      <c r="EIL19">
        <v>0</v>
      </c>
      <c r="EIM19">
        <v>0</v>
      </c>
      <c r="EIN19">
        <v>0</v>
      </c>
      <c r="EIO19">
        <v>0</v>
      </c>
      <c r="EIP19">
        <v>0</v>
      </c>
      <c r="EIQ19">
        <v>0</v>
      </c>
      <c r="EIR19">
        <v>0</v>
      </c>
      <c r="EIS19">
        <v>0</v>
      </c>
      <c r="EIT19">
        <v>14</v>
      </c>
      <c r="EIU19">
        <v>0</v>
      </c>
      <c r="EIV19">
        <v>0</v>
      </c>
      <c r="EIW19">
        <v>0</v>
      </c>
      <c r="EIX19">
        <v>0</v>
      </c>
      <c r="EIY19">
        <v>0</v>
      </c>
      <c r="EIZ19">
        <v>0</v>
      </c>
      <c r="EJA19">
        <v>30</v>
      </c>
      <c r="EJB19">
        <v>0</v>
      </c>
      <c r="EJC19">
        <v>0</v>
      </c>
      <c r="EJD19">
        <v>0</v>
      </c>
      <c r="EJE19">
        <v>83</v>
      </c>
      <c r="EJF19">
        <v>0</v>
      </c>
      <c r="EJG19">
        <v>0</v>
      </c>
      <c r="EJH19">
        <v>0</v>
      </c>
      <c r="EJI19">
        <v>0</v>
      </c>
      <c r="EJJ19">
        <v>0</v>
      </c>
      <c r="EJK19">
        <v>0</v>
      </c>
      <c r="EJL19">
        <v>0</v>
      </c>
      <c r="EJM19">
        <v>0</v>
      </c>
      <c r="EJN19">
        <v>0</v>
      </c>
      <c r="EJO19">
        <v>0</v>
      </c>
      <c r="EJP19">
        <v>0</v>
      </c>
      <c r="EJQ19">
        <v>0</v>
      </c>
      <c r="EJR19">
        <v>0</v>
      </c>
      <c r="EJS19">
        <v>0</v>
      </c>
      <c r="EJT19">
        <v>0</v>
      </c>
      <c r="EJU19">
        <v>0</v>
      </c>
      <c r="EJV19">
        <v>311.99</v>
      </c>
      <c r="EJW19">
        <v>0</v>
      </c>
      <c r="EJX19">
        <v>0</v>
      </c>
      <c r="EJY19">
        <v>0</v>
      </c>
      <c r="EJZ19">
        <v>0</v>
      </c>
      <c r="EKA19">
        <v>0</v>
      </c>
      <c r="EKB19">
        <v>0</v>
      </c>
      <c r="EKC19">
        <v>0</v>
      </c>
      <c r="EKD19">
        <v>0</v>
      </c>
      <c r="EKE19">
        <v>0</v>
      </c>
      <c r="EKF19">
        <v>0</v>
      </c>
      <c r="EKG19">
        <v>0</v>
      </c>
      <c r="EKH19">
        <v>0</v>
      </c>
      <c r="EKI19">
        <v>0</v>
      </c>
      <c r="EKJ19">
        <v>0</v>
      </c>
      <c r="EKK19">
        <v>0</v>
      </c>
      <c r="EKL19">
        <v>0</v>
      </c>
      <c r="EKM19">
        <v>0</v>
      </c>
      <c r="EKN19">
        <v>0</v>
      </c>
      <c r="EKO19">
        <v>0</v>
      </c>
      <c r="EKP19">
        <v>0</v>
      </c>
      <c r="EKQ19">
        <v>0</v>
      </c>
      <c r="EKR19">
        <v>0</v>
      </c>
      <c r="EKS19">
        <v>0</v>
      </c>
      <c r="EKT19">
        <v>0</v>
      </c>
      <c r="EKU19">
        <v>0</v>
      </c>
      <c r="EKV19">
        <v>0</v>
      </c>
      <c r="EKW19">
        <v>0</v>
      </c>
      <c r="EKX19">
        <v>0</v>
      </c>
      <c r="EKY19">
        <v>0</v>
      </c>
      <c r="EKZ19">
        <v>0</v>
      </c>
      <c r="ELA19">
        <v>0</v>
      </c>
      <c r="ELB19">
        <v>0</v>
      </c>
      <c r="ELC19">
        <v>0</v>
      </c>
      <c r="ELD19">
        <v>326.01</v>
      </c>
      <c r="ELE19">
        <v>0</v>
      </c>
      <c r="ELF19">
        <v>0</v>
      </c>
      <c r="ELG19">
        <v>0</v>
      </c>
      <c r="ELH19">
        <v>0</v>
      </c>
      <c r="ELI19">
        <v>0</v>
      </c>
      <c r="ELJ19">
        <v>0</v>
      </c>
      <c r="ELK19">
        <v>0</v>
      </c>
      <c r="ELL19">
        <v>0</v>
      </c>
      <c r="ELM19">
        <v>0</v>
      </c>
      <c r="ELN19">
        <v>0</v>
      </c>
      <c r="ELO19">
        <v>0</v>
      </c>
      <c r="ELP19">
        <v>0</v>
      </c>
      <c r="ELQ19">
        <v>0</v>
      </c>
      <c r="ELR19">
        <v>0</v>
      </c>
      <c r="ELS19">
        <v>0</v>
      </c>
      <c r="ELT19">
        <v>0</v>
      </c>
      <c r="ELU19">
        <v>0</v>
      </c>
      <c r="ELV19">
        <v>0</v>
      </c>
      <c r="ELW19">
        <v>0</v>
      </c>
      <c r="ELX19">
        <v>0</v>
      </c>
      <c r="ELY19">
        <v>0</v>
      </c>
      <c r="ELZ19">
        <v>0</v>
      </c>
      <c r="EMA19">
        <v>0</v>
      </c>
      <c r="EMB19">
        <v>0</v>
      </c>
      <c r="EMC19">
        <v>0</v>
      </c>
      <c r="EMD19">
        <v>0</v>
      </c>
      <c r="EME19">
        <v>0</v>
      </c>
      <c r="EMF19">
        <v>0</v>
      </c>
      <c r="EMG19">
        <v>0</v>
      </c>
      <c r="EMH19">
        <v>123</v>
      </c>
      <c r="EMI19">
        <v>26</v>
      </c>
      <c r="EMJ19">
        <v>0</v>
      </c>
      <c r="EMK19">
        <v>30</v>
      </c>
      <c r="EML19">
        <v>0</v>
      </c>
      <c r="EMM19">
        <v>0</v>
      </c>
      <c r="EMN19">
        <v>0</v>
      </c>
      <c r="EMO19">
        <v>0</v>
      </c>
      <c r="EMP19">
        <v>0</v>
      </c>
      <c r="EMQ19">
        <v>0</v>
      </c>
      <c r="EMR19">
        <v>345.99</v>
      </c>
      <c r="EMS19">
        <v>0</v>
      </c>
      <c r="EMT19">
        <v>0</v>
      </c>
      <c r="EMU19">
        <v>0</v>
      </c>
      <c r="EMV19">
        <v>0</v>
      </c>
      <c r="EMW19">
        <v>0</v>
      </c>
      <c r="EMX19">
        <v>0</v>
      </c>
      <c r="EMY19">
        <v>0</v>
      </c>
      <c r="EMZ19">
        <v>0</v>
      </c>
      <c r="ENA19">
        <v>0</v>
      </c>
      <c r="ENB19">
        <v>349.99</v>
      </c>
      <c r="ENC19">
        <v>0</v>
      </c>
      <c r="END19">
        <v>0</v>
      </c>
      <c r="ENE19">
        <v>0</v>
      </c>
      <c r="ENF19">
        <v>0</v>
      </c>
      <c r="ENG19">
        <v>0</v>
      </c>
      <c r="ENH19">
        <v>0</v>
      </c>
      <c r="ENI19">
        <v>0</v>
      </c>
      <c r="ENJ19">
        <v>0</v>
      </c>
      <c r="ENK19">
        <v>0</v>
      </c>
      <c r="ENL19">
        <v>0</v>
      </c>
      <c r="ENM19">
        <v>0</v>
      </c>
      <c r="ENN19">
        <v>0</v>
      </c>
      <c r="ENO19">
        <v>0</v>
      </c>
      <c r="ENP19">
        <v>0</v>
      </c>
      <c r="ENQ19">
        <v>0</v>
      </c>
      <c r="ENR19">
        <v>0</v>
      </c>
      <c r="ENS19">
        <v>0</v>
      </c>
      <c r="ENT19">
        <v>0</v>
      </c>
      <c r="ENU19">
        <v>0</v>
      </c>
      <c r="ENV19">
        <v>0</v>
      </c>
      <c r="ENW19">
        <v>0</v>
      </c>
      <c r="ENX19">
        <v>0</v>
      </c>
      <c r="ENY19">
        <v>0</v>
      </c>
      <c r="ENZ19">
        <v>0</v>
      </c>
      <c r="EOA19">
        <v>0</v>
      </c>
      <c r="EOB19">
        <v>0</v>
      </c>
      <c r="EOC19">
        <v>0</v>
      </c>
      <c r="EOD19">
        <v>0</v>
      </c>
      <c r="EOE19">
        <v>0</v>
      </c>
      <c r="EOF19">
        <v>0</v>
      </c>
      <c r="EOG19">
        <v>0</v>
      </c>
      <c r="EOH19">
        <v>0</v>
      </c>
      <c r="EOI19">
        <v>0</v>
      </c>
      <c r="EOJ19">
        <v>0</v>
      </c>
      <c r="EOK19">
        <v>0</v>
      </c>
      <c r="EOL19">
        <v>0</v>
      </c>
      <c r="EOM19">
        <v>0</v>
      </c>
      <c r="EON19">
        <v>0</v>
      </c>
      <c r="EOO19">
        <v>0</v>
      </c>
      <c r="EOP19">
        <v>0</v>
      </c>
      <c r="EOQ19">
        <v>0</v>
      </c>
      <c r="EOR19">
        <v>0</v>
      </c>
      <c r="EOS19">
        <v>0</v>
      </c>
      <c r="EOT19">
        <v>0</v>
      </c>
      <c r="EOU19">
        <v>0</v>
      </c>
      <c r="EOV19">
        <v>0</v>
      </c>
      <c r="EOW19">
        <v>0</v>
      </c>
      <c r="EOX19">
        <v>0</v>
      </c>
      <c r="EOY19">
        <v>15</v>
      </c>
      <c r="EOZ19">
        <v>0</v>
      </c>
      <c r="EPA19">
        <v>0</v>
      </c>
      <c r="EPB19">
        <v>0</v>
      </c>
      <c r="EPC19">
        <v>0</v>
      </c>
      <c r="EPD19">
        <v>0</v>
      </c>
      <c r="EPE19">
        <v>0</v>
      </c>
      <c r="EPF19">
        <v>0</v>
      </c>
      <c r="EPG19">
        <v>0</v>
      </c>
      <c r="EPH19">
        <v>8</v>
      </c>
      <c r="EPI19">
        <v>0</v>
      </c>
      <c r="EPJ19">
        <v>0</v>
      </c>
      <c r="EPK19">
        <v>0</v>
      </c>
      <c r="EPL19">
        <v>0</v>
      </c>
      <c r="EPM19">
        <v>0</v>
      </c>
      <c r="EPN19">
        <v>0</v>
      </c>
      <c r="EPO19">
        <v>0</v>
      </c>
      <c r="EPP19">
        <v>0</v>
      </c>
      <c r="EPQ19">
        <v>0</v>
      </c>
      <c r="EPR19">
        <v>0</v>
      </c>
      <c r="EPS19">
        <v>0</v>
      </c>
      <c r="EPT19">
        <v>0</v>
      </c>
      <c r="EPU19">
        <v>0</v>
      </c>
      <c r="EPV19">
        <v>0</v>
      </c>
      <c r="EPW19">
        <v>0</v>
      </c>
      <c r="EPX19">
        <v>0</v>
      </c>
      <c r="EPY19">
        <v>0</v>
      </c>
      <c r="EPZ19">
        <v>0</v>
      </c>
      <c r="EQA19">
        <v>0</v>
      </c>
      <c r="EQB19">
        <v>0</v>
      </c>
      <c r="EQC19">
        <v>0</v>
      </c>
      <c r="EQD19">
        <v>0</v>
      </c>
      <c r="EQE19">
        <v>0</v>
      </c>
      <c r="EQF19">
        <v>0</v>
      </c>
      <c r="EQG19">
        <v>0</v>
      </c>
      <c r="EQH19">
        <v>0</v>
      </c>
      <c r="EQI19">
        <v>0</v>
      </c>
      <c r="EQJ19">
        <v>0</v>
      </c>
      <c r="EQK19">
        <v>0</v>
      </c>
      <c r="EQL19">
        <v>0</v>
      </c>
      <c r="EQM19">
        <v>0</v>
      </c>
      <c r="EQN19">
        <v>0</v>
      </c>
      <c r="EQO19">
        <v>0</v>
      </c>
      <c r="EQP19">
        <v>155.99</v>
      </c>
      <c r="EQQ19">
        <v>0</v>
      </c>
      <c r="EQR19">
        <v>0</v>
      </c>
      <c r="EQS19">
        <v>0</v>
      </c>
      <c r="EQT19">
        <v>0</v>
      </c>
      <c r="EQU19">
        <v>0</v>
      </c>
      <c r="EQV19">
        <v>0</v>
      </c>
      <c r="EQW19">
        <v>0</v>
      </c>
      <c r="EQX19">
        <v>0</v>
      </c>
      <c r="EQY19">
        <v>0</v>
      </c>
      <c r="EQZ19">
        <v>0</v>
      </c>
      <c r="ERA19">
        <v>33</v>
      </c>
      <c r="ERB19">
        <v>0</v>
      </c>
      <c r="ERC19">
        <v>0</v>
      </c>
      <c r="ERD19">
        <v>399.98</v>
      </c>
      <c r="ERE19">
        <v>0</v>
      </c>
      <c r="ERF19">
        <v>0</v>
      </c>
      <c r="ERG19">
        <v>0</v>
      </c>
      <c r="ERH19">
        <v>0</v>
      </c>
      <c r="ERI19">
        <v>0</v>
      </c>
      <c r="ERJ19">
        <v>0</v>
      </c>
      <c r="ERK19">
        <v>0</v>
      </c>
      <c r="ERL19">
        <v>403</v>
      </c>
      <c r="ERM19">
        <v>0</v>
      </c>
      <c r="ERN19">
        <v>0</v>
      </c>
      <c r="ERO19">
        <v>0</v>
      </c>
      <c r="ERP19">
        <v>0</v>
      </c>
      <c r="ERQ19">
        <v>88</v>
      </c>
      <c r="ERR19">
        <v>0</v>
      </c>
      <c r="ERS19">
        <v>0</v>
      </c>
      <c r="ERT19">
        <v>0</v>
      </c>
      <c r="ERU19">
        <v>0</v>
      </c>
      <c r="ERV19">
        <v>0</v>
      </c>
      <c r="ERW19">
        <v>0</v>
      </c>
      <c r="ERX19">
        <v>0</v>
      </c>
      <c r="ERY19">
        <v>0</v>
      </c>
      <c r="ERZ19">
        <v>0</v>
      </c>
      <c r="ESA19">
        <v>0</v>
      </c>
      <c r="ESB19">
        <v>0</v>
      </c>
      <c r="ESC19">
        <v>0</v>
      </c>
      <c r="ESD19">
        <v>0</v>
      </c>
      <c r="ESE19">
        <v>0</v>
      </c>
      <c r="ESF19">
        <v>0</v>
      </c>
      <c r="ESG19">
        <v>0</v>
      </c>
      <c r="ESH19">
        <v>0</v>
      </c>
      <c r="ESI19">
        <v>0</v>
      </c>
      <c r="ESJ19">
        <v>0</v>
      </c>
      <c r="ESK19">
        <v>0</v>
      </c>
      <c r="ESL19">
        <v>0</v>
      </c>
      <c r="ESM19">
        <v>0</v>
      </c>
      <c r="ESN19">
        <v>0</v>
      </c>
      <c r="ESO19">
        <v>0</v>
      </c>
      <c r="ESP19">
        <v>16</v>
      </c>
      <c r="ESQ19">
        <v>0</v>
      </c>
      <c r="ESR19">
        <v>0</v>
      </c>
      <c r="ESS19">
        <v>0</v>
      </c>
      <c r="EST19">
        <v>0</v>
      </c>
      <c r="ESU19">
        <v>0</v>
      </c>
      <c r="ESV19">
        <v>0</v>
      </c>
      <c r="ESW19">
        <v>6</v>
      </c>
      <c r="ESX19">
        <v>0</v>
      </c>
      <c r="ESY19">
        <v>0</v>
      </c>
      <c r="ESZ19">
        <v>17</v>
      </c>
      <c r="ETA19">
        <v>0</v>
      </c>
      <c r="ETB19">
        <v>70</v>
      </c>
      <c r="ETC19">
        <v>0</v>
      </c>
      <c r="ETD19">
        <v>0</v>
      </c>
      <c r="ETE19">
        <v>0</v>
      </c>
      <c r="ETF19">
        <v>0</v>
      </c>
      <c r="ETG19">
        <v>0</v>
      </c>
      <c r="ETH19">
        <v>0</v>
      </c>
      <c r="ETI19">
        <v>0</v>
      </c>
      <c r="ETJ19">
        <v>0</v>
      </c>
      <c r="ETK19">
        <v>0</v>
      </c>
      <c r="ETL19">
        <v>0</v>
      </c>
      <c r="ETM19">
        <v>0</v>
      </c>
      <c r="ETN19">
        <v>0</v>
      </c>
      <c r="ETO19">
        <v>0</v>
      </c>
      <c r="ETP19">
        <v>0</v>
      </c>
      <c r="ETQ19">
        <v>0</v>
      </c>
      <c r="ETR19">
        <v>32</v>
      </c>
      <c r="ETS19">
        <v>0</v>
      </c>
      <c r="ETT19">
        <v>0</v>
      </c>
      <c r="ETU19">
        <v>220</v>
      </c>
      <c r="ETV19">
        <v>0</v>
      </c>
      <c r="ETW19">
        <v>0</v>
      </c>
      <c r="ETX19">
        <v>318.99</v>
      </c>
      <c r="ETY19">
        <v>0</v>
      </c>
      <c r="ETZ19">
        <v>0</v>
      </c>
      <c r="EUA19">
        <v>0</v>
      </c>
      <c r="EUB19">
        <v>0</v>
      </c>
      <c r="EUC19">
        <v>0</v>
      </c>
      <c r="EUD19">
        <v>0</v>
      </c>
      <c r="EUE19">
        <v>0</v>
      </c>
      <c r="EUF19">
        <v>0</v>
      </c>
      <c r="EUG19">
        <v>0</v>
      </c>
      <c r="EUH19">
        <v>0</v>
      </c>
      <c r="EUI19">
        <v>0</v>
      </c>
      <c r="EUJ19">
        <v>0</v>
      </c>
      <c r="EUK19">
        <v>0</v>
      </c>
      <c r="EUL19">
        <v>0</v>
      </c>
      <c r="EUM19">
        <v>0</v>
      </c>
      <c r="EUN19">
        <v>0</v>
      </c>
      <c r="EUO19">
        <v>0</v>
      </c>
      <c r="EUP19">
        <v>0</v>
      </c>
      <c r="EUQ19">
        <v>0</v>
      </c>
      <c r="EUR19">
        <v>0</v>
      </c>
      <c r="EUS19">
        <v>0</v>
      </c>
      <c r="EUT19">
        <v>0</v>
      </c>
      <c r="EUU19">
        <v>454.99</v>
      </c>
      <c r="EUV19">
        <v>0</v>
      </c>
      <c r="EUW19">
        <v>0</v>
      </c>
      <c r="EUX19">
        <v>29</v>
      </c>
      <c r="EUY19">
        <v>0</v>
      </c>
      <c r="EUZ19">
        <v>0</v>
      </c>
      <c r="EVA19">
        <v>458</v>
      </c>
      <c r="EVB19">
        <v>0</v>
      </c>
      <c r="EVC19">
        <v>0</v>
      </c>
      <c r="EVD19">
        <v>0</v>
      </c>
      <c r="EVE19">
        <v>0</v>
      </c>
      <c r="EVF19">
        <v>0</v>
      </c>
      <c r="EVG19">
        <v>0</v>
      </c>
      <c r="EVH19">
        <v>0</v>
      </c>
      <c r="EVI19">
        <v>0</v>
      </c>
      <c r="EVJ19">
        <v>0</v>
      </c>
      <c r="EVK19">
        <v>0</v>
      </c>
      <c r="EVL19">
        <v>0</v>
      </c>
      <c r="EVM19">
        <v>0</v>
      </c>
      <c r="EVN19">
        <v>0</v>
      </c>
      <c r="EVO19">
        <v>0</v>
      </c>
      <c r="EVP19">
        <v>0</v>
      </c>
      <c r="EVQ19">
        <v>0</v>
      </c>
      <c r="EVR19">
        <v>0</v>
      </c>
      <c r="EVS19">
        <v>0</v>
      </c>
      <c r="EVT19">
        <v>0</v>
      </c>
      <c r="EVU19">
        <v>0</v>
      </c>
      <c r="EVV19">
        <v>0</v>
      </c>
      <c r="EVW19">
        <v>0</v>
      </c>
      <c r="EVX19">
        <v>0</v>
      </c>
      <c r="EVY19">
        <v>0</v>
      </c>
      <c r="EVZ19">
        <v>0</v>
      </c>
      <c r="EWA19">
        <v>0</v>
      </c>
      <c r="EWB19">
        <v>9</v>
      </c>
      <c r="EWC19">
        <v>0</v>
      </c>
      <c r="EWD19">
        <v>0</v>
      </c>
      <c r="EWE19">
        <v>0</v>
      </c>
      <c r="EWF19">
        <v>0</v>
      </c>
      <c r="EWG19">
        <v>0</v>
      </c>
      <c r="EWH19">
        <v>0</v>
      </c>
      <c r="EWI19">
        <v>0</v>
      </c>
      <c r="EWJ19">
        <v>0</v>
      </c>
      <c r="EWK19">
        <v>0</v>
      </c>
      <c r="EWL19">
        <v>0</v>
      </c>
      <c r="EWM19">
        <v>0</v>
      </c>
      <c r="EWN19">
        <v>0</v>
      </c>
      <c r="EWO19">
        <v>0</v>
      </c>
      <c r="EWP19">
        <v>0</v>
      </c>
      <c r="EWQ19">
        <v>0</v>
      </c>
      <c r="EWR19">
        <v>0</v>
      </c>
      <c r="EWS19">
        <v>23</v>
      </c>
      <c r="EWT19">
        <v>0</v>
      </c>
      <c r="EWU19">
        <v>0</v>
      </c>
      <c r="EWV19">
        <v>0</v>
      </c>
      <c r="EWW19">
        <v>0</v>
      </c>
      <c r="EWX19">
        <v>0</v>
      </c>
      <c r="EWY19">
        <v>181.99</v>
      </c>
      <c r="EWZ19">
        <v>30</v>
      </c>
      <c r="EXA19">
        <v>0</v>
      </c>
      <c r="EXB19">
        <v>0</v>
      </c>
      <c r="EXC19">
        <v>25</v>
      </c>
      <c r="EXD19">
        <v>0</v>
      </c>
      <c r="EXE19">
        <v>0</v>
      </c>
      <c r="EXF19">
        <v>0</v>
      </c>
      <c r="EXG19">
        <v>0</v>
      </c>
      <c r="EXH19">
        <v>0</v>
      </c>
      <c r="EXI19">
        <v>0</v>
      </c>
      <c r="EXJ19">
        <v>0</v>
      </c>
      <c r="EXK19">
        <v>0</v>
      </c>
      <c r="EXL19">
        <v>0</v>
      </c>
      <c r="EXM19">
        <v>0</v>
      </c>
      <c r="EXN19">
        <v>0</v>
      </c>
      <c r="EXO19">
        <v>0</v>
      </c>
      <c r="EXP19">
        <v>0</v>
      </c>
      <c r="EXQ19">
        <v>0</v>
      </c>
      <c r="EXR19">
        <v>510.01</v>
      </c>
      <c r="EXS19">
        <v>0</v>
      </c>
      <c r="EXT19">
        <v>0</v>
      </c>
      <c r="EXU19">
        <v>0</v>
      </c>
      <c r="EXV19">
        <v>0</v>
      </c>
      <c r="EXW19">
        <v>0</v>
      </c>
      <c r="EXX19">
        <v>0</v>
      </c>
      <c r="EXY19">
        <v>0</v>
      </c>
      <c r="EXZ19">
        <v>0</v>
      </c>
      <c r="EYA19">
        <v>0</v>
      </c>
      <c r="EYB19">
        <v>0</v>
      </c>
      <c r="EYC19">
        <v>0</v>
      </c>
      <c r="EYD19">
        <v>0</v>
      </c>
      <c r="EYE19">
        <v>0</v>
      </c>
      <c r="EYF19">
        <v>0</v>
      </c>
      <c r="EYG19">
        <v>0</v>
      </c>
      <c r="EYH19">
        <v>0</v>
      </c>
      <c r="EYI19">
        <v>0</v>
      </c>
      <c r="EYJ19">
        <v>0</v>
      </c>
      <c r="EYK19">
        <v>0</v>
      </c>
      <c r="EYL19">
        <v>0</v>
      </c>
      <c r="EYM19">
        <v>0</v>
      </c>
      <c r="EYN19">
        <v>0</v>
      </c>
      <c r="EYO19">
        <v>0</v>
      </c>
      <c r="EYP19">
        <v>0</v>
      </c>
      <c r="EYQ19">
        <v>0</v>
      </c>
      <c r="EYR19">
        <v>0</v>
      </c>
      <c r="EYS19">
        <v>0</v>
      </c>
      <c r="EYT19">
        <v>530.01</v>
      </c>
      <c r="EYU19">
        <v>0</v>
      </c>
      <c r="EYV19">
        <v>0</v>
      </c>
      <c r="EYW19">
        <v>36</v>
      </c>
      <c r="EYX19">
        <v>0</v>
      </c>
      <c r="EYY19">
        <v>0</v>
      </c>
      <c r="EYZ19">
        <v>0</v>
      </c>
      <c r="EZA19">
        <v>0</v>
      </c>
      <c r="EZB19">
        <v>0</v>
      </c>
      <c r="EZC19">
        <v>0</v>
      </c>
      <c r="EZD19">
        <v>0</v>
      </c>
      <c r="EZE19">
        <v>0</v>
      </c>
      <c r="EZF19">
        <v>123</v>
      </c>
      <c r="EZG19">
        <v>0</v>
      </c>
      <c r="EZH19">
        <v>0</v>
      </c>
      <c r="EZI19">
        <v>24</v>
      </c>
      <c r="EZJ19">
        <v>0</v>
      </c>
      <c r="EZK19">
        <v>33</v>
      </c>
      <c r="EZL19">
        <v>0</v>
      </c>
      <c r="EZM19">
        <v>0</v>
      </c>
      <c r="EZN19">
        <v>0</v>
      </c>
      <c r="EZO19">
        <v>0</v>
      </c>
      <c r="EZP19">
        <v>0</v>
      </c>
      <c r="EZQ19">
        <v>0</v>
      </c>
      <c r="EZR19">
        <v>0</v>
      </c>
      <c r="EZS19">
        <v>0</v>
      </c>
      <c r="EZT19">
        <v>0</v>
      </c>
      <c r="EZU19">
        <v>0</v>
      </c>
      <c r="EZV19">
        <v>0</v>
      </c>
      <c r="EZW19">
        <v>0</v>
      </c>
      <c r="EZX19">
        <v>0</v>
      </c>
      <c r="EZY19">
        <v>0</v>
      </c>
      <c r="EZZ19">
        <v>0</v>
      </c>
      <c r="FAA19">
        <v>0</v>
      </c>
      <c r="FAB19">
        <v>0</v>
      </c>
      <c r="FAC19">
        <v>0</v>
      </c>
      <c r="FAD19">
        <v>0</v>
      </c>
      <c r="FAE19">
        <v>0</v>
      </c>
      <c r="FAF19">
        <v>0</v>
      </c>
      <c r="FAG19">
        <v>0</v>
      </c>
      <c r="FAH19">
        <v>0</v>
      </c>
      <c r="FAI19">
        <v>0</v>
      </c>
      <c r="FAJ19">
        <v>0</v>
      </c>
      <c r="FAK19">
        <v>0</v>
      </c>
      <c r="FAL19">
        <v>0</v>
      </c>
      <c r="FAM19">
        <v>0</v>
      </c>
      <c r="FAN19">
        <v>0</v>
      </c>
      <c r="FAO19">
        <v>0</v>
      </c>
      <c r="FAP19">
        <v>0</v>
      </c>
      <c r="FAQ19">
        <v>0</v>
      </c>
      <c r="FAR19">
        <v>0</v>
      </c>
      <c r="FAS19">
        <v>0</v>
      </c>
      <c r="FAT19">
        <v>0</v>
      </c>
      <c r="FAU19">
        <v>0</v>
      </c>
      <c r="FAV19">
        <v>0</v>
      </c>
      <c r="FAW19">
        <v>0</v>
      </c>
      <c r="FAX19">
        <v>0</v>
      </c>
      <c r="FAY19">
        <v>0</v>
      </c>
      <c r="FAZ19">
        <v>0</v>
      </c>
      <c r="FBA19">
        <v>255.99</v>
      </c>
      <c r="FBB19">
        <v>0</v>
      </c>
      <c r="FBC19">
        <v>0</v>
      </c>
      <c r="FBD19">
        <v>0</v>
      </c>
      <c r="FBE19">
        <v>0</v>
      </c>
      <c r="FBF19">
        <v>0</v>
      </c>
      <c r="FBG19">
        <v>0</v>
      </c>
      <c r="FBH19">
        <v>0</v>
      </c>
      <c r="FBI19">
        <v>0</v>
      </c>
      <c r="FBJ19">
        <v>592.01</v>
      </c>
      <c r="FBK19">
        <v>0</v>
      </c>
      <c r="FBL19">
        <v>0</v>
      </c>
      <c r="FBM19">
        <v>0</v>
      </c>
      <c r="FBN19">
        <v>0</v>
      </c>
      <c r="FBO19">
        <v>0</v>
      </c>
      <c r="FBP19">
        <v>0</v>
      </c>
      <c r="FBQ19">
        <v>0</v>
      </c>
      <c r="FBR19">
        <v>107</v>
      </c>
      <c r="FBS19">
        <v>0</v>
      </c>
      <c r="FBT19">
        <v>0</v>
      </c>
      <c r="FBU19">
        <v>0</v>
      </c>
      <c r="FBV19">
        <v>0</v>
      </c>
      <c r="FBW19">
        <v>0</v>
      </c>
      <c r="FBX19">
        <v>0</v>
      </c>
      <c r="FBY19">
        <v>0</v>
      </c>
      <c r="FBZ19">
        <v>0</v>
      </c>
      <c r="FCA19">
        <v>0</v>
      </c>
      <c r="FCB19">
        <v>0</v>
      </c>
      <c r="FCC19">
        <v>0</v>
      </c>
      <c r="FCD19">
        <v>0</v>
      </c>
      <c r="FCE19">
        <v>0</v>
      </c>
      <c r="FCF19">
        <v>0</v>
      </c>
      <c r="FCG19">
        <v>0</v>
      </c>
      <c r="FCH19">
        <v>0</v>
      </c>
      <c r="FCI19">
        <v>0</v>
      </c>
      <c r="FCJ19">
        <v>0</v>
      </c>
      <c r="FCK19">
        <v>0</v>
      </c>
      <c r="FCL19">
        <v>0</v>
      </c>
      <c r="FCM19">
        <v>0</v>
      </c>
      <c r="FCN19">
        <v>0</v>
      </c>
      <c r="FCO19">
        <v>0</v>
      </c>
      <c r="FCP19">
        <v>0</v>
      </c>
      <c r="FCQ19">
        <v>0</v>
      </c>
      <c r="FCR19">
        <v>0</v>
      </c>
      <c r="FCS19">
        <v>0</v>
      </c>
      <c r="FCT19">
        <v>0</v>
      </c>
      <c r="FCU19">
        <v>0</v>
      </c>
      <c r="FCV19">
        <v>0</v>
      </c>
      <c r="FCW19">
        <v>0</v>
      </c>
      <c r="FCX19">
        <v>633</v>
      </c>
      <c r="FCY19">
        <v>0</v>
      </c>
      <c r="FCZ19">
        <v>0</v>
      </c>
      <c r="FDA19">
        <v>0</v>
      </c>
      <c r="FDB19">
        <v>0</v>
      </c>
      <c r="FDC19">
        <v>0</v>
      </c>
      <c r="FDD19">
        <v>0</v>
      </c>
      <c r="FDE19">
        <v>0</v>
      </c>
      <c r="FDF19">
        <v>0</v>
      </c>
      <c r="FDG19">
        <v>0</v>
      </c>
      <c r="FDH19">
        <v>526</v>
      </c>
      <c r="FDI19">
        <v>0</v>
      </c>
      <c r="FDJ19">
        <v>0</v>
      </c>
      <c r="FDK19">
        <v>25</v>
      </c>
      <c r="FDL19">
        <v>0</v>
      </c>
      <c r="FDM19">
        <v>0</v>
      </c>
      <c r="FDN19">
        <v>0</v>
      </c>
      <c r="FDO19">
        <v>0</v>
      </c>
      <c r="FDP19">
        <v>0</v>
      </c>
      <c r="FDQ19">
        <v>0</v>
      </c>
      <c r="FDR19">
        <v>0</v>
      </c>
      <c r="FDS19">
        <v>0</v>
      </c>
      <c r="FDT19">
        <v>0</v>
      </c>
      <c r="FDU19">
        <v>0</v>
      </c>
      <c r="FDV19">
        <v>0</v>
      </c>
      <c r="FDW19">
        <v>0</v>
      </c>
      <c r="FDX19">
        <v>0</v>
      </c>
      <c r="FDY19">
        <v>661</v>
      </c>
      <c r="FDZ19">
        <v>0</v>
      </c>
      <c r="FEA19">
        <v>0</v>
      </c>
      <c r="FEB19">
        <v>0</v>
      </c>
      <c r="FEC19">
        <v>0</v>
      </c>
      <c r="FED19">
        <v>0</v>
      </c>
      <c r="FEE19">
        <v>0</v>
      </c>
      <c r="FEF19">
        <v>0</v>
      </c>
      <c r="FEG19">
        <v>0</v>
      </c>
      <c r="FEH19">
        <v>0</v>
      </c>
      <c r="FEI19">
        <v>0</v>
      </c>
      <c r="FEJ19">
        <v>0</v>
      </c>
      <c r="FEK19">
        <v>0</v>
      </c>
      <c r="FEL19">
        <v>0</v>
      </c>
      <c r="FEM19">
        <v>120</v>
      </c>
      <c r="FEN19">
        <v>0</v>
      </c>
      <c r="FEO19">
        <v>0</v>
      </c>
      <c r="FEP19">
        <v>0</v>
      </c>
      <c r="FEQ19">
        <v>21</v>
      </c>
      <c r="FER19">
        <v>0</v>
      </c>
      <c r="FES19">
        <v>0</v>
      </c>
      <c r="FET19">
        <v>0</v>
      </c>
      <c r="FEU19">
        <v>0</v>
      </c>
      <c r="FEV19">
        <v>0</v>
      </c>
      <c r="FEW19">
        <v>0</v>
      </c>
      <c r="FEX19">
        <v>0</v>
      </c>
      <c r="FEY19">
        <v>0</v>
      </c>
      <c r="FEZ19">
        <v>0</v>
      </c>
      <c r="FFA19">
        <v>0</v>
      </c>
      <c r="FFB19">
        <v>0</v>
      </c>
      <c r="FFC19">
        <v>0</v>
      </c>
      <c r="FFD19">
        <v>0</v>
      </c>
      <c r="FFE19">
        <v>0</v>
      </c>
      <c r="FFF19">
        <v>0</v>
      </c>
      <c r="FFG19">
        <v>0</v>
      </c>
      <c r="FFH19">
        <v>0</v>
      </c>
      <c r="FFI19">
        <v>0</v>
      </c>
      <c r="FFJ19">
        <v>716.98</v>
      </c>
      <c r="FFK19">
        <v>0</v>
      </c>
      <c r="FFL19">
        <v>0</v>
      </c>
      <c r="FFM19">
        <v>0</v>
      </c>
      <c r="FFN19">
        <v>0</v>
      </c>
      <c r="FFO19">
        <v>0</v>
      </c>
      <c r="FFP19">
        <v>146</v>
      </c>
      <c r="FFQ19">
        <v>0</v>
      </c>
      <c r="FFR19">
        <v>0</v>
      </c>
      <c r="FFS19">
        <v>0</v>
      </c>
      <c r="FFT19">
        <v>0</v>
      </c>
      <c r="FFU19">
        <v>0</v>
      </c>
      <c r="FFV19">
        <v>0</v>
      </c>
      <c r="FFW19">
        <v>0</v>
      </c>
      <c r="FFX19">
        <v>0</v>
      </c>
      <c r="FFY19">
        <v>0</v>
      </c>
      <c r="FFZ19">
        <v>0</v>
      </c>
      <c r="FGA19">
        <v>0</v>
      </c>
      <c r="FGB19">
        <v>0</v>
      </c>
      <c r="FGC19">
        <v>0</v>
      </c>
      <c r="FGD19">
        <v>0</v>
      </c>
      <c r="FGE19">
        <v>0</v>
      </c>
      <c r="FGF19">
        <v>0</v>
      </c>
      <c r="FGG19">
        <v>0</v>
      </c>
      <c r="FGH19">
        <v>13</v>
      </c>
      <c r="FGI19">
        <v>0</v>
      </c>
      <c r="FGJ19">
        <v>0</v>
      </c>
      <c r="FGK19">
        <v>11</v>
      </c>
      <c r="FGL19">
        <v>0</v>
      </c>
      <c r="FGM19">
        <v>0</v>
      </c>
      <c r="FGN19">
        <v>0</v>
      </c>
      <c r="FGO19">
        <v>0</v>
      </c>
      <c r="FGP19">
        <v>0</v>
      </c>
      <c r="FGQ19">
        <v>0</v>
      </c>
      <c r="FGR19">
        <v>302.99</v>
      </c>
      <c r="FGS19">
        <v>117</v>
      </c>
      <c r="FGT19">
        <v>15</v>
      </c>
      <c r="FGU19">
        <v>0</v>
      </c>
      <c r="FGV19">
        <v>0</v>
      </c>
      <c r="FGW19">
        <v>0</v>
      </c>
      <c r="FGX19">
        <v>0</v>
      </c>
      <c r="FGY19">
        <v>0</v>
      </c>
      <c r="FGZ19">
        <v>0</v>
      </c>
      <c r="FHA19">
        <v>0</v>
      </c>
      <c r="FHB19">
        <v>0</v>
      </c>
      <c r="FHC19">
        <v>0</v>
      </c>
      <c r="FHD19">
        <v>0</v>
      </c>
      <c r="FHE19">
        <v>0</v>
      </c>
      <c r="FHF19">
        <v>0</v>
      </c>
      <c r="FHG19">
        <v>0</v>
      </c>
      <c r="FHH19">
        <v>0</v>
      </c>
      <c r="FHI19">
        <v>66</v>
      </c>
      <c r="FHJ19">
        <v>57</v>
      </c>
      <c r="FHK19">
        <v>0</v>
      </c>
      <c r="FHL19">
        <v>0</v>
      </c>
      <c r="FHM19">
        <v>0</v>
      </c>
      <c r="FHN19">
        <v>0</v>
      </c>
      <c r="FHO19">
        <v>91</v>
      </c>
      <c r="FHP19">
        <v>0</v>
      </c>
      <c r="FHQ19">
        <v>0</v>
      </c>
      <c r="FHR19">
        <v>0</v>
      </c>
      <c r="FHS19">
        <v>0</v>
      </c>
      <c r="FHT19">
        <v>0</v>
      </c>
      <c r="FHU19">
        <v>0</v>
      </c>
      <c r="FHV19">
        <v>0</v>
      </c>
      <c r="FHW19">
        <v>0</v>
      </c>
      <c r="FHX19">
        <v>0</v>
      </c>
      <c r="FHY19">
        <v>0</v>
      </c>
      <c r="FHZ19">
        <v>0</v>
      </c>
      <c r="FIA19">
        <v>0</v>
      </c>
      <c r="FIB19">
        <v>0</v>
      </c>
      <c r="FIC19">
        <v>0</v>
      </c>
      <c r="FID19">
        <v>0</v>
      </c>
      <c r="FIE19">
        <v>0</v>
      </c>
      <c r="FIF19">
        <v>0</v>
      </c>
      <c r="FIG19">
        <v>700.75</v>
      </c>
      <c r="FIH19">
        <v>0</v>
      </c>
      <c r="FII19">
        <v>0</v>
      </c>
      <c r="FIJ19">
        <v>0</v>
      </c>
      <c r="FIK19">
        <v>316</v>
      </c>
      <c r="FIL19">
        <v>0</v>
      </c>
      <c r="FIM19">
        <v>0</v>
      </c>
      <c r="FIN19">
        <v>85</v>
      </c>
      <c r="FIO19">
        <v>100.99</v>
      </c>
      <c r="FIP19">
        <v>0</v>
      </c>
      <c r="FIQ19">
        <v>0</v>
      </c>
      <c r="FIR19">
        <v>0</v>
      </c>
      <c r="FIS19">
        <v>0</v>
      </c>
      <c r="FIT19">
        <v>0</v>
      </c>
      <c r="FIU19">
        <v>0</v>
      </c>
      <c r="FIV19">
        <v>0</v>
      </c>
      <c r="FIW19">
        <v>610</v>
      </c>
      <c r="FIX19">
        <v>0</v>
      </c>
      <c r="FIY19">
        <v>0</v>
      </c>
      <c r="FIZ19">
        <v>0</v>
      </c>
      <c r="FJA19">
        <v>0</v>
      </c>
      <c r="FJB19">
        <v>0</v>
      </c>
      <c r="FJC19">
        <v>0</v>
      </c>
      <c r="FJD19">
        <v>103.99</v>
      </c>
      <c r="FJE19">
        <v>0</v>
      </c>
      <c r="FJF19">
        <v>0</v>
      </c>
      <c r="FJG19">
        <v>0</v>
      </c>
      <c r="FJH19">
        <v>0</v>
      </c>
      <c r="FJI19">
        <v>10</v>
      </c>
      <c r="FJJ19">
        <v>0</v>
      </c>
      <c r="FJK19">
        <v>0</v>
      </c>
      <c r="FJL19">
        <v>0</v>
      </c>
      <c r="FJM19">
        <v>0</v>
      </c>
      <c r="FJN19">
        <v>0</v>
      </c>
      <c r="FJO19">
        <v>0</v>
      </c>
      <c r="FJP19">
        <v>0</v>
      </c>
      <c r="FJQ19">
        <v>0</v>
      </c>
      <c r="FJR19">
        <v>0</v>
      </c>
      <c r="FJS19">
        <v>0</v>
      </c>
      <c r="FJT19">
        <v>34.99</v>
      </c>
      <c r="FJU19">
        <v>0</v>
      </c>
      <c r="FJV19">
        <v>0</v>
      </c>
      <c r="FJW19">
        <v>0</v>
      </c>
      <c r="FJX19">
        <v>0</v>
      </c>
      <c r="FJY19">
        <v>0</v>
      </c>
      <c r="FJZ19">
        <v>0</v>
      </c>
      <c r="FKA19">
        <v>0</v>
      </c>
      <c r="FKB19">
        <v>0</v>
      </c>
      <c r="FKC19">
        <v>0</v>
      </c>
      <c r="FKD19">
        <v>0</v>
      </c>
      <c r="FKE19">
        <v>561</v>
      </c>
      <c r="FKF19">
        <v>0</v>
      </c>
      <c r="FKG19">
        <v>0</v>
      </c>
      <c r="FKH19">
        <v>0</v>
      </c>
      <c r="FKI19">
        <v>0</v>
      </c>
      <c r="FKJ19">
        <v>0</v>
      </c>
      <c r="FKK19">
        <v>0</v>
      </c>
      <c r="FKL19">
        <v>0</v>
      </c>
      <c r="FKM19">
        <v>0</v>
      </c>
      <c r="FKN19">
        <v>0</v>
      </c>
      <c r="FKO19">
        <v>0</v>
      </c>
      <c r="FKP19">
        <v>0</v>
      </c>
      <c r="FKQ19">
        <v>0</v>
      </c>
      <c r="FKR19">
        <v>878.96</v>
      </c>
      <c r="FKS19">
        <v>0</v>
      </c>
      <c r="FKT19">
        <v>0</v>
      </c>
      <c r="FKU19">
        <v>0</v>
      </c>
      <c r="FKV19">
        <v>0</v>
      </c>
      <c r="FKW19">
        <v>0</v>
      </c>
      <c r="FKX19">
        <v>0</v>
      </c>
      <c r="FKY19">
        <v>0</v>
      </c>
      <c r="FKZ19">
        <v>0</v>
      </c>
      <c r="FLA19">
        <v>0</v>
      </c>
      <c r="FLB19">
        <v>0</v>
      </c>
      <c r="FLC19">
        <v>0</v>
      </c>
      <c r="FLD19">
        <v>0</v>
      </c>
      <c r="FLE19">
        <v>0</v>
      </c>
      <c r="FLF19">
        <v>0</v>
      </c>
      <c r="FLG19">
        <v>32</v>
      </c>
      <c r="FLH19">
        <v>0</v>
      </c>
      <c r="FLI19">
        <v>0</v>
      </c>
      <c r="FLJ19">
        <v>0</v>
      </c>
      <c r="FLK19">
        <v>0</v>
      </c>
      <c r="FLL19">
        <v>0</v>
      </c>
      <c r="FLM19">
        <v>0</v>
      </c>
      <c r="FLN19">
        <v>0</v>
      </c>
      <c r="FLO19">
        <v>0</v>
      </c>
      <c r="FLP19">
        <v>0</v>
      </c>
      <c r="FLQ19">
        <v>0</v>
      </c>
      <c r="FLR19">
        <v>0</v>
      </c>
      <c r="FLS19">
        <v>0</v>
      </c>
      <c r="FLT19">
        <v>0</v>
      </c>
      <c r="FLU19">
        <v>0</v>
      </c>
      <c r="FLV19">
        <v>0</v>
      </c>
      <c r="FLW19">
        <v>0</v>
      </c>
      <c r="FLX19">
        <v>0</v>
      </c>
      <c r="FLY19">
        <v>0</v>
      </c>
      <c r="FLZ19">
        <v>0</v>
      </c>
      <c r="FMA19">
        <v>0</v>
      </c>
      <c r="FMB19">
        <v>0</v>
      </c>
      <c r="FMC19">
        <v>0</v>
      </c>
      <c r="FMD19">
        <v>0</v>
      </c>
      <c r="FME19">
        <v>0</v>
      </c>
      <c r="FMF19">
        <v>0</v>
      </c>
      <c r="FMG19">
        <v>0</v>
      </c>
      <c r="FMH19">
        <v>0</v>
      </c>
      <c r="FMI19">
        <v>0</v>
      </c>
      <c r="FMJ19">
        <v>0</v>
      </c>
      <c r="FMK19">
        <v>0</v>
      </c>
      <c r="FML19">
        <v>0</v>
      </c>
      <c r="FMM19">
        <v>0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0</v>
      </c>
      <c r="FMU19">
        <v>0</v>
      </c>
      <c r="FMV19">
        <v>0</v>
      </c>
      <c r="FMW19">
        <v>0</v>
      </c>
      <c r="FMX19">
        <v>0</v>
      </c>
      <c r="FMY19">
        <v>0</v>
      </c>
      <c r="FMZ19">
        <v>0</v>
      </c>
      <c r="FNA19">
        <v>0</v>
      </c>
      <c r="FNB19">
        <v>0</v>
      </c>
      <c r="FNC19">
        <v>0</v>
      </c>
      <c r="FND19">
        <v>0</v>
      </c>
      <c r="FNE19">
        <v>0</v>
      </c>
      <c r="FNF19">
        <v>0</v>
      </c>
      <c r="FNG19">
        <v>0</v>
      </c>
      <c r="FNH19">
        <v>0</v>
      </c>
      <c r="FNI19">
        <v>0</v>
      </c>
      <c r="FNJ19">
        <v>0</v>
      </c>
      <c r="FNK19">
        <v>0</v>
      </c>
      <c r="FNL19">
        <v>0</v>
      </c>
      <c r="FNM19">
        <v>0</v>
      </c>
      <c r="FNN19">
        <v>0</v>
      </c>
      <c r="FNO19">
        <v>0</v>
      </c>
      <c r="FNP19">
        <v>0</v>
      </c>
      <c r="FNQ19">
        <v>0</v>
      </c>
      <c r="FNR19">
        <v>1005.96</v>
      </c>
      <c r="FNS19">
        <v>0</v>
      </c>
      <c r="FNT19">
        <v>0</v>
      </c>
      <c r="FNU19">
        <v>0</v>
      </c>
      <c r="FNV19">
        <v>0</v>
      </c>
      <c r="FNW19">
        <v>0</v>
      </c>
      <c r="FNX19">
        <v>0</v>
      </c>
      <c r="FNY19">
        <v>0</v>
      </c>
      <c r="FNZ19">
        <v>0</v>
      </c>
      <c r="FOA19">
        <v>0</v>
      </c>
      <c r="FOB19">
        <v>0</v>
      </c>
      <c r="FOC19">
        <v>0</v>
      </c>
      <c r="FOD19">
        <v>0</v>
      </c>
      <c r="FOE19">
        <v>8</v>
      </c>
      <c r="FOF19">
        <v>0</v>
      </c>
      <c r="FOG19">
        <v>0</v>
      </c>
      <c r="FOH19">
        <v>0</v>
      </c>
      <c r="FOI19">
        <v>0</v>
      </c>
      <c r="FOJ19">
        <v>0</v>
      </c>
      <c r="FOK19">
        <v>0</v>
      </c>
      <c r="FOL19">
        <v>0</v>
      </c>
      <c r="FOM19">
        <v>0</v>
      </c>
      <c r="FON19">
        <v>0</v>
      </c>
      <c r="FOO19">
        <v>0</v>
      </c>
      <c r="FOP19">
        <v>0</v>
      </c>
      <c r="FOQ19">
        <v>0</v>
      </c>
      <c r="FOR19">
        <v>0</v>
      </c>
      <c r="FOS19">
        <v>0</v>
      </c>
      <c r="FOT19">
        <v>94</v>
      </c>
      <c r="FOU19">
        <v>0</v>
      </c>
      <c r="FOV19">
        <v>0</v>
      </c>
      <c r="FOW19">
        <v>0</v>
      </c>
      <c r="FOX19">
        <v>0</v>
      </c>
      <c r="FOY19">
        <v>0</v>
      </c>
      <c r="FOZ19">
        <v>0</v>
      </c>
      <c r="FPA19">
        <v>0</v>
      </c>
      <c r="FPB19">
        <v>0</v>
      </c>
      <c r="FPC19">
        <v>0</v>
      </c>
      <c r="FPD19">
        <v>0</v>
      </c>
      <c r="FPE19">
        <v>267</v>
      </c>
      <c r="FPF19">
        <v>26</v>
      </c>
      <c r="FPG19">
        <v>10</v>
      </c>
      <c r="FPH19">
        <v>13</v>
      </c>
      <c r="FPI19">
        <v>63</v>
      </c>
      <c r="FPJ19">
        <v>0</v>
      </c>
      <c r="FPK19">
        <v>0</v>
      </c>
      <c r="FPL19">
        <v>0</v>
      </c>
      <c r="FPM19">
        <v>76</v>
      </c>
      <c r="FPN19">
        <v>0</v>
      </c>
      <c r="FPO19">
        <v>0</v>
      </c>
      <c r="FPP19">
        <v>0</v>
      </c>
      <c r="FPQ19">
        <v>0</v>
      </c>
      <c r="FPR19">
        <v>0</v>
      </c>
      <c r="FPS19">
        <v>11</v>
      </c>
      <c r="FPT19">
        <v>0</v>
      </c>
      <c r="FPU19">
        <v>73</v>
      </c>
      <c r="FPV19">
        <v>0</v>
      </c>
      <c r="FPW19">
        <v>0</v>
      </c>
      <c r="FPX19">
        <v>0</v>
      </c>
      <c r="FPY19">
        <v>0</v>
      </c>
      <c r="FPZ19">
        <v>0</v>
      </c>
      <c r="FQA19">
        <v>0</v>
      </c>
      <c r="FQB19">
        <v>233.92</v>
      </c>
      <c r="FQC19">
        <v>0</v>
      </c>
      <c r="FQD19">
        <v>0</v>
      </c>
      <c r="FQE19">
        <v>36</v>
      </c>
      <c r="FQF19">
        <v>0</v>
      </c>
      <c r="FQG19">
        <v>0</v>
      </c>
      <c r="FQH19">
        <v>0</v>
      </c>
      <c r="FQI19">
        <v>0</v>
      </c>
      <c r="FQJ19">
        <v>0</v>
      </c>
      <c r="FQK19">
        <v>0</v>
      </c>
      <c r="FQL19">
        <v>0</v>
      </c>
      <c r="FQM19">
        <v>1154.99</v>
      </c>
      <c r="FQN19">
        <v>0</v>
      </c>
      <c r="FQO19">
        <v>0</v>
      </c>
      <c r="FQP19">
        <v>0</v>
      </c>
      <c r="FQQ19">
        <v>0</v>
      </c>
      <c r="FQR19">
        <v>0</v>
      </c>
      <c r="FQS19">
        <v>0</v>
      </c>
      <c r="FQT19">
        <v>0</v>
      </c>
      <c r="FQU19">
        <v>0</v>
      </c>
      <c r="FQV19">
        <v>0</v>
      </c>
      <c r="FQW19">
        <v>0</v>
      </c>
      <c r="FQX19">
        <v>0</v>
      </c>
      <c r="FQY19">
        <v>0</v>
      </c>
      <c r="FQZ19">
        <v>0</v>
      </c>
      <c r="FRA19">
        <v>0</v>
      </c>
      <c r="FRB19">
        <v>0</v>
      </c>
      <c r="FRC19">
        <v>0</v>
      </c>
      <c r="FRD19">
        <v>0</v>
      </c>
      <c r="FRE19">
        <v>0</v>
      </c>
      <c r="FRF19">
        <v>0</v>
      </c>
      <c r="FRG19">
        <v>0</v>
      </c>
      <c r="FRH19">
        <v>0</v>
      </c>
      <c r="FRI19">
        <v>0</v>
      </c>
      <c r="FRJ19">
        <v>0</v>
      </c>
      <c r="FRK19">
        <v>67</v>
      </c>
      <c r="FRL19">
        <v>0</v>
      </c>
      <c r="FRM19">
        <v>53</v>
      </c>
      <c r="FRN19">
        <v>73</v>
      </c>
      <c r="FRO19">
        <v>687.03</v>
      </c>
      <c r="FRP19">
        <v>0</v>
      </c>
      <c r="FRQ19">
        <v>38</v>
      </c>
      <c r="FRR19">
        <v>0</v>
      </c>
      <c r="FRS19">
        <v>0</v>
      </c>
      <c r="FRT19">
        <v>0</v>
      </c>
      <c r="FRU19">
        <v>0</v>
      </c>
      <c r="FRV19">
        <v>0</v>
      </c>
      <c r="FRW19">
        <v>0</v>
      </c>
      <c r="FRX19">
        <v>0</v>
      </c>
      <c r="FRY19">
        <v>0</v>
      </c>
      <c r="FRZ19">
        <v>151</v>
      </c>
      <c r="FSA19">
        <v>0</v>
      </c>
      <c r="FSB19">
        <v>0</v>
      </c>
      <c r="FSC19">
        <v>0</v>
      </c>
      <c r="FSD19">
        <v>0</v>
      </c>
      <c r="FSE19">
        <v>0</v>
      </c>
      <c r="FSF19">
        <v>0</v>
      </c>
      <c r="FSG19">
        <v>100</v>
      </c>
      <c r="FSH19">
        <v>0</v>
      </c>
      <c r="FSI19">
        <v>0</v>
      </c>
      <c r="FSJ19">
        <v>0</v>
      </c>
      <c r="FSK19">
        <v>0</v>
      </c>
      <c r="FSL19">
        <v>0</v>
      </c>
      <c r="FSM19">
        <v>0</v>
      </c>
      <c r="FSN19">
        <v>0</v>
      </c>
      <c r="FSO19">
        <v>42</v>
      </c>
      <c r="FSP19">
        <v>0</v>
      </c>
      <c r="FSQ19">
        <v>0</v>
      </c>
      <c r="FSR19">
        <v>0</v>
      </c>
      <c r="FSS19">
        <v>0</v>
      </c>
      <c r="FST19">
        <v>0</v>
      </c>
      <c r="FSU19">
        <v>0</v>
      </c>
      <c r="FSV19">
        <v>0</v>
      </c>
      <c r="FSW19">
        <v>0</v>
      </c>
      <c r="FSX19">
        <v>0</v>
      </c>
      <c r="FSY19">
        <v>1363.02</v>
      </c>
      <c r="FSZ19">
        <v>0</v>
      </c>
      <c r="FTA19">
        <v>0</v>
      </c>
      <c r="FTB19">
        <v>0</v>
      </c>
      <c r="FTC19">
        <v>0</v>
      </c>
      <c r="FTD19">
        <v>0</v>
      </c>
      <c r="FTE19">
        <v>0</v>
      </c>
      <c r="FTF19">
        <v>0</v>
      </c>
      <c r="FTG19">
        <v>48</v>
      </c>
      <c r="FTH19">
        <v>0</v>
      </c>
      <c r="FTI19">
        <v>0</v>
      </c>
      <c r="FTJ19">
        <v>0</v>
      </c>
      <c r="FTK19">
        <v>0</v>
      </c>
      <c r="FTL19">
        <v>0</v>
      </c>
      <c r="FTM19">
        <v>0</v>
      </c>
      <c r="FTN19">
        <v>0</v>
      </c>
      <c r="FTO19">
        <v>0</v>
      </c>
      <c r="FTP19">
        <v>1398</v>
      </c>
      <c r="FTQ19">
        <v>0</v>
      </c>
      <c r="FTR19">
        <v>0</v>
      </c>
      <c r="FTS19">
        <v>0</v>
      </c>
      <c r="FTT19">
        <v>0</v>
      </c>
      <c r="FTU19">
        <v>116</v>
      </c>
      <c r="FTV19">
        <v>0</v>
      </c>
      <c r="FTW19">
        <v>0</v>
      </c>
      <c r="FTX19">
        <v>0</v>
      </c>
      <c r="FTY19">
        <v>0</v>
      </c>
      <c r="FTZ19">
        <v>0</v>
      </c>
      <c r="FUA19">
        <v>0</v>
      </c>
      <c r="FUB19">
        <v>0</v>
      </c>
      <c r="FUC19">
        <v>0</v>
      </c>
      <c r="FUD19">
        <v>0</v>
      </c>
      <c r="FUE19">
        <v>0</v>
      </c>
      <c r="FUF19">
        <v>0</v>
      </c>
      <c r="FUG19">
        <v>0</v>
      </c>
      <c r="FUH19">
        <v>0</v>
      </c>
      <c r="FUI19">
        <v>0</v>
      </c>
      <c r="FUJ19">
        <v>0</v>
      </c>
      <c r="FUK19">
        <v>0</v>
      </c>
      <c r="FUL19">
        <v>0</v>
      </c>
      <c r="FUM19">
        <v>0</v>
      </c>
      <c r="FUN19">
        <v>0</v>
      </c>
      <c r="FUO19">
        <v>0</v>
      </c>
      <c r="FUP19">
        <v>0</v>
      </c>
      <c r="FUQ19">
        <v>1456.01</v>
      </c>
      <c r="FUR19">
        <v>0</v>
      </c>
      <c r="FUS19">
        <v>0</v>
      </c>
      <c r="FUT19">
        <v>0</v>
      </c>
      <c r="FUU19">
        <v>0</v>
      </c>
      <c r="FUV19">
        <v>0</v>
      </c>
      <c r="FUW19">
        <v>0</v>
      </c>
      <c r="FUX19">
        <v>0</v>
      </c>
      <c r="FUY19">
        <v>20</v>
      </c>
      <c r="FUZ19">
        <v>0</v>
      </c>
      <c r="FVA19">
        <v>1484.94</v>
      </c>
      <c r="FVB19">
        <v>0</v>
      </c>
      <c r="FVC19">
        <v>0</v>
      </c>
      <c r="FVD19">
        <v>655.01</v>
      </c>
      <c r="FVE19">
        <v>0</v>
      </c>
      <c r="FVF19">
        <v>0</v>
      </c>
      <c r="FVG19">
        <v>33</v>
      </c>
      <c r="FVH19">
        <v>0</v>
      </c>
      <c r="FVI19">
        <v>0</v>
      </c>
      <c r="FVJ19">
        <v>0</v>
      </c>
      <c r="FVK19">
        <v>0</v>
      </c>
      <c r="FVL19">
        <v>1526.98</v>
      </c>
      <c r="FVM19">
        <v>0</v>
      </c>
      <c r="FVN19">
        <v>180</v>
      </c>
      <c r="FVO19">
        <v>0</v>
      </c>
      <c r="FVP19">
        <v>84</v>
      </c>
      <c r="FVQ19">
        <v>661.01</v>
      </c>
      <c r="FVR19">
        <v>0</v>
      </c>
      <c r="FVS19">
        <v>0</v>
      </c>
      <c r="FVT19">
        <v>20</v>
      </c>
      <c r="FVU19">
        <v>0</v>
      </c>
      <c r="FVV19">
        <v>348</v>
      </c>
      <c r="FVW19">
        <v>0</v>
      </c>
      <c r="FVX19">
        <v>0</v>
      </c>
      <c r="FVY19">
        <v>0</v>
      </c>
      <c r="FVZ19">
        <v>0</v>
      </c>
      <c r="FWB19">
        <v>0</v>
      </c>
      <c r="FWC19">
        <v>0</v>
      </c>
      <c r="FWD19">
        <v>0</v>
      </c>
      <c r="FWE19">
        <v>0</v>
      </c>
      <c r="FWF19">
        <v>0</v>
      </c>
      <c r="FWG19">
        <v>0</v>
      </c>
      <c r="FWH19">
        <v>0</v>
      </c>
      <c r="FWI19">
        <v>0</v>
      </c>
      <c r="FWJ19">
        <v>0</v>
      </c>
      <c r="FWK19">
        <v>0</v>
      </c>
      <c r="FWL19">
        <v>0</v>
      </c>
      <c r="FWM19">
        <v>16</v>
      </c>
      <c r="FWN19">
        <v>0</v>
      </c>
      <c r="FWO19">
        <v>482.01</v>
      </c>
      <c r="FWP19">
        <v>0</v>
      </c>
      <c r="FWQ19">
        <v>0</v>
      </c>
      <c r="FWR19">
        <v>0</v>
      </c>
      <c r="FWS19">
        <v>0</v>
      </c>
      <c r="FWT19">
        <v>0</v>
      </c>
      <c r="FWU19">
        <v>0</v>
      </c>
      <c r="FWV19">
        <v>0</v>
      </c>
      <c r="FWW19">
        <v>0</v>
      </c>
      <c r="FWX19">
        <v>0</v>
      </c>
      <c r="FWY19">
        <v>0</v>
      </c>
      <c r="FWZ19">
        <v>0</v>
      </c>
      <c r="FXA19">
        <v>0</v>
      </c>
      <c r="FXB19">
        <v>0</v>
      </c>
      <c r="FXC19">
        <v>0</v>
      </c>
      <c r="FXD19">
        <v>0</v>
      </c>
      <c r="FXE19">
        <v>0</v>
      </c>
      <c r="FXF19">
        <v>0</v>
      </c>
      <c r="FXG19">
        <v>0</v>
      </c>
      <c r="FXH19">
        <v>144.01</v>
      </c>
      <c r="FXI19">
        <v>0</v>
      </c>
      <c r="FXJ19">
        <v>0</v>
      </c>
      <c r="FXK19">
        <v>0</v>
      </c>
      <c r="FXL19">
        <v>0</v>
      </c>
      <c r="FXM19">
        <v>0</v>
      </c>
      <c r="FXN19">
        <v>34</v>
      </c>
      <c r="FXO19">
        <v>0</v>
      </c>
      <c r="FXP19">
        <v>0</v>
      </c>
      <c r="FXQ19">
        <v>0</v>
      </c>
      <c r="FXR19">
        <v>0</v>
      </c>
      <c r="FXS19">
        <v>0</v>
      </c>
      <c r="FXT19">
        <v>78</v>
      </c>
      <c r="FXU19">
        <v>0</v>
      </c>
      <c r="FXV19">
        <v>0</v>
      </c>
      <c r="FXW19">
        <v>0</v>
      </c>
      <c r="FXX19">
        <v>0</v>
      </c>
      <c r="FXY19">
        <v>72</v>
      </c>
      <c r="FXZ19">
        <v>0</v>
      </c>
      <c r="FYA19">
        <v>0</v>
      </c>
      <c r="FYB19">
        <v>0</v>
      </c>
      <c r="FYC19">
        <v>762</v>
      </c>
      <c r="FYD19">
        <v>289</v>
      </c>
      <c r="FYE19">
        <v>0</v>
      </c>
      <c r="FYF19">
        <v>0</v>
      </c>
      <c r="FYG19">
        <v>0</v>
      </c>
      <c r="FYH19">
        <v>51</v>
      </c>
      <c r="FYI19">
        <v>0</v>
      </c>
      <c r="FYJ19">
        <v>0</v>
      </c>
      <c r="FYK19">
        <v>0</v>
      </c>
      <c r="FYL19">
        <v>23</v>
      </c>
      <c r="FYM19">
        <v>0</v>
      </c>
      <c r="FYN19">
        <v>74</v>
      </c>
      <c r="FYO19">
        <v>0</v>
      </c>
      <c r="FYP19">
        <v>0</v>
      </c>
      <c r="FYQ19">
        <v>0</v>
      </c>
      <c r="FYR19">
        <v>496.99</v>
      </c>
      <c r="FYS19">
        <v>180.99</v>
      </c>
      <c r="FYT19">
        <v>0</v>
      </c>
      <c r="FYU19">
        <v>0</v>
      </c>
      <c r="FYV19">
        <v>0</v>
      </c>
      <c r="FYW19">
        <v>0</v>
      </c>
      <c r="FYX19">
        <v>0</v>
      </c>
      <c r="FYY19">
        <v>0</v>
      </c>
      <c r="FYZ19">
        <v>0</v>
      </c>
      <c r="FZA19">
        <v>95</v>
      </c>
      <c r="FZB19">
        <v>0</v>
      </c>
      <c r="FZC19">
        <v>0</v>
      </c>
      <c r="FZD19">
        <v>0</v>
      </c>
      <c r="FZE19">
        <v>40</v>
      </c>
      <c r="FZF19">
        <v>0</v>
      </c>
      <c r="FZG19">
        <v>0</v>
      </c>
      <c r="FZH19">
        <v>0</v>
      </c>
      <c r="FZI19">
        <v>0</v>
      </c>
      <c r="FZJ19">
        <v>0</v>
      </c>
      <c r="FZK19">
        <v>0</v>
      </c>
      <c r="FZL19">
        <v>0</v>
      </c>
      <c r="FZM19">
        <v>136</v>
      </c>
      <c r="FZN19">
        <v>0</v>
      </c>
      <c r="FZO19">
        <v>219</v>
      </c>
      <c r="FZP19">
        <v>62</v>
      </c>
      <c r="FZQ19">
        <v>0</v>
      </c>
      <c r="FZR19">
        <v>0</v>
      </c>
      <c r="FZS19">
        <v>0</v>
      </c>
      <c r="FZT19">
        <v>0</v>
      </c>
      <c r="FZU19">
        <v>0</v>
      </c>
      <c r="FZV19">
        <v>0</v>
      </c>
      <c r="FZW19">
        <v>0</v>
      </c>
      <c r="FZX19">
        <v>0</v>
      </c>
      <c r="FZY19">
        <v>0</v>
      </c>
      <c r="FZZ19">
        <v>0</v>
      </c>
      <c r="GAA19">
        <v>0</v>
      </c>
      <c r="GAB19">
        <v>987.96</v>
      </c>
      <c r="GAC19">
        <v>0</v>
      </c>
      <c r="GAD19">
        <v>567.95000000000005</v>
      </c>
      <c r="GAE19">
        <v>0</v>
      </c>
      <c r="GAF19">
        <v>0</v>
      </c>
      <c r="GAG19">
        <v>0</v>
      </c>
      <c r="GAH19">
        <v>0</v>
      </c>
      <c r="GAI19">
        <v>0</v>
      </c>
      <c r="GAJ19">
        <v>0</v>
      </c>
      <c r="GAK19">
        <v>0</v>
      </c>
      <c r="GAL19">
        <v>61</v>
      </c>
      <c r="GAM19">
        <v>0</v>
      </c>
      <c r="GAN19">
        <v>0</v>
      </c>
      <c r="GAO19">
        <v>0</v>
      </c>
      <c r="GAP19">
        <v>78</v>
      </c>
      <c r="GAQ19">
        <v>0</v>
      </c>
      <c r="GAR19">
        <v>0</v>
      </c>
      <c r="GAS19">
        <v>0</v>
      </c>
      <c r="GAT19">
        <v>0</v>
      </c>
      <c r="GAU19">
        <v>0</v>
      </c>
      <c r="GAV19">
        <v>10</v>
      </c>
      <c r="GAW19">
        <v>1868</v>
      </c>
      <c r="GAX19">
        <v>18</v>
      </c>
      <c r="GAY19">
        <v>0</v>
      </c>
      <c r="GAZ19">
        <v>0</v>
      </c>
      <c r="GBA19">
        <v>0</v>
      </c>
      <c r="GBB19">
        <v>0</v>
      </c>
      <c r="GBC19">
        <v>0</v>
      </c>
      <c r="GBD19">
        <v>0</v>
      </c>
      <c r="GBE19">
        <v>43</v>
      </c>
      <c r="GBF19">
        <v>0</v>
      </c>
      <c r="GBG19">
        <v>0</v>
      </c>
      <c r="GBH19">
        <v>0</v>
      </c>
      <c r="GBI19">
        <v>0</v>
      </c>
      <c r="GBJ19">
        <v>0</v>
      </c>
      <c r="GBK19">
        <v>0</v>
      </c>
      <c r="GBL19">
        <v>0</v>
      </c>
      <c r="GBM19">
        <v>0</v>
      </c>
      <c r="GBN19">
        <v>0</v>
      </c>
      <c r="GBO19">
        <v>0</v>
      </c>
      <c r="GBP19">
        <v>0</v>
      </c>
      <c r="GBQ19">
        <v>0</v>
      </c>
      <c r="GBR19">
        <v>722</v>
      </c>
      <c r="GBS19">
        <v>0</v>
      </c>
      <c r="GBT19">
        <v>0</v>
      </c>
      <c r="GBU19">
        <v>0</v>
      </c>
      <c r="GBV19">
        <v>0</v>
      </c>
      <c r="GBW19">
        <v>0</v>
      </c>
      <c r="GBX19">
        <v>0</v>
      </c>
      <c r="GBY19">
        <v>0</v>
      </c>
      <c r="GBZ19">
        <v>0</v>
      </c>
      <c r="GCA19">
        <v>0</v>
      </c>
      <c r="GCB19">
        <v>0</v>
      </c>
      <c r="GCC19">
        <v>97</v>
      </c>
      <c r="GCD19">
        <v>11.99</v>
      </c>
      <c r="GCE19">
        <v>0</v>
      </c>
      <c r="GCF19">
        <v>0</v>
      </c>
      <c r="GCG19">
        <v>0</v>
      </c>
      <c r="GCH19">
        <v>0</v>
      </c>
      <c r="GCI19">
        <v>0</v>
      </c>
      <c r="GCJ19">
        <v>0</v>
      </c>
      <c r="GCK19">
        <v>0</v>
      </c>
      <c r="GCL19">
        <v>0</v>
      </c>
      <c r="GCM19">
        <v>0</v>
      </c>
      <c r="GCN19">
        <v>35</v>
      </c>
      <c r="GCO19">
        <v>0</v>
      </c>
      <c r="GCP19">
        <v>0</v>
      </c>
      <c r="GCQ19">
        <v>0</v>
      </c>
      <c r="GCR19">
        <v>0</v>
      </c>
      <c r="GCS19">
        <v>0</v>
      </c>
      <c r="GCT19">
        <v>0</v>
      </c>
      <c r="GCU19">
        <v>0</v>
      </c>
      <c r="GCV19">
        <v>0</v>
      </c>
      <c r="GCW19">
        <v>0</v>
      </c>
      <c r="GCX19">
        <v>0</v>
      </c>
      <c r="GCY19">
        <v>0</v>
      </c>
      <c r="GCZ19">
        <v>0</v>
      </c>
      <c r="GDA19">
        <v>0</v>
      </c>
      <c r="GDB19">
        <v>0</v>
      </c>
      <c r="GDC19">
        <v>305</v>
      </c>
      <c r="GDD19">
        <v>0</v>
      </c>
      <c r="GDE19">
        <v>0</v>
      </c>
      <c r="GDF19">
        <v>19</v>
      </c>
      <c r="GDG19">
        <v>0</v>
      </c>
      <c r="GDH19">
        <v>0</v>
      </c>
      <c r="GDI19">
        <v>0</v>
      </c>
      <c r="GDJ19">
        <v>0</v>
      </c>
      <c r="GDK19">
        <v>0</v>
      </c>
      <c r="GDL19">
        <v>0</v>
      </c>
      <c r="GDM19">
        <v>102</v>
      </c>
      <c r="GDN19">
        <v>0</v>
      </c>
      <c r="GDO19">
        <v>0</v>
      </c>
      <c r="GDP19">
        <v>0</v>
      </c>
      <c r="GDQ19">
        <v>0</v>
      </c>
      <c r="GDR19">
        <v>1242.01</v>
      </c>
      <c r="GDS19">
        <v>0</v>
      </c>
      <c r="GDT19">
        <v>0</v>
      </c>
      <c r="GDU19">
        <v>0</v>
      </c>
      <c r="GDV19">
        <v>0</v>
      </c>
      <c r="GDW19">
        <v>47.99</v>
      </c>
      <c r="GDX19">
        <v>0</v>
      </c>
      <c r="GDY19">
        <v>0</v>
      </c>
      <c r="GDZ19">
        <v>0</v>
      </c>
      <c r="GEA19">
        <v>0</v>
      </c>
      <c r="GEB19">
        <v>0</v>
      </c>
      <c r="GEC19">
        <v>189.94</v>
      </c>
      <c r="GED19">
        <v>275.99</v>
      </c>
      <c r="GEE19">
        <v>0</v>
      </c>
      <c r="GEF19">
        <v>0</v>
      </c>
      <c r="GEG19">
        <v>0</v>
      </c>
      <c r="GEH19">
        <v>532.98</v>
      </c>
      <c r="GEI19">
        <v>343.99</v>
      </c>
      <c r="GEJ19">
        <v>0</v>
      </c>
      <c r="GEK19">
        <v>0</v>
      </c>
      <c r="GEL19">
        <v>0</v>
      </c>
      <c r="GEM19">
        <v>0</v>
      </c>
      <c r="GEN19">
        <v>25</v>
      </c>
      <c r="GEO19">
        <v>12</v>
      </c>
      <c r="GEP19">
        <v>0</v>
      </c>
      <c r="GEQ19">
        <v>133.99</v>
      </c>
      <c r="GER19">
        <v>0</v>
      </c>
      <c r="GES19">
        <v>0</v>
      </c>
      <c r="GET19">
        <v>0</v>
      </c>
      <c r="GEU19">
        <v>0</v>
      </c>
      <c r="GEV19">
        <v>0</v>
      </c>
      <c r="GEW19">
        <v>0</v>
      </c>
      <c r="GEX19">
        <v>28</v>
      </c>
      <c r="GEY19">
        <v>0</v>
      </c>
      <c r="GEZ19">
        <v>0</v>
      </c>
      <c r="GFA19">
        <v>0</v>
      </c>
      <c r="GFB19">
        <v>0</v>
      </c>
      <c r="GFC19">
        <v>0</v>
      </c>
      <c r="GFD19">
        <v>0</v>
      </c>
      <c r="GFE19">
        <v>0</v>
      </c>
      <c r="GFF19">
        <v>0</v>
      </c>
      <c r="GFG19">
        <v>0</v>
      </c>
      <c r="GFH19">
        <v>0</v>
      </c>
      <c r="GFI19">
        <v>0</v>
      </c>
      <c r="GFJ19">
        <v>0</v>
      </c>
      <c r="GFK19">
        <v>387</v>
      </c>
      <c r="GFL19">
        <v>0</v>
      </c>
      <c r="GFM19">
        <v>2307</v>
      </c>
      <c r="GFN19">
        <v>0</v>
      </c>
      <c r="GFO19">
        <v>0</v>
      </c>
      <c r="GFP19">
        <v>0</v>
      </c>
      <c r="GFQ19">
        <v>0</v>
      </c>
      <c r="GFR19">
        <v>0</v>
      </c>
      <c r="GFS19">
        <v>0</v>
      </c>
      <c r="GFT19">
        <v>0</v>
      </c>
      <c r="GFU19">
        <v>0</v>
      </c>
      <c r="GFV19">
        <v>0</v>
      </c>
      <c r="GFW19">
        <v>0</v>
      </c>
      <c r="GFX19">
        <v>0</v>
      </c>
      <c r="GFY19">
        <v>0</v>
      </c>
      <c r="GFZ19">
        <v>0</v>
      </c>
      <c r="GGA19">
        <v>0</v>
      </c>
      <c r="GGB19">
        <v>0</v>
      </c>
      <c r="GGC19">
        <v>0</v>
      </c>
      <c r="GGD19">
        <v>0</v>
      </c>
      <c r="GGE19">
        <v>0</v>
      </c>
      <c r="GGF19">
        <v>0</v>
      </c>
      <c r="GGG19">
        <v>0</v>
      </c>
      <c r="GGH19">
        <v>0</v>
      </c>
      <c r="GGI19">
        <v>0</v>
      </c>
      <c r="GGJ19">
        <v>565.98</v>
      </c>
      <c r="GGK19">
        <v>0</v>
      </c>
      <c r="GGL19">
        <v>0</v>
      </c>
      <c r="GGM19">
        <v>84.99</v>
      </c>
      <c r="GGN19">
        <v>0</v>
      </c>
      <c r="GGO19">
        <v>0</v>
      </c>
      <c r="GGP19">
        <v>777</v>
      </c>
      <c r="GGQ19">
        <v>0</v>
      </c>
      <c r="GGR19">
        <v>0</v>
      </c>
      <c r="GGS19">
        <v>0</v>
      </c>
      <c r="GGT19">
        <v>0</v>
      </c>
      <c r="GGU19">
        <v>0</v>
      </c>
      <c r="GGV19">
        <v>137</v>
      </c>
      <c r="GGW19">
        <v>0</v>
      </c>
      <c r="GGX19">
        <v>0</v>
      </c>
      <c r="GGY19">
        <v>0</v>
      </c>
      <c r="GGZ19">
        <v>0</v>
      </c>
      <c r="GHA19">
        <v>369.96</v>
      </c>
      <c r="GHB19">
        <v>0</v>
      </c>
      <c r="GHC19">
        <v>19</v>
      </c>
      <c r="GHD19">
        <v>0</v>
      </c>
      <c r="GHE19">
        <v>48</v>
      </c>
      <c r="GHF19">
        <v>3145</v>
      </c>
      <c r="GHG19">
        <v>0</v>
      </c>
      <c r="GHH19">
        <v>498.98</v>
      </c>
      <c r="GHI19">
        <v>0</v>
      </c>
      <c r="GHJ19">
        <v>0</v>
      </c>
      <c r="GHK19">
        <v>0</v>
      </c>
      <c r="GHL19">
        <v>11</v>
      </c>
      <c r="GHM19">
        <v>268.99</v>
      </c>
      <c r="GHN19">
        <v>0</v>
      </c>
      <c r="GHO19">
        <v>0</v>
      </c>
      <c r="GHP19">
        <v>0</v>
      </c>
      <c r="GHQ19">
        <v>0</v>
      </c>
      <c r="GHR19">
        <v>264</v>
      </c>
      <c r="GHS19">
        <v>0</v>
      </c>
      <c r="GHT19">
        <v>0</v>
      </c>
      <c r="GHU19">
        <v>0</v>
      </c>
      <c r="GHV19">
        <v>0</v>
      </c>
      <c r="GHW19">
        <v>0</v>
      </c>
      <c r="GHX19">
        <v>0</v>
      </c>
      <c r="GHY19">
        <v>0</v>
      </c>
      <c r="GHZ19">
        <v>0</v>
      </c>
      <c r="GIA19">
        <v>380</v>
      </c>
      <c r="GIB19">
        <v>0</v>
      </c>
      <c r="GIC19">
        <v>0</v>
      </c>
      <c r="GID19">
        <v>204</v>
      </c>
      <c r="GIE19">
        <v>0</v>
      </c>
      <c r="GIF19">
        <v>278</v>
      </c>
      <c r="GIG19">
        <v>0</v>
      </c>
      <c r="GIH19">
        <v>77</v>
      </c>
      <c r="GII19">
        <v>0</v>
      </c>
      <c r="GIJ19">
        <v>0</v>
      </c>
      <c r="GIK19">
        <v>15</v>
      </c>
      <c r="GIL19">
        <v>0</v>
      </c>
      <c r="GIM19">
        <v>95</v>
      </c>
      <c r="GIN19">
        <v>0</v>
      </c>
      <c r="GIO19">
        <v>0</v>
      </c>
      <c r="GIP19">
        <v>124.98</v>
      </c>
      <c r="GIQ19">
        <v>0</v>
      </c>
      <c r="GIR19">
        <v>1249.95</v>
      </c>
      <c r="GIS19">
        <v>1156.99</v>
      </c>
      <c r="GIT19">
        <v>0</v>
      </c>
      <c r="GIU19">
        <v>0</v>
      </c>
      <c r="GIV19">
        <v>0</v>
      </c>
      <c r="GIW19">
        <v>0</v>
      </c>
      <c r="GIX19">
        <v>0</v>
      </c>
      <c r="GIY19">
        <v>7</v>
      </c>
      <c r="GIZ19">
        <v>0</v>
      </c>
      <c r="GJA19">
        <v>0</v>
      </c>
      <c r="GJB19">
        <v>0</v>
      </c>
      <c r="GJC19">
        <v>2222</v>
      </c>
      <c r="GJD19">
        <v>0</v>
      </c>
      <c r="GJE19">
        <v>0</v>
      </c>
      <c r="GJF19">
        <v>0</v>
      </c>
      <c r="GJG19">
        <v>898</v>
      </c>
      <c r="GJH19">
        <v>0</v>
      </c>
      <c r="GJI19">
        <v>0</v>
      </c>
      <c r="GJJ19">
        <v>3951.86</v>
      </c>
      <c r="GJK19">
        <v>0</v>
      </c>
      <c r="GJL19">
        <v>2814.95</v>
      </c>
      <c r="GJM19">
        <v>0</v>
      </c>
      <c r="GJN19">
        <v>0</v>
      </c>
      <c r="GJO19">
        <v>0</v>
      </c>
      <c r="GJP19">
        <v>37</v>
      </c>
      <c r="GJQ19">
        <v>0</v>
      </c>
      <c r="GJR19">
        <v>643</v>
      </c>
      <c r="GJS19">
        <v>0</v>
      </c>
      <c r="GJT19">
        <v>0</v>
      </c>
      <c r="GJU19">
        <v>0</v>
      </c>
      <c r="GJV19">
        <v>0</v>
      </c>
      <c r="GJW19">
        <v>0</v>
      </c>
      <c r="GJX19">
        <v>0</v>
      </c>
      <c r="GJY19">
        <v>0</v>
      </c>
      <c r="GJZ19">
        <v>0</v>
      </c>
      <c r="GKA19">
        <v>0</v>
      </c>
      <c r="GKB19">
        <v>0</v>
      </c>
      <c r="GKC19">
        <v>0</v>
      </c>
      <c r="GKD19">
        <v>0</v>
      </c>
      <c r="GKE19">
        <v>0</v>
      </c>
      <c r="GKF19">
        <v>0</v>
      </c>
      <c r="GKG19">
        <v>0</v>
      </c>
      <c r="GKH19">
        <v>0</v>
      </c>
      <c r="GKI19">
        <v>0</v>
      </c>
      <c r="GKJ19">
        <v>230</v>
      </c>
      <c r="GKK19">
        <v>0</v>
      </c>
      <c r="GKL19">
        <v>1228.01</v>
      </c>
      <c r="GKM19">
        <v>0</v>
      </c>
      <c r="GKN19">
        <v>0</v>
      </c>
      <c r="GKO19">
        <v>1071.99</v>
      </c>
      <c r="GKP19">
        <v>72</v>
      </c>
      <c r="GKQ19">
        <v>0</v>
      </c>
      <c r="GKR19">
        <v>0</v>
      </c>
      <c r="GKS19">
        <v>0</v>
      </c>
      <c r="GKT19">
        <v>0</v>
      </c>
      <c r="GKU19">
        <v>0</v>
      </c>
      <c r="GKV19">
        <v>0</v>
      </c>
      <c r="GKW19">
        <v>0</v>
      </c>
      <c r="GKX19">
        <v>1311.99</v>
      </c>
      <c r="GKY19">
        <v>0</v>
      </c>
      <c r="GKZ19">
        <v>0</v>
      </c>
      <c r="GLA19">
        <v>0</v>
      </c>
      <c r="GLB19">
        <v>2767.9</v>
      </c>
      <c r="GLC19">
        <v>0</v>
      </c>
      <c r="GLD19">
        <v>434.01</v>
      </c>
      <c r="GLE19">
        <v>0</v>
      </c>
      <c r="GLF19">
        <v>841.98</v>
      </c>
      <c r="GLG19">
        <v>0</v>
      </c>
      <c r="GLH19">
        <v>0</v>
      </c>
      <c r="GLI19">
        <v>0</v>
      </c>
      <c r="GLJ19">
        <v>446.99</v>
      </c>
      <c r="GLK19">
        <v>0</v>
      </c>
      <c r="GLL19">
        <v>0</v>
      </c>
      <c r="GLM19">
        <v>0</v>
      </c>
      <c r="GLN19">
        <v>84.99</v>
      </c>
      <c r="GLO19">
        <v>0</v>
      </c>
      <c r="GLP19">
        <v>0</v>
      </c>
      <c r="GLQ19">
        <v>0</v>
      </c>
      <c r="GLR19">
        <v>0</v>
      </c>
      <c r="GLS19">
        <v>0</v>
      </c>
      <c r="GLT19">
        <v>64</v>
      </c>
      <c r="GLU19">
        <v>0</v>
      </c>
      <c r="GLV19">
        <v>0</v>
      </c>
      <c r="GLW19">
        <v>0</v>
      </c>
      <c r="GLX19">
        <v>0</v>
      </c>
      <c r="GLY19">
        <v>0</v>
      </c>
      <c r="GLZ19">
        <v>0</v>
      </c>
      <c r="GMA19">
        <v>0</v>
      </c>
      <c r="GMB19">
        <v>0</v>
      </c>
      <c r="GMC19">
        <v>3065.99</v>
      </c>
      <c r="GMD19">
        <v>0</v>
      </c>
      <c r="GME19">
        <v>0</v>
      </c>
      <c r="GMF19">
        <v>0</v>
      </c>
      <c r="GMG19">
        <v>0</v>
      </c>
      <c r="GMH19">
        <v>0</v>
      </c>
      <c r="GMI19">
        <v>0</v>
      </c>
      <c r="GMJ19">
        <v>0</v>
      </c>
      <c r="GMK19">
        <v>0</v>
      </c>
      <c r="GML19">
        <v>0</v>
      </c>
      <c r="GMM19">
        <v>0</v>
      </c>
      <c r="GMN19">
        <v>1379.99</v>
      </c>
      <c r="GMO19">
        <v>0</v>
      </c>
      <c r="GMP19">
        <v>0</v>
      </c>
      <c r="GMQ19">
        <v>98</v>
      </c>
      <c r="GMR19">
        <v>0</v>
      </c>
      <c r="GMS19">
        <v>113</v>
      </c>
      <c r="GMT19">
        <v>0</v>
      </c>
      <c r="GMU19">
        <v>0</v>
      </c>
      <c r="GMV19">
        <v>0</v>
      </c>
      <c r="GMW19">
        <v>4339.99</v>
      </c>
      <c r="GMX19">
        <v>0</v>
      </c>
      <c r="GMY19">
        <v>0</v>
      </c>
      <c r="GMZ19">
        <v>797</v>
      </c>
      <c r="GNA19">
        <v>0</v>
      </c>
      <c r="GNB19">
        <v>0</v>
      </c>
      <c r="GNC19">
        <v>2573.9899999999998</v>
      </c>
      <c r="GND19">
        <v>96</v>
      </c>
      <c r="GNE19">
        <v>231</v>
      </c>
      <c r="GNF19">
        <v>0</v>
      </c>
      <c r="GNG19">
        <v>770</v>
      </c>
      <c r="GNH19">
        <v>0</v>
      </c>
      <c r="GNI19">
        <v>0</v>
      </c>
      <c r="GNJ19">
        <v>0</v>
      </c>
      <c r="GNK19">
        <v>0</v>
      </c>
      <c r="GNL19">
        <v>0</v>
      </c>
      <c r="GNM19">
        <v>0</v>
      </c>
      <c r="GNN19">
        <v>0</v>
      </c>
      <c r="GNO19">
        <v>706.99</v>
      </c>
      <c r="GNP19">
        <v>0</v>
      </c>
      <c r="GNQ19">
        <v>0</v>
      </c>
      <c r="GNR19">
        <v>860.98</v>
      </c>
      <c r="GNS19">
        <v>0</v>
      </c>
      <c r="GNT19">
        <v>306.98</v>
      </c>
      <c r="GNU19">
        <v>6128.04</v>
      </c>
      <c r="GNV19">
        <v>0</v>
      </c>
      <c r="GNW19">
        <v>0</v>
      </c>
      <c r="GNX19">
        <v>2071.9899999999998</v>
      </c>
      <c r="GNY19">
        <v>321</v>
      </c>
      <c r="GNZ19">
        <v>2751.98</v>
      </c>
      <c r="GOA19">
        <v>258</v>
      </c>
      <c r="GOB19">
        <v>0</v>
      </c>
      <c r="GOC19">
        <v>0</v>
      </c>
      <c r="GOD19">
        <v>0</v>
      </c>
      <c r="GOE19">
        <v>0</v>
      </c>
      <c r="GOF19">
        <v>0</v>
      </c>
      <c r="GOG19">
        <v>1407.99</v>
      </c>
      <c r="GOH19">
        <v>0</v>
      </c>
      <c r="GOI19">
        <v>322</v>
      </c>
      <c r="GOJ19">
        <v>0</v>
      </c>
      <c r="GOK19">
        <v>0</v>
      </c>
      <c r="GOL19">
        <v>1868.95</v>
      </c>
      <c r="GOM19">
        <v>0</v>
      </c>
      <c r="GON19">
        <v>0</v>
      </c>
      <c r="GOO19">
        <v>214</v>
      </c>
      <c r="GOP19">
        <v>0</v>
      </c>
      <c r="GOQ19">
        <v>0</v>
      </c>
      <c r="GOR19">
        <v>0</v>
      </c>
      <c r="GOS19">
        <v>0</v>
      </c>
      <c r="GOT19">
        <v>0</v>
      </c>
      <c r="GOU19">
        <v>0</v>
      </c>
      <c r="GOV19">
        <v>0</v>
      </c>
      <c r="GOW19">
        <v>0</v>
      </c>
      <c r="GOX19">
        <v>0</v>
      </c>
      <c r="GOY19">
        <v>908</v>
      </c>
      <c r="GOZ19">
        <v>0</v>
      </c>
      <c r="GPA19">
        <v>0</v>
      </c>
      <c r="GPB19">
        <v>1383.95</v>
      </c>
      <c r="GPC19">
        <v>79</v>
      </c>
      <c r="GPD19">
        <v>0</v>
      </c>
      <c r="GPE19">
        <v>0</v>
      </c>
      <c r="GPF19">
        <v>0</v>
      </c>
      <c r="GPG19">
        <v>4054.74</v>
      </c>
      <c r="GPH19">
        <v>1187.99</v>
      </c>
      <c r="GPI19">
        <v>0</v>
      </c>
      <c r="GPJ19">
        <v>1382.96</v>
      </c>
      <c r="GPK19">
        <v>0</v>
      </c>
      <c r="GPL19">
        <v>0</v>
      </c>
      <c r="GPM19">
        <v>0</v>
      </c>
      <c r="GPN19">
        <v>2657.95</v>
      </c>
      <c r="GPO19">
        <v>0</v>
      </c>
      <c r="GPP19">
        <v>369.98</v>
      </c>
      <c r="GPQ19">
        <v>0</v>
      </c>
      <c r="GPR19">
        <v>0</v>
      </c>
      <c r="GPS19">
        <v>591.79999999999995</v>
      </c>
      <c r="GPT19">
        <v>0</v>
      </c>
      <c r="GPU19">
        <v>0</v>
      </c>
      <c r="GPV19">
        <v>0</v>
      </c>
      <c r="GPW19">
        <v>0</v>
      </c>
      <c r="GPX19">
        <v>1204</v>
      </c>
      <c r="GPY19">
        <v>249</v>
      </c>
      <c r="GPZ19">
        <v>0</v>
      </c>
      <c r="GQA19">
        <v>3630.09</v>
      </c>
      <c r="GQB19">
        <v>0</v>
      </c>
      <c r="GQC19">
        <v>0</v>
      </c>
      <c r="GQD19">
        <v>71.989999999999995</v>
      </c>
      <c r="GQE19">
        <v>1226.02</v>
      </c>
      <c r="GQF19">
        <v>760.97</v>
      </c>
      <c r="GQG19">
        <v>0</v>
      </c>
      <c r="GQH19">
        <v>0</v>
      </c>
      <c r="GQI19">
        <v>667</v>
      </c>
      <c r="GQJ19">
        <v>0</v>
      </c>
      <c r="GQK19">
        <v>0</v>
      </c>
      <c r="GQL19">
        <v>0</v>
      </c>
      <c r="GQM19">
        <v>2063.98</v>
      </c>
      <c r="GQN19">
        <v>0</v>
      </c>
      <c r="GQO19">
        <v>0</v>
      </c>
      <c r="GQP19">
        <v>0</v>
      </c>
      <c r="GQQ19">
        <v>0</v>
      </c>
      <c r="GQR19">
        <v>3138.95</v>
      </c>
      <c r="GQS19">
        <v>0</v>
      </c>
      <c r="GQT19">
        <v>406</v>
      </c>
      <c r="GQU19">
        <v>0</v>
      </c>
      <c r="GQV19">
        <v>115</v>
      </c>
      <c r="GQW19">
        <v>0</v>
      </c>
      <c r="GQX19">
        <v>0</v>
      </c>
      <c r="GQY19">
        <v>15</v>
      </c>
      <c r="GQZ19">
        <v>564.99</v>
      </c>
      <c r="GRA19">
        <v>3664.7</v>
      </c>
      <c r="GRB19">
        <v>0</v>
      </c>
      <c r="GRC19">
        <v>846.99</v>
      </c>
      <c r="GRD19">
        <v>2742.95</v>
      </c>
      <c r="GRE19">
        <v>0</v>
      </c>
      <c r="GRF19">
        <v>0</v>
      </c>
      <c r="GRG19">
        <v>295</v>
      </c>
      <c r="GRH19">
        <v>0</v>
      </c>
      <c r="GRI19">
        <v>0</v>
      </c>
      <c r="GRJ19">
        <v>13381.83</v>
      </c>
      <c r="GRK19">
        <v>0</v>
      </c>
      <c r="GRL19">
        <v>1169</v>
      </c>
      <c r="GRM19">
        <v>878</v>
      </c>
      <c r="GRN19">
        <v>0</v>
      </c>
      <c r="GRO19">
        <v>0</v>
      </c>
      <c r="GRP19">
        <v>481.98</v>
      </c>
      <c r="GRQ19">
        <v>196</v>
      </c>
      <c r="GRR19">
        <v>183.99</v>
      </c>
      <c r="GRS19">
        <v>1182.99</v>
      </c>
      <c r="GRT19">
        <v>0</v>
      </c>
      <c r="GRU19">
        <v>0</v>
      </c>
      <c r="GRV19">
        <v>367.01</v>
      </c>
      <c r="GRW19">
        <v>18</v>
      </c>
      <c r="GRX19">
        <v>3173</v>
      </c>
      <c r="GRY19">
        <v>18867.75</v>
      </c>
      <c r="GRZ19">
        <v>0</v>
      </c>
      <c r="GSA19">
        <v>76</v>
      </c>
      <c r="GSB19">
        <v>493.98</v>
      </c>
      <c r="GSC19">
        <v>0</v>
      </c>
      <c r="GSD19">
        <v>0</v>
      </c>
      <c r="GSE19">
        <v>3618.91</v>
      </c>
      <c r="GSF19">
        <v>1792</v>
      </c>
      <c r="GSG19">
        <v>4940.96</v>
      </c>
      <c r="GSH19">
        <v>5167.91</v>
      </c>
      <c r="GSI19">
        <v>78</v>
      </c>
      <c r="GSJ19">
        <v>706.99</v>
      </c>
      <c r="GSK19">
        <v>5039.5600000000004</v>
      </c>
      <c r="GSL19">
        <v>5681.85</v>
      </c>
      <c r="GSM19">
        <v>364.99</v>
      </c>
      <c r="GSN19">
        <v>18171.78</v>
      </c>
      <c r="GSO19">
        <v>8186</v>
      </c>
      <c r="GSP19">
        <v>19724.490000000002</v>
      </c>
      <c r="GSQ19">
        <v>151</v>
      </c>
      <c r="GSR19">
        <v>258647.2</v>
      </c>
    </row>
    <row r="20" spans="1:5244" x14ac:dyDescent="0.2">
      <c r="A20" s="7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6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10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12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15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9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18</v>
      </c>
      <c r="AEM20">
        <v>18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9</v>
      </c>
      <c r="AGS20">
        <v>0</v>
      </c>
      <c r="AGT20">
        <v>0</v>
      </c>
      <c r="AGU20">
        <v>19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20</v>
      </c>
      <c r="AIV20">
        <v>20</v>
      </c>
      <c r="AIW20">
        <v>20</v>
      </c>
      <c r="AIX20">
        <v>20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21</v>
      </c>
      <c r="AKU20">
        <v>21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22</v>
      </c>
      <c r="AMX20">
        <v>22</v>
      </c>
      <c r="AMY20">
        <v>22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23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24</v>
      </c>
      <c r="APS20">
        <v>24</v>
      </c>
      <c r="APT20">
        <v>0</v>
      </c>
      <c r="APU20">
        <v>0</v>
      </c>
      <c r="APV20">
        <v>0</v>
      </c>
      <c r="APW20">
        <v>16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25</v>
      </c>
      <c r="ARP20">
        <v>25</v>
      </c>
      <c r="ARQ20">
        <v>25</v>
      </c>
      <c r="ARR20">
        <v>25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27</v>
      </c>
      <c r="AUO20">
        <v>27</v>
      </c>
      <c r="AUP20">
        <v>27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10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28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29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30</v>
      </c>
      <c r="AYP20">
        <v>30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31</v>
      </c>
      <c r="AZX20">
        <v>31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32</v>
      </c>
      <c r="BBM20">
        <v>0</v>
      </c>
      <c r="BBN20">
        <v>0</v>
      </c>
      <c r="BBO20">
        <v>0</v>
      </c>
      <c r="BBP20">
        <v>14.99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33</v>
      </c>
      <c r="BDB20">
        <v>33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34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35</v>
      </c>
      <c r="BFW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27</v>
      </c>
      <c r="BGX20">
        <v>0</v>
      </c>
      <c r="BGY20">
        <v>36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37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27</v>
      </c>
      <c r="BJS20">
        <v>38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39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40</v>
      </c>
      <c r="BMC20">
        <v>40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42</v>
      </c>
      <c r="BOB20">
        <v>0</v>
      </c>
      <c r="BOC20">
        <v>0</v>
      </c>
      <c r="BOD20">
        <v>0</v>
      </c>
      <c r="BOE20">
        <v>0</v>
      </c>
      <c r="BOF20">
        <v>42.99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44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9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46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47</v>
      </c>
      <c r="BSR20">
        <v>47</v>
      </c>
      <c r="BSS20">
        <v>47</v>
      </c>
      <c r="BST20">
        <v>47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48</v>
      </c>
      <c r="BTQ20">
        <v>0</v>
      </c>
      <c r="BTR20">
        <v>11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49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25</v>
      </c>
      <c r="BVP20">
        <v>0</v>
      </c>
      <c r="BVQ20">
        <v>0</v>
      </c>
      <c r="BVR20">
        <v>50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22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</v>
      </c>
      <c r="BXY20">
        <v>0</v>
      </c>
      <c r="BXZ20">
        <v>0</v>
      </c>
      <c r="BYA20">
        <v>0</v>
      </c>
      <c r="BYB20">
        <v>0</v>
      </c>
      <c r="BYC20">
        <v>0</v>
      </c>
      <c r="BYD20">
        <v>0</v>
      </c>
      <c r="BYE20">
        <v>0</v>
      </c>
      <c r="BYF20">
        <v>0</v>
      </c>
      <c r="BYG20">
        <v>0</v>
      </c>
      <c r="BYH20">
        <v>0</v>
      </c>
      <c r="BYI20">
        <v>0</v>
      </c>
      <c r="BYJ20">
        <v>0</v>
      </c>
      <c r="BYK20">
        <v>0</v>
      </c>
      <c r="BYL20">
        <v>0</v>
      </c>
      <c r="BYM20">
        <v>54</v>
      </c>
      <c r="BYN20">
        <v>0</v>
      </c>
      <c r="BYO20">
        <v>0</v>
      </c>
      <c r="BYP20">
        <v>0</v>
      </c>
      <c r="BYQ20">
        <v>0</v>
      </c>
      <c r="BYR20">
        <v>0</v>
      </c>
      <c r="BYS20">
        <v>0</v>
      </c>
      <c r="BYT20">
        <v>0</v>
      </c>
      <c r="BYU20">
        <v>0</v>
      </c>
      <c r="BYV20">
        <v>0</v>
      </c>
      <c r="BYW20">
        <v>0</v>
      </c>
      <c r="BYX20">
        <v>0</v>
      </c>
      <c r="BYY20">
        <v>0</v>
      </c>
      <c r="BYZ20">
        <v>0</v>
      </c>
      <c r="BZA20">
        <v>0</v>
      </c>
      <c r="BZB20">
        <v>0</v>
      </c>
      <c r="BZC20">
        <v>0</v>
      </c>
      <c r="BZD20">
        <v>0</v>
      </c>
      <c r="BZE20">
        <v>0</v>
      </c>
      <c r="BZF20">
        <v>0</v>
      </c>
      <c r="BZG20">
        <v>0</v>
      </c>
      <c r="BZH20">
        <v>0</v>
      </c>
      <c r="BZI20">
        <v>0</v>
      </c>
      <c r="BZJ20">
        <v>0</v>
      </c>
      <c r="BZK20">
        <v>0</v>
      </c>
      <c r="BZL20">
        <v>0</v>
      </c>
      <c r="BZM20">
        <v>0</v>
      </c>
      <c r="BZN20">
        <v>0</v>
      </c>
      <c r="BZO20">
        <v>0</v>
      </c>
      <c r="BZP20">
        <v>0</v>
      </c>
      <c r="BZQ20">
        <v>0</v>
      </c>
      <c r="BZR20">
        <v>0</v>
      </c>
      <c r="BZS20">
        <v>0</v>
      </c>
      <c r="BZT20">
        <v>0</v>
      </c>
      <c r="BZU20">
        <v>0</v>
      </c>
      <c r="BZV20">
        <v>0</v>
      </c>
      <c r="BZW20">
        <v>0</v>
      </c>
      <c r="BZX20">
        <v>0</v>
      </c>
      <c r="BZY20">
        <v>0</v>
      </c>
      <c r="BZZ20">
        <v>0</v>
      </c>
      <c r="CAA20">
        <v>0</v>
      </c>
      <c r="CAB20">
        <v>0</v>
      </c>
      <c r="CAC20">
        <v>0</v>
      </c>
      <c r="CAD20">
        <v>0</v>
      </c>
      <c r="CAE20">
        <v>0</v>
      </c>
      <c r="CAF20">
        <v>0</v>
      </c>
      <c r="CAG20">
        <v>0</v>
      </c>
      <c r="CAH20">
        <v>0</v>
      </c>
      <c r="CAI20">
        <v>0</v>
      </c>
      <c r="CAJ20">
        <v>0</v>
      </c>
      <c r="CAK20">
        <v>0</v>
      </c>
      <c r="CAL20">
        <v>0</v>
      </c>
      <c r="CAM20">
        <v>0</v>
      </c>
      <c r="CAN20">
        <v>0</v>
      </c>
      <c r="CAO20">
        <v>0</v>
      </c>
      <c r="CAP20">
        <v>0</v>
      </c>
      <c r="CAQ20">
        <v>0</v>
      </c>
      <c r="CAR20">
        <v>0</v>
      </c>
      <c r="CAS20">
        <v>57</v>
      </c>
      <c r="CAT20">
        <v>0</v>
      </c>
      <c r="CAU20">
        <v>0</v>
      </c>
      <c r="CAV20">
        <v>24</v>
      </c>
      <c r="CAW20">
        <v>0</v>
      </c>
      <c r="CAX20">
        <v>0</v>
      </c>
      <c r="CAY20">
        <v>0</v>
      </c>
      <c r="CAZ20">
        <v>0</v>
      </c>
      <c r="CBA20">
        <v>0</v>
      </c>
      <c r="CBB20">
        <v>0</v>
      </c>
      <c r="CBC20">
        <v>0</v>
      </c>
      <c r="CBD20">
        <v>0</v>
      </c>
      <c r="CBE20">
        <v>0</v>
      </c>
      <c r="CBF20">
        <v>0</v>
      </c>
      <c r="CBG20">
        <v>0</v>
      </c>
      <c r="CBH20">
        <v>0</v>
      </c>
      <c r="CBI20">
        <v>0</v>
      </c>
      <c r="CBJ20">
        <v>0</v>
      </c>
      <c r="CBK20">
        <v>0</v>
      </c>
      <c r="CBL20">
        <v>0</v>
      </c>
      <c r="CBM20">
        <v>0</v>
      </c>
      <c r="CBN20">
        <v>58</v>
      </c>
      <c r="CBO20">
        <v>0</v>
      </c>
      <c r="CBP20">
        <v>0</v>
      </c>
      <c r="CBQ20">
        <v>0</v>
      </c>
      <c r="CBR20">
        <v>0</v>
      </c>
      <c r="CBS20">
        <v>0</v>
      </c>
      <c r="CBT20">
        <v>0</v>
      </c>
      <c r="CBU20">
        <v>0</v>
      </c>
      <c r="CBV20">
        <v>0</v>
      </c>
      <c r="CBW20">
        <v>0</v>
      </c>
      <c r="CBX20">
        <v>0</v>
      </c>
      <c r="CBY20">
        <v>0</v>
      </c>
      <c r="CBZ20">
        <v>0</v>
      </c>
      <c r="CCA20">
        <v>0</v>
      </c>
      <c r="CCB20">
        <v>0</v>
      </c>
      <c r="CCC20">
        <v>0</v>
      </c>
      <c r="CCD20">
        <v>59</v>
      </c>
      <c r="CCE20">
        <v>0</v>
      </c>
      <c r="CCF20">
        <v>0</v>
      </c>
      <c r="CCG20">
        <v>0</v>
      </c>
      <c r="CCH20">
        <v>0</v>
      </c>
      <c r="CCI20">
        <v>0</v>
      </c>
      <c r="CCJ20">
        <v>0</v>
      </c>
      <c r="CCK20">
        <v>0</v>
      </c>
      <c r="CCL20">
        <v>0</v>
      </c>
      <c r="CCM20">
        <v>0</v>
      </c>
      <c r="CCN20">
        <v>0</v>
      </c>
      <c r="CCO20">
        <v>0</v>
      </c>
      <c r="CCP20">
        <v>0</v>
      </c>
      <c r="CCQ20">
        <v>0</v>
      </c>
      <c r="CCR20">
        <v>0</v>
      </c>
      <c r="CCS20">
        <v>0</v>
      </c>
      <c r="CCT20">
        <v>0</v>
      </c>
      <c r="CCU20">
        <v>0</v>
      </c>
      <c r="CCV20">
        <v>0</v>
      </c>
      <c r="CCW20">
        <v>0</v>
      </c>
      <c r="CCX20">
        <v>0</v>
      </c>
      <c r="CCY20">
        <v>0</v>
      </c>
      <c r="CCZ20">
        <v>0</v>
      </c>
      <c r="CDA20">
        <v>0</v>
      </c>
      <c r="CDB20">
        <v>0</v>
      </c>
      <c r="CDC20">
        <v>0</v>
      </c>
      <c r="CDD20">
        <v>0</v>
      </c>
      <c r="CDE20">
        <v>0</v>
      </c>
      <c r="CDF20">
        <v>0</v>
      </c>
      <c r="CDG20">
        <v>0</v>
      </c>
      <c r="CDH20">
        <v>0</v>
      </c>
      <c r="CDI20">
        <v>43</v>
      </c>
      <c r="CDJ20">
        <v>0</v>
      </c>
      <c r="CDK20">
        <v>0</v>
      </c>
      <c r="CDL20">
        <v>0</v>
      </c>
      <c r="CDM20">
        <v>0</v>
      </c>
      <c r="CDN20">
        <v>0</v>
      </c>
      <c r="CDO20">
        <v>0</v>
      </c>
      <c r="CDP20">
        <v>0</v>
      </c>
      <c r="CDQ20">
        <v>0</v>
      </c>
      <c r="CDR20">
        <v>0</v>
      </c>
      <c r="CDS20">
        <v>0</v>
      </c>
      <c r="CDT20">
        <v>0</v>
      </c>
      <c r="CDU20">
        <v>0</v>
      </c>
      <c r="CDV20">
        <v>0</v>
      </c>
      <c r="CDW20">
        <v>0</v>
      </c>
      <c r="CDX20">
        <v>0</v>
      </c>
      <c r="CDY20">
        <v>0</v>
      </c>
      <c r="CDZ20">
        <v>0</v>
      </c>
      <c r="CEA20">
        <v>62</v>
      </c>
      <c r="CEB20">
        <v>0</v>
      </c>
      <c r="CEC20">
        <v>0</v>
      </c>
      <c r="CED20">
        <v>0</v>
      </c>
      <c r="CEE20">
        <v>0</v>
      </c>
      <c r="CEF20">
        <v>0</v>
      </c>
      <c r="CEG20">
        <v>0</v>
      </c>
      <c r="CEH20">
        <v>0</v>
      </c>
      <c r="CEI20">
        <v>0</v>
      </c>
      <c r="CEJ20">
        <v>0</v>
      </c>
      <c r="CEK20">
        <v>0</v>
      </c>
      <c r="CEL20">
        <v>0</v>
      </c>
      <c r="CEM20">
        <v>0</v>
      </c>
      <c r="CEN20">
        <v>0</v>
      </c>
      <c r="CEO20">
        <v>0</v>
      </c>
      <c r="CEP20">
        <v>0</v>
      </c>
      <c r="CEQ20">
        <v>0</v>
      </c>
      <c r="CER20">
        <v>0</v>
      </c>
      <c r="CES20">
        <v>0</v>
      </c>
      <c r="CET20">
        <v>0</v>
      </c>
      <c r="CEU20">
        <v>0</v>
      </c>
      <c r="CEV20">
        <v>0</v>
      </c>
      <c r="CEW20">
        <v>0</v>
      </c>
      <c r="CEX20">
        <v>0</v>
      </c>
      <c r="CEY20">
        <v>0</v>
      </c>
      <c r="CEZ20">
        <v>0</v>
      </c>
      <c r="CFA20">
        <v>0</v>
      </c>
      <c r="CFB20">
        <v>0</v>
      </c>
      <c r="CFC20">
        <v>0</v>
      </c>
      <c r="CFD20">
        <v>0</v>
      </c>
      <c r="CFE20">
        <v>0</v>
      </c>
      <c r="CFF20">
        <v>0</v>
      </c>
      <c r="CFG20">
        <v>0</v>
      </c>
      <c r="CFH20">
        <v>0</v>
      </c>
      <c r="CFI20">
        <v>0</v>
      </c>
      <c r="CFJ20">
        <v>0</v>
      </c>
      <c r="CFK20">
        <v>0</v>
      </c>
      <c r="CFL20">
        <v>0</v>
      </c>
      <c r="CFM20">
        <v>0</v>
      </c>
      <c r="CFN20">
        <v>0</v>
      </c>
      <c r="CFO20">
        <v>0</v>
      </c>
      <c r="CFP20">
        <v>64</v>
      </c>
      <c r="CFQ20">
        <v>0</v>
      </c>
      <c r="CFR20">
        <v>0</v>
      </c>
      <c r="CFS20">
        <v>0</v>
      </c>
      <c r="CFT20">
        <v>0</v>
      </c>
      <c r="CFU20">
        <v>0</v>
      </c>
      <c r="CFV20">
        <v>0</v>
      </c>
      <c r="CFW20">
        <v>0</v>
      </c>
      <c r="CFX20">
        <v>0</v>
      </c>
      <c r="CFY20">
        <v>0</v>
      </c>
      <c r="CFZ20">
        <v>0</v>
      </c>
      <c r="CGA20">
        <v>0</v>
      </c>
      <c r="CGB20">
        <v>0</v>
      </c>
      <c r="CGC20">
        <v>0</v>
      </c>
      <c r="CGD20">
        <v>0</v>
      </c>
      <c r="CGE20">
        <v>0</v>
      </c>
      <c r="CGF20">
        <v>0</v>
      </c>
      <c r="CGG20">
        <v>0</v>
      </c>
      <c r="CGH20">
        <v>0</v>
      </c>
      <c r="CGI20">
        <v>0</v>
      </c>
      <c r="CGJ20">
        <v>0</v>
      </c>
      <c r="CGK20">
        <v>0</v>
      </c>
      <c r="CGL20">
        <v>0</v>
      </c>
      <c r="CGM20">
        <v>0</v>
      </c>
      <c r="CGN20">
        <v>65</v>
      </c>
      <c r="CGO20">
        <v>65</v>
      </c>
      <c r="CGP20">
        <v>0</v>
      </c>
      <c r="CGQ20">
        <v>0</v>
      </c>
      <c r="CGR20">
        <v>0</v>
      </c>
      <c r="CGS20">
        <v>0</v>
      </c>
      <c r="CGT20">
        <v>0</v>
      </c>
      <c r="CGU20">
        <v>0</v>
      </c>
      <c r="CGV20">
        <v>0</v>
      </c>
      <c r="CGW20">
        <v>0</v>
      </c>
      <c r="CGX20">
        <v>0</v>
      </c>
      <c r="CGY20">
        <v>0</v>
      </c>
      <c r="CGZ20">
        <v>0</v>
      </c>
      <c r="CHA20">
        <v>0</v>
      </c>
      <c r="CHB20">
        <v>60</v>
      </c>
      <c r="CHC20">
        <v>41.99</v>
      </c>
      <c r="CHD20">
        <v>0</v>
      </c>
      <c r="CHE20">
        <v>0</v>
      </c>
      <c r="CHF20">
        <v>0</v>
      </c>
      <c r="CHG20">
        <v>0</v>
      </c>
      <c r="CHH20">
        <v>0</v>
      </c>
      <c r="CHI20">
        <v>0</v>
      </c>
      <c r="CHJ20">
        <v>0</v>
      </c>
      <c r="CHK20">
        <v>0</v>
      </c>
      <c r="CHL20">
        <v>0</v>
      </c>
      <c r="CHM20">
        <v>0</v>
      </c>
      <c r="CHN20">
        <v>0</v>
      </c>
      <c r="CHO20">
        <v>0</v>
      </c>
      <c r="CHP20">
        <v>0</v>
      </c>
      <c r="CHQ20">
        <v>0</v>
      </c>
      <c r="CHR20">
        <v>0</v>
      </c>
      <c r="CHS20">
        <v>0</v>
      </c>
      <c r="CHT20">
        <v>0</v>
      </c>
      <c r="CHU20">
        <v>0</v>
      </c>
      <c r="CHV20">
        <v>0</v>
      </c>
      <c r="CHW20">
        <v>0</v>
      </c>
      <c r="CHX20">
        <v>0</v>
      </c>
      <c r="CHY20">
        <v>0</v>
      </c>
      <c r="CHZ20">
        <v>0</v>
      </c>
      <c r="CIA20">
        <v>0</v>
      </c>
      <c r="CIB20">
        <v>0</v>
      </c>
      <c r="CIC20">
        <v>0</v>
      </c>
      <c r="CID20">
        <v>0</v>
      </c>
      <c r="CIE20">
        <v>0</v>
      </c>
      <c r="CIF20">
        <v>0</v>
      </c>
      <c r="CIG20">
        <v>0</v>
      </c>
      <c r="CIH20">
        <v>0</v>
      </c>
      <c r="CII20">
        <v>0</v>
      </c>
      <c r="CIJ20">
        <v>0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Q20">
        <v>0</v>
      </c>
      <c r="CIR20">
        <v>0</v>
      </c>
      <c r="CIS20">
        <v>0</v>
      </c>
      <c r="CIT20">
        <v>0</v>
      </c>
      <c r="CIU20">
        <v>0</v>
      </c>
      <c r="CIV20">
        <v>0</v>
      </c>
      <c r="CIW20">
        <v>0</v>
      </c>
      <c r="CIX20">
        <v>0</v>
      </c>
      <c r="CIY20">
        <v>0</v>
      </c>
      <c r="CIZ20">
        <v>0</v>
      </c>
      <c r="CJA20">
        <v>0</v>
      </c>
      <c r="CJB20">
        <v>0</v>
      </c>
      <c r="CJC20">
        <v>0</v>
      </c>
      <c r="CJD20">
        <v>0</v>
      </c>
      <c r="CJE20">
        <v>0</v>
      </c>
      <c r="CJF20">
        <v>31</v>
      </c>
      <c r="CJG20">
        <v>0</v>
      </c>
      <c r="CJH20">
        <v>0</v>
      </c>
      <c r="CJI20">
        <v>0</v>
      </c>
      <c r="CJJ20">
        <v>0</v>
      </c>
      <c r="CJK20">
        <v>0</v>
      </c>
      <c r="CJL20">
        <v>0</v>
      </c>
      <c r="CJM20">
        <v>0</v>
      </c>
      <c r="CJN20">
        <v>0</v>
      </c>
      <c r="CJO20">
        <v>0</v>
      </c>
      <c r="CJP20">
        <v>0</v>
      </c>
      <c r="CJQ20">
        <v>34</v>
      </c>
      <c r="CJR20">
        <v>0</v>
      </c>
      <c r="CJS20">
        <v>0</v>
      </c>
      <c r="CJT20">
        <v>0</v>
      </c>
      <c r="CJU20">
        <v>0</v>
      </c>
      <c r="CJV20">
        <v>0</v>
      </c>
      <c r="CJW20">
        <v>0</v>
      </c>
      <c r="CJX20">
        <v>0</v>
      </c>
      <c r="CJY20">
        <v>0</v>
      </c>
      <c r="CJZ20">
        <v>0</v>
      </c>
      <c r="CKA20">
        <v>0</v>
      </c>
      <c r="CKB20">
        <v>0</v>
      </c>
      <c r="CKC20">
        <v>0</v>
      </c>
      <c r="CKD20">
        <v>0</v>
      </c>
      <c r="CKE20">
        <v>34</v>
      </c>
      <c r="CKF20">
        <v>70</v>
      </c>
      <c r="CKG20">
        <v>0</v>
      </c>
      <c r="CKH20">
        <v>0</v>
      </c>
      <c r="CKI20">
        <v>0</v>
      </c>
      <c r="CKJ20">
        <v>0</v>
      </c>
      <c r="CKK20">
        <v>0</v>
      </c>
      <c r="CKL20">
        <v>0</v>
      </c>
      <c r="CKM20">
        <v>0</v>
      </c>
      <c r="CKN20">
        <v>0</v>
      </c>
      <c r="CKO20">
        <v>0</v>
      </c>
      <c r="CKP20">
        <v>0</v>
      </c>
      <c r="CKQ20">
        <v>0</v>
      </c>
      <c r="CKR20">
        <v>0</v>
      </c>
      <c r="CKS20">
        <v>0</v>
      </c>
      <c r="CKT20">
        <v>0</v>
      </c>
      <c r="CKU20">
        <v>0</v>
      </c>
      <c r="CKV20">
        <v>0</v>
      </c>
      <c r="CKW20">
        <v>0</v>
      </c>
      <c r="CKX20">
        <v>0</v>
      </c>
      <c r="CKY20">
        <v>0</v>
      </c>
      <c r="CKZ20">
        <v>0</v>
      </c>
      <c r="CLA20">
        <v>0</v>
      </c>
      <c r="CLB20">
        <v>0</v>
      </c>
      <c r="CLC20">
        <v>0</v>
      </c>
      <c r="CLD20">
        <v>0</v>
      </c>
      <c r="CLE20">
        <v>0</v>
      </c>
      <c r="CLF20">
        <v>0</v>
      </c>
      <c r="CLG20">
        <v>0</v>
      </c>
      <c r="CLH20">
        <v>0</v>
      </c>
      <c r="CLI20">
        <v>0</v>
      </c>
      <c r="CLJ20">
        <v>0</v>
      </c>
      <c r="CLK20">
        <v>0</v>
      </c>
      <c r="CLL20">
        <v>0</v>
      </c>
      <c r="CLM20">
        <v>0</v>
      </c>
      <c r="CLN20">
        <v>0</v>
      </c>
      <c r="CLO20">
        <v>0</v>
      </c>
      <c r="CLP20">
        <v>0</v>
      </c>
      <c r="CLQ20">
        <v>0</v>
      </c>
      <c r="CLR20">
        <v>0</v>
      </c>
      <c r="CLS20">
        <v>0</v>
      </c>
      <c r="CLT20">
        <v>18</v>
      </c>
      <c r="CLU20">
        <v>0</v>
      </c>
      <c r="CLV20">
        <v>0</v>
      </c>
      <c r="CLW20">
        <v>0</v>
      </c>
      <c r="CLX20">
        <v>0</v>
      </c>
      <c r="CLY20">
        <v>0</v>
      </c>
      <c r="CLZ20">
        <v>0</v>
      </c>
      <c r="CMA20">
        <v>0</v>
      </c>
      <c r="CMB20">
        <v>0</v>
      </c>
      <c r="CMC20">
        <v>0</v>
      </c>
      <c r="CMD20">
        <v>0</v>
      </c>
      <c r="CME20">
        <v>0</v>
      </c>
      <c r="CMF20">
        <v>0</v>
      </c>
      <c r="CMG20">
        <v>0</v>
      </c>
      <c r="CMH20">
        <v>0</v>
      </c>
      <c r="CMI20">
        <v>0</v>
      </c>
      <c r="CMJ20">
        <v>0</v>
      </c>
      <c r="CMK20">
        <v>0</v>
      </c>
      <c r="CML20">
        <v>0</v>
      </c>
      <c r="CMM20">
        <v>0</v>
      </c>
      <c r="CMN20">
        <v>0</v>
      </c>
      <c r="CMO20">
        <v>0</v>
      </c>
      <c r="CMP20">
        <v>0</v>
      </c>
      <c r="CMQ20">
        <v>0</v>
      </c>
      <c r="CMR20">
        <v>0</v>
      </c>
      <c r="CMS20">
        <v>0</v>
      </c>
      <c r="CMT20">
        <v>0</v>
      </c>
      <c r="CMU20">
        <v>0</v>
      </c>
      <c r="CMV20">
        <v>0</v>
      </c>
      <c r="CMW20">
        <v>0</v>
      </c>
      <c r="CMX20">
        <v>0</v>
      </c>
      <c r="CMY20">
        <v>0</v>
      </c>
      <c r="CMZ20">
        <v>0</v>
      </c>
      <c r="CNA20">
        <v>0</v>
      </c>
      <c r="CNB20">
        <v>0</v>
      </c>
      <c r="CNC20">
        <v>0</v>
      </c>
      <c r="CND20">
        <v>0</v>
      </c>
      <c r="CNE20">
        <v>0</v>
      </c>
      <c r="CNF20">
        <v>0</v>
      </c>
      <c r="CNG20">
        <v>0</v>
      </c>
      <c r="CNH20">
        <v>0</v>
      </c>
      <c r="CNI20">
        <v>0</v>
      </c>
      <c r="CNJ20">
        <v>0</v>
      </c>
      <c r="CNK20">
        <v>0</v>
      </c>
      <c r="CNL20">
        <v>0</v>
      </c>
      <c r="CNM20">
        <v>0</v>
      </c>
      <c r="CNN20">
        <v>0</v>
      </c>
      <c r="CNO20">
        <v>0</v>
      </c>
      <c r="CNP20">
        <v>0</v>
      </c>
      <c r="CNQ20">
        <v>0</v>
      </c>
      <c r="CNR20">
        <v>0</v>
      </c>
      <c r="CNS20">
        <v>0</v>
      </c>
      <c r="CNT20">
        <v>0</v>
      </c>
      <c r="CNU20">
        <v>0</v>
      </c>
      <c r="CNV20">
        <v>0</v>
      </c>
      <c r="CNW20">
        <v>0</v>
      </c>
      <c r="CNX20">
        <v>0</v>
      </c>
      <c r="CNY20">
        <v>0</v>
      </c>
      <c r="CNZ20">
        <v>0</v>
      </c>
      <c r="COA20">
        <v>0</v>
      </c>
      <c r="COB20">
        <v>0</v>
      </c>
      <c r="COC20">
        <v>12</v>
      </c>
      <c r="COD20">
        <v>0</v>
      </c>
      <c r="COE20">
        <v>0</v>
      </c>
      <c r="COF20">
        <v>0</v>
      </c>
      <c r="COG20">
        <v>0</v>
      </c>
      <c r="COH20">
        <v>0</v>
      </c>
      <c r="COI20">
        <v>0</v>
      </c>
      <c r="COJ20">
        <v>0</v>
      </c>
      <c r="COK20">
        <v>78.989999999999995</v>
      </c>
      <c r="COL20">
        <v>0</v>
      </c>
      <c r="COM20">
        <v>0</v>
      </c>
      <c r="CON20">
        <v>0</v>
      </c>
      <c r="COO20">
        <v>0</v>
      </c>
      <c r="COP20">
        <v>0</v>
      </c>
      <c r="COQ20">
        <v>36</v>
      </c>
      <c r="COR20">
        <v>0</v>
      </c>
      <c r="COS20">
        <v>0</v>
      </c>
      <c r="COT20">
        <v>0</v>
      </c>
      <c r="COU20">
        <v>0</v>
      </c>
      <c r="COV20">
        <v>0</v>
      </c>
      <c r="COW20">
        <v>0</v>
      </c>
      <c r="COX20">
        <v>0</v>
      </c>
      <c r="COY20">
        <v>0</v>
      </c>
      <c r="COZ20">
        <v>0</v>
      </c>
      <c r="CPA20">
        <v>0</v>
      </c>
      <c r="CPB20">
        <v>0</v>
      </c>
      <c r="CPC20">
        <v>11</v>
      </c>
      <c r="CPD20">
        <v>0</v>
      </c>
      <c r="CPE20">
        <v>0</v>
      </c>
      <c r="CPF20">
        <v>0</v>
      </c>
      <c r="CPG20">
        <v>0</v>
      </c>
      <c r="CPH20">
        <v>0</v>
      </c>
      <c r="CPI20">
        <v>0</v>
      </c>
      <c r="CPJ20">
        <v>0</v>
      </c>
      <c r="CPK20">
        <v>0</v>
      </c>
      <c r="CPL20">
        <v>0</v>
      </c>
      <c r="CPM20">
        <v>0</v>
      </c>
      <c r="CPN20">
        <v>0</v>
      </c>
      <c r="CPO20">
        <v>0</v>
      </c>
      <c r="CPP20">
        <v>0</v>
      </c>
      <c r="CPQ20">
        <v>0</v>
      </c>
      <c r="CPR20">
        <v>0</v>
      </c>
      <c r="CPS20">
        <v>0</v>
      </c>
      <c r="CPT20">
        <v>0</v>
      </c>
      <c r="CPU20">
        <v>0</v>
      </c>
      <c r="CPV20">
        <v>0</v>
      </c>
      <c r="CPW20">
        <v>0</v>
      </c>
      <c r="CPX20">
        <v>0</v>
      </c>
      <c r="CPY20">
        <v>0</v>
      </c>
      <c r="CPZ20">
        <v>0</v>
      </c>
      <c r="CQA20">
        <v>0</v>
      </c>
      <c r="CQB20">
        <v>0</v>
      </c>
      <c r="CQC20">
        <v>0</v>
      </c>
      <c r="CQD20">
        <v>0</v>
      </c>
      <c r="CQE20">
        <v>0</v>
      </c>
      <c r="CQF20">
        <v>0</v>
      </c>
      <c r="CQG20">
        <v>0</v>
      </c>
      <c r="CQH20">
        <v>0</v>
      </c>
      <c r="CQI20">
        <v>0</v>
      </c>
      <c r="CQJ20">
        <v>0</v>
      </c>
      <c r="CQK20">
        <v>0</v>
      </c>
      <c r="CQL20">
        <v>0</v>
      </c>
      <c r="CQM20">
        <v>0</v>
      </c>
      <c r="CQN20">
        <v>0</v>
      </c>
      <c r="CQO20">
        <v>0</v>
      </c>
      <c r="CQP20">
        <v>0</v>
      </c>
      <c r="CQQ20">
        <v>0</v>
      </c>
      <c r="CQR20">
        <v>0</v>
      </c>
      <c r="CQS20">
        <v>0</v>
      </c>
      <c r="CQT20">
        <v>0</v>
      </c>
      <c r="CQU20">
        <v>0</v>
      </c>
      <c r="CQV20">
        <v>0</v>
      </c>
      <c r="CQW20">
        <v>0</v>
      </c>
      <c r="CQX20">
        <v>0</v>
      </c>
      <c r="CQY20">
        <v>0</v>
      </c>
      <c r="CQZ20">
        <v>0</v>
      </c>
      <c r="CRA20">
        <v>0</v>
      </c>
      <c r="CRB20">
        <v>0</v>
      </c>
      <c r="CRC20">
        <v>0</v>
      </c>
      <c r="CRD20">
        <v>0</v>
      </c>
      <c r="CRE20">
        <v>0</v>
      </c>
      <c r="CRF20">
        <v>0</v>
      </c>
      <c r="CRG20">
        <v>28</v>
      </c>
      <c r="CRH20">
        <v>0</v>
      </c>
      <c r="CRI20">
        <v>48.99</v>
      </c>
      <c r="CRJ20">
        <v>0</v>
      </c>
      <c r="CRK20">
        <v>0</v>
      </c>
      <c r="CRL20">
        <v>0</v>
      </c>
      <c r="CRM20">
        <v>0</v>
      </c>
      <c r="CRN20">
        <v>0</v>
      </c>
      <c r="CRO20">
        <v>0</v>
      </c>
      <c r="CRP20">
        <v>0</v>
      </c>
      <c r="CRQ20">
        <v>0</v>
      </c>
      <c r="CRR20">
        <v>29</v>
      </c>
      <c r="CRS20">
        <v>0</v>
      </c>
      <c r="CRT20">
        <v>0</v>
      </c>
      <c r="CRU20">
        <v>0</v>
      </c>
      <c r="CRV20">
        <v>0</v>
      </c>
      <c r="CRW20">
        <v>0</v>
      </c>
      <c r="CRX20">
        <v>0</v>
      </c>
      <c r="CRY20">
        <v>0</v>
      </c>
      <c r="CRZ20">
        <v>0</v>
      </c>
      <c r="CSA20">
        <v>0</v>
      </c>
      <c r="CSB20">
        <v>0</v>
      </c>
      <c r="CSC20">
        <v>43</v>
      </c>
      <c r="CSD20">
        <v>0</v>
      </c>
      <c r="CSE20">
        <v>88</v>
      </c>
      <c r="CSF20">
        <v>0</v>
      </c>
      <c r="CSG20">
        <v>0</v>
      </c>
      <c r="CSH20">
        <v>0</v>
      </c>
      <c r="CSI20">
        <v>0</v>
      </c>
      <c r="CSJ20">
        <v>0</v>
      </c>
      <c r="CSK20">
        <v>0</v>
      </c>
      <c r="CSL20">
        <v>0</v>
      </c>
      <c r="CSM20">
        <v>0</v>
      </c>
      <c r="CSN20">
        <v>0</v>
      </c>
      <c r="CSO20">
        <v>36</v>
      </c>
      <c r="CSP20">
        <v>0</v>
      </c>
      <c r="CSQ20">
        <v>0</v>
      </c>
      <c r="CSR20">
        <v>0</v>
      </c>
      <c r="CSS20">
        <v>0</v>
      </c>
      <c r="CST20">
        <v>0</v>
      </c>
      <c r="CSU20">
        <v>0</v>
      </c>
      <c r="CSV20">
        <v>0</v>
      </c>
      <c r="CSW20">
        <v>0</v>
      </c>
      <c r="CSX20">
        <v>0</v>
      </c>
      <c r="CSY20">
        <v>0</v>
      </c>
      <c r="CSZ20">
        <v>0</v>
      </c>
      <c r="CTA20">
        <v>0</v>
      </c>
      <c r="CTB20">
        <v>0</v>
      </c>
      <c r="CTC20">
        <v>0</v>
      </c>
      <c r="CTD20">
        <v>0</v>
      </c>
      <c r="CTE20">
        <v>0</v>
      </c>
      <c r="CTF20">
        <v>0</v>
      </c>
      <c r="CTG20">
        <v>0</v>
      </c>
      <c r="CTH20">
        <v>0</v>
      </c>
      <c r="CTI20">
        <v>0</v>
      </c>
      <c r="CTJ20">
        <v>0</v>
      </c>
      <c r="CTK20">
        <v>0</v>
      </c>
      <c r="CTL20">
        <v>0</v>
      </c>
      <c r="CTM20">
        <v>0</v>
      </c>
      <c r="CTN20">
        <v>0</v>
      </c>
      <c r="CTO20">
        <v>0</v>
      </c>
      <c r="CTP20">
        <v>0</v>
      </c>
      <c r="CTQ20">
        <v>0</v>
      </c>
      <c r="CTR20">
        <v>0</v>
      </c>
      <c r="CTS20">
        <v>0</v>
      </c>
      <c r="CTT20">
        <v>0</v>
      </c>
      <c r="CTU20">
        <v>0</v>
      </c>
      <c r="CTV20">
        <v>0</v>
      </c>
      <c r="CTW20">
        <v>0</v>
      </c>
      <c r="CTX20">
        <v>0</v>
      </c>
      <c r="CTY20">
        <v>0</v>
      </c>
      <c r="CTZ20">
        <v>0</v>
      </c>
      <c r="CUA20">
        <v>0</v>
      </c>
      <c r="CUB20">
        <v>0</v>
      </c>
      <c r="CUC20">
        <v>0</v>
      </c>
      <c r="CUD20">
        <v>0</v>
      </c>
      <c r="CUE20">
        <v>0</v>
      </c>
      <c r="CUF20">
        <v>0</v>
      </c>
      <c r="CUG20">
        <v>0</v>
      </c>
      <c r="CUH20">
        <v>93</v>
      </c>
      <c r="CUI20">
        <v>0</v>
      </c>
      <c r="CUJ20">
        <v>0</v>
      </c>
      <c r="CUK20">
        <v>0</v>
      </c>
      <c r="CUL20">
        <v>0</v>
      </c>
      <c r="CUM20">
        <v>0</v>
      </c>
      <c r="CUN20">
        <v>0</v>
      </c>
      <c r="CUO20">
        <v>0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UX20">
        <v>0</v>
      </c>
      <c r="CUY20">
        <v>0</v>
      </c>
      <c r="CUZ20">
        <v>0</v>
      </c>
      <c r="CVA20">
        <v>0</v>
      </c>
      <c r="CVB20">
        <v>0</v>
      </c>
      <c r="CVC20">
        <v>0</v>
      </c>
      <c r="CVD20">
        <v>0</v>
      </c>
      <c r="CVE20">
        <v>0</v>
      </c>
      <c r="CVF20">
        <v>15</v>
      </c>
      <c r="CVG20">
        <v>0</v>
      </c>
      <c r="CVH20">
        <v>0</v>
      </c>
      <c r="CVI20">
        <v>0</v>
      </c>
      <c r="CVJ20">
        <v>0</v>
      </c>
      <c r="CVK20">
        <v>95.99</v>
      </c>
      <c r="CVL20">
        <v>0</v>
      </c>
      <c r="CVM20">
        <v>0</v>
      </c>
      <c r="CVN20">
        <v>0</v>
      </c>
      <c r="CVO20">
        <v>0</v>
      </c>
      <c r="CVP20">
        <v>0</v>
      </c>
      <c r="CVQ20">
        <v>0</v>
      </c>
      <c r="CVR20">
        <v>0</v>
      </c>
      <c r="CVS20">
        <v>0</v>
      </c>
      <c r="CVT20">
        <v>0</v>
      </c>
      <c r="CVU20">
        <v>0</v>
      </c>
      <c r="CVV20">
        <v>0</v>
      </c>
      <c r="CVW20">
        <v>0</v>
      </c>
      <c r="CVX20">
        <v>0</v>
      </c>
      <c r="CVY20">
        <v>0</v>
      </c>
      <c r="CVZ20">
        <v>0</v>
      </c>
      <c r="CWA20">
        <v>0</v>
      </c>
      <c r="CWB20">
        <v>0</v>
      </c>
      <c r="CWC20">
        <v>0</v>
      </c>
      <c r="CWD20">
        <v>0</v>
      </c>
      <c r="CWE20">
        <v>0</v>
      </c>
      <c r="CWF20">
        <v>0</v>
      </c>
      <c r="CWG20">
        <v>0</v>
      </c>
      <c r="CWH20">
        <v>97.99</v>
      </c>
      <c r="CWI20">
        <v>0</v>
      </c>
      <c r="CWJ20">
        <v>0</v>
      </c>
      <c r="CWK20">
        <v>0</v>
      </c>
      <c r="CWL20">
        <v>0</v>
      </c>
      <c r="CWM20">
        <v>0</v>
      </c>
      <c r="CWN20">
        <v>0</v>
      </c>
      <c r="CWO20">
        <v>0</v>
      </c>
      <c r="CWP20">
        <v>0</v>
      </c>
      <c r="CWQ20">
        <v>0</v>
      </c>
      <c r="CWR20">
        <v>0</v>
      </c>
      <c r="CWS20">
        <v>0</v>
      </c>
      <c r="CWT20">
        <v>0</v>
      </c>
      <c r="CWU20">
        <v>0</v>
      </c>
      <c r="CWV20">
        <v>0</v>
      </c>
      <c r="CWW20">
        <v>0</v>
      </c>
      <c r="CWX20">
        <v>0</v>
      </c>
      <c r="CWY20">
        <v>0</v>
      </c>
      <c r="CWZ20">
        <v>0</v>
      </c>
      <c r="CXA20">
        <v>0</v>
      </c>
      <c r="CXB20">
        <v>0</v>
      </c>
      <c r="CXC20">
        <v>0</v>
      </c>
      <c r="CXD20">
        <v>0</v>
      </c>
      <c r="CXE20">
        <v>0</v>
      </c>
      <c r="CXF20">
        <v>0</v>
      </c>
      <c r="CXG20">
        <v>0</v>
      </c>
      <c r="CXH20">
        <v>0</v>
      </c>
      <c r="CXI20">
        <v>0</v>
      </c>
      <c r="CXJ20">
        <v>0</v>
      </c>
      <c r="CXK20">
        <v>0</v>
      </c>
      <c r="CXL20">
        <v>0</v>
      </c>
      <c r="CXM20">
        <v>0</v>
      </c>
      <c r="CXN20">
        <v>0</v>
      </c>
      <c r="CXO20">
        <v>0</v>
      </c>
      <c r="CXP20">
        <v>0</v>
      </c>
      <c r="CXQ20">
        <v>0</v>
      </c>
      <c r="CXR20">
        <v>0</v>
      </c>
      <c r="CXS20">
        <v>0</v>
      </c>
      <c r="CXT20">
        <v>0</v>
      </c>
      <c r="CXU20">
        <v>0</v>
      </c>
      <c r="CXV20">
        <v>0</v>
      </c>
      <c r="CXW20">
        <v>0</v>
      </c>
      <c r="CXX20">
        <v>0</v>
      </c>
      <c r="CXY20">
        <v>0</v>
      </c>
      <c r="CXZ20">
        <v>30</v>
      </c>
      <c r="CYA20">
        <v>0</v>
      </c>
      <c r="CYB20">
        <v>0</v>
      </c>
      <c r="CYC20">
        <v>0</v>
      </c>
      <c r="CYD20">
        <v>0</v>
      </c>
      <c r="CYE20">
        <v>43</v>
      </c>
      <c r="CYF20">
        <v>0</v>
      </c>
      <c r="CYG20">
        <v>0</v>
      </c>
      <c r="CYH20">
        <v>0</v>
      </c>
      <c r="CYI20">
        <v>0</v>
      </c>
      <c r="CYJ20">
        <v>0</v>
      </c>
      <c r="CYK20">
        <v>0</v>
      </c>
      <c r="CYL20">
        <v>0</v>
      </c>
      <c r="CYM20">
        <v>0</v>
      </c>
      <c r="CYN20">
        <v>0</v>
      </c>
      <c r="CYO20">
        <v>0</v>
      </c>
      <c r="CYP20">
        <v>0</v>
      </c>
      <c r="CYQ20">
        <v>0</v>
      </c>
      <c r="CYR20">
        <v>0</v>
      </c>
      <c r="CYS20">
        <v>0</v>
      </c>
      <c r="CYT20">
        <v>0</v>
      </c>
      <c r="CYU20">
        <v>0</v>
      </c>
      <c r="CYV20">
        <v>0</v>
      </c>
      <c r="CYW20">
        <v>0</v>
      </c>
      <c r="CYX20">
        <v>0</v>
      </c>
      <c r="CYY20">
        <v>0</v>
      </c>
      <c r="CYZ20">
        <v>0</v>
      </c>
      <c r="CZA20">
        <v>0</v>
      </c>
      <c r="CZB20">
        <v>0</v>
      </c>
      <c r="CZC20">
        <v>0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0</v>
      </c>
      <c r="CZJ20">
        <v>0</v>
      </c>
      <c r="CZK20">
        <v>0</v>
      </c>
      <c r="CZL20">
        <v>0</v>
      </c>
      <c r="CZM20">
        <v>0</v>
      </c>
      <c r="CZN20">
        <v>0</v>
      </c>
      <c r="CZO20">
        <v>0</v>
      </c>
      <c r="CZP20">
        <v>0</v>
      </c>
      <c r="CZQ20">
        <v>0</v>
      </c>
      <c r="CZR20">
        <v>0</v>
      </c>
      <c r="CZS20">
        <v>0</v>
      </c>
      <c r="CZT20">
        <v>0</v>
      </c>
      <c r="CZU20">
        <v>0</v>
      </c>
      <c r="CZV20">
        <v>0</v>
      </c>
      <c r="CZW20">
        <v>0</v>
      </c>
      <c r="CZX20">
        <v>0</v>
      </c>
      <c r="CZY20">
        <v>0</v>
      </c>
      <c r="CZZ20">
        <v>0</v>
      </c>
      <c r="DAA20">
        <v>0</v>
      </c>
      <c r="DAB20">
        <v>0</v>
      </c>
      <c r="DAC20">
        <v>0</v>
      </c>
      <c r="DAD20">
        <v>0</v>
      </c>
      <c r="DAE20">
        <v>0</v>
      </c>
      <c r="DAF20">
        <v>0</v>
      </c>
      <c r="DAG20">
        <v>0</v>
      </c>
      <c r="DAH20">
        <v>0</v>
      </c>
      <c r="DAI20">
        <v>0</v>
      </c>
      <c r="DAJ20">
        <v>0</v>
      </c>
      <c r="DAK20">
        <v>0</v>
      </c>
      <c r="DAL20">
        <v>0</v>
      </c>
      <c r="DAM20">
        <v>0</v>
      </c>
      <c r="DAN20">
        <v>0</v>
      </c>
      <c r="DAO20">
        <v>0</v>
      </c>
      <c r="DAP20">
        <v>0</v>
      </c>
      <c r="DAQ20">
        <v>0</v>
      </c>
      <c r="DAR20">
        <v>0</v>
      </c>
      <c r="DAS20">
        <v>0</v>
      </c>
      <c r="DAT20">
        <v>0</v>
      </c>
      <c r="DAU20">
        <v>97.99</v>
      </c>
      <c r="DAV20">
        <v>0</v>
      </c>
      <c r="DAW20">
        <v>0</v>
      </c>
      <c r="DAX20">
        <v>0</v>
      </c>
      <c r="DAY20">
        <v>0</v>
      </c>
      <c r="DAZ20">
        <v>23</v>
      </c>
      <c r="DBA20">
        <v>0</v>
      </c>
      <c r="DBB20">
        <v>0</v>
      </c>
      <c r="DBC20">
        <v>0</v>
      </c>
      <c r="DBD20">
        <v>0</v>
      </c>
      <c r="DBE20">
        <v>109.99</v>
      </c>
      <c r="DBF20">
        <v>0</v>
      </c>
      <c r="DBG20">
        <v>0</v>
      </c>
      <c r="DBH20">
        <v>0</v>
      </c>
      <c r="DBI20">
        <v>0</v>
      </c>
      <c r="DBJ20">
        <v>27</v>
      </c>
      <c r="DBK20">
        <v>0</v>
      </c>
      <c r="DBL20">
        <v>0</v>
      </c>
      <c r="DBM20">
        <v>0</v>
      </c>
      <c r="DBN20">
        <v>0</v>
      </c>
      <c r="DBO20">
        <v>0</v>
      </c>
      <c r="DBP20">
        <v>0</v>
      </c>
      <c r="DBQ20">
        <v>0</v>
      </c>
      <c r="DBR20">
        <v>0</v>
      </c>
      <c r="DBS20">
        <v>0</v>
      </c>
      <c r="DBT20">
        <v>0</v>
      </c>
      <c r="DBU20">
        <v>0</v>
      </c>
      <c r="DBV20">
        <v>0</v>
      </c>
      <c r="DBW20">
        <v>0</v>
      </c>
      <c r="DBX20">
        <v>0</v>
      </c>
      <c r="DBY20">
        <v>0</v>
      </c>
      <c r="DBZ20">
        <v>0</v>
      </c>
      <c r="DCA20">
        <v>0</v>
      </c>
      <c r="DCB20">
        <v>0</v>
      </c>
      <c r="DCC20">
        <v>0</v>
      </c>
      <c r="DCD20">
        <v>0</v>
      </c>
      <c r="DCE20">
        <v>0</v>
      </c>
      <c r="DCF20">
        <v>0</v>
      </c>
      <c r="DCG20">
        <v>0</v>
      </c>
      <c r="DCH20">
        <v>0</v>
      </c>
      <c r="DCI20">
        <v>0</v>
      </c>
      <c r="DCJ20">
        <v>0</v>
      </c>
      <c r="DCK20">
        <v>0</v>
      </c>
      <c r="DCL20">
        <v>0</v>
      </c>
      <c r="DCM20">
        <v>0</v>
      </c>
      <c r="DCN20">
        <v>0</v>
      </c>
      <c r="DCO20">
        <v>0</v>
      </c>
      <c r="DCP20">
        <v>0</v>
      </c>
      <c r="DCQ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0</v>
      </c>
      <c r="DCZ20">
        <v>0</v>
      </c>
      <c r="DDA20">
        <v>0</v>
      </c>
      <c r="DDB20">
        <v>0</v>
      </c>
      <c r="DDC20">
        <v>0</v>
      </c>
      <c r="DDD20">
        <v>0</v>
      </c>
      <c r="DDE20">
        <v>0</v>
      </c>
      <c r="DDF20">
        <v>0</v>
      </c>
      <c r="DDG20">
        <v>0</v>
      </c>
      <c r="DDH20">
        <v>0</v>
      </c>
      <c r="DDI20">
        <v>0</v>
      </c>
      <c r="DDJ20">
        <v>0</v>
      </c>
      <c r="DDK20">
        <v>0</v>
      </c>
      <c r="DDL20">
        <v>0</v>
      </c>
      <c r="DDM20">
        <v>0</v>
      </c>
      <c r="DDN20">
        <v>0</v>
      </c>
      <c r="DDO20">
        <v>0</v>
      </c>
      <c r="DDP20">
        <v>0</v>
      </c>
      <c r="DDQ20">
        <v>0</v>
      </c>
      <c r="DDR20">
        <v>0</v>
      </c>
      <c r="DDS20">
        <v>0</v>
      </c>
      <c r="DDT20">
        <v>0</v>
      </c>
      <c r="DDU20">
        <v>0</v>
      </c>
      <c r="DDV20">
        <v>0</v>
      </c>
      <c r="DDW20">
        <v>0</v>
      </c>
      <c r="DDX20">
        <v>0</v>
      </c>
      <c r="DDY20">
        <v>0</v>
      </c>
      <c r="DDZ20">
        <v>0</v>
      </c>
      <c r="DEA20">
        <v>0</v>
      </c>
      <c r="DEB20">
        <v>25</v>
      </c>
      <c r="DEC20">
        <v>0</v>
      </c>
      <c r="DED20">
        <v>0</v>
      </c>
      <c r="DEE20">
        <v>0</v>
      </c>
      <c r="DEF20">
        <v>0</v>
      </c>
      <c r="DEG20">
        <v>0</v>
      </c>
      <c r="DEH20">
        <v>0</v>
      </c>
      <c r="DEI20">
        <v>0</v>
      </c>
      <c r="DEJ20">
        <v>0</v>
      </c>
      <c r="DEK20">
        <v>0</v>
      </c>
      <c r="DEL20">
        <v>0</v>
      </c>
      <c r="DEM20">
        <v>34</v>
      </c>
      <c r="DEN20">
        <v>119</v>
      </c>
      <c r="DEO20">
        <v>0</v>
      </c>
      <c r="DEP20">
        <v>89.99</v>
      </c>
      <c r="DEQ20">
        <v>0</v>
      </c>
      <c r="DER20">
        <v>0</v>
      </c>
      <c r="DES20">
        <v>0</v>
      </c>
      <c r="DET20">
        <v>0</v>
      </c>
      <c r="DEU20">
        <v>0</v>
      </c>
      <c r="DEV20">
        <v>0</v>
      </c>
      <c r="DEW20">
        <v>0</v>
      </c>
      <c r="DEX20">
        <v>0</v>
      </c>
      <c r="DEY20">
        <v>0</v>
      </c>
      <c r="DEZ20">
        <v>0</v>
      </c>
      <c r="DFA20">
        <v>0</v>
      </c>
      <c r="DFB20">
        <v>0</v>
      </c>
      <c r="DFC20">
        <v>0</v>
      </c>
      <c r="DFD20">
        <v>0</v>
      </c>
      <c r="DFE20">
        <v>0</v>
      </c>
      <c r="DFF20">
        <v>0</v>
      </c>
      <c r="DFG20">
        <v>0</v>
      </c>
      <c r="DFH20">
        <v>0</v>
      </c>
      <c r="DFI20">
        <v>0</v>
      </c>
      <c r="DFJ20">
        <v>0</v>
      </c>
      <c r="DFK20">
        <v>0</v>
      </c>
      <c r="DFL20">
        <v>0</v>
      </c>
      <c r="DFM20">
        <v>0</v>
      </c>
      <c r="DFN20">
        <v>0</v>
      </c>
      <c r="DFO20">
        <v>0</v>
      </c>
      <c r="DFP20">
        <v>0</v>
      </c>
      <c r="DFQ20">
        <v>0</v>
      </c>
      <c r="DFR20">
        <v>0</v>
      </c>
      <c r="DFS20">
        <v>0</v>
      </c>
      <c r="DFT20">
        <v>0</v>
      </c>
      <c r="DFU20">
        <v>0</v>
      </c>
      <c r="DFV20">
        <v>0</v>
      </c>
      <c r="DFW20">
        <v>0</v>
      </c>
      <c r="DFX20">
        <v>0</v>
      </c>
      <c r="DFY20">
        <v>0</v>
      </c>
      <c r="DFZ20">
        <v>0</v>
      </c>
      <c r="DGA20">
        <v>0</v>
      </c>
      <c r="DGB20">
        <v>0</v>
      </c>
      <c r="DGC20">
        <v>16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0</v>
      </c>
      <c r="DGJ20">
        <v>0</v>
      </c>
      <c r="DGK20">
        <v>0</v>
      </c>
      <c r="DGL20">
        <v>0</v>
      </c>
      <c r="DGM20">
        <v>75</v>
      </c>
      <c r="DGN20">
        <v>0</v>
      </c>
      <c r="DGO20">
        <v>0</v>
      </c>
      <c r="DGP20">
        <v>0</v>
      </c>
      <c r="DGQ20">
        <v>0</v>
      </c>
      <c r="DGR20">
        <v>0</v>
      </c>
      <c r="DGS20">
        <v>0</v>
      </c>
      <c r="DGT20">
        <v>0</v>
      </c>
      <c r="DGU20">
        <v>0</v>
      </c>
      <c r="DGV20">
        <v>0</v>
      </c>
      <c r="DGW20">
        <v>0</v>
      </c>
      <c r="DGX20">
        <v>0</v>
      </c>
      <c r="DGY20">
        <v>0</v>
      </c>
      <c r="DGZ20">
        <v>0</v>
      </c>
      <c r="DHA20">
        <v>0</v>
      </c>
      <c r="DHB20">
        <v>0</v>
      </c>
      <c r="DHC20">
        <v>0</v>
      </c>
      <c r="DHD20">
        <v>0</v>
      </c>
      <c r="DHE20">
        <v>0</v>
      </c>
      <c r="DHF20">
        <v>0</v>
      </c>
      <c r="DHG20">
        <v>0</v>
      </c>
      <c r="DHH20">
        <v>0</v>
      </c>
      <c r="DHI20">
        <v>0</v>
      </c>
      <c r="DHJ20">
        <v>0</v>
      </c>
      <c r="DHK20">
        <v>0</v>
      </c>
      <c r="DHL20">
        <v>0</v>
      </c>
      <c r="DHM20">
        <v>92</v>
      </c>
      <c r="DHN20">
        <v>0</v>
      </c>
      <c r="DHO20">
        <v>0</v>
      </c>
      <c r="DHP20">
        <v>0</v>
      </c>
      <c r="DHQ20">
        <v>0</v>
      </c>
      <c r="DHR20">
        <v>0</v>
      </c>
      <c r="DHS20">
        <v>0</v>
      </c>
      <c r="DHT20">
        <v>82</v>
      </c>
      <c r="DHU20">
        <v>0</v>
      </c>
      <c r="DHV20">
        <v>0</v>
      </c>
      <c r="DHW20">
        <v>0</v>
      </c>
      <c r="DHX20">
        <v>12</v>
      </c>
      <c r="DHY20">
        <v>0</v>
      </c>
      <c r="DHZ20">
        <v>0</v>
      </c>
      <c r="DIA20">
        <v>98</v>
      </c>
      <c r="DIB20">
        <v>0</v>
      </c>
      <c r="DIC20">
        <v>0</v>
      </c>
      <c r="DID20">
        <v>0</v>
      </c>
      <c r="DIE20">
        <v>0</v>
      </c>
      <c r="DIF20">
        <v>0</v>
      </c>
      <c r="DIG20">
        <v>0</v>
      </c>
      <c r="DIH20">
        <v>0</v>
      </c>
      <c r="DII20">
        <v>0</v>
      </c>
      <c r="DIJ20">
        <v>0</v>
      </c>
      <c r="DIK20">
        <v>0</v>
      </c>
      <c r="DIL20">
        <v>0</v>
      </c>
      <c r="DIM20">
        <v>0</v>
      </c>
      <c r="DIN20">
        <v>0</v>
      </c>
      <c r="DIO20">
        <v>0</v>
      </c>
      <c r="DIP20">
        <v>0</v>
      </c>
      <c r="DIQ20">
        <v>0</v>
      </c>
      <c r="DIR20">
        <v>0</v>
      </c>
      <c r="DIS20">
        <v>0</v>
      </c>
      <c r="DIT20">
        <v>0</v>
      </c>
      <c r="DIU20">
        <v>0</v>
      </c>
      <c r="DIV20">
        <v>0</v>
      </c>
      <c r="DIW20">
        <v>0</v>
      </c>
      <c r="DIX20">
        <v>0</v>
      </c>
      <c r="DIY20">
        <v>0</v>
      </c>
      <c r="DIZ20">
        <v>0</v>
      </c>
      <c r="DJA20">
        <v>0</v>
      </c>
      <c r="DJB20">
        <v>0</v>
      </c>
      <c r="DJC20">
        <v>0</v>
      </c>
      <c r="DJD20">
        <v>0</v>
      </c>
      <c r="DJE20">
        <v>0</v>
      </c>
      <c r="DJF20">
        <v>0</v>
      </c>
      <c r="DJG20">
        <v>0</v>
      </c>
      <c r="DJH20">
        <v>0</v>
      </c>
      <c r="DJI20">
        <v>0</v>
      </c>
      <c r="DJJ20">
        <v>0</v>
      </c>
      <c r="DJK20">
        <v>0</v>
      </c>
      <c r="DJL20">
        <v>0</v>
      </c>
      <c r="DJM20">
        <v>0</v>
      </c>
      <c r="DJN20">
        <v>0</v>
      </c>
      <c r="DJO20">
        <v>0</v>
      </c>
      <c r="DJP20">
        <v>0</v>
      </c>
      <c r="DJQ20">
        <v>0</v>
      </c>
      <c r="DJR20">
        <v>0</v>
      </c>
      <c r="DJS20">
        <v>0</v>
      </c>
      <c r="DJT20">
        <v>0</v>
      </c>
      <c r="DJU20">
        <v>48</v>
      </c>
      <c r="DJV20">
        <v>0</v>
      </c>
      <c r="DJW20">
        <v>0</v>
      </c>
      <c r="DJX20">
        <v>0</v>
      </c>
      <c r="DJY20">
        <v>0</v>
      </c>
      <c r="DJZ20">
        <v>0</v>
      </c>
      <c r="DKA20">
        <v>0</v>
      </c>
      <c r="DKB20">
        <v>0</v>
      </c>
      <c r="DKC20">
        <v>0</v>
      </c>
      <c r="DKD20">
        <v>0</v>
      </c>
      <c r="DKE20">
        <v>0</v>
      </c>
      <c r="DKF20">
        <v>0</v>
      </c>
      <c r="DKG20">
        <v>0</v>
      </c>
      <c r="DKH20">
        <v>0</v>
      </c>
      <c r="DKI20">
        <v>0</v>
      </c>
      <c r="DKJ20">
        <v>0</v>
      </c>
      <c r="DKK20">
        <v>0</v>
      </c>
      <c r="DKL20">
        <v>0</v>
      </c>
      <c r="DKM20">
        <v>0</v>
      </c>
      <c r="DKN20">
        <v>0</v>
      </c>
      <c r="DKO20">
        <v>0</v>
      </c>
      <c r="DKP20">
        <v>0</v>
      </c>
      <c r="DKQ20">
        <v>0</v>
      </c>
      <c r="DKR20">
        <v>0</v>
      </c>
      <c r="DKS20">
        <v>0</v>
      </c>
      <c r="DKT20">
        <v>0</v>
      </c>
      <c r="DKU20">
        <v>0</v>
      </c>
      <c r="DKV20">
        <v>0</v>
      </c>
      <c r="DKW20">
        <v>0</v>
      </c>
      <c r="DKX20">
        <v>0</v>
      </c>
      <c r="DKY20">
        <v>0</v>
      </c>
      <c r="DKZ20">
        <v>0</v>
      </c>
      <c r="DLA20">
        <v>0</v>
      </c>
      <c r="DLB20">
        <v>0</v>
      </c>
      <c r="DLC20">
        <v>0</v>
      </c>
      <c r="DLD20">
        <v>0</v>
      </c>
      <c r="DLE20">
        <v>0</v>
      </c>
      <c r="DLF20">
        <v>0</v>
      </c>
      <c r="DLG20">
        <v>0</v>
      </c>
      <c r="DLH20">
        <v>0</v>
      </c>
      <c r="DLI20">
        <v>0</v>
      </c>
      <c r="DLJ20">
        <v>0</v>
      </c>
      <c r="DLK20">
        <v>0</v>
      </c>
      <c r="DLL20">
        <v>0</v>
      </c>
      <c r="DLM20">
        <v>0</v>
      </c>
      <c r="DLN20">
        <v>0</v>
      </c>
      <c r="DLO20">
        <v>0</v>
      </c>
      <c r="DLP20">
        <v>0</v>
      </c>
      <c r="DLQ20">
        <v>0</v>
      </c>
      <c r="DLR20">
        <v>0</v>
      </c>
      <c r="DLS20">
        <v>0</v>
      </c>
      <c r="DLT20">
        <v>0</v>
      </c>
      <c r="DLU20">
        <v>0</v>
      </c>
      <c r="DLV20">
        <v>0</v>
      </c>
      <c r="DLW20">
        <v>17</v>
      </c>
      <c r="DLX20">
        <v>0</v>
      </c>
      <c r="DLY20">
        <v>0</v>
      </c>
      <c r="DLZ20">
        <v>0</v>
      </c>
      <c r="DMA20">
        <v>0</v>
      </c>
      <c r="DMB20">
        <v>0</v>
      </c>
      <c r="DMC20">
        <v>0</v>
      </c>
      <c r="DMD20">
        <v>0</v>
      </c>
      <c r="DME20">
        <v>0</v>
      </c>
      <c r="DMF20">
        <v>0</v>
      </c>
      <c r="DMG20">
        <v>0</v>
      </c>
      <c r="DMH20">
        <v>0</v>
      </c>
      <c r="DMI20">
        <v>0</v>
      </c>
      <c r="DMJ20">
        <v>0</v>
      </c>
      <c r="DMK20">
        <v>0</v>
      </c>
      <c r="DML20">
        <v>0</v>
      </c>
      <c r="DMM20">
        <v>0</v>
      </c>
      <c r="DMN20">
        <v>0</v>
      </c>
      <c r="DMO20">
        <v>0</v>
      </c>
      <c r="DMP20">
        <v>0</v>
      </c>
      <c r="DMQ20">
        <v>0</v>
      </c>
      <c r="DMR20">
        <v>0</v>
      </c>
      <c r="DMS20">
        <v>0</v>
      </c>
      <c r="DMT20">
        <v>0</v>
      </c>
      <c r="DMU20">
        <v>0</v>
      </c>
      <c r="DMV20">
        <v>0</v>
      </c>
      <c r="DMW20">
        <v>0</v>
      </c>
      <c r="DMX20">
        <v>100</v>
      </c>
      <c r="DMY20">
        <v>0</v>
      </c>
      <c r="DMZ20">
        <v>0</v>
      </c>
      <c r="DNA20">
        <v>0</v>
      </c>
      <c r="DNB20">
        <v>0</v>
      </c>
      <c r="DNC20">
        <v>0</v>
      </c>
      <c r="DND20">
        <v>0</v>
      </c>
      <c r="DNE20">
        <v>0</v>
      </c>
      <c r="DNF20">
        <v>0</v>
      </c>
      <c r="DNG20">
        <v>0</v>
      </c>
      <c r="DNH20">
        <v>45</v>
      </c>
      <c r="DNI20">
        <v>0</v>
      </c>
      <c r="DNJ20">
        <v>0</v>
      </c>
      <c r="DNK20">
        <v>0</v>
      </c>
      <c r="DNL20">
        <v>72.989999999999995</v>
      </c>
      <c r="DNM20">
        <v>0</v>
      </c>
      <c r="DNN20">
        <v>0</v>
      </c>
      <c r="DNO20">
        <v>0</v>
      </c>
      <c r="DNP20">
        <v>0</v>
      </c>
      <c r="DNQ20">
        <v>0</v>
      </c>
      <c r="DNR20">
        <v>0</v>
      </c>
      <c r="DNS20">
        <v>0</v>
      </c>
      <c r="DNT20">
        <v>0</v>
      </c>
      <c r="DNU20">
        <v>0</v>
      </c>
      <c r="DNV20">
        <v>0</v>
      </c>
      <c r="DNW20">
        <v>0</v>
      </c>
      <c r="DNX20">
        <v>0</v>
      </c>
      <c r="DNY20">
        <v>0</v>
      </c>
      <c r="DNZ20">
        <v>0</v>
      </c>
      <c r="DOA20">
        <v>0</v>
      </c>
      <c r="DOB20">
        <v>0</v>
      </c>
      <c r="DOC20">
        <v>0</v>
      </c>
      <c r="DOD20">
        <v>0</v>
      </c>
      <c r="DOE20">
        <v>0</v>
      </c>
      <c r="DOF20">
        <v>0</v>
      </c>
      <c r="DOG20">
        <v>0</v>
      </c>
      <c r="DOH20">
        <v>0</v>
      </c>
      <c r="DOI20">
        <v>0</v>
      </c>
      <c r="DOJ20">
        <v>0</v>
      </c>
      <c r="DOK20">
        <v>0</v>
      </c>
      <c r="DOL20">
        <v>0</v>
      </c>
      <c r="DOM20">
        <v>0</v>
      </c>
      <c r="DON20">
        <v>0</v>
      </c>
      <c r="DOO20">
        <v>154</v>
      </c>
      <c r="DOP20">
        <v>0</v>
      </c>
      <c r="DOQ20">
        <v>0</v>
      </c>
      <c r="DOR20">
        <v>0</v>
      </c>
      <c r="DOS20">
        <v>0</v>
      </c>
      <c r="DOT20">
        <v>0</v>
      </c>
      <c r="DOU20">
        <v>0</v>
      </c>
      <c r="DOV20">
        <v>0</v>
      </c>
      <c r="DOW20">
        <v>0</v>
      </c>
      <c r="DOX20">
        <v>0</v>
      </c>
      <c r="DOY20">
        <v>0</v>
      </c>
      <c r="DOZ20">
        <v>0</v>
      </c>
      <c r="DPA20">
        <v>0</v>
      </c>
      <c r="DPB20">
        <v>0</v>
      </c>
      <c r="DPC20">
        <v>0</v>
      </c>
      <c r="DPD20">
        <v>29</v>
      </c>
      <c r="DPE20">
        <v>0</v>
      </c>
      <c r="DPF20">
        <v>0</v>
      </c>
      <c r="DPG20">
        <v>0</v>
      </c>
      <c r="DPH20">
        <v>0</v>
      </c>
      <c r="DPI20">
        <v>0</v>
      </c>
      <c r="DPJ20">
        <v>0</v>
      </c>
      <c r="DPK20">
        <v>0</v>
      </c>
      <c r="DPL20">
        <v>0</v>
      </c>
      <c r="DPM20">
        <v>0</v>
      </c>
      <c r="DPN20">
        <v>0</v>
      </c>
      <c r="DPO20">
        <v>0</v>
      </c>
      <c r="DPP20">
        <v>0</v>
      </c>
      <c r="DPQ20">
        <v>0</v>
      </c>
      <c r="DPR20">
        <v>0</v>
      </c>
      <c r="DPS20">
        <v>0</v>
      </c>
      <c r="DPT20">
        <v>0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0</v>
      </c>
      <c r="DQA20">
        <v>0</v>
      </c>
      <c r="DQB20">
        <v>0</v>
      </c>
      <c r="DQC20">
        <v>0</v>
      </c>
      <c r="DQD20">
        <v>0</v>
      </c>
      <c r="DQE20">
        <v>0</v>
      </c>
      <c r="DQF20">
        <v>0</v>
      </c>
      <c r="DQG20">
        <v>0</v>
      </c>
      <c r="DQH20">
        <v>0</v>
      </c>
      <c r="DQI20">
        <v>0</v>
      </c>
      <c r="DQJ20">
        <v>0</v>
      </c>
      <c r="DQK20">
        <v>0</v>
      </c>
      <c r="DQL20">
        <v>0</v>
      </c>
      <c r="DQM20">
        <v>0</v>
      </c>
      <c r="DQN20">
        <v>0</v>
      </c>
      <c r="DQO20">
        <v>0</v>
      </c>
      <c r="DQP20">
        <v>0</v>
      </c>
      <c r="DQQ20">
        <v>0</v>
      </c>
      <c r="DQR20">
        <v>0</v>
      </c>
      <c r="DQS20">
        <v>0</v>
      </c>
      <c r="DQT20">
        <v>0</v>
      </c>
      <c r="DQU20">
        <v>0</v>
      </c>
      <c r="DQV20">
        <v>0</v>
      </c>
      <c r="DQW20">
        <v>0</v>
      </c>
      <c r="DQX20">
        <v>0</v>
      </c>
      <c r="DQY20">
        <v>0</v>
      </c>
      <c r="DQZ20">
        <v>0</v>
      </c>
      <c r="DRA20">
        <v>166</v>
      </c>
      <c r="DRB20">
        <v>0</v>
      </c>
      <c r="DRC20">
        <v>0</v>
      </c>
      <c r="DRD20">
        <v>0</v>
      </c>
      <c r="DRE20">
        <v>0</v>
      </c>
      <c r="DRF20">
        <v>0</v>
      </c>
      <c r="DRG20">
        <v>0</v>
      </c>
      <c r="DRH20">
        <v>0</v>
      </c>
      <c r="DRI20">
        <v>0</v>
      </c>
      <c r="DRJ20">
        <v>0</v>
      </c>
      <c r="DRK20">
        <v>0</v>
      </c>
      <c r="DRL20">
        <v>0</v>
      </c>
      <c r="DRM20">
        <v>0</v>
      </c>
      <c r="DRN20">
        <v>0</v>
      </c>
      <c r="DRO20">
        <v>0</v>
      </c>
      <c r="DRP20">
        <v>0</v>
      </c>
      <c r="DRQ20">
        <v>79</v>
      </c>
      <c r="DRR20">
        <v>0</v>
      </c>
      <c r="DRS20">
        <v>0</v>
      </c>
      <c r="DRT20">
        <v>0</v>
      </c>
      <c r="DRU20">
        <v>0</v>
      </c>
      <c r="DRV20">
        <v>0</v>
      </c>
      <c r="DRW20">
        <v>0</v>
      </c>
      <c r="DRX20">
        <v>0</v>
      </c>
      <c r="DRY20">
        <v>0</v>
      </c>
      <c r="DRZ20">
        <v>0</v>
      </c>
      <c r="DSA20">
        <v>0</v>
      </c>
      <c r="DSB20">
        <v>0</v>
      </c>
      <c r="DSC20">
        <v>0</v>
      </c>
      <c r="DSD20">
        <v>0</v>
      </c>
      <c r="DSE20">
        <v>0</v>
      </c>
      <c r="DSF20">
        <v>0</v>
      </c>
      <c r="DSG20">
        <v>0</v>
      </c>
      <c r="DSH20">
        <v>0</v>
      </c>
      <c r="DSI20">
        <v>173</v>
      </c>
      <c r="DSJ20">
        <v>0</v>
      </c>
      <c r="DSK20">
        <v>0</v>
      </c>
      <c r="DSL20">
        <v>0</v>
      </c>
      <c r="DSM20">
        <v>0</v>
      </c>
      <c r="DSN20">
        <v>0</v>
      </c>
      <c r="DSO20">
        <v>0</v>
      </c>
      <c r="DSP20">
        <v>0</v>
      </c>
      <c r="DSQ20">
        <v>0</v>
      </c>
      <c r="DSR20">
        <v>0</v>
      </c>
      <c r="DSS20">
        <v>0</v>
      </c>
      <c r="DST20">
        <v>0</v>
      </c>
      <c r="DSU20">
        <v>0</v>
      </c>
      <c r="DSV20">
        <v>0</v>
      </c>
      <c r="DSW20">
        <v>0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0</v>
      </c>
      <c r="DTD20">
        <v>0</v>
      </c>
      <c r="DTE20">
        <v>0</v>
      </c>
      <c r="DTF20">
        <v>0</v>
      </c>
      <c r="DTG20">
        <v>0</v>
      </c>
      <c r="DTH20">
        <v>0</v>
      </c>
      <c r="DTI20">
        <v>0</v>
      </c>
      <c r="DTJ20">
        <v>0</v>
      </c>
      <c r="DTK20">
        <v>0</v>
      </c>
      <c r="DTL20">
        <v>29</v>
      </c>
      <c r="DTM20">
        <v>26</v>
      </c>
      <c r="DTN20">
        <v>0</v>
      </c>
      <c r="DTO20">
        <v>114</v>
      </c>
      <c r="DTP20">
        <v>0</v>
      </c>
      <c r="DTQ20">
        <v>0</v>
      </c>
      <c r="DTR20">
        <v>0</v>
      </c>
      <c r="DTS20">
        <v>0</v>
      </c>
      <c r="DTT20">
        <v>19</v>
      </c>
      <c r="DTU20">
        <v>0</v>
      </c>
      <c r="DTV20">
        <v>0</v>
      </c>
      <c r="DTW20">
        <v>0</v>
      </c>
      <c r="DTX20">
        <v>73</v>
      </c>
      <c r="DTY20">
        <v>0</v>
      </c>
      <c r="DTZ20">
        <v>0</v>
      </c>
      <c r="DUA20">
        <v>0</v>
      </c>
      <c r="DUB20">
        <v>0</v>
      </c>
      <c r="DUC20">
        <v>0</v>
      </c>
      <c r="DUD20">
        <v>0</v>
      </c>
      <c r="DUE20">
        <v>0</v>
      </c>
      <c r="DUF20">
        <v>0</v>
      </c>
      <c r="DUG20">
        <v>0</v>
      </c>
      <c r="DUH20">
        <v>0</v>
      </c>
      <c r="DUI20">
        <v>0</v>
      </c>
      <c r="DUJ20">
        <v>0</v>
      </c>
      <c r="DUK20">
        <v>0</v>
      </c>
      <c r="DUL20">
        <v>0</v>
      </c>
      <c r="DUM20">
        <v>0</v>
      </c>
      <c r="DUN20">
        <v>0</v>
      </c>
      <c r="DUO20">
        <v>16</v>
      </c>
      <c r="DUP20">
        <v>0</v>
      </c>
      <c r="DUQ20">
        <v>0</v>
      </c>
      <c r="DUR20">
        <v>0</v>
      </c>
      <c r="DUS20">
        <v>0</v>
      </c>
      <c r="DUT20">
        <v>0</v>
      </c>
      <c r="DUU20">
        <v>0</v>
      </c>
      <c r="DUV20">
        <v>13</v>
      </c>
      <c r="DUW20">
        <v>0</v>
      </c>
      <c r="DUX20">
        <v>0</v>
      </c>
      <c r="DUY20">
        <v>0</v>
      </c>
      <c r="DUZ20">
        <v>0</v>
      </c>
      <c r="DVA20">
        <v>0</v>
      </c>
      <c r="DVB20">
        <v>0</v>
      </c>
      <c r="DVC20">
        <v>187.97</v>
      </c>
      <c r="DVD20">
        <v>0</v>
      </c>
      <c r="DVE20">
        <v>0</v>
      </c>
      <c r="DVF20">
        <v>0</v>
      </c>
      <c r="DVG20">
        <v>0</v>
      </c>
      <c r="DVH20">
        <v>158</v>
      </c>
      <c r="DVI20">
        <v>0</v>
      </c>
      <c r="DVJ20">
        <v>0</v>
      </c>
      <c r="DVK20">
        <v>0</v>
      </c>
      <c r="DVL20">
        <v>0</v>
      </c>
      <c r="DVM20">
        <v>0</v>
      </c>
      <c r="DVN20">
        <v>0</v>
      </c>
      <c r="DVO20">
        <v>0</v>
      </c>
      <c r="DVP20">
        <v>0</v>
      </c>
      <c r="DVQ20">
        <v>0</v>
      </c>
      <c r="DVR20">
        <v>43</v>
      </c>
      <c r="DVS20">
        <v>0</v>
      </c>
      <c r="DVT20">
        <v>0</v>
      </c>
      <c r="DVU20">
        <v>0</v>
      </c>
      <c r="DVV20">
        <v>0</v>
      </c>
      <c r="DVW20">
        <v>0</v>
      </c>
      <c r="DVX20">
        <v>0</v>
      </c>
      <c r="DVY20">
        <v>0</v>
      </c>
      <c r="DVZ20">
        <v>0</v>
      </c>
      <c r="DWA20">
        <v>0</v>
      </c>
      <c r="DWB20">
        <v>0</v>
      </c>
      <c r="DWC20">
        <v>0</v>
      </c>
      <c r="DWD20">
        <v>0</v>
      </c>
      <c r="DWE20">
        <v>0</v>
      </c>
      <c r="DWF20">
        <v>0</v>
      </c>
      <c r="DWG20">
        <v>0</v>
      </c>
      <c r="DWH20">
        <v>0</v>
      </c>
      <c r="DWI20">
        <v>0</v>
      </c>
      <c r="DWJ20">
        <v>0</v>
      </c>
      <c r="DWK20">
        <v>0</v>
      </c>
      <c r="DWL20">
        <v>0</v>
      </c>
      <c r="DWM20">
        <v>0</v>
      </c>
      <c r="DWN20">
        <v>0</v>
      </c>
      <c r="DWO20">
        <v>0</v>
      </c>
      <c r="DWP20">
        <v>0</v>
      </c>
      <c r="DWQ20">
        <v>0</v>
      </c>
      <c r="DWR20">
        <v>0</v>
      </c>
      <c r="DWS20">
        <v>0</v>
      </c>
      <c r="DWT20">
        <v>94</v>
      </c>
      <c r="DWU20">
        <v>0</v>
      </c>
      <c r="DWV20">
        <v>0</v>
      </c>
      <c r="DWW20">
        <v>0</v>
      </c>
      <c r="DWX20">
        <v>0</v>
      </c>
      <c r="DWY20">
        <v>0</v>
      </c>
      <c r="DWZ20">
        <v>0</v>
      </c>
      <c r="DXA20">
        <v>0</v>
      </c>
      <c r="DXB20">
        <v>201</v>
      </c>
      <c r="DXC20">
        <v>0</v>
      </c>
      <c r="DXD20">
        <v>0</v>
      </c>
      <c r="DXE20">
        <v>0</v>
      </c>
      <c r="DXF20">
        <v>0</v>
      </c>
      <c r="DXG20">
        <v>0</v>
      </c>
      <c r="DXH20">
        <v>16</v>
      </c>
      <c r="DXI20">
        <v>0</v>
      </c>
      <c r="DXJ20">
        <v>0</v>
      </c>
      <c r="DXK20">
        <v>170.99</v>
      </c>
      <c r="DXL20">
        <v>0</v>
      </c>
      <c r="DXM20">
        <v>0</v>
      </c>
      <c r="DXN20">
        <v>0</v>
      </c>
      <c r="DXO20">
        <v>0</v>
      </c>
      <c r="DXP20">
        <v>0</v>
      </c>
      <c r="DXQ20">
        <v>0</v>
      </c>
      <c r="DXR20">
        <v>0</v>
      </c>
      <c r="DXS20">
        <v>0</v>
      </c>
      <c r="DXT20">
        <v>0</v>
      </c>
      <c r="DXU20">
        <v>0</v>
      </c>
      <c r="DXV20">
        <v>0</v>
      </c>
      <c r="DXW20">
        <v>0</v>
      </c>
      <c r="DXX20">
        <v>0</v>
      </c>
      <c r="DXY20">
        <v>207</v>
      </c>
      <c r="DXZ20">
        <v>0</v>
      </c>
      <c r="DYA20">
        <v>0</v>
      </c>
      <c r="DYB20">
        <v>0</v>
      </c>
      <c r="DYC20">
        <v>0</v>
      </c>
      <c r="DYD20">
        <v>0</v>
      </c>
      <c r="DYE20">
        <v>0</v>
      </c>
      <c r="DYF20">
        <v>0</v>
      </c>
      <c r="DYG20">
        <v>0</v>
      </c>
      <c r="DYH20">
        <v>0</v>
      </c>
      <c r="DYI20">
        <v>0</v>
      </c>
      <c r="DYJ20">
        <v>0</v>
      </c>
      <c r="DYK20">
        <v>19</v>
      </c>
      <c r="DYL20">
        <v>0</v>
      </c>
      <c r="DYM20">
        <v>0</v>
      </c>
      <c r="DYN20">
        <v>0</v>
      </c>
      <c r="DYO20">
        <v>0</v>
      </c>
      <c r="DYP20">
        <v>0</v>
      </c>
      <c r="DYQ20">
        <v>0</v>
      </c>
      <c r="DYR20">
        <v>0</v>
      </c>
      <c r="DYS20">
        <v>0</v>
      </c>
      <c r="DYT20">
        <v>0</v>
      </c>
      <c r="DYU20">
        <v>0</v>
      </c>
      <c r="DYV20">
        <v>0</v>
      </c>
      <c r="DYW20">
        <v>0</v>
      </c>
      <c r="DYX20">
        <v>0</v>
      </c>
      <c r="DYY20">
        <v>214</v>
      </c>
      <c r="DYZ20">
        <v>50.99</v>
      </c>
      <c r="DZA20">
        <v>0</v>
      </c>
      <c r="DZB20">
        <v>0</v>
      </c>
      <c r="DZC20">
        <v>0</v>
      </c>
      <c r="DZD20">
        <v>0</v>
      </c>
      <c r="DZE20">
        <v>0</v>
      </c>
      <c r="DZF20">
        <v>0</v>
      </c>
      <c r="DZG20">
        <v>0</v>
      </c>
      <c r="DZH20">
        <v>0</v>
      </c>
      <c r="DZI20">
        <v>0</v>
      </c>
      <c r="DZJ20">
        <v>0</v>
      </c>
      <c r="DZK20">
        <v>0</v>
      </c>
      <c r="DZL20">
        <v>0</v>
      </c>
      <c r="DZM20">
        <v>0</v>
      </c>
      <c r="DZN20">
        <v>0</v>
      </c>
      <c r="DZO20">
        <v>0</v>
      </c>
      <c r="DZP20">
        <v>0</v>
      </c>
      <c r="DZQ20">
        <v>0</v>
      </c>
      <c r="DZR20">
        <v>0</v>
      </c>
      <c r="DZS20">
        <v>0</v>
      </c>
      <c r="DZT20">
        <v>13</v>
      </c>
      <c r="DZU20">
        <v>0</v>
      </c>
      <c r="DZV20">
        <v>0</v>
      </c>
      <c r="DZW20">
        <v>0</v>
      </c>
      <c r="DZX20">
        <v>79.989999999999995</v>
      </c>
      <c r="DZY20">
        <v>0</v>
      </c>
      <c r="DZZ20">
        <v>220.99</v>
      </c>
      <c r="EAA20">
        <v>0</v>
      </c>
      <c r="EAB20">
        <v>0</v>
      </c>
      <c r="EAC20">
        <v>0</v>
      </c>
      <c r="EAD20">
        <v>0</v>
      </c>
      <c r="EAE20">
        <v>0</v>
      </c>
      <c r="EAF20">
        <v>0</v>
      </c>
      <c r="EAG20">
        <v>0</v>
      </c>
      <c r="EAH20">
        <v>0</v>
      </c>
      <c r="EAI20">
        <v>34</v>
      </c>
      <c r="EAJ20">
        <v>0</v>
      </c>
      <c r="EAK20">
        <v>0</v>
      </c>
      <c r="EAL20">
        <v>0</v>
      </c>
      <c r="EAM20">
        <v>0</v>
      </c>
      <c r="EAN20">
        <v>0</v>
      </c>
      <c r="EAO20">
        <v>0</v>
      </c>
      <c r="EAP20">
        <v>0</v>
      </c>
      <c r="EAQ20">
        <v>0</v>
      </c>
      <c r="EAR20">
        <v>0</v>
      </c>
      <c r="EAS20">
        <v>0</v>
      </c>
      <c r="EAT20">
        <v>0</v>
      </c>
      <c r="EAU20">
        <v>69</v>
      </c>
      <c r="EAV20">
        <v>0</v>
      </c>
      <c r="EAW20">
        <v>0</v>
      </c>
      <c r="EAX20">
        <v>0</v>
      </c>
      <c r="EAY20">
        <v>0</v>
      </c>
      <c r="EAZ20">
        <v>0</v>
      </c>
      <c r="EBA20">
        <v>25.99</v>
      </c>
      <c r="EBB20">
        <v>0</v>
      </c>
      <c r="EBC20">
        <v>0</v>
      </c>
      <c r="EBD20">
        <v>0</v>
      </c>
      <c r="EBE20">
        <v>0</v>
      </c>
      <c r="EBF20">
        <v>0</v>
      </c>
      <c r="EBG20">
        <v>231.99</v>
      </c>
      <c r="EBH20">
        <v>231.99</v>
      </c>
      <c r="EBI20">
        <v>130</v>
      </c>
      <c r="EBJ20">
        <v>232.99</v>
      </c>
      <c r="EBK20">
        <v>73</v>
      </c>
      <c r="EBL20">
        <v>0</v>
      </c>
      <c r="EBM20">
        <v>0</v>
      </c>
      <c r="EBN20">
        <v>0</v>
      </c>
      <c r="EBO20">
        <v>0</v>
      </c>
      <c r="EBP20">
        <v>0</v>
      </c>
      <c r="EBQ20">
        <v>0</v>
      </c>
      <c r="EBR20">
        <v>0</v>
      </c>
      <c r="EBS20">
        <v>0</v>
      </c>
      <c r="EBT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7</v>
      </c>
      <c r="ECA20">
        <v>0</v>
      </c>
      <c r="ECB20">
        <v>0</v>
      </c>
      <c r="ECC20">
        <v>0</v>
      </c>
      <c r="ECD20">
        <v>56</v>
      </c>
      <c r="ECE20">
        <v>0</v>
      </c>
      <c r="ECF20">
        <v>0</v>
      </c>
      <c r="ECG20">
        <v>0</v>
      </c>
      <c r="ECH20">
        <v>0</v>
      </c>
      <c r="ECI20">
        <v>0</v>
      </c>
      <c r="ECJ20">
        <v>0</v>
      </c>
      <c r="ECK20">
        <v>0</v>
      </c>
      <c r="ECL20">
        <v>0</v>
      </c>
      <c r="ECM20">
        <v>0</v>
      </c>
      <c r="ECN20">
        <v>0</v>
      </c>
      <c r="ECO20">
        <v>0</v>
      </c>
      <c r="ECP20">
        <v>0</v>
      </c>
      <c r="ECQ20">
        <v>0</v>
      </c>
      <c r="ECR20">
        <v>0</v>
      </c>
      <c r="ECS20">
        <v>0</v>
      </c>
      <c r="ECT20">
        <v>0</v>
      </c>
      <c r="ECU20">
        <v>0</v>
      </c>
      <c r="ECV20">
        <v>0</v>
      </c>
      <c r="ECW20">
        <v>0</v>
      </c>
      <c r="ECX20">
        <v>0</v>
      </c>
      <c r="ECY20">
        <v>0</v>
      </c>
      <c r="ECZ20">
        <v>0</v>
      </c>
      <c r="EDA20">
        <v>199.99</v>
      </c>
      <c r="EDB20">
        <v>0</v>
      </c>
      <c r="EDC20">
        <v>0</v>
      </c>
      <c r="EDD20">
        <v>0</v>
      </c>
      <c r="EDE20">
        <v>0</v>
      </c>
      <c r="EDF20">
        <v>0</v>
      </c>
      <c r="EDG20">
        <v>0</v>
      </c>
      <c r="EDH20">
        <v>0</v>
      </c>
      <c r="EDI20">
        <v>0</v>
      </c>
      <c r="EDJ20">
        <v>0</v>
      </c>
      <c r="EDK20">
        <v>0</v>
      </c>
      <c r="EDL20">
        <v>0</v>
      </c>
      <c r="EDM20">
        <v>37</v>
      </c>
      <c r="EDN20">
        <v>0</v>
      </c>
      <c r="EDO20">
        <v>0</v>
      </c>
      <c r="EDP20">
        <v>0</v>
      </c>
      <c r="EDQ20">
        <v>0</v>
      </c>
      <c r="EDR20">
        <v>0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0</v>
      </c>
      <c r="EEA20">
        <v>155.99</v>
      </c>
      <c r="EEB20">
        <v>0</v>
      </c>
      <c r="EEC20">
        <v>0</v>
      </c>
      <c r="EED20">
        <v>0</v>
      </c>
      <c r="EEE20">
        <v>0</v>
      </c>
      <c r="EEF20">
        <v>0</v>
      </c>
      <c r="EEG20">
        <v>0</v>
      </c>
      <c r="EEH20">
        <v>80</v>
      </c>
      <c r="EEI20">
        <v>0</v>
      </c>
      <c r="EEJ20">
        <v>0</v>
      </c>
      <c r="EEK20">
        <v>0</v>
      </c>
      <c r="EEL20">
        <v>0</v>
      </c>
      <c r="EEM20">
        <v>0</v>
      </c>
      <c r="EEN20">
        <v>0</v>
      </c>
      <c r="EEO20">
        <v>0</v>
      </c>
      <c r="EEP20">
        <v>0</v>
      </c>
      <c r="EEQ20">
        <v>0</v>
      </c>
      <c r="EER20">
        <v>0</v>
      </c>
      <c r="EES20">
        <v>0</v>
      </c>
      <c r="EET20">
        <v>0</v>
      </c>
      <c r="EEU20">
        <v>24</v>
      </c>
      <c r="EEV20">
        <v>0</v>
      </c>
      <c r="EEW20">
        <v>0</v>
      </c>
      <c r="EEX20">
        <v>0</v>
      </c>
      <c r="EEY20">
        <v>0</v>
      </c>
      <c r="EEZ20">
        <v>0</v>
      </c>
      <c r="EFA20">
        <v>261.99</v>
      </c>
      <c r="EFB20">
        <v>0</v>
      </c>
      <c r="EFC20">
        <v>0</v>
      </c>
      <c r="EFD20">
        <v>0</v>
      </c>
      <c r="EFE20">
        <v>106</v>
      </c>
      <c r="EFF20">
        <v>0</v>
      </c>
      <c r="EFG20">
        <v>0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Q20">
        <v>0</v>
      </c>
      <c r="EFR20">
        <v>0</v>
      </c>
      <c r="EFS20">
        <v>0</v>
      </c>
      <c r="EFT20">
        <v>268</v>
      </c>
      <c r="EFU20">
        <v>0</v>
      </c>
      <c r="EFV20">
        <v>0</v>
      </c>
      <c r="EFW20">
        <v>0</v>
      </c>
      <c r="EFX20">
        <v>0</v>
      </c>
      <c r="EFY20">
        <v>0</v>
      </c>
      <c r="EFZ20">
        <v>0</v>
      </c>
      <c r="EGA20">
        <v>0</v>
      </c>
      <c r="EGB20">
        <v>0</v>
      </c>
      <c r="EGC20">
        <v>0</v>
      </c>
      <c r="EGD20">
        <v>0</v>
      </c>
      <c r="EGE20">
        <v>13</v>
      </c>
      <c r="EGF20">
        <v>0</v>
      </c>
      <c r="EGG20">
        <v>0</v>
      </c>
      <c r="EGH20">
        <v>0</v>
      </c>
      <c r="EGI20">
        <v>0</v>
      </c>
      <c r="EGJ20">
        <v>0</v>
      </c>
      <c r="EGK20">
        <v>0</v>
      </c>
      <c r="EGL20">
        <v>0</v>
      </c>
      <c r="EGM20">
        <v>0</v>
      </c>
      <c r="EGN20">
        <v>0</v>
      </c>
      <c r="EGO20">
        <v>0</v>
      </c>
      <c r="EGP20">
        <v>0</v>
      </c>
      <c r="EGQ20">
        <v>276.99</v>
      </c>
      <c r="EGR20">
        <v>74</v>
      </c>
      <c r="EGS20">
        <v>0</v>
      </c>
      <c r="EGT20">
        <v>0</v>
      </c>
      <c r="EGU20">
        <v>0</v>
      </c>
      <c r="EGV20">
        <v>0</v>
      </c>
      <c r="EGW20">
        <v>0</v>
      </c>
      <c r="EGX20">
        <v>0</v>
      </c>
      <c r="EGY20">
        <v>0</v>
      </c>
      <c r="EGZ20">
        <v>0</v>
      </c>
      <c r="EHA20">
        <v>0</v>
      </c>
      <c r="EHB20">
        <v>0</v>
      </c>
      <c r="EHC20">
        <v>0</v>
      </c>
      <c r="EHD20">
        <v>0</v>
      </c>
      <c r="EHE20">
        <v>0</v>
      </c>
      <c r="EHF20">
        <v>0</v>
      </c>
      <c r="EHG20">
        <v>0</v>
      </c>
      <c r="EHH20">
        <v>71</v>
      </c>
      <c r="EHI20">
        <v>0</v>
      </c>
      <c r="EHJ20">
        <v>0</v>
      </c>
      <c r="EHK20">
        <v>0</v>
      </c>
      <c r="EHL20">
        <v>0</v>
      </c>
      <c r="EHM20">
        <v>0</v>
      </c>
      <c r="EHN20">
        <v>0</v>
      </c>
      <c r="EHO20">
        <v>0</v>
      </c>
      <c r="EHP20">
        <v>0</v>
      </c>
      <c r="EHQ20">
        <v>0</v>
      </c>
      <c r="EHR20">
        <v>0</v>
      </c>
      <c r="EHS20">
        <v>0</v>
      </c>
      <c r="EHT20">
        <v>0</v>
      </c>
      <c r="EHU20">
        <v>0</v>
      </c>
      <c r="EHV20">
        <v>0</v>
      </c>
      <c r="EHW20">
        <v>0</v>
      </c>
      <c r="EHX20">
        <v>0</v>
      </c>
      <c r="EHY20">
        <v>0</v>
      </c>
      <c r="EHZ20">
        <v>31</v>
      </c>
      <c r="EIA20">
        <v>0</v>
      </c>
      <c r="EIB20">
        <v>0</v>
      </c>
      <c r="EIC20">
        <v>0</v>
      </c>
      <c r="EID20">
        <v>37</v>
      </c>
      <c r="EIE20">
        <v>0</v>
      </c>
      <c r="EIF20">
        <v>0</v>
      </c>
      <c r="EIG20">
        <v>0</v>
      </c>
      <c r="EIH20">
        <v>209</v>
      </c>
      <c r="EII20">
        <v>30</v>
      </c>
      <c r="EIJ20">
        <v>0</v>
      </c>
      <c r="EIK20">
        <v>0</v>
      </c>
      <c r="EIL20">
        <v>0</v>
      </c>
      <c r="EIM20">
        <v>0</v>
      </c>
      <c r="EIN20">
        <v>0</v>
      </c>
      <c r="EIO20">
        <v>0</v>
      </c>
      <c r="EIP20">
        <v>299</v>
      </c>
      <c r="EIQ20">
        <v>0</v>
      </c>
      <c r="EIR20">
        <v>0</v>
      </c>
      <c r="EIS20">
        <v>0</v>
      </c>
      <c r="EIT20">
        <v>11</v>
      </c>
      <c r="EIU20">
        <v>0</v>
      </c>
      <c r="EIV20">
        <v>58</v>
      </c>
      <c r="EIW20">
        <v>0</v>
      </c>
      <c r="EIX20">
        <v>0</v>
      </c>
      <c r="EIY20">
        <v>0</v>
      </c>
      <c r="EIZ20">
        <v>0</v>
      </c>
      <c r="EJA20">
        <v>0</v>
      </c>
      <c r="EJB20">
        <v>57</v>
      </c>
      <c r="EJC20">
        <v>0</v>
      </c>
      <c r="EJD20">
        <v>0</v>
      </c>
      <c r="EJE20">
        <v>0</v>
      </c>
      <c r="EJF20">
        <v>0</v>
      </c>
      <c r="EJG20">
        <v>0</v>
      </c>
      <c r="EJH20">
        <v>0</v>
      </c>
      <c r="EJI20">
        <v>0</v>
      </c>
      <c r="EJJ20">
        <v>0</v>
      </c>
      <c r="EJK20">
        <v>0</v>
      </c>
      <c r="EJL20">
        <v>0</v>
      </c>
      <c r="EJM20">
        <v>308.99</v>
      </c>
      <c r="EJN20">
        <v>0</v>
      </c>
      <c r="EJO20">
        <v>0</v>
      </c>
      <c r="EJP20">
        <v>0</v>
      </c>
      <c r="EJQ20">
        <v>0</v>
      </c>
      <c r="EJR20">
        <v>0</v>
      </c>
      <c r="EJS20">
        <v>0</v>
      </c>
      <c r="EJT20">
        <v>0</v>
      </c>
      <c r="EJU20">
        <v>0</v>
      </c>
      <c r="EJV20">
        <v>0</v>
      </c>
      <c r="EJW20">
        <v>0</v>
      </c>
      <c r="EJX20">
        <v>0</v>
      </c>
      <c r="EJY20">
        <v>0</v>
      </c>
      <c r="EJZ20">
        <v>0</v>
      </c>
      <c r="EKA20">
        <v>0</v>
      </c>
      <c r="EKB20">
        <v>0</v>
      </c>
      <c r="EKC20">
        <v>0</v>
      </c>
      <c r="EKD20">
        <v>0</v>
      </c>
      <c r="EKE20">
        <v>0</v>
      </c>
      <c r="EKF20">
        <v>0</v>
      </c>
      <c r="EKG20">
        <v>0</v>
      </c>
      <c r="EKH20">
        <v>0</v>
      </c>
      <c r="EKI20">
        <v>0</v>
      </c>
      <c r="EKJ20">
        <v>0</v>
      </c>
      <c r="EKK20">
        <v>0</v>
      </c>
      <c r="EKL20">
        <v>0</v>
      </c>
      <c r="EKM20">
        <v>0</v>
      </c>
      <c r="EKN20">
        <v>0</v>
      </c>
      <c r="EKO20">
        <v>0</v>
      </c>
      <c r="EKP20">
        <v>0</v>
      </c>
      <c r="EKQ20">
        <v>0</v>
      </c>
      <c r="EKR20">
        <v>286.99</v>
      </c>
      <c r="EKS20">
        <v>0</v>
      </c>
      <c r="EKT20">
        <v>0</v>
      </c>
      <c r="EKU20">
        <v>0</v>
      </c>
      <c r="EKV20">
        <v>0</v>
      </c>
      <c r="EKW20">
        <v>0</v>
      </c>
      <c r="EKX20">
        <v>0</v>
      </c>
      <c r="EKY20">
        <v>0</v>
      </c>
      <c r="EKZ20">
        <v>0</v>
      </c>
      <c r="ELA20">
        <v>0</v>
      </c>
      <c r="ELB20">
        <v>0</v>
      </c>
      <c r="ELC20">
        <v>0</v>
      </c>
      <c r="ELD20">
        <v>0</v>
      </c>
      <c r="ELE20">
        <v>0</v>
      </c>
      <c r="ELF20">
        <v>0</v>
      </c>
      <c r="ELG20">
        <v>0</v>
      </c>
      <c r="ELH20">
        <v>25</v>
      </c>
      <c r="ELI20">
        <v>0</v>
      </c>
      <c r="ELJ20">
        <v>0</v>
      </c>
      <c r="ELK20">
        <v>0</v>
      </c>
      <c r="ELL20">
        <v>0</v>
      </c>
      <c r="ELM20">
        <v>0</v>
      </c>
      <c r="ELN20">
        <v>0</v>
      </c>
      <c r="ELO20">
        <v>0</v>
      </c>
      <c r="ELP20">
        <v>0</v>
      </c>
      <c r="ELQ20">
        <v>28</v>
      </c>
      <c r="ELR20">
        <v>0</v>
      </c>
      <c r="ELS20">
        <v>0</v>
      </c>
      <c r="ELT20">
        <v>0</v>
      </c>
      <c r="ELU20">
        <v>0</v>
      </c>
      <c r="ELV20">
        <v>0</v>
      </c>
      <c r="ELW20">
        <v>279.99</v>
      </c>
      <c r="ELX20">
        <v>0</v>
      </c>
      <c r="ELY20">
        <v>0</v>
      </c>
      <c r="ELZ20">
        <v>0</v>
      </c>
      <c r="EMA20">
        <v>0</v>
      </c>
      <c r="EMB20">
        <v>0</v>
      </c>
      <c r="EMC20">
        <v>0</v>
      </c>
      <c r="EMD20">
        <v>0</v>
      </c>
      <c r="EME20">
        <v>0</v>
      </c>
      <c r="EMF20">
        <v>0</v>
      </c>
      <c r="EMG20">
        <v>0</v>
      </c>
      <c r="EMH20">
        <v>0</v>
      </c>
      <c r="EMI20">
        <v>0</v>
      </c>
      <c r="EMJ20">
        <v>0</v>
      </c>
      <c r="EMK20">
        <v>48</v>
      </c>
      <c r="EML20">
        <v>0</v>
      </c>
      <c r="EMM20">
        <v>0</v>
      </c>
      <c r="EMN20">
        <v>0</v>
      </c>
      <c r="EMO20">
        <v>0</v>
      </c>
      <c r="EMP20">
        <v>0</v>
      </c>
      <c r="EMQ20">
        <v>0</v>
      </c>
      <c r="EMR20">
        <v>0</v>
      </c>
      <c r="EMS20">
        <v>0</v>
      </c>
      <c r="EMT20">
        <v>0</v>
      </c>
      <c r="EMU20">
        <v>0</v>
      </c>
      <c r="EMV20">
        <v>0</v>
      </c>
      <c r="EMW20">
        <v>269.99</v>
      </c>
      <c r="EMX20">
        <v>0</v>
      </c>
      <c r="EMY20">
        <v>0</v>
      </c>
      <c r="EMZ20">
        <v>0</v>
      </c>
      <c r="ENA20">
        <v>0</v>
      </c>
      <c r="ENB20">
        <v>0</v>
      </c>
      <c r="ENC20">
        <v>0</v>
      </c>
      <c r="END20">
        <v>0</v>
      </c>
      <c r="ENE20">
        <v>0</v>
      </c>
      <c r="ENF20">
        <v>0</v>
      </c>
      <c r="ENG20">
        <v>0</v>
      </c>
      <c r="ENH20">
        <v>0</v>
      </c>
      <c r="ENI20">
        <v>0</v>
      </c>
      <c r="ENJ20">
        <v>0</v>
      </c>
      <c r="ENK20">
        <v>0</v>
      </c>
      <c r="ENL20">
        <v>0</v>
      </c>
      <c r="ENM20">
        <v>0</v>
      </c>
      <c r="ENN20">
        <v>0</v>
      </c>
      <c r="ENO20">
        <v>0</v>
      </c>
      <c r="ENP20">
        <v>0</v>
      </c>
      <c r="ENQ20">
        <v>0</v>
      </c>
      <c r="ENR20">
        <v>0</v>
      </c>
      <c r="ENS20">
        <v>0</v>
      </c>
      <c r="ENT20">
        <v>0</v>
      </c>
      <c r="ENU20">
        <v>109</v>
      </c>
      <c r="ENV20">
        <v>0</v>
      </c>
      <c r="ENW20">
        <v>0</v>
      </c>
      <c r="ENX20">
        <v>0</v>
      </c>
      <c r="ENY20">
        <v>72.989999999999995</v>
      </c>
      <c r="ENZ20">
        <v>0</v>
      </c>
      <c r="EOA20">
        <v>0</v>
      </c>
      <c r="EOB20">
        <v>0</v>
      </c>
      <c r="EOC20">
        <v>0</v>
      </c>
      <c r="EOD20">
        <v>0</v>
      </c>
      <c r="EOE20">
        <v>0</v>
      </c>
      <c r="EOF20">
        <v>0</v>
      </c>
      <c r="EOG20">
        <v>0</v>
      </c>
      <c r="EOH20">
        <v>0</v>
      </c>
      <c r="EOI20">
        <v>0</v>
      </c>
      <c r="EOJ20">
        <v>0</v>
      </c>
      <c r="EOK20">
        <v>0</v>
      </c>
      <c r="EOL20">
        <v>0</v>
      </c>
      <c r="EOM20">
        <v>0</v>
      </c>
      <c r="EON20">
        <v>0</v>
      </c>
      <c r="EOO20">
        <v>160.99</v>
      </c>
      <c r="EOP20">
        <v>0</v>
      </c>
      <c r="EOQ20">
        <v>0</v>
      </c>
      <c r="EOR20">
        <v>0</v>
      </c>
      <c r="EOS20">
        <v>0</v>
      </c>
      <c r="EOT20">
        <v>0</v>
      </c>
      <c r="EOU20">
        <v>0</v>
      </c>
      <c r="EOV20">
        <v>0</v>
      </c>
      <c r="EOW20">
        <v>0</v>
      </c>
      <c r="EOX20">
        <v>0</v>
      </c>
      <c r="EOY20">
        <v>0</v>
      </c>
      <c r="EOZ20">
        <v>0</v>
      </c>
      <c r="EPA20">
        <v>0</v>
      </c>
      <c r="EPB20">
        <v>0</v>
      </c>
      <c r="EPC20">
        <v>0</v>
      </c>
      <c r="EPD20">
        <v>0</v>
      </c>
      <c r="EPE20">
        <v>0</v>
      </c>
      <c r="EPF20">
        <v>0</v>
      </c>
      <c r="EPG20">
        <v>379.99</v>
      </c>
      <c r="EPH20">
        <v>0</v>
      </c>
      <c r="EPI20">
        <v>0</v>
      </c>
      <c r="EPJ20">
        <v>0</v>
      </c>
      <c r="EPK20">
        <v>0</v>
      </c>
      <c r="EPL20">
        <v>0</v>
      </c>
      <c r="EPM20">
        <v>0</v>
      </c>
      <c r="EPN20">
        <v>0</v>
      </c>
      <c r="EPO20">
        <v>0</v>
      </c>
      <c r="EPP20">
        <v>0</v>
      </c>
      <c r="EPQ20">
        <v>0</v>
      </c>
      <c r="EPR20">
        <v>137.99</v>
      </c>
      <c r="EPS20">
        <v>0</v>
      </c>
      <c r="EPT20">
        <v>385.99</v>
      </c>
      <c r="EPU20">
        <v>0</v>
      </c>
      <c r="EPV20">
        <v>0</v>
      </c>
      <c r="EPW20">
        <v>0</v>
      </c>
      <c r="EPX20">
        <v>0</v>
      </c>
      <c r="EPY20">
        <v>0</v>
      </c>
      <c r="EPZ20">
        <v>0</v>
      </c>
      <c r="EQA20">
        <v>0</v>
      </c>
      <c r="EQB20">
        <v>0</v>
      </c>
      <c r="EQC20">
        <v>0</v>
      </c>
      <c r="EQD20">
        <v>0</v>
      </c>
      <c r="EQE20">
        <v>0</v>
      </c>
      <c r="EQF20">
        <v>0</v>
      </c>
      <c r="EQG20">
        <v>0</v>
      </c>
      <c r="EQH20">
        <v>0</v>
      </c>
      <c r="EQI20">
        <v>0</v>
      </c>
      <c r="EQJ20">
        <v>0</v>
      </c>
      <c r="EQK20">
        <v>31</v>
      </c>
      <c r="EQL20">
        <v>0</v>
      </c>
      <c r="EQM20">
        <v>0</v>
      </c>
      <c r="EQN20">
        <v>0</v>
      </c>
      <c r="EQO20">
        <v>0</v>
      </c>
      <c r="EQP20">
        <v>0</v>
      </c>
      <c r="EQQ20">
        <v>0</v>
      </c>
      <c r="EQR20">
        <v>0</v>
      </c>
      <c r="EQS20">
        <v>0</v>
      </c>
      <c r="EQT20">
        <v>0</v>
      </c>
      <c r="EQU20">
        <v>0</v>
      </c>
      <c r="EQV20">
        <v>0</v>
      </c>
      <c r="EQW20">
        <v>0</v>
      </c>
      <c r="EQX20">
        <v>0</v>
      </c>
      <c r="EQY20">
        <v>0</v>
      </c>
      <c r="EQZ20">
        <v>0</v>
      </c>
      <c r="ERA20">
        <v>0</v>
      </c>
      <c r="ERB20">
        <v>0</v>
      </c>
      <c r="ERC20">
        <v>0</v>
      </c>
      <c r="ERD20">
        <v>0</v>
      </c>
      <c r="ERE20">
        <v>0</v>
      </c>
      <c r="ERF20">
        <v>0</v>
      </c>
      <c r="ERG20">
        <v>0</v>
      </c>
      <c r="ERH20">
        <v>0</v>
      </c>
      <c r="ERI20">
        <v>0</v>
      </c>
      <c r="ERJ20">
        <v>0</v>
      </c>
      <c r="ERK20">
        <v>0</v>
      </c>
      <c r="ERL20">
        <v>0</v>
      </c>
      <c r="ERM20">
        <v>0</v>
      </c>
      <c r="ERN20">
        <v>0</v>
      </c>
      <c r="ERO20">
        <v>0</v>
      </c>
      <c r="ERP20">
        <v>0</v>
      </c>
      <c r="ERQ20">
        <v>246</v>
      </c>
      <c r="ERR20">
        <v>0</v>
      </c>
      <c r="ERS20">
        <v>0</v>
      </c>
      <c r="ERT20">
        <v>0</v>
      </c>
      <c r="ERU20">
        <v>0</v>
      </c>
      <c r="ERV20">
        <v>0</v>
      </c>
      <c r="ERW20">
        <v>0</v>
      </c>
      <c r="ERX20">
        <v>0</v>
      </c>
      <c r="ERY20">
        <v>0</v>
      </c>
      <c r="ERZ20">
        <v>0</v>
      </c>
      <c r="ESA20">
        <v>0</v>
      </c>
      <c r="ESB20">
        <v>0</v>
      </c>
      <c r="ESC20">
        <v>0</v>
      </c>
      <c r="ESD20">
        <v>0</v>
      </c>
      <c r="ESE20">
        <v>0</v>
      </c>
      <c r="ESF20">
        <v>0</v>
      </c>
      <c r="ESG20">
        <v>0</v>
      </c>
      <c r="ESH20">
        <v>0</v>
      </c>
      <c r="ESI20">
        <v>0</v>
      </c>
      <c r="ESJ20">
        <v>0</v>
      </c>
      <c r="ESK20">
        <v>0</v>
      </c>
      <c r="ESL20">
        <v>0</v>
      </c>
      <c r="ESM20">
        <v>0</v>
      </c>
      <c r="ESN20">
        <v>0</v>
      </c>
      <c r="ESO20">
        <v>0</v>
      </c>
      <c r="ESP20">
        <v>80</v>
      </c>
      <c r="ESQ20">
        <v>0</v>
      </c>
      <c r="ESR20">
        <v>0</v>
      </c>
      <c r="ESS20">
        <v>0</v>
      </c>
      <c r="EST20">
        <v>0</v>
      </c>
      <c r="ESU20">
        <v>0</v>
      </c>
      <c r="ESV20">
        <v>0</v>
      </c>
      <c r="ESW20">
        <v>60</v>
      </c>
      <c r="ESX20">
        <v>0</v>
      </c>
      <c r="ESY20">
        <v>0</v>
      </c>
      <c r="ESZ20">
        <v>52</v>
      </c>
      <c r="ETA20">
        <v>0</v>
      </c>
      <c r="ETB20">
        <v>81.99</v>
      </c>
      <c r="ETC20">
        <v>0</v>
      </c>
      <c r="ETD20">
        <v>0</v>
      </c>
      <c r="ETE20">
        <v>0</v>
      </c>
      <c r="ETF20">
        <v>0</v>
      </c>
      <c r="ETG20">
        <v>0</v>
      </c>
      <c r="ETH20">
        <v>0</v>
      </c>
      <c r="ETI20">
        <v>0</v>
      </c>
      <c r="ETJ20">
        <v>0</v>
      </c>
      <c r="ETK20">
        <v>0</v>
      </c>
      <c r="ETL20">
        <v>310</v>
      </c>
      <c r="ETM20">
        <v>0</v>
      </c>
      <c r="ETN20">
        <v>0</v>
      </c>
      <c r="ETO20">
        <v>0</v>
      </c>
      <c r="ETP20">
        <v>0</v>
      </c>
      <c r="ETQ20">
        <v>0</v>
      </c>
      <c r="ETR20">
        <v>0</v>
      </c>
      <c r="ETS20">
        <v>0</v>
      </c>
      <c r="ETT20">
        <v>0</v>
      </c>
      <c r="ETU20">
        <v>0</v>
      </c>
      <c r="ETV20">
        <v>0</v>
      </c>
      <c r="ETW20">
        <v>0</v>
      </c>
      <c r="ETX20">
        <v>0</v>
      </c>
      <c r="ETY20">
        <v>0</v>
      </c>
      <c r="ETZ20">
        <v>0</v>
      </c>
      <c r="EUA20">
        <v>0</v>
      </c>
      <c r="EUB20">
        <v>0</v>
      </c>
      <c r="EUC20">
        <v>0</v>
      </c>
      <c r="EUD20">
        <v>0</v>
      </c>
      <c r="EUE20">
        <v>0</v>
      </c>
      <c r="EUF20">
        <v>0</v>
      </c>
      <c r="EUG20">
        <v>0</v>
      </c>
      <c r="EUH20">
        <v>0</v>
      </c>
      <c r="EUI20">
        <v>0</v>
      </c>
      <c r="EUJ20">
        <v>432.99</v>
      </c>
      <c r="EUK20">
        <v>0</v>
      </c>
      <c r="EUL20">
        <v>0</v>
      </c>
      <c r="EUM20">
        <v>0</v>
      </c>
      <c r="EUN20">
        <v>0</v>
      </c>
      <c r="EUO20">
        <v>0</v>
      </c>
      <c r="EUP20">
        <v>0</v>
      </c>
      <c r="EUQ20">
        <v>0</v>
      </c>
      <c r="EUR20">
        <v>0</v>
      </c>
      <c r="EUS20">
        <v>0</v>
      </c>
      <c r="EUT20">
        <v>0</v>
      </c>
      <c r="EUU20">
        <v>0</v>
      </c>
      <c r="EUV20">
        <v>0</v>
      </c>
      <c r="EUW20">
        <v>0</v>
      </c>
      <c r="EUX20">
        <v>0</v>
      </c>
      <c r="EUY20">
        <v>0</v>
      </c>
      <c r="EUZ20">
        <v>0</v>
      </c>
      <c r="EVA20">
        <v>0</v>
      </c>
      <c r="EVB20">
        <v>0</v>
      </c>
      <c r="EVC20">
        <v>0</v>
      </c>
      <c r="EVD20">
        <v>0</v>
      </c>
      <c r="EVE20">
        <v>120</v>
      </c>
      <c r="EVF20">
        <v>0</v>
      </c>
      <c r="EVG20">
        <v>0</v>
      </c>
      <c r="EVH20">
        <v>465.99</v>
      </c>
      <c r="EVI20">
        <v>0</v>
      </c>
      <c r="EVJ20">
        <v>0</v>
      </c>
      <c r="EVK20">
        <v>0</v>
      </c>
      <c r="EVL20">
        <v>0</v>
      </c>
      <c r="EVM20">
        <v>0</v>
      </c>
      <c r="EVN20">
        <v>0</v>
      </c>
      <c r="EVO20">
        <v>0</v>
      </c>
      <c r="EVP20">
        <v>0</v>
      </c>
      <c r="EVQ20">
        <v>0</v>
      </c>
      <c r="EVR20">
        <v>0</v>
      </c>
      <c r="EVS20">
        <v>0</v>
      </c>
      <c r="EVT20">
        <v>0</v>
      </c>
      <c r="EVU20">
        <v>0</v>
      </c>
      <c r="EVV20">
        <v>0</v>
      </c>
      <c r="EVW20">
        <v>0</v>
      </c>
      <c r="EVX20">
        <v>0</v>
      </c>
      <c r="EVY20">
        <v>68</v>
      </c>
      <c r="EVZ20">
        <v>0</v>
      </c>
      <c r="EWA20">
        <v>50</v>
      </c>
      <c r="EWB20">
        <v>0</v>
      </c>
      <c r="EWC20">
        <v>0</v>
      </c>
      <c r="EWD20">
        <v>0</v>
      </c>
      <c r="EWE20">
        <v>107</v>
      </c>
      <c r="EWF20">
        <v>0</v>
      </c>
      <c r="EWG20">
        <v>0</v>
      </c>
      <c r="EWH20">
        <v>0</v>
      </c>
      <c r="EWI20">
        <v>0</v>
      </c>
      <c r="EWJ20">
        <v>0</v>
      </c>
      <c r="EWK20">
        <v>0</v>
      </c>
      <c r="EWL20">
        <v>0</v>
      </c>
      <c r="EWM20">
        <v>0</v>
      </c>
      <c r="EWN20">
        <v>0</v>
      </c>
      <c r="EWO20">
        <v>0</v>
      </c>
      <c r="EWP20">
        <v>0</v>
      </c>
      <c r="EWQ20">
        <v>0</v>
      </c>
      <c r="EWR20">
        <v>0</v>
      </c>
      <c r="EWS20">
        <v>81</v>
      </c>
      <c r="EWT20">
        <v>0</v>
      </c>
      <c r="EWU20">
        <v>0</v>
      </c>
      <c r="EWV20">
        <v>0</v>
      </c>
      <c r="EWW20">
        <v>0</v>
      </c>
      <c r="EWX20">
        <v>0</v>
      </c>
      <c r="EWY20">
        <v>0</v>
      </c>
      <c r="EWZ20">
        <v>0</v>
      </c>
      <c r="EXA20">
        <v>0</v>
      </c>
      <c r="EXB20">
        <v>0</v>
      </c>
      <c r="EXC20">
        <v>0</v>
      </c>
      <c r="EXD20">
        <v>0</v>
      </c>
      <c r="EXE20">
        <v>0</v>
      </c>
      <c r="EXF20">
        <v>0</v>
      </c>
      <c r="EXG20">
        <v>0</v>
      </c>
      <c r="EXH20">
        <v>13</v>
      </c>
      <c r="EXI20">
        <v>0</v>
      </c>
      <c r="EXJ20">
        <v>0</v>
      </c>
      <c r="EXK20">
        <v>0</v>
      </c>
      <c r="EXL20">
        <v>0</v>
      </c>
      <c r="EXM20">
        <v>0</v>
      </c>
      <c r="EXN20">
        <v>0</v>
      </c>
      <c r="EXO20">
        <v>0</v>
      </c>
      <c r="EXP20">
        <v>0</v>
      </c>
      <c r="EXQ20">
        <v>0</v>
      </c>
      <c r="EXR20">
        <v>0</v>
      </c>
      <c r="EXS20">
        <v>0</v>
      </c>
      <c r="EXT20">
        <v>0</v>
      </c>
      <c r="EXU20">
        <v>513.98</v>
      </c>
      <c r="EXV20">
        <v>0</v>
      </c>
      <c r="EXW20">
        <v>138.99</v>
      </c>
      <c r="EXX20">
        <v>0</v>
      </c>
      <c r="EXY20">
        <v>15</v>
      </c>
      <c r="EXZ20">
        <v>0</v>
      </c>
      <c r="EYA20">
        <v>0</v>
      </c>
      <c r="EYB20">
        <v>0</v>
      </c>
      <c r="EYC20">
        <v>0</v>
      </c>
      <c r="EYD20">
        <v>0</v>
      </c>
      <c r="EYE20">
        <v>0</v>
      </c>
      <c r="EYF20">
        <v>0</v>
      </c>
      <c r="EYG20">
        <v>0</v>
      </c>
      <c r="EYH20">
        <v>0</v>
      </c>
      <c r="EYI20">
        <v>0</v>
      </c>
      <c r="EYJ20">
        <v>0</v>
      </c>
      <c r="EYK20">
        <v>0</v>
      </c>
      <c r="EYL20">
        <v>0</v>
      </c>
      <c r="EYM20">
        <v>0</v>
      </c>
      <c r="EYN20">
        <v>0</v>
      </c>
      <c r="EYO20">
        <v>0</v>
      </c>
      <c r="EYP20">
        <v>0</v>
      </c>
      <c r="EYQ20">
        <v>0</v>
      </c>
      <c r="EYR20">
        <v>0</v>
      </c>
      <c r="EYS20">
        <v>0</v>
      </c>
      <c r="EYT20">
        <v>0</v>
      </c>
      <c r="EYU20">
        <v>81</v>
      </c>
      <c r="EYV20">
        <v>0</v>
      </c>
      <c r="EYW20">
        <v>124</v>
      </c>
      <c r="EYX20">
        <v>0</v>
      </c>
      <c r="EYY20">
        <v>0</v>
      </c>
      <c r="EYZ20">
        <v>0</v>
      </c>
      <c r="EZA20">
        <v>0</v>
      </c>
      <c r="EZB20">
        <v>0</v>
      </c>
      <c r="EZC20">
        <v>0</v>
      </c>
      <c r="EZD20">
        <v>0</v>
      </c>
      <c r="EZE20">
        <v>0</v>
      </c>
      <c r="EZF20">
        <v>0</v>
      </c>
      <c r="EZG20">
        <v>0</v>
      </c>
      <c r="EZH20">
        <v>0</v>
      </c>
      <c r="EZI20">
        <v>182</v>
      </c>
      <c r="EZJ20">
        <v>0</v>
      </c>
      <c r="EZK20">
        <v>0</v>
      </c>
      <c r="EZL20">
        <v>0</v>
      </c>
      <c r="EZM20">
        <v>0</v>
      </c>
      <c r="EZN20">
        <v>0</v>
      </c>
      <c r="EZO20">
        <v>0</v>
      </c>
      <c r="EZP20">
        <v>0</v>
      </c>
      <c r="EZQ20">
        <v>0</v>
      </c>
      <c r="EZR20">
        <v>0</v>
      </c>
      <c r="EZS20">
        <v>0</v>
      </c>
      <c r="EZT20">
        <v>0</v>
      </c>
      <c r="EZU20">
        <v>32</v>
      </c>
      <c r="EZV20">
        <v>0</v>
      </c>
      <c r="EZW20">
        <v>0</v>
      </c>
      <c r="EZX20">
        <v>0</v>
      </c>
      <c r="EZY20">
        <v>0</v>
      </c>
      <c r="EZZ20">
        <v>0</v>
      </c>
      <c r="FAA20">
        <v>0</v>
      </c>
      <c r="FAB20">
        <v>0</v>
      </c>
      <c r="FAC20">
        <v>0</v>
      </c>
      <c r="FAD20">
        <v>0</v>
      </c>
      <c r="FAE20">
        <v>0</v>
      </c>
      <c r="FAF20">
        <v>0</v>
      </c>
      <c r="FAG20">
        <v>0</v>
      </c>
      <c r="FAH20">
        <v>134</v>
      </c>
      <c r="FAI20">
        <v>0</v>
      </c>
      <c r="FAJ20">
        <v>0</v>
      </c>
      <c r="FAK20">
        <v>0</v>
      </c>
      <c r="FAL20">
        <v>0</v>
      </c>
      <c r="FAM20">
        <v>0</v>
      </c>
      <c r="FAN20">
        <v>0</v>
      </c>
      <c r="FAO20">
        <v>0</v>
      </c>
      <c r="FAP20">
        <v>0</v>
      </c>
      <c r="FAQ20">
        <v>0</v>
      </c>
      <c r="FAR20">
        <v>0</v>
      </c>
      <c r="FAS20">
        <v>0</v>
      </c>
      <c r="FAT20">
        <v>0</v>
      </c>
      <c r="FAU20">
        <v>0</v>
      </c>
      <c r="FAV20">
        <v>0</v>
      </c>
      <c r="FAW20">
        <v>0</v>
      </c>
      <c r="FAX20">
        <v>7</v>
      </c>
      <c r="FAY20">
        <v>0</v>
      </c>
      <c r="FAZ20">
        <v>580.98</v>
      </c>
      <c r="FBA20">
        <v>224</v>
      </c>
      <c r="FBB20">
        <v>0</v>
      </c>
      <c r="FBC20">
        <v>0</v>
      </c>
      <c r="FBD20">
        <v>0</v>
      </c>
      <c r="FBE20">
        <v>0</v>
      </c>
      <c r="FBF20">
        <v>0</v>
      </c>
      <c r="FBG20">
        <v>0</v>
      </c>
      <c r="FBH20">
        <v>0</v>
      </c>
      <c r="FBI20">
        <v>0</v>
      </c>
      <c r="FBJ20">
        <v>0</v>
      </c>
      <c r="FBK20">
        <v>0</v>
      </c>
      <c r="FBL20">
        <v>0</v>
      </c>
      <c r="FBM20">
        <v>0</v>
      </c>
      <c r="FBN20">
        <v>26</v>
      </c>
      <c r="FBO20">
        <v>0</v>
      </c>
      <c r="FBP20">
        <v>0</v>
      </c>
      <c r="FBQ20">
        <v>0</v>
      </c>
      <c r="FBR20">
        <v>0</v>
      </c>
      <c r="FBS20">
        <v>0</v>
      </c>
      <c r="FBT20">
        <v>0</v>
      </c>
      <c r="FBU20">
        <v>0</v>
      </c>
      <c r="FBV20">
        <v>0</v>
      </c>
      <c r="FBW20">
        <v>0</v>
      </c>
      <c r="FBX20">
        <v>0</v>
      </c>
      <c r="FBY20">
        <v>0</v>
      </c>
      <c r="FBZ20">
        <v>0</v>
      </c>
      <c r="FCA20">
        <v>0</v>
      </c>
      <c r="FCB20">
        <v>0</v>
      </c>
      <c r="FCC20">
        <v>0</v>
      </c>
      <c r="FCD20">
        <v>0</v>
      </c>
      <c r="FCE20">
        <v>0</v>
      </c>
      <c r="FCF20">
        <v>0</v>
      </c>
      <c r="FCG20">
        <v>0</v>
      </c>
      <c r="FCH20">
        <v>0</v>
      </c>
      <c r="FCI20">
        <v>233</v>
      </c>
      <c r="FCJ20">
        <v>0</v>
      </c>
      <c r="FCK20">
        <v>0</v>
      </c>
      <c r="FCL20">
        <v>0</v>
      </c>
      <c r="FCM20">
        <v>0</v>
      </c>
      <c r="FCN20">
        <v>0</v>
      </c>
      <c r="FCO20">
        <v>46</v>
      </c>
      <c r="FCP20">
        <v>0</v>
      </c>
      <c r="FCQ20">
        <v>382.99</v>
      </c>
      <c r="FCR20">
        <v>0</v>
      </c>
      <c r="FCS20">
        <v>0</v>
      </c>
      <c r="FCT20">
        <v>0</v>
      </c>
      <c r="FCU20">
        <v>0</v>
      </c>
      <c r="FCV20">
        <v>0</v>
      </c>
      <c r="FCW20">
        <v>0</v>
      </c>
      <c r="FCX20">
        <v>0</v>
      </c>
      <c r="FCY20">
        <v>0</v>
      </c>
      <c r="FCZ20">
        <v>0</v>
      </c>
      <c r="FDA20">
        <v>0</v>
      </c>
      <c r="FDB20">
        <v>0</v>
      </c>
      <c r="FDC20">
        <v>0</v>
      </c>
      <c r="FDD20">
        <v>0</v>
      </c>
      <c r="FDE20">
        <v>0</v>
      </c>
      <c r="FDF20">
        <v>0</v>
      </c>
      <c r="FDG20">
        <v>0</v>
      </c>
      <c r="FDH20">
        <v>0</v>
      </c>
      <c r="FDI20">
        <v>0</v>
      </c>
      <c r="FDJ20">
        <v>0</v>
      </c>
      <c r="FDK20">
        <v>39</v>
      </c>
      <c r="FDL20">
        <v>57</v>
      </c>
      <c r="FDM20">
        <v>646.98</v>
      </c>
      <c r="FDN20">
        <v>0</v>
      </c>
      <c r="FDO20">
        <v>0</v>
      </c>
      <c r="FDP20">
        <v>0</v>
      </c>
      <c r="FDQ20">
        <v>0</v>
      </c>
      <c r="FDR20">
        <v>269.99</v>
      </c>
      <c r="FDS20">
        <v>0</v>
      </c>
      <c r="FDT20">
        <v>0</v>
      </c>
      <c r="FDU20">
        <v>0</v>
      </c>
      <c r="FDV20">
        <v>0</v>
      </c>
      <c r="FDW20">
        <v>0</v>
      </c>
      <c r="FDX20">
        <v>0</v>
      </c>
      <c r="FDY20">
        <v>0</v>
      </c>
      <c r="FDZ20">
        <v>0</v>
      </c>
      <c r="FEA20">
        <v>0</v>
      </c>
      <c r="FEB20">
        <v>0</v>
      </c>
      <c r="FEC20">
        <v>0</v>
      </c>
      <c r="FED20">
        <v>0</v>
      </c>
      <c r="FEE20">
        <v>0</v>
      </c>
      <c r="FEF20">
        <v>0</v>
      </c>
      <c r="FEG20">
        <v>0</v>
      </c>
      <c r="FEH20">
        <v>0</v>
      </c>
      <c r="FEI20">
        <v>53</v>
      </c>
      <c r="FEJ20">
        <v>0</v>
      </c>
      <c r="FEK20">
        <v>0</v>
      </c>
      <c r="FEL20">
        <v>0</v>
      </c>
      <c r="FEM20">
        <v>76.989999999999995</v>
      </c>
      <c r="FEN20">
        <v>0</v>
      </c>
      <c r="FEO20">
        <v>0</v>
      </c>
      <c r="FEP20">
        <v>0</v>
      </c>
      <c r="FEQ20">
        <v>124</v>
      </c>
      <c r="FER20">
        <v>0</v>
      </c>
      <c r="FES20">
        <v>0</v>
      </c>
      <c r="FET20">
        <v>0</v>
      </c>
      <c r="FEU20">
        <v>0</v>
      </c>
      <c r="FEV20">
        <v>0</v>
      </c>
      <c r="FEW20">
        <v>0</v>
      </c>
      <c r="FEX20">
        <v>0</v>
      </c>
      <c r="FEY20">
        <v>0</v>
      </c>
      <c r="FEZ20">
        <v>0</v>
      </c>
      <c r="FFA20">
        <v>0</v>
      </c>
      <c r="FFB20">
        <v>0</v>
      </c>
      <c r="FFC20">
        <v>0</v>
      </c>
      <c r="FFD20">
        <v>0</v>
      </c>
      <c r="FFE20">
        <v>0</v>
      </c>
      <c r="FFF20">
        <v>0</v>
      </c>
      <c r="FFG20">
        <v>0</v>
      </c>
      <c r="FFH20">
        <v>0</v>
      </c>
      <c r="FFI20">
        <v>0</v>
      </c>
      <c r="FFJ20">
        <v>0</v>
      </c>
      <c r="FFK20">
        <v>0</v>
      </c>
      <c r="FFL20">
        <v>0</v>
      </c>
      <c r="FFM20">
        <v>0</v>
      </c>
      <c r="FFN20">
        <v>0</v>
      </c>
      <c r="FFO20">
        <v>0</v>
      </c>
      <c r="FFP20">
        <v>418</v>
      </c>
      <c r="FFQ20">
        <v>0</v>
      </c>
      <c r="FFR20">
        <v>0</v>
      </c>
      <c r="FFS20">
        <v>0</v>
      </c>
      <c r="FFT20">
        <v>0</v>
      </c>
      <c r="FFU20">
        <v>0</v>
      </c>
      <c r="FFV20">
        <v>0</v>
      </c>
      <c r="FFW20">
        <v>0</v>
      </c>
      <c r="FFX20">
        <v>0</v>
      </c>
      <c r="FFY20">
        <v>0</v>
      </c>
      <c r="FFZ20">
        <v>0</v>
      </c>
      <c r="FGA20">
        <v>0</v>
      </c>
      <c r="FGB20">
        <v>0</v>
      </c>
      <c r="FGC20">
        <v>735.98</v>
      </c>
      <c r="FGD20">
        <v>0</v>
      </c>
      <c r="FGE20">
        <v>0</v>
      </c>
      <c r="FGF20">
        <v>0</v>
      </c>
      <c r="FGG20">
        <v>0</v>
      </c>
      <c r="FGH20">
        <v>0</v>
      </c>
      <c r="FGI20">
        <v>0</v>
      </c>
      <c r="FGJ20">
        <v>744.98</v>
      </c>
      <c r="FGK20">
        <v>101.99</v>
      </c>
      <c r="FGL20">
        <v>0</v>
      </c>
      <c r="FGM20">
        <v>0</v>
      </c>
      <c r="FGN20">
        <v>0</v>
      </c>
      <c r="FGO20">
        <v>0</v>
      </c>
      <c r="FGP20">
        <v>0</v>
      </c>
      <c r="FGQ20">
        <v>0</v>
      </c>
      <c r="FGR20">
        <v>0</v>
      </c>
      <c r="FGS20">
        <v>0</v>
      </c>
      <c r="FGT20">
        <v>95.99</v>
      </c>
      <c r="FGU20">
        <v>172</v>
      </c>
      <c r="FGV20">
        <v>0</v>
      </c>
      <c r="FGW20">
        <v>0</v>
      </c>
      <c r="FGX20">
        <v>0</v>
      </c>
      <c r="FGY20">
        <v>0</v>
      </c>
      <c r="FGZ20">
        <v>0</v>
      </c>
      <c r="FHA20">
        <v>435.96</v>
      </c>
      <c r="FHB20">
        <v>0</v>
      </c>
      <c r="FHC20">
        <v>0</v>
      </c>
      <c r="FHD20">
        <v>0</v>
      </c>
      <c r="FHE20">
        <v>0</v>
      </c>
      <c r="FHF20">
        <v>0</v>
      </c>
      <c r="FHG20">
        <v>0</v>
      </c>
      <c r="FHH20">
        <v>0</v>
      </c>
      <c r="FHI20">
        <v>0</v>
      </c>
      <c r="FHJ20">
        <v>96</v>
      </c>
      <c r="FHK20">
        <v>0</v>
      </c>
      <c r="FHL20">
        <v>0</v>
      </c>
      <c r="FHM20">
        <v>0</v>
      </c>
      <c r="FHN20">
        <v>0</v>
      </c>
      <c r="FHO20">
        <v>0</v>
      </c>
      <c r="FHP20">
        <v>0</v>
      </c>
      <c r="FHQ20">
        <v>0</v>
      </c>
      <c r="FHR20">
        <v>0</v>
      </c>
      <c r="FHS20">
        <v>0</v>
      </c>
      <c r="FHT20">
        <v>0</v>
      </c>
      <c r="FHU20">
        <v>0</v>
      </c>
      <c r="FHV20">
        <v>149</v>
      </c>
      <c r="FHW20">
        <v>0</v>
      </c>
      <c r="FHX20">
        <v>0</v>
      </c>
      <c r="FHY20">
        <v>0</v>
      </c>
      <c r="FHZ20">
        <v>172</v>
      </c>
      <c r="FIA20">
        <v>0</v>
      </c>
      <c r="FIB20">
        <v>11</v>
      </c>
      <c r="FIC20">
        <v>245.99</v>
      </c>
      <c r="FID20">
        <v>0</v>
      </c>
      <c r="FIE20">
        <v>0</v>
      </c>
      <c r="FIF20">
        <v>0</v>
      </c>
      <c r="FIG20">
        <v>0</v>
      </c>
      <c r="FIH20">
        <v>797.98</v>
      </c>
      <c r="FII20">
        <v>0</v>
      </c>
      <c r="FIJ20">
        <v>0</v>
      </c>
      <c r="FIK20">
        <v>120</v>
      </c>
      <c r="FIL20">
        <v>0</v>
      </c>
      <c r="FIM20">
        <v>0</v>
      </c>
      <c r="FIN20">
        <v>41</v>
      </c>
      <c r="FIO20">
        <v>32</v>
      </c>
      <c r="FIP20">
        <v>0</v>
      </c>
      <c r="FIQ20">
        <v>0</v>
      </c>
      <c r="FIR20">
        <v>0</v>
      </c>
      <c r="FIS20">
        <v>0</v>
      </c>
      <c r="FIT20">
        <v>341.99</v>
      </c>
      <c r="FIU20">
        <v>0</v>
      </c>
      <c r="FIV20">
        <v>0</v>
      </c>
      <c r="FIW20">
        <v>0</v>
      </c>
      <c r="FIX20">
        <v>0</v>
      </c>
      <c r="FIY20">
        <v>0</v>
      </c>
      <c r="FIZ20">
        <v>0</v>
      </c>
      <c r="FJA20">
        <v>0</v>
      </c>
      <c r="FJB20">
        <v>323.99</v>
      </c>
      <c r="FJC20">
        <v>0</v>
      </c>
      <c r="FJD20">
        <v>44</v>
      </c>
      <c r="FJE20">
        <v>0</v>
      </c>
      <c r="FJF20">
        <v>0</v>
      </c>
      <c r="FJG20">
        <v>0</v>
      </c>
      <c r="FJH20">
        <v>0</v>
      </c>
      <c r="FJI20">
        <v>337.99</v>
      </c>
      <c r="FJJ20">
        <v>0</v>
      </c>
      <c r="FJK20">
        <v>0</v>
      </c>
      <c r="FJL20">
        <v>0</v>
      </c>
      <c r="FJM20">
        <v>0</v>
      </c>
      <c r="FJN20">
        <v>0</v>
      </c>
      <c r="FJO20">
        <v>0</v>
      </c>
      <c r="FJP20">
        <v>0</v>
      </c>
      <c r="FJQ20">
        <v>0</v>
      </c>
      <c r="FJR20">
        <v>0</v>
      </c>
      <c r="FJS20">
        <v>0</v>
      </c>
      <c r="FJT20">
        <v>130</v>
      </c>
      <c r="FJU20">
        <v>0</v>
      </c>
      <c r="FJV20">
        <v>0</v>
      </c>
      <c r="FJW20">
        <v>0</v>
      </c>
      <c r="FJX20">
        <v>0</v>
      </c>
      <c r="FJY20">
        <v>0</v>
      </c>
      <c r="FJZ20">
        <v>0</v>
      </c>
      <c r="FKA20">
        <v>16</v>
      </c>
      <c r="FKB20">
        <v>0</v>
      </c>
      <c r="FKC20">
        <v>0</v>
      </c>
      <c r="FKD20">
        <v>0</v>
      </c>
      <c r="FKE20">
        <v>0</v>
      </c>
      <c r="FKF20">
        <v>0</v>
      </c>
      <c r="FKG20">
        <v>0</v>
      </c>
      <c r="FKH20">
        <v>0</v>
      </c>
      <c r="FKI20">
        <v>0</v>
      </c>
      <c r="FKJ20">
        <v>0</v>
      </c>
      <c r="FKK20">
        <v>0</v>
      </c>
      <c r="FKL20">
        <v>0</v>
      </c>
      <c r="FKM20">
        <v>113</v>
      </c>
      <c r="FKN20">
        <v>0</v>
      </c>
      <c r="FKO20">
        <v>0</v>
      </c>
      <c r="FKP20">
        <v>0</v>
      </c>
      <c r="FKQ20">
        <v>0</v>
      </c>
      <c r="FKR20">
        <v>0</v>
      </c>
      <c r="FKS20">
        <v>0</v>
      </c>
      <c r="FKT20">
        <v>0</v>
      </c>
      <c r="FKU20">
        <v>0</v>
      </c>
      <c r="FKV20">
        <v>0</v>
      </c>
      <c r="FKW20">
        <v>0</v>
      </c>
      <c r="FKX20">
        <v>0</v>
      </c>
      <c r="FKY20">
        <v>0</v>
      </c>
      <c r="FKZ20">
        <v>0</v>
      </c>
      <c r="FLA20">
        <v>0</v>
      </c>
      <c r="FLB20">
        <v>0</v>
      </c>
      <c r="FLC20">
        <v>0</v>
      </c>
      <c r="FLD20">
        <v>0</v>
      </c>
      <c r="FLE20">
        <v>0</v>
      </c>
      <c r="FLF20">
        <v>0</v>
      </c>
      <c r="FLG20">
        <v>0</v>
      </c>
      <c r="FLH20">
        <v>0</v>
      </c>
      <c r="FLI20">
        <v>898.98</v>
      </c>
      <c r="FLJ20">
        <v>0</v>
      </c>
      <c r="FLK20">
        <v>0</v>
      </c>
      <c r="FLL20">
        <v>0</v>
      </c>
      <c r="FLM20">
        <v>0</v>
      </c>
      <c r="FLN20">
        <v>0</v>
      </c>
      <c r="FLO20">
        <v>0</v>
      </c>
      <c r="FLP20">
        <v>0</v>
      </c>
      <c r="FLQ20">
        <v>0</v>
      </c>
      <c r="FLR20">
        <v>0</v>
      </c>
      <c r="FLS20">
        <v>0</v>
      </c>
      <c r="FLT20">
        <v>0</v>
      </c>
      <c r="FLU20">
        <v>0</v>
      </c>
      <c r="FLV20">
        <v>0</v>
      </c>
      <c r="FLW20">
        <v>886.99</v>
      </c>
      <c r="FLX20">
        <v>0</v>
      </c>
      <c r="FLY20">
        <v>0</v>
      </c>
      <c r="FLZ20">
        <v>0</v>
      </c>
      <c r="FMA20">
        <v>303.99</v>
      </c>
      <c r="FMB20">
        <v>0</v>
      </c>
      <c r="FMC20">
        <v>0</v>
      </c>
      <c r="FMD20">
        <v>0</v>
      </c>
      <c r="FME20">
        <v>0</v>
      </c>
      <c r="FMF20">
        <v>0</v>
      </c>
      <c r="FMG20">
        <v>0</v>
      </c>
      <c r="FMH20">
        <v>0</v>
      </c>
      <c r="FMI20">
        <v>0</v>
      </c>
      <c r="FMJ20">
        <v>0</v>
      </c>
      <c r="FMK20">
        <v>0</v>
      </c>
      <c r="FML20">
        <v>0</v>
      </c>
      <c r="FMM20">
        <v>0</v>
      </c>
      <c r="FMN20">
        <v>0</v>
      </c>
      <c r="FMO20">
        <v>0</v>
      </c>
      <c r="FMP20">
        <v>0</v>
      </c>
      <c r="FMQ20">
        <v>0</v>
      </c>
      <c r="FMR20">
        <v>956.96</v>
      </c>
      <c r="FMS20">
        <v>32</v>
      </c>
      <c r="FMT20">
        <v>27</v>
      </c>
      <c r="FMU20">
        <v>0</v>
      </c>
      <c r="FMV20">
        <v>0</v>
      </c>
      <c r="FMW20">
        <v>43</v>
      </c>
      <c r="FMX20">
        <v>0</v>
      </c>
      <c r="FMY20">
        <v>0</v>
      </c>
      <c r="FMZ20">
        <v>0</v>
      </c>
      <c r="FNA20">
        <v>0</v>
      </c>
      <c r="FNB20">
        <v>0</v>
      </c>
      <c r="FNC20">
        <v>0</v>
      </c>
      <c r="FND20">
        <v>0</v>
      </c>
      <c r="FNE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0</v>
      </c>
      <c r="FNM20">
        <v>0</v>
      </c>
      <c r="FNN20">
        <v>0</v>
      </c>
      <c r="FNO20">
        <v>0</v>
      </c>
      <c r="FNP20">
        <v>0</v>
      </c>
      <c r="FNQ20">
        <v>0</v>
      </c>
      <c r="FNR20">
        <v>0</v>
      </c>
      <c r="FNS20">
        <v>0</v>
      </c>
      <c r="FNT20">
        <v>0</v>
      </c>
      <c r="FNU20">
        <v>0</v>
      </c>
      <c r="FNV20">
        <v>0</v>
      </c>
      <c r="FNW20">
        <v>0</v>
      </c>
      <c r="FNX20">
        <v>0</v>
      </c>
      <c r="FNY20">
        <v>0</v>
      </c>
      <c r="FNZ20">
        <v>0</v>
      </c>
      <c r="FOA20">
        <v>780.95</v>
      </c>
      <c r="FOB20">
        <v>0</v>
      </c>
      <c r="FOC20">
        <v>0</v>
      </c>
      <c r="FOD20">
        <v>0</v>
      </c>
      <c r="FOE20">
        <v>97</v>
      </c>
      <c r="FOF20">
        <v>0</v>
      </c>
      <c r="FOG20">
        <v>0</v>
      </c>
      <c r="FOH20">
        <v>0</v>
      </c>
      <c r="FOI20">
        <v>0</v>
      </c>
      <c r="FOJ20">
        <v>0</v>
      </c>
      <c r="FOK20">
        <v>0</v>
      </c>
      <c r="FOL20">
        <v>31</v>
      </c>
      <c r="FOM20">
        <v>228</v>
      </c>
      <c r="FON20">
        <v>0</v>
      </c>
      <c r="FOO20">
        <v>0</v>
      </c>
      <c r="FOP20">
        <v>0</v>
      </c>
      <c r="FOQ20">
        <v>0</v>
      </c>
      <c r="FOR20">
        <v>0</v>
      </c>
      <c r="FOS20">
        <v>81.99</v>
      </c>
      <c r="FOT20">
        <v>521.98</v>
      </c>
      <c r="FOU20">
        <v>0</v>
      </c>
      <c r="FOV20">
        <v>0</v>
      </c>
      <c r="FOW20">
        <v>0</v>
      </c>
      <c r="FOX20">
        <v>0</v>
      </c>
      <c r="FOY20">
        <v>0</v>
      </c>
      <c r="FOZ20">
        <v>0</v>
      </c>
      <c r="FPA20">
        <v>747.96</v>
      </c>
      <c r="FPB20">
        <v>45</v>
      </c>
      <c r="FPC20">
        <v>45</v>
      </c>
      <c r="FPD20">
        <v>0</v>
      </c>
      <c r="FPE20">
        <v>0</v>
      </c>
      <c r="FPF20">
        <v>76</v>
      </c>
      <c r="FPG20">
        <v>0</v>
      </c>
      <c r="FPH20">
        <v>0</v>
      </c>
      <c r="FPI20">
        <v>144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Q20">
        <v>0</v>
      </c>
      <c r="FPR20">
        <v>0</v>
      </c>
      <c r="FPS20">
        <v>54</v>
      </c>
      <c r="FPT20">
        <v>0</v>
      </c>
      <c r="FPU20">
        <v>0</v>
      </c>
      <c r="FPV20">
        <v>0</v>
      </c>
      <c r="FPW20">
        <v>119</v>
      </c>
      <c r="FPX20">
        <v>0</v>
      </c>
      <c r="FPY20">
        <v>0</v>
      </c>
      <c r="FPZ20">
        <v>0</v>
      </c>
      <c r="FQA20">
        <v>0</v>
      </c>
      <c r="FQB20">
        <v>19</v>
      </c>
      <c r="FQC20">
        <v>0</v>
      </c>
      <c r="FQD20">
        <v>203.99</v>
      </c>
      <c r="FQE20">
        <v>0</v>
      </c>
      <c r="FQF20">
        <v>0</v>
      </c>
      <c r="FQG20">
        <v>0</v>
      </c>
      <c r="FQH20">
        <v>0</v>
      </c>
      <c r="FQI20">
        <v>0</v>
      </c>
      <c r="FQJ20">
        <v>1115.95</v>
      </c>
      <c r="FQK20">
        <v>0</v>
      </c>
      <c r="FQL20">
        <v>0</v>
      </c>
      <c r="FQM20">
        <v>0</v>
      </c>
      <c r="FQN20">
        <v>0</v>
      </c>
      <c r="FQO20">
        <v>0</v>
      </c>
      <c r="FQP20">
        <v>0</v>
      </c>
      <c r="FQQ20">
        <v>0</v>
      </c>
      <c r="FQR20">
        <v>0</v>
      </c>
      <c r="FQS20">
        <v>403.99</v>
      </c>
      <c r="FQT20">
        <v>0</v>
      </c>
      <c r="FQU20">
        <v>0</v>
      </c>
      <c r="FQV20">
        <v>0</v>
      </c>
      <c r="FQW20">
        <v>0</v>
      </c>
      <c r="FQX20">
        <v>0</v>
      </c>
      <c r="FQY20">
        <v>0</v>
      </c>
      <c r="FQZ20">
        <v>26</v>
      </c>
      <c r="FRA20">
        <v>0</v>
      </c>
      <c r="FRB20">
        <v>0</v>
      </c>
      <c r="FRC20">
        <v>683.95</v>
      </c>
      <c r="FRD20">
        <v>0</v>
      </c>
      <c r="FRE20">
        <v>0</v>
      </c>
      <c r="FRF20">
        <v>0</v>
      </c>
      <c r="FRG20">
        <v>0</v>
      </c>
      <c r="FRH20">
        <v>0</v>
      </c>
      <c r="FRI20">
        <v>0</v>
      </c>
      <c r="FRJ20">
        <v>0</v>
      </c>
      <c r="FRK20">
        <v>73</v>
      </c>
      <c r="FRL20">
        <v>0</v>
      </c>
      <c r="FRM20">
        <v>757.96</v>
      </c>
      <c r="FRN20">
        <v>0</v>
      </c>
      <c r="FRO20">
        <v>0</v>
      </c>
      <c r="FRP20">
        <v>189</v>
      </c>
      <c r="FRQ20">
        <v>183</v>
      </c>
      <c r="FRR20">
        <v>0</v>
      </c>
      <c r="FRS20">
        <v>0</v>
      </c>
      <c r="FRT20">
        <v>0</v>
      </c>
      <c r="FRU20">
        <v>0</v>
      </c>
      <c r="FRV20">
        <v>0</v>
      </c>
      <c r="FRW20">
        <v>0</v>
      </c>
      <c r="FRX20">
        <v>0</v>
      </c>
      <c r="FRY20">
        <v>0</v>
      </c>
      <c r="FRZ20">
        <v>0</v>
      </c>
      <c r="FSA20">
        <v>0</v>
      </c>
      <c r="FSB20">
        <v>0</v>
      </c>
      <c r="FSC20">
        <v>0</v>
      </c>
      <c r="FSD20">
        <v>0</v>
      </c>
      <c r="FSE20">
        <v>0</v>
      </c>
      <c r="FSF20">
        <v>0</v>
      </c>
      <c r="FSG20">
        <v>244</v>
      </c>
      <c r="FSH20">
        <v>0</v>
      </c>
      <c r="FSI20">
        <v>0</v>
      </c>
      <c r="FSJ20">
        <v>0</v>
      </c>
      <c r="FSK20">
        <v>0</v>
      </c>
      <c r="FSL20">
        <v>0</v>
      </c>
      <c r="FSM20">
        <v>0</v>
      </c>
      <c r="FSN20">
        <v>0</v>
      </c>
      <c r="FSO20">
        <v>103</v>
      </c>
      <c r="FSP20">
        <v>0</v>
      </c>
      <c r="FSQ20">
        <v>0</v>
      </c>
      <c r="FSR20">
        <v>308.99</v>
      </c>
      <c r="FSS20">
        <v>0</v>
      </c>
      <c r="FST20">
        <v>0</v>
      </c>
      <c r="FSU20">
        <v>0</v>
      </c>
      <c r="FSV20">
        <v>0</v>
      </c>
      <c r="FSW20">
        <v>0</v>
      </c>
      <c r="FSX20">
        <v>0</v>
      </c>
      <c r="FSY20">
        <v>0</v>
      </c>
      <c r="FSZ20">
        <v>0</v>
      </c>
      <c r="FTA20">
        <v>0</v>
      </c>
      <c r="FTB20">
        <v>0</v>
      </c>
      <c r="FTC20">
        <v>0</v>
      </c>
      <c r="FTD20">
        <v>0</v>
      </c>
      <c r="FTE20">
        <v>0</v>
      </c>
      <c r="FTF20">
        <v>0</v>
      </c>
      <c r="FTG20">
        <v>0</v>
      </c>
      <c r="FTH20">
        <v>0</v>
      </c>
      <c r="FTI20">
        <v>0</v>
      </c>
      <c r="FTJ20">
        <v>0</v>
      </c>
      <c r="FTK20">
        <v>0</v>
      </c>
      <c r="FTL20">
        <v>0</v>
      </c>
      <c r="FTM20">
        <v>0</v>
      </c>
      <c r="FTN20">
        <v>0</v>
      </c>
      <c r="FTO20">
        <v>0</v>
      </c>
      <c r="FTP20">
        <v>0</v>
      </c>
      <c r="FTQ20">
        <v>0</v>
      </c>
      <c r="FTR20">
        <v>0</v>
      </c>
      <c r="FTS20">
        <v>0</v>
      </c>
      <c r="FTT20">
        <v>0</v>
      </c>
      <c r="FTU20">
        <v>227.99</v>
      </c>
      <c r="FTV20">
        <v>0</v>
      </c>
      <c r="FTW20">
        <v>0</v>
      </c>
      <c r="FTX20">
        <v>0</v>
      </c>
      <c r="FTY20">
        <v>0</v>
      </c>
      <c r="FTZ20">
        <v>103</v>
      </c>
      <c r="FUA20">
        <v>0</v>
      </c>
      <c r="FUB20">
        <v>0</v>
      </c>
      <c r="FUC20">
        <v>0</v>
      </c>
      <c r="FUD20">
        <v>0</v>
      </c>
      <c r="FUE20">
        <v>0</v>
      </c>
      <c r="FUF20">
        <v>1423.96</v>
      </c>
      <c r="FUG20">
        <v>0</v>
      </c>
      <c r="FUH20">
        <v>0</v>
      </c>
      <c r="FUI20">
        <v>0</v>
      </c>
      <c r="FUJ20">
        <v>0</v>
      </c>
      <c r="FUK20">
        <v>0</v>
      </c>
      <c r="FUL20">
        <v>0</v>
      </c>
      <c r="FUM20">
        <v>0</v>
      </c>
      <c r="FUN20">
        <v>0</v>
      </c>
      <c r="FUO20">
        <v>0</v>
      </c>
      <c r="FUP20">
        <v>44</v>
      </c>
      <c r="FUQ20">
        <v>0</v>
      </c>
      <c r="FUR20">
        <v>0</v>
      </c>
      <c r="FUS20">
        <v>0</v>
      </c>
      <c r="FUT20">
        <v>0</v>
      </c>
      <c r="FUU20">
        <v>1474.94</v>
      </c>
      <c r="FUV20">
        <v>0</v>
      </c>
      <c r="FUW20">
        <v>0</v>
      </c>
      <c r="FUX20">
        <v>0</v>
      </c>
      <c r="FUY20">
        <v>0</v>
      </c>
      <c r="FUZ20">
        <v>270.99</v>
      </c>
      <c r="FVA20">
        <v>0</v>
      </c>
      <c r="FVB20">
        <v>0</v>
      </c>
      <c r="FVC20">
        <v>0</v>
      </c>
      <c r="FVD20">
        <v>0</v>
      </c>
      <c r="FVE20">
        <v>0</v>
      </c>
      <c r="FVF20">
        <v>0</v>
      </c>
      <c r="FVG20">
        <v>207.99</v>
      </c>
      <c r="FVH20">
        <v>0</v>
      </c>
      <c r="FVI20">
        <v>0</v>
      </c>
      <c r="FVJ20">
        <v>0</v>
      </c>
      <c r="FVK20">
        <v>0</v>
      </c>
      <c r="FVL20">
        <v>0</v>
      </c>
      <c r="FVM20">
        <v>0</v>
      </c>
      <c r="FVN20">
        <v>69</v>
      </c>
      <c r="FVO20">
        <v>27</v>
      </c>
      <c r="FVP20">
        <v>915.99</v>
      </c>
      <c r="FVQ20">
        <v>0</v>
      </c>
      <c r="FVR20">
        <v>0</v>
      </c>
      <c r="FVS20">
        <v>1542.9</v>
      </c>
      <c r="FVT20">
        <v>0</v>
      </c>
      <c r="FVU20">
        <v>0</v>
      </c>
      <c r="FVV20">
        <v>36</v>
      </c>
      <c r="FVW20">
        <v>0</v>
      </c>
      <c r="FVX20">
        <v>0</v>
      </c>
      <c r="FVY20">
        <v>0</v>
      </c>
      <c r="FVZ20">
        <v>0</v>
      </c>
      <c r="FWB20">
        <v>0</v>
      </c>
      <c r="FWC20">
        <v>0</v>
      </c>
      <c r="FWD20">
        <v>0</v>
      </c>
      <c r="FWE20">
        <v>0</v>
      </c>
      <c r="FWF20">
        <v>0</v>
      </c>
      <c r="FWG20">
        <v>0</v>
      </c>
      <c r="FWH20">
        <v>0</v>
      </c>
      <c r="FWI20">
        <v>0</v>
      </c>
      <c r="FWJ20">
        <v>48</v>
      </c>
      <c r="FWK20">
        <v>0</v>
      </c>
      <c r="FWL20">
        <v>0</v>
      </c>
      <c r="FWM20">
        <v>0</v>
      </c>
      <c r="FWN20">
        <v>0</v>
      </c>
      <c r="FWO20">
        <v>0</v>
      </c>
      <c r="FWP20">
        <v>0</v>
      </c>
      <c r="FWQ20">
        <v>440.99</v>
      </c>
      <c r="FWR20">
        <v>0</v>
      </c>
      <c r="FWS20">
        <v>0</v>
      </c>
      <c r="FWT20">
        <v>0</v>
      </c>
      <c r="FWU20">
        <v>250.98</v>
      </c>
      <c r="FWV20">
        <v>0</v>
      </c>
      <c r="FWW20">
        <v>782.98</v>
      </c>
      <c r="FWX20">
        <v>258.99</v>
      </c>
      <c r="FWY20">
        <v>0</v>
      </c>
      <c r="FWZ20">
        <v>0</v>
      </c>
      <c r="FXA20">
        <v>0</v>
      </c>
      <c r="FXB20">
        <v>0</v>
      </c>
      <c r="FXC20">
        <v>0</v>
      </c>
      <c r="FXD20">
        <v>0</v>
      </c>
      <c r="FXE20">
        <v>0</v>
      </c>
      <c r="FXF20">
        <v>0</v>
      </c>
      <c r="FXG20">
        <v>0</v>
      </c>
      <c r="FXH20">
        <v>78</v>
      </c>
      <c r="FXI20">
        <v>0</v>
      </c>
      <c r="FXJ20">
        <v>130</v>
      </c>
      <c r="FXK20">
        <v>0</v>
      </c>
      <c r="FXL20">
        <v>0</v>
      </c>
      <c r="FXM20">
        <v>0</v>
      </c>
      <c r="FXN20">
        <v>0</v>
      </c>
      <c r="FXO20">
        <v>236</v>
      </c>
      <c r="FXP20">
        <v>0</v>
      </c>
      <c r="FXQ20">
        <v>0</v>
      </c>
      <c r="FXR20">
        <v>0</v>
      </c>
      <c r="FXS20">
        <v>0</v>
      </c>
      <c r="FXT20">
        <v>142</v>
      </c>
      <c r="FXU20">
        <v>0</v>
      </c>
      <c r="FXV20">
        <v>0</v>
      </c>
      <c r="FXW20">
        <v>0</v>
      </c>
      <c r="FXX20">
        <v>81.99</v>
      </c>
      <c r="FXY20">
        <v>0</v>
      </c>
      <c r="FXZ20">
        <v>0</v>
      </c>
      <c r="FYA20">
        <v>0</v>
      </c>
      <c r="FYB20">
        <v>0</v>
      </c>
      <c r="FYC20">
        <v>0</v>
      </c>
      <c r="FYD20">
        <v>481.99</v>
      </c>
      <c r="FYE20">
        <v>0</v>
      </c>
      <c r="FYF20">
        <v>0</v>
      </c>
      <c r="FYG20">
        <v>1761.92</v>
      </c>
      <c r="FYH20">
        <v>87</v>
      </c>
      <c r="FYI20">
        <v>0</v>
      </c>
      <c r="FYJ20">
        <v>0</v>
      </c>
      <c r="FYK20">
        <v>0</v>
      </c>
      <c r="FYL20">
        <v>27</v>
      </c>
      <c r="FYM20">
        <v>0</v>
      </c>
      <c r="FYN20">
        <v>93</v>
      </c>
      <c r="FYO20">
        <v>0</v>
      </c>
      <c r="FYP20">
        <v>0</v>
      </c>
      <c r="FYQ20">
        <v>0</v>
      </c>
      <c r="FYR20">
        <v>198</v>
      </c>
      <c r="FYS20">
        <v>258.99</v>
      </c>
      <c r="FYT20">
        <v>0</v>
      </c>
      <c r="FYU20">
        <v>0</v>
      </c>
      <c r="FYV20">
        <v>0</v>
      </c>
      <c r="FYW20">
        <v>0</v>
      </c>
      <c r="FYX20">
        <v>0</v>
      </c>
      <c r="FYY20">
        <v>0</v>
      </c>
      <c r="FYZ20">
        <v>0</v>
      </c>
      <c r="FZA20">
        <v>101</v>
      </c>
      <c r="FZB20">
        <v>0</v>
      </c>
      <c r="FZC20">
        <v>0</v>
      </c>
      <c r="FZD20">
        <v>0</v>
      </c>
      <c r="FZE20">
        <v>110</v>
      </c>
      <c r="FZF20">
        <v>0</v>
      </c>
      <c r="FZG20">
        <v>0</v>
      </c>
      <c r="FZH20">
        <v>0</v>
      </c>
      <c r="FZI20">
        <v>0</v>
      </c>
      <c r="FZJ20">
        <v>0</v>
      </c>
      <c r="FZK20">
        <v>0</v>
      </c>
      <c r="FZL20">
        <v>0</v>
      </c>
      <c r="FZM20">
        <v>90</v>
      </c>
      <c r="FZN20">
        <v>0</v>
      </c>
      <c r="FZO20">
        <v>1703.96</v>
      </c>
      <c r="FZP20">
        <v>0</v>
      </c>
      <c r="FZQ20">
        <v>0</v>
      </c>
      <c r="FZR20">
        <v>0</v>
      </c>
      <c r="FZS20">
        <v>0</v>
      </c>
      <c r="FZT20">
        <v>252</v>
      </c>
      <c r="FZU20">
        <v>0</v>
      </c>
      <c r="FZV20">
        <v>0</v>
      </c>
      <c r="FZW20">
        <v>0</v>
      </c>
      <c r="FZX20">
        <v>0</v>
      </c>
      <c r="FZY20">
        <v>0</v>
      </c>
      <c r="FZZ20">
        <v>0</v>
      </c>
      <c r="GAA20">
        <v>0</v>
      </c>
      <c r="GAB20">
        <v>0</v>
      </c>
      <c r="GAC20">
        <v>0</v>
      </c>
      <c r="GAD20">
        <v>53</v>
      </c>
      <c r="GAE20">
        <v>0</v>
      </c>
      <c r="GAF20">
        <v>0</v>
      </c>
      <c r="GAG20">
        <v>1984.95</v>
      </c>
      <c r="GAH20">
        <v>0</v>
      </c>
      <c r="GAI20">
        <v>0</v>
      </c>
      <c r="GAJ20">
        <v>0</v>
      </c>
      <c r="GAK20">
        <v>0</v>
      </c>
      <c r="GAL20">
        <v>265.98</v>
      </c>
      <c r="GAM20">
        <v>0</v>
      </c>
      <c r="GAN20">
        <v>0</v>
      </c>
      <c r="GAO20">
        <v>0</v>
      </c>
      <c r="GAP20">
        <v>0</v>
      </c>
      <c r="GAQ20">
        <v>0</v>
      </c>
      <c r="GAR20">
        <v>0</v>
      </c>
      <c r="GAS20">
        <v>0</v>
      </c>
      <c r="GAT20">
        <v>0</v>
      </c>
      <c r="GAU20">
        <v>79</v>
      </c>
      <c r="GAV20">
        <v>0</v>
      </c>
      <c r="GAW20">
        <v>175.99</v>
      </c>
      <c r="GAX20">
        <v>0</v>
      </c>
      <c r="GAY20">
        <v>0</v>
      </c>
      <c r="GAZ20">
        <v>0</v>
      </c>
      <c r="GBA20">
        <v>0</v>
      </c>
      <c r="GBB20">
        <v>0</v>
      </c>
      <c r="GBC20">
        <v>0</v>
      </c>
      <c r="GBD20">
        <v>0</v>
      </c>
      <c r="GBE20">
        <v>685.98</v>
      </c>
      <c r="GBF20">
        <v>0</v>
      </c>
      <c r="GBG20">
        <v>0</v>
      </c>
      <c r="GBH20">
        <v>0</v>
      </c>
      <c r="GBI20">
        <v>0</v>
      </c>
      <c r="GBJ20">
        <v>0</v>
      </c>
      <c r="GBK20">
        <v>0</v>
      </c>
      <c r="GBL20">
        <v>0</v>
      </c>
      <c r="GBM20">
        <v>0</v>
      </c>
      <c r="GBN20">
        <v>0</v>
      </c>
      <c r="GBO20">
        <v>33</v>
      </c>
      <c r="GBP20">
        <v>0</v>
      </c>
      <c r="GBQ20">
        <v>0</v>
      </c>
      <c r="GBR20">
        <v>79</v>
      </c>
      <c r="GBS20">
        <v>73</v>
      </c>
      <c r="GBT20">
        <v>0</v>
      </c>
      <c r="GBU20">
        <v>0</v>
      </c>
      <c r="GBV20">
        <v>0</v>
      </c>
      <c r="GBW20">
        <v>599.98</v>
      </c>
      <c r="GBX20">
        <v>492.98</v>
      </c>
      <c r="GBY20">
        <v>0</v>
      </c>
      <c r="GBZ20">
        <v>0</v>
      </c>
      <c r="GCA20">
        <v>224.99</v>
      </c>
      <c r="GCB20">
        <v>0</v>
      </c>
      <c r="GCC20">
        <v>0</v>
      </c>
      <c r="GCD20">
        <v>0</v>
      </c>
      <c r="GCE20">
        <v>0</v>
      </c>
      <c r="GCF20">
        <v>0</v>
      </c>
      <c r="GCG20">
        <v>109</v>
      </c>
      <c r="GCH20">
        <v>0</v>
      </c>
      <c r="GCI20">
        <v>391</v>
      </c>
      <c r="GCJ20">
        <v>0</v>
      </c>
      <c r="GCK20">
        <v>0</v>
      </c>
      <c r="GCL20">
        <v>0</v>
      </c>
      <c r="GCM20">
        <v>0</v>
      </c>
      <c r="GCN20">
        <v>67</v>
      </c>
      <c r="GCO20">
        <v>0</v>
      </c>
      <c r="GCP20">
        <v>0</v>
      </c>
      <c r="GCQ20">
        <v>0</v>
      </c>
      <c r="GCR20">
        <v>0</v>
      </c>
      <c r="GCS20">
        <v>0</v>
      </c>
      <c r="GCT20">
        <v>0</v>
      </c>
      <c r="GCU20">
        <v>0</v>
      </c>
      <c r="GCV20">
        <v>0</v>
      </c>
      <c r="GCW20">
        <v>0</v>
      </c>
      <c r="GCX20">
        <v>0</v>
      </c>
      <c r="GCY20">
        <v>0</v>
      </c>
      <c r="GCZ20">
        <v>0</v>
      </c>
      <c r="GDA20">
        <v>0</v>
      </c>
      <c r="GDB20">
        <v>0</v>
      </c>
      <c r="GDC20">
        <v>82</v>
      </c>
      <c r="GDD20">
        <v>0</v>
      </c>
      <c r="GDE20">
        <v>563.98</v>
      </c>
      <c r="GDF20">
        <v>44</v>
      </c>
      <c r="GDG20">
        <v>0</v>
      </c>
      <c r="GDH20">
        <v>0</v>
      </c>
      <c r="GDI20">
        <v>0</v>
      </c>
      <c r="GDJ20">
        <v>0</v>
      </c>
      <c r="GDK20">
        <v>0</v>
      </c>
      <c r="GDL20">
        <v>0</v>
      </c>
      <c r="GDM20">
        <v>46</v>
      </c>
      <c r="GDN20">
        <v>0</v>
      </c>
      <c r="GDO20">
        <v>0</v>
      </c>
      <c r="GDP20">
        <v>0</v>
      </c>
      <c r="GDQ20">
        <v>0</v>
      </c>
      <c r="GDR20">
        <v>0</v>
      </c>
      <c r="GDS20">
        <v>0</v>
      </c>
      <c r="GDT20">
        <v>0</v>
      </c>
      <c r="GDU20">
        <v>0</v>
      </c>
      <c r="GDV20">
        <v>0</v>
      </c>
      <c r="GDW20">
        <v>50</v>
      </c>
      <c r="GDX20">
        <v>0</v>
      </c>
      <c r="GDY20">
        <v>0</v>
      </c>
      <c r="GDZ20">
        <v>0</v>
      </c>
      <c r="GEA20">
        <v>0</v>
      </c>
      <c r="GEB20">
        <v>94</v>
      </c>
      <c r="GEC20">
        <v>0</v>
      </c>
      <c r="GED20">
        <v>0</v>
      </c>
      <c r="GEE20">
        <v>1082</v>
      </c>
      <c r="GEF20">
        <v>0</v>
      </c>
      <c r="GEG20">
        <v>0</v>
      </c>
      <c r="GEH20">
        <v>63.99</v>
      </c>
      <c r="GEI20">
        <v>0</v>
      </c>
      <c r="GEJ20">
        <v>0</v>
      </c>
      <c r="GEK20">
        <v>0</v>
      </c>
      <c r="GEL20">
        <v>0</v>
      </c>
      <c r="GEM20">
        <v>0</v>
      </c>
      <c r="GEN20">
        <v>186.99</v>
      </c>
      <c r="GEO20">
        <v>19</v>
      </c>
      <c r="GEP20">
        <v>0</v>
      </c>
      <c r="GEQ20">
        <v>0</v>
      </c>
      <c r="GER20">
        <v>0</v>
      </c>
      <c r="GES20">
        <v>0</v>
      </c>
      <c r="GET20">
        <v>1140.97</v>
      </c>
      <c r="GEU20">
        <v>0</v>
      </c>
      <c r="GEV20">
        <v>0</v>
      </c>
      <c r="GEW20">
        <v>0</v>
      </c>
      <c r="GEX20">
        <v>0</v>
      </c>
      <c r="GEY20">
        <v>0</v>
      </c>
      <c r="GEZ20">
        <v>0</v>
      </c>
      <c r="GFA20">
        <v>0</v>
      </c>
      <c r="GFB20">
        <v>0</v>
      </c>
      <c r="GFC20">
        <v>0</v>
      </c>
      <c r="GFD20">
        <v>0</v>
      </c>
      <c r="GFE20">
        <v>0</v>
      </c>
      <c r="GFF20">
        <v>0</v>
      </c>
      <c r="GFG20">
        <v>0</v>
      </c>
      <c r="GFH20">
        <v>0</v>
      </c>
      <c r="GFI20">
        <v>0</v>
      </c>
      <c r="GFJ20">
        <v>0</v>
      </c>
      <c r="GFK20">
        <v>401.99</v>
      </c>
      <c r="GFL20">
        <v>0</v>
      </c>
      <c r="GFM20">
        <v>0</v>
      </c>
      <c r="GFN20">
        <v>0</v>
      </c>
      <c r="GFO20">
        <v>0</v>
      </c>
      <c r="GFP20">
        <v>0</v>
      </c>
      <c r="GFQ20">
        <v>0</v>
      </c>
      <c r="GFR20">
        <v>0</v>
      </c>
      <c r="GFS20">
        <v>0</v>
      </c>
      <c r="GFT20">
        <v>0</v>
      </c>
      <c r="GFU20">
        <v>95</v>
      </c>
      <c r="GFV20">
        <v>0</v>
      </c>
      <c r="GFW20">
        <v>0</v>
      </c>
      <c r="GFX20">
        <v>0</v>
      </c>
      <c r="GFY20">
        <v>0</v>
      </c>
      <c r="GFZ20">
        <v>0</v>
      </c>
      <c r="GGA20">
        <v>0</v>
      </c>
      <c r="GGB20">
        <v>36.99</v>
      </c>
      <c r="GGC20">
        <v>2873.94</v>
      </c>
      <c r="GGD20">
        <v>0</v>
      </c>
      <c r="GGE20">
        <v>0</v>
      </c>
      <c r="GGF20">
        <v>582.96</v>
      </c>
      <c r="GGG20">
        <v>231</v>
      </c>
      <c r="GGH20">
        <v>0</v>
      </c>
      <c r="GGI20">
        <v>2935.95</v>
      </c>
      <c r="GGJ20">
        <v>2215.94</v>
      </c>
      <c r="GGK20">
        <v>0</v>
      </c>
      <c r="GGL20">
        <v>0</v>
      </c>
      <c r="GGM20">
        <v>959.97</v>
      </c>
      <c r="GGN20">
        <v>1021.96</v>
      </c>
      <c r="GGO20">
        <v>508.99</v>
      </c>
      <c r="GGP20">
        <v>74</v>
      </c>
      <c r="GGQ20">
        <v>0</v>
      </c>
      <c r="GGR20">
        <v>401.98</v>
      </c>
      <c r="GGS20">
        <v>0</v>
      </c>
      <c r="GGT20">
        <v>0</v>
      </c>
      <c r="GGU20">
        <v>3064.9</v>
      </c>
      <c r="GGV20">
        <v>0</v>
      </c>
      <c r="GGW20">
        <v>0</v>
      </c>
      <c r="GGX20">
        <v>0</v>
      </c>
      <c r="GGY20">
        <v>0</v>
      </c>
      <c r="GGZ20">
        <v>0</v>
      </c>
      <c r="GHA20">
        <v>653.99</v>
      </c>
      <c r="GHB20">
        <v>0</v>
      </c>
      <c r="GHC20">
        <v>0</v>
      </c>
      <c r="GHD20">
        <v>0</v>
      </c>
      <c r="GHE20">
        <v>0</v>
      </c>
      <c r="GHF20">
        <v>0</v>
      </c>
      <c r="GHG20">
        <v>0</v>
      </c>
      <c r="GHH20">
        <v>77.989999999999995</v>
      </c>
      <c r="GHI20">
        <v>23</v>
      </c>
      <c r="GHJ20">
        <v>0</v>
      </c>
      <c r="GHK20">
        <v>0</v>
      </c>
      <c r="GHL20">
        <v>373</v>
      </c>
      <c r="GHM20">
        <v>0</v>
      </c>
      <c r="GHN20">
        <v>440.98</v>
      </c>
      <c r="GHO20">
        <v>0</v>
      </c>
      <c r="GHP20">
        <v>0</v>
      </c>
      <c r="GHQ20">
        <v>0</v>
      </c>
      <c r="GHR20">
        <v>12</v>
      </c>
      <c r="GHS20">
        <v>381.99</v>
      </c>
      <c r="GHT20">
        <v>0</v>
      </c>
      <c r="GHU20">
        <v>0</v>
      </c>
      <c r="GHV20">
        <v>0</v>
      </c>
      <c r="GHW20">
        <v>0</v>
      </c>
      <c r="GHX20">
        <v>124</v>
      </c>
      <c r="GHY20">
        <v>0</v>
      </c>
      <c r="GHZ20">
        <v>0</v>
      </c>
      <c r="GIA20">
        <v>0</v>
      </c>
      <c r="GIB20">
        <v>0</v>
      </c>
      <c r="GIC20">
        <v>0</v>
      </c>
      <c r="GID20">
        <v>0</v>
      </c>
      <c r="GIE20">
        <v>0</v>
      </c>
      <c r="GIF20">
        <v>0</v>
      </c>
      <c r="GIG20">
        <v>0</v>
      </c>
      <c r="GIH20">
        <v>45</v>
      </c>
      <c r="GII20">
        <v>0</v>
      </c>
      <c r="GIJ20">
        <v>0</v>
      </c>
      <c r="GIK20">
        <v>0</v>
      </c>
      <c r="GIL20">
        <v>184.98</v>
      </c>
      <c r="GIM20">
        <v>190</v>
      </c>
      <c r="GIN20">
        <v>0</v>
      </c>
      <c r="GIO20">
        <v>0</v>
      </c>
      <c r="GIP20">
        <v>0</v>
      </c>
      <c r="GIQ20">
        <v>0</v>
      </c>
      <c r="GIR20">
        <v>2039.9</v>
      </c>
      <c r="GIS20">
        <v>0</v>
      </c>
      <c r="GIT20">
        <v>0</v>
      </c>
      <c r="GIU20">
        <v>0</v>
      </c>
      <c r="GIV20">
        <v>0</v>
      </c>
      <c r="GIW20">
        <v>0</v>
      </c>
      <c r="GIX20">
        <v>0</v>
      </c>
      <c r="GIY20">
        <v>42</v>
      </c>
      <c r="GIZ20">
        <v>0</v>
      </c>
      <c r="GJA20">
        <v>0</v>
      </c>
      <c r="GJB20">
        <v>0</v>
      </c>
      <c r="GJC20">
        <v>0</v>
      </c>
      <c r="GJD20">
        <v>0</v>
      </c>
      <c r="GJE20">
        <v>0</v>
      </c>
      <c r="GJF20">
        <v>0</v>
      </c>
      <c r="GJG20">
        <v>146.99</v>
      </c>
      <c r="GJH20">
        <v>0</v>
      </c>
      <c r="GJI20">
        <v>0</v>
      </c>
      <c r="GJJ20">
        <v>0</v>
      </c>
      <c r="GJK20">
        <v>0</v>
      </c>
      <c r="GJL20">
        <v>297.99</v>
      </c>
      <c r="GJM20">
        <v>3982.8</v>
      </c>
      <c r="GJN20">
        <v>0</v>
      </c>
      <c r="GJO20">
        <v>0</v>
      </c>
      <c r="GJP20">
        <v>267</v>
      </c>
      <c r="GJQ20">
        <v>0</v>
      </c>
      <c r="GJR20">
        <v>2010.88</v>
      </c>
      <c r="GJS20">
        <v>0</v>
      </c>
      <c r="GJT20">
        <v>0</v>
      </c>
      <c r="GJU20">
        <v>0</v>
      </c>
      <c r="GJV20">
        <v>0</v>
      </c>
      <c r="GJW20">
        <v>0</v>
      </c>
      <c r="GJX20">
        <v>0</v>
      </c>
      <c r="GJY20">
        <v>0</v>
      </c>
      <c r="GJZ20">
        <v>0</v>
      </c>
      <c r="GKA20">
        <v>0</v>
      </c>
      <c r="GKB20">
        <v>0</v>
      </c>
      <c r="GKC20">
        <v>0</v>
      </c>
      <c r="GKD20">
        <v>0</v>
      </c>
      <c r="GKE20">
        <v>0</v>
      </c>
      <c r="GKF20">
        <v>0</v>
      </c>
      <c r="GKG20">
        <v>0</v>
      </c>
      <c r="GKH20">
        <v>0</v>
      </c>
      <c r="GKI20">
        <v>0</v>
      </c>
      <c r="GKJ20">
        <v>0</v>
      </c>
      <c r="GKK20">
        <v>0</v>
      </c>
      <c r="GKL20">
        <v>0</v>
      </c>
      <c r="GKM20">
        <v>0</v>
      </c>
      <c r="GKN20">
        <v>0</v>
      </c>
      <c r="GKO20">
        <v>0</v>
      </c>
      <c r="GKP20">
        <v>97</v>
      </c>
      <c r="GKQ20">
        <v>0</v>
      </c>
      <c r="GKR20">
        <v>2766.86</v>
      </c>
      <c r="GKS20">
        <v>0</v>
      </c>
      <c r="GKT20">
        <v>83</v>
      </c>
      <c r="GKU20">
        <v>0</v>
      </c>
      <c r="GKV20">
        <v>0</v>
      </c>
      <c r="GKW20">
        <v>0</v>
      </c>
      <c r="GKX20">
        <v>3402.85</v>
      </c>
      <c r="GKY20">
        <v>43.99</v>
      </c>
      <c r="GKZ20">
        <v>325.99</v>
      </c>
      <c r="GLA20">
        <v>0</v>
      </c>
      <c r="GLB20">
        <v>0</v>
      </c>
      <c r="GLC20">
        <v>0</v>
      </c>
      <c r="GLD20">
        <v>0</v>
      </c>
      <c r="GLE20">
        <v>202</v>
      </c>
      <c r="GLF20">
        <v>137.99</v>
      </c>
      <c r="GLG20">
        <v>0</v>
      </c>
      <c r="GLH20">
        <v>0</v>
      </c>
      <c r="GLI20">
        <v>0</v>
      </c>
      <c r="GLJ20">
        <v>0</v>
      </c>
      <c r="GLK20">
        <v>0</v>
      </c>
      <c r="GLL20">
        <v>0</v>
      </c>
      <c r="GLM20">
        <v>0</v>
      </c>
      <c r="GLN20">
        <v>86</v>
      </c>
      <c r="GLO20">
        <v>0</v>
      </c>
      <c r="GLP20">
        <v>0</v>
      </c>
      <c r="GLQ20">
        <v>0</v>
      </c>
      <c r="GLR20">
        <v>0</v>
      </c>
      <c r="GLS20">
        <v>0</v>
      </c>
      <c r="GLT20">
        <v>110</v>
      </c>
      <c r="GLU20">
        <v>0</v>
      </c>
      <c r="GLV20">
        <v>0</v>
      </c>
      <c r="GLW20">
        <v>0</v>
      </c>
      <c r="GLX20">
        <v>0</v>
      </c>
      <c r="GLY20">
        <v>0</v>
      </c>
      <c r="GLZ20">
        <v>0</v>
      </c>
      <c r="GMA20">
        <v>0</v>
      </c>
      <c r="GMB20">
        <v>0</v>
      </c>
      <c r="GMC20">
        <v>2838.85</v>
      </c>
      <c r="GMD20">
        <v>0</v>
      </c>
      <c r="GME20">
        <v>5717.79</v>
      </c>
      <c r="GMF20">
        <v>0</v>
      </c>
      <c r="GMG20">
        <v>0</v>
      </c>
      <c r="GMH20">
        <v>0</v>
      </c>
      <c r="GMI20">
        <v>0</v>
      </c>
      <c r="GMJ20">
        <v>0</v>
      </c>
      <c r="GMK20">
        <v>14</v>
      </c>
      <c r="GML20">
        <v>0</v>
      </c>
      <c r="GMM20">
        <v>0</v>
      </c>
      <c r="GMN20">
        <v>374.98</v>
      </c>
      <c r="GMO20">
        <v>0</v>
      </c>
      <c r="GMP20">
        <v>3355.8</v>
      </c>
      <c r="GMQ20">
        <v>0</v>
      </c>
      <c r="GMR20">
        <v>0</v>
      </c>
      <c r="GMS20">
        <v>0</v>
      </c>
      <c r="GMT20">
        <v>0</v>
      </c>
      <c r="GMU20">
        <v>0</v>
      </c>
      <c r="GMV20">
        <v>43.99</v>
      </c>
      <c r="GMW20">
        <v>0</v>
      </c>
      <c r="GMX20">
        <v>0</v>
      </c>
      <c r="GMY20">
        <v>0</v>
      </c>
      <c r="GMZ20">
        <v>1033.96</v>
      </c>
      <c r="GNA20">
        <v>0</v>
      </c>
      <c r="GNB20">
        <v>0</v>
      </c>
      <c r="GNC20">
        <v>258.99</v>
      </c>
      <c r="GND20">
        <v>20</v>
      </c>
      <c r="GNE20">
        <v>110</v>
      </c>
      <c r="GNF20">
        <v>0</v>
      </c>
      <c r="GNG20">
        <v>73</v>
      </c>
      <c r="GNH20">
        <v>0</v>
      </c>
      <c r="GNI20">
        <v>0</v>
      </c>
      <c r="GNJ20">
        <v>287</v>
      </c>
      <c r="GNK20">
        <v>0</v>
      </c>
      <c r="GNL20">
        <v>272.99</v>
      </c>
      <c r="GNM20">
        <v>0</v>
      </c>
      <c r="GNN20">
        <v>0</v>
      </c>
      <c r="GNO20">
        <v>0</v>
      </c>
      <c r="GNP20">
        <v>0</v>
      </c>
      <c r="GNQ20">
        <v>3093.86</v>
      </c>
      <c r="GNR20">
        <v>0</v>
      </c>
      <c r="GNS20">
        <v>0</v>
      </c>
      <c r="GNT20">
        <v>174</v>
      </c>
      <c r="GNU20">
        <v>0</v>
      </c>
      <c r="GNV20">
        <v>4563.8500000000004</v>
      </c>
      <c r="GNW20">
        <v>0</v>
      </c>
      <c r="GNX20">
        <v>0</v>
      </c>
      <c r="GNY20">
        <v>0</v>
      </c>
      <c r="GNZ20">
        <v>467.99</v>
      </c>
      <c r="GOA20">
        <v>513.98</v>
      </c>
      <c r="GOB20">
        <v>150</v>
      </c>
      <c r="GOC20">
        <v>199.97</v>
      </c>
      <c r="GOD20">
        <v>0</v>
      </c>
      <c r="GOE20">
        <v>0</v>
      </c>
      <c r="GOF20">
        <v>0</v>
      </c>
      <c r="GOG20">
        <v>105.99</v>
      </c>
      <c r="GOH20">
        <v>0</v>
      </c>
      <c r="GOI20">
        <v>524.98</v>
      </c>
      <c r="GOJ20">
        <v>0</v>
      </c>
      <c r="GOK20">
        <v>0</v>
      </c>
      <c r="GOL20">
        <v>2423.94</v>
      </c>
      <c r="GOM20">
        <v>2544.9</v>
      </c>
      <c r="GON20">
        <v>0</v>
      </c>
      <c r="GOO20">
        <v>1026.96</v>
      </c>
      <c r="GOP20">
        <v>0</v>
      </c>
      <c r="GOQ20">
        <v>0</v>
      </c>
      <c r="GOR20">
        <v>0</v>
      </c>
      <c r="GOS20">
        <v>54</v>
      </c>
      <c r="GOT20">
        <v>0</v>
      </c>
      <c r="GOU20">
        <v>0</v>
      </c>
      <c r="GOV20">
        <v>0</v>
      </c>
      <c r="GOW20">
        <v>46</v>
      </c>
      <c r="GOX20">
        <v>0</v>
      </c>
      <c r="GOY20">
        <v>1839.93</v>
      </c>
      <c r="GOZ20">
        <v>0</v>
      </c>
      <c r="GPA20">
        <v>2031.87</v>
      </c>
      <c r="GPB20">
        <v>692.99</v>
      </c>
      <c r="GPC20">
        <v>0</v>
      </c>
      <c r="GPD20">
        <v>0</v>
      </c>
      <c r="GPE20">
        <v>0</v>
      </c>
      <c r="GPF20">
        <v>0</v>
      </c>
      <c r="GPG20">
        <v>1376.93</v>
      </c>
      <c r="GPH20">
        <v>723.95</v>
      </c>
      <c r="GPI20">
        <v>0</v>
      </c>
      <c r="GPJ20">
        <v>0</v>
      </c>
      <c r="GPK20">
        <v>0</v>
      </c>
      <c r="GPL20">
        <v>1364.96</v>
      </c>
      <c r="GPM20">
        <v>0</v>
      </c>
      <c r="GPN20">
        <v>1307.9000000000001</v>
      </c>
      <c r="GPO20">
        <v>2230.88</v>
      </c>
      <c r="GPP20">
        <v>571.95000000000005</v>
      </c>
      <c r="GPQ20">
        <v>0</v>
      </c>
      <c r="GPR20">
        <v>0</v>
      </c>
      <c r="GPS20">
        <v>443.98</v>
      </c>
      <c r="GPT20">
        <v>0</v>
      </c>
      <c r="GPU20">
        <v>0</v>
      </c>
      <c r="GPV20">
        <v>0</v>
      </c>
      <c r="GPW20">
        <v>0</v>
      </c>
      <c r="GPX20">
        <v>1389.92</v>
      </c>
      <c r="GPY20">
        <v>493</v>
      </c>
      <c r="GPZ20">
        <v>0</v>
      </c>
      <c r="GQA20">
        <v>0</v>
      </c>
      <c r="GQB20">
        <v>0</v>
      </c>
      <c r="GQC20">
        <v>0</v>
      </c>
      <c r="GQD20">
        <v>381</v>
      </c>
      <c r="GQE20">
        <v>547.96</v>
      </c>
      <c r="GQF20">
        <v>481.97</v>
      </c>
      <c r="GQG20">
        <v>0</v>
      </c>
      <c r="GQH20">
        <v>0</v>
      </c>
      <c r="GQI20">
        <v>188</v>
      </c>
      <c r="GQJ20">
        <v>0</v>
      </c>
      <c r="GQK20">
        <v>0</v>
      </c>
      <c r="GQL20">
        <v>0</v>
      </c>
      <c r="GQM20">
        <v>2255.9</v>
      </c>
      <c r="GQN20">
        <v>0</v>
      </c>
      <c r="GQO20">
        <v>0</v>
      </c>
      <c r="GQP20">
        <v>0</v>
      </c>
      <c r="GQQ20">
        <v>0</v>
      </c>
      <c r="GQR20">
        <v>726.98</v>
      </c>
      <c r="GQS20">
        <v>0</v>
      </c>
      <c r="GQT20">
        <v>29</v>
      </c>
      <c r="GQU20">
        <v>0</v>
      </c>
      <c r="GQV20">
        <v>361.99</v>
      </c>
      <c r="GQW20">
        <v>0</v>
      </c>
      <c r="GQX20">
        <v>0</v>
      </c>
      <c r="GQY20">
        <v>1655.94</v>
      </c>
      <c r="GQZ20">
        <v>420.97</v>
      </c>
      <c r="GRA20">
        <v>348.97</v>
      </c>
      <c r="GRB20">
        <v>0</v>
      </c>
      <c r="GRC20">
        <v>201.99</v>
      </c>
      <c r="GRD20">
        <v>724.97</v>
      </c>
      <c r="GRE20">
        <v>0</v>
      </c>
      <c r="GRF20">
        <v>41</v>
      </c>
      <c r="GRG20">
        <v>1190.95</v>
      </c>
      <c r="GRH20">
        <v>0</v>
      </c>
      <c r="GRI20">
        <v>163.99</v>
      </c>
      <c r="GRJ20">
        <v>0</v>
      </c>
      <c r="GRK20">
        <v>0</v>
      </c>
      <c r="GRL20">
        <v>1353.95</v>
      </c>
      <c r="GRM20">
        <v>1827.94</v>
      </c>
      <c r="GRN20">
        <v>4395.8100000000004</v>
      </c>
      <c r="GRO20">
        <v>0</v>
      </c>
      <c r="GRP20">
        <v>0</v>
      </c>
      <c r="GRQ20">
        <v>0</v>
      </c>
      <c r="GRR20">
        <v>1990.95</v>
      </c>
      <c r="GRS20">
        <v>2970.86</v>
      </c>
      <c r="GRT20">
        <v>12620.69</v>
      </c>
      <c r="GRU20">
        <v>0</v>
      </c>
      <c r="GRV20">
        <v>9550.65</v>
      </c>
      <c r="GRW20">
        <v>270</v>
      </c>
      <c r="GRX20">
        <v>3608.86</v>
      </c>
      <c r="GRY20">
        <v>4109.76</v>
      </c>
      <c r="GRZ20">
        <v>0</v>
      </c>
      <c r="GSA20">
        <v>0</v>
      </c>
      <c r="GSB20">
        <v>3287.88</v>
      </c>
      <c r="GSC20">
        <v>604.96</v>
      </c>
      <c r="GSD20">
        <v>0</v>
      </c>
      <c r="GSE20">
        <v>3993.9</v>
      </c>
      <c r="GSF20">
        <v>12411.39</v>
      </c>
      <c r="GSG20">
        <v>639.98</v>
      </c>
      <c r="GSH20">
        <v>5631.83</v>
      </c>
      <c r="GSI20">
        <v>6655.76</v>
      </c>
      <c r="GSJ20">
        <v>1933.92</v>
      </c>
      <c r="GSK20">
        <v>2478.89</v>
      </c>
      <c r="GSL20">
        <v>11434.5</v>
      </c>
      <c r="GSM20">
        <v>28</v>
      </c>
      <c r="GSN20">
        <v>2644.98</v>
      </c>
      <c r="GSO20">
        <v>7391.65</v>
      </c>
      <c r="GSP20">
        <v>12857.47</v>
      </c>
      <c r="GSQ20">
        <v>0</v>
      </c>
      <c r="GSR20">
        <v>261140.97</v>
      </c>
    </row>
    <row r="21" spans="1:5244" s="31" customFormat="1" x14ac:dyDescent="0.2">
      <c r="A21" s="30">
        <v>246</v>
      </c>
      <c r="B21" s="31">
        <v>0</v>
      </c>
      <c r="C21" s="31">
        <v>0</v>
      </c>
      <c r="D21" s="31">
        <v>0</v>
      </c>
      <c r="E21" s="31">
        <v>0</v>
      </c>
      <c r="F21" s="31">
        <v>0</v>
      </c>
      <c r="G21" s="31">
        <v>0</v>
      </c>
      <c r="H21" s="31">
        <v>0</v>
      </c>
      <c r="I21" s="31">
        <v>0</v>
      </c>
      <c r="J21" s="31">
        <v>0</v>
      </c>
      <c r="K21" s="31">
        <v>0</v>
      </c>
      <c r="L21" s="31">
        <v>0</v>
      </c>
      <c r="M21" s="31">
        <v>0</v>
      </c>
      <c r="N21" s="31">
        <v>0</v>
      </c>
      <c r="O21" s="31">
        <v>0</v>
      </c>
      <c r="P21" s="31">
        <v>0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31">
        <v>0</v>
      </c>
      <c r="W21" s="31">
        <v>0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0</v>
      </c>
      <c r="BN21" s="31">
        <v>0</v>
      </c>
      <c r="BO21" s="31">
        <v>0</v>
      </c>
      <c r="BP21" s="31">
        <v>0</v>
      </c>
      <c r="BQ21" s="31">
        <v>0</v>
      </c>
      <c r="BR21" s="31">
        <v>0</v>
      </c>
      <c r="BS21" s="31">
        <v>0</v>
      </c>
      <c r="BT21" s="31">
        <v>0</v>
      </c>
      <c r="BU21" s="31">
        <v>0</v>
      </c>
      <c r="BV21" s="31">
        <v>0</v>
      </c>
      <c r="BW21" s="31">
        <v>0</v>
      </c>
      <c r="BX21" s="31">
        <v>0</v>
      </c>
      <c r="BY21" s="31">
        <v>0</v>
      </c>
      <c r="BZ21" s="31">
        <v>0</v>
      </c>
      <c r="CA21" s="31">
        <v>0</v>
      </c>
      <c r="CB21" s="31">
        <v>0</v>
      </c>
      <c r="CC21" s="31">
        <v>0</v>
      </c>
      <c r="CD21" s="31">
        <v>0</v>
      </c>
      <c r="CE21" s="31">
        <v>0</v>
      </c>
      <c r="CF21" s="31">
        <v>0</v>
      </c>
      <c r="CG21" s="31">
        <v>0</v>
      </c>
      <c r="CH21" s="31">
        <v>0</v>
      </c>
      <c r="CI21" s="31">
        <v>0</v>
      </c>
      <c r="CJ21" s="31">
        <v>0</v>
      </c>
      <c r="CK21" s="31">
        <v>0</v>
      </c>
      <c r="CL21" s="31">
        <v>0</v>
      </c>
      <c r="CM21" s="31">
        <v>0</v>
      </c>
      <c r="CN21" s="31">
        <v>0</v>
      </c>
      <c r="CO21" s="31">
        <v>0</v>
      </c>
      <c r="CP21" s="31">
        <v>0</v>
      </c>
      <c r="CQ21" s="31">
        <v>0</v>
      </c>
      <c r="CR21" s="31">
        <v>0</v>
      </c>
      <c r="CS21" s="31">
        <v>0</v>
      </c>
      <c r="CT21" s="31">
        <v>0</v>
      </c>
      <c r="CU21" s="31">
        <v>0</v>
      </c>
      <c r="CV21" s="31">
        <v>0</v>
      </c>
      <c r="CW21" s="31">
        <v>0</v>
      </c>
      <c r="CX21" s="31">
        <v>0</v>
      </c>
      <c r="CY21" s="31">
        <v>0</v>
      </c>
      <c r="CZ21" s="31">
        <v>0</v>
      </c>
      <c r="DA21" s="31">
        <v>0</v>
      </c>
      <c r="DB21" s="31">
        <v>0</v>
      </c>
      <c r="DC21" s="31">
        <v>0</v>
      </c>
      <c r="DD21" s="31">
        <v>0</v>
      </c>
      <c r="DE21" s="31">
        <v>0</v>
      </c>
      <c r="DF21" s="31">
        <v>0</v>
      </c>
      <c r="DG21" s="31">
        <v>0</v>
      </c>
      <c r="DH21" s="31">
        <v>0</v>
      </c>
      <c r="DI21" s="31">
        <v>0</v>
      </c>
      <c r="DJ21" s="31">
        <v>0</v>
      </c>
      <c r="DK21" s="31">
        <v>0</v>
      </c>
      <c r="DL21" s="31">
        <v>0</v>
      </c>
      <c r="DM21" s="31">
        <v>0</v>
      </c>
      <c r="DN21" s="31">
        <v>0</v>
      </c>
      <c r="DO21" s="31">
        <v>0</v>
      </c>
      <c r="DP21" s="31">
        <v>0</v>
      </c>
      <c r="DQ21" s="31">
        <v>0</v>
      </c>
      <c r="DR21" s="31">
        <v>0</v>
      </c>
      <c r="DS21" s="31">
        <v>0</v>
      </c>
      <c r="DT21" s="31">
        <v>0</v>
      </c>
      <c r="DU21" s="31">
        <v>0</v>
      </c>
      <c r="DV21" s="31">
        <v>0</v>
      </c>
      <c r="DW21" s="31">
        <v>0</v>
      </c>
      <c r="DX21" s="31">
        <v>0</v>
      </c>
      <c r="DY21" s="31">
        <v>0</v>
      </c>
      <c r="DZ21" s="31">
        <v>0</v>
      </c>
      <c r="EA21" s="31">
        <v>0</v>
      </c>
      <c r="EB21" s="31">
        <v>0</v>
      </c>
      <c r="EC21" s="31">
        <v>0</v>
      </c>
      <c r="ED21" s="31">
        <v>0</v>
      </c>
      <c r="EE21" s="31">
        <v>0</v>
      </c>
      <c r="EF21" s="31">
        <v>0</v>
      </c>
      <c r="EG21" s="31">
        <v>0</v>
      </c>
      <c r="EH21" s="31">
        <v>0</v>
      </c>
      <c r="EI21" s="31">
        <v>0</v>
      </c>
      <c r="EJ21" s="31">
        <v>0</v>
      </c>
      <c r="EK21" s="31">
        <v>0</v>
      </c>
      <c r="EL21" s="31">
        <v>0</v>
      </c>
      <c r="EM21" s="31">
        <v>0</v>
      </c>
      <c r="EN21" s="31">
        <v>0</v>
      </c>
      <c r="EO21" s="31">
        <v>0</v>
      </c>
      <c r="EP21" s="31">
        <v>0</v>
      </c>
      <c r="EQ21" s="31">
        <v>0</v>
      </c>
      <c r="ER21" s="31">
        <v>0</v>
      </c>
      <c r="ES21" s="31">
        <v>0</v>
      </c>
      <c r="ET21" s="31">
        <v>0</v>
      </c>
      <c r="EU21" s="31">
        <v>0</v>
      </c>
      <c r="EV21" s="31">
        <v>0</v>
      </c>
      <c r="EW21" s="31">
        <v>0</v>
      </c>
      <c r="EX21" s="31">
        <v>0</v>
      </c>
      <c r="EY21" s="31">
        <v>0</v>
      </c>
      <c r="EZ21" s="31">
        <v>0</v>
      </c>
      <c r="FA21" s="31">
        <v>0</v>
      </c>
      <c r="FB21" s="31">
        <v>0</v>
      </c>
      <c r="FC21" s="31">
        <v>0</v>
      </c>
      <c r="FD21" s="31">
        <v>0</v>
      </c>
      <c r="FE21" s="31">
        <v>6</v>
      </c>
      <c r="FF21" s="31">
        <v>0</v>
      </c>
      <c r="FG21" s="31">
        <v>0</v>
      </c>
      <c r="FH21" s="31">
        <v>0</v>
      </c>
      <c r="FI21" s="31">
        <v>0</v>
      </c>
      <c r="FJ21" s="31">
        <v>0</v>
      </c>
      <c r="FK21" s="31">
        <v>0</v>
      </c>
      <c r="FL21" s="31">
        <v>0</v>
      </c>
      <c r="FM21" s="31">
        <v>0</v>
      </c>
      <c r="FN21" s="31">
        <v>0</v>
      </c>
      <c r="FO21" s="31">
        <v>0</v>
      </c>
      <c r="FP21" s="31">
        <v>0</v>
      </c>
      <c r="FQ21" s="31">
        <v>0</v>
      </c>
      <c r="FR21" s="31">
        <v>0</v>
      </c>
      <c r="FS21" s="31">
        <v>0</v>
      </c>
      <c r="FT21" s="31">
        <v>0</v>
      </c>
      <c r="FU21" s="31">
        <v>0</v>
      </c>
      <c r="FV21" s="31">
        <v>0</v>
      </c>
      <c r="FW21" s="31">
        <v>0</v>
      </c>
      <c r="FX21" s="31">
        <v>0</v>
      </c>
      <c r="FY21" s="31">
        <v>0</v>
      </c>
      <c r="FZ21" s="31">
        <v>0</v>
      </c>
      <c r="GA21" s="31">
        <v>0</v>
      </c>
      <c r="GB21" s="31">
        <v>0</v>
      </c>
      <c r="GC21" s="31">
        <v>0</v>
      </c>
      <c r="GD21" s="31">
        <v>0</v>
      </c>
      <c r="GE21" s="31">
        <v>0</v>
      </c>
      <c r="GF21" s="31">
        <v>0</v>
      </c>
      <c r="GG21" s="31">
        <v>0</v>
      </c>
      <c r="GH21" s="31">
        <v>0</v>
      </c>
      <c r="GI21" s="31">
        <v>0</v>
      </c>
      <c r="GJ21" s="31">
        <v>0</v>
      </c>
      <c r="GK21" s="31">
        <v>0</v>
      </c>
      <c r="GL21" s="31">
        <v>0</v>
      </c>
      <c r="GM21" s="31">
        <v>0</v>
      </c>
      <c r="GN21" s="31">
        <v>0</v>
      </c>
      <c r="GO21" s="31">
        <v>0</v>
      </c>
      <c r="GP21" s="31">
        <v>0</v>
      </c>
      <c r="GQ21" s="31">
        <v>0</v>
      </c>
      <c r="GR21" s="31">
        <v>0</v>
      </c>
      <c r="GS21" s="31">
        <v>0</v>
      </c>
      <c r="GT21" s="31">
        <v>0</v>
      </c>
      <c r="GU21" s="31">
        <v>0</v>
      </c>
      <c r="GV21" s="31">
        <v>0</v>
      </c>
      <c r="GW21" s="31">
        <v>0</v>
      </c>
      <c r="GX21" s="31">
        <v>0</v>
      </c>
      <c r="GY21" s="31">
        <v>0</v>
      </c>
      <c r="GZ21" s="31">
        <v>0</v>
      </c>
      <c r="HA21" s="31">
        <v>0</v>
      </c>
      <c r="HB21" s="31">
        <v>0</v>
      </c>
      <c r="HC21" s="31">
        <v>0</v>
      </c>
      <c r="HD21" s="31">
        <v>0</v>
      </c>
      <c r="HE21" s="31">
        <v>0</v>
      </c>
      <c r="HF21" s="31">
        <v>0</v>
      </c>
      <c r="HG21" s="31">
        <v>0</v>
      </c>
      <c r="HH21" s="31">
        <v>0</v>
      </c>
      <c r="HI21" s="31">
        <v>0</v>
      </c>
      <c r="HJ21" s="31">
        <v>0</v>
      </c>
      <c r="HK21" s="31">
        <v>0</v>
      </c>
      <c r="HL21" s="31">
        <v>0</v>
      </c>
      <c r="HM21" s="31">
        <v>0</v>
      </c>
      <c r="HN21" s="31">
        <v>0</v>
      </c>
      <c r="HO21" s="31">
        <v>0</v>
      </c>
      <c r="HP21" s="31">
        <v>0</v>
      </c>
      <c r="HQ21" s="31">
        <v>0</v>
      </c>
      <c r="HR21" s="31">
        <v>0</v>
      </c>
      <c r="HS21" s="31">
        <v>0</v>
      </c>
      <c r="HT21" s="31">
        <v>0</v>
      </c>
      <c r="HU21" s="31">
        <v>0</v>
      </c>
      <c r="HV21" s="31">
        <v>0</v>
      </c>
      <c r="HW21" s="31">
        <v>0</v>
      </c>
      <c r="HX21" s="31">
        <v>0</v>
      </c>
      <c r="HY21" s="31">
        <v>0</v>
      </c>
      <c r="HZ21" s="31">
        <v>0</v>
      </c>
      <c r="IA21" s="31">
        <v>0</v>
      </c>
      <c r="IB21" s="31">
        <v>0</v>
      </c>
      <c r="IC21" s="31">
        <v>0</v>
      </c>
      <c r="ID21" s="31">
        <v>0</v>
      </c>
      <c r="IE21" s="31">
        <v>0</v>
      </c>
      <c r="IF21" s="31">
        <v>0</v>
      </c>
      <c r="IG21" s="31">
        <v>0</v>
      </c>
      <c r="IH21" s="31">
        <v>0</v>
      </c>
      <c r="II21" s="31">
        <v>0</v>
      </c>
      <c r="IJ21" s="31">
        <v>0</v>
      </c>
      <c r="IK21" s="31">
        <v>0</v>
      </c>
      <c r="IL21" s="31">
        <v>0</v>
      </c>
      <c r="IM21" s="31">
        <v>0</v>
      </c>
      <c r="IN21" s="31">
        <v>0</v>
      </c>
      <c r="IO21" s="31">
        <v>0</v>
      </c>
      <c r="IP21" s="31">
        <v>0</v>
      </c>
      <c r="IQ21" s="31">
        <v>0</v>
      </c>
      <c r="IR21" s="31">
        <v>0</v>
      </c>
      <c r="IS21" s="31">
        <v>0</v>
      </c>
      <c r="IT21" s="31">
        <v>0</v>
      </c>
      <c r="IU21" s="31">
        <v>0</v>
      </c>
      <c r="IV21" s="31">
        <v>0</v>
      </c>
      <c r="IW21" s="31">
        <v>0</v>
      </c>
      <c r="IX21" s="31">
        <v>0</v>
      </c>
      <c r="IY21" s="31">
        <v>0</v>
      </c>
      <c r="IZ21" s="31">
        <v>0</v>
      </c>
      <c r="JA21" s="31">
        <v>0</v>
      </c>
      <c r="JB21" s="31">
        <v>0</v>
      </c>
      <c r="JC21" s="31">
        <v>0</v>
      </c>
      <c r="JD21" s="31">
        <v>0</v>
      </c>
      <c r="JE21" s="31">
        <v>0</v>
      </c>
      <c r="JF21" s="31">
        <v>0</v>
      </c>
      <c r="JG21" s="31">
        <v>0</v>
      </c>
      <c r="JH21" s="31">
        <v>0</v>
      </c>
      <c r="JI21" s="31">
        <v>0</v>
      </c>
      <c r="JJ21" s="31">
        <v>0</v>
      </c>
      <c r="JK21" s="31">
        <v>0</v>
      </c>
      <c r="JL21" s="31">
        <v>0</v>
      </c>
      <c r="JM21" s="31">
        <v>0</v>
      </c>
      <c r="JN21" s="31">
        <v>0</v>
      </c>
      <c r="JO21" s="31">
        <v>0</v>
      </c>
      <c r="JP21" s="31">
        <v>0</v>
      </c>
      <c r="JQ21" s="31">
        <v>0</v>
      </c>
      <c r="JR21" s="31">
        <v>0</v>
      </c>
      <c r="JS21" s="31">
        <v>0</v>
      </c>
      <c r="JT21" s="31">
        <v>0</v>
      </c>
      <c r="JU21" s="31">
        <v>0</v>
      </c>
      <c r="JV21" s="31">
        <v>0</v>
      </c>
      <c r="JW21" s="31">
        <v>0</v>
      </c>
      <c r="JX21" s="31">
        <v>0</v>
      </c>
      <c r="JY21" s="31">
        <v>0</v>
      </c>
      <c r="JZ21" s="31">
        <v>0</v>
      </c>
      <c r="KA21" s="31">
        <v>0</v>
      </c>
      <c r="KB21" s="31">
        <v>0</v>
      </c>
      <c r="KC21" s="31">
        <v>0</v>
      </c>
      <c r="KD21" s="31">
        <v>0</v>
      </c>
      <c r="KE21" s="31">
        <v>0</v>
      </c>
      <c r="KF21" s="31">
        <v>0</v>
      </c>
      <c r="KG21" s="31">
        <v>0</v>
      </c>
      <c r="KH21" s="31">
        <v>0</v>
      </c>
      <c r="KI21" s="31">
        <v>0</v>
      </c>
      <c r="KJ21" s="31">
        <v>0</v>
      </c>
      <c r="KK21" s="31">
        <v>0</v>
      </c>
      <c r="KL21" s="31">
        <v>0</v>
      </c>
      <c r="KM21" s="31">
        <v>0</v>
      </c>
      <c r="KN21" s="31">
        <v>0</v>
      </c>
      <c r="KO21" s="31">
        <v>0</v>
      </c>
      <c r="KP21" s="31">
        <v>0</v>
      </c>
      <c r="KQ21" s="31">
        <v>0</v>
      </c>
      <c r="KR21" s="31">
        <v>0</v>
      </c>
      <c r="KS21" s="31">
        <v>0</v>
      </c>
      <c r="KT21" s="31">
        <v>0</v>
      </c>
      <c r="KU21" s="31">
        <v>0</v>
      </c>
      <c r="KV21" s="31">
        <v>0</v>
      </c>
      <c r="KW21" s="31">
        <v>0</v>
      </c>
      <c r="KX21" s="31">
        <v>0</v>
      </c>
      <c r="KY21" s="31">
        <v>0</v>
      </c>
      <c r="KZ21" s="31">
        <v>0</v>
      </c>
      <c r="LA21" s="31">
        <v>0</v>
      </c>
      <c r="LB21" s="31">
        <v>0</v>
      </c>
      <c r="LC21" s="31">
        <v>0</v>
      </c>
      <c r="LD21" s="31">
        <v>0</v>
      </c>
      <c r="LE21" s="31">
        <v>0</v>
      </c>
      <c r="LF21" s="31">
        <v>0</v>
      </c>
      <c r="LG21" s="31">
        <v>0</v>
      </c>
      <c r="LH21" s="31">
        <v>0</v>
      </c>
      <c r="LI21" s="31">
        <v>0</v>
      </c>
      <c r="LJ21" s="31">
        <v>0</v>
      </c>
      <c r="LK21" s="31">
        <v>0</v>
      </c>
      <c r="LL21" s="31">
        <v>0</v>
      </c>
      <c r="LM21" s="31">
        <v>0</v>
      </c>
      <c r="LN21" s="31">
        <v>0</v>
      </c>
      <c r="LO21" s="31">
        <v>0</v>
      </c>
      <c r="LP21" s="31">
        <v>0</v>
      </c>
      <c r="LQ21" s="31">
        <v>0</v>
      </c>
      <c r="LR21" s="31">
        <v>0</v>
      </c>
      <c r="LS21" s="31">
        <v>0</v>
      </c>
      <c r="LT21" s="31">
        <v>0</v>
      </c>
      <c r="LU21" s="31">
        <v>0</v>
      </c>
      <c r="LV21" s="31">
        <v>0</v>
      </c>
      <c r="LW21" s="31">
        <v>0</v>
      </c>
      <c r="LX21" s="31">
        <v>0</v>
      </c>
      <c r="LY21" s="31">
        <v>0</v>
      </c>
      <c r="LZ21" s="31">
        <v>0</v>
      </c>
      <c r="MA21" s="31">
        <v>0</v>
      </c>
      <c r="MB21" s="31">
        <v>0</v>
      </c>
      <c r="MC21" s="31">
        <v>0</v>
      </c>
      <c r="MD21" s="31">
        <v>0</v>
      </c>
      <c r="ME21" s="31">
        <v>0</v>
      </c>
      <c r="MF21" s="31">
        <v>0</v>
      </c>
      <c r="MG21" s="31">
        <v>0</v>
      </c>
      <c r="MH21" s="31">
        <v>0</v>
      </c>
      <c r="MI21" s="31">
        <v>0</v>
      </c>
      <c r="MJ21" s="31">
        <v>0</v>
      </c>
      <c r="MK21" s="31">
        <v>0</v>
      </c>
      <c r="ML21" s="31">
        <v>0</v>
      </c>
      <c r="MM21" s="31">
        <v>0</v>
      </c>
      <c r="MN21" s="31">
        <v>0</v>
      </c>
      <c r="MO21" s="31">
        <v>0</v>
      </c>
      <c r="MP21" s="31">
        <v>0</v>
      </c>
      <c r="MQ21" s="31">
        <v>0</v>
      </c>
      <c r="MR21" s="31">
        <v>0</v>
      </c>
      <c r="MS21" s="31">
        <v>0</v>
      </c>
      <c r="MT21" s="31">
        <v>0</v>
      </c>
      <c r="MU21" s="31">
        <v>0</v>
      </c>
      <c r="MV21" s="31">
        <v>0</v>
      </c>
      <c r="MW21" s="31">
        <v>0</v>
      </c>
      <c r="MX21" s="31">
        <v>0</v>
      </c>
      <c r="MY21" s="31">
        <v>0</v>
      </c>
      <c r="MZ21" s="31">
        <v>0</v>
      </c>
      <c r="NA21" s="31">
        <v>0</v>
      </c>
      <c r="NB21" s="31">
        <v>0</v>
      </c>
      <c r="NC21" s="31">
        <v>0</v>
      </c>
      <c r="ND21" s="31">
        <v>0</v>
      </c>
      <c r="NE21" s="31">
        <v>0</v>
      </c>
      <c r="NF21" s="31">
        <v>0</v>
      </c>
      <c r="NG21" s="31">
        <v>0</v>
      </c>
      <c r="NH21" s="31">
        <v>0</v>
      </c>
      <c r="NI21" s="31">
        <v>0</v>
      </c>
      <c r="NJ21" s="31">
        <v>0</v>
      </c>
      <c r="NK21" s="31">
        <v>0</v>
      </c>
      <c r="NL21" s="31">
        <v>0</v>
      </c>
      <c r="NM21" s="31">
        <v>0</v>
      </c>
      <c r="NN21" s="31">
        <v>0</v>
      </c>
      <c r="NO21" s="31">
        <v>0</v>
      </c>
      <c r="NP21" s="31">
        <v>0</v>
      </c>
      <c r="NQ21" s="31">
        <v>0</v>
      </c>
      <c r="NR21" s="31">
        <v>0</v>
      </c>
      <c r="NS21" s="31">
        <v>0</v>
      </c>
      <c r="NT21" s="31">
        <v>0</v>
      </c>
      <c r="NU21" s="31">
        <v>0</v>
      </c>
      <c r="NV21" s="31">
        <v>0</v>
      </c>
      <c r="NW21" s="31">
        <v>0</v>
      </c>
      <c r="NX21" s="31">
        <v>0</v>
      </c>
      <c r="NY21" s="31">
        <v>0</v>
      </c>
      <c r="NZ21" s="31">
        <v>0</v>
      </c>
      <c r="OA21" s="31">
        <v>0</v>
      </c>
      <c r="OB21" s="31">
        <v>0</v>
      </c>
      <c r="OC21" s="31">
        <v>0</v>
      </c>
      <c r="OD21" s="31">
        <v>0</v>
      </c>
      <c r="OE21" s="31">
        <v>0</v>
      </c>
      <c r="OF21" s="31">
        <v>0</v>
      </c>
      <c r="OG21" s="31">
        <v>0</v>
      </c>
      <c r="OH21" s="31">
        <v>0</v>
      </c>
      <c r="OI21" s="31">
        <v>0</v>
      </c>
      <c r="OJ21" s="31">
        <v>0</v>
      </c>
      <c r="OK21" s="31">
        <v>0</v>
      </c>
      <c r="OL21" s="31">
        <v>0</v>
      </c>
      <c r="OM21" s="31">
        <v>0</v>
      </c>
      <c r="ON21" s="31">
        <v>0</v>
      </c>
      <c r="OO21" s="31">
        <v>0</v>
      </c>
      <c r="OP21" s="31">
        <v>0</v>
      </c>
      <c r="OQ21" s="31">
        <v>0</v>
      </c>
      <c r="OR21" s="31">
        <v>0</v>
      </c>
      <c r="OS21" s="31">
        <v>0</v>
      </c>
      <c r="OT21" s="31">
        <v>0</v>
      </c>
      <c r="OU21" s="31">
        <v>0</v>
      </c>
      <c r="OV21" s="31">
        <v>0</v>
      </c>
      <c r="OW21" s="31">
        <v>0</v>
      </c>
      <c r="OX21" s="31">
        <v>0</v>
      </c>
      <c r="OY21" s="31">
        <v>0</v>
      </c>
      <c r="OZ21" s="31">
        <v>0</v>
      </c>
      <c r="PA21" s="31">
        <v>0</v>
      </c>
      <c r="PB21" s="31">
        <v>0</v>
      </c>
      <c r="PC21" s="31">
        <v>0</v>
      </c>
      <c r="PD21" s="31">
        <v>0</v>
      </c>
      <c r="PE21" s="31">
        <v>0</v>
      </c>
      <c r="PF21" s="31">
        <v>0</v>
      </c>
      <c r="PG21" s="31">
        <v>0</v>
      </c>
      <c r="PH21" s="31">
        <v>0</v>
      </c>
      <c r="PI21" s="31">
        <v>0</v>
      </c>
      <c r="PJ21" s="31">
        <v>0</v>
      </c>
      <c r="PK21" s="31">
        <v>0</v>
      </c>
      <c r="PL21" s="31">
        <v>0</v>
      </c>
      <c r="PM21" s="31">
        <v>0</v>
      </c>
      <c r="PN21" s="31">
        <v>0</v>
      </c>
      <c r="PO21" s="31">
        <v>0</v>
      </c>
      <c r="PP21" s="31">
        <v>0</v>
      </c>
      <c r="PQ21" s="31">
        <v>0</v>
      </c>
      <c r="PR21" s="31">
        <v>0</v>
      </c>
      <c r="PS21" s="31">
        <v>0</v>
      </c>
      <c r="PT21" s="31">
        <v>0</v>
      </c>
      <c r="PU21" s="31">
        <v>0</v>
      </c>
      <c r="PV21" s="31">
        <v>0</v>
      </c>
      <c r="PW21" s="31">
        <v>0</v>
      </c>
      <c r="PX21" s="31">
        <v>0</v>
      </c>
      <c r="PY21" s="31">
        <v>0</v>
      </c>
      <c r="PZ21" s="31">
        <v>0</v>
      </c>
      <c r="QA21" s="31">
        <v>0</v>
      </c>
      <c r="QB21" s="31">
        <v>0</v>
      </c>
      <c r="QC21" s="31">
        <v>0</v>
      </c>
      <c r="QD21" s="31">
        <v>0</v>
      </c>
      <c r="QE21" s="31">
        <v>0</v>
      </c>
      <c r="QF21" s="31">
        <v>0</v>
      </c>
      <c r="QG21" s="31">
        <v>0</v>
      </c>
      <c r="QH21" s="31">
        <v>0</v>
      </c>
      <c r="QI21" s="31">
        <v>0</v>
      </c>
      <c r="QJ21" s="31">
        <v>0</v>
      </c>
      <c r="QK21" s="31">
        <v>0</v>
      </c>
      <c r="QL21" s="31">
        <v>0</v>
      </c>
      <c r="QM21" s="31">
        <v>0</v>
      </c>
      <c r="QN21" s="31">
        <v>0</v>
      </c>
      <c r="QO21" s="31">
        <v>0</v>
      </c>
      <c r="QP21" s="31">
        <v>0</v>
      </c>
      <c r="QQ21" s="31">
        <v>0</v>
      </c>
      <c r="QR21" s="31">
        <v>0</v>
      </c>
      <c r="QS21" s="31">
        <v>0</v>
      </c>
      <c r="QT21" s="31">
        <v>0</v>
      </c>
      <c r="QU21" s="31">
        <v>0</v>
      </c>
      <c r="QV21" s="31">
        <v>0</v>
      </c>
      <c r="QW21" s="31">
        <v>0</v>
      </c>
      <c r="QX21" s="31">
        <v>0</v>
      </c>
      <c r="QY21" s="31">
        <v>0</v>
      </c>
      <c r="QZ21" s="31">
        <v>0</v>
      </c>
      <c r="RA21" s="31">
        <v>0</v>
      </c>
      <c r="RB21" s="31">
        <v>0</v>
      </c>
      <c r="RC21" s="31">
        <v>0</v>
      </c>
      <c r="RD21" s="31">
        <v>0</v>
      </c>
      <c r="RE21" s="31">
        <v>0</v>
      </c>
      <c r="RF21" s="31">
        <v>0</v>
      </c>
      <c r="RG21" s="31">
        <v>0</v>
      </c>
      <c r="RH21" s="31">
        <v>0</v>
      </c>
      <c r="RI21" s="31">
        <v>0</v>
      </c>
      <c r="RJ21" s="31">
        <v>0</v>
      </c>
      <c r="RK21" s="31">
        <v>0</v>
      </c>
      <c r="RL21" s="31">
        <v>0</v>
      </c>
      <c r="RM21" s="31">
        <v>0</v>
      </c>
      <c r="RN21" s="31">
        <v>0</v>
      </c>
      <c r="RO21" s="31">
        <v>0</v>
      </c>
      <c r="RP21" s="31">
        <v>0</v>
      </c>
      <c r="RQ21" s="31">
        <v>0</v>
      </c>
      <c r="RR21" s="31">
        <v>0</v>
      </c>
      <c r="RS21" s="31">
        <v>0</v>
      </c>
      <c r="RT21" s="31">
        <v>0</v>
      </c>
      <c r="RU21" s="31">
        <v>0</v>
      </c>
      <c r="RV21" s="31">
        <v>0</v>
      </c>
      <c r="RW21" s="31">
        <v>0</v>
      </c>
      <c r="RX21" s="31">
        <v>0</v>
      </c>
      <c r="RY21" s="31">
        <v>0</v>
      </c>
      <c r="RZ21" s="31">
        <v>0</v>
      </c>
      <c r="SA21" s="31">
        <v>0</v>
      </c>
      <c r="SB21" s="31">
        <v>0</v>
      </c>
      <c r="SC21" s="31">
        <v>0</v>
      </c>
      <c r="SD21" s="31">
        <v>0</v>
      </c>
      <c r="SE21" s="31">
        <v>0</v>
      </c>
      <c r="SF21" s="31">
        <v>0</v>
      </c>
      <c r="SG21" s="31">
        <v>0</v>
      </c>
      <c r="SH21" s="31">
        <v>0</v>
      </c>
      <c r="SI21" s="31">
        <v>0</v>
      </c>
      <c r="SJ21" s="31">
        <v>0</v>
      </c>
      <c r="SK21" s="31">
        <v>0</v>
      </c>
      <c r="SL21" s="31">
        <v>0</v>
      </c>
      <c r="SM21" s="31">
        <v>0</v>
      </c>
      <c r="SN21" s="31">
        <v>0</v>
      </c>
      <c r="SO21" s="31">
        <v>0</v>
      </c>
      <c r="SP21" s="31">
        <v>0</v>
      </c>
      <c r="SQ21" s="31">
        <v>0</v>
      </c>
      <c r="SR21" s="31">
        <v>0</v>
      </c>
      <c r="SS21" s="31">
        <v>0</v>
      </c>
      <c r="ST21" s="31">
        <v>0</v>
      </c>
      <c r="SU21" s="31">
        <v>0</v>
      </c>
      <c r="SV21" s="31">
        <v>0</v>
      </c>
      <c r="SW21" s="31">
        <v>0</v>
      </c>
      <c r="SX21" s="31">
        <v>0</v>
      </c>
      <c r="SY21" s="31">
        <v>0</v>
      </c>
      <c r="SZ21" s="31">
        <v>0</v>
      </c>
      <c r="TA21" s="31">
        <v>0</v>
      </c>
      <c r="TB21" s="31">
        <v>0</v>
      </c>
      <c r="TC21" s="31">
        <v>0</v>
      </c>
      <c r="TD21" s="31">
        <v>0</v>
      </c>
      <c r="TE21" s="31">
        <v>0</v>
      </c>
      <c r="TF21" s="31">
        <v>0</v>
      </c>
      <c r="TG21" s="31">
        <v>0</v>
      </c>
      <c r="TH21" s="31">
        <v>0</v>
      </c>
      <c r="TI21" s="31">
        <v>0</v>
      </c>
      <c r="TJ21" s="31">
        <v>0</v>
      </c>
      <c r="TK21" s="31">
        <v>0</v>
      </c>
      <c r="TL21" s="31">
        <v>0</v>
      </c>
      <c r="TM21" s="31">
        <v>0</v>
      </c>
      <c r="TN21" s="31">
        <v>0</v>
      </c>
      <c r="TO21" s="31">
        <v>0</v>
      </c>
      <c r="TP21" s="31">
        <v>0</v>
      </c>
      <c r="TQ21" s="31">
        <v>0</v>
      </c>
      <c r="TR21" s="31">
        <v>0</v>
      </c>
      <c r="TS21" s="31">
        <v>0</v>
      </c>
      <c r="TT21" s="31">
        <v>0</v>
      </c>
      <c r="TU21" s="31">
        <v>0</v>
      </c>
      <c r="TV21" s="31">
        <v>0</v>
      </c>
      <c r="TW21" s="31">
        <v>0</v>
      </c>
      <c r="TX21" s="31">
        <v>0</v>
      </c>
      <c r="TY21" s="31">
        <v>0</v>
      </c>
      <c r="TZ21" s="31">
        <v>0</v>
      </c>
      <c r="UA21" s="31">
        <v>0</v>
      </c>
      <c r="UB21" s="31">
        <v>0</v>
      </c>
      <c r="UC21" s="31">
        <v>0</v>
      </c>
      <c r="UD21" s="31">
        <v>0</v>
      </c>
      <c r="UE21" s="31">
        <v>0</v>
      </c>
      <c r="UF21" s="31">
        <v>0</v>
      </c>
      <c r="UG21" s="31">
        <v>0</v>
      </c>
      <c r="UH21" s="31">
        <v>0</v>
      </c>
      <c r="UI21" s="31">
        <v>0</v>
      </c>
      <c r="UJ21" s="31">
        <v>0</v>
      </c>
      <c r="UK21" s="31">
        <v>0</v>
      </c>
      <c r="UL21" s="31">
        <v>0</v>
      </c>
      <c r="UM21" s="31">
        <v>0</v>
      </c>
      <c r="UN21" s="31">
        <v>0</v>
      </c>
      <c r="UO21" s="31">
        <v>0</v>
      </c>
      <c r="UP21" s="31">
        <v>0</v>
      </c>
      <c r="UQ21" s="31">
        <v>0</v>
      </c>
      <c r="UR21" s="31">
        <v>0</v>
      </c>
      <c r="US21" s="31">
        <v>0</v>
      </c>
      <c r="UT21" s="31">
        <v>0</v>
      </c>
      <c r="UU21" s="31">
        <v>0</v>
      </c>
      <c r="UV21" s="31">
        <v>0</v>
      </c>
      <c r="UW21" s="31">
        <v>0</v>
      </c>
      <c r="UX21" s="31">
        <v>0</v>
      </c>
      <c r="UY21" s="31">
        <v>0</v>
      </c>
      <c r="UZ21" s="31">
        <v>0</v>
      </c>
      <c r="VA21" s="31">
        <v>0</v>
      </c>
      <c r="VB21" s="31">
        <v>0</v>
      </c>
      <c r="VC21" s="31">
        <v>0</v>
      </c>
      <c r="VD21" s="31">
        <v>0</v>
      </c>
      <c r="VE21" s="31">
        <v>0</v>
      </c>
      <c r="VF21" s="31">
        <v>0</v>
      </c>
      <c r="VG21" s="31">
        <v>0</v>
      </c>
      <c r="VH21" s="31">
        <v>0</v>
      </c>
      <c r="VI21" s="31">
        <v>0</v>
      </c>
      <c r="VJ21" s="31">
        <v>0</v>
      </c>
      <c r="VK21" s="31">
        <v>0</v>
      </c>
      <c r="VL21" s="31">
        <v>0</v>
      </c>
      <c r="VM21" s="31">
        <v>0</v>
      </c>
      <c r="VN21" s="31">
        <v>0</v>
      </c>
      <c r="VO21" s="31">
        <v>0</v>
      </c>
      <c r="VP21" s="31">
        <v>0</v>
      </c>
      <c r="VQ21" s="31">
        <v>0</v>
      </c>
      <c r="VR21" s="31">
        <v>0</v>
      </c>
      <c r="VS21" s="31">
        <v>0</v>
      </c>
      <c r="VT21" s="31">
        <v>0</v>
      </c>
      <c r="VU21" s="31">
        <v>0</v>
      </c>
      <c r="VV21" s="31">
        <v>0</v>
      </c>
      <c r="VW21" s="31">
        <v>0</v>
      </c>
      <c r="VX21" s="31">
        <v>0</v>
      </c>
      <c r="VY21" s="31">
        <v>0</v>
      </c>
      <c r="VZ21" s="31">
        <v>0</v>
      </c>
      <c r="WA21" s="31">
        <v>0</v>
      </c>
      <c r="WB21" s="31">
        <v>0</v>
      </c>
      <c r="WC21" s="31">
        <v>0</v>
      </c>
      <c r="WD21" s="31">
        <v>0</v>
      </c>
      <c r="WE21" s="31">
        <v>0</v>
      </c>
      <c r="WF21" s="31">
        <v>0</v>
      </c>
      <c r="WG21" s="31">
        <v>0</v>
      </c>
      <c r="WH21" s="31">
        <v>0</v>
      </c>
      <c r="WI21" s="31">
        <v>0</v>
      </c>
      <c r="WJ21" s="31">
        <v>0</v>
      </c>
      <c r="WK21" s="31">
        <v>0</v>
      </c>
      <c r="WL21" s="31">
        <v>0</v>
      </c>
      <c r="WM21" s="31">
        <v>0</v>
      </c>
      <c r="WN21" s="31">
        <v>0</v>
      </c>
      <c r="WO21" s="31">
        <v>0</v>
      </c>
      <c r="WP21" s="31">
        <v>0</v>
      </c>
      <c r="WQ21" s="31">
        <v>0</v>
      </c>
      <c r="WR21" s="31">
        <v>14</v>
      </c>
      <c r="WS21" s="31">
        <v>14</v>
      </c>
      <c r="WT21" s="31">
        <v>0</v>
      </c>
      <c r="WU21" s="31">
        <v>0</v>
      </c>
      <c r="WV21" s="31">
        <v>0</v>
      </c>
      <c r="WW21" s="31">
        <v>0</v>
      </c>
      <c r="WX21" s="31">
        <v>0</v>
      </c>
      <c r="WY21" s="31">
        <v>0</v>
      </c>
      <c r="WZ21" s="31">
        <v>0</v>
      </c>
      <c r="XA21" s="31">
        <v>0</v>
      </c>
      <c r="XB21" s="31">
        <v>0</v>
      </c>
      <c r="XC21" s="31">
        <v>0</v>
      </c>
      <c r="XD21" s="31">
        <v>0</v>
      </c>
      <c r="XE21" s="31">
        <v>0</v>
      </c>
      <c r="XF21" s="31">
        <v>0</v>
      </c>
      <c r="XG21" s="31">
        <v>0</v>
      </c>
      <c r="XH21" s="31">
        <v>0</v>
      </c>
      <c r="XI21" s="31">
        <v>0</v>
      </c>
      <c r="XJ21" s="31">
        <v>0</v>
      </c>
      <c r="XK21" s="31">
        <v>0</v>
      </c>
      <c r="XL21" s="31">
        <v>0</v>
      </c>
      <c r="XM21" s="31">
        <v>0</v>
      </c>
      <c r="XN21" s="31">
        <v>0</v>
      </c>
      <c r="XO21" s="31">
        <v>0</v>
      </c>
      <c r="XP21" s="31">
        <v>0</v>
      </c>
      <c r="XQ21" s="31">
        <v>0</v>
      </c>
      <c r="XR21" s="31">
        <v>0</v>
      </c>
      <c r="XS21" s="31">
        <v>0</v>
      </c>
      <c r="XT21" s="31">
        <v>0</v>
      </c>
      <c r="XU21" s="31">
        <v>0</v>
      </c>
      <c r="XV21" s="31">
        <v>0</v>
      </c>
      <c r="XW21" s="31">
        <v>0</v>
      </c>
      <c r="XX21" s="31">
        <v>0</v>
      </c>
      <c r="XY21" s="31">
        <v>0</v>
      </c>
      <c r="XZ21" s="31">
        <v>0</v>
      </c>
      <c r="YA21" s="31">
        <v>0</v>
      </c>
      <c r="YB21" s="31">
        <v>0</v>
      </c>
      <c r="YC21" s="31">
        <v>0</v>
      </c>
      <c r="YD21" s="31">
        <v>0</v>
      </c>
      <c r="YE21" s="31">
        <v>0</v>
      </c>
      <c r="YF21" s="31">
        <v>0</v>
      </c>
      <c r="YG21" s="31">
        <v>0</v>
      </c>
      <c r="YH21" s="31">
        <v>0</v>
      </c>
      <c r="YI21" s="31">
        <v>0</v>
      </c>
      <c r="YJ21" s="31">
        <v>0</v>
      </c>
      <c r="YK21" s="31">
        <v>0</v>
      </c>
      <c r="YL21" s="31">
        <v>0</v>
      </c>
      <c r="YM21" s="31">
        <v>0</v>
      </c>
      <c r="YN21" s="31">
        <v>0</v>
      </c>
      <c r="YO21" s="31">
        <v>0</v>
      </c>
      <c r="YP21" s="31">
        <v>0</v>
      </c>
      <c r="YQ21" s="31">
        <v>0</v>
      </c>
      <c r="YR21" s="31">
        <v>0</v>
      </c>
      <c r="YS21" s="31">
        <v>0</v>
      </c>
      <c r="YT21" s="31">
        <v>0</v>
      </c>
      <c r="YU21" s="31">
        <v>0</v>
      </c>
      <c r="YV21" s="31">
        <v>0</v>
      </c>
      <c r="YW21" s="31">
        <v>0</v>
      </c>
      <c r="YX21" s="31">
        <v>0</v>
      </c>
      <c r="YY21" s="31">
        <v>0</v>
      </c>
      <c r="YZ21" s="31">
        <v>0</v>
      </c>
      <c r="ZA21" s="31">
        <v>0</v>
      </c>
      <c r="ZB21" s="31">
        <v>0</v>
      </c>
      <c r="ZC21" s="31">
        <v>0</v>
      </c>
      <c r="ZD21" s="31">
        <v>0</v>
      </c>
      <c r="ZE21" s="31">
        <v>0</v>
      </c>
      <c r="ZF21" s="31">
        <v>0</v>
      </c>
      <c r="ZG21" s="31">
        <v>0</v>
      </c>
      <c r="ZH21" s="31">
        <v>0</v>
      </c>
      <c r="ZI21" s="31">
        <v>0</v>
      </c>
      <c r="ZJ21" s="31">
        <v>0</v>
      </c>
      <c r="ZK21" s="31">
        <v>0</v>
      </c>
      <c r="ZL21" s="31">
        <v>0</v>
      </c>
      <c r="ZM21" s="31">
        <v>0</v>
      </c>
      <c r="ZN21" s="31">
        <v>0</v>
      </c>
      <c r="ZO21" s="31">
        <v>0</v>
      </c>
      <c r="ZP21" s="31">
        <v>0</v>
      </c>
      <c r="ZQ21" s="31">
        <v>0</v>
      </c>
      <c r="ZR21" s="31">
        <v>0</v>
      </c>
      <c r="ZS21" s="31">
        <v>0</v>
      </c>
      <c r="ZT21" s="31">
        <v>0</v>
      </c>
      <c r="ZU21" s="31">
        <v>0</v>
      </c>
      <c r="ZV21" s="31">
        <v>0</v>
      </c>
      <c r="ZW21" s="31">
        <v>0</v>
      </c>
      <c r="ZX21" s="31">
        <v>0</v>
      </c>
      <c r="ZY21" s="31">
        <v>0</v>
      </c>
      <c r="ZZ21" s="31">
        <v>0</v>
      </c>
      <c r="AAA21" s="31">
        <v>0</v>
      </c>
      <c r="AAB21" s="31">
        <v>0</v>
      </c>
      <c r="AAC21" s="31">
        <v>0</v>
      </c>
      <c r="AAD21" s="31">
        <v>0</v>
      </c>
      <c r="AAE21" s="31">
        <v>0</v>
      </c>
      <c r="AAF21" s="31">
        <v>0</v>
      </c>
      <c r="AAG21" s="31">
        <v>0</v>
      </c>
      <c r="AAH21" s="31">
        <v>0</v>
      </c>
      <c r="AAI21" s="31">
        <v>0</v>
      </c>
      <c r="AAJ21" s="31">
        <v>0</v>
      </c>
      <c r="AAK21" s="31">
        <v>0</v>
      </c>
      <c r="AAL21" s="31">
        <v>0</v>
      </c>
      <c r="AAM21" s="31">
        <v>0</v>
      </c>
      <c r="AAN21" s="31">
        <v>0</v>
      </c>
      <c r="AAO21" s="31">
        <v>0</v>
      </c>
      <c r="AAP21" s="31">
        <v>0</v>
      </c>
      <c r="AAQ21" s="31">
        <v>0</v>
      </c>
      <c r="AAR21" s="31">
        <v>0</v>
      </c>
      <c r="AAS21" s="31">
        <v>0</v>
      </c>
      <c r="AAT21" s="31">
        <v>0</v>
      </c>
      <c r="AAU21" s="31">
        <v>0</v>
      </c>
      <c r="AAV21" s="31">
        <v>0</v>
      </c>
      <c r="AAW21" s="31">
        <v>0</v>
      </c>
      <c r="AAX21" s="31">
        <v>0</v>
      </c>
      <c r="AAY21" s="31">
        <v>0</v>
      </c>
      <c r="AAZ21" s="31">
        <v>0</v>
      </c>
      <c r="ABA21" s="31">
        <v>0</v>
      </c>
      <c r="ABB21" s="31">
        <v>0</v>
      </c>
      <c r="ABC21" s="31">
        <v>0</v>
      </c>
      <c r="ABD21" s="31">
        <v>0</v>
      </c>
      <c r="ABE21" s="31">
        <v>0</v>
      </c>
      <c r="ABF21" s="31">
        <v>0</v>
      </c>
      <c r="ABG21" s="31">
        <v>0</v>
      </c>
      <c r="ABH21" s="31">
        <v>0</v>
      </c>
      <c r="ABI21" s="31">
        <v>0</v>
      </c>
      <c r="ABJ21" s="31">
        <v>0</v>
      </c>
      <c r="ABK21" s="31">
        <v>0</v>
      </c>
      <c r="ABL21" s="31">
        <v>0</v>
      </c>
      <c r="ABM21" s="31">
        <v>0</v>
      </c>
      <c r="ABN21" s="31">
        <v>0</v>
      </c>
      <c r="ABO21" s="31">
        <v>0</v>
      </c>
      <c r="ABP21" s="31">
        <v>0</v>
      </c>
      <c r="ABQ21" s="31">
        <v>0</v>
      </c>
      <c r="ABR21" s="31">
        <v>0</v>
      </c>
      <c r="ABS21" s="31">
        <v>0</v>
      </c>
      <c r="ABT21" s="31">
        <v>0</v>
      </c>
      <c r="ABU21" s="31">
        <v>0</v>
      </c>
      <c r="ABV21" s="31">
        <v>0</v>
      </c>
      <c r="ABW21" s="31">
        <v>0</v>
      </c>
      <c r="ABX21" s="31">
        <v>0</v>
      </c>
      <c r="ABY21" s="31">
        <v>0</v>
      </c>
      <c r="ABZ21" s="31">
        <v>0</v>
      </c>
      <c r="ACA21" s="31">
        <v>0</v>
      </c>
      <c r="ACB21" s="31">
        <v>0</v>
      </c>
      <c r="ACC21" s="31">
        <v>0</v>
      </c>
      <c r="ACD21" s="31">
        <v>0</v>
      </c>
      <c r="ACE21" s="31">
        <v>0</v>
      </c>
      <c r="ACF21" s="31">
        <v>0</v>
      </c>
      <c r="ACG21" s="31">
        <v>0</v>
      </c>
      <c r="ACH21" s="31">
        <v>0</v>
      </c>
      <c r="ACI21" s="31">
        <v>0</v>
      </c>
      <c r="ACJ21" s="31">
        <v>0</v>
      </c>
      <c r="ACK21" s="31">
        <v>0</v>
      </c>
      <c r="ACL21" s="31">
        <v>0</v>
      </c>
      <c r="ACM21" s="31">
        <v>0</v>
      </c>
      <c r="ACN21" s="31">
        <v>0</v>
      </c>
      <c r="ACO21" s="31">
        <v>0</v>
      </c>
      <c r="ACP21" s="31">
        <v>0</v>
      </c>
      <c r="ACQ21" s="31">
        <v>0</v>
      </c>
      <c r="ACR21" s="31">
        <v>0</v>
      </c>
      <c r="ACS21" s="31">
        <v>0</v>
      </c>
      <c r="ACT21" s="31">
        <v>0</v>
      </c>
      <c r="ACU21" s="31">
        <v>0</v>
      </c>
      <c r="ACV21" s="31">
        <v>0</v>
      </c>
      <c r="ACW21" s="31">
        <v>0</v>
      </c>
      <c r="ACX21" s="31">
        <v>0</v>
      </c>
      <c r="ACY21" s="31">
        <v>0</v>
      </c>
      <c r="ACZ21" s="31">
        <v>0</v>
      </c>
      <c r="ADA21" s="31">
        <v>0</v>
      </c>
      <c r="ADB21" s="31">
        <v>0</v>
      </c>
      <c r="ADC21" s="31">
        <v>0</v>
      </c>
      <c r="ADD21" s="31">
        <v>0</v>
      </c>
      <c r="ADE21" s="31">
        <v>0</v>
      </c>
      <c r="ADF21" s="31">
        <v>0</v>
      </c>
      <c r="ADG21" s="31">
        <v>0</v>
      </c>
      <c r="ADH21" s="31">
        <v>0</v>
      </c>
      <c r="ADI21" s="31">
        <v>0</v>
      </c>
      <c r="ADJ21" s="31">
        <v>0</v>
      </c>
      <c r="ADK21" s="31">
        <v>0</v>
      </c>
      <c r="ADL21" s="31">
        <v>0</v>
      </c>
      <c r="ADM21" s="31">
        <v>0</v>
      </c>
      <c r="ADN21" s="31">
        <v>0</v>
      </c>
      <c r="ADO21" s="31">
        <v>0</v>
      </c>
      <c r="ADP21" s="31">
        <v>0</v>
      </c>
      <c r="ADQ21" s="31">
        <v>0</v>
      </c>
      <c r="ADR21" s="31">
        <v>0</v>
      </c>
      <c r="ADS21" s="31">
        <v>0</v>
      </c>
      <c r="ADT21" s="31">
        <v>0</v>
      </c>
      <c r="ADU21" s="31">
        <v>0</v>
      </c>
      <c r="ADV21" s="31">
        <v>0</v>
      </c>
      <c r="ADW21" s="31">
        <v>0</v>
      </c>
      <c r="ADX21" s="31">
        <v>0</v>
      </c>
      <c r="ADY21" s="31">
        <v>0</v>
      </c>
      <c r="ADZ21" s="31">
        <v>0</v>
      </c>
      <c r="AEA21" s="31">
        <v>0</v>
      </c>
      <c r="AEB21" s="31">
        <v>0</v>
      </c>
      <c r="AEC21" s="31">
        <v>0</v>
      </c>
      <c r="AED21" s="31">
        <v>0</v>
      </c>
      <c r="AEE21" s="31">
        <v>0</v>
      </c>
      <c r="AEF21" s="31">
        <v>0</v>
      </c>
      <c r="AEG21" s="31">
        <v>0</v>
      </c>
      <c r="AEH21" s="31">
        <v>0</v>
      </c>
      <c r="AEI21" s="31">
        <v>0</v>
      </c>
      <c r="AEJ21" s="31">
        <v>0</v>
      </c>
      <c r="AEK21" s="31">
        <v>0</v>
      </c>
      <c r="AEL21" s="31">
        <v>0</v>
      </c>
      <c r="AEM21" s="31">
        <v>0</v>
      </c>
      <c r="AEN21" s="31">
        <v>0</v>
      </c>
      <c r="AEO21" s="31">
        <v>0</v>
      </c>
      <c r="AEP21" s="31">
        <v>0</v>
      </c>
      <c r="AEQ21" s="31">
        <v>0</v>
      </c>
      <c r="AER21" s="31">
        <v>0</v>
      </c>
      <c r="AES21" s="31">
        <v>0</v>
      </c>
      <c r="AET21" s="31">
        <v>0</v>
      </c>
      <c r="AEU21" s="31">
        <v>0</v>
      </c>
      <c r="AEV21" s="31">
        <v>0</v>
      </c>
      <c r="AEW21" s="31">
        <v>0</v>
      </c>
      <c r="AEX21" s="31">
        <v>0</v>
      </c>
      <c r="AEY21" s="31">
        <v>0</v>
      </c>
      <c r="AEZ21" s="31">
        <v>0</v>
      </c>
      <c r="AFA21" s="31">
        <v>0</v>
      </c>
      <c r="AFB21" s="31">
        <v>0</v>
      </c>
      <c r="AFC21" s="31">
        <v>0</v>
      </c>
      <c r="AFD21" s="31">
        <v>0</v>
      </c>
      <c r="AFE21" s="31">
        <v>0</v>
      </c>
      <c r="AFF21" s="31">
        <v>0</v>
      </c>
      <c r="AFG21" s="31">
        <v>0</v>
      </c>
      <c r="AFH21" s="31">
        <v>0</v>
      </c>
      <c r="AFI21" s="31">
        <v>0</v>
      </c>
      <c r="AFJ21" s="31">
        <v>0</v>
      </c>
      <c r="AFK21" s="31">
        <v>0</v>
      </c>
      <c r="AFL21" s="31">
        <v>0</v>
      </c>
      <c r="AFM21" s="31">
        <v>0</v>
      </c>
      <c r="AFN21" s="31">
        <v>0</v>
      </c>
      <c r="AFO21" s="31">
        <v>0</v>
      </c>
      <c r="AFP21" s="31">
        <v>0</v>
      </c>
      <c r="AFQ21" s="31">
        <v>0</v>
      </c>
      <c r="AFR21" s="31">
        <v>0</v>
      </c>
      <c r="AFS21" s="31">
        <v>0</v>
      </c>
      <c r="AFT21" s="31">
        <v>0</v>
      </c>
      <c r="AFU21" s="31">
        <v>0</v>
      </c>
      <c r="AFV21" s="31">
        <v>0</v>
      </c>
      <c r="AFW21" s="31">
        <v>0</v>
      </c>
      <c r="AFX21" s="31">
        <v>0</v>
      </c>
      <c r="AFY21" s="31">
        <v>0</v>
      </c>
      <c r="AFZ21" s="31">
        <v>0</v>
      </c>
      <c r="AGA21" s="31">
        <v>0</v>
      </c>
      <c r="AGB21" s="31">
        <v>0</v>
      </c>
      <c r="AGC21" s="31">
        <v>0</v>
      </c>
      <c r="AGD21" s="31">
        <v>0</v>
      </c>
      <c r="AGE21" s="31">
        <v>0</v>
      </c>
      <c r="AGF21" s="31">
        <v>0</v>
      </c>
      <c r="AGG21" s="31">
        <v>0</v>
      </c>
      <c r="AGH21" s="31">
        <v>0</v>
      </c>
      <c r="AGI21" s="31">
        <v>0</v>
      </c>
      <c r="AGJ21" s="31">
        <v>0</v>
      </c>
      <c r="AGK21" s="31">
        <v>0</v>
      </c>
      <c r="AGL21" s="31">
        <v>0</v>
      </c>
      <c r="AGM21" s="31">
        <v>0</v>
      </c>
      <c r="AGN21" s="31">
        <v>0</v>
      </c>
      <c r="AGO21" s="31">
        <v>0</v>
      </c>
      <c r="AGP21" s="31">
        <v>0</v>
      </c>
      <c r="AGQ21" s="31">
        <v>0</v>
      </c>
      <c r="AGR21" s="31">
        <v>0</v>
      </c>
      <c r="AGS21" s="31">
        <v>0</v>
      </c>
      <c r="AGT21" s="31">
        <v>0</v>
      </c>
      <c r="AGU21" s="31">
        <v>0</v>
      </c>
      <c r="AGV21" s="31">
        <v>0</v>
      </c>
      <c r="AGW21" s="31">
        <v>0</v>
      </c>
      <c r="AGX21" s="31">
        <v>0</v>
      </c>
      <c r="AGY21" s="31">
        <v>0</v>
      </c>
      <c r="AGZ21" s="31">
        <v>0</v>
      </c>
      <c r="AHA21" s="31">
        <v>0</v>
      </c>
      <c r="AHB21" s="31">
        <v>0</v>
      </c>
      <c r="AHC21" s="31">
        <v>0</v>
      </c>
      <c r="AHD21" s="31">
        <v>0</v>
      </c>
      <c r="AHE21" s="31">
        <v>0</v>
      </c>
      <c r="AHF21" s="31">
        <v>0</v>
      </c>
      <c r="AHG21" s="31">
        <v>0</v>
      </c>
      <c r="AHH21" s="31">
        <v>0</v>
      </c>
      <c r="AHI21" s="31">
        <v>0</v>
      </c>
      <c r="AHJ21" s="31">
        <v>0</v>
      </c>
      <c r="AHK21" s="31">
        <v>0</v>
      </c>
      <c r="AHL21" s="31">
        <v>0</v>
      </c>
      <c r="AHM21" s="31">
        <v>0</v>
      </c>
      <c r="AHN21" s="31">
        <v>0</v>
      </c>
      <c r="AHO21" s="31">
        <v>0</v>
      </c>
      <c r="AHP21" s="31">
        <v>0</v>
      </c>
      <c r="AHQ21" s="31">
        <v>0</v>
      </c>
      <c r="AHR21" s="31">
        <v>0</v>
      </c>
      <c r="AHS21" s="31">
        <v>0</v>
      </c>
      <c r="AHT21" s="31">
        <v>0</v>
      </c>
      <c r="AHU21" s="31">
        <v>0</v>
      </c>
      <c r="AHV21" s="31">
        <v>0</v>
      </c>
      <c r="AHW21" s="31">
        <v>0</v>
      </c>
      <c r="AHX21" s="31">
        <v>0</v>
      </c>
      <c r="AHY21" s="31">
        <v>0</v>
      </c>
      <c r="AHZ21" s="31">
        <v>0</v>
      </c>
      <c r="AIA21" s="31">
        <v>0</v>
      </c>
      <c r="AIB21" s="31">
        <v>0</v>
      </c>
      <c r="AIC21" s="31">
        <v>0</v>
      </c>
      <c r="AID21" s="31">
        <v>0</v>
      </c>
      <c r="AIE21" s="31">
        <v>0</v>
      </c>
      <c r="AIF21" s="31">
        <v>0</v>
      </c>
      <c r="AIG21" s="31">
        <v>0</v>
      </c>
      <c r="AIH21" s="31">
        <v>0</v>
      </c>
      <c r="AII21" s="31">
        <v>0</v>
      </c>
      <c r="AIJ21" s="31">
        <v>0</v>
      </c>
      <c r="AIK21" s="31">
        <v>0</v>
      </c>
      <c r="AIL21" s="31">
        <v>0</v>
      </c>
      <c r="AIM21" s="31">
        <v>0</v>
      </c>
      <c r="AIN21" s="31">
        <v>0</v>
      </c>
      <c r="AIO21" s="31">
        <v>0</v>
      </c>
      <c r="AIP21" s="31">
        <v>0</v>
      </c>
      <c r="AIQ21" s="31">
        <v>0</v>
      </c>
      <c r="AIR21" s="31">
        <v>0</v>
      </c>
      <c r="AIS21" s="31">
        <v>0</v>
      </c>
      <c r="AIT21" s="31">
        <v>0</v>
      </c>
      <c r="AIU21" s="31">
        <v>0</v>
      </c>
      <c r="AIV21" s="31">
        <v>0</v>
      </c>
      <c r="AIW21" s="31">
        <v>0</v>
      </c>
      <c r="AIX21" s="31">
        <v>0</v>
      </c>
      <c r="AIY21" s="31">
        <v>0</v>
      </c>
      <c r="AIZ21" s="31">
        <v>0</v>
      </c>
      <c r="AJA21" s="31">
        <v>0</v>
      </c>
      <c r="AJB21" s="31">
        <v>0</v>
      </c>
      <c r="AJC21" s="31">
        <v>0</v>
      </c>
      <c r="AJD21" s="31">
        <v>0</v>
      </c>
      <c r="AJE21" s="31">
        <v>0</v>
      </c>
      <c r="AJF21" s="31">
        <v>0</v>
      </c>
      <c r="AJG21" s="31">
        <v>0</v>
      </c>
      <c r="AJH21" s="31">
        <v>0</v>
      </c>
      <c r="AJI21" s="31">
        <v>0</v>
      </c>
      <c r="AJJ21" s="31">
        <v>0</v>
      </c>
      <c r="AJK21" s="31">
        <v>0</v>
      </c>
      <c r="AJL21" s="31">
        <v>0</v>
      </c>
      <c r="AJM21" s="31">
        <v>0</v>
      </c>
      <c r="AJN21" s="31">
        <v>0</v>
      </c>
      <c r="AJO21" s="31">
        <v>0</v>
      </c>
      <c r="AJP21" s="31">
        <v>0</v>
      </c>
      <c r="AJQ21" s="31">
        <v>0</v>
      </c>
      <c r="AJR21" s="31">
        <v>0</v>
      </c>
      <c r="AJS21" s="31">
        <v>0</v>
      </c>
      <c r="AJT21" s="31">
        <v>0</v>
      </c>
      <c r="AJU21" s="31">
        <v>0</v>
      </c>
      <c r="AJV21" s="31">
        <v>0</v>
      </c>
      <c r="AJW21" s="31">
        <v>0</v>
      </c>
      <c r="AJX21" s="31">
        <v>0</v>
      </c>
      <c r="AJY21" s="31">
        <v>0</v>
      </c>
      <c r="AJZ21" s="31">
        <v>0</v>
      </c>
      <c r="AKA21" s="31">
        <v>0</v>
      </c>
      <c r="AKB21" s="31">
        <v>0</v>
      </c>
      <c r="AKC21" s="31">
        <v>0</v>
      </c>
      <c r="AKD21" s="31">
        <v>0</v>
      </c>
      <c r="AKE21" s="31">
        <v>0</v>
      </c>
      <c r="AKF21" s="31">
        <v>0</v>
      </c>
      <c r="AKG21" s="31">
        <v>0</v>
      </c>
      <c r="AKH21" s="31">
        <v>0</v>
      </c>
      <c r="AKI21" s="31">
        <v>0</v>
      </c>
      <c r="AKJ21" s="31">
        <v>0</v>
      </c>
      <c r="AKK21" s="31">
        <v>0</v>
      </c>
      <c r="AKL21" s="31">
        <v>0</v>
      </c>
      <c r="AKM21" s="31">
        <v>0</v>
      </c>
      <c r="AKN21" s="31">
        <v>0</v>
      </c>
      <c r="AKO21" s="31">
        <v>0</v>
      </c>
      <c r="AKP21" s="31">
        <v>0</v>
      </c>
      <c r="AKQ21" s="31">
        <v>0</v>
      </c>
      <c r="AKR21" s="31">
        <v>0</v>
      </c>
      <c r="AKS21" s="31">
        <v>0</v>
      </c>
      <c r="AKT21" s="31">
        <v>0</v>
      </c>
      <c r="AKU21" s="31">
        <v>0</v>
      </c>
      <c r="AKV21" s="31">
        <v>0</v>
      </c>
      <c r="AKW21" s="31">
        <v>0</v>
      </c>
      <c r="AKX21" s="31">
        <v>0</v>
      </c>
      <c r="AKY21" s="31">
        <v>0</v>
      </c>
      <c r="AKZ21" s="31">
        <v>0</v>
      </c>
      <c r="ALA21" s="31">
        <v>0</v>
      </c>
      <c r="ALB21" s="31">
        <v>0</v>
      </c>
      <c r="ALC21" s="31">
        <v>0</v>
      </c>
      <c r="ALD21" s="31">
        <v>0</v>
      </c>
      <c r="ALE21" s="31">
        <v>0</v>
      </c>
      <c r="ALF21" s="31">
        <v>0</v>
      </c>
      <c r="ALG21" s="31">
        <v>0</v>
      </c>
      <c r="ALH21" s="31">
        <v>0</v>
      </c>
      <c r="ALI21" s="31">
        <v>0</v>
      </c>
      <c r="ALJ21" s="31">
        <v>0</v>
      </c>
      <c r="ALK21" s="31">
        <v>0</v>
      </c>
      <c r="ALL21" s="31">
        <v>0</v>
      </c>
      <c r="ALM21" s="31">
        <v>0</v>
      </c>
      <c r="ALN21" s="31">
        <v>0</v>
      </c>
      <c r="ALO21" s="31">
        <v>0</v>
      </c>
      <c r="ALP21" s="31">
        <v>0</v>
      </c>
      <c r="ALQ21" s="31">
        <v>0</v>
      </c>
      <c r="ALR21" s="31">
        <v>0</v>
      </c>
      <c r="ALS21" s="31">
        <v>0</v>
      </c>
      <c r="ALT21" s="31">
        <v>0</v>
      </c>
      <c r="ALU21" s="31">
        <v>0</v>
      </c>
      <c r="ALV21" s="31">
        <v>0</v>
      </c>
      <c r="ALW21" s="31">
        <v>0</v>
      </c>
      <c r="ALX21" s="31">
        <v>0</v>
      </c>
      <c r="ALY21" s="31">
        <v>0</v>
      </c>
      <c r="ALZ21" s="31">
        <v>0</v>
      </c>
      <c r="AMA21" s="31">
        <v>0</v>
      </c>
      <c r="AMB21" s="31">
        <v>0</v>
      </c>
      <c r="AMC21" s="31">
        <v>0</v>
      </c>
      <c r="AMD21" s="31">
        <v>0</v>
      </c>
      <c r="AME21" s="31">
        <v>0</v>
      </c>
      <c r="AMF21" s="31">
        <v>0</v>
      </c>
      <c r="AMG21" s="31">
        <v>0</v>
      </c>
      <c r="AMH21" s="31">
        <v>0</v>
      </c>
      <c r="AMI21" s="31">
        <v>0</v>
      </c>
      <c r="AMJ21" s="31">
        <v>0</v>
      </c>
      <c r="AMK21" s="31">
        <v>0</v>
      </c>
      <c r="AML21" s="31">
        <v>0</v>
      </c>
      <c r="AMM21" s="31">
        <v>0</v>
      </c>
      <c r="AMN21" s="31">
        <v>0</v>
      </c>
      <c r="AMO21" s="31">
        <v>0</v>
      </c>
      <c r="AMP21" s="31">
        <v>0</v>
      </c>
      <c r="AMQ21" s="31">
        <v>0</v>
      </c>
      <c r="AMR21" s="31">
        <v>0</v>
      </c>
      <c r="AMS21" s="31">
        <v>0</v>
      </c>
      <c r="AMT21" s="31">
        <v>0</v>
      </c>
      <c r="AMU21" s="31">
        <v>0</v>
      </c>
      <c r="AMV21" s="31">
        <v>0</v>
      </c>
      <c r="AMW21" s="31">
        <v>0</v>
      </c>
      <c r="AMX21" s="31">
        <v>0</v>
      </c>
      <c r="AMY21" s="31">
        <v>0</v>
      </c>
      <c r="AMZ21" s="31">
        <v>0</v>
      </c>
      <c r="ANA21" s="31">
        <v>0</v>
      </c>
      <c r="ANB21" s="31">
        <v>0</v>
      </c>
      <c r="ANC21" s="31">
        <v>0</v>
      </c>
      <c r="AND21" s="31">
        <v>0</v>
      </c>
      <c r="ANE21" s="31">
        <v>0</v>
      </c>
      <c r="ANF21" s="31">
        <v>0</v>
      </c>
      <c r="ANG21" s="31">
        <v>0</v>
      </c>
      <c r="ANH21" s="31">
        <v>0</v>
      </c>
      <c r="ANI21" s="31">
        <v>0</v>
      </c>
      <c r="ANJ21" s="31">
        <v>0</v>
      </c>
      <c r="ANK21" s="31">
        <v>0</v>
      </c>
      <c r="ANL21" s="31">
        <v>0</v>
      </c>
      <c r="ANM21" s="31">
        <v>0</v>
      </c>
      <c r="ANN21" s="31">
        <v>0</v>
      </c>
      <c r="ANO21" s="31">
        <v>0</v>
      </c>
      <c r="ANP21" s="31">
        <v>0</v>
      </c>
      <c r="ANQ21" s="31">
        <v>0</v>
      </c>
      <c r="ANR21" s="31">
        <v>0</v>
      </c>
      <c r="ANS21" s="31">
        <v>0</v>
      </c>
      <c r="ANT21" s="31">
        <v>0</v>
      </c>
      <c r="ANU21" s="31">
        <v>0</v>
      </c>
      <c r="ANV21" s="31">
        <v>0</v>
      </c>
      <c r="ANW21" s="31">
        <v>0</v>
      </c>
      <c r="ANX21" s="31">
        <v>0</v>
      </c>
      <c r="ANY21" s="31">
        <v>0</v>
      </c>
      <c r="ANZ21" s="31">
        <v>0</v>
      </c>
      <c r="AOA21" s="31">
        <v>0</v>
      </c>
      <c r="AOB21" s="31">
        <v>0</v>
      </c>
      <c r="AOC21" s="31">
        <v>0</v>
      </c>
      <c r="AOD21" s="31">
        <v>0</v>
      </c>
      <c r="AOE21" s="31">
        <v>0</v>
      </c>
      <c r="AOF21" s="31">
        <v>0</v>
      </c>
      <c r="AOG21" s="31">
        <v>0</v>
      </c>
      <c r="AOH21" s="31">
        <v>0</v>
      </c>
      <c r="AOI21" s="31">
        <v>0</v>
      </c>
      <c r="AOJ21" s="31">
        <v>0</v>
      </c>
      <c r="AOK21" s="31">
        <v>0</v>
      </c>
      <c r="AOL21" s="31">
        <v>0</v>
      </c>
      <c r="AOM21" s="31">
        <v>0</v>
      </c>
      <c r="AON21" s="31">
        <v>0</v>
      </c>
      <c r="AOO21" s="31">
        <v>0</v>
      </c>
      <c r="AOP21" s="31">
        <v>0</v>
      </c>
      <c r="AOQ21" s="31">
        <v>0</v>
      </c>
      <c r="AOR21" s="31">
        <v>0</v>
      </c>
      <c r="AOS21" s="31">
        <v>0</v>
      </c>
      <c r="AOT21" s="31">
        <v>0</v>
      </c>
      <c r="AOU21" s="31">
        <v>0</v>
      </c>
      <c r="AOV21" s="31">
        <v>0</v>
      </c>
      <c r="AOW21" s="31">
        <v>0</v>
      </c>
      <c r="AOX21" s="31">
        <v>0</v>
      </c>
      <c r="AOY21" s="31">
        <v>0</v>
      </c>
      <c r="AOZ21" s="31">
        <v>0</v>
      </c>
      <c r="APA21" s="31">
        <v>0</v>
      </c>
      <c r="APB21" s="31">
        <v>0</v>
      </c>
      <c r="APC21" s="31">
        <v>0</v>
      </c>
      <c r="APD21" s="31">
        <v>0</v>
      </c>
      <c r="APE21" s="31">
        <v>0</v>
      </c>
      <c r="APF21" s="31">
        <v>0</v>
      </c>
      <c r="APG21" s="31">
        <v>0</v>
      </c>
      <c r="APH21" s="31">
        <v>0</v>
      </c>
      <c r="API21" s="31">
        <v>0</v>
      </c>
      <c r="APJ21" s="31">
        <v>0</v>
      </c>
      <c r="APK21" s="31">
        <v>0</v>
      </c>
      <c r="APL21" s="31">
        <v>0</v>
      </c>
      <c r="APM21" s="31">
        <v>0</v>
      </c>
      <c r="APN21" s="31">
        <v>0</v>
      </c>
      <c r="APO21" s="31">
        <v>0</v>
      </c>
      <c r="APP21" s="31">
        <v>0</v>
      </c>
      <c r="APQ21" s="31">
        <v>0</v>
      </c>
      <c r="APR21" s="31">
        <v>0</v>
      </c>
      <c r="APS21" s="31">
        <v>0</v>
      </c>
      <c r="APT21" s="31">
        <v>0</v>
      </c>
      <c r="APU21" s="31">
        <v>0</v>
      </c>
      <c r="APV21" s="31">
        <v>0</v>
      </c>
      <c r="APW21" s="31">
        <v>0</v>
      </c>
      <c r="APX21" s="31">
        <v>0</v>
      </c>
      <c r="APY21" s="31">
        <v>0</v>
      </c>
      <c r="APZ21" s="31">
        <v>0</v>
      </c>
      <c r="AQA21" s="31">
        <v>0</v>
      </c>
      <c r="AQB21" s="31">
        <v>0</v>
      </c>
      <c r="AQC21" s="31">
        <v>0</v>
      </c>
      <c r="AQD21" s="31">
        <v>0</v>
      </c>
      <c r="AQE21" s="31">
        <v>0</v>
      </c>
      <c r="AQF21" s="31">
        <v>0</v>
      </c>
      <c r="AQG21" s="31">
        <v>0</v>
      </c>
      <c r="AQH21" s="31">
        <v>0</v>
      </c>
      <c r="AQI21" s="31">
        <v>0</v>
      </c>
      <c r="AQJ21" s="31">
        <v>0</v>
      </c>
      <c r="AQK21" s="31">
        <v>0</v>
      </c>
      <c r="AQL21" s="31">
        <v>0</v>
      </c>
      <c r="AQM21" s="31">
        <v>0</v>
      </c>
      <c r="AQN21" s="31">
        <v>0</v>
      </c>
      <c r="AQO21" s="31">
        <v>0</v>
      </c>
      <c r="AQP21" s="31">
        <v>0</v>
      </c>
      <c r="AQQ21" s="31">
        <v>0</v>
      </c>
      <c r="AQR21" s="31">
        <v>0</v>
      </c>
      <c r="AQS21" s="31">
        <v>0</v>
      </c>
      <c r="AQT21" s="31">
        <v>0</v>
      </c>
      <c r="AQU21" s="31">
        <v>0</v>
      </c>
      <c r="AQV21" s="31">
        <v>0</v>
      </c>
      <c r="AQW21" s="31">
        <v>0</v>
      </c>
      <c r="AQX21" s="31">
        <v>0</v>
      </c>
      <c r="AQY21" s="31">
        <v>0</v>
      </c>
      <c r="AQZ21" s="31">
        <v>0</v>
      </c>
      <c r="ARA21" s="31">
        <v>0</v>
      </c>
      <c r="ARB21" s="31">
        <v>0</v>
      </c>
      <c r="ARC21" s="31">
        <v>0</v>
      </c>
      <c r="ARD21" s="31">
        <v>0</v>
      </c>
      <c r="ARE21" s="31">
        <v>0</v>
      </c>
      <c r="ARF21" s="31">
        <v>0</v>
      </c>
      <c r="ARG21" s="31">
        <v>0</v>
      </c>
      <c r="ARH21" s="31">
        <v>0</v>
      </c>
      <c r="ARI21" s="31">
        <v>0</v>
      </c>
      <c r="ARJ21" s="31">
        <v>0</v>
      </c>
      <c r="ARK21" s="31">
        <v>0</v>
      </c>
      <c r="ARL21" s="31">
        <v>0</v>
      </c>
      <c r="ARM21" s="31">
        <v>0</v>
      </c>
      <c r="ARN21" s="31">
        <v>0</v>
      </c>
      <c r="ARO21" s="31">
        <v>0</v>
      </c>
      <c r="ARP21" s="31">
        <v>0</v>
      </c>
      <c r="ARQ21" s="31">
        <v>0</v>
      </c>
      <c r="ARR21" s="31">
        <v>0</v>
      </c>
      <c r="ARS21" s="31">
        <v>25</v>
      </c>
      <c r="ART21" s="31">
        <v>0</v>
      </c>
      <c r="ARU21" s="31">
        <v>0</v>
      </c>
      <c r="ARV21" s="31">
        <v>0</v>
      </c>
      <c r="ARW21" s="31">
        <v>0</v>
      </c>
      <c r="ARX21" s="31">
        <v>0</v>
      </c>
      <c r="ARY21" s="31">
        <v>0</v>
      </c>
      <c r="ARZ21" s="31">
        <v>0</v>
      </c>
      <c r="ASA21" s="31">
        <v>0</v>
      </c>
      <c r="ASB21" s="31">
        <v>0</v>
      </c>
      <c r="ASC21" s="31">
        <v>0</v>
      </c>
      <c r="ASD21" s="31">
        <v>0</v>
      </c>
      <c r="ASE21" s="31">
        <v>0</v>
      </c>
      <c r="ASF21" s="31">
        <v>0</v>
      </c>
      <c r="ASG21" s="31">
        <v>0</v>
      </c>
      <c r="ASH21" s="31">
        <v>0</v>
      </c>
      <c r="ASI21" s="31">
        <v>0</v>
      </c>
      <c r="ASJ21" s="31">
        <v>0</v>
      </c>
      <c r="ASK21" s="31">
        <v>0</v>
      </c>
      <c r="ASL21" s="31">
        <v>0</v>
      </c>
      <c r="ASM21" s="31">
        <v>0</v>
      </c>
      <c r="ASN21" s="31">
        <v>0</v>
      </c>
      <c r="ASO21" s="31">
        <v>0</v>
      </c>
      <c r="ASP21" s="31">
        <v>0</v>
      </c>
      <c r="ASQ21" s="31">
        <v>0</v>
      </c>
      <c r="ASR21" s="31">
        <v>0</v>
      </c>
      <c r="ASS21" s="31">
        <v>0</v>
      </c>
      <c r="AST21" s="31">
        <v>0</v>
      </c>
      <c r="ASU21" s="31">
        <v>0</v>
      </c>
      <c r="ASV21" s="31">
        <v>0</v>
      </c>
      <c r="ASW21" s="31">
        <v>0</v>
      </c>
      <c r="ASX21" s="31">
        <v>0</v>
      </c>
      <c r="ASY21" s="31">
        <v>0</v>
      </c>
      <c r="ASZ21" s="31">
        <v>0</v>
      </c>
      <c r="ATA21" s="31">
        <v>0</v>
      </c>
      <c r="ATB21" s="31">
        <v>0</v>
      </c>
      <c r="ATC21" s="31">
        <v>0</v>
      </c>
      <c r="ATD21" s="31">
        <v>0</v>
      </c>
      <c r="ATE21" s="31">
        <v>0</v>
      </c>
      <c r="ATF21" s="31">
        <v>0</v>
      </c>
      <c r="ATG21" s="31">
        <v>0</v>
      </c>
      <c r="ATH21" s="31">
        <v>0</v>
      </c>
      <c r="ATI21" s="31">
        <v>0</v>
      </c>
      <c r="ATJ21" s="31">
        <v>0</v>
      </c>
      <c r="ATK21" s="31">
        <v>0</v>
      </c>
      <c r="ATL21" s="31">
        <v>0</v>
      </c>
      <c r="ATM21" s="31">
        <v>0</v>
      </c>
      <c r="ATN21" s="31">
        <v>0</v>
      </c>
      <c r="ATO21" s="31">
        <v>0</v>
      </c>
      <c r="ATP21" s="31">
        <v>0</v>
      </c>
      <c r="ATQ21" s="31">
        <v>0</v>
      </c>
      <c r="ATR21" s="31">
        <v>0</v>
      </c>
      <c r="ATS21" s="31">
        <v>0</v>
      </c>
      <c r="ATT21" s="31">
        <v>0</v>
      </c>
      <c r="ATU21" s="31">
        <v>0</v>
      </c>
      <c r="ATV21" s="31">
        <v>0</v>
      </c>
      <c r="ATW21" s="31">
        <v>0</v>
      </c>
      <c r="ATX21" s="31">
        <v>0</v>
      </c>
      <c r="ATY21" s="31">
        <v>0</v>
      </c>
      <c r="ATZ21" s="31">
        <v>0</v>
      </c>
      <c r="AUA21" s="31">
        <v>0</v>
      </c>
      <c r="AUB21" s="31">
        <v>0</v>
      </c>
      <c r="AUC21" s="31">
        <v>0</v>
      </c>
      <c r="AUD21" s="31">
        <v>0</v>
      </c>
      <c r="AUE21" s="31">
        <v>0</v>
      </c>
      <c r="AUF21" s="31">
        <v>0</v>
      </c>
      <c r="AUG21" s="31">
        <v>0</v>
      </c>
      <c r="AUH21" s="31">
        <v>0</v>
      </c>
      <c r="AUI21" s="31">
        <v>0</v>
      </c>
      <c r="AUJ21" s="31">
        <v>0</v>
      </c>
      <c r="AUK21" s="31">
        <v>0</v>
      </c>
      <c r="AUL21" s="31">
        <v>0</v>
      </c>
      <c r="AUM21" s="31">
        <v>0</v>
      </c>
      <c r="AUN21" s="31">
        <v>0</v>
      </c>
      <c r="AUO21" s="31">
        <v>0</v>
      </c>
      <c r="AUP21" s="31">
        <v>0</v>
      </c>
      <c r="AUQ21" s="31">
        <v>0</v>
      </c>
      <c r="AUR21" s="31">
        <v>0</v>
      </c>
      <c r="AUS21" s="31">
        <v>0</v>
      </c>
      <c r="AUT21" s="31">
        <v>0</v>
      </c>
      <c r="AUU21" s="31">
        <v>0</v>
      </c>
      <c r="AUV21" s="31">
        <v>0</v>
      </c>
      <c r="AUW21" s="31">
        <v>0</v>
      </c>
      <c r="AUX21" s="31">
        <v>0</v>
      </c>
      <c r="AUY21" s="31">
        <v>0</v>
      </c>
      <c r="AUZ21" s="31">
        <v>0</v>
      </c>
      <c r="AVA21" s="31">
        <v>0</v>
      </c>
      <c r="AVB21" s="31">
        <v>0</v>
      </c>
      <c r="AVC21" s="31">
        <v>0</v>
      </c>
      <c r="AVD21" s="31">
        <v>0</v>
      </c>
      <c r="AVE21" s="31">
        <v>0</v>
      </c>
      <c r="AVF21" s="31">
        <v>0</v>
      </c>
      <c r="AVG21" s="31">
        <v>0</v>
      </c>
      <c r="AVH21" s="31">
        <v>0</v>
      </c>
      <c r="AVI21" s="31">
        <v>0</v>
      </c>
      <c r="AVJ21" s="31">
        <v>0</v>
      </c>
      <c r="AVK21" s="31">
        <v>0</v>
      </c>
      <c r="AVL21" s="31">
        <v>0</v>
      </c>
      <c r="AVM21" s="31">
        <v>0</v>
      </c>
      <c r="AVN21" s="31">
        <v>0</v>
      </c>
      <c r="AVO21" s="31">
        <v>0</v>
      </c>
      <c r="AVP21" s="31">
        <v>0</v>
      </c>
      <c r="AVQ21" s="31">
        <v>0</v>
      </c>
      <c r="AVR21" s="31">
        <v>0</v>
      </c>
      <c r="AVS21" s="31">
        <v>0</v>
      </c>
      <c r="AVT21" s="31">
        <v>0</v>
      </c>
      <c r="AVU21" s="31">
        <v>0</v>
      </c>
      <c r="AVV21" s="31">
        <v>0</v>
      </c>
      <c r="AVW21" s="31">
        <v>0</v>
      </c>
      <c r="AVX21" s="31">
        <v>0</v>
      </c>
      <c r="AVY21" s="31">
        <v>0</v>
      </c>
      <c r="AVZ21" s="31">
        <v>0</v>
      </c>
      <c r="AWA21" s="31">
        <v>0</v>
      </c>
      <c r="AWB21" s="31">
        <v>0</v>
      </c>
      <c r="AWC21" s="31">
        <v>0</v>
      </c>
      <c r="AWD21" s="31">
        <v>0</v>
      </c>
      <c r="AWE21" s="31">
        <v>0</v>
      </c>
      <c r="AWF21" s="31">
        <v>0</v>
      </c>
      <c r="AWG21" s="31">
        <v>0</v>
      </c>
      <c r="AWH21" s="31">
        <v>0</v>
      </c>
      <c r="AWI21" s="31">
        <v>0</v>
      </c>
      <c r="AWJ21" s="31">
        <v>0</v>
      </c>
      <c r="AWK21" s="31">
        <v>0</v>
      </c>
      <c r="AWL21" s="31">
        <v>0</v>
      </c>
      <c r="AWM21" s="31">
        <v>0</v>
      </c>
      <c r="AWN21" s="31">
        <v>0</v>
      </c>
      <c r="AWO21" s="31">
        <v>0</v>
      </c>
      <c r="AWP21" s="31">
        <v>0</v>
      </c>
      <c r="AWQ21" s="31">
        <v>0</v>
      </c>
      <c r="AWR21" s="31">
        <v>0</v>
      </c>
      <c r="AWS21" s="31">
        <v>0</v>
      </c>
      <c r="AWT21" s="31">
        <v>0</v>
      </c>
      <c r="AWU21" s="31">
        <v>0</v>
      </c>
      <c r="AWV21" s="31">
        <v>0</v>
      </c>
      <c r="AWW21" s="31">
        <v>0</v>
      </c>
      <c r="AWX21" s="31">
        <v>0</v>
      </c>
      <c r="AWY21" s="31">
        <v>0</v>
      </c>
      <c r="AWZ21" s="31">
        <v>0</v>
      </c>
      <c r="AXA21" s="31">
        <v>0</v>
      </c>
      <c r="AXB21" s="31">
        <v>0</v>
      </c>
      <c r="AXC21" s="31">
        <v>0</v>
      </c>
      <c r="AXD21" s="31">
        <v>0</v>
      </c>
      <c r="AXE21" s="31">
        <v>0</v>
      </c>
      <c r="AXF21" s="31">
        <v>0</v>
      </c>
      <c r="AXG21" s="31">
        <v>0</v>
      </c>
      <c r="AXH21" s="31">
        <v>0</v>
      </c>
      <c r="AXI21" s="31">
        <v>0</v>
      </c>
      <c r="AXJ21" s="31">
        <v>0</v>
      </c>
      <c r="AXK21" s="31">
        <v>0</v>
      </c>
      <c r="AXL21" s="31">
        <v>0</v>
      </c>
      <c r="AXM21" s="31">
        <v>0</v>
      </c>
      <c r="AXN21" s="31">
        <v>0</v>
      </c>
      <c r="AXO21" s="31">
        <v>0</v>
      </c>
      <c r="AXP21" s="31">
        <v>0</v>
      </c>
      <c r="AXQ21" s="31">
        <v>0</v>
      </c>
      <c r="AXR21" s="31">
        <v>0</v>
      </c>
      <c r="AXS21" s="31">
        <v>0</v>
      </c>
      <c r="AXT21" s="31">
        <v>0</v>
      </c>
      <c r="AXU21" s="31">
        <v>0</v>
      </c>
      <c r="AXV21" s="31">
        <v>0</v>
      </c>
      <c r="AXW21" s="31">
        <v>0</v>
      </c>
      <c r="AXX21" s="31">
        <v>0</v>
      </c>
      <c r="AXY21" s="31">
        <v>0</v>
      </c>
      <c r="AXZ21" s="31">
        <v>0</v>
      </c>
      <c r="AYA21" s="31">
        <v>0</v>
      </c>
      <c r="AYB21" s="31">
        <v>0</v>
      </c>
      <c r="AYC21" s="31">
        <v>0</v>
      </c>
      <c r="AYD21" s="31">
        <v>0</v>
      </c>
      <c r="AYE21" s="31">
        <v>0</v>
      </c>
      <c r="AYF21" s="31">
        <v>0</v>
      </c>
      <c r="AYG21" s="31">
        <v>0</v>
      </c>
      <c r="AYH21" s="31">
        <v>0</v>
      </c>
      <c r="AYI21" s="31">
        <v>0</v>
      </c>
      <c r="AYJ21" s="31">
        <v>0</v>
      </c>
      <c r="AYK21" s="31">
        <v>0</v>
      </c>
      <c r="AYL21" s="31">
        <v>0</v>
      </c>
      <c r="AYM21" s="31">
        <v>0</v>
      </c>
      <c r="AYN21" s="31">
        <v>0</v>
      </c>
      <c r="AYO21" s="31">
        <v>0</v>
      </c>
      <c r="AYP21" s="31">
        <v>0</v>
      </c>
      <c r="AYQ21" s="31">
        <v>0</v>
      </c>
      <c r="AYR21" s="31">
        <v>0</v>
      </c>
      <c r="AYS21" s="31">
        <v>0</v>
      </c>
      <c r="AYT21" s="31">
        <v>0</v>
      </c>
      <c r="AYU21" s="31">
        <v>0</v>
      </c>
      <c r="AYV21" s="31">
        <v>0</v>
      </c>
      <c r="AYW21" s="31">
        <v>0</v>
      </c>
      <c r="AYX21" s="31">
        <v>0</v>
      </c>
      <c r="AYY21" s="31">
        <v>0</v>
      </c>
      <c r="AYZ21" s="31">
        <v>0</v>
      </c>
      <c r="AZA21" s="31">
        <v>0</v>
      </c>
      <c r="AZB21" s="31">
        <v>0</v>
      </c>
      <c r="AZC21" s="31">
        <v>0</v>
      </c>
      <c r="AZD21" s="31">
        <v>0</v>
      </c>
      <c r="AZE21" s="31">
        <v>0</v>
      </c>
      <c r="AZF21" s="31">
        <v>0</v>
      </c>
      <c r="AZG21" s="31">
        <v>0</v>
      </c>
      <c r="AZH21" s="31">
        <v>0</v>
      </c>
      <c r="AZI21" s="31">
        <v>0</v>
      </c>
      <c r="AZJ21" s="31">
        <v>0</v>
      </c>
      <c r="AZK21" s="31">
        <v>0</v>
      </c>
      <c r="AZL21" s="31">
        <v>0</v>
      </c>
      <c r="AZM21" s="31">
        <v>0</v>
      </c>
      <c r="AZN21" s="31">
        <v>0</v>
      </c>
      <c r="AZO21" s="31">
        <v>0</v>
      </c>
      <c r="AZP21" s="31">
        <v>0</v>
      </c>
      <c r="AZQ21" s="31">
        <v>0</v>
      </c>
      <c r="AZR21" s="31">
        <v>0</v>
      </c>
      <c r="AZS21" s="31">
        <v>0</v>
      </c>
      <c r="AZT21" s="31">
        <v>0</v>
      </c>
      <c r="AZU21" s="31">
        <v>0</v>
      </c>
      <c r="AZV21" s="31">
        <v>0</v>
      </c>
      <c r="AZW21" s="31">
        <v>0</v>
      </c>
      <c r="AZX21" s="31">
        <v>0</v>
      </c>
      <c r="AZY21" s="31">
        <v>0</v>
      </c>
      <c r="AZZ21" s="31">
        <v>0</v>
      </c>
      <c r="BAA21" s="31">
        <v>0</v>
      </c>
      <c r="BAB21" s="31">
        <v>0</v>
      </c>
      <c r="BAC21" s="31">
        <v>0</v>
      </c>
      <c r="BAD21" s="31">
        <v>0</v>
      </c>
      <c r="BAE21" s="31">
        <v>0</v>
      </c>
      <c r="BAF21" s="31">
        <v>0</v>
      </c>
      <c r="BAG21" s="31">
        <v>0</v>
      </c>
      <c r="BAH21" s="31">
        <v>0</v>
      </c>
      <c r="BAI21" s="31">
        <v>0</v>
      </c>
      <c r="BAJ21" s="31">
        <v>0</v>
      </c>
      <c r="BAK21" s="31">
        <v>0</v>
      </c>
      <c r="BAL21" s="31">
        <v>0</v>
      </c>
      <c r="BAM21" s="31">
        <v>0</v>
      </c>
      <c r="BAN21" s="31">
        <v>0</v>
      </c>
      <c r="BAO21" s="31">
        <v>0</v>
      </c>
      <c r="BAP21" s="31">
        <v>0</v>
      </c>
      <c r="BAQ21" s="31">
        <v>0</v>
      </c>
      <c r="BAR21" s="31">
        <v>0</v>
      </c>
      <c r="BAS21" s="31">
        <v>0</v>
      </c>
      <c r="BAT21" s="31">
        <v>0</v>
      </c>
      <c r="BAU21" s="31">
        <v>0</v>
      </c>
      <c r="BAV21" s="31">
        <v>0</v>
      </c>
      <c r="BAW21" s="31">
        <v>0</v>
      </c>
      <c r="BAX21" s="31">
        <v>0</v>
      </c>
      <c r="BAY21" s="31">
        <v>0</v>
      </c>
      <c r="BAZ21" s="31">
        <v>0</v>
      </c>
      <c r="BBA21" s="31">
        <v>0</v>
      </c>
      <c r="BBB21" s="31">
        <v>0</v>
      </c>
      <c r="BBC21" s="31">
        <v>0</v>
      </c>
      <c r="BBD21" s="31">
        <v>0</v>
      </c>
      <c r="BBE21" s="31">
        <v>0</v>
      </c>
      <c r="BBF21" s="31">
        <v>0</v>
      </c>
      <c r="BBG21" s="31">
        <v>0</v>
      </c>
      <c r="BBH21" s="31">
        <v>0</v>
      </c>
      <c r="BBI21" s="31">
        <v>0</v>
      </c>
      <c r="BBJ21" s="31">
        <v>0</v>
      </c>
      <c r="BBK21" s="31">
        <v>0</v>
      </c>
      <c r="BBL21" s="31">
        <v>0</v>
      </c>
      <c r="BBM21" s="31">
        <v>32</v>
      </c>
      <c r="BBN21" s="31">
        <v>0</v>
      </c>
      <c r="BBO21" s="31">
        <v>0</v>
      </c>
      <c r="BBP21" s="31">
        <v>0</v>
      </c>
      <c r="BBQ21" s="31">
        <v>0</v>
      </c>
      <c r="BBR21" s="31">
        <v>0</v>
      </c>
      <c r="BBS21" s="31">
        <v>0</v>
      </c>
      <c r="BBT21" s="31">
        <v>0</v>
      </c>
      <c r="BBU21" s="31">
        <v>0</v>
      </c>
      <c r="BBV21" s="31">
        <v>0</v>
      </c>
      <c r="BBW21" s="31">
        <v>0</v>
      </c>
      <c r="BBX21" s="31">
        <v>0</v>
      </c>
      <c r="BBY21" s="31">
        <v>0</v>
      </c>
      <c r="BBZ21" s="31">
        <v>0</v>
      </c>
      <c r="BCA21" s="31">
        <v>0</v>
      </c>
      <c r="BCB21" s="31">
        <v>0</v>
      </c>
      <c r="BCC21" s="31">
        <v>0</v>
      </c>
      <c r="BCD21" s="31">
        <v>0</v>
      </c>
      <c r="BCE21" s="31">
        <v>0</v>
      </c>
      <c r="BCF21" s="31">
        <v>0</v>
      </c>
      <c r="BCG21" s="31">
        <v>0</v>
      </c>
      <c r="BCH21" s="31">
        <v>0</v>
      </c>
      <c r="BCI21" s="31">
        <v>0</v>
      </c>
      <c r="BCJ21" s="31">
        <v>0</v>
      </c>
      <c r="BCK21" s="31">
        <v>0</v>
      </c>
      <c r="BCL21" s="31">
        <v>0</v>
      </c>
      <c r="BCM21" s="31">
        <v>0</v>
      </c>
      <c r="BCN21" s="31">
        <v>0</v>
      </c>
      <c r="BCO21" s="31">
        <v>0</v>
      </c>
      <c r="BCP21" s="31">
        <v>0</v>
      </c>
      <c r="BCQ21" s="31">
        <v>0</v>
      </c>
      <c r="BCR21" s="31">
        <v>0</v>
      </c>
      <c r="BCS21" s="31">
        <v>0</v>
      </c>
      <c r="BCT21" s="31">
        <v>0</v>
      </c>
      <c r="BCU21" s="31">
        <v>0</v>
      </c>
      <c r="BCV21" s="31">
        <v>0</v>
      </c>
      <c r="BCW21" s="31">
        <v>0</v>
      </c>
      <c r="BCX21" s="31">
        <v>0</v>
      </c>
      <c r="BCY21" s="31">
        <v>0</v>
      </c>
      <c r="BCZ21" s="31">
        <v>0</v>
      </c>
      <c r="BDA21" s="31">
        <v>0</v>
      </c>
      <c r="BDB21" s="31">
        <v>0</v>
      </c>
      <c r="BDC21" s="31">
        <v>0</v>
      </c>
      <c r="BDD21" s="31">
        <v>0</v>
      </c>
      <c r="BDE21" s="31">
        <v>0</v>
      </c>
      <c r="BDF21" s="31">
        <v>0</v>
      </c>
      <c r="BDG21" s="31">
        <v>0</v>
      </c>
      <c r="BDH21" s="31">
        <v>0</v>
      </c>
      <c r="BDI21" s="31">
        <v>0</v>
      </c>
      <c r="BDJ21" s="31">
        <v>0</v>
      </c>
      <c r="BDK21" s="31">
        <v>0</v>
      </c>
      <c r="BDL21" s="31">
        <v>0</v>
      </c>
      <c r="BDM21" s="31">
        <v>0</v>
      </c>
      <c r="BDN21" s="31">
        <v>0</v>
      </c>
      <c r="BDO21" s="31">
        <v>0</v>
      </c>
      <c r="BDP21" s="31">
        <v>0</v>
      </c>
      <c r="BDQ21" s="31">
        <v>0</v>
      </c>
      <c r="BDR21" s="31">
        <v>0</v>
      </c>
      <c r="BDS21" s="31">
        <v>0</v>
      </c>
      <c r="BDT21" s="31">
        <v>0</v>
      </c>
      <c r="BDU21" s="31">
        <v>0</v>
      </c>
      <c r="BDV21" s="31">
        <v>0</v>
      </c>
      <c r="BDW21" s="31">
        <v>0</v>
      </c>
      <c r="BDX21" s="31">
        <v>0</v>
      </c>
      <c r="BDY21" s="31">
        <v>0</v>
      </c>
      <c r="BDZ21" s="31">
        <v>0</v>
      </c>
      <c r="BEA21" s="31">
        <v>0</v>
      </c>
      <c r="BEB21" s="31">
        <v>0</v>
      </c>
      <c r="BEC21" s="31">
        <v>0</v>
      </c>
      <c r="BED21" s="31">
        <v>0</v>
      </c>
      <c r="BEE21" s="31">
        <v>0</v>
      </c>
      <c r="BEF21" s="31">
        <v>0</v>
      </c>
      <c r="BEG21" s="31">
        <v>0</v>
      </c>
      <c r="BEH21" s="31">
        <v>0</v>
      </c>
      <c r="BEI21" s="31">
        <v>0</v>
      </c>
      <c r="BEJ21" s="31">
        <v>0</v>
      </c>
      <c r="BEK21" s="31">
        <v>0</v>
      </c>
      <c r="BEL21" s="31">
        <v>0</v>
      </c>
      <c r="BEM21" s="31">
        <v>0</v>
      </c>
      <c r="BEN21" s="31">
        <v>0</v>
      </c>
      <c r="BEO21" s="31">
        <v>0</v>
      </c>
      <c r="BEP21" s="31">
        <v>0</v>
      </c>
      <c r="BEQ21" s="31">
        <v>0</v>
      </c>
      <c r="BER21" s="31">
        <v>0</v>
      </c>
      <c r="BES21" s="31">
        <v>0</v>
      </c>
      <c r="BET21" s="31">
        <v>34.99</v>
      </c>
      <c r="BEU21" s="31">
        <v>0</v>
      </c>
      <c r="BEV21" s="31">
        <v>0</v>
      </c>
      <c r="BEW21" s="31">
        <v>0</v>
      </c>
      <c r="BEX21" s="31">
        <v>0</v>
      </c>
      <c r="BEY21" s="31">
        <v>0</v>
      </c>
      <c r="BEZ21" s="31">
        <v>0</v>
      </c>
      <c r="BFA21" s="31">
        <v>0</v>
      </c>
      <c r="BFB21" s="31">
        <v>0</v>
      </c>
      <c r="BFC21" s="31">
        <v>0</v>
      </c>
      <c r="BFD21" s="31">
        <v>0</v>
      </c>
      <c r="BFE21" s="31">
        <v>0</v>
      </c>
      <c r="BFF21" s="31">
        <v>0</v>
      </c>
      <c r="BFG21" s="31">
        <v>0</v>
      </c>
      <c r="BFH21" s="31">
        <v>0</v>
      </c>
      <c r="BFI21" s="31">
        <v>0</v>
      </c>
      <c r="BFJ21" s="31">
        <v>0</v>
      </c>
      <c r="BFK21" s="31">
        <v>0</v>
      </c>
      <c r="BFL21" s="31">
        <v>0</v>
      </c>
      <c r="BFM21" s="31">
        <v>0</v>
      </c>
      <c r="BFN21" s="31">
        <v>0</v>
      </c>
      <c r="BFO21" s="31">
        <v>0</v>
      </c>
      <c r="BFP21" s="31">
        <v>0</v>
      </c>
      <c r="BFQ21" s="31">
        <v>0</v>
      </c>
      <c r="BFR21" s="31">
        <v>0</v>
      </c>
      <c r="BFS21" s="31">
        <v>0</v>
      </c>
      <c r="BFT21" s="31">
        <v>0</v>
      </c>
      <c r="BFU21" s="31">
        <v>0</v>
      </c>
      <c r="BFV21" s="31">
        <v>0</v>
      </c>
      <c r="BFW21" s="31">
        <v>0</v>
      </c>
      <c r="BFX21" s="31">
        <v>0</v>
      </c>
      <c r="BFY21" s="31">
        <v>0</v>
      </c>
      <c r="BFZ21" s="31">
        <v>0</v>
      </c>
      <c r="BGA21" s="31">
        <v>0</v>
      </c>
      <c r="BGB21" s="31">
        <v>0</v>
      </c>
      <c r="BGC21" s="31">
        <v>0</v>
      </c>
      <c r="BGD21" s="31">
        <v>0</v>
      </c>
      <c r="BGE21" s="31">
        <v>0</v>
      </c>
      <c r="BGF21" s="31">
        <v>0</v>
      </c>
      <c r="BGG21" s="31">
        <v>0</v>
      </c>
      <c r="BGH21" s="31">
        <v>0</v>
      </c>
      <c r="BGI21" s="31">
        <v>0</v>
      </c>
      <c r="BGJ21" s="31">
        <v>0</v>
      </c>
      <c r="BGK21" s="31">
        <v>0</v>
      </c>
      <c r="BGL21" s="31">
        <v>0</v>
      </c>
      <c r="BGM21" s="31">
        <v>0</v>
      </c>
      <c r="BGN21" s="31">
        <v>0</v>
      </c>
      <c r="BGO21" s="31">
        <v>0</v>
      </c>
      <c r="BGP21" s="31">
        <v>0</v>
      </c>
      <c r="BGQ21" s="31">
        <v>0</v>
      </c>
      <c r="BGR21" s="31">
        <v>15</v>
      </c>
      <c r="BGS21" s="31">
        <v>0</v>
      </c>
      <c r="BGT21" s="31">
        <v>0</v>
      </c>
      <c r="BGU21" s="31">
        <v>0</v>
      </c>
      <c r="BGV21" s="31">
        <v>0</v>
      </c>
      <c r="BGW21" s="31">
        <v>0</v>
      </c>
      <c r="BGX21" s="31">
        <v>0</v>
      </c>
      <c r="BGY21" s="31">
        <v>0</v>
      </c>
      <c r="BGZ21" s="31">
        <v>36</v>
      </c>
      <c r="BHA21" s="31">
        <v>0</v>
      </c>
      <c r="BHB21" s="31">
        <v>0</v>
      </c>
      <c r="BHC21" s="31">
        <v>0</v>
      </c>
      <c r="BHD21" s="31">
        <v>0</v>
      </c>
      <c r="BHE21" s="31">
        <v>0</v>
      </c>
      <c r="BHF21" s="31">
        <v>0</v>
      </c>
      <c r="BHG21" s="31">
        <v>0</v>
      </c>
      <c r="BHH21" s="31">
        <v>0</v>
      </c>
      <c r="BHI21" s="31">
        <v>0</v>
      </c>
      <c r="BHJ21" s="31">
        <v>0</v>
      </c>
      <c r="BHK21" s="31">
        <v>0</v>
      </c>
      <c r="BHL21" s="31">
        <v>0</v>
      </c>
      <c r="BHM21" s="31">
        <v>0</v>
      </c>
      <c r="BHN21" s="31">
        <v>0</v>
      </c>
      <c r="BHO21" s="31">
        <v>0</v>
      </c>
      <c r="BHP21" s="31">
        <v>0</v>
      </c>
      <c r="BHQ21" s="31">
        <v>0</v>
      </c>
      <c r="BHR21" s="31">
        <v>0</v>
      </c>
      <c r="BHS21" s="31">
        <v>16</v>
      </c>
      <c r="BHT21" s="31">
        <v>0</v>
      </c>
      <c r="BHU21" s="31">
        <v>0</v>
      </c>
      <c r="BHV21" s="31">
        <v>0</v>
      </c>
      <c r="BHW21" s="31">
        <v>0</v>
      </c>
      <c r="BHX21" s="31">
        <v>0</v>
      </c>
      <c r="BHY21" s="31">
        <v>0</v>
      </c>
      <c r="BHZ21" s="31">
        <v>0</v>
      </c>
      <c r="BIA21" s="31">
        <v>0</v>
      </c>
      <c r="BIB21" s="31">
        <v>0</v>
      </c>
      <c r="BIC21" s="31">
        <v>0</v>
      </c>
      <c r="BID21" s="31">
        <v>0</v>
      </c>
      <c r="BIE21" s="31">
        <v>0</v>
      </c>
      <c r="BIF21" s="31">
        <v>0</v>
      </c>
      <c r="BIG21" s="31">
        <v>0</v>
      </c>
      <c r="BIH21" s="31">
        <v>0</v>
      </c>
      <c r="BII21" s="31">
        <v>0</v>
      </c>
      <c r="BIJ21" s="31">
        <v>0</v>
      </c>
      <c r="BIK21" s="31">
        <v>0</v>
      </c>
      <c r="BIL21" s="31">
        <v>0</v>
      </c>
      <c r="BIM21" s="31">
        <v>0</v>
      </c>
      <c r="BIN21" s="31">
        <v>0</v>
      </c>
      <c r="BIO21" s="31">
        <v>37.99</v>
      </c>
      <c r="BIP21" s="31">
        <v>0</v>
      </c>
      <c r="BIQ21" s="31">
        <v>0</v>
      </c>
      <c r="BIR21" s="31">
        <v>0</v>
      </c>
      <c r="BIS21" s="31">
        <v>0</v>
      </c>
      <c r="BIT21" s="31">
        <v>0</v>
      </c>
      <c r="BIU21" s="31">
        <v>23</v>
      </c>
      <c r="BIV21" s="31">
        <v>0</v>
      </c>
      <c r="BIW21" s="31">
        <v>0</v>
      </c>
      <c r="BIX21" s="31">
        <v>0</v>
      </c>
      <c r="BIY21" s="31">
        <v>0</v>
      </c>
      <c r="BIZ21" s="31">
        <v>0</v>
      </c>
      <c r="BJA21" s="31">
        <v>0</v>
      </c>
      <c r="BJB21" s="31">
        <v>0</v>
      </c>
      <c r="BJC21" s="31">
        <v>0</v>
      </c>
      <c r="BJD21" s="31">
        <v>0</v>
      </c>
      <c r="BJE21" s="31">
        <v>0</v>
      </c>
      <c r="BJF21" s="31">
        <v>0</v>
      </c>
      <c r="BJG21" s="31">
        <v>0</v>
      </c>
      <c r="BJH21" s="31">
        <v>0</v>
      </c>
      <c r="BJI21" s="31">
        <v>0</v>
      </c>
      <c r="BJJ21" s="31">
        <v>0</v>
      </c>
      <c r="BJK21" s="31">
        <v>0</v>
      </c>
      <c r="BJL21" s="31">
        <v>0</v>
      </c>
      <c r="BJM21" s="31">
        <v>0</v>
      </c>
      <c r="BJN21" s="31">
        <v>0</v>
      </c>
      <c r="BJO21" s="31">
        <v>0</v>
      </c>
      <c r="BJP21" s="31">
        <v>0</v>
      </c>
      <c r="BJQ21" s="31">
        <v>0</v>
      </c>
      <c r="BJR21" s="31">
        <v>11</v>
      </c>
      <c r="BJS21" s="31">
        <v>0</v>
      </c>
      <c r="BJT21" s="31">
        <v>0</v>
      </c>
      <c r="BJU21" s="31">
        <v>0</v>
      </c>
      <c r="BJV21" s="31">
        <v>0</v>
      </c>
      <c r="BJW21" s="31">
        <v>0</v>
      </c>
      <c r="BJX21" s="31">
        <v>0</v>
      </c>
      <c r="BJY21" s="31">
        <v>0</v>
      </c>
      <c r="BJZ21" s="31">
        <v>0</v>
      </c>
      <c r="BKA21" s="31">
        <v>0</v>
      </c>
      <c r="BKB21" s="31">
        <v>0</v>
      </c>
      <c r="BKC21" s="31">
        <v>0</v>
      </c>
      <c r="BKD21" s="31">
        <v>0</v>
      </c>
      <c r="BKE21" s="31">
        <v>0</v>
      </c>
      <c r="BKF21" s="31">
        <v>0</v>
      </c>
      <c r="BKG21" s="31">
        <v>0</v>
      </c>
      <c r="BKH21" s="31">
        <v>0</v>
      </c>
      <c r="BKI21" s="31">
        <v>0</v>
      </c>
      <c r="BKJ21" s="31">
        <v>0</v>
      </c>
      <c r="BKK21" s="31">
        <v>0</v>
      </c>
      <c r="BKL21" s="31">
        <v>0</v>
      </c>
      <c r="BKM21" s="31">
        <v>0</v>
      </c>
      <c r="BKN21" s="31">
        <v>0</v>
      </c>
      <c r="BKO21" s="31">
        <v>0</v>
      </c>
      <c r="BKP21" s="31">
        <v>0</v>
      </c>
      <c r="BKQ21" s="31">
        <v>0</v>
      </c>
      <c r="BKR21" s="31">
        <v>0</v>
      </c>
      <c r="BKS21" s="31">
        <v>0</v>
      </c>
      <c r="BKT21" s="31">
        <v>0</v>
      </c>
      <c r="BKU21" s="31">
        <v>0</v>
      </c>
      <c r="BKV21" s="31">
        <v>0</v>
      </c>
      <c r="BKW21" s="31">
        <v>0</v>
      </c>
      <c r="BKX21" s="31">
        <v>0</v>
      </c>
      <c r="BKY21" s="31">
        <v>0</v>
      </c>
      <c r="BKZ21" s="31">
        <v>39</v>
      </c>
      <c r="BLA21" s="31">
        <v>0</v>
      </c>
      <c r="BLB21" s="31">
        <v>0</v>
      </c>
      <c r="BLC21" s="31">
        <v>0</v>
      </c>
      <c r="BLD21" s="31">
        <v>0</v>
      </c>
      <c r="BLE21" s="31">
        <v>0</v>
      </c>
      <c r="BLF21" s="31">
        <v>0</v>
      </c>
      <c r="BLG21" s="31">
        <v>0</v>
      </c>
      <c r="BLH21" s="31">
        <v>0</v>
      </c>
      <c r="BLI21" s="31">
        <v>0</v>
      </c>
      <c r="BLJ21" s="31">
        <v>0</v>
      </c>
      <c r="BLK21" s="31">
        <v>0</v>
      </c>
      <c r="BLL21" s="31">
        <v>0</v>
      </c>
      <c r="BLM21" s="31">
        <v>0</v>
      </c>
      <c r="BLN21" s="31">
        <v>0</v>
      </c>
      <c r="BLO21" s="31">
        <v>0</v>
      </c>
      <c r="BLP21" s="31">
        <v>0</v>
      </c>
      <c r="BLQ21" s="31">
        <v>0</v>
      </c>
      <c r="BLR21" s="31">
        <v>0</v>
      </c>
      <c r="BLS21" s="31">
        <v>0</v>
      </c>
      <c r="BLT21" s="31">
        <v>0</v>
      </c>
      <c r="BLU21" s="31">
        <v>0</v>
      </c>
      <c r="BLV21" s="31">
        <v>0</v>
      </c>
      <c r="BLW21" s="31">
        <v>0</v>
      </c>
      <c r="BLX21" s="31">
        <v>0</v>
      </c>
      <c r="BLY21" s="31">
        <v>0</v>
      </c>
      <c r="BLZ21" s="31">
        <v>0</v>
      </c>
      <c r="BMA21" s="31">
        <v>0</v>
      </c>
      <c r="BMB21" s="31">
        <v>0</v>
      </c>
      <c r="BMC21" s="31">
        <v>0</v>
      </c>
      <c r="BMD21" s="31">
        <v>0</v>
      </c>
      <c r="BME21" s="31">
        <v>0</v>
      </c>
      <c r="BMF21" s="31">
        <v>0</v>
      </c>
      <c r="BMG21" s="31">
        <v>0</v>
      </c>
      <c r="BMH21" s="31">
        <v>0</v>
      </c>
      <c r="BMI21" s="31">
        <v>0</v>
      </c>
      <c r="BMJ21" s="31">
        <v>0</v>
      </c>
      <c r="BMK21" s="31">
        <v>0</v>
      </c>
      <c r="BML21" s="31">
        <v>0</v>
      </c>
      <c r="BMM21" s="31">
        <v>0</v>
      </c>
      <c r="BMN21" s="31">
        <v>0</v>
      </c>
      <c r="BMO21" s="31">
        <v>0</v>
      </c>
      <c r="BMP21" s="31">
        <v>30</v>
      </c>
      <c r="BMQ21" s="31">
        <v>0</v>
      </c>
      <c r="BMR21" s="31">
        <v>0</v>
      </c>
      <c r="BMS21" s="31">
        <v>0</v>
      </c>
      <c r="BMT21" s="31">
        <v>0</v>
      </c>
      <c r="BMU21" s="31">
        <v>0</v>
      </c>
      <c r="BMV21" s="31">
        <v>0</v>
      </c>
      <c r="BMW21" s="31">
        <v>0</v>
      </c>
      <c r="BMX21" s="31">
        <v>0</v>
      </c>
      <c r="BMY21" s="31">
        <v>0</v>
      </c>
      <c r="BMZ21" s="31">
        <v>0</v>
      </c>
      <c r="BNA21" s="31">
        <v>0</v>
      </c>
      <c r="BNB21" s="31">
        <v>0</v>
      </c>
      <c r="BNC21" s="31">
        <v>0</v>
      </c>
      <c r="BND21" s="31">
        <v>0</v>
      </c>
      <c r="BNE21" s="31">
        <v>0</v>
      </c>
      <c r="BNF21" s="31">
        <v>0</v>
      </c>
      <c r="BNG21" s="31">
        <v>0</v>
      </c>
      <c r="BNH21" s="31">
        <v>0</v>
      </c>
      <c r="BNI21" s="31">
        <v>0</v>
      </c>
      <c r="BNJ21" s="31">
        <v>0</v>
      </c>
      <c r="BNK21" s="31">
        <v>0</v>
      </c>
      <c r="BNL21" s="31">
        <v>0</v>
      </c>
      <c r="BNM21" s="31">
        <v>0</v>
      </c>
      <c r="BNN21" s="31">
        <v>0</v>
      </c>
      <c r="BNO21" s="31">
        <v>0</v>
      </c>
      <c r="BNP21" s="31">
        <v>0</v>
      </c>
      <c r="BNQ21" s="31">
        <v>0</v>
      </c>
      <c r="BNR21" s="31">
        <v>0</v>
      </c>
      <c r="BNS21" s="31">
        <v>0</v>
      </c>
      <c r="BNT21" s="31">
        <v>0</v>
      </c>
      <c r="BNU21" s="31">
        <v>0</v>
      </c>
      <c r="BNV21" s="31">
        <v>0</v>
      </c>
      <c r="BNW21" s="31">
        <v>0</v>
      </c>
      <c r="BNX21" s="31">
        <v>0</v>
      </c>
      <c r="BNY21" s="31">
        <v>0</v>
      </c>
      <c r="BNZ21" s="31">
        <v>0</v>
      </c>
      <c r="BOA21" s="31">
        <v>0</v>
      </c>
      <c r="BOB21" s="31">
        <v>0</v>
      </c>
      <c r="BOC21" s="31">
        <v>0</v>
      </c>
      <c r="BOD21" s="31">
        <v>0</v>
      </c>
      <c r="BOE21" s="31">
        <v>0</v>
      </c>
      <c r="BOF21" s="31">
        <v>0</v>
      </c>
      <c r="BOG21" s="31">
        <v>0</v>
      </c>
      <c r="BOH21" s="31">
        <v>0</v>
      </c>
      <c r="BOI21" s="31">
        <v>0</v>
      </c>
      <c r="BOJ21" s="31">
        <v>0</v>
      </c>
      <c r="BOK21" s="31">
        <v>0</v>
      </c>
      <c r="BOL21" s="31">
        <v>0</v>
      </c>
      <c r="BOM21" s="31">
        <v>0</v>
      </c>
      <c r="BON21" s="31">
        <v>0</v>
      </c>
      <c r="BOO21" s="31">
        <v>0</v>
      </c>
      <c r="BOP21" s="31">
        <v>0</v>
      </c>
      <c r="BOQ21" s="31">
        <v>0</v>
      </c>
      <c r="BOR21" s="31">
        <v>0</v>
      </c>
      <c r="BOS21" s="31">
        <v>0</v>
      </c>
      <c r="BOT21" s="31">
        <v>0</v>
      </c>
      <c r="BOU21" s="31">
        <v>0</v>
      </c>
      <c r="BOV21" s="31">
        <v>0</v>
      </c>
      <c r="BOW21" s="31">
        <v>0</v>
      </c>
      <c r="BOX21" s="31">
        <v>0</v>
      </c>
      <c r="BOY21" s="31">
        <v>0</v>
      </c>
      <c r="BOZ21" s="31">
        <v>0</v>
      </c>
      <c r="BPA21" s="31">
        <v>0</v>
      </c>
      <c r="BPB21" s="31">
        <v>0</v>
      </c>
      <c r="BPC21" s="31">
        <v>0</v>
      </c>
      <c r="BPD21" s="31">
        <v>43</v>
      </c>
      <c r="BPE21" s="31">
        <v>0</v>
      </c>
      <c r="BPF21" s="31">
        <v>0</v>
      </c>
      <c r="BPG21" s="31">
        <v>0</v>
      </c>
      <c r="BPH21" s="31">
        <v>0</v>
      </c>
      <c r="BPI21" s="31">
        <v>0</v>
      </c>
      <c r="BPJ21" s="31">
        <v>0</v>
      </c>
      <c r="BPK21" s="31">
        <v>0</v>
      </c>
      <c r="BPL21" s="31">
        <v>0</v>
      </c>
      <c r="BPM21" s="31">
        <v>0</v>
      </c>
      <c r="BPN21" s="31">
        <v>0</v>
      </c>
      <c r="BPO21" s="31">
        <v>0</v>
      </c>
      <c r="BPP21" s="31">
        <v>0</v>
      </c>
      <c r="BPQ21" s="31">
        <v>0</v>
      </c>
      <c r="BPR21" s="31">
        <v>0</v>
      </c>
      <c r="BPS21" s="31">
        <v>0</v>
      </c>
      <c r="BPT21" s="31">
        <v>0</v>
      </c>
      <c r="BPU21" s="31">
        <v>0</v>
      </c>
      <c r="BPV21" s="31">
        <v>0</v>
      </c>
      <c r="BPW21" s="31">
        <v>0</v>
      </c>
      <c r="BPX21" s="31">
        <v>0</v>
      </c>
      <c r="BPY21" s="31">
        <v>0</v>
      </c>
      <c r="BPZ21" s="31">
        <v>0</v>
      </c>
      <c r="BQA21" s="31">
        <v>0</v>
      </c>
      <c r="BQB21" s="31">
        <v>0</v>
      </c>
      <c r="BQC21" s="31">
        <v>0</v>
      </c>
      <c r="BQD21" s="31">
        <v>0</v>
      </c>
      <c r="BQE21" s="31">
        <v>0</v>
      </c>
      <c r="BQF21" s="31">
        <v>0</v>
      </c>
      <c r="BQG21" s="31">
        <v>0</v>
      </c>
      <c r="BQH21" s="31">
        <v>0</v>
      </c>
      <c r="BQI21" s="31">
        <v>0</v>
      </c>
      <c r="BQJ21" s="31">
        <v>0</v>
      </c>
      <c r="BQK21" s="31">
        <v>0</v>
      </c>
      <c r="BQL21" s="31">
        <v>0</v>
      </c>
      <c r="BQM21" s="31">
        <v>0</v>
      </c>
      <c r="BQN21" s="31">
        <v>0</v>
      </c>
      <c r="BQO21" s="31">
        <v>0</v>
      </c>
      <c r="BQP21" s="31">
        <v>0</v>
      </c>
      <c r="BQQ21" s="31">
        <v>0</v>
      </c>
      <c r="BQR21" s="31">
        <v>0</v>
      </c>
      <c r="BQS21" s="31">
        <v>0</v>
      </c>
      <c r="BQT21" s="31">
        <v>16</v>
      </c>
      <c r="BQU21" s="31">
        <v>0</v>
      </c>
      <c r="BQV21" s="31">
        <v>0</v>
      </c>
      <c r="BQW21" s="31">
        <v>0</v>
      </c>
      <c r="BQX21" s="31">
        <v>0</v>
      </c>
      <c r="BQY21" s="31">
        <v>45</v>
      </c>
      <c r="BQZ21" s="31">
        <v>0</v>
      </c>
      <c r="BRA21" s="31">
        <v>0</v>
      </c>
      <c r="BRB21" s="31">
        <v>0</v>
      </c>
      <c r="BRC21" s="31">
        <v>0</v>
      </c>
      <c r="BRD21" s="31">
        <v>0</v>
      </c>
      <c r="BRE21" s="31">
        <v>0</v>
      </c>
      <c r="BRF21" s="31">
        <v>0</v>
      </c>
      <c r="BRG21" s="31">
        <v>0</v>
      </c>
      <c r="BRH21" s="31">
        <v>0</v>
      </c>
      <c r="BRI21" s="31">
        <v>0</v>
      </c>
      <c r="BRJ21" s="31">
        <v>0</v>
      </c>
      <c r="BRK21" s="31">
        <v>0</v>
      </c>
      <c r="BRL21" s="31">
        <v>0</v>
      </c>
      <c r="BRM21" s="31">
        <v>0</v>
      </c>
      <c r="BRN21" s="31">
        <v>13</v>
      </c>
      <c r="BRO21" s="31">
        <v>0</v>
      </c>
      <c r="BRP21" s="31">
        <v>0</v>
      </c>
      <c r="BRQ21" s="31">
        <v>0</v>
      </c>
      <c r="BRR21" s="31">
        <v>0</v>
      </c>
      <c r="BRS21" s="31">
        <v>0</v>
      </c>
      <c r="BRT21" s="31">
        <v>0</v>
      </c>
      <c r="BRU21" s="31">
        <v>0</v>
      </c>
      <c r="BRV21" s="31">
        <v>0</v>
      </c>
      <c r="BRW21" s="31">
        <v>46</v>
      </c>
      <c r="BRX21" s="31">
        <v>0</v>
      </c>
      <c r="BRY21" s="31">
        <v>0</v>
      </c>
      <c r="BRZ21" s="31">
        <v>0</v>
      </c>
      <c r="BSA21" s="31">
        <v>0</v>
      </c>
      <c r="BSB21" s="31">
        <v>0</v>
      </c>
      <c r="BSC21" s="31">
        <v>0</v>
      </c>
      <c r="BSD21" s="31">
        <v>0</v>
      </c>
      <c r="BSE21" s="31">
        <v>0</v>
      </c>
      <c r="BSF21" s="31">
        <v>0</v>
      </c>
      <c r="BSG21" s="31">
        <v>0</v>
      </c>
      <c r="BSH21" s="31">
        <v>0</v>
      </c>
      <c r="BSI21" s="31">
        <v>0</v>
      </c>
      <c r="BSJ21" s="31">
        <v>0</v>
      </c>
      <c r="BSK21" s="31">
        <v>0</v>
      </c>
      <c r="BSL21" s="31">
        <v>0</v>
      </c>
      <c r="BSM21" s="31">
        <v>0</v>
      </c>
      <c r="BSN21" s="31">
        <v>0</v>
      </c>
      <c r="BSO21" s="31">
        <v>0</v>
      </c>
      <c r="BSP21" s="31">
        <v>0</v>
      </c>
      <c r="BSQ21" s="31">
        <v>0</v>
      </c>
      <c r="BSR21" s="31">
        <v>0</v>
      </c>
      <c r="BSS21" s="31">
        <v>0</v>
      </c>
      <c r="BST21" s="31">
        <v>0</v>
      </c>
      <c r="BSU21" s="31">
        <v>47</v>
      </c>
      <c r="BSV21" s="31">
        <v>0</v>
      </c>
      <c r="BSW21" s="31">
        <v>0</v>
      </c>
      <c r="BSX21" s="31">
        <v>0</v>
      </c>
      <c r="BSY21" s="31">
        <v>0</v>
      </c>
      <c r="BSZ21" s="31">
        <v>0</v>
      </c>
      <c r="BTA21" s="31">
        <v>0</v>
      </c>
      <c r="BTB21" s="31">
        <v>0</v>
      </c>
      <c r="BTC21" s="31">
        <v>0</v>
      </c>
      <c r="BTD21" s="31">
        <v>0</v>
      </c>
      <c r="BTE21" s="31">
        <v>0</v>
      </c>
      <c r="BTF21" s="31">
        <v>0</v>
      </c>
      <c r="BTG21" s="31">
        <v>0</v>
      </c>
      <c r="BTH21" s="31">
        <v>0</v>
      </c>
      <c r="BTI21" s="31">
        <v>0</v>
      </c>
      <c r="BTJ21" s="31">
        <v>0</v>
      </c>
      <c r="BTK21" s="31">
        <v>0</v>
      </c>
      <c r="BTL21" s="31">
        <v>0</v>
      </c>
      <c r="BTM21" s="31">
        <v>0</v>
      </c>
      <c r="BTN21" s="31">
        <v>0</v>
      </c>
      <c r="BTO21" s="31">
        <v>0</v>
      </c>
      <c r="BTP21" s="31">
        <v>0</v>
      </c>
      <c r="BTQ21" s="31">
        <v>48</v>
      </c>
      <c r="BTR21" s="31">
        <v>0</v>
      </c>
      <c r="BTS21" s="31">
        <v>0</v>
      </c>
      <c r="BTT21" s="31">
        <v>0</v>
      </c>
      <c r="BTU21" s="31">
        <v>0</v>
      </c>
      <c r="BTV21" s="31">
        <v>0</v>
      </c>
      <c r="BTW21" s="31">
        <v>48.99</v>
      </c>
      <c r="BTX21" s="31">
        <v>0</v>
      </c>
      <c r="BTY21" s="31">
        <v>0</v>
      </c>
      <c r="BTZ21" s="31">
        <v>0</v>
      </c>
      <c r="BUA21" s="31">
        <v>0</v>
      </c>
      <c r="BUB21" s="31">
        <v>0</v>
      </c>
      <c r="BUC21" s="31">
        <v>0</v>
      </c>
      <c r="BUD21" s="31">
        <v>0</v>
      </c>
      <c r="BUE21" s="31">
        <v>0</v>
      </c>
      <c r="BUF21" s="31">
        <v>0</v>
      </c>
      <c r="BUG21" s="31">
        <v>0</v>
      </c>
      <c r="BUH21" s="31">
        <v>0</v>
      </c>
      <c r="BUI21" s="31">
        <v>0</v>
      </c>
      <c r="BUJ21" s="31">
        <v>0</v>
      </c>
      <c r="BUK21" s="31">
        <v>0</v>
      </c>
      <c r="BUL21" s="31">
        <v>0</v>
      </c>
      <c r="BUM21" s="31">
        <v>0</v>
      </c>
      <c r="BUN21" s="31">
        <v>0</v>
      </c>
      <c r="BUO21" s="31">
        <v>49</v>
      </c>
      <c r="BUP21" s="31">
        <v>0</v>
      </c>
      <c r="BUQ21" s="31">
        <v>0</v>
      </c>
      <c r="BUR21" s="31">
        <v>0</v>
      </c>
      <c r="BUS21" s="31">
        <v>0</v>
      </c>
      <c r="BUT21" s="31">
        <v>0</v>
      </c>
      <c r="BUU21" s="31">
        <v>0</v>
      </c>
      <c r="BUV21" s="31">
        <v>0</v>
      </c>
      <c r="BUW21" s="31">
        <v>0</v>
      </c>
      <c r="BUX21" s="31">
        <v>0</v>
      </c>
      <c r="BUY21" s="31">
        <v>0</v>
      </c>
      <c r="BUZ21" s="31">
        <v>0</v>
      </c>
      <c r="BVA21" s="31">
        <v>0</v>
      </c>
      <c r="BVB21" s="31">
        <v>0</v>
      </c>
      <c r="BVC21" s="31">
        <v>0</v>
      </c>
      <c r="BVD21" s="31">
        <v>0</v>
      </c>
      <c r="BVE21" s="31">
        <v>0</v>
      </c>
      <c r="BVF21" s="31">
        <v>0</v>
      </c>
      <c r="BVG21" s="31">
        <v>0</v>
      </c>
      <c r="BVH21" s="31">
        <v>0</v>
      </c>
      <c r="BVI21" s="31">
        <v>0</v>
      </c>
      <c r="BVJ21" s="31">
        <v>0</v>
      </c>
      <c r="BVK21" s="31">
        <v>0</v>
      </c>
      <c r="BVL21" s="31">
        <v>0</v>
      </c>
      <c r="BVM21" s="31">
        <v>0</v>
      </c>
      <c r="BVN21" s="31">
        <v>0</v>
      </c>
      <c r="BVO21" s="31">
        <v>0</v>
      </c>
      <c r="BVP21" s="31">
        <v>0</v>
      </c>
      <c r="BVQ21" s="31">
        <v>0</v>
      </c>
      <c r="BVR21" s="31">
        <v>0</v>
      </c>
      <c r="BVS21" s="31">
        <v>0</v>
      </c>
      <c r="BVT21" s="31">
        <v>0</v>
      </c>
      <c r="BVU21" s="31">
        <v>0</v>
      </c>
      <c r="BVV21" s="31">
        <v>0</v>
      </c>
      <c r="BVW21" s="31">
        <v>0</v>
      </c>
      <c r="BVX21" s="31">
        <v>50.99</v>
      </c>
      <c r="BVY21" s="31">
        <v>0</v>
      </c>
      <c r="BVZ21" s="31">
        <v>0</v>
      </c>
      <c r="BWA21" s="31">
        <v>0</v>
      </c>
      <c r="BWB21" s="31">
        <v>0</v>
      </c>
      <c r="BWC21" s="31">
        <v>0</v>
      </c>
      <c r="BWD21" s="31">
        <v>0</v>
      </c>
      <c r="BWE21" s="31">
        <v>0</v>
      </c>
      <c r="BWF21" s="31">
        <v>0</v>
      </c>
      <c r="BWG21" s="31">
        <v>0</v>
      </c>
      <c r="BWH21" s="31">
        <v>0</v>
      </c>
      <c r="BWI21" s="31">
        <v>0</v>
      </c>
      <c r="BWJ21" s="31">
        <v>0</v>
      </c>
      <c r="BWK21" s="31">
        <v>0</v>
      </c>
      <c r="BWL21" s="31">
        <v>0</v>
      </c>
      <c r="BWM21" s="31">
        <v>0</v>
      </c>
      <c r="BWN21" s="31">
        <v>0</v>
      </c>
      <c r="BWO21" s="31">
        <v>0</v>
      </c>
      <c r="BWP21" s="31">
        <v>19</v>
      </c>
      <c r="BWQ21" s="31">
        <v>0</v>
      </c>
      <c r="BWR21" s="31">
        <v>0</v>
      </c>
      <c r="BWS21" s="31">
        <v>0</v>
      </c>
      <c r="BWT21" s="31">
        <v>0</v>
      </c>
      <c r="BWU21" s="31">
        <v>0</v>
      </c>
      <c r="BWV21" s="31">
        <v>0</v>
      </c>
      <c r="BWW21" s="31">
        <v>0</v>
      </c>
      <c r="BWX21" s="31">
        <v>0</v>
      </c>
      <c r="BWY21" s="31">
        <v>0</v>
      </c>
      <c r="BWZ21" s="31">
        <v>0</v>
      </c>
      <c r="BXA21" s="31">
        <v>0</v>
      </c>
      <c r="BXB21" s="31">
        <v>0</v>
      </c>
      <c r="BXC21" s="31">
        <v>0</v>
      </c>
      <c r="BXD21" s="31">
        <v>0</v>
      </c>
      <c r="BXE21" s="31">
        <v>0</v>
      </c>
      <c r="BXF21" s="31">
        <v>0</v>
      </c>
      <c r="BXG21" s="31">
        <v>0</v>
      </c>
      <c r="BXH21" s="31">
        <v>0</v>
      </c>
      <c r="BXI21" s="31">
        <v>0</v>
      </c>
      <c r="BXJ21" s="31">
        <v>0</v>
      </c>
      <c r="BXK21" s="31">
        <v>0</v>
      </c>
      <c r="BXL21" s="31">
        <v>0</v>
      </c>
      <c r="BXM21" s="31">
        <v>0</v>
      </c>
      <c r="BXN21" s="31">
        <v>0</v>
      </c>
      <c r="BXO21" s="31">
        <v>0</v>
      </c>
      <c r="BXP21" s="31">
        <v>0</v>
      </c>
      <c r="BXQ21" s="31">
        <v>0</v>
      </c>
      <c r="BXR21" s="31">
        <v>0</v>
      </c>
      <c r="BXS21" s="31">
        <v>0</v>
      </c>
      <c r="BXT21" s="31">
        <v>0</v>
      </c>
      <c r="BXU21" s="31">
        <v>0</v>
      </c>
      <c r="BXV21" s="31">
        <v>0</v>
      </c>
      <c r="BXW21" s="31">
        <v>0</v>
      </c>
      <c r="BXX21" s="31">
        <v>0</v>
      </c>
      <c r="BXY21" s="31">
        <v>0</v>
      </c>
      <c r="BXZ21" s="31">
        <v>0</v>
      </c>
      <c r="BYA21" s="31">
        <v>0</v>
      </c>
      <c r="BYB21" s="31">
        <v>0</v>
      </c>
      <c r="BYC21" s="31">
        <v>0</v>
      </c>
      <c r="BYD21" s="31">
        <v>53.99</v>
      </c>
      <c r="BYE21" s="31">
        <v>0</v>
      </c>
      <c r="BYF21" s="31">
        <v>0</v>
      </c>
      <c r="BYG21" s="31">
        <v>0</v>
      </c>
      <c r="BYH21" s="31">
        <v>0</v>
      </c>
      <c r="BYI21" s="31">
        <v>0</v>
      </c>
      <c r="BYJ21" s="31">
        <v>0</v>
      </c>
      <c r="BYK21" s="31">
        <v>0</v>
      </c>
      <c r="BYL21" s="31">
        <v>0</v>
      </c>
      <c r="BYM21" s="31">
        <v>0</v>
      </c>
      <c r="BYN21" s="31">
        <v>0</v>
      </c>
      <c r="BYO21" s="31">
        <v>0</v>
      </c>
      <c r="BYP21" s="31">
        <v>0</v>
      </c>
      <c r="BYQ21" s="31">
        <v>0</v>
      </c>
      <c r="BYR21" s="31">
        <v>0</v>
      </c>
      <c r="BYS21" s="31">
        <v>0</v>
      </c>
      <c r="BYT21" s="31">
        <v>0</v>
      </c>
      <c r="BYU21" s="31">
        <v>0</v>
      </c>
      <c r="BYV21" s="31">
        <v>0</v>
      </c>
      <c r="BYW21" s="31">
        <v>0</v>
      </c>
      <c r="BYX21" s="31">
        <v>0</v>
      </c>
      <c r="BYY21" s="31">
        <v>0</v>
      </c>
      <c r="BYZ21" s="31">
        <v>0</v>
      </c>
      <c r="BZA21" s="31">
        <v>0</v>
      </c>
      <c r="BZB21" s="31">
        <v>0</v>
      </c>
      <c r="BZC21" s="31">
        <v>0</v>
      </c>
      <c r="BZD21" s="31">
        <v>0</v>
      </c>
      <c r="BZE21" s="31">
        <v>0</v>
      </c>
      <c r="BZF21" s="31">
        <v>0</v>
      </c>
      <c r="BZG21" s="31">
        <v>0</v>
      </c>
      <c r="BZH21" s="31">
        <v>0</v>
      </c>
      <c r="BZI21" s="31">
        <v>0</v>
      </c>
      <c r="BZJ21" s="31">
        <v>0</v>
      </c>
      <c r="BZK21" s="31">
        <v>0</v>
      </c>
      <c r="BZL21" s="31">
        <v>0</v>
      </c>
      <c r="BZM21" s="31">
        <v>0</v>
      </c>
      <c r="BZN21" s="31">
        <v>0</v>
      </c>
      <c r="BZO21" s="31">
        <v>0</v>
      </c>
      <c r="BZP21" s="31">
        <v>0</v>
      </c>
      <c r="BZQ21" s="31">
        <v>0</v>
      </c>
      <c r="BZR21" s="31">
        <v>0</v>
      </c>
      <c r="BZS21" s="31">
        <v>0</v>
      </c>
      <c r="BZT21" s="31">
        <v>0</v>
      </c>
      <c r="BZU21" s="31">
        <v>0</v>
      </c>
      <c r="BZV21" s="31">
        <v>0</v>
      </c>
      <c r="BZW21" s="31">
        <v>0</v>
      </c>
      <c r="BZX21" s="31">
        <v>0</v>
      </c>
      <c r="BZY21" s="31">
        <v>0</v>
      </c>
      <c r="BZZ21" s="31">
        <v>0</v>
      </c>
      <c r="CAA21" s="31">
        <v>0</v>
      </c>
      <c r="CAB21" s="31">
        <v>0</v>
      </c>
      <c r="CAC21" s="31">
        <v>0</v>
      </c>
      <c r="CAD21" s="31">
        <v>0</v>
      </c>
      <c r="CAE21" s="31">
        <v>0</v>
      </c>
      <c r="CAF21" s="31">
        <v>0</v>
      </c>
      <c r="CAG21" s="31">
        <v>0</v>
      </c>
      <c r="CAH21" s="31">
        <v>0</v>
      </c>
      <c r="CAI21" s="31">
        <v>0</v>
      </c>
      <c r="CAJ21" s="31">
        <v>0</v>
      </c>
      <c r="CAK21" s="31">
        <v>0</v>
      </c>
      <c r="CAL21" s="31">
        <v>0</v>
      </c>
      <c r="CAM21" s="31">
        <v>0</v>
      </c>
      <c r="CAN21" s="31">
        <v>0</v>
      </c>
      <c r="CAO21" s="31">
        <v>0</v>
      </c>
      <c r="CAP21" s="31">
        <v>0</v>
      </c>
      <c r="CAQ21" s="31">
        <v>0</v>
      </c>
      <c r="CAR21" s="31">
        <v>0</v>
      </c>
      <c r="CAS21" s="31">
        <v>0</v>
      </c>
      <c r="CAT21" s="31">
        <v>57</v>
      </c>
      <c r="CAU21" s="31">
        <v>0</v>
      </c>
      <c r="CAV21" s="31">
        <v>0</v>
      </c>
      <c r="CAW21" s="31">
        <v>0</v>
      </c>
      <c r="CAX21" s="31">
        <v>0</v>
      </c>
      <c r="CAY21" s="31">
        <v>0</v>
      </c>
      <c r="CAZ21" s="31">
        <v>0</v>
      </c>
      <c r="CBA21" s="31">
        <v>0</v>
      </c>
      <c r="CBB21" s="31">
        <v>0</v>
      </c>
      <c r="CBC21" s="31">
        <v>0</v>
      </c>
      <c r="CBD21" s="31">
        <v>0</v>
      </c>
      <c r="CBE21" s="31">
        <v>0</v>
      </c>
      <c r="CBF21" s="31">
        <v>0</v>
      </c>
      <c r="CBG21" s="31">
        <v>0</v>
      </c>
      <c r="CBH21" s="31">
        <v>0</v>
      </c>
      <c r="CBI21" s="31">
        <v>0</v>
      </c>
      <c r="CBJ21" s="31">
        <v>0</v>
      </c>
      <c r="CBK21" s="31">
        <v>0</v>
      </c>
      <c r="CBL21" s="31">
        <v>0</v>
      </c>
      <c r="CBM21" s="31">
        <v>0</v>
      </c>
      <c r="CBN21" s="31">
        <v>0</v>
      </c>
      <c r="CBO21" s="31">
        <v>0</v>
      </c>
      <c r="CBP21" s="31">
        <v>0</v>
      </c>
      <c r="CBQ21" s="31">
        <v>0</v>
      </c>
      <c r="CBR21" s="31">
        <v>0</v>
      </c>
      <c r="CBS21" s="31">
        <v>0</v>
      </c>
      <c r="CBT21" s="31">
        <v>0</v>
      </c>
      <c r="CBU21" s="31">
        <v>0</v>
      </c>
      <c r="CBV21" s="31">
        <v>0</v>
      </c>
      <c r="CBW21" s="31">
        <v>0</v>
      </c>
      <c r="CBX21" s="31">
        <v>0</v>
      </c>
      <c r="CBY21" s="31">
        <v>0</v>
      </c>
      <c r="CBZ21" s="31">
        <v>0</v>
      </c>
      <c r="CCA21" s="31">
        <v>0</v>
      </c>
      <c r="CCB21" s="31">
        <v>0</v>
      </c>
      <c r="CCC21" s="31">
        <v>0</v>
      </c>
      <c r="CCD21" s="31">
        <v>0</v>
      </c>
      <c r="CCE21" s="31">
        <v>0</v>
      </c>
      <c r="CCF21" s="31">
        <v>0</v>
      </c>
      <c r="CCG21" s="31">
        <v>0</v>
      </c>
      <c r="CCH21" s="31">
        <v>0</v>
      </c>
      <c r="CCI21" s="31">
        <v>0</v>
      </c>
      <c r="CCJ21" s="31">
        <v>0</v>
      </c>
      <c r="CCK21" s="31">
        <v>0</v>
      </c>
      <c r="CCL21" s="31">
        <v>0</v>
      </c>
      <c r="CCM21" s="31">
        <v>0</v>
      </c>
      <c r="CCN21" s="31">
        <v>0</v>
      </c>
      <c r="CCO21" s="31">
        <v>0</v>
      </c>
      <c r="CCP21" s="31">
        <v>0</v>
      </c>
      <c r="CCQ21" s="31">
        <v>0</v>
      </c>
      <c r="CCR21" s="31">
        <v>0</v>
      </c>
      <c r="CCS21" s="31">
        <v>0</v>
      </c>
      <c r="CCT21" s="31">
        <v>0</v>
      </c>
      <c r="CCU21" s="31">
        <v>0</v>
      </c>
      <c r="CCV21" s="31">
        <v>0</v>
      </c>
      <c r="CCW21" s="31">
        <v>0</v>
      </c>
      <c r="CCX21" s="31">
        <v>0</v>
      </c>
      <c r="CCY21" s="31">
        <v>0</v>
      </c>
      <c r="CCZ21" s="31">
        <v>0</v>
      </c>
      <c r="CDA21" s="31">
        <v>0</v>
      </c>
      <c r="CDB21" s="31">
        <v>0</v>
      </c>
      <c r="CDC21" s="31">
        <v>0</v>
      </c>
      <c r="CDD21" s="31">
        <v>0</v>
      </c>
      <c r="CDE21" s="31">
        <v>0</v>
      </c>
      <c r="CDF21" s="31">
        <v>0</v>
      </c>
      <c r="CDG21" s="31">
        <v>0</v>
      </c>
      <c r="CDH21" s="31">
        <v>0</v>
      </c>
      <c r="CDI21" s="31">
        <v>0</v>
      </c>
      <c r="CDJ21" s="31">
        <v>0</v>
      </c>
      <c r="CDK21" s="31">
        <v>0</v>
      </c>
      <c r="CDL21" s="31">
        <v>0</v>
      </c>
      <c r="CDM21" s="31">
        <v>0</v>
      </c>
      <c r="CDN21" s="31">
        <v>0</v>
      </c>
      <c r="CDO21" s="31">
        <v>0</v>
      </c>
      <c r="CDP21" s="31">
        <v>0</v>
      </c>
      <c r="CDQ21" s="31">
        <v>0</v>
      </c>
      <c r="CDR21" s="31">
        <v>0</v>
      </c>
      <c r="CDS21" s="31">
        <v>0</v>
      </c>
      <c r="CDT21" s="31">
        <v>0</v>
      </c>
      <c r="CDU21" s="31">
        <v>0</v>
      </c>
      <c r="CDV21" s="31">
        <v>0</v>
      </c>
      <c r="CDW21" s="31">
        <v>0</v>
      </c>
      <c r="CDX21" s="31">
        <v>0</v>
      </c>
      <c r="CDY21" s="31">
        <v>0</v>
      </c>
      <c r="CDZ21" s="31">
        <v>0</v>
      </c>
      <c r="CEA21" s="31">
        <v>0</v>
      </c>
      <c r="CEB21" s="31">
        <v>62</v>
      </c>
      <c r="CEC21" s="31">
        <v>0</v>
      </c>
      <c r="CED21" s="31">
        <v>0</v>
      </c>
      <c r="CEE21" s="31">
        <v>0</v>
      </c>
      <c r="CEF21" s="31">
        <v>0</v>
      </c>
      <c r="CEG21" s="31">
        <v>0</v>
      </c>
      <c r="CEH21" s="31">
        <v>0</v>
      </c>
      <c r="CEI21" s="31">
        <v>0</v>
      </c>
      <c r="CEJ21" s="31">
        <v>0</v>
      </c>
      <c r="CEK21" s="31">
        <v>0</v>
      </c>
      <c r="CEL21" s="31">
        <v>0</v>
      </c>
      <c r="CEM21" s="31">
        <v>0</v>
      </c>
      <c r="CEN21" s="31">
        <v>0</v>
      </c>
      <c r="CEO21" s="31">
        <v>0</v>
      </c>
      <c r="CEP21" s="31">
        <v>0</v>
      </c>
      <c r="CEQ21" s="31">
        <v>0</v>
      </c>
      <c r="CER21" s="31">
        <v>0</v>
      </c>
      <c r="CES21" s="31">
        <v>0</v>
      </c>
      <c r="CET21" s="31">
        <v>0</v>
      </c>
      <c r="CEU21" s="31">
        <v>0</v>
      </c>
      <c r="CEV21" s="31">
        <v>0</v>
      </c>
      <c r="CEW21" s="31">
        <v>0</v>
      </c>
      <c r="CEX21" s="31">
        <v>0</v>
      </c>
      <c r="CEY21" s="31">
        <v>0</v>
      </c>
      <c r="CEZ21" s="31">
        <v>0</v>
      </c>
      <c r="CFA21" s="31">
        <v>0</v>
      </c>
      <c r="CFB21" s="31">
        <v>0</v>
      </c>
      <c r="CFC21" s="31">
        <v>0</v>
      </c>
      <c r="CFD21" s="31">
        <v>0</v>
      </c>
      <c r="CFE21" s="31">
        <v>0</v>
      </c>
      <c r="CFF21" s="31">
        <v>0</v>
      </c>
      <c r="CFG21" s="31">
        <v>0</v>
      </c>
      <c r="CFH21" s="31">
        <v>0</v>
      </c>
      <c r="CFI21" s="31">
        <v>0</v>
      </c>
      <c r="CFJ21" s="31">
        <v>0</v>
      </c>
      <c r="CFK21" s="31">
        <v>0</v>
      </c>
      <c r="CFL21" s="31">
        <v>0</v>
      </c>
      <c r="CFM21" s="31">
        <v>0</v>
      </c>
      <c r="CFN21" s="31">
        <v>0</v>
      </c>
      <c r="CFO21" s="31">
        <v>0</v>
      </c>
      <c r="CFP21" s="31">
        <v>0</v>
      </c>
      <c r="CFQ21" s="31">
        <v>0</v>
      </c>
      <c r="CFR21" s="31">
        <v>0</v>
      </c>
      <c r="CFS21" s="31">
        <v>0</v>
      </c>
      <c r="CFT21" s="31">
        <v>0</v>
      </c>
      <c r="CFU21" s="31">
        <v>0</v>
      </c>
      <c r="CFV21" s="31">
        <v>0</v>
      </c>
      <c r="CFW21" s="31">
        <v>0</v>
      </c>
      <c r="CFX21" s="31">
        <v>0</v>
      </c>
      <c r="CFY21" s="31">
        <v>0</v>
      </c>
      <c r="CFZ21" s="31">
        <v>0</v>
      </c>
      <c r="CGA21" s="31">
        <v>0</v>
      </c>
      <c r="CGB21" s="31">
        <v>0</v>
      </c>
      <c r="CGC21" s="31">
        <v>0</v>
      </c>
      <c r="CGD21" s="31">
        <v>0</v>
      </c>
      <c r="CGE21" s="31">
        <v>0</v>
      </c>
      <c r="CGF21" s="31">
        <v>0</v>
      </c>
      <c r="CGG21" s="31">
        <v>0</v>
      </c>
      <c r="CGH21" s="31">
        <v>0</v>
      </c>
      <c r="CGI21" s="31">
        <v>0</v>
      </c>
      <c r="CGJ21" s="31">
        <v>0</v>
      </c>
      <c r="CGK21" s="31">
        <v>0</v>
      </c>
      <c r="CGL21" s="31">
        <v>0</v>
      </c>
      <c r="CGM21" s="31">
        <v>0</v>
      </c>
      <c r="CGN21" s="31">
        <v>0</v>
      </c>
      <c r="CGO21" s="31">
        <v>0</v>
      </c>
      <c r="CGP21" s="31">
        <v>0</v>
      </c>
      <c r="CGQ21" s="31">
        <v>0</v>
      </c>
      <c r="CGR21" s="31">
        <v>0</v>
      </c>
      <c r="CGS21" s="31">
        <v>0</v>
      </c>
      <c r="CGT21" s="31">
        <v>0</v>
      </c>
      <c r="CGU21" s="31">
        <v>15</v>
      </c>
      <c r="CGV21" s="31">
        <v>0</v>
      </c>
      <c r="CGW21" s="31">
        <v>0</v>
      </c>
      <c r="CGX21" s="31">
        <v>0</v>
      </c>
      <c r="CGY21" s="31">
        <v>0</v>
      </c>
      <c r="CGZ21" s="31">
        <v>0</v>
      </c>
      <c r="CHA21" s="31">
        <v>0</v>
      </c>
      <c r="CHB21" s="31">
        <v>0</v>
      </c>
      <c r="CHC21" s="31">
        <v>0</v>
      </c>
      <c r="CHD21" s="31">
        <v>0</v>
      </c>
      <c r="CHE21" s="31">
        <v>0</v>
      </c>
      <c r="CHF21" s="31">
        <v>0</v>
      </c>
      <c r="CHG21" s="31">
        <v>66.989999999999995</v>
      </c>
      <c r="CHH21" s="31">
        <v>0</v>
      </c>
      <c r="CHI21" s="31">
        <v>0</v>
      </c>
      <c r="CHJ21" s="31">
        <v>0</v>
      </c>
      <c r="CHK21" s="31">
        <v>0</v>
      </c>
      <c r="CHL21" s="31">
        <v>0</v>
      </c>
      <c r="CHM21" s="31">
        <v>0</v>
      </c>
      <c r="CHN21" s="31">
        <v>0</v>
      </c>
      <c r="CHO21" s="31">
        <v>0</v>
      </c>
      <c r="CHP21" s="31">
        <v>0</v>
      </c>
      <c r="CHQ21" s="31">
        <v>0</v>
      </c>
      <c r="CHR21" s="31">
        <v>0</v>
      </c>
      <c r="CHS21" s="31">
        <v>0</v>
      </c>
      <c r="CHT21" s="31">
        <v>0</v>
      </c>
      <c r="CHU21" s="31">
        <v>0</v>
      </c>
      <c r="CHV21" s="31">
        <v>0</v>
      </c>
      <c r="CHW21" s="31">
        <v>67</v>
      </c>
      <c r="CHX21" s="31">
        <v>0</v>
      </c>
      <c r="CHY21" s="31">
        <v>0</v>
      </c>
      <c r="CHZ21" s="31">
        <v>0</v>
      </c>
      <c r="CIA21" s="31">
        <v>0</v>
      </c>
      <c r="CIB21" s="31">
        <v>0</v>
      </c>
      <c r="CIC21" s="31">
        <v>0</v>
      </c>
      <c r="CID21" s="31">
        <v>0</v>
      </c>
      <c r="CIE21" s="31">
        <v>0</v>
      </c>
      <c r="CIF21" s="31">
        <v>0</v>
      </c>
      <c r="CIG21" s="31">
        <v>0</v>
      </c>
      <c r="CIH21" s="31">
        <v>0</v>
      </c>
      <c r="CII21" s="31">
        <v>0</v>
      </c>
      <c r="CIJ21" s="31">
        <v>0</v>
      </c>
      <c r="CIK21" s="31">
        <v>0</v>
      </c>
      <c r="CIL21" s="31">
        <v>0</v>
      </c>
      <c r="CIM21" s="31">
        <v>0</v>
      </c>
      <c r="CIN21" s="31">
        <v>0</v>
      </c>
      <c r="CIO21" s="31">
        <v>0</v>
      </c>
      <c r="CIP21" s="31">
        <v>0</v>
      </c>
      <c r="CIQ21" s="31">
        <v>0</v>
      </c>
      <c r="CIR21" s="31">
        <v>0</v>
      </c>
      <c r="CIS21" s="31">
        <v>0</v>
      </c>
      <c r="CIT21" s="31">
        <v>0</v>
      </c>
      <c r="CIU21" s="31">
        <v>0</v>
      </c>
      <c r="CIV21" s="31">
        <v>0</v>
      </c>
      <c r="CIW21" s="31">
        <v>0</v>
      </c>
      <c r="CIX21" s="31">
        <v>0</v>
      </c>
      <c r="CIY21" s="31">
        <v>0</v>
      </c>
      <c r="CIZ21" s="31">
        <v>0</v>
      </c>
      <c r="CJA21" s="31">
        <v>0</v>
      </c>
      <c r="CJB21" s="31">
        <v>0</v>
      </c>
      <c r="CJC21" s="31">
        <v>0</v>
      </c>
      <c r="CJD21" s="31">
        <v>0</v>
      </c>
      <c r="CJE21" s="31">
        <v>0</v>
      </c>
      <c r="CJF21" s="31">
        <v>0</v>
      </c>
      <c r="CJG21" s="31">
        <v>0</v>
      </c>
      <c r="CJH21" s="31">
        <v>0</v>
      </c>
      <c r="CJI21" s="31">
        <v>0</v>
      </c>
      <c r="CJJ21" s="31">
        <v>0</v>
      </c>
      <c r="CJK21" s="31">
        <v>0</v>
      </c>
      <c r="CJL21" s="31">
        <v>0</v>
      </c>
      <c r="CJM21" s="31">
        <v>0</v>
      </c>
      <c r="CJN21" s="31">
        <v>0</v>
      </c>
      <c r="CJO21" s="31">
        <v>0</v>
      </c>
      <c r="CJP21" s="31">
        <v>0</v>
      </c>
      <c r="CJQ21" s="31">
        <v>0</v>
      </c>
      <c r="CJR21" s="31">
        <v>0</v>
      </c>
      <c r="CJS21" s="31">
        <v>0</v>
      </c>
      <c r="CJT21" s="31">
        <v>0</v>
      </c>
      <c r="CJU21" s="31">
        <v>0</v>
      </c>
      <c r="CJV21" s="31">
        <v>0</v>
      </c>
      <c r="CJW21" s="31">
        <v>0</v>
      </c>
      <c r="CJX21" s="31">
        <v>0</v>
      </c>
      <c r="CJY21" s="31">
        <v>0</v>
      </c>
      <c r="CJZ21" s="31">
        <v>0</v>
      </c>
      <c r="CKA21" s="31">
        <v>0</v>
      </c>
      <c r="CKB21" s="31">
        <v>0</v>
      </c>
      <c r="CKC21" s="31">
        <v>0</v>
      </c>
      <c r="CKD21" s="31">
        <v>10</v>
      </c>
      <c r="CKE21" s="31">
        <v>0</v>
      </c>
      <c r="CKF21" s="31">
        <v>0</v>
      </c>
      <c r="CKG21" s="31">
        <v>0</v>
      </c>
      <c r="CKH21" s="31">
        <v>0</v>
      </c>
      <c r="CKI21" s="31">
        <v>0</v>
      </c>
      <c r="CKJ21" s="31">
        <v>0</v>
      </c>
      <c r="CKK21" s="31">
        <v>0</v>
      </c>
      <c r="CKL21" s="31">
        <v>0</v>
      </c>
      <c r="CKM21" s="31">
        <v>0</v>
      </c>
      <c r="CKN21" s="31">
        <v>0</v>
      </c>
      <c r="CKO21" s="31">
        <v>0</v>
      </c>
      <c r="CKP21" s="31">
        <v>0</v>
      </c>
      <c r="CKQ21" s="31">
        <v>0</v>
      </c>
      <c r="CKR21" s="31">
        <v>0</v>
      </c>
      <c r="CKS21" s="31">
        <v>0</v>
      </c>
      <c r="CKT21" s="31">
        <v>0</v>
      </c>
      <c r="CKU21" s="31">
        <v>0</v>
      </c>
      <c r="CKV21" s="31">
        <v>0</v>
      </c>
      <c r="CKW21" s="31">
        <v>0</v>
      </c>
      <c r="CKX21" s="31">
        <v>0</v>
      </c>
      <c r="CKY21" s="31">
        <v>0</v>
      </c>
      <c r="CKZ21" s="31">
        <v>0</v>
      </c>
      <c r="CLA21" s="31">
        <v>0</v>
      </c>
      <c r="CLB21" s="31">
        <v>0</v>
      </c>
      <c r="CLC21" s="31">
        <v>0</v>
      </c>
      <c r="CLD21" s="31">
        <v>0</v>
      </c>
      <c r="CLE21" s="31">
        <v>0</v>
      </c>
      <c r="CLF21" s="31">
        <v>0</v>
      </c>
      <c r="CLG21" s="31">
        <v>0</v>
      </c>
      <c r="CLH21" s="31">
        <v>0</v>
      </c>
      <c r="CLI21" s="31">
        <v>0</v>
      </c>
      <c r="CLJ21" s="31">
        <v>0</v>
      </c>
      <c r="CLK21" s="31">
        <v>0</v>
      </c>
      <c r="CLL21" s="31">
        <v>0</v>
      </c>
      <c r="CLM21" s="31">
        <v>0</v>
      </c>
      <c r="CLN21" s="31">
        <v>0</v>
      </c>
      <c r="CLO21" s="31">
        <v>0</v>
      </c>
      <c r="CLP21" s="31">
        <v>0</v>
      </c>
      <c r="CLQ21" s="31">
        <v>0</v>
      </c>
      <c r="CLR21" s="31">
        <v>0</v>
      </c>
      <c r="CLS21" s="31">
        <v>0</v>
      </c>
      <c r="CLT21" s="31">
        <v>0</v>
      </c>
      <c r="CLU21" s="31">
        <v>0</v>
      </c>
      <c r="CLV21" s="31">
        <v>0</v>
      </c>
      <c r="CLW21" s="31">
        <v>0</v>
      </c>
      <c r="CLX21" s="31">
        <v>0</v>
      </c>
      <c r="CLY21" s="31">
        <v>0</v>
      </c>
      <c r="CLZ21" s="31">
        <v>0</v>
      </c>
      <c r="CMA21" s="31">
        <v>0</v>
      </c>
      <c r="CMB21" s="31">
        <v>0</v>
      </c>
      <c r="CMC21" s="31">
        <v>0</v>
      </c>
      <c r="CMD21" s="31">
        <v>0</v>
      </c>
      <c r="CME21" s="31">
        <v>0</v>
      </c>
      <c r="CMF21" s="31">
        <v>0</v>
      </c>
      <c r="CMG21" s="31">
        <v>0</v>
      </c>
      <c r="CMH21" s="31">
        <v>0</v>
      </c>
      <c r="CMI21" s="31">
        <v>0</v>
      </c>
      <c r="CMJ21" s="31">
        <v>0</v>
      </c>
      <c r="CMK21" s="31">
        <v>0</v>
      </c>
      <c r="CML21" s="31">
        <v>0</v>
      </c>
      <c r="CMM21" s="31">
        <v>0</v>
      </c>
      <c r="CMN21" s="31">
        <v>0</v>
      </c>
      <c r="CMO21" s="31">
        <v>0</v>
      </c>
      <c r="CMP21" s="31">
        <v>0</v>
      </c>
      <c r="CMQ21" s="31">
        <v>0</v>
      </c>
      <c r="CMR21" s="31">
        <v>0</v>
      </c>
      <c r="CMS21" s="31">
        <v>0</v>
      </c>
      <c r="CMT21" s="31">
        <v>0</v>
      </c>
      <c r="CMU21" s="31">
        <v>0</v>
      </c>
      <c r="CMV21" s="31">
        <v>0</v>
      </c>
      <c r="CMW21" s="31">
        <v>0</v>
      </c>
      <c r="CMX21" s="31">
        <v>0</v>
      </c>
      <c r="CMY21" s="31">
        <v>0</v>
      </c>
      <c r="CMZ21" s="31">
        <v>0</v>
      </c>
      <c r="CNA21" s="31">
        <v>0</v>
      </c>
      <c r="CNB21" s="31">
        <v>0</v>
      </c>
      <c r="CNC21" s="31">
        <v>0</v>
      </c>
      <c r="CND21" s="31">
        <v>0</v>
      </c>
      <c r="CNE21" s="31">
        <v>0</v>
      </c>
      <c r="CNF21" s="31">
        <v>0</v>
      </c>
      <c r="CNG21" s="31">
        <v>0</v>
      </c>
      <c r="CNH21" s="31">
        <v>0</v>
      </c>
      <c r="CNI21" s="31">
        <v>0</v>
      </c>
      <c r="CNJ21" s="31">
        <v>0</v>
      </c>
      <c r="CNK21" s="31">
        <v>0</v>
      </c>
      <c r="CNL21" s="31">
        <v>0</v>
      </c>
      <c r="CNM21" s="31">
        <v>0</v>
      </c>
      <c r="CNN21" s="31">
        <v>0</v>
      </c>
      <c r="CNO21" s="31">
        <v>0</v>
      </c>
      <c r="CNP21" s="31">
        <v>0</v>
      </c>
      <c r="CNQ21" s="31">
        <v>20</v>
      </c>
      <c r="CNR21" s="31">
        <v>0</v>
      </c>
      <c r="CNS21" s="31">
        <v>0</v>
      </c>
      <c r="CNT21" s="31">
        <v>0</v>
      </c>
      <c r="CNU21" s="31">
        <v>0</v>
      </c>
      <c r="CNV21" s="31">
        <v>0</v>
      </c>
      <c r="CNW21" s="31">
        <v>0</v>
      </c>
      <c r="CNX21" s="31">
        <v>0</v>
      </c>
      <c r="CNY21" s="31">
        <v>0</v>
      </c>
      <c r="CNZ21" s="31">
        <v>0</v>
      </c>
      <c r="COA21" s="31">
        <v>0</v>
      </c>
      <c r="COB21" s="31">
        <v>0</v>
      </c>
      <c r="COC21" s="31">
        <v>0</v>
      </c>
      <c r="COD21" s="31">
        <v>0</v>
      </c>
      <c r="COE21" s="31">
        <v>0</v>
      </c>
      <c r="COF21" s="31">
        <v>0</v>
      </c>
      <c r="COG21" s="31">
        <v>78</v>
      </c>
      <c r="COH21" s="31">
        <v>0</v>
      </c>
      <c r="COI21" s="31">
        <v>0</v>
      </c>
      <c r="COJ21" s="31">
        <v>0</v>
      </c>
      <c r="COK21" s="31">
        <v>0</v>
      </c>
      <c r="COL21" s="31">
        <v>0</v>
      </c>
      <c r="COM21" s="31">
        <v>0</v>
      </c>
      <c r="CON21" s="31">
        <v>0</v>
      </c>
      <c r="COO21" s="31">
        <v>0</v>
      </c>
      <c r="COP21" s="31">
        <v>0</v>
      </c>
      <c r="COQ21" s="31">
        <v>0</v>
      </c>
      <c r="COR21" s="31">
        <v>0</v>
      </c>
      <c r="COS21" s="31">
        <v>0</v>
      </c>
      <c r="COT21" s="31">
        <v>0</v>
      </c>
      <c r="COU21" s="31">
        <v>0</v>
      </c>
      <c r="COV21" s="31">
        <v>0</v>
      </c>
      <c r="COW21" s="31">
        <v>0</v>
      </c>
      <c r="COX21" s="31">
        <v>0</v>
      </c>
      <c r="COY21" s="31">
        <v>0</v>
      </c>
      <c r="COZ21" s="31">
        <v>0</v>
      </c>
      <c r="CPA21" s="31">
        <v>0</v>
      </c>
      <c r="CPB21" s="31">
        <v>0</v>
      </c>
      <c r="CPC21" s="31">
        <v>0</v>
      </c>
      <c r="CPD21" s="31">
        <v>0</v>
      </c>
      <c r="CPE21" s="31">
        <v>0</v>
      </c>
      <c r="CPF21" s="31">
        <v>0</v>
      </c>
      <c r="CPG21" s="31">
        <v>0</v>
      </c>
      <c r="CPH21" s="31">
        <v>0</v>
      </c>
      <c r="CPI21" s="31">
        <v>0</v>
      </c>
      <c r="CPJ21" s="31">
        <v>0</v>
      </c>
      <c r="CPK21" s="31">
        <v>0</v>
      </c>
      <c r="CPL21" s="31">
        <v>0</v>
      </c>
      <c r="CPM21" s="31">
        <v>0</v>
      </c>
      <c r="CPN21" s="31">
        <v>0</v>
      </c>
      <c r="CPO21" s="31">
        <v>0</v>
      </c>
      <c r="CPP21" s="31">
        <v>0</v>
      </c>
      <c r="CPQ21" s="31">
        <v>0</v>
      </c>
      <c r="CPR21" s="31">
        <v>0</v>
      </c>
      <c r="CPS21" s="31">
        <v>0</v>
      </c>
      <c r="CPT21" s="31">
        <v>0</v>
      </c>
      <c r="CPU21" s="31">
        <v>0</v>
      </c>
      <c r="CPV21" s="31">
        <v>0</v>
      </c>
      <c r="CPW21" s="31">
        <v>0</v>
      </c>
      <c r="CPX21" s="31">
        <v>0</v>
      </c>
      <c r="CPY21" s="31">
        <v>0</v>
      </c>
      <c r="CPZ21" s="31">
        <v>0</v>
      </c>
      <c r="CQA21" s="31">
        <v>0</v>
      </c>
      <c r="CQB21" s="31">
        <v>0</v>
      </c>
      <c r="CQC21" s="31">
        <v>83</v>
      </c>
      <c r="CQD21" s="31">
        <v>83</v>
      </c>
      <c r="CQE21" s="31">
        <v>0</v>
      </c>
      <c r="CQF21" s="31">
        <v>0</v>
      </c>
      <c r="CQG21" s="31">
        <v>0</v>
      </c>
      <c r="CQH21" s="31">
        <v>0</v>
      </c>
      <c r="CQI21" s="31">
        <v>0</v>
      </c>
      <c r="CQJ21" s="31">
        <v>0</v>
      </c>
      <c r="CQK21" s="31">
        <v>0</v>
      </c>
      <c r="CQL21" s="31">
        <v>0</v>
      </c>
      <c r="CQM21" s="31">
        <v>0</v>
      </c>
      <c r="CQN21" s="31">
        <v>0</v>
      </c>
      <c r="CQO21" s="31">
        <v>0</v>
      </c>
      <c r="CQP21" s="31">
        <v>0</v>
      </c>
      <c r="CQQ21" s="31">
        <v>0</v>
      </c>
      <c r="CQR21" s="31">
        <v>0</v>
      </c>
      <c r="CQS21" s="31">
        <v>0</v>
      </c>
      <c r="CQT21" s="31">
        <v>0</v>
      </c>
      <c r="CQU21" s="31">
        <v>0</v>
      </c>
      <c r="CQV21" s="31">
        <v>0</v>
      </c>
      <c r="CQW21" s="31">
        <v>0</v>
      </c>
      <c r="CQX21" s="31">
        <v>0</v>
      </c>
      <c r="CQY21" s="31">
        <v>0</v>
      </c>
      <c r="CQZ21" s="31">
        <v>0</v>
      </c>
      <c r="CRA21" s="31">
        <v>0</v>
      </c>
      <c r="CRB21" s="31">
        <v>0</v>
      </c>
      <c r="CRC21" s="31">
        <v>0</v>
      </c>
      <c r="CRD21" s="31">
        <v>0</v>
      </c>
      <c r="CRE21" s="31">
        <v>0</v>
      </c>
      <c r="CRF21" s="31">
        <v>0</v>
      </c>
      <c r="CRG21" s="31">
        <v>0</v>
      </c>
      <c r="CRH21" s="31">
        <v>0</v>
      </c>
      <c r="CRI21" s="31">
        <v>0</v>
      </c>
      <c r="CRJ21" s="31">
        <v>0</v>
      </c>
      <c r="CRK21" s="31">
        <v>0</v>
      </c>
      <c r="CRL21" s="31">
        <v>0</v>
      </c>
      <c r="CRM21" s="31">
        <v>0</v>
      </c>
      <c r="CRN21" s="31">
        <v>0</v>
      </c>
      <c r="CRO21" s="31">
        <v>0</v>
      </c>
      <c r="CRP21" s="31">
        <v>0</v>
      </c>
      <c r="CRQ21" s="31">
        <v>0</v>
      </c>
      <c r="CRR21" s="31">
        <v>0</v>
      </c>
      <c r="CRS21" s="31">
        <v>0</v>
      </c>
      <c r="CRT21" s="31">
        <v>0</v>
      </c>
      <c r="CRU21" s="31">
        <v>0</v>
      </c>
      <c r="CRV21" s="31">
        <v>0</v>
      </c>
      <c r="CRW21" s="31">
        <v>0</v>
      </c>
      <c r="CRX21" s="31">
        <v>0</v>
      </c>
      <c r="CRY21" s="31">
        <v>0</v>
      </c>
      <c r="CRZ21" s="31">
        <v>0</v>
      </c>
      <c r="CSA21" s="31">
        <v>0</v>
      </c>
      <c r="CSB21" s="31">
        <v>0</v>
      </c>
      <c r="CSC21" s="31">
        <v>0</v>
      </c>
      <c r="CSD21" s="31">
        <v>0</v>
      </c>
      <c r="CSE21" s="31">
        <v>0</v>
      </c>
      <c r="CSF21" s="31">
        <v>0</v>
      </c>
      <c r="CSG21" s="31">
        <v>0</v>
      </c>
      <c r="CSH21" s="31">
        <v>0</v>
      </c>
      <c r="CSI21" s="31">
        <v>0</v>
      </c>
      <c r="CSJ21" s="31">
        <v>0</v>
      </c>
      <c r="CSK21" s="31">
        <v>0</v>
      </c>
      <c r="CSL21" s="31">
        <v>0</v>
      </c>
      <c r="CSM21" s="31">
        <v>0</v>
      </c>
      <c r="CSN21" s="31">
        <v>0</v>
      </c>
      <c r="CSO21" s="31">
        <v>0</v>
      </c>
      <c r="CSP21" s="31">
        <v>0</v>
      </c>
      <c r="CSQ21" s="31">
        <v>0</v>
      </c>
      <c r="CSR21" s="31">
        <v>0</v>
      </c>
      <c r="CSS21" s="31">
        <v>0</v>
      </c>
      <c r="CST21" s="31">
        <v>0</v>
      </c>
      <c r="CSU21" s="31">
        <v>0</v>
      </c>
      <c r="CSV21" s="31">
        <v>0</v>
      </c>
      <c r="CSW21" s="31">
        <v>0</v>
      </c>
      <c r="CSX21" s="31">
        <v>0</v>
      </c>
      <c r="CSY21" s="31">
        <v>0</v>
      </c>
      <c r="CSZ21" s="31">
        <v>0</v>
      </c>
      <c r="CTA21" s="31">
        <v>0</v>
      </c>
      <c r="CTB21" s="31">
        <v>0</v>
      </c>
      <c r="CTC21" s="31">
        <v>0</v>
      </c>
      <c r="CTD21" s="31">
        <v>0</v>
      </c>
      <c r="CTE21" s="31">
        <v>90</v>
      </c>
      <c r="CTF21" s="31">
        <v>0</v>
      </c>
      <c r="CTG21" s="31">
        <v>0</v>
      </c>
      <c r="CTH21" s="31">
        <v>0</v>
      </c>
      <c r="CTI21" s="31">
        <v>0</v>
      </c>
      <c r="CTJ21" s="31">
        <v>0</v>
      </c>
      <c r="CTK21" s="31">
        <v>90.99</v>
      </c>
      <c r="CTL21" s="31">
        <v>0</v>
      </c>
      <c r="CTM21" s="31">
        <v>0</v>
      </c>
      <c r="CTN21" s="31">
        <v>0</v>
      </c>
      <c r="CTO21" s="31">
        <v>0</v>
      </c>
      <c r="CTP21" s="31">
        <v>0</v>
      </c>
      <c r="CTQ21" s="31">
        <v>0</v>
      </c>
      <c r="CTR21" s="31">
        <v>0</v>
      </c>
      <c r="CTS21" s="31">
        <v>0</v>
      </c>
      <c r="CTT21" s="31">
        <v>0</v>
      </c>
      <c r="CTU21" s="31">
        <v>0</v>
      </c>
      <c r="CTV21" s="31">
        <v>0</v>
      </c>
      <c r="CTW21" s="31">
        <v>0</v>
      </c>
      <c r="CTX21" s="31">
        <v>0</v>
      </c>
      <c r="CTY21" s="31">
        <v>0</v>
      </c>
      <c r="CTZ21" s="31">
        <v>0</v>
      </c>
      <c r="CUA21" s="31">
        <v>0</v>
      </c>
      <c r="CUB21" s="31">
        <v>0</v>
      </c>
      <c r="CUC21" s="31">
        <v>0</v>
      </c>
      <c r="CUD21" s="31">
        <v>0</v>
      </c>
      <c r="CUE21" s="31">
        <v>0</v>
      </c>
      <c r="CUF21" s="31">
        <v>0</v>
      </c>
      <c r="CUG21" s="31">
        <v>0</v>
      </c>
      <c r="CUH21" s="31">
        <v>0</v>
      </c>
      <c r="CUI21" s="31">
        <v>0</v>
      </c>
      <c r="CUJ21" s="31">
        <v>0</v>
      </c>
      <c r="CUK21" s="31">
        <v>0</v>
      </c>
      <c r="CUL21" s="31">
        <v>0</v>
      </c>
      <c r="CUM21" s="31">
        <v>0</v>
      </c>
      <c r="CUN21" s="31">
        <v>0</v>
      </c>
      <c r="CUO21" s="31">
        <v>0</v>
      </c>
      <c r="CUP21" s="31">
        <v>0</v>
      </c>
      <c r="CUQ21" s="31">
        <v>0</v>
      </c>
      <c r="CUR21" s="31">
        <v>0</v>
      </c>
      <c r="CUS21" s="31">
        <v>0</v>
      </c>
      <c r="CUT21" s="31">
        <v>0</v>
      </c>
      <c r="CUU21" s="31">
        <v>0</v>
      </c>
      <c r="CUV21" s="31">
        <v>0</v>
      </c>
      <c r="CUW21" s="31">
        <v>0</v>
      </c>
      <c r="CUX21" s="31">
        <v>0</v>
      </c>
      <c r="CUY21" s="31">
        <v>0</v>
      </c>
      <c r="CUZ21" s="31">
        <v>0</v>
      </c>
      <c r="CVA21" s="31">
        <v>0</v>
      </c>
      <c r="CVB21" s="31">
        <v>0</v>
      </c>
      <c r="CVC21" s="31">
        <v>0</v>
      </c>
      <c r="CVD21" s="31">
        <v>0</v>
      </c>
      <c r="CVE21" s="31">
        <v>0</v>
      </c>
      <c r="CVF21" s="31">
        <v>0</v>
      </c>
      <c r="CVG21" s="31">
        <v>0</v>
      </c>
      <c r="CVH21" s="31">
        <v>0</v>
      </c>
      <c r="CVI21" s="31">
        <v>0</v>
      </c>
      <c r="CVJ21" s="31">
        <v>0</v>
      </c>
      <c r="CVK21" s="31">
        <v>0</v>
      </c>
      <c r="CVL21" s="31">
        <v>0</v>
      </c>
      <c r="CVM21" s="31">
        <v>0</v>
      </c>
      <c r="CVN21" s="31">
        <v>0</v>
      </c>
      <c r="CVO21" s="31">
        <v>0</v>
      </c>
      <c r="CVP21" s="31">
        <v>75</v>
      </c>
      <c r="CVQ21" s="31">
        <v>0</v>
      </c>
      <c r="CVR21" s="31">
        <v>0</v>
      </c>
      <c r="CVS21" s="31">
        <v>0</v>
      </c>
      <c r="CVT21" s="31">
        <v>0</v>
      </c>
      <c r="CVU21" s="31">
        <v>0</v>
      </c>
      <c r="CVV21" s="31">
        <v>0</v>
      </c>
      <c r="CVW21" s="31">
        <v>0</v>
      </c>
      <c r="CVX21" s="31">
        <v>0</v>
      </c>
      <c r="CVY21" s="31">
        <v>0</v>
      </c>
      <c r="CVZ21" s="31">
        <v>0</v>
      </c>
      <c r="CWA21" s="31">
        <v>0</v>
      </c>
      <c r="CWB21" s="31">
        <v>0</v>
      </c>
      <c r="CWC21" s="31">
        <v>63.99</v>
      </c>
      <c r="CWD21" s="31">
        <v>0</v>
      </c>
      <c r="CWE21" s="31">
        <v>0</v>
      </c>
      <c r="CWF21" s="31">
        <v>0</v>
      </c>
      <c r="CWG21" s="31">
        <v>0</v>
      </c>
      <c r="CWH21" s="31">
        <v>0</v>
      </c>
      <c r="CWI21" s="31">
        <v>0</v>
      </c>
      <c r="CWJ21" s="31">
        <v>0</v>
      </c>
      <c r="CWK21" s="31">
        <v>0</v>
      </c>
      <c r="CWL21" s="31">
        <v>0</v>
      </c>
      <c r="CWM21" s="31">
        <v>0</v>
      </c>
      <c r="CWN21" s="31">
        <v>0</v>
      </c>
      <c r="CWO21" s="31">
        <v>0</v>
      </c>
      <c r="CWP21" s="31">
        <v>0</v>
      </c>
      <c r="CWQ21" s="31">
        <v>0</v>
      </c>
      <c r="CWR21" s="31">
        <v>0</v>
      </c>
      <c r="CWS21" s="31">
        <v>0</v>
      </c>
      <c r="CWT21" s="31">
        <v>0</v>
      </c>
      <c r="CWU21" s="31">
        <v>0</v>
      </c>
      <c r="CWV21" s="31">
        <v>0</v>
      </c>
      <c r="CWW21" s="31">
        <v>0</v>
      </c>
      <c r="CWX21" s="31">
        <v>0</v>
      </c>
      <c r="CWY21" s="31">
        <v>0</v>
      </c>
      <c r="CWZ21" s="31">
        <v>0</v>
      </c>
      <c r="CXA21" s="31">
        <v>0</v>
      </c>
      <c r="CXB21" s="31">
        <v>0</v>
      </c>
      <c r="CXC21" s="31">
        <v>0</v>
      </c>
      <c r="CXD21" s="31">
        <v>0</v>
      </c>
      <c r="CXE21" s="31">
        <v>0</v>
      </c>
      <c r="CXF21" s="31">
        <v>0</v>
      </c>
      <c r="CXG21" s="31">
        <v>0</v>
      </c>
      <c r="CXH21" s="31">
        <v>0</v>
      </c>
      <c r="CXI21" s="31">
        <v>0</v>
      </c>
      <c r="CXJ21" s="31">
        <v>0</v>
      </c>
      <c r="CXK21" s="31">
        <v>0</v>
      </c>
      <c r="CXL21" s="31">
        <v>0</v>
      </c>
      <c r="CXM21" s="31">
        <v>0</v>
      </c>
      <c r="CXN21" s="31">
        <v>0</v>
      </c>
      <c r="CXO21" s="31">
        <v>0</v>
      </c>
      <c r="CXP21" s="31">
        <v>0</v>
      </c>
      <c r="CXQ21" s="31">
        <v>0</v>
      </c>
      <c r="CXR21" s="31">
        <v>0</v>
      </c>
      <c r="CXS21" s="31">
        <v>0</v>
      </c>
      <c r="CXT21" s="31">
        <v>0</v>
      </c>
      <c r="CXU21" s="31">
        <v>0</v>
      </c>
      <c r="CXV21" s="31">
        <v>0</v>
      </c>
      <c r="CXW21" s="31">
        <v>0</v>
      </c>
      <c r="CXX21" s="31">
        <v>0</v>
      </c>
      <c r="CXY21" s="31">
        <v>0</v>
      </c>
      <c r="CXZ21" s="31">
        <v>0</v>
      </c>
      <c r="CYA21" s="31">
        <v>0</v>
      </c>
      <c r="CYB21" s="31">
        <v>0</v>
      </c>
      <c r="CYC21" s="31">
        <v>0</v>
      </c>
      <c r="CYD21" s="31">
        <v>0</v>
      </c>
      <c r="CYE21" s="31">
        <v>0</v>
      </c>
      <c r="CYF21" s="31">
        <v>0</v>
      </c>
      <c r="CYG21" s="31">
        <v>0</v>
      </c>
      <c r="CYH21" s="31">
        <v>102.99</v>
      </c>
      <c r="CYI21" s="31">
        <v>0</v>
      </c>
      <c r="CYJ21" s="31">
        <v>0</v>
      </c>
      <c r="CYK21" s="31">
        <v>0</v>
      </c>
      <c r="CYL21" s="31">
        <v>0</v>
      </c>
      <c r="CYM21" s="31">
        <v>0</v>
      </c>
      <c r="CYN21" s="31">
        <v>0</v>
      </c>
      <c r="CYO21" s="31">
        <v>0</v>
      </c>
      <c r="CYP21" s="31">
        <v>0</v>
      </c>
      <c r="CYQ21" s="31">
        <v>70.010000000000005</v>
      </c>
      <c r="CYR21" s="31">
        <v>0</v>
      </c>
      <c r="CYS21" s="31">
        <v>0</v>
      </c>
      <c r="CYT21" s="31">
        <v>0</v>
      </c>
      <c r="CYU21" s="31">
        <v>0</v>
      </c>
      <c r="CYV21" s="31">
        <v>0</v>
      </c>
      <c r="CYW21" s="31">
        <v>0</v>
      </c>
      <c r="CYX21" s="31">
        <v>0</v>
      </c>
      <c r="CYY21" s="31">
        <v>0</v>
      </c>
      <c r="CYZ21" s="31">
        <v>0</v>
      </c>
      <c r="CZA21" s="31">
        <v>0</v>
      </c>
      <c r="CZB21" s="31">
        <v>0</v>
      </c>
      <c r="CZC21" s="31">
        <v>0</v>
      </c>
      <c r="CZD21" s="31">
        <v>0</v>
      </c>
      <c r="CZE21" s="31">
        <v>0</v>
      </c>
      <c r="CZF21" s="31">
        <v>0</v>
      </c>
      <c r="CZG21" s="31">
        <v>0</v>
      </c>
      <c r="CZH21" s="31">
        <v>0</v>
      </c>
      <c r="CZI21" s="31">
        <v>54</v>
      </c>
      <c r="CZJ21" s="31">
        <v>0</v>
      </c>
      <c r="CZK21" s="31">
        <v>0</v>
      </c>
      <c r="CZL21" s="31">
        <v>0</v>
      </c>
      <c r="CZM21" s="31">
        <v>0</v>
      </c>
      <c r="CZN21" s="31">
        <v>0</v>
      </c>
      <c r="CZO21" s="31">
        <v>0</v>
      </c>
      <c r="CZP21" s="31">
        <v>0</v>
      </c>
      <c r="CZQ21" s="31">
        <v>0</v>
      </c>
      <c r="CZR21" s="31">
        <v>0</v>
      </c>
      <c r="CZS21" s="31">
        <v>0</v>
      </c>
      <c r="CZT21" s="31">
        <v>0</v>
      </c>
      <c r="CZU21" s="31">
        <v>0</v>
      </c>
      <c r="CZV21" s="31">
        <v>0</v>
      </c>
      <c r="CZW21" s="31">
        <v>0</v>
      </c>
      <c r="CZX21" s="31">
        <v>0</v>
      </c>
      <c r="CZY21" s="31">
        <v>0</v>
      </c>
      <c r="CZZ21" s="31">
        <v>0</v>
      </c>
      <c r="DAA21" s="31">
        <v>0</v>
      </c>
      <c r="DAB21" s="31">
        <v>0</v>
      </c>
      <c r="DAC21" s="31">
        <v>0</v>
      </c>
      <c r="DAD21" s="31">
        <v>0</v>
      </c>
      <c r="DAE21" s="31">
        <v>0</v>
      </c>
      <c r="DAF21" s="31">
        <v>0</v>
      </c>
      <c r="DAG21" s="31">
        <v>0</v>
      </c>
      <c r="DAH21" s="31">
        <v>0</v>
      </c>
      <c r="DAI21" s="31">
        <v>0</v>
      </c>
      <c r="DAJ21" s="31">
        <v>0</v>
      </c>
      <c r="DAK21" s="31">
        <v>0</v>
      </c>
      <c r="DAL21" s="31">
        <v>0</v>
      </c>
      <c r="DAM21" s="31">
        <v>0</v>
      </c>
      <c r="DAN21" s="31">
        <v>107.99</v>
      </c>
      <c r="DAO21" s="31">
        <v>0</v>
      </c>
      <c r="DAP21" s="31">
        <v>0</v>
      </c>
      <c r="DAQ21" s="31">
        <v>0</v>
      </c>
      <c r="DAR21" s="31">
        <v>108</v>
      </c>
      <c r="DAS21" s="31">
        <v>0</v>
      </c>
      <c r="DAT21" s="31">
        <v>0</v>
      </c>
      <c r="DAU21" s="31">
        <v>0</v>
      </c>
      <c r="DAV21" s="31">
        <v>0</v>
      </c>
      <c r="DAW21" s="31">
        <v>0</v>
      </c>
      <c r="DAX21" s="31">
        <v>0</v>
      </c>
      <c r="DAY21" s="31">
        <v>0</v>
      </c>
      <c r="DAZ21" s="31">
        <v>0</v>
      </c>
      <c r="DBA21" s="31">
        <v>0</v>
      </c>
      <c r="DBB21" s="31">
        <v>0</v>
      </c>
      <c r="DBC21" s="31">
        <v>0</v>
      </c>
      <c r="DBD21" s="31">
        <v>0</v>
      </c>
      <c r="DBE21" s="31">
        <v>0</v>
      </c>
      <c r="DBF21" s="31">
        <v>0</v>
      </c>
      <c r="DBG21" s="31">
        <v>0</v>
      </c>
      <c r="DBH21" s="31">
        <v>0</v>
      </c>
      <c r="DBI21" s="31">
        <v>0</v>
      </c>
      <c r="DBJ21" s="31">
        <v>64.010000000000005</v>
      </c>
      <c r="DBK21" s="31">
        <v>110</v>
      </c>
      <c r="DBL21" s="31">
        <v>0</v>
      </c>
      <c r="DBM21" s="31">
        <v>0</v>
      </c>
      <c r="DBN21" s="31">
        <v>0</v>
      </c>
      <c r="DBO21" s="31">
        <v>0</v>
      </c>
      <c r="DBP21" s="31">
        <v>0</v>
      </c>
      <c r="DBQ21" s="31">
        <v>0</v>
      </c>
      <c r="DBR21" s="31">
        <v>0</v>
      </c>
      <c r="DBS21" s="31">
        <v>0</v>
      </c>
      <c r="DBT21" s="31">
        <v>0</v>
      </c>
      <c r="DBU21" s="31">
        <v>0</v>
      </c>
      <c r="DBV21" s="31">
        <v>0</v>
      </c>
      <c r="DBW21" s="31">
        <v>0</v>
      </c>
      <c r="DBX21" s="31">
        <v>0</v>
      </c>
      <c r="DBY21" s="31">
        <v>0</v>
      </c>
      <c r="DBZ21" s="31">
        <v>0</v>
      </c>
      <c r="DCA21" s="31">
        <v>0</v>
      </c>
      <c r="DCB21" s="31">
        <v>0</v>
      </c>
      <c r="DCC21" s="31">
        <v>0</v>
      </c>
      <c r="DCD21" s="31">
        <v>0</v>
      </c>
      <c r="DCE21" s="31">
        <v>0</v>
      </c>
      <c r="DCF21" s="31">
        <v>0</v>
      </c>
      <c r="DCG21" s="31">
        <v>0</v>
      </c>
      <c r="DCH21" s="31">
        <v>0</v>
      </c>
      <c r="DCI21" s="31">
        <v>0</v>
      </c>
      <c r="DCJ21" s="31">
        <v>0</v>
      </c>
      <c r="DCK21" s="31">
        <v>0</v>
      </c>
      <c r="DCL21" s="31">
        <v>0</v>
      </c>
      <c r="DCM21" s="31">
        <v>0</v>
      </c>
      <c r="DCN21" s="31">
        <v>0</v>
      </c>
      <c r="DCO21" s="31">
        <v>0</v>
      </c>
      <c r="DCP21" s="31">
        <v>0</v>
      </c>
      <c r="DCQ21" s="31">
        <v>0</v>
      </c>
      <c r="DCR21" s="31">
        <v>0</v>
      </c>
      <c r="DCS21" s="31">
        <v>0</v>
      </c>
      <c r="DCT21" s="31">
        <v>0</v>
      </c>
      <c r="DCU21" s="31">
        <v>0</v>
      </c>
      <c r="DCV21" s="31">
        <v>0</v>
      </c>
      <c r="DCW21" s="31">
        <v>0</v>
      </c>
      <c r="DCX21" s="31">
        <v>0</v>
      </c>
      <c r="DCY21" s="31">
        <v>0</v>
      </c>
      <c r="DCZ21" s="31">
        <v>0</v>
      </c>
      <c r="DDA21" s="31">
        <v>0</v>
      </c>
      <c r="DDB21" s="31">
        <v>0</v>
      </c>
      <c r="DDC21" s="31">
        <v>0</v>
      </c>
      <c r="DDD21" s="31">
        <v>0</v>
      </c>
      <c r="DDE21" s="31">
        <v>0</v>
      </c>
      <c r="DDF21" s="31">
        <v>0</v>
      </c>
      <c r="DDG21" s="31">
        <v>0</v>
      </c>
      <c r="DDH21" s="31">
        <v>0</v>
      </c>
      <c r="DDI21" s="31">
        <v>0</v>
      </c>
      <c r="DDJ21" s="31">
        <v>0</v>
      </c>
      <c r="DDK21" s="31">
        <v>0</v>
      </c>
      <c r="DDL21" s="31">
        <v>0</v>
      </c>
      <c r="DDM21" s="31">
        <v>0</v>
      </c>
      <c r="DDN21" s="31">
        <v>0</v>
      </c>
      <c r="DDO21" s="31">
        <v>0</v>
      </c>
      <c r="DDP21" s="31">
        <v>0</v>
      </c>
      <c r="DDQ21" s="31">
        <v>0</v>
      </c>
      <c r="DDR21" s="31">
        <v>0</v>
      </c>
      <c r="DDS21" s="31">
        <v>0</v>
      </c>
      <c r="DDT21" s="31">
        <v>0</v>
      </c>
      <c r="DDU21" s="31">
        <v>0</v>
      </c>
      <c r="DDV21" s="31">
        <v>0</v>
      </c>
      <c r="DDW21" s="31">
        <v>0</v>
      </c>
      <c r="DDX21" s="31">
        <v>0</v>
      </c>
      <c r="DDY21" s="31">
        <v>0</v>
      </c>
      <c r="DDZ21" s="31">
        <v>0</v>
      </c>
      <c r="DEA21" s="31">
        <v>0</v>
      </c>
      <c r="DEB21" s="31">
        <v>0</v>
      </c>
      <c r="DEC21" s="31">
        <v>0</v>
      </c>
      <c r="DED21" s="31">
        <v>0</v>
      </c>
      <c r="DEE21" s="31">
        <v>0</v>
      </c>
      <c r="DEF21" s="31">
        <v>0</v>
      </c>
      <c r="DEG21" s="31">
        <v>0</v>
      </c>
      <c r="DEH21" s="31">
        <v>0</v>
      </c>
      <c r="DEI21" s="31">
        <v>0</v>
      </c>
      <c r="DEJ21" s="31">
        <v>0</v>
      </c>
      <c r="DEK21" s="31">
        <v>0</v>
      </c>
      <c r="DEL21" s="31">
        <v>0</v>
      </c>
      <c r="DEM21" s="31">
        <v>0</v>
      </c>
      <c r="DEN21" s="31">
        <v>0</v>
      </c>
      <c r="DEO21" s="31">
        <v>0</v>
      </c>
      <c r="DEP21" s="31">
        <v>0</v>
      </c>
      <c r="DEQ21" s="31">
        <v>0</v>
      </c>
      <c r="DER21" s="31">
        <v>0</v>
      </c>
      <c r="DES21" s="31">
        <v>0</v>
      </c>
      <c r="DET21" s="31">
        <v>0</v>
      </c>
      <c r="DEU21" s="31">
        <v>0</v>
      </c>
      <c r="DEV21" s="31">
        <v>0</v>
      </c>
      <c r="DEW21" s="31">
        <v>0</v>
      </c>
      <c r="DEX21" s="31">
        <v>0</v>
      </c>
      <c r="DEY21" s="31">
        <v>0</v>
      </c>
      <c r="DEZ21" s="31">
        <v>0</v>
      </c>
      <c r="DFA21" s="31">
        <v>0</v>
      </c>
      <c r="DFB21" s="31">
        <v>0</v>
      </c>
      <c r="DFC21" s="31">
        <v>0</v>
      </c>
      <c r="DFD21" s="31">
        <v>0</v>
      </c>
      <c r="DFE21" s="31">
        <v>0</v>
      </c>
      <c r="DFF21" s="31">
        <v>0</v>
      </c>
      <c r="DFG21" s="31">
        <v>0</v>
      </c>
      <c r="DFH21" s="31">
        <v>0</v>
      </c>
      <c r="DFI21" s="31">
        <v>0</v>
      </c>
      <c r="DFJ21" s="31">
        <v>0</v>
      </c>
      <c r="DFK21" s="31">
        <v>0</v>
      </c>
      <c r="DFL21" s="31">
        <v>0</v>
      </c>
      <c r="DFM21" s="31">
        <v>0</v>
      </c>
      <c r="DFN21" s="31">
        <v>0</v>
      </c>
      <c r="DFO21" s="31">
        <v>0</v>
      </c>
      <c r="DFP21" s="31">
        <v>0</v>
      </c>
      <c r="DFQ21" s="31">
        <v>0</v>
      </c>
      <c r="DFR21" s="31">
        <v>0</v>
      </c>
      <c r="DFS21" s="31">
        <v>0</v>
      </c>
      <c r="DFT21" s="31">
        <v>0</v>
      </c>
      <c r="DFU21" s="31">
        <v>0</v>
      </c>
      <c r="DFV21" s="31">
        <v>0</v>
      </c>
      <c r="DFW21" s="31">
        <v>0</v>
      </c>
      <c r="DFX21" s="31">
        <v>0</v>
      </c>
      <c r="DFY21" s="31">
        <v>0</v>
      </c>
      <c r="DFZ21" s="31">
        <v>0</v>
      </c>
      <c r="DGA21" s="31">
        <v>0</v>
      </c>
      <c r="DGB21" s="31">
        <v>0</v>
      </c>
      <c r="DGC21" s="31">
        <v>0</v>
      </c>
      <c r="DGD21" s="31">
        <v>0</v>
      </c>
      <c r="DGE21" s="31">
        <v>0</v>
      </c>
      <c r="DGF21" s="31">
        <v>0</v>
      </c>
      <c r="DGG21" s="31">
        <v>0</v>
      </c>
      <c r="DGH21" s="31">
        <v>0</v>
      </c>
      <c r="DGI21" s="31">
        <v>0</v>
      </c>
      <c r="DGJ21" s="31">
        <v>0</v>
      </c>
      <c r="DGK21" s="31">
        <v>0</v>
      </c>
      <c r="DGL21" s="31">
        <v>0</v>
      </c>
      <c r="DGM21" s="31">
        <v>0</v>
      </c>
      <c r="DGN21" s="31">
        <v>0</v>
      </c>
      <c r="DGO21" s="31">
        <v>0</v>
      </c>
      <c r="DGP21" s="31">
        <v>0</v>
      </c>
      <c r="DGQ21" s="31">
        <v>0</v>
      </c>
      <c r="DGR21" s="31">
        <v>0</v>
      </c>
      <c r="DGS21" s="31">
        <v>0</v>
      </c>
      <c r="DGT21" s="31">
        <v>0</v>
      </c>
      <c r="DGU21" s="31">
        <v>0</v>
      </c>
      <c r="DGV21" s="31">
        <v>0</v>
      </c>
      <c r="DGW21" s="31">
        <v>0</v>
      </c>
      <c r="DGX21" s="31">
        <v>0</v>
      </c>
      <c r="DGY21" s="31">
        <v>0</v>
      </c>
      <c r="DGZ21" s="31">
        <v>0</v>
      </c>
      <c r="DHA21" s="31">
        <v>0</v>
      </c>
      <c r="DHB21" s="31">
        <v>48</v>
      </c>
      <c r="DHC21" s="31">
        <v>0</v>
      </c>
      <c r="DHD21" s="31">
        <v>0</v>
      </c>
      <c r="DHE21" s="31">
        <v>0</v>
      </c>
      <c r="DHF21" s="31">
        <v>0</v>
      </c>
      <c r="DHG21" s="31">
        <v>0</v>
      </c>
      <c r="DHH21" s="31">
        <v>0</v>
      </c>
      <c r="DHI21" s="31">
        <v>0</v>
      </c>
      <c r="DHJ21" s="31">
        <v>0</v>
      </c>
      <c r="DHK21" s="31">
        <v>0</v>
      </c>
      <c r="DHL21" s="31">
        <v>0</v>
      </c>
      <c r="DHM21" s="31">
        <v>0</v>
      </c>
      <c r="DHN21" s="31">
        <v>0</v>
      </c>
      <c r="DHO21" s="31">
        <v>0</v>
      </c>
      <c r="DHP21" s="31">
        <v>14</v>
      </c>
      <c r="DHQ21" s="31">
        <v>0</v>
      </c>
      <c r="DHR21" s="31">
        <v>0</v>
      </c>
      <c r="DHS21" s="31">
        <v>0</v>
      </c>
      <c r="DHT21" s="31">
        <v>0</v>
      </c>
      <c r="DHU21" s="31">
        <v>0</v>
      </c>
      <c r="DHV21" s="31">
        <v>0</v>
      </c>
      <c r="DHW21" s="31">
        <v>0</v>
      </c>
      <c r="DHX21" s="31">
        <v>0</v>
      </c>
      <c r="DHY21" s="31">
        <v>0</v>
      </c>
      <c r="DHZ21" s="31">
        <v>0</v>
      </c>
      <c r="DIA21" s="31">
        <v>0</v>
      </c>
      <c r="DIB21" s="31">
        <v>0</v>
      </c>
      <c r="DIC21" s="31">
        <v>0</v>
      </c>
      <c r="DID21" s="31">
        <v>0</v>
      </c>
      <c r="DIE21" s="31">
        <v>0</v>
      </c>
      <c r="DIF21" s="31">
        <v>0</v>
      </c>
      <c r="DIG21" s="31">
        <v>0</v>
      </c>
      <c r="DIH21" s="31">
        <v>0</v>
      </c>
      <c r="DII21" s="31">
        <v>0</v>
      </c>
      <c r="DIJ21" s="31">
        <v>0</v>
      </c>
      <c r="DIK21" s="31">
        <v>0</v>
      </c>
      <c r="DIL21" s="31">
        <v>0</v>
      </c>
      <c r="DIM21" s="31">
        <v>0</v>
      </c>
      <c r="DIN21" s="31">
        <v>0</v>
      </c>
      <c r="DIO21" s="31">
        <v>0</v>
      </c>
      <c r="DIP21" s="31">
        <v>0</v>
      </c>
      <c r="DIQ21" s="31">
        <v>0</v>
      </c>
      <c r="DIR21" s="31">
        <v>0</v>
      </c>
      <c r="DIS21" s="31">
        <v>0</v>
      </c>
      <c r="DIT21" s="31">
        <v>0</v>
      </c>
      <c r="DIU21" s="31">
        <v>0</v>
      </c>
      <c r="DIV21" s="31">
        <v>0</v>
      </c>
      <c r="DIW21" s="31">
        <v>0</v>
      </c>
      <c r="DIX21" s="31">
        <v>0</v>
      </c>
      <c r="DIY21" s="31">
        <v>0</v>
      </c>
      <c r="DIZ21" s="31">
        <v>0</v>
      </c>
      <c r="DJA21" s="31">
        <v>0</v>
      </c>
      <c r="DJB21" s="31">
        <v>0</v>
      </c>
      <c r="DJC21" s="31">
        <v>0</v>
      </c>
      <c r="DJD21" s="31">
        <v>0</v>
      </c>
      <c r="DJE21" s="31">
        <v>0</v>
      </c>
      <c r="DJF21" s="31">
        <v>0</v>
      </c>
      <c r="DJG21" s="31">
        <v>0</v>
      </c>
      <c r="DJH21" s="31">
        <v>0</v>
      </c>
      <c r="DJI21" s="31">
        <v>0</v>
      </c>
      <c r="DJJ21" s="31">
        <v>0</v>
      </c>
      <c r="DJK21" s="31">
        <v>0</v>
      </c>
      <c r="DJL21" s="31">
        <v>0</v>
      </c>
      <c r="DJM21" s="31">
        <v>0</v>
      </c>
      <c r="DJN21" s="31">
        <v>51.99</v>
      </c>
      <c r="DJO21" s="31">
        <v>0</v>
      </c>
      <c r="DJP21" s="31">
        <v>0</v>
      </c>
      <c r="DJQ21" s="31">
        <v>0</v>
      </c>
      <c r="DJR21" s="31">
        <v>16</v>
      </c>
      <c r="DJS21" s="31">
        <v>0</v>
      </c>
      <c r="DJT21" s="31">
        <v>0</v>
      </c>
      <c r="DJU21" s="31">
        <v>0</v>
      </c>
      <c r="DJV21" s="31">
        <v>0</v>
      </c>
      <c r="DJW21" s="31">
        <v>0</v>
      </c>
      <c r="DJX21" s="31">
        <v>0</v>
      </c>
      <c r="DJY21" s="31">
        <v>0</v>
      </c>
      <c r="DJZ21" s="31">
        <v>0</v>
      </c>
      <c r="DKA21" s="31">
        <v>0</v>
      </c>
      <c r="DKB21" s="31">
        <v>0</v>
      </c>
      <c r="DKC21" s="31">
        <v>0</v>
      </c>
      <c r="DKD21" s="31">
        <v>0</v>
      </c>
      <c r="DKE21" s="31">
        <v>0</v>
      </c>
      <c r="DKF21" s="31">
        <v>0</v>
      </c>
      <c r="DKG21" s="31">
        <v>0</v>
      </c>
      <c r="DKH21" s="31">
        <v>0</v>
      </c>
      <c r="DKI21" s="31">
        <v>0</v>
      </c>
      <c r="DKJ21" s="31">
        <v>0</v>
      </c>
      <c r="DKK21" s="31">
        <v>0</v>
      </c>
      <c r="DKL21" s="31">
        <v>0</v>
      </c>
      <c r="DKM21" s="31">
        <v>0</v>
      </c>
      <c r="DKN21" s="31">
        <v>0</v>
      </c>
      <c r="DKO21" s="31">
        <v>0</v>
      </c>
      <c r="DKP21" s="31">
        <v>0</v>
      </c>
      <c r="DKQ21" s="31">
        <v>0</v>
      </c>
      <c r="DKR21" s="31">
        <v>0</v>
      </c>
      <c r="DKS21" s="31">
        <v>0</v>
      </c>
      <c r="DKT21" s="31">
        <v>0</v>
      </c>
      <c r="DKU21" s="31">
        <v>0</v>
      </c>
      <c r="DKV21" s="31">
        <v>0</v>
      </c>
      <c r="DKW21" s="31">
        <v>0</v>
      </c>
      <c r="DKX21" s="31">
        <v>0</v>
      </c>
      <c r="DKY21" s="31">
        <v>0</v>
      </c>
      <c r="DKZ21" s="31">
        <v>0</v>
      </c>
      <c r="DLA21" s="31">
        <v>0</v>
      </c>
      <c r="DLB21" s="31">
        <v>0</v>
      </c>
      <c r="DLC21" s="31">
        <v>0</v>
      </c>
      <c r="DLD21" s="31">
        <v>0</v>
      </c>
      <c r="DLE21" s="31">
        <v>0</v>
      </c>
      <c r="DLF21" s="31">
        <v>0</v>
      </c>
      <c r="DLG21" s="31">
        <v>0</v>
      </c>
      <c r="DLH21" s="31">
        <v>0</v>
      </c>
      <c r="DLI21" s="31">
        <v>0</v>
      </c>
      <c r="DLJ21" s="31">
        <v>0</v>
      </c>
      <c r="DLK21" s="31">
        <v>0</v>
      </c>
      <c r="DLL21" s="31">
        <v>0</v>
      </c>
      <c r="DLM21" s="31">
        <v>0</v>
      </c>
      <c r="DLN21" s="31">
        <v>0</v>
      </c>
      <c r="DLO21" s="31">
        <v>0</v>
      </c>
      <c r="DLP21" s="31">
        <v>0</v>
      </c>
      <c r="DLQ21" s="31">
        <v>0</v>
      </c>
      <c r="DLR21" s="31">
        <v>0</v>
      </c>
      <c r="DLS21" s="31">
        <v>0</v>
      </c>
      <c r="DLT21" s="31">
        <v>0</v>
      </c>
      <c r="DLU21" s="31">
        <v>0</v>
      </c>
      <c r="DLV21" s="31">
        <v>0</v>
      </c>
      <c r="DLW21" s="31">
        <v>0</v>
      </c>
      <c r="DLX21" s="31">
        <v>0</v>
      </c>
      <c r="DLY21" s="31">
        <v>0</v>
      </c>
      <c r="DLZ21" s="31">
        <v>0</v>
      </c>
      <c r="DMA21" s="31">
        <v>0</v>
      </c>
      <c r="DMB21" s="31">
        <v>0</v>
      </c>
      <c r="DMC21" s="31">
        <v>0</v>
      </c>
      <c r="DMD21" s="31">
        <v>0</v>
      </c>
      <c r="DME21" s="31">
        <v>0</v>
      </c>
      <c r="DMF21" s="31">
        <v>0</v>
      </c>
      <c r="DMG21" s="31">
        <v>0</v>
      </c>
      <c r="DMH21" s="31">
        <v>0</v>
      </c>
      <c r="DMI21" s="31">
        <v>0</v>
      </c>
      <c r="DMJ21" s="31">
        <v>0</v>
      </c>
      <c r="DMK21" s="31">
        <v>0</v>
      </c>
      <c r="DML21" s="31">
        <v>0</v>
      </c>
      <c r="DMM21" s="31">
        <v>146.99</v>
      </c>
      <c r="DMN21" s="31">
        <v>0</v>
      </c>
      <c r="DMO21" s="31">
        <v>0</v>
      </c>
      <c r="DMP21" s="31">
        <v>0</v>
      </c>
      <c r="DMQ21" s="31">
        <v>0</v>
      </c>
      <c r="DMR21" s="31">
        <v>0</v>
      </c>
      <c r="DMS21" s="31">
        <v>0</v>
      </c>
      <c r="DMT21" s="31">
        <v>0</v>
      </c>
      <c r="DMU21" s="31">
        <v>0</v>
      </c>
      <c r="DMV21" s="31">
        <v>0</v>
      </c>
      <c r="DMW21" s="31">
        <v>0</v>
      </c>
      <c r="DMX21" s="31">
        <v>0</v>
      </c>
      <c r="DMY21" s="31">
        <v>0</v>
      </c>
      <c r="DMZ21" s="31">
        <v>0</v>
      </c>
      <c r="DNA21" s="31">
        <v>0</v>
      </c>
      <c r="DNB21" s="31">
        <v>0</v>
      </c>
      <c r="DNC21" s="31">
        <v>0</v>
      </c>
      <c r="DND21" s="31">
        <v>0</v>
      </c>
      <c r="DNE21" s="31">
        <v>0</v>
      </c>
      <c r="DNF21" s="31">
        <v>0</v>
      </c>
      <c r="DNG21" s="31">
        <v>0</v>
      </c>
      <c r="DNH21" s="31">
        <v>0</v>
      </c>
      <c r="DNI21" s="31">
        <v>0</v>
      </c>
      <c r="DNJ21" s="31">
        <v>0</v>
      </c>
      <c r="DNK21" s="31">
        <v>0</v>
      </c>
      <c r="DNL21" s="31">
        <v>0</v>
      </c>
      <c r="DNM21" s="31">
        <v>0</v>
      </c>
      <c r="DNN21" s="31">
        <v>0</v>
      </c>
      <c r="DNO21" s="31">
        <v>0</v>
      </c>
      <c r="DNP21" s="31">
        <v>0</v>
      </c>
      <c r="DNQ21" s="31">
        <v>0</v>
      </c>
      <c r="DNR21" s="31">
        <v>0</v>
      </c>
      <c r="DNS21" s="31">
        <v>0</v>
      </c>
      <c r="DNT21" s="31">
        <v>0</v>
      </c>
      <c r="DNU21" s="31">
        <v>0</v>
      </c>
      <c r="DNV21" s="31">
        <v>0</v>
      </c>
      <c r="DNW21" s="31">
        <v>0</v>
      </c>
      <c r="DNX21" s="31">
        <v>0</v>
      </c>
      <c r="DNY21" s="31">
        <v>0</v>
      </c>
      <c r="DNZ21" s="31">
        <v>0</v>
      </c>
      <c r="DOA21" s="31">
        <v>0</v>
      </c>
      <c r="DOB21" s="31">
        <v>0</v>
      </c>
      <c r="DOC21" s="31">
        <v>0</v>
      </c>
      <c r="DOD21" s="31">
        <v>0</v>
      </c>
      <c r="DOE21" s="31">
        <v>0</v>
      </c>
      <c r="DOF21" s="31">
        <v>0</v>
      </c>
      <c r="DOG21" s="31">
        <v>0</v>
      </c>
      <c r="DOH21" s="31">
        <v>0</v>
      </c>
      <c r="DOI21" s="31">
        <v>0</v>
      </c>
      <c r="DOJ21" s="31">
        <v>0</v>
      </c>
      <c r="DOK21" s="31">
        <v>0</v>
      </c>
      <c r="DOL21" s="31">
        <v>0</v>
      </c>
      <c r="DOM21" s="31">
        <v>0</v>
      </c>
      <c r="DON21" s="31">
        <v>0</v>
      </c>
      <c r="DOO21" s="31">
        <v>0</v>
      </c>
      <c r="DOP21" s="31">
        <v>0</v>
      </c>
      <c r="DOQ21" s="31">
        <v>0</v>
      </c>
      <c r="DOR21" s="31">
        <v>0</v>
      </c>
      <c r="DOS21" s="31">
        <v>0</v>
      </c>
      <c r="DOT21" s="31">
        <v>55</v>
      </c>
      <c r="DOU21" s="31">
        <v>0</v>
      </c>
      <c r="DOV21" s="31">
        <v>0</v>
      </c>
      <c r="DOW21" s="31">
        <v>57</v>
      </c>
      <c r="DOX21" s="31">
        <v>0</v>
      </c>
      <c r="DOY21" s="31">
        <v>0</v>
      </c>
      <c r="DOZ21" s="31">
        <v>0</v>
      </c>
      <c r="DPA21" s="31">
        <v>0</v>
      </c>
      <c r="DPB21" s="31">
        <v>0</v>
      </c>
      <c r="DPC21" s="31">
        <v>0</v>
      </c>
      <c r="DPD21" s="31">
        <v>0</v>
      </c>
      <c r="DPE21" s="31">
        <v>0</v>
      </c>
      <c r="DPF21" s="31">
        <v>0</v>
      </c>
      <c r="DPG21" s="31">
        <v>0</v>
      </c>
      <c r="DPH21" s="31">
        <v>0</v>
      </c>
      <c r="DPI21" s="31">
        <v>0</v>
      </c>
      <c r="DPJ21" s="31">
        <v>0</v>
      </c>
      <c r="DPK21" s="31">
        <v>0</v>
      </c>
      <c r="DPL21" s="31">
        <v>0</v>
      </c>
      <c r="DPM21" s="31">
        <v>0</v>
      </c>
      <c r="DPN21" s="31">
        <v>0</v>
      </c>
      <c r="DPO21" s="31">
        <v>0</v>
      </c>
      <c r="DPP21" s="31">
        <v>0</v>
      </c>
      <c r="DPQ21" s="31">
        <v>0</v>
      </c>
      <c r="DPR21" s="31">
        <v>75</v>
      </c>
      <c r="DPS21" s="31">
        <v>0</v>
      </c>
      <c r="DPT21" s="31">
        <v>0</v>
      </c>
      <c r="DPU21" s="31">
        <v>0</v>
      </c>
      <c r="DPV21" s="31">
        <v>0</v>
      </c>
      <c r="DPW21" s="31">
        <v>0</v>
      </c>
      <c r="DPX21" s="31">
        <v>0</v>
      </c>
      <c r="DPY21" s="31">
        <v>0</v>
      </c>
      <c r="DPZ21" s="31">
        <v>0</v>
      </c>
      <c r="DQA21" s="31">
        <v>0</v>
      </c>
      <c r="DQB21" s="31">
        <v>0</v>
      </c>
      <c r="DQC21" s="31">
        <v>0</v>
      </c>
      <c r="DQD21" s="31">
        <v>0</v>
      </c>
      <c r="DQE21" s="31">
        <v>0</v>
      </c>
      <c r="DQF21" s="31">
        <v>0</v>
      </c>
      <c r="DQG21" s="31">
        <v>0</v>
      </c>
      <c r="DQH21" s="31">
        <v>0</v>
      </c>
      <c r="DQI21" s="31">
        <v>0</v>
      </c>
      <c r="DQJ21" s="31">
        <v>0</v>
      </c>
      <c r="DQK21" s="31">
        <v>0</v>
      </c>
      <c r="DQL21" s="31">
        <v>0</v>
      </c>
      <c r="DQM21" s="31">
        <v>0</v>
      </c>
      <c r="DQN21" s="31">
        <v>0</v>
      </c>
      <c r="DQO21" s="31">
        <v>0</v>
      </c>
      <c r="DQP21" s="31">
        <v>0</v>
      </c>
      <c r="DQQ21" s="31">
        <v>0</v>
      </c>
      <c r="DQR21" s="31">
        <v>0</v>
      </c>
      <c r="DQS21" s="31">
        <v>0</v>
      </c>
      <c r="DQT21" s="31">
        <v>0</v>
      </c>
      <c r="DQU21" s="31">
        <v>0</v>
      </c>
      <c r="DQV21" s="31">
        <v>0</v>
      </c>
      <c r="DQW21" s="31">
        <v>0</v>
      </c>
      <c r="DQX21" s="31">
        <v>0</v>
      </c>
      <c r="DQY21" s="31">
        <v>0</v>
      </c>
      <c r="DQZ21" s="31">
        <v>0</v>
      </c>
      <c r="DRA21" s="31">
        <v>0</v>
      </c>
      <c r="DRB21" s="31">
        <v>0</v>
      </c>
      <c r="DRC21" s="31">
        <v>0</v>
      </c>
      <c r="DRD21" s="31">
        <v>0</v>
      </c>
      <c r="DRE21" s="31">
        <v>0</v>
      </c>
      <c r="DRF21" s="31">
        <v>0</v>
      </c>
      <c r="DRG21" s="31">
        <v>0</v>
      </c>
      <c r="DRH21" s="31">
        <v>0</v>
      </c>
      <c r="DRI21" s="31">
        <v>0</v>
      </c>
      <c r="DRJ21" s="31">
        <v>0</v>
      </c>
      <c r="DRK21" s="31">
        <v>104.98</v>
      </c>
      <c r="DRL21" s="31">
        <v>0</v>
      </c>
      <c r="DRM21" s="31">
        <v>0</v>
      </c>
      <c r="DRN21" s="31">
        <v>0</v>
      </c>
      <c r="DRO21" s="31">
        <v>0</v>
      </c>
      <c r="DRP21" s="31">
        <v>0</v>
      </c>
      <c r="DRQ21" s="31">
        <v>0</v>
      </c>
      <c r="DRR21" s="31">
        <v>0</v>
      </c>
      <c r="DRS21" s="31">
        <v>0</v>
      </c>
      <c r="DRT21" s="31">
        <v>0</v>
      </c>
      <c r="DRU21" s="31">
        <v>0</v>
      </c>
      <c r="DRV21" s="31">
        <v>0</v>
      </c>
      <c r="DRW21" s="31">
        <v>0</v>
      </c>
      <c r="DRX21" s="31">
        <v>0</v>
      </c>
      <c r="DRY21" s="31">
        <v>0</v>
      </c>
      <c r="DRZ21" s="31">
        <v>0</v>
      </c>
      <c r="DSA21" s="31">
        <v>0</v>
      </c>
      <c r="DSB21" s="31">
        <v>0</v>
      </c>
      <c r="DSC21" s="31">
        <v>0</v>
      </c>
      <c r="DSD21" s="31">
        <v>0</v>
      </c>
      <c r="DSE21" s="31">
        <v>0</v>
      </c>
      <c r="DSF21" s="31">
        <v>0</v>
      </c>
      <c r="DSG21" s="31">
        <v>0</v>
      </c>
      <c r="DSH21" s="31">
        <v>0</v>
      </c>
      <c r="DSI21" s="31">
        <v>0</v>
      </c>
      <c r="DSJ21" s="31">
        <v>0</v>
      </c>
      <c r="DSK21" s="31">
        <v>0</v>
      </c>
      <c r="DSL21" s="31">
        <v>0</v>
      </c>
      <c r="DSM21" s="31">
        <v>0</v>
      </c>
      <c r="DSN21" s="31">
        <v>0</v>
      </c>
      <c r="DSO21" s="31">
        <v>0</v>
      </c>
      <c r="DSP21" s="31">
        <v>0</v>
      </c>
      <c r="DSQ21" s="31">
        <v>0</v>
      </c>
      <c r="DSR21" s="31">
        <v>0</v>
      </c>
      <c r="DSS21" s="31">
        <v>0</v>
      </c>
      <c r="DST21" s="31">
        <v>0</v>
      </c>
      <c r="DSU21" s="31">
        <v>0</v>
      </c>
      <c r="DSV21" s="31">
        <v>0</v>
      </c>
      <c r="DSW21" s="31">
        <v>30</v>
      </c>
      <c r="DSX21" s="31">
        <v>0</v>
      </c>
      <c r="DSY21" s="31">
        <v>0</v>
      </c>
      <c r="DSZ21" s="31">
        <v>0</v>
      </c>
      <c r="DTA21" s="31">
        <v>0</v>
      </c>
      <c r="DTB21" s="31">
        <v>0</v>
      </c>
      <c r="DTC21" s="31">
        <v>0</v>
      </c>
      <c r="DTD21" s="31">
        <v>0</v>
      </c>
      <c r="DTE21" s="31">
        <v>0</v>
      </c>
      <c r="DTF21" s="31">
        <v>0</v>
      </c>
      <c r="DTG21" s="31">
        <v>0</v>
      </c>
      <c r="DTH21" s="31">
        <v>0</v>
      </c>
      <c r="DTI21" s="31">
        <v>0</v>
      </c>
      <c r="DTJ21" s="31">
        <v>0</v>
      </c>
      <c r="DTK21" s="31">
        <v>0</v>
      </c>
      <c r="DTL21" s="31">
        <v>0</v>
      </c>
      <c r="DTM21" s="31">
        <v>47</v>
      </c>
      <c r="DTN21" s="31">
        <v>0</v>
      </c>
      <c r="DTO21" s="31">
        <v>0</v>
      </c>
      <c r="DTP21" s="31">
        <v>0</v>
      </c>
      <c r="DTQ21" s="31">
        <v>0</v>
      </c>
      <c r="DTR21" s="31">
        <v>0</v>
      </c>
      <c r="DTS21" s="31">
        <v>0</v>
      </c>
      <c r="DTT21" s="31">
        <v>0</v>
      </c>
      <c r="DTU21" s="31">
        <v>0</v>
      </c>
      <c r="DTV21" s="31">
        <v>0</v>
      </c>
      <c r="DTW21" s="31">
        <v>0</v>
      </c>
      <c r="DTX21" s="31">
        <v>0</v>
      </c>
      <c r="DTY21" s="31">
        <v>0</v>
      </c>
      <c r="DTZ21" s="31">
        <v>0</v>
      </c>
      <c r="DUA21" s="31">
        <v>0</v>
      </c>
      <c r="DUB21" s="31">
        <v>0</v>
      </c>
      <c r="DUC21" s="31">
        <v>0</v>
      </c>
      <c r="DUD21" s="31">
        <v>0</v>
      </c>
      <c r="DUE21" s="31">
        <v>0</v>
      </c>
      <c r="DUF21" s="31">
        <v>0</v>
      </c>
      <c r="DUG21" s="31">
        <v>0</v>
      </c>
      <c r="DUH21" s="31">
        <v>0</v>
      </c>
      <c r="DUI21" s="31">
        <v>0</v>
      </c>
      <c r="DUJ21" s="31">
        <v>0</v>
      </c>
      <c r="DUK21" s="31">
        <v>0</v>
      </c>
      <c r="DUL21" s="31">
        <v>0</v>
      </c>
      <c r="DUM21" s="31">
        <v>0</v>
      </c>
      <c r="DUN21" s="31">
        <v>0</v>
      </c>
      <c r="DUO21" s="31">
        <v>0</v>
      </c>
      <c r="DUP21" s="31">
        <v>0</v>
      </c>
      <c r="DUQ21" s="31">
        <v>0</v>
      </c>
      <c r="DUR21" s="31">
        <v>0</v>
      </c>
      <c r="DUS21" s="31">
        <v>0</v>
      </c>
      <c r="DUT21" s="31">
        <v>0</v>
      </c>
      <c r="DUU21" s="31">
        <v>0</v>
      </c>
      <c r="DUV21" s="31">
        <v>0</v>
      </c>
      <c r="DUW21" s="31">
        <v>0</v>
      </c>
      <c r="DUX21" s="31">
        <v>0</v>
      </c>
      <c r="DUY21" s="31">
        <v>0</v>
      </c>
      <c r="DUZ21" s="31">
        <v>0</v>
      </c>
      <c r="DVA21" s="31">
        <v>0</v>
      </c>
      <c r="DVB21" s="31">
        <v>0</v>
      </c>
      <c r="DVC21" s="31">
        <v>0</v>
      </c>
      <c r="DVD21" s="31">
        <v>0</v>
      </c>
      <c r="DVE21" s="31">
        <v>0</v>
      </c>
      <c r="DVF21" s="31">
        <v>0</v>
      </c>
      <c r="DVG21" s="31">
        <v>0</v>
      </c>
      <c r="DVH21" s="31">
        <v>0</v>
      </c>
      <c r="DVI21" s="31">
        <v>0</v>
      </c>
      <c r="DVJ21" s="31">
        <v>0</v>
      </c>
      <c r="DVK21" s="31">
        <v>0</v>
      </c>
      <c r="DVL21" s="31">
        <v>0</v>
      </c>
      <c r="DVM21" s="31">
        <v>0</v>
      </c>
      <c r="DVN21" s="31">
        <v>0</v>
      </c>
      <c r="DVO21" s="31">
        <v>0</v>
      </c>
      <c r="DVP21" s="31">
        <v>0</v>
      </c>
      <c r="DVQ21" s="31">
        <v>0</v>
      </c>
      <c r="DVR21" s="31">
        <v>0</v>
      </c>
      <c r="DVS21" s="31">
        <v>0</v>
      </c>
      <c r="DVT21" s="31">
        <v>0</v>
      </c>
      <c r="DVU21" s="31">
        <v>0</v>
      </c>
      <c r="DVV21" s="31">
        <v>0</v>
      </c>
      <c r="DVW21" s="31">
        <v>0</v>
      </c>
      <c r="DVX21" s="31">
        <v>0</v>
      </c>
      <c r="DVY21" s="31">
        <v>0</v>
      </c>
      <c r="DVZ21" s="31">
        <v>0</v>
      </c>
      <c r="DWA21" s="31">
        <v>0</v>
      </c>
      <c r="DWB21" s="31">
        <v>0</v>
      </c>
      <c r="DWC21" s="31">
        <v>0</v>
      </c>
      <c r="DWD21" s="31">
        <v>12</v>
      </c>
      <c r="DWE21" s="31">
        <v>0</v>
      </c>
      <c r="DWF21" s="31">
        <v>0</v>
      </c>
      <c r="DWG21" s="31">
        <v>0</v>
      </c>
      <c r="DWH21" s="31">
        <v>0</v>
      </c>
      <c r="DWI21" s="31">
        <v>0</v>
      </c>
      <c r="DWJ21" s="31">
        <v>0</v>
      </c>
      <c r="DWK21" s="31">
        <v>0</v>
      </c>
      <c r="DWL21" s="31">
        <v>0</v>
      </c>
      <c r="DWM21" s="31">
        <v>0</v>
      </c>
      <c r="DWN21" s="31">
        <v>0</v>
      </c>
      <c r="DWO21" s="31">
        <v>0</v>
      </c>
      <c r="DWP21" s="31">
        <v>0</v>
      </c>
      <c r="DWQ21" s="31">
        <v>0</v>
      </c>
      <c r="DWR21" s="31">
        <v>0</v>
      </c>
      <c r="DWS21" s="31">
        <v>0</v>
      </c>
      <c r="DWT21" s="31">
        <v>0</v>
      </c>
      <c r="DWU21" s="31">
        <v>0</v>
      </c>
      <c r="DWV21" s="31">
        <v>0</v>
      </c>
      <c r="DWW21" s="31">
        <v>0</v>
      </c>
      <c r="DWX21" s="31">
        <v>0</v>
      </c>
      <c r="DWY21" s="31">
        <v>0</v>
      </c>
      <c r="DWZ21" s="31">
        <v>0</v>
      </c>
      <c r="DXA21" s="31">
        <v>0</v>
      </c>
      <c r="DXB21" s="31">
        <v>0</v>
      </c>
      <c r="DXC21" s="31">
        <v>201</v>
      </c>
      <c r="DXD21" s="31">
        <v>0</v>
      </c>
      <c r="DXE21" s="31">
        <v>0</v>
      </c>
      <c r="DXF21" s="31">
        <v>0</v>
      </c>
      <c r="DXG21" s="31">
        <v>0</v>
      </c>
      <c r="DXH21" s="31">
        <v>0</v>
      </c>
      <c r="DXI21" s="31">
        <v>0</v>
      </c>
      <c r="DXJ21" s="31">
        <v>0</v>
      </c>
      <c r="DXK21" s="31">
        <v>0</v>
      </c>
      <c r="DXL21" s="31">
        <v>0</v>
      </c>
      <c r="DXM21" s="31">
        <v>130.01</v>
      </c>
      <c r="DXN21" s="31">
        <v>0</v>
      </c>
      <c r="DXO21" s="31">
        <v>0</v>
      </c>
      <c r="DXP21" s="31">
        <v>0</v>
      </c>
      <c r="DXQ21" s="31">
        <v>0</v>
      </c>
      <c r="DXR21" s="31">
        <v>0</v>
      </c>
      <c r="DXS21" s="31">
        <v>0</v>
      </c>
      <c r="DXT21" s="31">
        <v>0</v>
      </c>
      <c r="DXU21" s="31">
        <v>0</v>
      </c>
      <c r="DXV21" s="31">
        <v>0</v>
      </c>
      <c r="DXW21" s="31">
        <v>0</v>
      </c>
      <c r="DXX21" s="31">
        <v>0</v>
      </c>
      <c r="DXY21" s="31">
        <v>0</v>
      </c>
      <c r="DXZ21" s="31">
        <v>0</v>
      </c>
      <c r="DYA21" s="31">
        <v>0</v>
      </c>
      <c r="DYB21" s="31">
        <v>0</v>
      </c>
      <c r="DYC21" s="31">
        <v>0</v>
      </c>
      <c r="DYD21" s="31">
        <v>0</v>
      </c>
      <c r="DYE21" s="31">
        <v>0</v>
      </c>
      <c r="DYF21" s="31">
        <v>0</v>
      </c>
      <c r="DYG21" s="31">
        <v>0</v>
      </c>
      <c r="DYH21" s="31">
        <v>0</v>
      </c>
      <c r="DYI21" s="31">
        <v>0</v>
      </c>
      <c r="DYJ21" s="31">
        <v>0</v>
      </c>
      <c r="DYK21" s="31">
        <v>0</v>
      </c>
      <c r="DYL21" s="31">
        <v>0</v>
      </c>
      <c r="DYM21" s="31">
        <v>0</v>
      </c>
      <c r="DYN21" s="31">
        <v>0</v>
      </c>
      <c r="DYO21" s="31">
        <v>0</v>
      </c>
      <c r="DYP21" s="31">
        <v>0</v>
      </c>
      <c r="DYQ21" s="31">
        <v>0</v>
      </c>
      <c r="DYR21" s="31">
        <v>0</v>
      </c>
      <c r="DYS21" s="31">
        <v>0</v>
      </c>
      <c r="DYT21" s="31">
        <v>0</v>
      </c>
      <c r="DYU21" s="31">
        <v>0</v>
      </c>
      <c r="DYV21" s="31">
        <v>0</v>
      </c>
      <c r="DYW21" s="31">
        <v>0</v>
      </c>
      <c r="DYX21" s="31">
        <v>0</v>
      </c>
      <c r="DYY21" s="31">
        <v>0</v>
      </c>
      <c r="DYZ21" s="31">
        <v>0</v>
      </c>
      <c r="DZA21" s="31">
        <v>0</v>
      </c>
      <c r="DZB21" s="31">
        <v>0</v>
      </c>
      <c r="DZC21" s="31">
        <v>0</v>
      </c>
      <c r="DZD21" s="31">
        <v>0</v>
      </c>
      <c r="DZE21" s="31">
        <v>0</v>
      </c>
      <c r="DZF21" s="31">
        <v>0</v>
      </c>
      <c r="DZG21" s="31">
        <v>0</v>
      </c>
      <c r="DZH21" s="31">
        <v>0</v>
      </c>
      <c r="DZI21" s="31">
        <v>0</v>
      </c>
      <c r="DZJ21" s="31">
        <v>0</v>
      </c>
      <c r="DZK21" s="31">
        <v>0</v>
      </c>
      <c r="DZL21" s="31">
        <v>0</v>
      </c>
      <c r="DZM21" s="31">
        <v>0</v>
      </c>
      <c r="DZN21" s="31">
        <v>0</v>
      </c>
      <c r="DZO21" s="31">
        <v>0</v>
      </c>
      <c r="DZP21" s="31">
        <v>0</v>
      </c>
      <c r="DZQ21" s="31">
        <v>0</v>
      </c>
      <c r="DZR21" s="31">
        <v>0</v>
      </c>
      <c r="DZS21" s="31">
        <v>0</v>
      </c>
      <c r="DZT21" s="31">
        <v>0</v>
      </c>
      <c r="DZU21" s="31">
        <v>0</v>
      </c>
      <c r="DZV21" s="31">
        <v>0</v>
      </c>
      <c r="DZW21" s="31">
        <v>0</v>
      </c>
      <c r="DZX21" s="31">
        <v>0</v>
      </c>
      <c r="DZY21" s="31">
        <v>0</v>
      </c>
      <c r="DZZ21" s="31">
        <v>0</v>
      </c>
      <c r="EAA21" s="31">
        <v>0</v>
      </c>
      <c r="EAB21" s="31">
        <v>0</v>
      </c>
      <c r="EAC21" s="31">
        <v>0</v>
      </c>
      <c r="EAD21" s="31">
        <v>0</v>
      </c>
      <c r="EAE21" s="31">
        <v>0</v>
      </c>
      <c r="EAF21" s="31">
        <v>0</v>
      </c>
      <c r="EAG21" s="31">
        <v>0</v>
      </c>
      <c r="EAH21" s="31">
        <v>0</v>
      </c>
      <c r="EAI21" s="31">
        <v>14</v>
      </c>
      <c r="EAJ21" s="31">
        <v>0</v>
      </c>
      <c r="EAK21" s="31">
        <v>0</v>
      </c>
      <c r="EAL21" s="31">
        <v>0</v>
      </c>
      <c r="EAM21" s="31">
        <v>0</v>
      </c>
      <c r="EAN21" s="31">
        <v>0</v>
      </c>
      <c r="EAO21" s="31">
        <v>0</v>
      </c>
      <c r="EAP21" s="31">
        <v>0</v>
      </c>
      <c r="EAQ21" s="31">
        <v>0</v>
      </c>
      <c r="EAR21" s="31">
        <v>0</v>
      </c>
      <c r="EAS21" s="31">
        <v>0</v>
      </c>
      <c r="EAT21" s="31">
        <v>0</v>
      </c>
      <c r="EAU21" s="31">
        <v>0</v>
      </c>
      <c r="EAV21" s="31">
        <v>0</v>
      </c>
      <c r="EAW21" s="31">
        <v>0</v>
      </c>
      <c r="EAX21" s="31">
        <v>0</v>
      </c>
      <c r="EAY21" s="31">
        <v>0</v>
      </c>
      <c r="EAZ21" s="31">
        <v>0</v>
      </c>
      <c r="EBA21" s="31">
        <v>0</v>
      </c>
      <c r="EBB21" s="31">
        <v>0</v>
      </c>
      <c r="EBC21" s="31">
        <v>0</v>
      </c>
      <c r="EBD21" s="31">
        <v>0</v>
      </c>
      <c r="EBE21" s="31">
        <v>0</v>
      </c>
      <c r="EBF21" s="31">
        <v>0</v>
      </c>
      <c r="EBG21" s="31">
        <v>0</v>
      </c>
      <c r="EBH21" s="31">
        <v>0</v>
      </c>
      <c r="EBI21" s="31">
        <v>0</v>
      </c>
      <c r="EBJ21" s="31">
        <v>0</v>
      </c>
      <c r="EBK21" s="31">
        <v>0</v>
      </c>
      <c r="EBL21" s="31">
        <v>0</v>
      </c>
      <c r="EBM21" s="31">
        <v>0</v>
      </c>
      <c r="EBN21" s="31">
        <v>0</v>
      </c>
      <c r="EBO21" s="31">
        <v>0</v>
      </c>
      <c r="EBP21" s="31">
        <v>0</v>
      </c>
      <c r="EBQ21" s="31">
        <v>0</v>
      </c>
      <c r="EBR21" s="31">
        <v>0</v>
      </c>
      <c r="EBS21" s="31">
        <v>0</v>
      </c>
      <c r="EBT21" s="31">
        <v>0</v>
      </c>
      <c r="EBU21" s="31">
        <v>0</v>
      </c>
      <c r="EBV21" s="31">
        <v>0</v>
      </c>
      <c r="EBW21" s="31">
        <v>0</v>
      </c>
      <c r="EBX21" s="31">
        <v>0</v>
      </c>
      <c r="EBY21" s="31">
        <v>0</v>
      </c>
      <c r="EBZ21" s="31">
        <v>0</v>
      </c>
      <c r="ECA21" s="31">
        <v>0</v>
      </c>
      <c r="ECB21" s="31">
        <v>0</v>
      </c>
      <c r="ECC21" s="31">
        <v>0</v>
      </c>
      <c r="ECD21" s="31">
        <v>0</v>
      </c>
      <c r="ECE21" s="31">
        <v>0</v>
      </c>
      <c r="ECF21" s="31">
        <v>0</v>
      </c>
      <c r="ECG21" s="31">
        <v>129.97999999999999</v>
      </c>
      <c r="ECH21" s="31">
        <v>0</v>
      </c>
      <c r="ECI21" s="31">
        <v>0</v>
      </c>
      <c r="ECJ21" s="31">
        <v>0</v>
      </c>
      <c r="ECK21" s="31">
        <v>0</v>
      </c>
      <c r="ECL21" s="31">
        <v>0</v>
      </c>
      <c r="ECM21" s="31">
        <v>0</v>
      </c>
      <c r="ECN21" s="31">
        <v>0</v>
      </c>
      <c r="ECO21" s="31">
        <v>0</v>
      </c>
      <c r="ECP21" s="31">
        <v>0</v>
      </c>
      <c r="ECQ21" s="31">
        <v>0</v>
      </c>
      <c r="ECR21" s="31">
        <v>0</v>
      </c>
      <c r="ECS21" s="31">
        <v>0</v>
      </c>
      <c r="ECT21" s="31">
        <v>0</v>
      </c>
      <c r="ECU21" s="31">
        <v>0</v>
      </c>
      <c r="ECV21" s="31">
        <v>0</v>
      </c>
      <c r="ECW21" s="31">
        <v>0</v>
      </c>
      <c r="ECX21" s="31">
        <v>0</v>
      </c>
      <c r="ECY21" s="31">
        <v>0</v>
      </c>
      <c r="ECZ21" s="31">
        <v>0</v>
      </c>
      <c r="EDA21" s="31">
        <v>10</v>
      </c>
      <c r="EDB21" s="31">
        <v>0</v>
      </c>
      <c r="EDC21" s="31">
        <v>0</v>
      </c>
      <c r="EDD21" s="31">
        <v>0</v>
      </c>
      <c r="EDE21" s="31">
        <v>0</v>
      </c>
      <c r="EDF21" s="31">
        <v>0</v>
      </c>
      <c r="EDG21" s="31">
        <v>0</v>
      </c>
      <c r="EDH21" s="31">
        <v>0</v>
      </c>
      <c r="EDI21" s="31">
        <v>0</v>
      </c>
      <c r="EDJ21" s="31">
        <v>0</v>
      </c>
      <c r="EDK21" s="31">
        <v>0</v>
      </c>
      <c r="EDL21" s="31">
        <v>0</v>
      </c>
      <c r="EDM21" s="31">
        <v>0</v>
      </c>
      <c r="EDN21" s="31">
        <v>0</v>
      </c>
      <c r="EDO21" s="31">
        <v>0</v>
      </c>
      <c r="EDP21" s="31">
        <v>0</v>
      </c>
      <c r="EDQ21" s="31">
        <v>0</v>
      </c>
      <c r="EDR21" s="31">
        <v>0</v>
      </c>
      <c r="EDS21" s="31">
        <v>0</v>
      </c>
      <c r="EDT21" s="31">
        <v>0</v>
      </c>
      <c r="EDU21" s="31">
        <v>0</v>
      </c>
      <c r="EDV21" s="31">
        <v>0</v>
      </c>
      <c r="EDW21" s="31">
        <v>0</v>
      </c>
      <c r="EDX21" s="31">
        <v>116.02</v>
      </c>
      <c r="EDY21" s="31">
        <v>0</v>
      </c>
      <c r="EDZ21" s="31">
        <v>0</v>
      </c>
      <c r="EEA21" s="31">
        <v>37</v>
      </c>
      <c r="EEB21" s="31">
        <v>0</v>
      </c>
      <c r="EEC21" s="31">
        <v>0</v>
      </c>
      <c r="EED21" s="31">
        <v>0</v>
      </c>
      <c r="EEE21" s="31">
        <v>0</v>
      </c>
      <c r="EEF21" s="31">
        <v>0</v>
      </c>
      <c r="EEG21" s="31">
        <v>0</v>
      </c>
      <c r="EEH21" s="31">
        <v>0</v>
      </c>
      <c r="EEI21" s="31">
        <v>0</v>
      </c>
      <c r="EEJ21" s="31">
        <v>0</v>
      </c>
      <c r="EEK21" s="31">
        <v>0</v>
      </c>
      <c r="EEL21" s="31">
        <v>0</v>
      </c>
      <c r="EEM21" s="31">
        <v>0</v>
      </c>
      <c r="EEN21" s="31">
        <v>0</v>
      </c>
      <c r="EEO21" s="31">
        <v>0</v>
      </c>
      <c r="EEP21" s="31">
        <v>0</v>
      </c>
      <c r="EEQ21" s="31">
        <v>0</v>
      </c>
      <c r="EER21" s="31">
        <v>0</v>
      </c>
      <c r="EES21" s="31">
        <v>0</v>
      </c>
      <c r="EET21" s="31">
        <v>0</v>
      </c>
      <c r="EEU21" s="31">
        <v>0</v>
      </c>
      <c r="EEV21" s="31">
        <v>0</v>
      </c>
      <c r="EEW21" s="31">
        <v>0</v>
      </c>
      <c r="EEX21" s="31">
        <v>0</v>
      </c>
      <c r="EEY21" s="31">
        <v>0</v>
      </c>
      <c r="EEZ21" s="31">
        <v>0</v>
      </c>
      <c r="EFA21" s="31">
        <v>0</v>
      </c>
      <c r="EFB21" s="31">
        <v>0</v>
      </c>
      <c r="EFC21" s="31">
        <v>0</v>
      </c>
      <c r="EFD21" s="31">
        <v>0</v>
      </c>
      <c r="EFE21" s="31">
        <v>157.99</v>
      </c>
      <c r="EFF21" s="31">
        <v>0</v>
      </c>
      <c r="EFG21" s="31">
        <v>0</v>
      </c>
      <c r="EFH21" s="31">
        <v>0</v>
      </c>
      <c r="EFI21" s="31">
        <v>0</v>
      </c>
      <c r="EFJ21" s="31">
        <v>0</v>
      </c>
      <c r="EFK21" s="31">
        <v>0</v>
      </c>
      <c r="EFL21" s="31">
        <v>0</v>
      </c>
      <c r="EFM21" s="31">
        <v>0</v>
      </c>
      <c r="EFN21" s="31">
        <v>0</v>
      </c>
      <c r="EFO21" s="31">
        <v>34</v>
      </c>
      <c r="EFP21" s="31">
        <v>0</v>
      </c>
      <c r="EFQ21" s="31">
        <v>0</v>
      </c>
      <c r="EFR21" s="31">
        <v>0</v>
      </c>
      <c r="EFS21" s="31">
        <v>0</v>
      </c>
      <c r="EFT21" s="31">
        <v>0</v>
      </c>
      <c r="EFU21" s="31">
        <v>268.98</v>
      </c>
      <c r="EFV21" s="31">
        <v>0</v>
      </c>
      <c r="EFW21" s="31">
        <v>248.99</v>
      </c>
      <c r="EFX21" s="31">
        <v>0</v>
      </c>
      <c r="EFY21" s="31">
        <v>0</v>
      </c>
      <c r="EFZ21" s="31">
        <v>0</v>
      </c>
      <c r="EGA21" s="31">
        <v>0</v>
      </c>
      <c r="EGB21" s="31">
        <v>0</v>
      </c>
      <c r="EGC21" s="31">
        <v>0</v>
      </c>
      <c r="EGD21" s="31">
        <v>0</v>
      </c>
      <c r="EGE21" s="31">
        <v>0</v>
      </c>
      <c r="EGF21" s="31">
        <v>0</v>
      </c>
      <c r="EGG21" s="31">
        <v>0</v>
      </c>
      <c r="EGH21" s="31">
        <v>0</v>
      </c>
      <c r="EGI21" s="31">
        <v>0</v>
      </c>
      <c r="EGJ21" s="31">
        <v>0</v>
      </c>
      <c r="EGK21" s="31">
        <v>0</v>
      </c>
      <c r="EGL21" s="31">
        <v>0</v>
      </c>
      <c r="EGM21" s="31">
        <v>0</v>
      </c>
      <c r="EGN21" s="31">
        <v>0</v>
      </c>
      <c r="EGO21" s="31">
        <v>0</v>
      </c>
      <c r="EGP21" s="31">
        <v>0</v>
      </c>
      <c r="EGQ21" s="31">
        <v>0</v>
      </c>
      <c r="EGR21" s="31">
        <v>0</v>
      </c>
      <c r="EGS21" s="31">
        <v>0</v>
      </c>
      <c r="EGT21" s="31">
        <v>0</v>
      </c>
      <c r="EGU21" s="31">
        <v>89.99</v>
      </c>
      <c r="EGV21" s="31">
        <v>0</v>
      </c>
      <c r="EGW21" s="31">
        <v>0</v>
      </c>
      <c r="EGX21" s="31">
        <v>0</v>
      </c>
      <c r="EGY21" s="31">
        <v>0</v>
      </c>
      <c r="EGZ21" s="31">
        <v>0</v>
      </c>
      <c r="EHA21" s="31">
        <v>0</v>
      </c>
      <c r="EHB21" s="31">
        <v>32</v>
      </c>
      <c r="EHC21" s="31">
        <v>0</v>
      </c>
      <c r="EHD21" s="31">
        <v>0</v>
      </c>
      <c r="EHE21" s="31">
        <v>0</v>
      </c>
      <c r="EHF21" s="31">
        <v>0</v>
      </c>
      <c r="EHG21" s="31">
        <v>0</v>
      </c>
      <c r="EHH21" s="31">
        <v>0</v>
      </c>
      <c r="EHI21" s="31">
        <v>0</v>
      </c>
      <c r="EHJ21" s="31">
        <v>0</v>
      </c>
      <c r="EHK21" s="31">
        <v>0</v>
      </c>
      <c r="EHL21" s="31">
        <v>62</v>
      </c>
      <c r="EHM21" s="31">
        <v>286.98</v>
      </c>
      <c r="EHN21" s="31">
        <v>0</v>
      </c>
      <c r="EHO21" s="31">
        <v>0</v>
      </c>
      <c r="EHP21" s="31">
        <v>0</v>
      </c>
      <c r="EHQ21" s="31">
        <v>0</v>
      </c>
      <c r="EHR21" s="31">
        <v>0</v>
      </c>
      <c r="EHS21" s="31">
        <v>0</v>
      </c>
      <c r="EHT21" s="31">
        <v>0</v>
      </c>
      <c r="EHU21" s="31">
        <v>0</v>
      </c>
      <c r="EHV21" s="31">
        <v>0</v>
      </c>
      <c r="EHW21" s="31">
        <v>0</v>
      </c>
      <c r="EHX21" s="31">
        <v>120.01</v>
      </c>
      <c r="EHY21" s="31">
        <v>0</v>
      </c>
      <c r="EHZ21" s="31">
        <v>0</v>
      </c>
      <c r="EIA21" s="31">
        <v>0</v>
      </c>
      <c r="EIB21" s="31">
        <v>0</v>
      </c>
      <c r="EIC21" s="31">
        <v>0</v>
      </c>
      <c r="EID21" s="31">
        <v>241</v>
      </c>
      <c r="EIE21" s="31">
        <v>0</v>
      </c>
      <c r="EIF21" s="31">
        <v>0</v>
      </c>
      <c r="EIG21" s="31">
        <v>0</v>
      </c>
      <c r="EIH21" s="31">
        <v>0</v>
      </c>
      <c r="EII21" s="31">
        <v>0</v>
      </c>
      <c r="EIJ21" s="31">
        <v>0</v>
      </c>
      <c r="EIK21" s="31">
        <v>0</v>
      </c>
      <c r="EIL21" s="31">
        <v>0</v>
      </c>
      <c r="EIM21" s="31">
        <v>0</v>
      </c>
      <c r="EIN21" s="31">
        <v>258.02</v>
      </c>
      <c r="EIO21" s="31">
        <v>0</v>
      </c>
      <c r="EIP21" s="31">
        <v>0</v>
      </c>
      <c r="EIQ21" s="31">
        <v>0</v>
      </c>
      <c r="EIR21" s="31">
        <v>0</v>
      </c>
      <c r="EIS21" s="31">
        <v>0</v>
      </c>
      <c r="EIT21" s="31">
        <v>67</v>
      </c>
      <c r="EIU21" s="31">
        <v>0</v>
      </c>
      <c r="EIV21" s="31">
        <v>0</v>
      </c>
      <c r="EIW21" s="31">
        <v>0</v>
      </c>
      <c r="EIX21" s="31">
        <v>0</v>
      </c>
      <c r="EIY21" s="31">
        <v>0</v>
      </c>
      <c r="EIZ21" s="31">
        <v>0</v>
      </c>
      <c r="EJA21" s="31">
        <v>0</v>
      </c>
      <c r="EJB21" s="31">
        <v>0</v>
      </c>
      <c r="EJC21" s="31">
        <v>0</v>
      </c>
      <c r="EJD21" s="31">
        <v>0</v>
      </c>
      <c r="EJE21" s="31">
        <v>0</v>
      </c>
      <c r="EJF21" s="31">
        <v>0</v>
      </c>
      <c r="EJG21" s="31">
        <v>0</v>
      </c>
      <c r="EJH21" s="31">
        <v>107.99</v>
      </c>
      <c r="EJI21" s="31">
        <v>0</v>
      </c>
      <c r="EJJ21" s="31">
        <v>0</v>
      </c>
      <c r="EJK21" s="31">
        <v>0</v>
      </c>
      <c r="EJL21" s="31">
        <v>0</v>
      </c>
      <c r="EJM21" s="31">
        <v>0</v>
      </c>
      <c r="EJN21" s="31">
        <v>0</v>
      </c>
      <c r="EJO21" s="31">
        <v>0</v>
      </c>
      <c r="EJP21" s="31">
        <v>0</v>
      </c>
      <c r="EJQ21" s="31">
        <v>0</v>
      </c>
      <c r="EJR21" s="31">
        <v>0</v>
      </c>
      <c r="EJS21" s="31">
        <v>0</v>
      </c>
      <c r="EJT21" s="31">
        <v>0</v>
      </c>
      <c r="EJU21" s="31">
        <v>0</v>
      </c>
      <c r="EJV21" s="31">
        <v>0</v>
      </c>
      <c r="EJW21" s="31">
        <v>0</v>
      </c>
      <c r="EJX21" s="31">
        <v>0</v>
      </c>
      <c r="EJY21" s="31">
        <v>0</v>
      </c>
      <c r="EJZ21" s="31">
        <v>0</v>
      </c>
      <c r="EKA21" s="31">
        <v>0</v>
      </c>
      <c r="EKB21" s="31">
        <v>0</v>
      </c>
      <c r="EKC21" s="31">
        <v>0</v>
      </c>
      <c r="EKD21" s="31">
        <v>0</v>
      </c>
      <c r="EKE21" s="31">
        <v>0</v>
      </c>
      <c r="EKF21" s="31">
        <v>0</v>
      </c>
      <c r="EKG21" s="31">
        <v>0</v>
      </c>
      <c r="EKH21" s="31">
        <v>0</v>
      </c>
      <c r="EKI21" s="31">
        <v>0</v>
      </c>
      <c r="EKJ21" s="31">
        <v>0</v>
      </c>
      <c r="EKK21" s="31">
        <v>0</v>
      </c>
      <c r="EKL21" s="31">
        <v>0</v>
      </c>
      <c r="EKM21" s="31">
        <v>0</v>
      </c>
      <c r="EKN21" s="31">
        <v>0</v>
      </c>
      <c r="EKO21" s="31">
        <v>0</v>
      </c>
      <c r="EKP21" s="31">
        <v>0</v>
      </c>
      <c r="EKQ21" s="31">
        <v>0</v>
      </c>
      <c r="EKR21" s="31">
        <v>0</v>
      </c>
      <c r="EKS21" s="31">
        <v>0</v>
      </c>
      <c r="EKT21" s="31">
        <v>0</v>
      </c>
      <c r="EKU21" s="31">
        <v>0</v>
      </c>
      <c r="EKV21" s="31">
        <v>0</v>
      </c>
      <c r="EKW21" s="31">
        <v>0</v>
      </c>
      <c r="EKX21" s="31">
        <v>0</v>
      </c>
      <c r="EKY21" s="31">
        <v>0</v>
      </c>
      <c r="EKZ21" s="31">
        <v>0</v>
      </c>
      <c r="ELA21" s="31">
        <v>0</v>
      </c>
      <c r="ELB21" s="31">
        <v>0</v>
      </c>
      <c r="ELC21" s="31">
        <v>0</v>
      </c>
      <c r="ELD21" s="31">
        <v>0</v>
      </c>
      <c r="ELE21" s="31">
        <v>0</v>
      </c>
      <c r="ELF21" s="31">
        <v>0</v>
      </c>
      <c r="ELG21" s="31">
        <v>0</v>
      </c>
      <c r="ELH21" s="31">
        <v>129.99</v>
      </c>
      <c r="ELI21" s="31">
        <v>0</v>
      </c>
      <c r="ELJ21" s="31">
        <v>0</v>
      </c>
      <c r="ELK21" s="31">
        <v>0</v>
      </c>
      <c r="ELL21" s="31">
        <v>0</v>
      </c>
      <c r="ELM21" s="31">
        <v>0</v>
      </c>
      <c r="ELN21" s="31">
        <v>0</v>
      </c>
      <c r="ELO21" s="31">
        <v>0</v>
      </c>
      <c r="ELP21" s="31">
        <v>0</v>
      </c>
      <c r="ELQ21" s="31">
        <v>0</v>
      </c>
      <c r="ELR21" s="31">
        <v>0</v>
      </c>
      <c r="ELS21" s="31">
        <v>0</v>
      </c>
      <c r="ELT21" s="31">
        <v>0</v>
      </c>
      <c r="ELU21" s="31">
        <v>0</v>
      </c>
      <c r="ELV21" s="31">
        <v>0</v>
      </c>
      <c r="ELW21" s="31">
        <v>0</v>
      </c>
      <c r="ELX21" s="31">
        <v>0</v>
      </c>
      <c r="ELY21" s="31">
        <v>0</v>
      </c>
      <c r="ELZ21" s="31">
        <v>0</v>
      </c>
      <c r="EMA21" s="31">
        <v>0</v>
      </c>
      <c r="EMB21" s="31">
        <v>0</v>
      </c>
      <c r="EMC21" s="31">
        <v>338</v>
      </c>
      <c r="EMD21" s="31">
        <v>0</v>
      </c>
      <c r="EME21" s="31">
        <v>0</v>
      </c>
      <c r="EMF21" s="31">
        <v>0</v>
      </c>
      <c r="EMG21" s="31">
        <v>0</v>
      </c>
      <c r="EMH21" s="31">
        <v>0</v>
      </c>
      <c r="EMI21" s="31">
        <v>0</v>
      </c>
      <c r="EMJ21" s="31">
        <v>0</v>
      </c>
      <c r="EMK21" s="31">
        <v>57</v>
      </c>
      <c r="EML21" s="31">
        <v>0</v>
      </c>
      <c r="EMM21" s="31">
        <v>0</v>
      </c>
      <c r="EMN21" s="31">
        <v>0</v>
      </c>
      <c r="EMO21" s="31">
        <v>0</v>
      </c>
      <c r="EMP21" s="31">
        <v>0</v>
      </c>
      <c r="EMQ21" s="31">
        <v>0</v>
      </c>
      <c r="EMR21" s="31">
        <v>0</v>
      </c>
      <c r="EMS21" s="31">
        <v>0</v>
      </c>
      <c r="EMT21" s="31">
        <v>0</v>
      </c>
      <c r="EMU21" s="31">
        <v>0</v>
      </c>
      <c r="EMV21" s="31">
        <v>0</v>
      </c>
      <c r="EMW21" s="31">
        <v>77</v>
      </c>
      <c r="EMX21" s="31">
        <v>0</v>
      </c>
      <c r="EMY21" s="31">
        <v>0</v>
      </c>
      <c r="EMZ21" s="31">
        <v>0</v>
      </c>
      <c r="ENA21" s="31">
        <v>0</v>
      </c>
      <c r="ENB21" s="31">
        <v>0</v>
      </c>
      <c r="ENC21" s="31">
        <v>0</v>
      </c>
      <c r="END21" s="31">
        <v>0</v>
      </c>
      <c r="ENE21" s="31">
        <v>0</v>
      </c>
      <c r="ENF21" s="31">
        <v>0</v>
      </c>
      <c r="ENG21" s="31">
        <v>0</v>
      </c>
      <c r="ENH21" s="31">
        <v>0</v>
      </c>
      <c r="ENI21" s="31">
        <v>0</v>
      </c>
      <c r="ENJ21" s="31">
        <v>0</v>
      </c>
      <c r="ENK21" s="31">
        <v>0</v>
      </c>
      <c r="ENL21" s="31">
        <v>0</v>
      </c>
      <c r="ENM21" s="31">
        <v>0</v>
      </c>
      <c r="ENN21" s="31">
        <v>0</v>
      </c>
      <c r="ENO21" s="31">
        <v>0</v>
      </c>
      <c r="ENP21" s="31">
        <v>245.04</v>
      </c>
      <c r="ENQ21" s="31">
        <v>0</v>
      </c>
      <c r="ENR21" s="31">
        <v>0</v>
      </c>
      <c r="ENS21" s="31">
        <v>0</v>
      </c>
      <c r="ENT21" s="31">
        <v>0</v>
      </c>
      <c r="ENU21" s="31">
        <v>0</v>
      </c>
      <c r="ENV21" s="31">
        <v>0</v>
      </c>
      <c r="ENW21" s="31">
        <v>0</v>
      </c>
      <c r="ENX21" s="31">
        <v>0</v>
      </c>
      <c r="ENY21" s="31">
        <v>0</v>
      </c>
      <c r="ENZ21" s="31">
        <v>0</v>
      </c>
      <c r="EOA21" s="31">
        <v>0</v>
      </c>
      <c r="EOB21" s="31">
        <v>0</v>
      </c>
      <c r="EOC21" s="31">
        <v>0</v>
      </c>
      <c r="EOD21" s="31">
        <v>0</v>
      </c>
      <c r="EOE21" s="31">
        <v>0</v>
      </c>
      <c r="EOF21" s="31">
        <v>0</v>
      </c>
      <c r="EOG21" s="31">
        <v>0</v>
      </c>
      <c r="EOH21" s="31">
        <v>81.96</v>
      </c>
      <c r="EOI21" s="31">
        <v>0</v>
      </c>
      <c r="EOJ21" s="31">
        <v>0</v>
      </c>
      <c r="EOK21" s="31">
        <v>0</v>
      </c>
      <c r="EOL21" s="31">
        <v>0</v>
      </c>
      <c r="EOM21" s="31">
        <v>0</v>
      </c>
      <c r="EON21" s="31">
        <v>0</v>
      </c>
      <c r="EOO21" s="31">
        <v>0</v>
      </c>
      <c r="EOP21" s="31">
        <v>0</v>
      </c>
      <c r="EOQ21" s="31">
        <v>0</v>
      </c>
      <c r="EOR21" s="31">
        <v>0</v>
      </c>
      <c r="EOS21" s="31">
        <v>0</v>
      </c>
      <c r="EOT21" s="31">
        <v>0</v>
      </c>
      <c r="EOU21" s="31">
        <v>0</v>
      </c>
      <c r="EOV21" s="31">
        <v>0</v>
      </c>
      <c r="EOW21" s="31">
        <v>0</v>
      </c>
      <c r="EOX21" s="31">
        <v>0</v>
      </c>
      <c r="EOY21" s="31">
        <v>0</v>
      </c>
      <c r="EOZ21" s="31">
        <v>0</v>
      </c>
      <c r="EPA21" s="31">
        <v>0</v>
      </c>
      <c r="EPB21" s="31">
        <v>0</v>
      </c>
      <c r="EPC21" s="31">
        <v>0</v>
      </c>
      <c r="EPD21" s="31">
        <v>0</v>
      </c>
      <c r="EPE21" s="31">
        <v>0</v>
      </c>
      <c r="EPF21" s="31">
        <v>0</v>
      </c>
      <c r="EPG21" s="31">
        <v>0</v>
      </c>
      <c r="EPH21" s="31">
        <v>0</v>
      </c>
      <c r="EPI21" s="31">
        <v>0</v>
      </c>
      <c r="EPJ21" s="31">
        <v>0</v>
      </c>
      <c r="EPK21" s="31">
        <v>0</v>
      </c>
      <c r="EPL21" s="31">
        <v>0</v>
      </c>
      <c r="EPM21" s="31">
        <v>0</v>
      </c>
      <c r="EPN21" s="31">
        <v>0</v>
      </c>
      <c r="EPO21" s="31">
        <v>0</v>
      </c>
      <c r="EPP21" s="31">
        <v>0</v>
      </c>
      <c r="EPQ21" s="31">
        <v>0</v>
      </c>
      <c r="EPR21" s="31">
        <v>0</v>
      </c>
      <c r="EPS21" s="31">
        <v>0</v>
      </c>
      <c r="EPT21" s="31">
        <v>0</v>
      </c>
      <c r="EPU21" s="31">
        <v>0</v>
      </c>
      <c r="EPV21" s="31">
        <v>0</v>
      </c>
      <c r="EPW21" s="31">
        <v>0</v>
      </c>
      <c r="EPX21" s="31">
        <v>0</v>
      </c>
      <c r="EPY21" s="31">
        <v>0</v>
      </c>
      <c r="EPZ21" s="31">
        <v>0</v>
      </c>
      <c r="EQA21" s="31">
        <v>0</v>
      </c>
      <c r="EQB21" s="31">
        <v>0</v>
      </c>
      <c r="EQC21" s="31">
        <v>0</v>
      </c>
      <c r="EQD21" s="31">
        <v>0</v>
      </c>
      <c r="EQE21" s="31">
        <v>0</v>
      </c>
      <c r="EQF21" s="31">
        <v>0</v>
      </c>
      <c r="EQG21" s="31">
        <v>0</v>
      </c>
      <c r="EQH21" s="31">
        <v>0</v>
      </c>
      <c r="EQI21" s="31">
        <v>0</v>
      </c>
      <c r="EQJ21" s="31">
        <v>0</v>
      </c>
      <c r="EQK21" s="31">
        <v>5</v>
      </c>
      <c r="EQL21" s="31">
        <v>0</v>
      </c>
      <c r="EQM21" s="31">
        <v>0</v>
      </c>
      <c r="EQN21" s="31">
        <v>36</v>
      </c>
      <c r="EQO21" s="31">
        <v>0</v>
      </c>
      <c r="EQP21" s="31">
        <v>0</v>
      </c>
      <c r="EQQ21" s="31">
        <v>0</v>
      </c>
      <c r="EQR21" s="31">
        <v>0</v>
      </c>
      <c r="EQS21" s="31">
        <v>0</v>
      </c>
      <c r="EQT21" s="31">
        <v>0</v>
      </c>
      <c r="EQU21" s="31">
        <v>0</v>
      </c>
      <c r="EQV21" s="31">
        <v>0</v>
      </c>
      <c r="EQW21" s="31">
        <v>0</v>
      </c>
      <c r="EQX21" s="31">
        <v>0</v>
      </c>
      <c r="EQY21" s="31">
        <v>0</v>
      </c>
      <c r="EQZ21" s="31">
        <v>0</v>
      </c>
      <c r="ERA21" s="31">
        <v>0</v>
      </c>
      <c r="ERB21" s="31">
        <v>0</v>
      </c>
      <c r="ERC21" s="31">
        <v>0</v>
      </c>
      <c r="ERD21" s="31">
        <v>0</v>
      </c>
      <c r="ERE21" s="31">
        <v>0</v>
      </c>
      <c r="ERF21" s="31">
        <v>30</v>
      </c>
      <c r="ERG21" s="31">
        <v>0</v>
      </c>
      <c r="ERH21" s="31">
        <v>0</v>
      </c>
      <c r="ERI21" s="31">
        <v>0</v>
      </c>
      <c r="ERJ21" s="31">
        <v>0</v>
      </c>
      <c r="ERK21" s="31">
        <v>0</v>
      </c>
      <c r="ERL21" s="31">
        <v>0</v>
      </c>
      <c r="ERM21" s="31">
        <v>0</v>
      </c>
      <c r="ERN21" s="31">
        <v>405.96</v>
      </c>
      <c r="ERO21" s="31">
        <v>0</v>
      </c>
      <c r="ERP21" s="31">
        <v>0</v>
      </c>
      <c r="ERQ21" s="31">
        <v>55.99</v>
      </c>
      <c r="ERR21" s="31">
        <v>0</v>
      </c>
      <c r="ERS21" s="31">
        <v>0</v>
      </c>
      <c r="ERT21" s="31">
        <v>0</v>
      </c>
      <c r="ERU21" s="31">
        <v>0</v>
      </c>
      <c r="ERV21" s="31">
        <v>0</v>
      </c>
      <c r="ERW21" s="31">
        <v>0</v>
      </c>
      <c r="ERX21" s="31">
        <v>0</v>
      </c>
      <c r="ERY21" s="31">
        <v>0</v>
      </c>
      <c r="ERZ21" s="31">
        <v>0</v>
      </c>
      <c r="ESA21" s="31">
        <v>123.99</v>
      </c>
      <c r="ESB21" s="31">
        <v>0</v>
      </c>
      <c r="ESC21" s="31">
        <v>0</v>
      </c>
      <c r="ESD21" s="31">
        <v>0</v>
      </c>
      <c r="ESE21" s="31">
        <v>0</v>
      </c>
      <c r="ESF21" s="31">
        <v>0</v>
      </c>
      <c r="ESG21" s="31">
        <v>0</v>
      </c>
      <c r="ESH21" s="31">
        <v>0</v>
      </c>
      <c r="ESI21" s="31">
        <v>0</v>
      </c>
      <c r="ESJ21" s="31">
        <v>0</v>
      </c>
      <c r="ESK21" s="31">
        <v>0</v>
      </c>
      <c r="ESL21" s="31">
        <v>0</v>
      </c>
      <c r="ESM21" s="31">
        <v>0</v>
      </c>
      <c r="ESN21" s="31">
        <v>0</v>
      </c>
      <c r="ESO21" s="31">
        <v>0</v>
      </c>
      <c r="ESP21" s="31">
        <v>0</v>
      </c>
      <c r="ESQ21" s="31">
        <v>0</v>
      </c>
      <c r="ESR21" s="31">
        <v>0</v>
      </c>
      <c r="ESS21" s="31">
        <v>0</v>
      </c>
      <c r="EST21" s="31">
        <v>0</v>
      </c>
      <c r="ESU21" s="31">
        <v>0</v>
      </c>
      <c r="ESV21" s="31">
        <v>0</v>
      </c>
      <c r="ESW21" s="31">
        <v>0</v>
      </c>
      <c r="ESX21" s="31">
        <v>0</v>
      </c>
      <c r="ESY21" s="31">
        <v>0</v>
      </c>
      <c r="ESZ21" s="31">
        <v>0</v>
      </c>
      <c r="ETA21" s="31">
        <v>0</v>
      </c>
      <c r="ETB21" s="31">
        <v>126.99</v>
      </c>
      <c r="ETC21" s="31">
        <v>0</v>
      </c>
      <c r="ETD21" s="31">
        <v>0</v>
      </c>
      <c r="ETE21" s="31">
        <v>0</v>
      </c>
      <c r="ETF21" s="31">
        <v>0</v>
      </c>
      <c r="ETG21" s="31">
        <v>0</v>
      </c>
      <c r="ETH21" s="31">
        <v>0</v>
      </c>
      <c r="ETI21" s="31">
        <v>0</v>
      </c>
      <c r="ETJ21" s="31">
        <v>0</v>
      </c>
      <c r="ETK21" s="31">
        <v>0</v>
      </c>
      <c r="ETL21" s="31">
        <v>0</v>
      </c>
      <c r="ETM21" s="31">
        <v>0</v>
      </c>
      <c r="ETN21" s="31">
        <v>0</v>
      </c>
      <c r="ETO21" s="31">
        <v>0</v>
      </c>
      <c r="ETP21" s="31">
        <v>0</v>
      </c>
      <c r="ETQ21" s="31">
        <v>0</v>
      </c>
      <c r="ETR21" s="31">
        <v>116</v>
      </c>
      <c r="ETS21" s="31">
        <v>0</v>
      </c>
      <c r="ETT21" s="31">
        <v>0</v>
      </c>
      <c r="ETU21" s="31">
        <v>0</v>
      </c>
      <c r="ETV21" s="31">
        <v>0</v>
      </c>
      <c r="ETW21" s="31">
        <v>0</v>
      </c>
      <c r="ETX21" s="31">
        <v>0</v>
      </c>
      <c r="ETY21" s="31">
        <v>0</v>
      </c>
      <c r="ETZ21" s="31">
        <v>0</v>
      </c>
      <c r="EUA21" s="31">
        <v>0</v>
      </c>
      <c r="EUB21" s="31">
        <v>0</v>
      </c>
      <c r="EUC21" s="31">
        <v>0</v>
      </c>
      <c r="EUD21" s="31">
        <v>0</v>
      </c>
      <c r="EUE21" s="31">
        <v>0</v>
      </c>
      <c r="EUF21" s="31">
        <v>0</v>
      </c>
      <c r="EUG21" s="31">
        <v>0</v>
      </c>
      <c r="EUH21" s="31">
        <v>0</v>
      </c>
      <c r="EUI21" s="31">
        <v>0</v>
      </c>
      <c r="EUJ21" s="31">
        <v>0</v>
      </c>
      <c r="EUK21" s="31">
        <v>0</v>
      </c>
      <c r="EUL21" s="31">
        <v>0</v>
      </c>
      <c r="EUM21" s="31">
        <v>0</v>
      </c>
      <c r="EUN21" s="31">
        <v>0</v>
      </c>
      <c r="EUO21" s="31">
        <v>0</v>
      </c>
      <c r="EUP21" s="31">
        <v>369.99</v>
      </c>
      <c r="EUQ21" s="31">
        <v>0</v>
      </c>
      <c r="EUR21" s="31">
        <v>0</v>
      </c>
      <c r="EUS21" s="31">
        <v>0</v>
      </c>
      <c r="EUT21" s="31">
        <v>0</v>
      </c>
      <c r="EUU21" s="31">
        <v>0</v>
      </c>
      <c r="EUV21" s="31">
        <v>0</v>
      </c>
      <c r="EUW21" s="31">
        <v>0</v>
      </c>
      <c r="EUX21" s="31">
        <v>0</v>
      </c>
      <c r="EUY21" s="31">
        <v>0</v>
      </c>
      <c r="EUZ21" s="31">
        <v>0</v>
      </c>
      <c r="EVA21" s="31">
        <v>0</v>
      </c>
      <c r="EVB21" s="31">
        <v>0</v>
      </c>
      <c r="EVC21" s="31">
        <v>0</v>
      </c>
      <c r="EVD21" s="31">
        <v>0</v>
      </c>
      <c r="EVE21" s="31">
        <v>0</v>
      </c>
      <c r="EVF21" s="31">
        <v>0</v>
      </c>
      <c r="EVG21" s="31">
        <v>0</v>
      </c>
      <c r="EVH21" s="31">
        <v>0</v>
      </c>
      <c r="EVI21" s="31">
        <v>0</v>
      </c>
      <c r="EVJ21" s="31">
        <v>0</v>
      </c>
      <c r="EVK21" s="31">
        <v>0</v>
      </c>
      <c r="EVL21" s="31">
        <v>0</v>
      </c>
      <c r="EVM21" s="31">
        <v>0</v>
      </c>
      <c r="EVN21" s="31">
        <v>0</v>
      </c>
      <c r="EVO21" s="31">
        <v>0</v>
      </c>
      <c r="EVP21" s="31">
        <v>0</v>
      </c>
      <c r="EVQ21" s="31">
        <v>0</v>
      </c>
      <c r="EVR21" s="31">
        <v>220.99</v>
      </c>
      <c r="EVS21" s="31">
        <v>0</v>
      </c>
      <c r="EVT21" s="31">
        <v>476.98</v>
      </c>
      <c r="EVU21" s="31">
        <v>0</v>
      </c>
      <c r="EVV21" s="31">
        <v>0</v>
      </c>
      <c r="EVW21" s="31">
        <v>0</v>
      </c>
      <c r="EVX21" s="31">
        <v>0</v>
      </c>
      <c r="EVY21" s="31">
        <v>62</v>
      </c>
      <c r="EVZ21" s="31">
        <v>0</v>
      </c>
      <c r="EWA21" s="31">
        <v>115.99</v>
      </c>
      <c r="EWB21" s="31">
        <v>0</v>
      </c>
      <c r="EWC21" s="31">
        <v>0</v>
      </c>
      <c r="EWD21" s="31">
        <v>0</v>
      </c>
      <c r="EWE21" s="31">
        <v>0</v>
      </c>
      <c r="EWF21" s="31">
        <v>0</v>
      </c>
      <c r="EWG21" s="31">
        <v>481.98</v>
      </c>
      <c r="EWH21" s="31">
        <v>0</v>
      </c>
      <c r="EWI21" s="31">
        <v>0</v>
      </c>
      <c r="EWJ21" s="31">
        <v>0</v>
      </c>
      <c r="EWK21" s="31">
        <v>0</v>
      </c>
      <c r="EWL21" s="31">
        <v>0</v>
      </c>
      <c r="EWM21" s="31">
        <v>0</v>
      </c>
      <c r="EWN21" s="31">
        <v>0</v>
      </c>
      <c r="EWO21" s="31">
        <v>0</v>
      </c>
      <c r="EWP21" s="31">
        <v>0</v>
      </c>
      <c r="EWQ21" s="31">
        <v>0</v>
      </c>
      <c r="EWR21" s="31">
        <v>0</v>
      </c>
      <c r="EWS21" s="31">
        <v>0</v>
      </c>
      <c r="EWT21" s="31">
        <v>0</v>
      </c>
      <c r="EWU21" s="31">
        <v>0</v>
      </c>
      <c r="EWV21" s="31">
        <v>0</v>
      </c>
      <c r="EWW21" s="31">
        <v>0</v>
      </c>
      <c r="EWX21" s="31">
        <v>495.96</v>
      </c>
      <c r="EWY21" s="31">
        <v>0</v>
      </c>
      <c r="EWZ21" s="31">
        <v>143</v>
      </c>
      <c r="EXA21" s="31">
        <v>0</v>
      </c>
      <c r="EXB21" s="31">
        <v>0</v>
      </c>
      <c r="EXC21" s="31">
        <v>0</v>
      </c>
      <c r="EXD21" s="31">
        <v>0</v>
      </c>
      <c r="EXE21" s="31">
        <v>0</v>
      </c>
      <c r="EXF21" s="31">
        <v>342.99</v>
      </c>
      <c r="EXG21" s="31">
        <v>0</v>
      </c>
      <c r="EXH21" s="31">
        <v>0</v>
      </c>
      <c r="EXI21" s="31">
        <v>0</v>
      </c>
      <c r="EXJ21" s="31">
        <v>0</v>
      </c>
      <c r="EXK21" s="31">
        <v>0</v>
      </c>
      <c r="EXL21" s="31">
        <v>0</v>
      </c>
      <c r="EXM21" s="31">
        <v>0</v>
      </c>
      <c r="EXN21" s="31">
        <v>0</v>
      </c>
      <c r="EXO21" s="31">
        <v>0</v>
      </c>
      <c r="EXP21" s="31">
        <v>0</v>
      </c>
      <c r="EXQ21" s="31">
        <v>0</v>
      </c>
      <c r="EXR21" s="31">
        <v>0</v>
      </c>
      <c r="EXS21" s="31">
        <v>0</v>
      </c>
      <c r="EXT21" s="31">
        <v>0</v>
      </c>
      <c r="EXU21" s="31">
        <v>0</v>
      </c>
      <c r="EXV21" s="31">
        <v>0</v>
      </c>
      <c r="EXW21" s="31">
        <v>0</v>
      </c>
      <c r="EXX21" s="31">
        <v>0</v>
      </c>
      <c r="EXY21" s="31">
        <v>0</v>
      </c>
      <c r="EXZ21" s="31">
        <v>0</v>
      </c>
      <c r="EYA21" s="31">
        <v>0</v>
      </c>
      <c r="EYB21" s="31">
        <v>0</v>
      </c>
      <c r="EYC21" s="31">
        <v>0</v>
      </c>
      <c r="EYD21" s="31">
        <v>0</v>
      </c>
      <c r="EYE21" s="31">
        <v>0</v>
      </c>
      <c r="EYF21" s="31">
        <v>0</v>
      </c>
      <c r="EYG21" s="31">
        <v>0</v>
      </c>
      <c r="EYH21" s="31">
        <v>0</v>
      </c>
      <c r="EYI21" s="31">
        <v>0</v>
      </c>
      <c r="EYJ21" s="31">
        <v>0</v>
      </c>
      <c r="EYK21" s="31">
        <v>0</v>
      </c>
      <c r="EYL21" s="31">
        <v>0</v>
      </c>
      <c r="EYM21" s="31">
        <v>0</v>
      </c>
      <c r="EYN21" s="31">
        <v>0</v>
      </c>
      <c r="EYO21" s="31">
        <v>0</v>
      </c>
      <c r="EYP21" s="31">
        <v>68</v>
      </c>
      <c r="EYQ21" s="31">
        <v>0</v>
      </c>
      <c r="EYR21" s="31">
        <v>0</v>
      </c>
      <c r="EYS21" s="31">
        <v>0</v>
      </c>
      <c r="EYT21" s="31">
        <v>0</v>
      </c>
      <c r="EYU21" s="31">
        <v>25.99</v>
      </c>
      <c r="EYV21" s="31">
        <v>0</v>
      </c>
      <c r="EYW21" s="31">
        <v>0</v>
      </c>
      <c r="EYX21" s="31">
        <v>0</v>
      </c>
      <c r="EYY21" s="31">
        <v>0</v>
      </c>
      <c r="EYZ21" s="31">
        <v>0</v>
      </c>
      <c r="EZA21" s="31">
        <v>0</v>
      </c>
      <c r="EZB21" s="31">
        <v>0</v>
      </c>
      <c r="EZC21" s="31">
        <v>0</v>
      </c>
      <c r="EZD21" s="31">
        <v>0</v>
      </c>
      <c r="EZE21" s="31">
        <v>0</v>
      </c>
      <c r="EZF21" s="31">
        <v>0</v>
      </c>
      <c r="EZG21" s="31">
        <v>0</v>
      </c>
      <c r="EZH21" s="31">
        <v>0</v>
      </c>
      <c r="EZI21" s="31">
        <v>0</v>
      </c>
      <c r="EZJ21" s="31">
        <v>0</v>
      </c>
      <c r="EZK21" s="31">
        <v>288.98</v>
      </c>
      <c r="EZL21" s="31">
        <v>0</v>
      </c>
      <c r="EZM21" s="31">
        <v>0</v>
      </c>
      <c r="EZN21" s="31">
        <v>546.96</v>
      </c>
      <c r="EZO21" s="31">
        <v>0</v>
      </c>
      <c r="EZP21" s="31">
        <v>0</v>
      </c>
      <c r="EZQ21" s="31">
        <v>0</v>
      </c>
      <c r="EZR21" s="31">
        <v>0</v>
      </c>
      <c r="EZS21" s="31">
        <v>0</v>
      </c>
      <c r="EZT21" s="31">
        <v>0</v>
      </c>
      <c r="EZU21" s="31">
        <v>0</v>
      </c>
      <c r="EZV21" s="31">
        <v>553.95000000000005</v>
      </c>
      <c r="EZW21" s="31">
        <v>0</v>
      </c>
      <c r="EZX21" s="31">
        <v>0</v>
      </c>
      <c r="EZY21" s="31">
        <v>0</v>
      </c>
      <c r="EZZ21" s="31">
        <v>0</v>
      </c>
      <c r="FAA21" s="31">
        <v>0</v>
      </c>
      <c r="FAB21" s="31">
        <v>0</v>
      </c>
      <c r="FAC21" s="31">
        <v>0</v>
      </c>
      <c r="FAD21" s="31">
        <v>0</v>
      </c>
      <c r="FAE21" s="31">
        <v>0</v>
      </c>
      <c r="FAF21" s="31">
        <v>0</v>
      </c>
      <c r="FAG21" s="31">
        <v>0</v>
      </c>
      <c r="FAH21" s="31">
        <v>0</v>
      </c>
      <c r="FAI21" s="31">
        <v>0</v>
      </c>
      <c r="FAJ21" s="31">
        <v>0</v>
      </c>
      <c r="FAK21" s="31">
        <v>0</v>
      </c>
      <c r="FAL21" s="31">
        <v>0</v>
      </c>
      <c r="FAM21" s="31">
        <v>0</v>
      </c>
      <c r="FAN21" s="31">
        <v>0</v>
      </c>
      <c r="FAO21" s="31">
        <v>566.98</v>
      </c>
      <c r="FAP21" s="31">
        <v>0</v>
      </c>
      <c r="FAQ21" s="31">
        <v>0</v>
      </c>
      <c r="FAR21" s="31">
        <v>0</v>
      </c>
      <c r="FAS21" s="31">
        <v>0</v>
      </c>
      <c r="FAT21" s="31">
        <v>0</v>
      </c>
      <c r="FAU21" s="31">
        <v>0</v>
      </c>
      <c r="FAV21" s="31">
        <v>0</v>
      </c>
      <c r="FAW21" s="31">
        <v>0</v>
      </c>
      <c r="FAX21" s="31">
        <v>0</v>
      </c>
      <c r="FAY21" s="31">
        <v>0</v>
      </c>
      <c r="FAZ21" s="31">
        <v>0</v>
      </c>
      <c r="FBA21" s="31">
        <v>0</v>
      </c>
      <c r="FBB21" s="31">
        <v>0</v>
      </c>
      <c r="FBC21" s="31">
        <v>0</v>
      </c>
      <c r="FBD21" s="31">
        <v>0</v>
      </c>
      <c r="FBE21" s="31">
        <v>0</v>
      </c>
      <c r="FBF21" s="31">
        <v>0</v>
      </c>
      <c r="FBG21" s="31">
        <v>0</v>
      </c>
      <c r="FBH21" s="31">
        <v>0</v>
      </c>
      <c r="FBI21" s="31">
        <v>0</v>
      </c>
      <c r="FBJ21" s="31">
        <v>0</v>
      </c>
      <c r="FBK21" s="31">
        <v>0</v>
      </c>
      <c r="FBL21" s="31">
        <v>0</v>
      </c>
      <c r="FBM21" s="31">
        <v>0</v>
      </c>
      <c r="FBN21" s="31">
        <v>0</v>
      </c>
      <c r="FBO21" s="31">
        <v>0</v>
      </c>
      <c r="FBP21" s="31">
        <v>0</v>
      </c>
      <c r="FBQ21" s="31">
        <v>0</v>
      </c>
      <c r="FBR21" s="31">
        <v>0</v>
      </c>
      <c r="FBS21" s="31">
        <v>0</v>
      </c>
      <c r="FBT21" s="31">
        <v>0</v>
      </c>
      <c r="FBU21" s="31">
        <v>0</v>
      </c>
      <c r="FBV21" s="31">
        <v>0</v>
      </c>
      <c r="FBW21" s="31">
        <v>0</v>
      </c>
      <c r="FBX21" s="31">
        <v>0</v>
      </c>
      <c r="FBY21" s="31">
        <v>416.96</v>
      </c>
      <c r="FBZ21" s="31">
        <v>0</v>
      </c>
      <c r="FCA21" s="31">
        <v>0</v>
      </c>
      <c r="FCB21" s="31">
        <v>0</v>
      </c>
      <c r="FCC21" s="31">
        <v>0</v>
      </c>
      <c r="FCD21" s="31">
        <v>0</v>
      </c>
      <c r="FCE21" s="31">
        <v>0</v>
      </c>
      <c r="FCF21" s="31">
        <v>0</v>
      </c>
      <c r="FCG21" s="31">
        <v>0</v>
      </c>
      <c r="FCH21" s="31">
        <v>0</v>
      </c>
      <c r="FCI21" s="31">
        <v>0</v>
      </c>
      <c r="FCJ21" s="31">
        <v>0</v>
      </c>
      <c r="FCK21" s="31">
        <v>0</v>
      </c>
      <c r="FCL21" s="31">
        <v>0</v>
      </c>
      <c r="FCM21" s="31">
        <v>0</v>
      </c>
      <c r="FCN21" s="31">
        <v>0</v>
      </c>
      <c r="FCO21" s="31">
        <v>69</v>
      </c>
      <c r="FCP21" s="31">
        <v>0</v>
      </c>
      <c r="FCQ21" s="31">
        <v>0</v>
      </c>
      <c r="FCR21" s="31">
        <v>0</v>
      </c>
      <c r="FCS21" s="31">
        <v>0</v>
      </c>
      <c r="FCT21" s="31">
        <v>0</v>
      </c>
      <c r="FCU21" s="31">
        <v>0</v>
      </c>
      <c r="FCV21" s="31">
        <v>180</v>
      </c>
      <c r="FCW21" s="31">
        <v>0</v>
      </c>
      <c r="FCX21" s="31">
        <v>0</v>
      </c>
      <c r="FCY21" s="31">
        <v>0</v>
      </c>
      <c r="FCZ21" s="31">
        <v>0</v>
      </c>
      <c r="FDA21" s="31">
        <v>0</v>
      </c>
      <c r="FDB21" s="31">
        <v>0</v>
      </c>
      <c r="FDC21" s="31">
        <v>0</v>
      </c>
      <c r="FDD21" s="31">
        <v>0</v>
      </c>
      <c r="FDE21" s="31">
        <v>0</v>
      </c>
      <c r="FDF21" s="31">
        <v>0</v>
      </c>
      <c r="FDG21" s="31">
        <v>0</v>
      </c>
      <c r="FDH21" s="31">
        <v>0</v>
      </c>
      <c r="FDI21" s="31">
        <v>0</v>
      </c>
      <c r="FDJ21" s="31">
        <v>0</v>
      </c>
      <c r="FDK21" s="31">
        <v>0</v>
      </c>
      <c r="FDL21" s="31">
        <v>0</v>
      </c>
      <c r="FDM21" s="31">
        <v>0</v>
      </c>
      <c r="FDN21" s="31">
        <v>0</v>
      </c>
      <c r="FDO21" s="31">
        <v>0</v>
      </c>
      <c r="FDP21" s="31">
        <v>0</v>
      </c>
      <c r="FDQ21" s="31">
        <v>0</v>
      </c>
      <c r="FDR21" s="31">
        <v>0</v>
      </c>
      <c r="FDS21" s="31">
        <v>538.98</v>
      </c>
      <c r="FDT21" s="31">
        <v>0</v>
      </c>
      <c r="FDU21" s="31">
        <v>526</v>
      </c>
      <c r="FDV21" s="31">
        <v>0</v>
      </c>
      <c r="FDW21" s="31">
        <v>0</v>
      </c>
      <c r="FDX21" s="31">
        <v>0</v>
      </c>
      <c r="FDY21" s="31">
        <v>0</v>
      </c>
      <c r="FDZ21" s="31">
        <v>0</v>
      </c>
      <c r="FEA21" s="31">
        <v>0</v>
      </c>
      <c r="FEB21" s="31">
        <v>0</v>
      </c>
      <c r="FEC21" s="31">
        <v>0</v>
      </c>
      <c r="FED21" s="31">
        <v>0</v>
      </c>
      <c r="FEE21" s="31">
        <v>0</v>
      </c>
      <c r="FEF21" s="31">
        <v>0</v>
      </c>
      <c r="FEG21" s="31">
        <v>0</v>
      </c>
      <c r="FEH21" s="31">
        <v>0</v>
      </c>
      <c r="FEI21" s="31">
        <v>0</v>
      </c>
      <c r="FEJ21" s="31">
        <v>0</v>
      </c>
      <c r="FEK21" s="31">
        <v>0</v>
      </c>
      <c r="FEL21" s="31">
        <v>0</v>
      </c>
      <c r="FEM21" s="31">
        <v>0</v>
      </c>
      <c r="FEN21" s="31">
        <v>0</v>
      </c>
      <c r="FEO21" s="31">
        <v>0</v>
      </c>
      <c r="FEP21" s="31">
        <v>0</v>
      </c>
      <c r="FEQ21" s="31">
        <v>0</v>
      </c>
      <c r="FER21" s="31">
        <v>0</v>
      </c>
      <c r="FES21" s="31">
        <v>0</v>
      </c>
      <c r="FET21" s="31">
        <v>0</v>
      </c>
      <c r="FEU21" s="31">
        <v>0</v>
      </c>
      <c r="FEV21" s="31">
        <v>0</v>
      </c>
      <c r="FEW21" s="31">
        <v>0</v>
      </c>
      <c r="FEX21" s="31">
        <v>0</v>
      </c>
      <c r="FEY21" s="31">
        <v>0</v>
      </c>
      <c r="FEZ21" s="31">
        <v>0</v>
      </c>
      <c r="FFA21" s="31">
        <v>0</v>
      </c>
      <c r="FFB21" s="31">
        <v>0</v>
      </c>
      <c r="FFC21" s="31">
        <v>0</v>
      </c>
      <c r="FFD21" s="31">
        <v>0</v>
      </c>
      <c r="FFE21" s="31">
        <v>0</v>
      </c>
      <c r="FFF21" s="31">
        <v>0</v>
      </c>
      <c r="FFG21" s="31">
        <v>0</v>
      </c>
      <c r="FFH21" s="31">
        <v>0</v>
      </c>
      <c r="FFI21" s="31">
        <v>0</v>
      </c>
      <c r="FFJ21" s="31">
        <v>0</v>
      </c>
      <c r="FFK21" s="31">
        <v>0</v>
      </c>
      <c r="FFL21" s="31">
        <v>0</v>
      </c>
      <c r="FFM21" s="31">
        <v>0</v>
      </c>
      <c r="FFN21" s="31">
        <v>0</v>
      </c>
      <c r="FFO21" s="31">
        <v>0</v>
      </c>
      <c r="FFP21" s="31">
        <v>0</v>
      </c>
      <c r="FFQ21" s="31">
        <v>0</v>
      </c>
      <c r="FFR21" s="31">
        <v>0</v>
      </c>
      <c r="FFS21" s="31">
        <v>0</v>
      </c>
      <c r="FFT21" s="31">
        <v>0</v>
      </c>
      <c r="FFU21" s="31">
        <v>0</v>
      </c>
      <c r="FFV21" s="31">
        <v>0</v>
      </c>
      <c r="FFW21" s="31">
        <v>0</v>
      </c>
      <c r="FFX21" s="31">
        <v>0</v>
      </c>
      <c r="FFY21" s="31">
        <v>0</v>
      </c>
      <c r="FFZ21" s="31">
        <v>0</v>
      </c>
      <c r="FGA21" s="31">
        <v>0</v>
      </c>
      <c r="FGB21" s="31">
        <v>0</v>
      </c>
      <c r="FGC21" s="31">
        <v>0</v>
      </c>
      <c r="FGD21" s="31">
        <v>0</v>
      </c>
      <c r="FGE21" s="31">
        <v>0</v>
      </c>
      <c r="FGF21" s="31">
        <v>0</v>
      </c>
      <c r="FGG21" s="31">
        <v>0</v>
      </c>
      <c r="FGH21" s="31">
        <v>0</v>
      </c>
      <c r="FGI21" s="31">
        <v>0</v>
      </c>
      <c r="FGJ21" s="31">
        <v>0</v>
      </c>
      <c r="FGK21" s="31">
        <v>0</v>
      </c>
      <c r="FGL21" s="31">
        <v>0</v>
      </c>
      <c r="FGM21" s="31">
        <v>0</v>
      </c>
      <c r="FGN21" s="31">
        <v>0</v>
      </c>
      <c r="FGO21" s="31">
        <v>0</v>
      </c>
      <c r="FGP21" s="31">
        <v>0</v>
      </c>
      <c r="FGQ21" s="31">
        <v>0</v>
      </c>
      <c r="FGR21" s="31">
        <v>0</v>
      </c>
      <c r="FGS21" s="31">
        <v>0</v>
      </c>
      <c r="FGT21" s="31">
        <v>34</v>
      </c>
      <c r="FGU21" s="31">
        <v>0</v>
      </c>
      <c r="FGV21" s="31">
        <v>0</v>
      </c>
      <c r="FGW21" s="31">
        <v>0</v>
      </c>
      <c r="FGX21" s="31">
        <v>0</v>
      </c>
      <c r="FGY21" s="31">
        <v>0</v>
      </c>
      <c r="FGZ21" s="31">
        <v>757.98</v>
      </c>
      <c r="FHA21" s="31">
        <v>0</v>
      </c>
      <c r="FHB21" s="31">
        <v>0</v>
      </c>
      <c r="FHC21" s="31">
        <v>0</v>
      </c>
      <c r="FHD21" s="31">
        <v>0</v>
      </c>
      <c r="FHE21" s="31">
        <v>0</v>
      </c>
      <c r="FHF21" s="31">
        <v>0</v>
      </c>
      <c r="FHG21" s="31">
        <v>0</v>
      </c>
      <c r="FHH21" s="31">
        <v>0</v>
      </c>
      <c r="FHI21" s="31">
        <v>0</v>
      </c>
      <c r="FHJ21" s="31">
        <v>0</v>
      </c>
      <c r="FHK21" s="31">
        <v>0</v>
      </c>
      <c r="FHL21" s="31">
        <v>0</v>
      </c>
      <c r="FHM21" s="31">
        <v>0</v>
      </c>
      <c r="FHN21" s="31">
        <v>0</v>
      </c>
      <c r="FHO21" s="31">
        <v>319.95</v>
      </c>
      <c r="FHP21" s="31">
        <v>0</v>
      </c>
      <c r="FHQ21" s="31">
        <v>0</v>
      </c>
      <c r="FHR21" s="31">
        <v>0</v>
      </c>
      <c r="FHS21" s="31">
        <v>0</v>
      </c>
      <c r="FHT21" s="31">
        <v>0</v>
      </c>
      <c r="FHU21" s="31">
        <v>0</v>
      </c>
      <c r="FHV21" s="31">
        <v>0</v>
      </c>
      <c r="FHW21" s="31">
        <v>0</v>
      </c>
      <c r="FHX21" s="31">
        <v>0</v>
      </c>
      <c r="FHY21" s="31">
        <v>0</v>
      </c>
      <c r="FHZ21" s="31">
        <v>0</v>
      </c>
      <c r="FIA21" s="31">
        <v>0</v>
      </c>
      <c r="FIB21" s="31">
        <v>252</v>
      </c>
      <c r="FIC21" s="31">
        <v>0</v>
      </c>
      <c r="FID21" s="31">
        <v>0</v>
      </c>
      <c r="FIE21" s="31">
        <v>0</v>
      </c>
      <c r="FIF21" s="31">
        <v>0</v>
      </c>
      <c r="FIG21" s="31">
        <v>0</v>
      </c>
      <c r="FIH21" s="31">
        <v>0</v>
      </c>
      <c r="FII21" s="31">
        <v>0</v>
      </c>
      <c r="FIJ21" s="31">
        <v>0</v>
      </c>
      <c r="FIK21" s="31">
        <v>0</v>
      </c>
      <c r="FIL21" s="31">
        <v>436.99</v>
      </c>
      <c r="FIM21" s="31">
        <v>0</v>
      </c>
      <c r="FIN21" s="31">
        <v>0</v>
      </c>
      <c r="FIO21" s="31">
        <v>0</v>
      </c>
      <c r="FIP21" s="31">
        <v>0</v>
      </c>
      <c r="FIQ21" s="31">
        <v>0</v>
      </c>
      <c r="FIR21" s="31">
        <v>0</v>
      </c>
      <c r="FIS21" s="31">
        <v>0</v>
      </c>
      <c r="FIT21" s="31">
        <v>122.01</v>
      </c>
      <c r="FIU21" s="31">
        <v>0</v>
      </c>
      <c r="FIV21" s="31">
        <v>0</v>
      </c>
      <c r="FIW21" s="31">
        <v>0</v>
      </c>
      <c r="FIX21" s="31">
        <v>0</v>
      </c>
      <c r="FIY21" s="31">
        <v>0</v>
      </c>
      <c r="FIZ21" s="31">
        <v>0</v>
      </c>
      <c r="FJA21" s="31">
        <v>0</v>
      </c>
      <c r="FJB21" s="31">
        <v>198.99</v>
      </c>
      <c r="FJC21" s="31">
        <v>0</v>
      </c>
      <c r="FJD21" s="31">
        <v>107</v>
      </c>
      <c r="FJE21" s="31">
        <v>0</v>
      </c>
      <c r="FJF21" s="31">
        <v>0</v>
      </c>
      <c r="FJG21" s="31">
        <v>0</v>
      </c>
      <c r="FJH21" s="31">
        <v>0</v>
      </c>
      <c r="FJI21" s="31">
        <v>0</v>
      </c>
      <c r="FJJ21" s="31">
        <v>0</v>
      </c>
      <c r="FJK21" s="31">
        <v>0</v>
      </c>
      <c r="FJL21" s="31">
        <v>0</v>
      </c>
      <c r="FJM21" s="31">
        <v>0</v>
      </c>
      <c r="FJN21" s="31">
        <v>0</v>
      </c>
      <c r="FJO21" s="31">
        <v>0</v>
      </c>
      <c r="FJP21" s="31">
        <v>133</v>
      </c>
      <c r="FJQ21" s="31">
        <v>0</v>
      </c>
      <c r="FJR21" s="31">
        <v>0</v>
      </c>
      <c r="FJS21" s="31">
        <v>0</v>
      </c>
      <c r="FJT21" s="31">
        <v>35</v>
      </c>
      <c r="FJU21" s="31">
        <v>0</v>
      </c>
      <c r="FJV21" s="31">
        <v>0</v>
      </c>
      <c r="FJW21" s="31">
        <v>0</v>
      </c>
      <c r="FJX21" s="31">
        <v>0</v>
      </c>
      <c r="FJY21" s="31">
        <v>0</v>
      </c>
      <c r="FJZ21" s="31">
        <v>0</v>
      </c>
      <c r="FKA21" s="31">
        <v>0</v>
      </c>
      <c r="FKB21" s="31">
        <v>0</v>
      </c>
      <c r="FKC21" s="31">
        <v>0</v>
      </c>
      <c r="FKD21" s="31">
        <v>0</v>
      </c>
      <c r="FKE21" s="31">
        <v>12</v>
      </c>
      <c r="FKF21" s="31">
        <v>0</v>
      </c>
      <c r="FKG21" s="31">
        <v>0</v>
      </c>
      <c r="FKH21" s="31">
        <v>0</v>
      </c>
      <c r="FKI21" s="31">
        <v>0</v>
      </c>
      <c r="FKJ21" s="31">
        <v>0</v>
      </c>
      <c r="FKK21" s="31">
        <v>0</v>
      </c>
      <c r="FKL21" s="31">
        <v>0</v>
      </c>
      <c r="FKM21" s="31">
        <v>135.99</v>
      </c>
      <c r="FKN21" s="31">
        <v>0</v>
      </c>
      <c r="FKO21" s="31">
        <v>0</v>
      </c>
      <c r="FKP21" s="31">
        <v>0</v>
      </c>
      <c r="FKQ21" s="31">
        <v>0</v>
      </c>
      <c r="FKR21" s="31">
        <v>0</v>
      </c>
      <c r="FKS21" s="31">
        <v>0</v>
      </c>
      <c r="FKT21" s="31">
        <v>0</v>
      </c>
      <c r="FKU21" s="31">
        <v>0</v>
      </c>
      <c r="FKV21" s="31">
        <v>0</v>
      </c>
      <c r="FKW21" s="31">
        <v>0</v>
      </c>
      <c r="FKX21" s="31">
        <v>0</v>
      </c>
      <c r="FKY21" s="31">
        <v>0</v>
      </c>
      <c r="FKZ21" s="31">
        <v>0</v>
      </c>
      <c r="FLA21" s="31">
        <v>0</v>
      </c>
      <c r="FLB21" s="31">
        <v>0</v>
      </c>
      <c r="FLC21" s="31">
        <v>0</v>
      </c>
      <c r="FLD21" s="31">
        <v>0</v>
      </c>
      <c r="FLE21" s="31">
        <v>0</v>
      </c>
      <c r="FLF21" s="31">
        <v>0</v>
      </c>
      <c r="FLG21" s="31">
        <v>0</v>
      </c>
      <c r="FLH21" s="31">
        <v>0</v>
      </c>
      <c r="FLI21" s="31">
        <v>0</v>
      </c>
      <c r="FLJ21" s="31">
        <v>0</v>
      </c>
      <c r="FLK21" s="31">
        <v>0</v>
      </c>
      <c r="FLL21" s="31">
        <v>0</v>
      </c>
      <c r="FLM21" s="31">
        <v>0</v>
      </c>
      <c r="FLN21" s="31">
        <v>0</v>
      </c>
      <c r="FLO21" s="31">
        <v>0</v>
      </c>
      <c r="FLP21" s="31">
        <v>226.99</v>
      </c>
      <c r="FLQ21" s="31">
        <v>0</v>
      </c>
      <c r="FLR21" s="31">
        <v>0</v>
      </c>
      <c r="FLS21" s="31">
        <v>0</v>
      </c>
      <c r="FLT21" s="31">
        <v>0</v>
      </c>
      <c r="FLU21" s="31">
        <v>0</v>
      </c>
      <c r="FLV21" s="31">
        <v>0</v>
      </c>
      <c r="FLW21" s="31">
        <v>0</v>
      </c>
      <c r="FLX21" s="31">
        <v>0</v>
      </c>
      <c r="FLY21" s="31">
        <v>0</v>
      </c>
      <c r="FLZ21" s="31">
        <v>0</v>
      </c>
      <c r="FMA21" s="31">
        <v>0</v>
      </c>
      <c r="FMB21" s="31">
        <v>0</v>
      </c>
      <c r="FMC21" s="31">
        <v>0</v>
      </c>
      <c r="FMD21" s="31">
        <v>0</v>
      </c>
      <c r="FME21" s="31">
        <v>0</v>
      </c>
      <c r="FMF21" s="31">
        <v>0</v>
      </c>
      <c r="FMG21" s="31">
        <v>0</v>
      </c>
      <c r="FMH21" s="31">
        <v>0</v>
      </c>
      <c r="FMI21" s="31">
        <v>0</v>
      </c>
      <c r="FMJ21" s="31">
        <v>0</v>
      </c>
      <c r="FMK21" s="31">
        <v>0</v>
      </c>
      <c r="FML21" s="31">
        <v>0</v>
      </c>
      <c r="FMM21" s="31">
        <v>0</v>
      </c>
      <c r="FMN21" s="31">
        <v>0</v>
      </c>
      <c r="FMO21" s="31">
        <v>83</v>
      </c>
      <c r="FMP21" s="31">
        <v>0</v>
      </c>
      <c r="FMQ21" s="31">
        <v>0</v>
      </c>
      <c r="FMR21" s="31">
        <v>0</v>
      </c>
      <c r="FMS21" s="31">
        <v>0</v>
      </c>
      <c r="FMT21" s="31">
        <v>0</v>
      </c>
      <c r="FMU21" s="31">
        <v>0</v>
      </c>
      <c r="FMV21" s="31">
        <v>0</v>
      </c>
      <c r="FMW21" s="31">
        <v>55</v>
      </c>
      <c r="FMX21" s="31">
        <v>0</v>
      </c>
      <c r="FMY21" s="31">
        <v>0</v>
      </c>
      <c r="FMZ21" s="31">
        <v>0</v>
      </c>
      <c r="FNA21" s="31">
        <v>0</v>
      </c>
      <c r="FNB21" s="31">
        <v>0</v>
      </c>
      <c r="FNC21" s="31">
        <v>0</v>
      </c>
      <c r="FND21" s="31">
        <v>0</v>
      </c>
      <c r="FNE21" s="31">
        <v>0</v>
      </c>
      <c r="FNF21" s="31">
        <v>0</v>
      </c>
      <c r="FNG21" s="31">
        <v>0</v>
      </c>
      <c r="FNH21" s="31">
        <v>0</v>
      </c>
      <c r="FNI21" s="31">
        <v>0</v>
      </c>
      <c r="FNJ21" s="31">
        <v>0</v>
      </c>
      <c r="FNK21" s="31">
        <v>0</v>
      </c>
      <c r="FNL21" s="31">
        <v>0</v>
      </c>
      <c r="FNM21" s="31">
        <v>0</v>
      </c>
      <c r="FNN21" s="31">
        <v>0</v>
      </c>
      <c r="FNO21" s="31">
        <v>0</v>
      </c>
      <c r="FNP21" s="31">
        <v>0</v>
      </c>
      <c r="FNQ21" s="31">
        <v>0</v>
      </c>
      <c r="FNR21" s="31">
        <v>0</v>
      </c>
      <c r="FNS21" s="31">
        <v>0</v>
      </c>
      <c r="FNT21" s="31">
        <v>0</v>
      </c>
      <c r="FNU21" s="31">
        <v>0</v>
      </c>
      <c r="FNV21" s="31">
        <v>726.95</v>
      </c>
      <c r="FNW21" s="31">
        <v>0</v>
      </c>
      <c r="FNX21" s="31">
        <v>0</v>
      </c>
      <c r="FNY21" s="31">
        <v>0</v>
      </c>
      <c r="FNZ21" s="31">
        <v>0</v>
      </c>
      <c r="FOA21" s="31">
        <v>0</v>
      </c>
      <c r="FOB21" s="31">
        <v>0</v>
      </c>
      <c r="FOC21" s="31">
        <v>0</v>
      </c>
      <c r="FOD21" s="31">
        <v>0</v>
      </c>
      <c r="FOE21" s="31">
        <v>0</v>
      </c>
      <c r="FOF21" s="31">
        <v>0</v>
      </c>
      <c r="FOG21" s="31">
        <v>0</v>
      </c>
      <c r="FOH21" s="31">
        <v>0</v>
      </c>
      <c r="FOI21" s="31">
        <v>0</v>
      </c>
      <c r="FOJ21" s="31">
        <v>0</v>
      </c>
      <c r="FOK21" s="31">
        <v>0</v>
      </c>
      <c r="FOL21" s="31">
        <v>17</v>
      </c>
      <c r="FOM21" s="31">
        <v>0</v>
      </c>
      <c r="FON21" s="31">
        <v>0</v>
      </c>
      <c r="FOO21" s="31">
        <v>0</v>
      </c>
      <c r="FOP21" s="31">
        <v>0</v>
      </c>
      <c r="FOQ21" s="31">
        <v>0</v>
      </c>
      <c r="FOR21" s="31">
        <v>0</v>
      </c>
      <c r="FOS21" s="31">
        <v>0</v>
      </c>
      <c r="FOT21" s="31">
        <v>0</v>
      </c>
      <c r="FOU21" s="31">
        <v>0</v>
      </c>
      <c r="FOV21" s="31">
        <v>0</v>
      </c>
      <c r="FOW21" s="31">
        <v>0</v>
      </c>
      <c r="FOX21" s="31">
        <v>0</v>
      </c>
      <c r="FOY21" s="31">
        <v>0</v>
      </c>
      <c r="FOZ21" s="31">
        <v>0</v>
      </c>
      <c r="FPA21" s="31">
        <v>91.99</v>
      </c>
      <c r="FPB21" s="31">
        <v>0</v>
      </c>
      <c r="FPC21" s="31">
        <v>0</v>
      </c>
      <c r="FPD21" s="31">
        <v>0</v>
      </c>
      <c r="FPE21" s="31">
        <v>0</v>
      </c>
      <c r="FPF21" s="31">
        <v>0</v>
      </c>
      <c r="FPG21" s="31">
        <v>0</v>
      </c>
      <c r="FPH21" s="31">
        <v>0</v>
      </c>
      <c r="FPI21" s="31">
        <v>450.98</v>
      </c>
      <c r="FPJ21" s="31">
        <v>0</v>
      </c>
      <c r="FPK21" s="31">
        <v>0</v>
      </c>
      <c r="FPL21" s="31">
        <v>0</v>
      </c>
      <c r="FPM21" s="31">
        <v>0</v>
      </c>
      <c r="FPN21" s="31">
        <v>0</v>
      </c>
      <c r="FPO21" s="31">
        <v>0</v>
      </c>
      <c r="FPP21" s="31">
        <v>0</v>
      </c>
      <c r="FPQ21" s="31">
        <v>17.989999999999998</v>
      </c>
      <c r="FPR21" s="31">
        <v>0</v>
      </c>
      <c r="FPS21" s="31">
        <v>0</v>
      </c>
      <c r="FPT21" s="31">
        <v>0</v>
      </c>
      <c r="FPU21" s="31">
        <v>0</v>
      </c>
      <c r="FPV21" s="31">
        <v>0</v>
      </c>
      <c r="FPW21" s="31">
        <v>649.95000000000005</v>
      </c>
      <c r="FPX21" s="31">
        <v>0</v>
      </c>
      <c r="FPY21" s="31">
        <v>0</v>
      </c>
      <c r="FPZ21" s="31">
        <v>0</v>
      </c>
      <c r="FQA21" s="31">
        <v>7</v>
      </c>
      <c r="FQB21" s="31">
        <v>0</v>
      </c>
      <c r="FQC21" s="31">
        <v>0</v>
      </c>
      <c r="FQD21" s="31">
        <v>143.99</v>
      </c>
      <c r="FQE21" s="31">
        <v>296.04000000000002</v>
      </c>
      <c r="FQF21" s="31">
        <v>51.99</v>
      </c>
      <c r="FQG21" s="31">
        <v>0</v>
      </c>
      <c r="FQH21" s="31">
        <v>1132.94</v>
      </c>
      <c r="FQI21" s="31">
        <v>0</v>
      </c>
      <c r="FQJ21" s="31">
        <v>0</v>
      </c>
      <c r="FQK21" s="31">
        <v>0</v>
      </c>
      <c r="FQL21" s="31">
        <v>0</v>
      </c>
      <c r="FQM21" s="31">
        <v>0</v>
      </c>
      <c r="FQN21" s="31">
        <v>0</v>
      </c>
      <c r="FQO21" s="31">
        <v>0</v>
      </c>
      <c r="FQP21" s="31">
        <v>0</v>
      </c>
      <c r="FQQ21" s="31">
        <v>0</v>
      </c>
      <c r="FQR21" s="31">
        <v>0</v>
      </c>
      <c r="FQS21" s="31">
        <v>777.94</v>
      </c>
      <c r="FQT21" s="31">
        <v>0</v>
      </c>
      <c r="FQU21" s="31">
        <v>0</v>
      </c>
      <c r="FQV21" s="31">
        <v>0</v>
      </c>
      <c r="FQW21" s="31">
        <v>0</v>
      </c>
      <c r="FQX21" s="31">
        <v>0</v>
      </c>
      <c r="FQY21" s="31">
        <v>0</v>
      </c>
      <c r="FQZ21" s="31">
        <v>1049.9100000000001</v>
      </c>
      <c r="FRA21" s="31">
        <v>0</v>
      </c>
      <c r="FRB21" s="31">
        <v>0</v>
      </c>
      <c r="FRC21" s="31">
        <v>0</v>
      </c>
      <c r="FRD21" s="31">
        <v>0</v>
      </c>
      <c r="FRE21" s="31">
        <v>0</v>
      </c>
      <c r="FRF21" s="31">
        <v>0</v>
      </c>
      <c r="FRG21" s="31">
        <v>0</v>
      </c>
      <c r="FRH21" s="31">
        <v>0</v>
      </c>
      <c r="FRI21" s="31">
        <v>0</v>
      </c>
      <c r="FRJ21" s="31">
        <v>0</v>
      </c>
      <c r="FRK21" s="31">
        <v>0</v>
      </c>
      <c r="FRL21" s="31">
        <v>0</v>
      </c>
      <c r="FRM21" s="31">
        <v>0</v>
      </c>
      <c r="FRN21" s="31">
        <v>12</v>
      </c>
      <c r="FRO21" s="31">
        <v>0</v>
      </c>
      <c r="FRP21" s="31">
        <v>0</v>
      </c>
      <c r="FRQ21" s="31">
        <v>382.96</v>
      </c>
      <c r="FRR21" s="31">
        <v>0</v>
      </c>
      <c r="FRS21" s="31">
        <v>0</v>
      </c>
      <c r="FRT21" s="31">
        <v>0</v>
      </c>
      <c r="FRU21" s="31">
        <v>0</v>
      </c>
      <c r="FRV21" s="31">
        <v>0</v>
      </c>
      <c r="FRW21" s="31">
        <v>0</v>
      </c>
      <c r="FRX21" s="31">
        <v>0</v>
      </c>
      <c r="FRY21" s="31">
        <v>0</v>
      </c>
      <c r="FRZ21" s="31">
        <v>220.98</v>
      </c>
      <c r="FSA21" s="31">
        <v>0</v>
      </c>
      <c r="FSB21" s="31">
        <v>0</v>
      </c>
      <c r="FSC21" s="31">
        <v>0</v>
      </c>
      <c r="FSD21" s="31">
        <v>0</v>
      </c>
      <c r="FSE21" s="31">
        <v>0</v>
      </c>
      <c r="FSF21" s="31">
        <v>0</v>
      </c>
      <c r="FSG21" s="31">
        <v>0</v>
      </c>
      <c r="FSH21" s="31">
        <v>1294.94</v>
      </c>
      <c r="FSI21" s="31">
        <v>0</v>
      </c>
      <c r="FSJ21" s="31">
        <v>0</v>
      </c>
      <c r="FSK21" s="31">
        <v>0</v>
      </c>
      <c r="FSL21" s="31">
        <v>1307.95</v>
      </c>
      <c r="FSM21" s="31">
        <v>0</v>
      </c>
      <c r="FSN21" s="31">
        <v>0</v>
      </c>
      <c r="FSO21" s="31">
        <v>453.96</v>
      </c>
      <c r="FSP21" s="31">
        <v>0</v>
      </c>
      <c r="FSQ21" s="31">
        <v>0</v>
      </c>
      <c r="FSR21" s="31">
        <v>0</v>
      </c>
      <c r="FSS21" s="31">
        <v>0</v>
      </c>
      <c r="FST21" s="31">
        <v>0</v>
      </c>
      <c r="FSU21" s="31">
        <v>0</v>
      </c>
      <c r="FSV21" s="31">
        <v>0</v>
      </c>
      <c r="FSW21" s="31">
        <v>0</v>
      </c>
      <c r="FSX21" s="31">
        <v>0</v>
      </c>
      <c r="FSY21" s="31">
        <v>0</v>
      </c>
      <c r="FSZ21" s="31">
        <v>14</v>
      </c>
      <c r="FTA21" s="31">
        <v>0</v>
      </c>
      <c r="FTB21" s="31">
        <v>0</v>
      </c>
      <c r="FTC21" s="31">
        <v>0</v>
      </c>
      <c r="FTD21" s="31">
        <v>0</v>
      </c>
      <c r="FTE21" s="31">
        <v>0</v>
      </c>
      <c r="FTF21" s="31">
        <v>0</v>
      </c>
      <c r="FTG21" s="31">
        <v>48</v>
      </c>
      <c r="FTH21" s="31">
        <v>0</v>
      </c>
      <c r="FTI21" s="31">
        <v>0</v>
      </c>
      <c r="FTJ21" s="31">
        <v>0</v>
      </c>
      <c r="FTK21" s="31">
        <v>0</v>
      </c>
      <c r="FTL21" s="31">
        <v>0</v>
      </c>
      <c r="FTM21" s="31">
        <v>0</v>
      </c>
      <c r="FTN21" s="31">
        <v>0</v>
      </c>
      <c r="FTO21" s="31">
        <v>0</v>
      </c>
      <c r="FTP21" s="31">
        <v>0</v>
      </c>
      <c r="FTQ21" s="31">
        <v>0</v>
      </c>
      <c r="FTR21" s="31">
        <v>0</v>
      </c>
      <c r="FTS21" s="31">
        <v>0</v>
      </c>
      <c r="FTT21" s="31">
        <v>0</v>
      </c>
      <c r="FTU21" s="31">
        <v>98.97</v>
      </c>
      <c r="FTV21" s="31">
        <v>0</v>
      </c>
      <c r="FTW21" s="31">
        <v>0</v>
      </c>
      <c r="FTX21" s="31">
        <v>0</v>
      </c>
      <c r="FTY21" s="31">
        <v>0</v>
      </c>
      <c r="FTZ21" s="31">
        <v>0</v>
      </c>
      <c r="FUA21" s="31">
        <v>0</v>
      </c>
      <c r="FUB21" s="31">
        <v>0</v>
      </c>
      <c r="FUC21" s="31">
        <v>0</v>
      </c>
      <c r="FUD21" s="31">
        <v>0</v>
      </c>
      <c r="FUE21" s="31">
        <v>0</v>
      </c>
      <c r="FUF21" s="31">
        <v>0</v>
      </c>
      <c r="FUG21" s="31">
        <v>1183.94</v>
      </c>
      <c r="FUH21" s="31">
        <v>0</v>
      </c>
      <c r="FUI21" s="31">
        <v>0</v>
      </c>
      <c r="FUJ21" s="31">
        <v>0</v>
      </c>
      <c r="FUK21" s="31">
        <v>0</v>
      </c>
      <c r="FUL21" s="31">
        <v>0</v>
      </c>
      <c r="FUM21" s="31">
        <v>0</v>
      </c>
      <c r="FUN21" s="31">
        <v>0</v>
      </c>
      <c r="FUO21" s="31">
        <v>0</v>
      </c>
      <c r="FUP21" s="31">
        <v>0</v>
      </c>
      <c r="FUQ21" s="31">
        <v>0</v>
      </c>
      <c r="FUR21" s="31">
        <v>0</v>
      </c>
      <c r="FUS21" s="31">
        <v>0</v>
      </c>
      <c r="FUT21" s="31">
        <v>0</v>
      </c>
      <c r="FUU21" s="31">
        <v>0</v>
      </c>
      <c r="FUV21" s="31">
        <v>0</v>
      </c>
      <c r="FUW21" s="31">
        <v>0</v>
      </c>
      <c r="FUX21" s="31">
        <v>0</v>
      </c>
      <c r="FUY21" s="31">
        <v>54.99</v>
      </c>
      <c r="FUZ21" s="31">
        <v>0</v>
      </c>
      <c r="FVA21" s="31">
        <v>0</v>
      </c>
      <c r="FVB21" s="31">
        <v>0</v>
      </c>
      <c r="FVC21" s="31">
        <v>0</v>
      </c>
      <c r="FVD21" s="31">
        <v>292.98</v>
      </c>
      <c r="FVE21" s="31">
        <v>0</v>
      </c>
      <c r="FVF21" s="31">
        <v>0</v>
      </c>
      <c r="FVG21" s="31">
        <v>0</v>
      </c>
      <c r="FVH21" s="31">
        <v>0</v>
      </c>
      <c r="FVI21" s="31">
        <v>0</v>
      </c>
      <c r="FVJ21" s="31">
        <v>0</v>
      </c>
      <c r="FVK21" s="31">
        <v>0</v>
      </c>
      <c r="FVL21" s="31">
        <v>0</v>
      </c>
      <c r="FVM21" s="31">
        <v>0</v>
      </c>
      <c r="FVN21" s="31">
        <v>618.02</v>
      </c>
      <c r="FVO21" s="31">
        <v>0</v>
      </c>
      <c r="FVP21" s="31">
        <v>103</v>
      </c>
      <c r="FVQ21" s="31">
        <v>0</v>
      </c>
      <c r="FVR21" s="31">
        <v>0</v>
      </c>
      <c r="FVS21" s="31">
        <v>0</v>
      </c>
      <c r="FVT21" s="31">
        <v>46</v>
      </c>
      <c r="FVU21" s="31">
        <v>0</v>
      </c>
      <c r="FVV21" s="31">
        <v>40</v>
      </c>
      <c r="FVW21" s="31">
        <v>65.989999999999995</v>
      </c>
      <c r="FVX21" s="31">
        <v>0</v>
      </c>
      <c r="FVY21" s="31">
        <v>1451.92</v>
      </c>
      <c r="FVZ21" s="31">
        <v>0</v>
      </c>
      <c r="FWA21" s="31">
        <f>SUM(FVZ2:FVZ21)</f>
        <v>1562.96</v>
      </c>
      <c r="FWB21" s="31">
        <v>0</v>
      </c>
      <c r="FWC21" s="31">
        <v>0</v>
      </c>
      <c r="FWD21" s="31">
        <v>0</v>
      </c>
      <c r="FWE21" s="31">
        <v>0</v>
      </c>
      <c r="FWF21" s="31">
        <v>0</v>
      </c>
      <c r="FWG21" s="31">
        <v>0</v>
      </c>
      <c r="FWH21" s="31">
        <v>0</v>
      </c>
      <c r="FWI21" s="31">
        <v>0</v>
      </c>
      <c r="FWJ21" s="31">
        <v>24</v>
      </c>
      <c r="FWK21" s="31">
        <v>0</v>
      </c>
      <c r="FWL21" s="31">
        <v>0</v>
      </c>
      <c r="FWM21" s="31">
        <v>232.99</v>
      </c>
      <c r="FWN21" s="31">
        <v>0</v>
      </c>
      <c r="FWO21" s="31">
        <v>0</v>
      </c>
      <c r="FWP21" s="31">
        <v>0</v>
      </c>
      <c r="FWQ21" s="31">
        <v>0</v>
      </c>
      <c r="FWR21" s="31">
        <v>0</v>
      </c>
      <c r="FWS21" s="31">
        <v>0</v>
      </c>
      <c r="FWT21" s="31">
        <v>0</v>
      </c>
      <c r="FWU21" s="31">
        <v>0</v>
      </c>
      <c r="FWV21" s="31">
        <v>0</v>
      </c>
      <c r="FWW21" s="31">
        <v>0</v>
      </c>
      <c r="FWX21" s="31">
        <v>83</v>
      </c>
      <c r="FWY21" s="31">
        <v>0</v>
      </c>
      <c r="FWZ21" s="31">
        <v>0</v>
      </c>
      <c r="FXA21" s="31">
        <v>0</v>
      </c>
      <c r="FXB21" s="31">
        <v>359.99</v>
      </c>
      <c r="FXC21" s="31">
        <v>0</v>
      </c>
      <c r="FXD21" s="31">
        <v>0</v>
      </c>
      <c r="FXE21" s="31">
        <v>0</v>
      </c>
      <c r="FXF21" s="31">
        <v>6</v>
      </c>
      <c r="FXG21" s="31">
        <v>1203.9100000000001</v>
      </c>
      <c r="FXH21" s="31">
        <v>75.989999999999995</v>
      </c>
      <c r="FXI21" s="31">
        <v>0</v>
      </c>
      <c r="FXJ21" s="31">
        <v>0</v>
      </c>
      <c r="FXK21" s="31">
        <v>0</v>
      </c>
      <c r="FXL21" s="31">
        <v>0</v>
      </c>
      <c r="FXM21" s="31">
        <v>0</v>
      </c>
      <c r="FXN21" s="31">
        <v>781.96</v>
      </c>
      <c r="FXO21" s="31">
        <v>0</v>
      </c>
      <c r="FXP21" s="31">
        <v>0</v>
      </c>
      <c r="FXQ21" s="31">
        <v>329.98</v>
      </c>
      <c r="FXR21" s="31">
        <v>0</v>
      </c>
      <c r="FXS21" s="31">
        <v>0</v>
      </c>
      <c r="FXT21" s="31">
        <v>0</v>
      </c>
      <c r="FXU21" s="31">
        <v>0</v>
      </c>
      <c r="FXV21" s="31">
        <v>0</v>
      </c>
      <c r="FXW21" s="31">
        <v>0</v>
      </c>
      <c r="FXX21" s="31">
        <v>0</v>
      </c>
      <c r="FXY21" s="31">
        <v>403.96</v>
      </c>
      <c r="FXZ21" s="31">
        <v>0</v>
      </c>
      <c r="FYA21" s="31">
        <v>0</v>
      </c>
      <c r="FYB21" s="31">
        <v>150.91</v>
      </c>
      <c r="FYC21" s="31">
        <v>0</v>
      </c>
      <c r="FYD21" s="31">
        <v>189.99</v>
      </c>
      <c r="FYE21" s="31">
        <v>0</v>
      </c>
      <c r="FYF21" s="31">
        <v>0</v>
      </c>
      <c r="FYG21" s="31">
        <v>0</v>
      </c>
      <c r="FYH21" s="31">
        <v>0</v>
      </c>
      <c r="FYI21" s="31">
        <v>0</v>
      </c>
      <c r="FYJ21" s="31">
        <v>536.96</v>
      </c>
      <c r="FYK21" s="31">
        <v>0</v>
      </c>
      <c r="FYL21" s="31">
        <v>138</v>
      </c>
      <c r="FYM21" s="31">
        <v>0</v>
      </c>
      <c r="FYN21" s="31">
        <v>0</v>
      </c>
      <c r="FYO21" s="31">
        <v>0</v>
      </c>
      <c r="FYP21" s="31">
        <v>0</v>
      </c>
      <c r="FYQ21" s="31">
        <v>0</v>
      </c>
      <c r="FYR21" s="31">
        <v>0</v>
      </c>
      <c r="FYS21" s="31">
        <v>108.99</v>
      </c>
      <c r="FYT21" s="31">
        <v>0</v>
      </c>
      <c r="FYU21" s="31">
        <v>0</v>
      </c>
      <c r="FYV21" s="31">
        <v>0</v>
      </c>
      <c r="FYW21" s="31">
        <v>0</v>
      </c>
      <c r="FYX21" s="31">
        <v>0</v>
      </c>
      <c r="FYY21" s="31">
        <v>109.99</v>
      </c>
      <c r="FYZ21" s="31">
        <v>0</v>
      </c>
      <c r="FZA21" s="31">
        <v>145.97999999999999</v>
      </c>
      <c r="FZB21" s="31">
        <v>0</v>
      </c>
      <c r="FZC21" s="31">
        <v>0</v>
      </c>
      <c r="FZD21" s="31">
        <v>0</v>
      </c>
      <c r="FZE21" s="31">
        <v>1415.89</v>
      </c>
      <c r="FZF21" s="31">
        <v>0</v>
      </c>
      <c r="FZG21" s="31">
        <v>0</v>
      </c>
      <c r="FZH21" s="31">
        <v>0</v>
      </c>
      <c r="FZI21" s="31">
        <v>0</v>
      </c>
      <c r="FZJ21" s="31">
        <v>0</v>
      </c>
      <c r="FZK21" s="31">
        <v>0</v>
      </c>
      <c r="FZL21" s="31">
        <v>0</v>
      </c>
      <c r="FZM21" s="31">
        <v>0</v>
      </c>
      <c r="FZN21" s="31">
        <v>0</v>
      </c>
      <c r="FZO21" s="31">
        <v>0</v>
      </c>
      <c r="FZP21" s="31">
        <v>0</v>
      </c>
      <c r="FZQ21" s="31">
        <v>0</v>
      </c>
      <c r="FZR21" s="31">
        <v>0</v>
      </c>
      <c r="FZS21" s="31">
        <v>29</v>
      </c>
      <c r="FZT21" s="31">
        <v>0</v>
      </c>
      <c r="FZU21" s="31">
        <v>0</v>
      </c>
      <c r="FZV21" s="31">
        <v>0</v>
      </c>
      <c r="FZW21" s="31">
        <v>0</v>
      </c>
      <c r="FZX21" s="31">
        <v>0</v>
      </c>
      <c r="FZY21" s="31">
        <v>0</v>
      </c>
      <c r="FZZ21" s="31">
        <v>0</v>
      </c>
      <c r="GAA21" s="31">
        <v>0</v>
      </c>
      <c r="GAB21" s="31">
        <v>0</v>
      </c>
      <c r="GAC21" s="31">
        <v>0</v>
      </c>
      <c r="GAD21" s="31">
        <v>0</v>
      </c>
      <c r="GAE21" s="31">
        <v>0</v>
      </c>
      <c r="GAF21" s="31">
        <v>0</v>
      </c>
      <c r="GAG21" s="31">
        <v>0</v>
      </c>
      <c r="GAH21" s="31">
        <v>0</v>
      </c>
      <c r="GAI21" s="31">
        <v>0</v>
      </c>
      <c r="GAJ21" s="31">
        <v>0</v>
      </c>
      <c r="GAK21" s="31">
        <v>0</v>
      </c>
      <c r="GAL21" s="31">
        <v>0</v>
      </c>
      <c r="GAM21" s="31">
        <v>0</v>
      </c>
      <c r="GAN21" s="31">
        <v>0</v>
      </c>
      <c r="GAO21" s="31">
        <v>0</v>
      </c>
      <c r="GAP21" s="31">
        <v>451.94</v>
      </c>
      <c r="GAQ21" s="31">
        <v>0</v>
      </c>
      <c r="GAR21" s="31">
        <v>0</v>
      </c>
      <c r="GAS21" s="31">
        <v>0</v>
      </c>
      <c r="GAT21" s="31">
        <v>0</v>
      </c>
      <c r="GAU21" s="31">
        <v>33</v>
      </c>
      <c r="GAV21" s="31">
        <v>1554</v>
      </c>
      <c r="GAW21" s="31">
        <v>0</v>
      </c>
      <c r="GAX21" s="31">
        <v>58.99</v>
      </c>
      <c r="GAY21" s="31">
        <v>0</v>
      </c>
      <c r="GAZ21" s="31">
        <v>0</v>
      </c>
      <c r="GBA21" s="31">
        <v>0</v>
      </c>
      <c r="GBB21" s="31">
        <v>70.989999999999995</v>
      </c>
      <c r="GBC21" s="31">
        <v>0</v>
      </c>
      <c r="GBD21" s="31">
        <v>0</v>
      </c>
      <c r="GBE21" s="31">
        <v>0</v>
      </c>
      <c r="GBF21" s="31">
        <v>0</v>
      </c>
      <c r="GBG21" s="31">
        <v>0</v>
      </c>
      <c r="GBH21" s="31">
        <v>0</v>
      </c>
      <c r="GBI21" s="31">
        <v>0</v>
      </c>
      <c r="GBJ21" s="31">
        <v>0</v>
      </c>
      <c r="GBK21" s="31">
        <v>0</v>
      </c>
      <c r="GBL21" s="31">
        <v>0</v>
      </c>
      <c r="GBM21" s="31">
        <v>0</v>
      </c>
      <c r="GBN21" s="31">
        <v>0</v>
      </c>
      <c r="GBO21" s="31">
        <v>0</v>
      </c>
      <c r="GBP21" s="31">
        <v>0</v>
      </c>
      <c r="GBQ21" s="31">
        <v>0</v>
      </c>
      <c r="GBR21" s="31">
        <v>46</v>
      </c>
      <c r="GBS21" s="31">
        <v>0</v>
      </c>
      <c r="GBT21" s="31">
        <v>0</v>
      </c>
      <c r="GBU21" s="31">
        <v>0</v>
      </c>
      <c r="GBV21" s="31">
        <v>0</v>
      </c>
      <c r="GBW21" s="31">
        <v>296.02999999999997</v>
      </c>
      <c r="GBX21" s="31">
        <v>233.99</v>
      </c>
      <c r="GBY21" s="31">
        <v>0</v>
      </c>
      <c r="GBZ21" s="31">
        <v>0</v>
      </c>
      <c r="GCA21" s="31">
        <v>87</v>
      </c>
      <c r="GCB21" s="31">
        <v>0</v>
      </c>
      <c r="GCC21" s="31">
        <v>567.04</v>
      </c>
      <c r="GCD21" s="31">
        <v>0</v>
      </c>
      <c r="GCE21" s="31">
        <v>0</v>
      </c>
      <c r="GCF21" s="31">
        <v>0</v>
      </c>
      <c r="GCG21" s="31">
        <v>58.99</v>
      </c>
      <c r="GCH21" s="31">
        <v>0</v>
      </c>
      <c r="GCI21" s="31">
        <v>0</v>
      </c>
      <c r="GCJ21" s="31">
        <v>0</v>
      </c>
      <c r="GCK21" s="31">
        <v>0</v>
      </c>
      <c r="GCL21" s="31">
        <v>2259.84</v>
      </c>
      <c r="GCM21" s="31">
        <v>0</v>
      </c>
      <c r="GCN21" s="31">
        <v>16</v>
      </c>
      <c r="GCO21" s="31">
        <v>0</v>
      </c>
      <c r="GCP21" s="31">
        <v>0</v>
      </c>
      <c r="GCQ21" s="31">
        <v>0</v>
      </c>
      <c r="GCR21" s="31">
        <v>0</v>
      </c>
      <c r="GCS21" s="31">
        <v>0</v>
      </c>
      <c r="GCT21" s="31">
        <v>0</v>
      </c>
      <c r="GCU21" s="31">
        <v>0</v>
      </c>
      <c r="GCV21" s="31">
        <v>340.96</v>
      </c>
      <c r="GCW21" s="31">
        <v>0</v>
      </c>
      <c r="GCX21" s="31">
        <v>0</v>
      </c>
      <c r="GCY21" s="31">
        <v>0</v>
      </c>
      <c r="GCZ21" s="31">
        <v>0</v>
      </c>
      <c r="GDA21" s="31">
        <v>0</v>
      </c>
      <c r="GDB21" s="31">
        <v>0</v>
      </c>
      <c r="GDC21" s="31">
        <v>0</v>
      </c>
      <c r="GDD21" s="31">
        <v>0</v>
      </c>
      <c r="GDE21" s="31">
        <v>0</v>
      </c>
      <c r="GDF21" s="31">
        <v>0</v>
      </c>
      <c r="GDG21" s="31">
        <v>0</v>
      </c>
      <c r="GDH21" s="31">
        <v>0</v>
      </c>
      <c r="GDI21" s="31">
        <v>0</v>
      </c>
      <c r="GDJ21" s="31">
        <v>0</v>
      </c>
      <c r="GDK21" s="31">
        <v>0</v>
      </c>
      <c r="GDL21" s="31">
        <v>0</v>
      </c>
      <c r="GDM21" s="31">
        <v>104.99</v>
      </c>
      <c r="GDN21" s="31">
        <v>0</v>
      </c>
      <c r="GDO21" s="31">
        <v>2384.9899999999998</v>
      </c>
      <c r="GDP21" s="31">
        <v>0</v>
      </c>
      <c r="GDQ21" s="31">
        <v>0</v>
      </c>
      <c r="GDR21" s="31">
        <v>0</v>
      </c>
      <c r="GDS21" s="31">
        <v>400.98</v>
      </c>
      <c r="GDT21" s="31">
        <v>0</v>
      </c>
      <c r="GDU21" s="31">
        <v>0</v>
      </c>
      <c r="GDV21" s="31">
        <v>0</v>
      </c>
      <c r="GDW21" s="31">
        <v>0</v>
      </c>
      <c r="GDX21" s="31">
        <v>0</v>
      </c>
      <c r="GDY21" s="31">
        <v>0</v>
      </c>
      <c r="GDZ21" s="31">
        <v>0</v>
      </c>
      <c r="GEA21" s="31">
        <v>0</v>
      </c>
      <c r="GEB21" s="31">
        <v>89.99</v>
      </c>
      <c r="GEC21" s="31">
        <v>0</v>
      </c>
      <c r="GED21" s="31">
        <v>248.99</v>
      </c>
      <c r="GEE21" s="31">
        <v>0</v>
      </c>
      <c r="GEF21" s="31">
        <v>0</v>
      </c>
      <c r="GEG21" s="31">
        <v>0</v>
      </c>
      <c r="GEH21" s="31">
        <v>179.01</v>
      </c>
      <c r="GEI21" s="31">
        <v>49</v>
      </c>
      <c r="GEJ21" s="31">
        <v>0</v>
      </c>
      <c r="GEK21" s="31">
        <v>0</v>
      </c>
      <c r="GEL21" s="31">
        <v>0</v>
      </c>
      <c r="GEM21" s="31">
        <v>0</v>
      </c>
      <c r="GEN21" s="31">
        <v>58</v>
      </c>
      <c r="GEO21" s="31">
        <v>26</v>
      </c>
      <c r="GEP21" s="31">
        <v>0</v>
      </c>
      <c r="GEQ21" s="31">
        <v>0</v>
      </c>
      <c r="GER21" s="31">
        <v>0</v>
      </c>
      <c r="GES21" s="31">
        <v>0</v>
      </c>
      <c r="GET21" s="31">
        <v>0</v>
      </c>
      <c r="GEU21" s="31">
        <v>0</v>
      </c>
      <c r="GEV21" s="31">
        <v>0</v>
      </c>
      <c r="GEW21" s="31">
        <v>0</v>
      </c>
      <c r="GEX21" s="31">
        <v>0</v>
      </c>
      <c r="GEY21" s="31">
        <v>0</v>
      </c>
      <c r="GEZ21" s="31">
        <v>0</v>
      </c>
      <c r="GFA21" s="31">
        <v>0</v>
      </c>
      <c r="GFB21" s="31">
        <v>0</v>
      </c>
      <c r="GFC21" s="31">
        <v>0</v>
      </c>
      <c r="GFD21" s="31">
        <v>0</v>
      </c>
      <c r="GFE21" s="31">
        <v>0</v>
      </c>
      <c r="GFF21" s="31">
        <v>146.02000000000001</v>
      </c>
      <c r="GFG21" s="31">
        <v>0</v>
      </c>
      <c r="GFH21" s="31">
        <v>0</v>
      </c>
      <c r="GFI21" s="31">
        <v>0</v>
      </c>
      <c r="GFJ21" s="31">
        <v>0</v>
      </c>
      <c r="GFK21" s="31">
        <v>50</v>
      </c>
      <c r="GFL21" s="31">
        <v>0</v>
      </c>
      <c r="GFM21" s="31">
        <v>0</v>
      </c>
      <c r="GFN21" s="31">
        <v>0</v>
      </c>
      <c r="GFO21" s="31">
        <v>0</v>
      </c>
      <c r="GFP21" s="31">
        <v>0</v>
      </c>
      <c r="GFQ21" s="31">
        <v>0</v>
      </c>
      <c r="GFR21" s="31">
        <v>0</v>
      </c>
      <c r="GFS21" s="31">
        <v>0</v>
      </c>
      <c r="GFT21" s="31">
        <v>0</v>
      </c>
      <c r="GFU21" s="31">
        <v>0</v>
      </c>
      <c r="GFV21" s="31">
        <v>0</v>
      </c>
      <c r="GFW21" s="31">
        <v>0</v>
      </c>
      <c r="GFX21" s="31">
        <v>0</v>
      </c>
      <c r="GFY21" s="31">
        <v>0</v>
      </c>
      <c r="GFZ21" s="31">
        <v>0</v>
      </c>
      <c r="GGA21" s="31">
        <v>0</v>
      </c>
      <c r="GGB21" s="31">
        <v>0</v>
      </c>
      <c r="GGC21" s="31">
        <v>0</v>
      </c>
      <c r="GGD21" s="31">
        <v>0</v>
      </c>
      <c r="GGE21" s="31">
        <v>0</v>
      </c>
      <c r="GGF21" s="31">
        <v>0</v>
      </c>
      <c r="GGG21" s="31">
        <v>0</v>
      </c>
      <c r="GGH21" s="31">
        <v>0</v>
      </c>
      <c r="GGI21" s="31">
        <v>0</v>
      </c>
      <c r="GGJ21" s="31">
        <v>0</v>
      </c>
      <c r="GGK21" s="31">
        <v>0</v>
      </c>
      <c r="GGL21" s="31">
        <v>0</v>
      </c>
      <c r="GGM21" s="31">
        <v>103</v>
      </c>
      <c r="GGN21" s="31">
        <v>0</v>
      </c>
      <c r="GGO21" s="31">
        <v>0</v>
      </c>
      <c r="GGP21" s="31">
        <v>279.99</v>
      </c>
      <c r="GGQ21" s="31">
        <v>0</v>
      </c>
      <c r="GGR21" s="31">
        <v>0</v>
      </c>
      <c r="GGS21" s="31">
        <v>0</v>
      </c>
      <c r="GGT21" s="31">
        <v>0</v>
      </c>
      <c r="GGU21" s="31">
        <v>0</v>
      </c>
      <c r="GGV21" s="31">
        <v>2277.9</v>
      </c>
      <c r="GGW21" s="31">
        <v>0</v>
      </c>
      <c r="GGX21" s="31">
        <v>0</v>
      </c>
      <c r="GGY21" s="31">
        <v>0</v>
      </c>
      <c r="GGZ21" s="31">
        <v>0</v>
      </c>
      <c r="GHA21" s="31">
        <v>252.99</v>
      </c>
      <c r="GHB21" s="31">
        <v>0</v>
      </c>
      <c r="GHC21" s="31">
        <v>2014.94</v>
      </c>
      <c r="GHD21" s="31">
        <v>0</v>
      </c>
      <c r="GHE21" s="31">
        <v>22</v>
      </c>
      <c r="GHF21" s="31">
        <v>0</v>
      </c>
      <c r="GHG21" s="31">
        <v>1558.91</v>
      </c>
      <c r="GHH21" s="31">
        <v>0</v>
      </c>
      <c r="GHI21" s="31">
        <v>0</v>
      </c>
      <c r="GHJ21" s="31">
        <v>223</v>
      </c>
      <c r="GHK21" s="31">
        <v>0</v>
      </c>
      <c r="GHL21" s="31">
        <v>558.96</v>
      </c>
      <c r="GHM21" s="31">
        <v>0</v>
      </c>
      <c r="GHN21" s="31">
        <v>1207.92</v>
      </c>
      <c r="GHO21" s="31">
        <v>71.989999999999995</v>
      </c>
      <c r="GHP21" s="31">
        <v>0</v>
      </c>
      <c r="GHQ21" s="31">
        <v>0</v>
      </c>
      <c r="GHR21" s="31">
        <v>22</v>
      </c>
      <c r="GHS21" s="31">
        <v>0</v>
      </c>
      <c r="GHT21" s="31">
        <v>0</v>
      </c>
      <c r="GHU21" s="31">
        <v>0</v>
      </c>
      <c r="GHV21" s="31">
        <v>0</v>
      </c>
      <c r="GHW21" s="31">
        <v>0</v>
      </c>
      <c r="GHX21" s="31">
        <v>671.95</v>
      </c>
      <c r="GHY21" s="31">
        <v>0</v>
      </c>
      <c r="GHZ21" s="31">
        <v>0</v>
      </c>
      <c r="GIA21" s="31">
        <v>35.99</v>
      </c>
      <c r="GIB21" s="31">
        <v>240</v>
      </c>
      <c r="GIC21" s="31">
        <v>0</v>
      </c>
      <c r="GID21" s="31">
        <v>0</v>
      </c>
      <c r="GIE21" s="31">
        <v>0</v>
      </c>
      <c r="GIF21" s="31">
        <v>0</v>
      </c>
      <c r="GIG21" s="31">
        <v>0</v>
      </c>
      <c r="GIH21" s="31">
        <v>0</v>
      </c>
      <c r="GII21" s="31">
        <v>0</v>
      </c>
      <c r="GIJ21" s="31">
        <v>0</v>
      </c>
      <c r="GIK21" s="31">
        <v>0</v>
      </c>
      <c r="GIL21" s="31">
        <v>0</v>
      </c>
      <c r="GIM21" s="31">
        <v>625.96</v>
      </c>
      <c r="GIN21" s="31">
        <v>0</v>
      </c>
      <c r="GIO21" s="31">
        <v>0</v>
      </c>
      <c r="GIP21" s="31">
        <v>2675.82</v>
      </c>
      <c r="GIQ21" s="31">
        <v>0</v>
      </c>
      <c r="GIR21" s="31">
        <v>0</v>
      </c>
      <c r="GIS21" s="31">
        <v>73.989999999999995</v>
      </c>
      <c r="GIT21" s="31">
        <v>0</v>
      </c>
      <c r="GIU21" s="31">
        <v>0</v>
      </c>
      <c r="GIV21" s="31">
        <v>2666.85</v>
      </c>
      <c r="GIW21" s="31">
        <v>0</v>
      </c>
      <c r="GIX21" s="31">
        <v>3449.81</v>
      </c>
      <c r="GIY21" s="31">
        <v>99</v>
      </c>
      <c r="GIZ21" s="31">
        <v>0</v>
      </c>
      <c r="GJA21" s="31">
        <v>0</v>
      </c>
      <c r="GJB21" s="31">
        <v>0</v>
      </c>
      <c r="GJC21" s="31">
        <v>0</v>
      </c>
      <c r="GJD21" s="31">
        <v>0</v>
      </c>
      <c r="GJE21" s="31">
        <v>0</v>
      </c>
      <c r="GJF21" s="31">
        <v>0</v>
      </c>
      <c r="GJG21" s="31">
        <v>0</v>
      </c>
      <c r="GJH21" s="31">
        <v>0</v>
      </c>
      <c r="GJI21" s="31">
        <v>0</v>
      </c>
      <c r="GJJ21" s="31">
        <v>0</v>
      </c>
      <c r="GJK21" s="31">
        <v>0</v>
      </c>
      <c r="GJL21" s="31">
        <v>66.989999999999995</v>
      </c>
      <c r="GJM21" s="31">
        <v>0</v>
      </c>
      <c r="GJN21" s="31">
        <v>0</v>
      </c>
      <c r="GJO21" s="31">
        <v>0</v>
      </c>
      <c r="GJP21" s="31">
        <v>262.99</v>
      </c>
      <c r="GJQ21" s="31">
        <v>0</v>
      </c>
      <c r="GJR21" s="31">
        <v>280.98</v>
      </c>
      <c r="GJS21" s="31">
        <v>0</v>
      </c>
      <c r="GJT21" s="31">
        <v>0</v>
      </c>
      <c r="GJU21" s="31">
        <v>1311</v>
      </c>
      <c r="GJV21" s="31">
        <v>0</v>
      </c>
      <c r="GJW21" s="31">
        <v>0</v>
      </c>
      <c r="GJX21" s="31">
        <v>2950.84</v>
      </c>
      <c r="GJY21" s="31">
        <v>0</v>
      </c>
      <c r="GJZ21" s="31">
        <v>0</v>
      </c>
      <c r="GKA21" s="31">
        <v>0</v>
      </c>
      <c r="GKB21" s="31">
        <v>0</v>
      </c>
      <c r="GKC21" s="31">
        <v>0</v>
      </c>
      <c r="GKD21" s="31">
        <v>4429.75</v>
      </c>
      <c r="GKE21" s="31">
        <v>0</v>
      </c>
      <c r="GKF21" s="31">
        <v>0</v>
      </c>
      <c r="GKG21" s="31">
        <v>0</v>
      </c>
      <c r="GKH21" s="31">
        <v>0</v>
      </c>
      <c r="GKI21" s="31">
        <v>0</v>
      </c>
      <c r="GKJ21" s="31">
        <v>139</v>
      </c>
      <c r="GKK21" s="31">
        <v>0</v>
      </c>
      <c r="GKL21" s="31">
        <v>0</v>
      </c>
      <c r="GKM21" s="31">
        <v>0</v>
      </c>
      <c r="GKN21" s="31">
        <v>0</v>
      </c>
      <c r="GKO21" s="31">
        <v>0</v>
      </c>
      <c r="GKP21" s="31">
        <v>0</v>
      </c>
      <c r="GKQ21" s="31">
        <v>0</v>
      </c>
      <c r="GKR21" s="31">
        <v>79.989999999999995</v>
      </c>
      <c r="GKS21" s="31">
        <v>0</v>
      </c>
      <c r="GKT21" s="31">
        <v>0</v>
      </c>
      <c r="GKU21" s="31">
        <v>0</v>
      </c>
      <c r="GKV21" s="31">
        <v>0</v>
      </c>
      <c r="GKW21" s="31">
        <v>0</v>
      </c>
      <c r="GKX21" s="31">
        <v>301.99</v>
      </c>
      <c r="GKY21" s="31">
        <v>137.99</v>
      </c>
      <c r="GKZ21" s="31">
        <v>4113.7</v>
      </c>
      <c r="GLA21" s="31">
        <v>0</v>
      </c>
      <c r="GLB21" s="31">
        <v>0</v>
      </c>
      <c r="GLC21" s="31">
        <v>0</v>
      </c>
      <c r="GLD21" s="31">
        <v>0</v>
      </c>
      <c r="GLE21" s="31">
        <v>494</v>
      </c>
      <c r="GLF21" s="31">
        <v>0</v>
      </c>
      <c r="GLG21" s="31">
        <v>0</v>
      </c>
      <c r="GLH21" s="31">
        <v>0</v>
      </c>
      <c r="GLI21" s="31">
        <v>0</v>
      </c>
      <c r="GLJ21" s="31">
        <v>1939.96</v>
      </c>
      <c r="GLK21" s="31">
        <v>0</v>
      </c>
      <c r="GLL21" s="31">
        <v>0</v>
      </c>
      <c r="GLM21" s="31">
        <v>0</v>
      </c>
      <c r="GLN21" s="31">
        <v>4658.6499999999996</v>
      </c>
      <c r="GLO21" s="31">
        <v>0</v>
      </c>
      <c r="GLP21" s="31">
        <v>0</v>
      </c>
      <c r="GLQ21" s="31">
        <v>0</v>
      </c>
      <c r="GLR21" s="31">
        <v>0</v>
      </c>
      <c r="GLS21" s="31">
        <v>0</v>
      </c>
      <c r="GLT21" s="31">
        <v>201.99</v>
      </c>
      <c r="GLU21" s="31">
        <v>0</v>
      </c>
      <c r="GLV21" s="31">
        <v>618.96</v>
      </c>
      <c r="GLW21" s="31">
        <v>0</v>
      </c>
      <c r="GLX21" s="31">
        <v>0</v>
      </c>
      <c r="GLY21" s="31">
        <v>0</v>
      </c>
      <c r="GLZ21" s="31">
        <v>0</v>
      </c>
      <c r="GMA21" s="31">
        <v>0</v>
      </c>
      <c r="GMB21" s="31">
        <v>0</v>
      </c>
      <c r="GMC21" s="31">
        <v>0</v>
      </c>
      <c r="GMD21" s="31">
        <v>0</v>
      </c>
      <c r="GME21" s="31">
        <v>0</v>
      </c>
      <c r="GMF21" s="31">
        <v>317.98</v>
      </c>
      <c r="GMG21" s="31">
        <v>0</v>
      </c>
      <c r="GMH21" s="31">
        <v>0</v>
      </c>
      <c r="GMI21" s="31">
        <v>0</v>
      </c>
      <c r="GMJ21" s="31">
        <v>500.98</v>
      </c>
      <c r="GMK21" s="31">
        <v>2163.9499999999998</v>
      </c>
      <c r="GML21" s="31">
        <v>0</v>
      </c>
      <c r="GMM21" s="31">
        <v>0</v>
      </c>
      <c r="GMN21" s="31">
        <v>0</v>
      </c>
      <c r="GMO21" s="31">
        <v>0</v>
      </c>
      <c r="GMP21" s="31">
        <v>0</v>
      </c>
      <c r="GMQ21" s="31">
        <v>733.96</v>
      </c>
      <c r="GMR21" s="31">
        <v>0</v>
      </c>
      <c r="GMS21" s="31">
        <v>0</v>
      </c>
      <c r="GMT21" s="31">
        <v>69</v>
      </c>
      <c r="GMU21" s="31">
        <v>0</v>
      </c>
      <c r="GMV21" s="31">
        <v>0</v>
      </c>
      <c r="GMW21" s="31">
        <v>0</v>
      </c>
      <c r="GMX21" s="31">
        <v>0</v>
      </c>
      <c r="GMY21" s="31">
        <v>0</v>
      </c>
      <c r="GMZ21" s="31">
        <v>0</v>
      </c>
      <c r="GNA21" s="31">
        <v>0</v>
      </c>
      <c r="GNB21" s="31">
        <v>0</v>
      </c>
      <c r="GNC21" s="31">
        <v>488.98</v>
      </c>
      <c r="GND21" s="31">
        <v>2876.85</v>
      </c>
      <c r="GNE21" s="31">
        <v>14</v>
      </c>
      <c r="GNF21" s="31">
        <v>0</v>
      </c>
      <c r="GNG21" s="31">
        <v>0</v>
      </c>
      <c r="GNH21" s="31">
        <v>0</v>
      </c>
      <c r="GNI21" s="31">
        <v>0</v>
      </c>
      <c r="GNJ21" s="31">
        <v>0</v>
      </c>
      <c r="GNK21" s="31">
        <v>0</v>
      </c>
      <c r="GNL21" s="31">
        <v>0</v>
      </c>
      <c r="GNM21" s="31">
        <v>0</v>
      </c>
      <c r="GNN21" s="31">
        <v>0</v>
      </c>
      <c r="GNO21" s="31">
        <v>0</v>
      </c>
      <c r="GNP21" s="31">
        <v>437.05</v>
      </c>
      <c r="GNQ21" s="31">
        <v>2778.9</v>
      </c>
      <c r="GNR21" s="31">
        <v>0</v>
      </c>
      <c r="GNS21" s="31">
        <v>0</v>
      </c>
      <c r="GNT21" s="31">
        <v>1228.07</v>
      </c>
      <c r="GNU21" s="31">
        <v>0</v>
      </c>
      <c r="GNV21" s="31">
        <v>0</v>
      </c>
      <c r="GNW21" s="31">
        <v>0</v>
      </c>
      <c r="GNX21" s="31">
        <v>0</v>
      </c>
      <c r="GNY21" s="31">
        <v>0</v>
      </c>
      <c r="GNZ21" s="31">
        <v>0</v>
      </c>
      <c r="GOA21" s="31">
        <v>0</v>
      </c>
      <c r="GOB21" s="31">
        <v>664.91</v>
      </c>
      <c r="GOC21" s="31">
        <v>0</v>
      </c>
      <c r="GOD21" s="31">
        <v>0</v>
      </c>
      <c r="GOE21" s="31">
        <v>0</v>
      </c>
      <c r="GOF21" s="31">
        <v>0</v>
      </c>
      <c r="GOG21" s="31">
        <v>0</v>
      </c>
      <c r="GOH21" s="31">
        <v>2578.19</v>
      </c>
      <c r="GOI21" s="31">
        <v>2063.81</v>
      </c>
      <c r="GOJ21" s="31">
        <v>0</v>
      </c>
      <c r="GOK21" s="31">
        <v>0</v>
      </c>
      <c r="GOL21" s="31">
        <v>1485.85</v>
      </c>
      <c r="GOM21" s="31">
        <v>0</v>
      </c>
      <c r="GON21" s="31">
        <v>0</v>
      </c>
      <c r="GOO21" s="31">
        <v>512.95000000000005</v>
      </c>
      <c r="GOP21" s="31">
        <v>0</v>
      </c>
      <c r="GOQ21" s="31">
        <v>0</v>
      </c>
      <c r="GOR21" s="31">
        <v>0</v>
      </c>
      <c r="GOS21" s="31">
        <v>0</v>
      </c>
      <c r="GOT21" s="31">
        <v>0</v>
      </c>
      <c r="GOU21" s="31">
        <v>0</v>
      </c>
      <c r="GOV21" s="31">
        <v>0</v>
      </c>
      <c r="GOW21" s="31">
        <v>664.99</v>
      </c>
      <c r="GOX21" s="31">
        <v>0</v>
      </c>
      <c r="GOY21" s="31">
        <v>808.04</v>
      </c>
      <c r="GOZ21" s="31">
        <v>0</v>
      </c>
      <c r="GPA21" s="31">
        <v>325.99</v>
      </c>
      <c r="GPB21" s="31">
        <v>219</v>
      </c>
      <c r="GPC21" s="31">
        <v>0</v>
      </c>
      <c r="GPD21" s="31">
        <v>0</v>
      </c>
      <c r="GPE21" s="31">
        <v>0</v>
      </c>
      <c r="GPF21" s="31">
        <v>0</v>
      </c>
      <c r="GPG21" s="31">
        <v>0</v>
      </c>
      <c r="GPH21" s="31">
        <v>798.97</v>
      </c>
      <c r="GPI21" s="31">
        <v>0</v>
      </c>
      <c r="GPJ21" s="31">
        <v>2926.8</v>
      </c>
      <c r="GPK21" s="31">
        <v>0</v>
      </c>
      <c r="GPL21" s="31">
        <v>4714.74</v>
      </c>
      <c r="GPM21" s="31">
        <v>0</v>
      </c>
      <c r="GPN21" s="31">
        <v>709.98</v>
      </c>
      <c r="GPO21" s="31">
        <v>0</v>
      </c>
      <c r="GPP21" s="31">
        <v>65</v>
      </c>
      <c r="GPQ21" s="31">
        <v>0</v>
      </c>
      <c r="GPR21" s="31">
        <v>0</v>
      </c>
      <c r="GPS21" s="31">
        <v>0</v>
      </c>
      <c r="GPT21" s="31">
        <v>0</v>
      </c>
      <c r="GPU21" s="31">
        <v>0</v>
      </c>
      <c r="GPV21" s="31">
        <v>0</v>
      </c>
      <c r="GPW21" s="31">
        <v>8915.94</v>
      </c>
      <c r="GPX21" s="31">
        <v>0</v>
      </c>
      <c r="GPY21" s="31">
        <v>1041.92</v>
      </c>
      <c r="GPZ21" s="31">
        <v>0</v>
      </c>
      <c r="GQA21" s="31">
        <v>2544.7600000000002</v>
      </c>
      <c r="GQB21" s="31">
        <v>0</v>
      </c>
      <c r="GQC21" s="31">
        <v>0</v>
      </c>
      <c r="GQD21" s="31">
        <v>2672.99</v>
      </c>
      <c r="GQE21" s="31">
        <v>0</v>
      </c>
      <c r="GQF21" s="31">
        <v>1437.01</v>
      </c>
      <c r="GQG21" s="31">
        <v>0</v>
      </c>
      <c r="GQH21" s="31">
        <v>0</v>
      </c>
      <c r="GQI21" s="31">
        <v>1603.88</v>
      </c>
      <c r="GQJ21" s="31">
        <v>0</v>
      </c>
      <c r="GQK21" s="31">
        <v>0</v>
      </c>
      <c r="GQL21" s="31">
        <v>0</v>
      </c>
      <c r="GQM21" s="31">
        <v>2123.98</v>
      </c>
      <c r="GQN21" s="31">
        <v>14717.65</v>
      </c>
      <c r="GQO21" s="31">
        <v>0</v>
      </c>
      <c r="GQP21" s="31">
        <v>0</v>
      </c>
      <c r="GQQ21" s="31">
        <v>0</v>
      </c>
      <c r="GQR21" s="31">
        <v>48.99</v>
      </c>
      <c r="GQS21" s="31">
        <v>0</v>
      </c>
      <c r="GQT21" s="31">
        <v>121.99</v>
      </c>
      <c r="GQU21" s="31">
        <v>0</v>
      </c>
      <c r="GQV21" s="31">
        <v>1761.64</v>
      </c>
      <c r="GQW21" s="31">
        <v>0</v>
      </c>
      <c r="GQX21" s="31">
        <v>0</v>
      </c>
      <c r="GQY21" s="31">
        <v>1572.01</v>
      </c>
      <c r="GQZ21" s="31">
        <v>2560.84</v>
      </c>
      <c r="GRA21" s="31">
        <v>0</v>
      </c>
      <c r="GRB21" s="31">
        <v>0</v>
      </c>
      <c r="GRC21" s="31">
        <v>0</v>
      </c>
      <c r="GRD21" s="31">
        <v>1230.92</v>
      </c>
      <c r="GRE21" s="31">
        <v>0</v>
      </c>
      <c r="GRF21" s="31">
        <v>406.99</v>
      </c>
      <c r="GRG21" s="31">
        <v>3940.86</v>
      </c>
      <c r="GRH21" s="31">
        <v>0</v>
      </c>
      <c r="GRI21" s="31">
        <v>401.05</v>
      </c>
      <c r="GRJ21" s="31">
        <v>0</v>
      </c>
      <c r="GRK21" s="31">
        <v>0</v>
      </c>
      <c r="GRL21" s="31">
        <v>3062.94</v>
      </c>
      <c r="GRM21" s="31">
        <v>1492.89</v>
      </c>
      <c r="GRN21" s="31">
        <v>6869.11</v>
      </c>
      <c r="GRO21" s="31">
        <v>0</v>
      </c>
      <c r="GRP21" s="31">
        <v>3047.78</v>
      </c>
      <c r="GRQ21" s="31">
        <v>8325.2099999999991</v>
      </c>
      <c r="GRR21" s="31">
        <v>1418.89</v>
      </c>
      <c r="GRS21" s="31">
        <v>5370.77</v>
      </c>
      <c r="GRT21" s="31">
        <v>10517.2</v>
      </c>
      <c r="GRU21" s="31">
        <v>7616.81</v>
      </c>
      <c r="GRV21" s="31">
        <v>8730.35</v>
      </c>
      <c r="GRW21" s="31">
        <v>328.99</v>
      </c>
      <c r="GRX21" s="31">
        <v>3784.81</v>
      </c>
      <c r="GRY21" s="31">
        <v>2635.89</v>
      </c>
      <c r="GRZ21" s="31">
        <v>0</v>
      </c>
      <c r="GSA21" s="31">
        <v>0</v>
      </c>
      <c r="GSB21" s="31">
        <v>965.96</v>
      </c>
      <c r="GSC21" s="31">
        <v>0</v>
      </c>
      <c r="GSD21" s="31">
        <v>0</v>
      </c>
      <c r="GSE21" s="31">
        <v>2558.79</v>
      </c>
      <c r="GSF21" s="31">
        <v>3236.76</v>
      </c>
      <c r="GSG21" s="31">
        <v>1484.95</v>
      </c>
      <c r="GSH21" s="31">
        <v>1571.99</v>
      </c>
      <c r="GSI21" s="31">
        <v>4463.6899999999996</v>
      </c>
      <c r="GSJ21" s="31">
        <v>9735.9500000000007</v>
      </c>
      <c r="GSK21" s="31">
        <v>16783.79</v>
      </c>
      <c r="GSL21" s="31">
        <v>16256.68</v>
      </c>
      <c r="GSM21" s="31">
        <v>0</v>
      </c>
      <c r="GSN21" s="31">
        <v>0</v>
      </c>
      <c r="GSO21" s="31">
        <v>4725.29</v>
      </c>
      <c r="GSP21" s="31">
        <v>19049.62</v>
      </c>
      <c r="GSQ21" s="31">
        <v>0</v>
      </c>
      <c r="GSR21" s="31">
        <v>308448.86</v>
      </c>
    </row>
    <row r="22" spans="1:5244" x14ac:dyDescent="0.2">
      <c r="A22" s="29" t="s">
        <v>5295</v>
      </c>
      <c r="B22">
        <v>1</v>
      </c>
      <c r="C22">
        <v>2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2</v>
      </c>
      <c r="M22">
        <v>3</v>
      </c>
      <c r="N22">
        <v>3</v>
      </c>
      <c r="O22">
        <v>3</v>
      </c>
      <c r="P22">
        <v>3</v>
      </c>
      <c r="Q22">
        <v>3</v>
      </c>
      <c r="R22">
        <v>3</v>
      </c>
      <c r="S22">
        <v>3</v>
      </c>
      <c r="T22">
        <v>3</v>
      </c>
      <c r="U22">
        <v>3</v>
      </c>
      <c r="V22">
        <v>3</v>
      </c>
      <c r="W22">
        <v>3</v>
      </c>
      <c r="X22">
        <v>3</v>
      </c>
      <c r="Y22">
        <v>3</v>
      </c>
      <c r="Z22">
        <v>3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>
        <v>4</v>
      </c>
      <c r="BF22">
        <v>4.99</v>
      </c>
      <c r="BG22">
        <v>4.99</v>
      </c>
      <c r="BH22">
        <v>5</v>
      </c>
      <c r="BI22">
        <v>5</v>
      </c>
      <c r="BJ22">
        <v>5</v>
      </c>
      <c r="BK22">
        <v>5</v>
      </c>
      <c r="BL22">
        <v>5</v>
      </c>
      <c r="BM22">
        <v>5</v>
      </c>
      <c r="BN22">
        <v>5</v>
      </c>
      <c r="BO22">
        <v>5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5</v>
      </c>
      <c r="BX22">
        <v>5</v>
      </c>
      <c r="BY22">
        <v>5</v>
      </c>
      <c r="BZ22">
        <v>5</v>
      </c>
      <c r="CA22">
        <v>5</v>
      </c>
      <c r="CB22">
        <v>5</v>
      </c>
      <c r="CC22">
        <v>5</v>
      </c>
      <c r="CD22">
        <v>5</v>
      </c>
      <c r="CE22">
        <v>5</v>
      </c>
      <c r="CF22">
        <v>5</v>
      </c>
      <c r="CG22">
        <v>5</v>
      </c>
      <c r="CH22">
        <v>5</v>
      </c>
      <c r="CI22">
        <v>5</v>
      </c>
      <c r="CJ22">
        <v>5</v>
      </c>
      <c r="CK22">
        <v>5</v>
      </c>
      <c r="CL22">
        <v>5</v>
      </c>
      <c r="CM22">
        <v>5</v>
      </c>
      <c r="CN22">
        <v>5</v>
      </c>
      <c r="CO22">
        <v>5</v>
      </c>
      <c r="CP22">
        <v>5</v>
      </c>
      <c r="CQ22">
        <v>5</v>
      </c>
      <c r="CR22">
        <v>5</v>
      </c>
      <c r="CS22">
        <v>5</v>
      </c>
      <c r="CT22">
        <v>6</v>
      </c>
      <c r="CU22">
        <v>6</v>
      </c>
      <c r="CV22">
        <v>6</v>
      </c>
      <c r="CW22">
        <v>6</v>
      </c>
      <c r="CX22">
        <v>6</v>
      </c>
      <c r="CY22">
        <v>6</v>
      </c>
      <c r="CZ22">
        <v>6</v>
      </c>
      <c r="DA22">
        <v>6</v>
      </c>
      <c r="DB22">
        <v>6</v>
      </c>
      <c r="DC22">
        <v>6</v>
      </c>
      <c r="DD22">
        <v>6</v>
      </c>
      <c r="DE22">
        <v>6</v>
      </c>
      <c r="DF22">
        <v>6</v>
      </c>
      <c r="DG22">
        <v>6</v>
      </c>
      <c r="DH22">
        <v>6</v>
      </c>
      <c r="DI22">
        <v>6</v>
      </c>
      <c r="DJ22">
        <v>6</v>
      </c>
      <c r="DK22">
        <v>6</v>
      </c>
      <c r="DL22">
        <v>6</v>
      </c>
      <c r="DM22">
        <v>6</v>
      </c>
      <c r="DN22">
        <v>6</v>
      </c>
      <c r="DO22">
        <v>6</v>
      </c>
      <c r="DP22">
        <v>6</v>
      </c>
      <c r="DQ22">
        <v>6</v>
      </c>
      <c r="DR22">
        <v>6</v>
      </c>
      <c r="DS22">
        <v>6</v>
      </c>
      <c r="DT22">
        <v>6</v>
      </c>
      <c r="DU22">
        <v>6</v>
      </c>
      <c r="DV22">
        <v>6</v>
      </c>
      <c r="DW22">
        <v>6</v>
      </c>
      <c r="DX22">
        <v>6</v>
      </c>
      <c r="DY22">
        <v>6</v>
      </c>
      <c r="DZ22">
        <v>6</v>
      </c>
      <c r="EA22">
        <v>6</v>
      </c>
      <c r="EB22">
        <v>6</v>
      </c>
      <c r="EC22">
        <v>6</v>
      </c>
      <c r="ED22">
        <v>6</v>
      </c>
      <c r="EE22">
        <v>6</v>
      </c>
      <c r="EF22">
        <v>6</v>
      </c>
      <c r="EG22">
        <v>6</v>
      </c>
      <c r="EH22">
        <v>6</v>
      </c>
      <c r="EI22">
        <v>6</v>
      </c>
      <c r="EJ22">
        <v>6</v>
      </c>
      <c r="EK22">
        <v>6</v>
      </c>
      <c r="EL22">
        <v>6</v>
      </c>
      <c r="EM22">
        <v>6</v>
      </c>
      <c r="EN22">
        <v>6</v>
      </c>
      <c r="EO22">
        <v>6</v>
      </c>
      <c r="EP22">
        <v>6</v>
      </c>
      <c r="EQ22">
        <v>6</v>
      </c>
      <c r="ER22">
        <v>6</v>
      </c>
      <c r="ES22">
        <v>6</v>
      </c>
      <c r="ET22">
        <v>6</v>
      </c>
      <c r="EU22">
        <v>6</v>
      </c>
      <c r="EV22">
        <v>6</v>
      </c>
      <c r="EW22">
        <v>6</v>
      </c>
      <c r="EX22">
        <v>6</v>
      </c>
      <c r="EY22">
        <v>6</v>
      </c>
      <c r="EZ22">
        <v>6</v>
      </c>
      <c r="FA22">
        <v>6</v>
      </c>
      <c r="FB22">
        <v>6</v>
      </c>
      <c r="FC22">
        <v>6</v>
      </c>
      <c r="FD22">
        <v>6</v>
      </c>
      <c r="FE22">
        <v>6</v>
      </c>
      <c r="FF22">
        <v>6.99</v>
      </c>
      <c r="FG22">
        <v>6.99</v>
      </c>
      <c r="FH22">
        <v>6.99</v>
      </c>
      <c r="FI22">
        <v>6.99</v>
      </c>
      <c r="FJ22">
        <v>7</v>
      </c>
      <c r="FK22">
        <v>7</v>
      </c>
      <c r="FL22">
        <v>7</v>
      </c>
      <c r="FM22">
        <v>7</v>
      </c>
      <c r="FN22">
        <v>7</v>
      </c>
      <c r="FO22">
        <v>7</v>
      </c>
      <c r="FP22">
        <v>7</v>
      </c>
      <c r="FQ22">
        <v>7</v>
      </c>
      <c r="FR22">
        <v>7</v>
      </c>
      <c r="FS22">
        <v>7</v>
      </c>
      <c r="FT22">
        <v>7</v>
      </c>
      <c r="FU22">
        <v>7</v>
      </c>
      <c r="FV22">
        <v>7</v>
      </c>
      <c r="FW22">
        <v>7</v>
      </c>
      <c r="FX22">
        <v>7</v>
      </c>
      <c r="FY22">
        <v>7</v>
      </c>
      <c r="FZ22">
        <v>7</v>
      </c>
      <c r="GA22">
        <v>7</v>
      </c>
      <c r="GB22">
        <v>7</v>
      </c>
      <c r="GC22">
        <v>7</v>
      </c>
      <c r="GD22">
        <v>7</v>
      </c>
      <c r="GE22">
        <v>7</v>
      </c>
      <c r="GF22">
        <v>7</v>
      </c>
      <c r="GG22">
        <v>7</v>
      </c>
      <c r="GH22">
        <v>7</v>
      </c>
      <c r="GI22">
        <v>7</v>
      </c>
      <c r="GJ22">
        <v>7</v>
      </c>
      <c r="GK22">
        <v>7</v>
      </c>
      <c r="GL22">
        <v>7</v>
      </c>
      <c r="GM22">
        <v>7</v>
      </c>
      <c r="GN22">
        <v>7</v>
      </c>
      <c r="GO22">
        <v>7</v>
      </c>
      <c r="GP22">
        <v>7</v>
      </c>
      <c r="GQ22">
        <v>7</v>
      </c>
      <c r="GR22">
        <v>7</v>
      </c>
      <c r="GS22">
        <v>7</v>
      </c>
      <c r="GT22">
        <v>7</v>
      </c>
      <c r="GU22">
        <v>7</v>
      </c>
      <c r="GV22">
        <v>7</v>
      </c>
      <c r="GW22">
        <v>7</v>
      </c>
      <c r="GX22">
        <v>7</v>
      </c>
      <c r="GY22">
        <v>7</v>
      </c>
      <c r="GZ22">
        <v>7</v>
      </c>
      <c r="HA22">
        <v>7</v>
      </c>
      <c r="HB22">
        <v>7</v>
      </c>
      <c r="HC22">
        <v>7</v>
      </c>
      <c r="HD22">
        <v>7</v>
      </c>
      <c r="HE22">
        <v>7</v>
      </c>
      <c r="HF22">
        <v>7</v>
      </c>
      <c r="HG22">
        <v>7</v>
      </c>
      <c r="HH22">
        <v>7</v>
      </c>
      <c r="HI22">
        <v>7</v>
      </c>
      <c r="HJ22">
        <v>7</v>
      </c>
      <c r="HK22">
        <v>7</v>
      </c>
      <c r="HL22">
        <v>7</v>
      </c>
      <c r="HM22">
        <v>7</v>
      </c>
      <c r="HN22">
        <v>7</v>
      </c>
      <c r="HO22">
        <v>7</v>
      </c>
      <c r="HP22">
        <v>7</v>
      </c>
      <c r="HQ22">
        <v>7</v>
      </c>
      <c r="HR22">
        <v>7</v>
      </c>
      <c r="HS22">
        <v>7</v>
      </c>
      <c r="HT22">
        <v>7.99</v>
      </c>
      <c r="HU22">
        <v>8</v>
      </c>
      <c r="HV22">
        <v>8</v>
      </c>
      <c r="HW22">
        <v>8</v>
      </c>
      <c r="HX22">
        <v>8</v>
      </c>
      <c r="HY22">
        <v>8</v>
      </c>
      <c r="HZ22">
        <v>8</v>
      </c>
      <c r="IA22">
        <v>8</v>
      </c>
      <c r="IB22">
        <v>8</v>
      </c>
      <c r="IC22">
        <v>8</v>
      </c>
      <c r="ID22">
        <v>8</v>
      </c>
      <c r="IE22">
        <v>8</v>
      </c>
      <c r="IF22">
        <v>8</v>
      </c>
      <c r="IG22">
        <v>8</v>
      </c>
      <c r="IH22">
        <v>8</v>
      </c>
      <c r="II22">
        <v>8</v>
      </c>
      <c r="IJ22">
        <v>8</v>
      </c>
      <c r="IK22">
        <v>8</v>
      </c>
      <c r="IL22">
        <v>8</v>
      </c>
      <c r="IM22">
        <v>8</v>
      </c>
      <c r="IN22">
        <v>8</v>
      </c>
      <c r="IO22">
        <v>8</v>
      </c>
      <c r="IP22">
        <v>8</v>
      </c>
      <c r="IQ22">
        <v>8</v>
      </c>
      <c r="IR22">
        <v>8</v>
      </c>
      <c r="IS22">
        <v>8</v>
      </c>
      <c r="IT22">
        <v>8</v>
      </c>
      <c r="IU22">
        <v>8</v>
      </c>
      <c r="IV22">
        <v>8</v>
      </c>
      <c r="IW22">
        <v>8</v>
      </c>
      <c r="IX22">
        <v>8</v>
      </c>
      <c r="IY22">
        <v>8</v>
      </c>
      <c r="IZ22">
        <v>8</v>
      </c>
      <c r="JA22">
        <v>8</v>
      </c>
      <c r="JB22">
        <v>8</v>
      </c>
      <c r="JC22">
        <v>8</v>
      </c>
      <c r="JD22">
        <v>8</v>
      </c>
      <c r="JE22">
        <v>8</v>
      </c>
      <c r="JF22">
        <v>8</v>
      </c>
      <c r="JG22">
        <v>8</v>
      </c>
      <c r="JH22">
        <v>8</v>
      </c>
      <c r="JI22">
        <v>8</v>
      </c>
      <c r="JJ22">
        <v>8</v>
      </c>
      <c r="JK22">
        <v>8</v>
      </c>
      <c r="JL22">
        <v>8</v>
      </c>
      <c r="JM22">
        <v>8</v>
      </c>
      <c r="JN22">
        <v>8</v>
      </c>
      <c r="JO22">
        <v>8</v>
      </c>
      <c r="JP22">
        <v>8</v>
      </c>
      <c r="JQ22">
        <v>8.99</v>
      </c>
      <c r="JR22">
        <v>8.99</v>
      </c>
      <c r="JS22">
        <v>8.99</v>
      </c>
      <c r="JT22">
        <v>8.99</v>
      </c>
      <c r="JU22">
        <v>9</v>
      </c>
      <c r="JV22">
        <v>9</v>
      </c>
      <c r="JW22">
        <v>9</v>
      </c>
      <c r="JX22">
        <v>9</v>
      </c>
      <c r="JY22">
        <v>9</v>
      </c>
      <c r="JZ22">
        <v>9</v>
      </c>
      <c r="KA22">
        <v>9</v>
      </c>
      <c r="KB22">
        <v>9</v>
      </c>
      <c r="KC22">
        <v>9</v>
      </c>
      <c r="KD22">
        <v>9</v>
      </c>
      <c r="KE22">
        <v>9</v>
      </c>
      <c r="KF22">
        <v>9</v>
      </c>
      <c r="KG22">
        <v>9</v>
      </c>
      <c r="KH22">
        <v>9</v>
      </c>
      <c r="KI22">
        <v>9</v>
      </c>
      <c r="KJ22">
        <v>9</v>
      </c>
      <c r="KK22">
        <v>9</v>
      </c>
      <c r="KL22">
        <v>9</v>
      </c>
      <c r="KM22">
        <v>9</v>
      </c>
      <c r="KN22">
        <v>9</v>
      </c>
      <c r="KO22">
        <v>9</v>
      </c>
      <c r="KP22">
        <v>9</v>
      </c>
      <c r="KQ22">
        <v>9</v>
      </c>
      <c r="KR22">
        <v>9</v>
      </c>
      <c r="KS22">
        <v>9</v>
      </c>
      <c r="KT22">
        <v>9</v>
      </c>
      <c r="KU22">
        <v>9</v>
      </c>
      <c r="KV22">
        <v>9</v>
      </c>
      <c r="KW22">
        <v>9</v>
      </c>
      <c r="KX22">
        <v>9</v>
      </c>
      <c r="KY22">
        <v>9</v>
      </c>
      <c r="KZ22">
        <v>9</v>
      </c>
      <c r="LA22">
        <v>9</v>
      </c>
      <c r="LB22">
        <v>9</v>
      </c>
      <c r="LC22">
        <v>9</v>
      </c>
      <c r="LD22">
        <v>9</v>
      </c>
      <c r="LE22">
        <v>9</v>
      </c>
      <c r="LF22">
        <v>9</v>
      </c>
      <c r="LG22">
        <v>9</v>
      </c>
      <c r="LH22">
        <v>9</v>
      </c>
      <c r="LI22">
        <v>9</v>
      </c>
      <c r="LJ22">
        <v>9</v>
      </c>
      <c r="LK22">
        <v>9</v>
      </c>
      <c r="LL22">
        <v>9</v>
      </c>
      <c r="LM22">
        <v>9</v>
      </c>
      <c r="LN22">
        <v>9.99</v>
      </c>
      <c r="LO22">
        <v>9.99</v>
      </c>
      <c r="LP22">
        <v>9.99</v>
      </c>
      <c r="LQ22">
        <v>10</v>
      </c>
      <c r="LR22">
        <v>10</v>
      </c>
      <c r="LS22">
        <v>10</v>
      </c>
      <c r="LT22">
        <v>10</v>
      </c>
      <c r="LU22">
        <v>10</v>
      </c>
      <c r="LV22">
        <v>10</v>
      </c>
      <c r="LW22">
        <v>10</v>
      </c>
      <c r="LX22">
        <v>10</v>
      </c>
      <c r="LY22">
        <v>10</v>
      </c>
      <c r="LZ22">
        <v>10</v>
      </c>
      <c r="MA22">
        <v>10</v>
      </c>
      <c r="MB22">
        <v>10</v>
      </c>
      <c r="MC22">
        <v>10</v>
      </c>
      <c r="MD22">
        <v>10</v>
      </c>
      <c r="ME22">
        <v>10</v>
      </c>
      <c r="MF22">
        <v>10</v>
      </c>
      <c r="MG22">
        <v>10</v>
      </c>
      <c r="MH22">
        <v>10</v>
      </c>
      <c r="MI22">
        <v>10</v>
      </c>
      <c r="MJ22">
        <v>10</v>
      </c>
      <c r="MK22">
        <v>10</v>
      </c>
      <c r="ML22">
        <v>10</v>
      </c>
      <c r="MM22">
        <v>10</v>
      </c>
      <c r="MN22">
        <v>10</v>
      </c>
      <c r="MO22">
        <v>10</v>
      </c>
      <c r="MP22">
        <v>10</v>
      </c>
      <c r="MQ22">
        <v>10</v>
      </c>
      <c r="MR22">
        <v>10</v>
      </c>
      <c r="MS22">
        <v>10</v>
      </c>
      <c r="MT22">
        <v>10</v>
      </c>
      <c r="MU22">
        <v>10</v>
      </c>
      <c r="MV22">
        <v>10</v>
      </c>
      <c r="MW22">
        <v>10</v>
      </c>
      <c r="MX22">
        <v>10</v>
      </c>
      <c r="MY22">
        <v>10</v>
      </c>
      <c r="MZ22">
        <v>10</v>
      </c>
      <c r="NA22">
        <v>10</v>
      </c>
      <c r="NB22">
        <v>10</v>
      </c>
      <c r="NC22">
        <v>10</v>
      </c>
      <c r="ND22">
        <v>10</v>
      </c>
      <c r="NE22">
        <v>10</v>
      </c>
      <c r="NF22">
        <v>10</v>
      </c>
      <c r="NG22">
        <v>10</v>
      </c>
      <c r="NH22">
        <v>10</v>
      </c>
      <c r="NI22">
        <v>10</v>
      </c>
      <c r="NJ22">
        <v>10</v>
      </c>
      <c r="NK22">
        <v>10</v>
      </c>
      <c r="NL22">
        <v>10</v>
      </c>
      <c r="NM22">
        <v>10</v>
      </c>
      <c r="NN22">
        <v>10</v>
      </c>
      <c r="NO22">
        <v>10</v>
      </c>
      <c r="NP22">
        <v>10</v>
      </c>
      <c r="NQ22">
        <v>10</v>
      </c>
      <c r="NR22">
        <v>10</v>
      </c>
      <c r="NS22">
        <v>10</v>
      </c>
      <c r="NT22">
        <v>10</v>
      </c>
      <c r="NU22">
        <v>11</v>
      </c>
      <c r="NV22">
        <v>11</v>
      </c>
      <c r="NW22">
        <v>11</v>
      </c>
      <c r="NX22">
        <v>11</v>
      </c>
      <c r="NY22">
        <v>11</v>
      </c>
      <c r="NZ22">
        <v>11</v>
      </c>
      <c r="OA22">
        <v>11</v>
      </c>
      <c r="OB22">
        <v>11</v>
      </c>
      <c r="OC22">
        <v>11</v>
      </c>
      <c r="OD22">
        <v>11</v>
      </c>
      <c r="OE22">
        <v>11</v>
      </c>
      <c r="OF22">
        <v>11</v>
      </c>
      <c r="OG22">
        <v>11</v>
      </c>
      <c r="OH22">
        <v>11</v>
      </c>
      <c r="OI22">
        <v>11</v>
      </c>
      <c r="OJ22">
        <v>11</v>
      </c>
      <c r="OK22">
        <v>11</v>
      </c>
      <c r="OL22">
        <v>11</v>
      </c>
      <c r="OM22">
        <v>11</v>
      </c>
      <c r="ON22">
        <v>11</v>
      </c>
      <c r="OO22">
        <v>11</v>
      </c>
      <c r="OP22">
        <v>11</v>
      </c>
      <c r="OQ22">
        <v>11</v>
      </c>
      <c r="OR22">
        <v>11</v>
      </c>
      <c r="OS22">
        <v>11</v>
      </c>
      <c r="OT22">
        <v>11</v>
      </c>
      <c r="OU22">
        <v>11</v>
      </c>
      <c r="OV22">
        <v>11</v>
      </c>
      <c r="OW22">
        <v>11</v>
      </c>
      <c r="OX22">
        <v>11</v>
      </c>
      <c r="OY22">
        <v>11</v>
      </c>
      <c r="OZ22">
        <v>11</v>
      </c>
      <c r="PA22">
        <v>11</v>
      </c>
      <c r="PB22">
        <v>11</v>
      </c>
      <c r="PC22">
        <v>11</v>
      </c>
      <c r="PD22">
        <v>11</v>
      </c>
      <c r="PE22">
        <v>11</v>
      </c>
      <c r="PF22">
        <v>11</v>
      </c>
      <c r="PG22">
        <v>11</v>
      </c>
      <c r="PH22">
        <v>11</v>
      </c>
      <c r="PI22">
        <v>11</v>
      </c>
      <c r="PJ22">
        <v>11</v>
      </c>
      <c r="PK22">
        <v>11</v>
      </c>
      <c r="PL22">
        <v>11</v>
      </c>
      <c r="PM22">
        <v>11</v>
      </c>
      <c r="PN22">
        <v>11</v>
      </c>
      <c r="PO22">
        <v>11</v>
      </c>
      <c r="PP22">
        <v>11</v>
      </c>
      <c r="PQ22">
        <v>11</v>
      </c>
      <c r="PR22">
        <v>11</v>
      </c>
      <c r="PS22">
        <v>11</v>
      </c>
      <c r="PT22">
        <v>11</v>
      </c>
      <c r="PU22">
        <v>11</v>
      </c>
      <c r="PV22">
        <v>11</v>
      </c>
      <c r="PW22">
        <v>11</v>
      </c>
      <c r="PX22">
        <v>11</v>
      </c>
      <c r="PY22">
        <v>11</v>
      </c>
      <c r="PZ22">
        <v>11</v>
      </c>
      <c r="QA22">
        <v>11</v>
      </c>
      <c r="QB22">
        <v>11</v>
      </c>
      <c r="QC22">
        <v>11.99</v>
      </c>
      <c r="QD22">
        <v>12</v>
      </c>
      <c r="QE22">
        <v>12</v>
      </c>
      <c r="QF22">
        <v>12</v>
      </c>
      <c r="QG22">
        <v>12</v>
      </c>
      <c r="QH22">
        <v>12</v>
      </c>
      <c r="QI22">
        <v>12</v>
      </c>
      <c r="QJ22">
        <v>12</v>
      </c>
      <c r="QK22">
        <v>12</v>
      </c>
      <c r="QL22">
        <v>12</v>
      </c>
      <c r="QM22">
        <v>12</v>
      </c>
      <c r="QN22">
        <v>12</v>
      </c>
      <c r="QO22">
        <v>12</v>
      </c>
      <c r="QP22">
        <v>12</v>
      </c>
      <c r="QQ22">
        <v>12</v>
      </c>
      <c r="QR22">
        <v>12</v>
      </c>
      <c r="QS22">
        <v>12</v>
      </c>
      <c r="QT22">
        <v>12</v>
      </c>
      <c r="QU22">
        <v>12</v>
      </c>
      <c r="QV22">
        <v>12</v>
      </c>
      <c r="QW22">
        <v>12</v>
      </c>
      <c r="QX22">
        <v>12</v>
      </c>
      <c r="QY22">
        <v>12</v>
      </c>
      <c r="QZ22">
        <v>12</v>
      </c>
      <c r="RA22">
        <v>12</v>
      </c>
      <c r="RB22">
        <v>12</v>
      </c>
      <c r="RC22">
        <v>12</v>
      </c>
      <c r="RD22">
        <v>12</v>
      </c>
      <c r="RE22">
        <v>12</v>
      </c>
      <c r="RF22">
        <v>12</v>
      </c>
      <c r="RG22">
        <v>12</v>
      </c>
      <c r="RH22">
        <v>12</v>
      </c>
      <c r="RI22">
        <v>12</v>
      </c>
      <c r="RJ22">
        <v>12</v>
      </c>
      <c r="RK22">
        <v>12</v>
      </c>
      <c r="RL22">
        <v>12</v>
      </c>
      <c r="RM22">
        <v>12</v>
      </c>
      <c r="RN22">
        <v>12</v>
      </c>
      <c r="RO22">
        <v>12</v>
      </c>
      <c r="RP22">
        <v>12</v>
      </c>
      <c r="RQ22">
        <v>12</v>
      </c>
      <c r="RR22">
        <v>12</v>
      </c>
      <c r="RS22">
        <v>12</v>
      </c>
      <c r="RT22">
        <v>12</v>
      </c>
      <c r="RU22">
        <v>12</v>
      </c>
      <c r="RV22">
        <v>12</v>
      </c>
      <c r="RW22">
        <v>12</v>
      </c>
      <c r="RX22">
        <v>12</v>
      </c>
      <c r="RY22">
        <v>12</v>
      </c>
      <c r="RZ22">
        <v>12</v>
      </c>
      <c r="SA22">
        <v>12</v>
      </c>
      <c r="SB22">
        <v>12</v>
      </c>
      <c r="SC22">
        <v>12</v>
      </c>
      <c r="SD22">
        <v>12</v>
      </c>
      <c r="SE22">
        <v>12</v>
      </c>
      <c r="SF22">
        <v>12</v>
      </c>
      <c r="SG22">
        <v>12</v>
      </c>
      <c r="SH22">
        <v>12</v>
      </c>
      <c r="SI22">
        <v>12</v>
      </c>
      <c r="SJ22">
        <v>12</v>
      </c>
      <c r="SK22">
        <v>12</v>
      </c>
      <c r="SL22">
        <v>12</v>
      </c>
      <c r="SM22">
        <v>12</v>
      </c>
      <c r="SN22">
        <v>12</v>
      </c>
      <c r="SO22">
        <v>12</v>
      </c>
      <c r="SP22">
        <v>12</v>
      </c>
      <c r="SQ22">
        <v>12</v>
      </c>
      <c r="SR22">
        <v>12.01</v>
      </c>
      <c r="SS22">
        <v>12.99</v>
      </c>
      <c r="ST22">
        <v>13</v>
      </c>
      <c r="SU22">
        <v>13</v>
      </c>
      <c r="SV22">
        <v>13</v>
      </c>
      <c r="SW22">
        <v>13</v>
      </c>
      <c r="SX22">
        <v>13</v>
      </c>
      <c r="SY22">
        <v>13</v>
      </c>
      <c r="SZ22">
        <v>13</v>
      </c>
      <c r="TA22">
        <v>13</v>
      </c>
      <c r="TB22">
        <v>13</v>
      </c>
      <c r="TC22">
        <v>13</v>
      </c>
      <c r="TD22">
        <v>13</v>
      </c>
      <c r="TE22">
        <v>13</v>
      </c>
      <c r="TF22">
        <v>13</v>
      </c>
      <c r="TG22">
        <v>13</v>
      </c>
      <c r="TH22">
        <v>13</v>
      </c>
      <c r="TI22">
        <v>13</v>
      </c>
      <c r="TJ22">
        <v>13</v>
      </c>
      <c r="TK22">
        <v>13</v>
      </c>
      <c r="TL22">
        <v>13</v>
      </c>
      <c r="TM22">
        <v>13</v>
      </c>
      <c r="TN22">
        <v>13</v>
      </c>
      <c r="TO22">
        <v>13</v>
      </c>
      <c r="TP22">
        <v>13</v>
      </c>
      <c r="TQ22">
        <v>13</v>
      </c>
      <c r="TR22">
        <v>13</v>
      </c>
      <c r="TS22">
        <v>13</v>
      </c>
      <c r="TT22">
        <v>13</v>
      </c>
      <c r="TU22">
        <v>13</v>
      </c>
      <c r="TV22">
        <v>13</v>
      </c>
      <c r="TW22">
        <v>13</v>
      </c>
      <c r="TX22">
        <v>13</v>
      </c>
      <c r="TY22">
        <v>13</v>
      </c>
      <c r="TZ22">
        <v>13</v>
      </c>
      <c r="UA22">
        <v>13</v>
      </c>
      <c r="UB22">
        <v>13</v>
      </c>
      <c r="UC22">
        <v>13</v>
      </c>
      <c r="UD22">
        <v>13</v>
      </c>
      <c r="UE22">
        <v>13</v>
      </c>
      <c r="UF22">
        <v>13</v>
      </c>
      <c r="UG22">
        <v>13</v>
      </c>
      <c r="UH22">
        <v>13</v>
      </c>
      <c r="UI22">
        <v>13</v>
      </c>
      <c r="UJ22">
        <v>13</v>
      </c>
      <c r="UK22">
        <v>13</v>
      </c>
      <c r="UL22">
        <v>13.98</v>
      </c>
      <c r="UM22">
        <v>13.99</v>
      </c>
      <c r="UN22">
        <v>13.99</v>
      </c>
      <c r="UO22">
        <v>13.99</v>
      </c>
      <c r="UP22">
        <v>13.99</v>
      </c>
      <c r="UQ22">
        <v>14</v>
      </c>
      <c r="UR22">
        <v>14</v>
      </c>
      <c r="US22">
        <v>14</v>
      </c>
      <c r="UT22">
        <v>14</v>
      </c>
      <c r="UU22">
        <v>14</v>
      </c>
      <c r="UV22">
        <v>14</v>
      </c>
      <c r="UW22">
        <v>14</v>
      </c>
      <c r="UX22">
        <v>14</v>
      </c>
      <c r="UY22">
        <v>14</v>
      </c>
      <c r="UZ22">
        <v>14</v>
      </c>
      <c r="VA22">
        <v>14</v>
      </c>
      <c r="VB22">
        <v>14</v>
      </c>
      <c r="VC22">
        <v>14</v>
      </c>
      <c r="VD22">
        <v>14</v>
      </c>
      <c r="VE22">
        <v>14</v>
      </c>
      <c r="VF22">
        <v>14</v>
      </c>
      <c r="VG22">
        <v>14</v>
      </c>
      <c r="VH22">
        <v>14</v>
      </c>
      <c r="VI22">
        <v>14</v>
      </c>
      <c r="VJ22">
        <v>14</v>
      </c>
      <c r="VK22">
        <v>14</v>
      </c>
      <c r="VL22">
        <v>14</v>
      </c>
      <c r="VM22">
        <v>14</v>
      </c>
      <c r="VN22">
        <v>14</v>
      </c>
      <c r="VO22">
        <v>14</v>
      </c>
      <c r="VP22">
        <v>14</v>
      </c>
      <c r="VQ22">
        <v>14</v>
      </c>
      <c r="VR22">
        <v>14</v>
      </c>
      <c r="VS22">
        <v>14</v>
      </c>
      <c r="VT22">
        <v>14</v>
      </c>
      <c r="VU22">
        <v>14</v>
      </c>
      <c r="VV22">
        <v>14</v>
      </c>
      <c r="VW22">
        <v>14</v>
      </c>
      <c r="VX22">
        <v>14</v>
      </c>
      <c r="VY22">
        <v>14</v>
      </c>
      <c r="VZ22">
        <v>14</v>
      </c>
      <c r="WA22">
        <v>14</v>
      </c>
      <c r="WB22">
        <v>14</v>
      </c>
      <c r="WC22">
        <v>14</v>
      </c>
      <c r="WD22">
        <v>14</v>
      </c>
      <c r="WE22">
        <v>14</v>
      </c>
      <c r="WF22">
        <v>14</v>
      </c>
      <c r="WG22">
        <v>14</v>
      </c>
      <c r="WH22">
        <v>14</v>
      </c>
      <c r="WI22">
        <v>14</v>
      </c>
      <c r="WJ22">
        <v>14</v>
      </c>
      <c r="WK22">
        <v>14</v>
      </c>
      <c r="WL22">
        <v>14</v>
      </c>
      <c r="WM22">
        <v>14</v>
      </c>
      <c r="WN22">
        <v>14</v>
      </c>
      <c r="WO22">
        <v>14</v>
      </c>
      <c r="WP22">
        <v>14</v>
      </c>
      <c r="WQ22">
        <v>14</v>
      </c>
      <c r="WR22">
        <v>14</v>
      </c>
      <c r="WS22">
        <v>14</v>
      </c>
      <c r="WT22">
        <v>14.99</v>
      </c>
      <c r="WU22">
        <v>15</v>
      </c>
      <c r="WV22">
        <v>15</v>
      </c>
      <c r="WW22">
        <v>15</v>
      </c>
      <c r="WX22">
        <v>15</v>
      </c>
      <c r="WY22">
        <v>15</v>
      </c>
      <c r="WZ22">
        <v>15</v>
      </c>
      <c r="XA22">
        <v>15</v>
      </c>
      <c r="XB22">
        <v>15</v>
      </c>
      <c r="XC22">
        <v>15</v>
      </c>
      <c r="XD22">
        <v>15</v>
      </c>
      <c r="XE22">
        <v>15</v>
      </c>
      <c r="XF22">
        <v>15</v>
      </c>
      <c r="XG22">
        <v>15</v>
      </c>
      <c r="XH22">
        <v>15</v>
      </c>
      <c r="XI22">
        <v>15</v>
      </c>
      <c r="XJ22">
        <v>15</v>
      </c>
      <c r="XK22">
        <v>15</v>
      </c>
      <c r="XL22">
        <v>15</v>
      </c>
      <c r="XM22">
        <v>15</v>
      </c>
      <c r="XN22">
        <v>15</v>
      </c>
      <c r="XO22">
        <v>15</v>
      </c>
      <c r="XP22">
        <v>15</v>
      </c>
      <c r="XQ22">
        <v>15</v>
      </c>
      <c r="XR22">
        <v>15</v>
      </c>
      <c r="XS22">
        <v>15</v>
      </c>
      <c r="XT22">
        <v>15</v>
      </c>
      <c r="XU22">
        <v>15</v>
      </c>
      <c r="XV22">
        <v>15</v>
      </c>
      <c r="XW22">
        <v>15</v>
      </c>
      <c r="XX22">
        <v>15</v>
      </c>
      <c r="XY22">
        <v>15</v>
      </c>
      <c r="XZ22">
        <v>15</v>
      </c>
      <c r="YA22">
        <v>15</v>
      </c>
      <c r="YB22">
        <v>15</v>
      </c>
      <c r="YC22">
        <v>15</v>
      </c>
      <c r="YD22">
        <v>15</v>
      </c>
      <c r="YE22">
        <v>15</v>
      </c>
      <c r="YF22">
        <v>15</v>
      </c>
      <c r="YG22">
        <v>15</v>
      </c>
      <c r="YH22">
        <v>15</v>
      </c>
      <c r="YI22">
        <v>15</v>
      </c>
      <c r="YJ22">
        <v>15</v>
      </c>
      <c r="YK22">
        <v>15</v>
      </c>
      <c r="YL22">
        <v>15</v>
      </c>
      <c r="YM22">
        <v>15</v>
      </c>
      <c r="YN22">
        <v>15</v>
      </c>
      <c r="YO22">
        <v>15</v>
      </c>
      <c r="YP22">
        <v>15</v>
      </c>
      <c r="YQ22">
        <v>15</v>
      </c>
      <c r="YR22">
        <v>15</v>
      </c>
      <c r="YS22">
        <v>15</v>
      </c>
      <c r="YT22">
        <v>15.99</v>
      </c>
      <c r="YU22">
        <v>15.99</v>
      </c>
      <c r="YV22">
        <v>15.99</v>
      </c>
      <c r="YW22">
        <v>16</v>
      </c>
      <c r="YX22">
        <v>16</v>
      </c>
      <c r="YY22">
        <v>16</v>
      </c>
      <c r="YZ22">
        <v>16</v>
      </c>
      <c r="ZA22">
        <v>16</v>
      </c>
      <c r="ZB22">
        <v>16</v>
      </c>
      <c r="ZC22">
        <v>16</v>
      </c>
      <c r="ZD22">
        <v>16</v>
      </c>
      <c r="ZE22">
        <v>16</v>
      </c>
      <c r="ZF22">
        <v>16</v>
      </c>
      <c r="ZG22">
        <v>16</v>
      </c>
      <c r="ZH22">
        <v>16</v>
      </c>
      <c r="ZI22">
        <v>16</v>
      </c>
      <c r="ZJ22">
        <v>16</v>
      </c>
      <c r="ZK22">
        <v>16</v>
      </c>
      <c r="ZL22">
        <v>16</v>
      </c>
      <c r="ZM22">
        <v>16</v>
      </c>
      <c r="ZN22">
        <v>16</v>
      </c>
      <c r="ZO22">
        <v>16</v>
      </c>
      <c r="ZP22">
        <v>16</v>
      </c>
      <c r="ZQ22">
        <v>16</v>
      </c>
      <c r="ZR22">
        <v>16</v>
      </c>
      <c r="ZS22">
        <v>16</v>
      </c>
      <c r="ZT22">
        <v>16</v>
      </c>
      <c r="ZU22">
        <v>16</v>
      </c>
      <c r="ZV22">
        <v>16</v>
      </c>
      <c r="ZW22">
        <v>16</v>
      </c>
      <c r="ZX22">
        <v>16</v>
      </c>
      <c r="ZY22">
        <v>16</v>
      </c>
      <c r="ZZ22">
        <v>16</v>
      </c>
      <c r="AAA22">
        <v>16</v>
      </c>
      <c r="AAB22">
        <v>16</v>
      </c>
      <c r="AAC22">
        <v>16</v>
      </c>
      <c r="AAD22">
        <v>16</v>
      </c>
      <c r="AAE22">
        <v>16</v>
      </c>
      <c r="AAF22">
        <v>16</v>
      </c>
      <c r="AAG22">
        <v>16</v>
      </c>
      <c r="AAH22">
        <v>16</v>
      </c>
      <c r="AAI22">
        <v>16</v>
      </c>
      <c r="AAJ22">
        <v>16</v>
      </c>
      <c r="AAK22">
        <v>16</v>
      </c>
      <c r="AAL22">
        <v>16</v>
      </c>
      <c r="AAM22">
        <v>16</v>
      </c>
      <c r="AAN22">
        <v>16</v>
      </c>
      <c r="AAO22">
        <v>16.010000000000002</v>
      </c>
      <c r="AAP22">
        <v>16.989999999999998</v>
      </c>
      <c r="AAQ22">
        <v>16.989999999999998</v>
      </c>
      <c r="AAR22">
        <v>16.989999999999998</v>
      </c>
      <c r="AAS22">
        <v>17</v>
      </c>
      <c r="AAT22">
        <v>17</v>
      </c>
      <c r="AAU22">
        <v>17</v>
      </c>
      <c r="AAV22">
        <v>17</v>
      </c>
      <c r="AAW22">
        <v>17</v>
      </c>
      <c r="AAX22">
        <v>17</v>
      </c>
      <c r="AAY22">
        <v>17</v>
      </c>
      <c r="AAZ22">
        <v>17</v>
      </c>
      <c r="ABA22">
        <v>17</v>
      </c>
      <c r="ABB22">
        <v>17</v>
      </c>
      <c r="ABC22">
        <v>17</v>
      </c>
      <c r="ABD22">
        <v>17</v>
      </c>
      <c r="ABE22">
        <v>17</v>
      </c>
      <c r="ABF22">
        <v>17</v>
      </c>
      <c r="ABG22">
        <v>17</v>
      </c>
      <c r="ABH22">
        <v>17</v>
      </c>
      <c r="ABI22">
        <v>17</v>
      </c>
      <c r="ABJ22">
        <v>17</v>
      </c>
      <c r="ABK22">
        <v>17</v>
      </c>
      <c r="ABL22">
        <v>17</v>
      </c>
      <c r="ABM22">
        <v>17</v>
      </c>
      <c r="ABN22">
        <v>17</v>
      </c>
      <c r="ABO22">
        <v>17</v>
      </c>
      <c r="ABP22">
        <v>17</v>
      </c>
      <c r="ABQ22">
        <v>17</v>
      </c>
      <c r="ABR22">
        <v>17</v>
      </c>
      <c r="ABS22">
        <v>17</v>
      </c>
      <c r="ABT22">
        <v>17</v>
      </c>
      <c r="ABU22">
        <v>17</v>
      </c>
      <c r="ABV22">
        <v>17</v>
      </c>
      <c r="ABW22">
        <v>17</v>
      </c>
      <c r="ABX22">
        <v>17</v>
      </c>
      <c r="ABY22">
        <v>17</v>
      </c>
      <c r="ABZ22">
        <v>17</v>
      </c>
      <c r="ACA22">
        <v>17</v>
      </c>
      <c r="ACB22">
        <v>17</v>
      </c>
      <c r="ACC22">
        <v>17</v>
      </c>
      <c r="ACD22">
        <v>17</v>
      </c>
      <c r="ACE22">
        <v>17</v>
      </c>
      <c r="ACF22">
        <v>17</v>
      </c>
      <c r="ACG22">
        <v>17</v>
      </c>
      <c r="ACH22">
        <v>17</v>
      </c>
      <c r="ACI22">
        <v>17</v>
      </c>
      <c r="ACJ22">
        <v>17</v>
      </c>
      <c r="ACK22">
        <v>17</v>
      </c>
      <c r="ACL22">
        <v>18</v>
      </c>
      <c r="ACM22">
        <v>18</v>
      </c>
      <c r="ACN22">
        <v>18</v>
      </c>
      <c r="ACO22">
        <v>18</v>
      </c>
      <c r="ACP22">
        <v>18</v>
      </c>
      <c r="ACQ22">
        <v>18</v>
      </c>
      <c r="ACR22">
        <v>18</v>
      </c>
      <c r="ACS22">
        <v>18</v>
      </c>
      <c r="ACT22">
        <v>18</v>
      </c>
      <c r="ACU22">
        <v>18</v>
      </c>
      <c r="ACV22">
        <v>18</v>
      </c>
      <c r="ACW22">
        <v>18</v>
      </c>
      <c r="ACX22">
        <v>18</v>
      </c>
      <c r="ACY22">
        <v>18</v>
      </c>
      <c r="ACZ22">
        <v>18</v>
      </c>
      <c r="ADA22">
        <v>18</v>
      </c>
      <c r="ADB22">
        <v>18</v>
      </c>
      <c r="ADC22">
        <v>18</v>
      </c>
      <c r="ADD22">
        <v>18</v>
      </c>
      <c r="ADE22">
        <v>18</v>
      </c>
      <c r="ADF22">
        <v>18</v>
      </c>
      <c r="ADG22">
        <v>18</v>
      </c>
      <c r="ADH22">
        <v>18</v>
      </c>
      <c r="ADI22">
        <v>18</v>
      </c>
      <c r="ADJ22">
        <v>18</v>
      </c>
      <c r="ADK22">
        <v>18</v>
      </c>
      <c r="ADL22">
        <v>18</v>
      </c>
      <c r="ADM22">
        <v>18</v>
      </c>
      <c r="ADN22">
        <v>18</v>
      </c>
      <c r="ADO22">
        <v>18</v>
      </c>
      <c r="ADP22">
        <v>18</v>
      </c>
      <c r="ADQ22">
        <v>18</v>
      </c>
      <c r="ADR22">
        <v>18</v>
      </c>
      <c r="ADS22">
        <v>18</v>
      </c>
      <c r="ADT22">
        <v>18</v>
      </c>
      <c r="ADU22">
        <v>18</v>
      </c>
      <c r="ADV22">
        <v>18</v>
      </c>
      <c r="ADW22">
        <v>18</v>
      </c>
      <c r="ADX22">
        <v>18</v>
      </c>
      <c r="ADY22">
        <v>18</v>
      </c>
      <c r="ADZ22">
        <v>18</v>
      </c>
      <c r="AEA22">
        <v>18</v>
      </c>
      <c r="AEB22">
        <v>18</v>
      </c>
      <c r="AEC22">
        <v>18</v>
      </c>
      <c r="AED22">
        <v>18</v>
      </c>
      <c r="AEE22">
        <v>18</v>
      </c>
      <c r="AEF22">
        <v>18</v>
      </c>
      <c r="AEG22">
        <v>18</v>
      </c>
      <c r="AEH22">
        <v>18</v>
      </c>
      <c r="AEI22">
        <v>18</v>
      </c>
      <c r="AEJ22">
        <v>18</v>
      </c>
      <c r="AEK22">
        <v>18</v>
      </c>
      <c r="AEL22">
        <v>18</v>
      </c>
      <c r="AEM22">
        <v>18</v>
      </c>
      <c r="AEN22">
        <v>18.989999999999998</v>
      </c>
      <c r="AEO22">
        <v>18.989999999999998</v>
      </c>
      <c r="AEP22">
        <v>18.989999999999998</v>
      </c>
      <c r="AEQ22">
        <v>18.989999999999998</v>
      </c>
      <c r="AER22">
        <v>19</v>
      </c>
      <c r="AES22">
        <v>19</v>
      </c>
      <c r="AET22">
        <v>19</v>
      </c>
      <c r="AEU22">
        <v>19</v>
      </c>
      <c r="AEV22">
        <v>19</v>
      </c>
      <c r="AEW22">
        <v>19</v>
      </c>
      <c r="AEX22">
        <v>19</v>
      </c>
      <c r="AEY22">
        <v>19</v>
      </c>
      <c r="AEZ22">
        <v>19</v>
      </c>
      <c r="AFA22">
        <v>19</v>
      </c>
      <c r="AFB22">
        <v>19</v>
      </c>
      <c r="AFC22">
        <v>19</v>
      </c>
      <c r="AFD22">
        <v>19</v>
      </c>
      <c r="AFE22">
        <v>19</v>
      </c>
      <c r="AFF22">
        <v>19</v>
      </c>
      <c r="AFG22">
        <v>19</v>
      </c>
      <c r="AFH22">
        <v>19</v>
      </c>
      <c r="AFI22">
        <v>19</v>
      </c>
      <c r="AFJ22">
        <v>19</v>
      </c>
      <c r="AFK22">
        <v>19</v>
      </c>
      <c r="AFL22">
        <v>19</v>
      </c>
      <c r="AFM22">
        <v>19</v>
      </c>
      <c r="AFN22">
        <v>19</v>
      </c>
      <c r="AFO22">
        <v>19</v>
      </c>
      <c r="AFP22">
        <v>19</v>
      </c>
      <c r="AFQ22">
        <v>19</v>
      </c>
      <c r="AFR22">
        <v>19</v>
      </c>
      <c r="AFS22">
        <v>19</v>
      </c>
      <c r="AFT22">
        <v>19</v>
      </c>
      <c r="AFU22">
        <v>19</v>
      </c>
      <c r="AFV22">
        <v>19</v>
      </c>
      <c r="AFW22">
        <v>19</v>
      </c>
      <c r="AFX22">
        <v>19</v>
      </c>
      <c r="AFY22">
        <v>19</v>
      </c>
      <c r="AFZ22">
        <v>19</v>
      </c>
      <c r="AGA22">
        <v>19</v>
      </c>
      <c r="AGB22">
        <v>19</v>
      </c>
      <c r="AGC22">
        <v>19</v>
      </c>
      <c r="AGD22">
        <v>19</v>
      </c>
      <c r="AGE22">
        <v>19</v>
      </c>
      <c r="AGF22">
        <v>19</v>
      </c>
      <c r="AGG22">
        <v>19</v>
      </c>
      <c r="AGH22">
        <v>19</v>
      </c>
      <c r="AGI22">
        <v>19</v>
      </c>
      <c r="AGJ22">
        <v>19</v>
      </c>
      <c r="AGK22">
        <v>19</v>
      </c>
      <c r="AGL22">
        <v>19</v>
      </c>
      <c r="AGM22">
        <v>19</v>
      </c>
      <c r="AGN22">
        <v>19</v>
      </c>
      <c r="AGO22">
        <v>19</v>
      </c>
      <c r="AGP22">
        <v>19</v>
      </c>
      <c r="AGQ22">
        <v>19</v>
      </c>
      <c r="AGR22">
        <v>19</v>
      </c>
      <c r="AGS22">
        <v>19</v>
      </c>
      <c r="AGT22">
        <v>19</v>
      </c>
      <c r="AGU22">
        <v>19</v>
      </c>
      <c r="AGV22">
        <v>19.05</v>
      </c>
      <c r="AGW22">
        <v>19.989999999999998</v>
      </c>
      <c r="AGX22">
        <v>19.989999999999998</v>
      </c>
      <c r="AGY22">
        <v>19.989999999999998</v>
      </c>
      <c r="AGZ22">
        <v>20</v>
      </c>
      <c r="AHA22">
        <v>20</v>
      </c>
      <c r="AHB22">
        <v>20</v>
      </c>
      <c r="AHC22">
        <v>20</v>
      </c>
      <c r="AHD22">
        <v>20</v>
      </c>
      <c r="AHE22">
        <v>20</v>
      </c>
      <c r="AHF22">
        <v>20</v>
      </c>
      <c r="AHG22">
        <v>20</v>
      </c>
      <c r="AHH22">
        <v>20</v>
      </c>
      <c r="AHI22">
        <v>20</v>
      </c>
      <c r="AHJ22">
        <v>20</v>
      </c>
      <c r="AHK22">
        <v>20</v>
      </c>
      <c r="AHL22">
        <v>20</v>
      </c>
      <c r="AHM22">
        <v>20</v>
      </c>
      <c r="AHN22">
        <v>20</v>
      </c>
      <c r="AHO22">
        <v>20</v>
      </c>
      <c r="AHP22">
        <v>20</v>
      </c>
      <c r="AHQ22">
        <v>20</v>
      </c>
      <c r="AHR22">
        <v>20</v>
      </c>
      <c r="AHS22">
        <v>20</v>
      </c>
      <c r="AHT22">
        <v>20</v>
      </c>
      <c r="AHU22">
        <v>20</v>
      </c>
      <c r="AHV22">
        <v>20</v>
      </c>
      <c r="AHW22">
        <v>20</v>
      </c>
      <c r="AHX22">
        <v>20</v>
      </c>
      <c r="AHY22">
        <v>20</v>
      </c>
      <c r="AHZ22">
        <v>20</v>
      </c>
      <c r="AIA22">
        <v>20</v>
      </c>
      <c r="AIB22">
        <v>20</v>
      </c>
      <c r="AIC22">
        <v>20</v>
      </c>
      <c r="AID22">
        <v>20</v>
      </c>
      <c r="AIE22">
        <v>20</v>
      </c>
      <c r="AIF22">
        <v>20</v>
      </c>
      <c r="AIG22">
        <v>20</v>
      </c>
      <c r="AIH22">
        <v>20</v>
      </c>
      <c r="AII22">
        <v>20</v>
      </c>
      <c r="AIJ22">
        <v>20</v>
      </c>
      <c r="AIK22">
        <v>20</v>
      </c>
      <c r="AIL22">
        <v>20</v>
      </c>
      <c r="AIM22">
        <v>20</v>
      </c>
      <c r="AIN22">
        <v>20</v>
      </c>
      <c r="AIO22">
        <v>20</v>
      </c>
      <c r="AIP22">
        <v>20</v>
      </c>
      <c r="AIQ22">
        <v>20</v>
      </c>
      <c r="AIR22">
        <v>20</v>
      </c>
      <c r="AIS22">
        <v>20</v>
      </c>
      <c r="AIT22">
        <v>20</v>
      </c>
      <c r="AIU22">
        <v>20</v>
      </c>
      <c r="AIV22">
        <v>20</v>
      </c>
      <c r="AIW22">
        <v>20</v>
      </c>
      <c r="AIX22">
        <v>20</v>
      </c>
      <c r="AIY22">
        <v>20.99</v>
      </c>
      <c r="AIZ22">
        <v>20.99</v>
      </c>
      <c r="AJA22">
        <v>20.99</v>
      </c>
      <c r="AJB22">
        <v>21</v>
      </c>
      <c r="AJC22">
        <v>21</v>
      </c>
      <c r="AJD22">
        <v>21</v>
      </c>
      <c r="AJE22">
        <v>21</v>
      </c>
      <c r="AJF22">
        <v>21</v>
      </c>
      <c r="AJG22">
        <v>21</v>
      </c>
      <c r="AJH22">
        <v>21</v>
      </c>
      <c r="AJI22">
        <v>21</v>
      </c>
      <c r="AJJ22">
        <v>21</v>
      </c>
      <c r="AJK22">
        <v>21</v>
      </c>
      <c r="AJL22">
        <v>21</v>
      </c>
      <c r="AJM22">
        <v>21</v>
      </c>
      <c r="AJN22">
        <v>21</v>
      </c>
      <c r="AJO22">
        <v>21</v>
      </c>
      <c r="AJP22">
        <v>21</v>
      </c>
      <c r="AJQ22">
        <v>21</v>
      </c>
      <c r="AJR22">
        <v>21</v>
      </c>
      <c r="AJS22">
        <v>21</v>
      </c>
      <c r="AJT22">
        <v>21</v>
      </c>
      <c r="AJU22">
        <v>21</v>
      </c>
      <c r="AJV22">
        <v>21</v>
      </c>
      <c r="AJW22">
        <v>21</v>
      </c>
      <c r="AJX22">
        <v>21</v>
      </c>
      <c r="AJY22">
        <v>21</v>
      </c>
      <c r="AJZ22">
        <v>21</v>
      </c>
      <c r="AKA22">
        <v>21</v>
      </c>
      <c r="AKB22">
        <v>21</v>
      </c>
      <c r="AKC22">
        <v>21</v>
      </c>
      <c r="AKD22">
        <v>21</v>
      </c>
      <c r="AKE22">
        <v>21</v>
      </c>
      <c r="AKF22">
        <v>21</v>
      </c>
      <c r="AKG22">
        <v>21</v>
      </c>
      <c r="AKH22">
        <v>21</v>
      </c>
      <c r="AKI22">
        <v>21</v>
      </c>
      <c r="AKJ22">
        <v>21</v>
      </c>
      <c r="AKK22">
        <v>21</v>
      </c>
      <c r="AKL22">
        <v>21</v>
      </c>
      <c r="AKM22">
        <v>21</v>
      </c>
      <c r="AKN22">
        <v>21</v>
      </c>
      <c r="AKO22">
        <v>21</v>
      </c>
      <c r="AKP22">
        <v>21</v>
      </c>
      <c r="AKQ22">
        <v>21</v>
      </c>
      <c r="AKR22">
        <v>21</v>
      </c>
      <c r="AKS22">
        <v>21</v>
      </c>
      <c r="AKT22">
        <v>21</v>
      </c>
      <c r="AKU22">
        <v>21</v>
      </c>
      <c r="AKV22">
        <v>21.99</v>
      </c>
      <c r="AKW22">
        <v>21.99</v>
      </c>
      <c r="AKX22">
        <v>21.99</v>
      </c>
      <c r="AKY22">
        <v>21.99</v>
      </c>
      <c r="AKZ22">
        <v>22</v>
      </c>
      <c r="ALA22">
        <v>22</v>
      </c>
      <c r="ALB22">
        <v>22</v>
      </c>
      <c r="ALC22">
        <v>22</v>
      </c>
      <c r="ALD22">
        <v>22</v>
      </c>
      <c r="ALE22">
        <v>22</v>
      </c>
      <c r="ALF22">
        <v>22</v>
      </c>
      <c r="ALG22">
        <v>22</v>
      </c>
      <c r="ALH22">
        <v>22</v>
      </c>
      <c r="ALI22">
        <v>22</v>
      </c>
      <c r="ALJ22">
        <v>22</v>
      </c>
      <c r="ALK22">
        <v>22</v>
      </c>
      <c r="ALL22">
        <v>22</v>
      </c>
      <c r="ALM22">
        <v>22</v>
      </c>
      <c r="ALN22">
        <v>22</v>
      </c>
      <c r="ALO22">
        <v>22</v>
      </c>
      <c r="ALP22">
        <v>22</v>
      </c>
      <c r="ALQ22">
        <v>22</v>
      </c>
      <c r="ALR22">
        <v>22</v>
      </c>
      <c r="ALS22">
        <v>22</v>
      </c>
      <c r="ALT22">
        <v>22</v>
      </c>
      <c r="ALU22">
        <v>22</v>
      </c>
      <c r="ALV22">
        <v>22</v>
      </c>
      <c r="ALW22">
        <v>22</v>
      </c>
      <c r="ALX22">
        <v>22</v>
      </c>
      <c r="ALY22">
        <v>22</v>
      </c>
      <c r="ALZ22">
        <v>22</v>
      </c>
      <c r="AMA22">
        <v>22</v>
      </c>
      <c r="AMB22">
        <v>22</v>
      </c>
      <c r="AMC22">
        <v>22</v>
      </c>
      <c r="AMD22">
        <v>22</v>
      </c>
      <c r="AME22">
        <v>22</v>
      </c>
      <c r="AMF22">
        <v>22</v>
      </c>
      <c r="AMG22">
        <v>22</v>
      </c>
      <c r="AMH22">
        <v>22</v>
      </c>
      <c r="AMI22">
        <v>22</v>
      </c>
      <c r="AMJ22">
        <v>22</v>
      </c>
      <c r="AMK22">
        <v>22</v>
      </c>
      <c r="AML22">
        <v>22</v>
      </c>
      <c r="AMM22">
        <v>22</v>
      </c>
      <c r="AMN22">
        <v>22</v>
      </c>
      <c r="AMO22">
        <v>22</v>
      </c>
      <c r="AMP22">
        <v>22</v>
      </c>
      <c r="AMQ22">
        <v>22</v>
      </c>
      <c r="AMR22">
        <v>22</v>
      </c>
      <c r="AMS22">
        <v>22</v>
      </c>
      <c r="AMT22">
        <v>22</v>
      </c>
      <c r="AMU22">
        <v>22</v>
      </c>
      <c r="AMV22">
        <v>22</v>
      </c>
      <c r="AMW22">
        <v>22</v>
      </c>
      <c r="AMX22">
        <v>22</v>
      </c>
      <c r="AMY22">
        <v>22</v>
      </c>
      <c r="AMZ22">
        <v>22.97</v>
      </c>
      <c r="ANA22">
        <v>22.99</v>
      </c>
      <c r="ANB22">
        <v>22.99</v>
      </c>
      <c r="ANC22">
        <v>22.99</v>
      </c>
      <c r="AND22">
        <v>23</v>
      </c>
      <c r="ANE22">
        <v>23</v>
      </c>
      <c r="ANF22">
        <v>23</v>
      </c>
      <c r="ANG22">
        <v>23</v>
      </c>
      <c r="ANH22">
        <v>23</v>
      </c>
      <c r="ANI22">
        <v>23</v>
      </c>
      <c r="ANJ22">
        <v>23</v>
      </c>
      <c r="ANK22">
        <v>23</v>
      </c>
      <c r="ANL22">
        <v>23</v>
      </c>
      <c r="ANM22">
        <v>23</v>
      </c>
      <c r="ANN22">
        <v>23</v>
      </c>
      <c r="ANO22">
        <v>23</v>
      </c>
      <c r="ANP22">
        <v>23</v>
      </c>
      <c r="ANQ22">
        <v>23</v>
      </c>
      <c r="ANR22">
        <v>23</v>
      </c>
      <c r="ANS22">
        <v>23</v>
      </c>
      <c r="ANT22">
        <v>23</v>
      </c>
      <c r="ANU22">
        <v>23</v>
      </c>
      <c r="ANV22">
        <v>23</v>
      </c>
      <c r="ANW22">
        <v>23</v>
      </c>
      <c r="ANX22">
        <v>23</v>
      </c>
      <c r="ANY22">
        <v>23</v>
      </c>
      <c r="ANZ22">
        <v>23</v>
      </c>
      <c r="AOA22">
        <v>23</v>
      </c>
      <c r="AOB22">
        <v>23</v>
      </c>
      <c r="AOC22">
        <v>23</v>
      </c>
      <c r="AOD22">
        <v>23</v>
      </c>
      <c r="AOE22">
        <v>23</v>
      </c>
      <c r="AOF22">
        <v>23</v>
      </c>
      <c r="AOG22">
        <v>23</v>
      </c>
      <c r="AOH22">
        <v>23</v>
      </c>
      <c r="AOI22">
        <v>23</v>
      </c>
      <c r="AOJ22">
        <v>23</v>
      </c>
      <c r="AOK22">
        <v>23</v>
      </c>
      <c r="AOL22">
        <v>23.01</v>
      </c>
      <c r="AOM22">
        <v>23.99</v>
      </c>
      <c r="AON22">
        <v>23.99</v>
      </c>
      <c r="AOO22">
        <v>23.99</v>
      </c>
      <c r="AOP22">
        <v>24</v>
      </c>
      <c r="AOQ22">
        <v>24</v>
      </c>
      <c r="AOR22">
        <v>24</v>
      </c>
      <c r="AOS22">
        <v>24</v>
      </c>
      <c r="AOT22">
        <v>24</v>
      </c>
      <c r="AOU22">
        <v>24</v>
      </c>
      <c r="AOV22">
        <v>24</v>
      </c>
      <c r="AOW22">
        <v>24</v>
      </c>
      <c r="AOX22">
        <v>24</v>
      </c>
      <c r="AOY22">
        <v>24</v>
      </c>
      <c r="AOZ22">
        <v>24</v>
      </c>
      <c r="APA22">
        <v>24</v>
      </c>
      <c r="APB22">
        <v>24</v>
      </c>
      <c r="APC22">
        <v>24</v>
      </c>
      <c r="APD22">
        <v>24</v>
      </c>
      <c r="APE22">
        <v>24</v>
      </c>
      <c r="APF22">
        <v>24</v>
      </c>
      <c r="APG22">
        <v>24</v>
      </c>
      <c r="APH22">
        <v>24</v>
      </c>
      <c r="API22">
        <v>24</v>
      </c>
      <c r="APJ22">
        <v>24</v>
      </c>
      <c r="APK22">
        <v>24</v>
      </c>
      <c r="APL22">
        <v>24</v>
      </c>
      <c r="APM22">
        <v>24</v>
      </c>
      <c r="APN22">
        <v>24</v>
      </c>
      <c r="APO22">
        <v>24</v>
      </c>
      <c r="APP22">
        <v>24</v>
      </c>
      <c r="APQ22">
        <v>24</v>
      </c>
      <c r="APR22">
        <v>24</v>
      </c>
      <c r="APS22">
        <v>24</v>
      </c>
      <c r="APT22">
        <v>24.01</v>
      </c>
      <c r="APU22">
        <v>24.99</v>
      </c>
      <c r="APV22">
        <v>24.99</v>
      </c>
      <c r="APW22">
        <v>25</v>
      </c>
      <c r="APX22">
        <v>25</v>
      </c>
      <c r="APY22">
        <v>25</v>
      </c>
      <c r="APZ22">
        <v>25</v>
      </c>
      <c r="AQA22">
        <v>25</v>
      </c>
      <c r="AQB22">
        <v>25</v>
      </c>
      <c r="AQC22">
        <v>25</v>
      </c>
      <c r="AQD22">
        <v>25</v>
      </c>
      <c r="AQE22">
        <v>25</v>
      </c>
      <c r="AQF22">
        <v>25</v>
      </c>
      <c r="AQG22">
        <v>25</v>
      </c>
      <c r="AQH22">
        <v>25</v>
      </c>
      <c r="AQI22">
        <v>25</v>
      </c>
      <c r="AQJ22">
        <v>25</v>
      </c>
      <c r="AQK22">
        <v>25</v>
      </c>
      <c r="AQL22">
        <v>25</v>
      </c>
      <c r="AQM22">
        <v>25</v>
      </c>
      <c r="AQN22">
        <v>25</v>
      </c>
      <c r="AQO22">
        <v>25</v>
      </c>
      <c r="AQP22">
        <v>25</v>
      </c>
      <c r="AQQ22">
        <v>25</v>
      </c>
      <c r="AQR22">
        <v>25</v>
      </c>
      <c r="AQS22">
        <v>25</v>
      </c>
      <c r="AQT22">
        <v>25</v>
      </c>
      <c r="AQU22">
        <v>25</v>
      </c>
      <c r="AQV22">
        <v>25</v>
      </c>
      <c r="AQW22">
        <v>25</v>
      </c>
      <c r="AQX22">
        <v>25</v>
      </c>
      <c r="AQY22">
        <v>25</v>
      </c>
      <c r="AQZ22">
        <v>25</v>
      </c>
      <c r="ARA22">
        <v>25</v>
      </c>
      <c r="ARB22">
        <v>25</v>
      </c>
      <c r="ARC22">
        <v>25</v>
      </c>
      <c r="ARD22">
        <v>25</v>
      </c>
      <c r="ARE22">
        <v>25</v>
      </c>
      <c r="ARF22">
        <v>25</v>
      </c>
      <c r="ARG22">
        <v>25</v>
      </c>
      <c r="ARH22">
        <v>25</v>
      </c>
      <c r="ARI22">
        <v>25</v>
      </c>
      <c r="ARJ22">
        <v>25</v>
      </c>
      <c r="ARK22">
        <v>25</v>
      </c>
      <c r="ARL22">
        <v>25</v>
      </c>
      <c r="ARM22">
        <v>25</v>
      </c>
      <c r="ARN22">
        <v>25</v>
      </c>
      <c r="ARO22">
        <v>25</v>
      </c>
      <c r="ARP22">
        <v>25</v>
      </c>
      <c r="ARQ22">
        <v>25</v>
      </c>
      <c r="ARR22">
        <v>25</v>
      </c>
      <c r="ARS22">
        <v>25</v>
      </c>
      <c r="ART22">
        <v>25.99</v>
      </c>
      <c r="ARU22">
        <v>25.99</v>
      </c>
      <c r="ARV22">
        <v>25.99</v>
      </c>
      <c r="ARW22">
        <v>25.99</v>
      </c>
      <c r="ARX22">
        <v>25.99</v>
      </c>
      <c r="ARY22">
        <v>25.99</v>
      </c>
      <c r="ARZ22">
        <v>26</v>
      </c>
      <c r="ASA22">
        <v>26</v>
      </c>
      <c r="ASB22">
        <v>26</v>
      </c>
      <c r="ASC22">
        <v>26</v>
      </c>
      <c r="ASD22">
        <v>26</v>
      </c>
      <c r="ASE22">
        <v>26</v>
      </c>
      <c r="ASF22">
        <v>26</v>
      </c>
      <c r="ASG22">
        <v>26</v>
      </c>
      <c r="ASH22">
        <v>26</v>
      </c>
      <c r="ASI22">
        <v>26</v>
      </c>
      <c r="ASJ22">
        <v>26</v>
      </c>
      <c r="ASK22">
        <v>26</v>
      </c>
      <c r="ASL22">
        <v>26</v>
      </c>
      <c r="ASM22">
        <v>26</v>
      </c>
      <c r="ASN22">
        <v>26</v>
      </c>
      <c r="ASO22">
        <v>26</v>
      </c>
      <c r="ASP22">
        <v>26</v>
      </c>
      <c r="ASQ22">
        <v>26</v>
      </c>
      <c r="ASR22">
        <v>26</v>
      </c>
      <c r="ASS22">
        <v>26</v>
      </c>
      <c r="AST22">
        <v>26</v>
      </c>
      <c r="ASU22">
        <v>26</v>
      </c>
      <c r="ASV22">
        <v>26</v>
      </c>
      <c r="ASW22">
        <v>26</v>
      </c>
      <c r="ASX22">
        <v>26</v>
      </c>
      <c r="ASY22">
        <v>26</v>
      </c>
      <c r="ASZ22">
        <v>26</v>
      </c>
      <c r="ATA22">
        <v>26</v>
      </c>
      <c r="ATB22">
        <v>26</v>
      </c>
      <c r="ATC22">
        <v>26</v>
      </c>
      <c r="ATD22">
        <v>26</v>
      </c>
      <c r="ATE22">
        <v>26</v>
      </c>
      <c r="ATF22">
        <v>26.009999999999899</v>
      </c>
      <c r="ATG22">
        <v>26.01</v>
      </c>
      <c r="ATH22">
        <v>26.99</v>
      </c>
      <c r="ATI22">
        <v>27</v>
      </c>
      <c r="ATJ22">
        <v>27</v>
      </c>
      <c r="ATK22">
        <v>27</v>
      </c>
      <c r="ATL22">
        <v>27</v>
      </c>
      <c r="ATM22">
        <v>27</v>
      </c>
      <c r="ATN22">
        <v>27</v>
      </c>
      <c r="ATO22">
        <v>27</v>
      </c>
      <c r="ATP22">
        <v>27</v>
      </c>
      <c r="ATQ22">
        <v>27</v>
      </c>
      <c r="ATR22">
        <v>27</v>
      </c>
      <c r="ATS22">
        <v>27</v>
      </c>
      <c r="ATT22">
        <v>27</v>
      </c>
      <c r="ATU22">
        <v>27</v>
      </c>
      <c r="ATV22">
        <v>27</v>
      </c>
      <c r="ATW22">
        <v>27</v>
      </c>
      <c r="ATX22">
        <v>27</v>
      </c>
      <c r="ATY22">
        <v>27</v>
      </c>
      <c r="ATZ22">
        <v>27</v>
      </c>
      <c r="AUA22">
        <v>27</v>
      </c>
      <c r="AUB22">
        <v>27</v>
      </c>
      <c r="AUC22">
        <v>27</v>
      </c>
      <c r="AUD22">
        <v>27</v>
      </c>
      <c r="AUE22">
        <v>27</v>
      </c>
      <c r="AUF22">
        <v>27</v>
      </c>
      <c r="AUG22">
        <v>27</v>
      </c>
      <c r="AUH22">
        <v>27</v>
      </c>
      <c r="AUI22">
        <v>27</v>
      </c>
      <c r="AUJ22">
        <v>27</v>
      </c>
      <c r="AUK22">
        <v>27</v>
      </c>
      <c r="AUL22">
        <v>27</v>
      </c>
      <c r="AUM22">
        <v>27</v>
      </c>
      <c r="AUN22">
        <v>27</v>
      </c>
      <c r="AUO22">
        <v>27</v>
      </c>
      <c r="AUP22">
        <v>27</v>
      </c>
      <c r="AUQ22">
        <v>27.99</v>
      </c>
      <c r="AUR22">
        <v>27.99</v>
      </c>
      <c r="AUS22">
        <v>27.99</v>
      </c>
      <c r="AUT22">
        <v>27.99</v>
      </c>
      <c r="AUU22">
        <v>27.99</v>
      </c>
      <c r="AUV22">
        <v>27.99</v>
      </c>
      <c r="AUW22">
        <v>27.99</v>
      </c>
      <c r="AUX22">
        <v>28</v>
      </c>
      <c r="AUY22">
        <v>28</v>
      </c>
      <c r="AUZ22">
        <v>28</v>
      </c>
      <c r="AVA22">
        <v>28</v>
      </c>
      <c r="AVB22">
        <v>28</v>
      </c>
      <c r="AVC22">
        <v>28</v>
      </c>
      <c r="AVD22">
        <v>28</v>
      </c>
      <c r="AVE22">
        <v>28</v>
      </c>
      <c r="AVF22">
        <v>28</v>
      </c>
      <c r="AVG22">
        <v>28</v>
      </c>
      <c r="AVH22">
        <v>28</v>
      </c>
      <c r="AVI22">
        <v>28</v>
      </c>
      <c r="AVJ22">
        <v>28</v>
      </c>
      <c r="AVK22">
        <v>28</v>
      </c>
      <c r="AVL22">
        <v>28</v>
      </c>
      <c r="AVM22">
        <v>28</v>
      </c>
      <c r="AVN22">
        <v>28</v>
      </c>
      <c r="AVO22">
        <v>28</v>
      </c>
      <c r="AVP22">
        <v>28</v>
      </c>
      <c r="AVQ22">
        <v>28</v>
      </c>
      <c r="AVR22">
        <v>28</v>
      </c>
      <c r="AVS22">
        <v>28</v>
      </c>
      <c r="AVT22">
        <v>28</v>
      </c>
      <c r="AVU22">
        <v>28</v>
      </c>
      <c r="AVV22">
        <v>28</v>
      </c>
      <c r="AVW22">
        <v>28</v>
      </c>
      <c r="AVX22">
        <v>28</v>
      </c>
      <c r="AVY22">
        <v>28</v>
      </c>
      <c r="AVZ22">
        <v>28</v>
      </c>
      <c r="AWA22">
        <v>28</v>
      </c>
      <c r="AWB22">
        <v>28</v>
      </c>
      <c r="AWC22">
        <v>28</v>
      </c>
      <c r="AWD22">
        <v>28.01</v>
      </c>
      <c r="AWE22">
        <v>28.99</v>
      </c>
      <c r="AWF22">
        <v>28.99</v>
      </c>
      <c r="AWG22">
        <v>28.99</v>
      </c>
      <c r="AWH22">
        <v>28.99</v>
      </c>
      <c r="AWI22">
        <v>29</v>
      </c>
      <c r="AWJ22">
        <v>29</v>
      </c>
      <c r="AWK22">
        <v>29</v>
      </c>
      <c r="AWL22">
        <v>29</v>
      </c>
      <c r="AWM22">
        <v>29</v>
      </c>
      <c r="AWN22">
        <v>29</v>
      </c>
      <c r="AWO22">
        <v>29</v>
      </c>
      <c r="AWP22">
        <v>29</v>
      </c>
      <c r="AWQ22">
        <v>29</v>
      </c>
      <c r="AWR22">
        <v>29</v>
      </c>
      <c r="AWS22">
        <v>29</v>
      </c>
      <c r="AWT22">
        <v>29</v>
      </c>
      <c r="AWU22">
        <v>29</v>
      </c>
      <c r="AWV22">
        <v>29</v>
      </c>
      <c r="AWW22">
        <v>29</v>
      </c>
      <c r="AWX22">
        <v>29</v>
      </c>
      <c r="AWY22">
        <v>29</v>
      </c>
      <c r="AWZ22">
        <v>29</v>
      </c>
      <c r="AXA22">
        <v>29</v>
      </c>
      <c r="AXB22">
        <v>29</v>
      </c>
      <c r="AXC22">
        <v>29</v>
      </c>
      <c r="AXD22">
        <v>29</v>
      </c>
      <c r="AXE22">
        <v>29</v>
      </c>
      <c r="AXF22">
        <v>29</v>
      </c>
      <c r="AXG22">
        <v>29</v>
      </c>
      <c r="AXH22">
        <v>29</v>
      </c>
      <c r="AXI22">
        <v>29</v>
      </c>
      <c r="AXJ22">
        <v>29</v>
      </c>
      <c r="AXK22">
        <v>29</v>
      </c>
      <c r="AXL22">
        <v>29</v>
      </c>
      <c r="AXM22">
        <v>29</v>
      </c>
      <c r="AXN22">
        <v>29.01</v>
      </c>
      <c r="AXO22">
        <v>29.01</v>
      </c>
      <c r="AXP22">
        <v>29.99</v>
      </c>
      <c r="AXQ22">
        <v>29.99</v>
      </c>
      <c r="AXR22">
        <v>29.99</v>
      </c>
      <c r="AXS22">
        <v>30</v>
      </c>
      <c r="AXT22">
        <v>30</v>
      </c>
      <c r="AXU22">
        <v>30</v>
      </c>
      <c r="AXV22">
        <v>30</v>
      </c>
      <c r="AXW22">
        <v>30</v>
      </c>
      <c r="AXX22">
        <v>30</v>
      </c>
      <c r="AXY22">
        <v>30</v>
      </c>
      <c r="AXZ22">
        <v>30</v>
      </c>
      <c r="AYA22">
        <v>30</v>
      </c>
      <c r="AYB22">
        <v>30</v>
      </c>
      <c r="AYC22">
        <v>30</v>
      </c>
      <c r="AYD22">
        <v>30</v>
      </c>
      <c r="AYE22">
        <v>30</v>
      </c>
      <c r="AYF22">
        <v>30</v>
      </c>
      <c r="AYG22">
        <v>30</v>
      </c>
      <c r="AYH22">
        <v>30</v>
      </c>
      <c r="AYI22">
        <v>30</v>
      </c>
      <c r="AYJ22">
        <v>30</v>
      </c>
      <c r="AYK22">
        <v>30</v>
      </c>
      <c r="AYL22">
        <v>30</v>
      </c>
      <c r="AYM22">
        <v>30</v>
      </c>
      <c r="AYN22">
        <v>30</v>
      </c>
      <c r="AYO22">
        <v>30</v>
      </c>
      <c r="AYP22">
        <v>30</v>
      </c>
      <c r="AYQ22">
        <v>30.01</v>
      </c>
      <c r="AYR22">
        <v>30.06</v>
      </c>
      <c r="AYS22">
        <v>30.99</v>
      </c>
      <c r="AYT22">
        <v>30.99</v>
      </c>
      <c r="AYU22">
        <v>30.99</v>
      </c>
      <c r="AYV22">
        <v>31</v>
      </c>
      <c r="AYW22">
        <v>31</v>
      </c>
      <c r="AYX22">
        <v>31</v>
      </c>
      <c r="AYY22">
        <v>31</v>
      </c>
      <c r="AYZ22">
        <v>31</v>
      </c>
      <c r="AZA22">
        <v>31</v>
      </c>
      <c r="AZB22">
        <v>31</v>
      </c>
      <c r="AZC22">
        <v>31</v>
      </c>
      <c r="AZD22">
        <v>31</v>
      </c>
      <c r="AZE22">
        <v>31</v>
      </c>
      <c r="AZF22">
        <v>31</v>
      </c>
      <c r="AZG22">
        <v>31</v>
      </c>
      <c r="AZH22">
        <v>31</v>
      </c>
      <c r="AZI22">
        <v>31</v>
      </c>
      <c r="AZJ22">
        <v>31</v>
      </c>
      <c r="AZK22">
        <v>31</v>
      </c>
      <c r="AZL22">
        <v>31</v>
      </c>
      <c r="AZM22">
        <v>31</v>
      </c>
      <c r="AZN22">
        <v>31</v>
      </c>
      <c r="AZO22">
        <v>31</v>
      </c>
      <c r="AZP22">
        <v>31</v>
      </c>
      <c r="AZQ22">
        <v>31</v>
      </c>
      <c r="AZR22">
        <v>31</v>
      </c>
      <c r="AZS22">
        <v>31</v>
      </c>
      <c r="AZT22">
        <v>31</v>
      </c>
      <c r="AZU22">
        <v>31</v>
      </c>
      <c r="AZV22">
        <v>31</v>
      </c>
      <c r="AZW22">
        <v>31</v>
      </c>
      <c r="AZX22">
        <v>31</v>
      </c>
      <c r="AZY22">
        <v>31.99</v>
      </c>
      <c r="AZZ22">
        <v>31.99</v>
      </c>
      <c r="BAA22">
        <v>31.99</v>
      </c>
      <c r="BAB22">
        <v>31.99</v>
      </c>
      <c r="BAC22">
        <v>31.99</v>
      </c>
      <c r="BAD22">
        <v>32</v>
      </c>
      <c r="BAE22">
        <v>32</v>
      </c>
      <c r="BAF22">
        <v>32</v>
      </c>
      <c r="BAG22">
        <v>32</v>
      </c>
      <c r="BAH22">
        <v>32</v>
      </c>
      <c r="BAI22">
        <v>32</v>
      </c>
      <c r="BAJ22">
        <v>32</v>
      </c>
      <c r="BAK22">
        <v>32</v>
      </c>
      <c r="BAL22">
        <v>32</v>
      </c>
      <c r="BAM22">
        <v>32</v>
      </c>
      <c r="BAN22">
        <v>32</v>
      </c>
      <c r="BAO22">
        <v>32</v>
      </c>
      <c r="BAP22">
        <v>32</v>
      </c>
      <c r="BAQ22">
        <v>32</v>
      </c>
      <c r="BAR22">
        <v>32</v>
      </c>
      <c r="BAS22">
        <v>32</v>
      </c>
      <c r="BAT22">
        <v>32</v>
      </c>
      <c r="BAU22">
        <v>32</v>
      </c>
      <c r="BAV22">
        <v>32</v>
      </c>
      <c r="BAW22">
        <v>32</v>
      </c>
      <c r="BAX22">
        <v>32</v>
      </c>
      <c r="BAY22">
        <v>32</v>
      </c>
      <c r="BAZ22">
        <v>32</v>
      </c>
      <c r="BBA22">
        <v>32</v>
      </c>
      <c r="BBB22">
        <v>32</v>
      </c>
      <c r="BBC22">
        <v>32</v>
      </c>
      <c r="BBD22">
        <v>32</v>
      </c>
      <c r="BBE22">
        <v>32</v>
      </c>
      <c r="BBF22">
        <v>32</v>
      </c>
      <c r="BBG22">
        <v>32</v>
      </c>
      <c r="BBH22">
        <v>32</v>
      </c>
      <c r="BBI22">
        <v>32</v>
      </c>
      <c r="BBJ22">
        <v>32</v>
      </c>
      <c r="BBK22">
        <v>32</v>
      </c>
      <c r="BBL22">
        <v>32</v>
      </c>
      <c r="BBM22">
        <v>32</v>
      </c>
      <c r="BBN22">
        <v>32.99</v>
      </c>
      <c r="BBO22">
        <v>32.99</v>
      </c>
      <c r="BBP22">
        <v>32.99</v>
      </c>
      <c r="BBQ22">
        <v>33</v>
      </c>
      <c r="BBR22">
        <v>33</v>
      </c>
      <c r="BBS22">
        <v>33</v>
      </c>
      <c r="BBT22">
        <v>33</v>
      </c>
      <c r="BBU22">
        <v>33</v>
      </c>
      <c r="BBV22">
        <v>33</v>
      </c>
      <c r="BBW22">
        <v>33</v>
      </c>
      <c r="BBX22">
        <v>33</v>
      </c>
      <c r="BBY22">
        <v>33</v>
      </c>
      <c r="BBZ22">
        <v>33</v>
      </c>
      <c r="BCA22">
        <v>33</v>
      </c>
      <c r="BCB22">
        <v>33</v>
      </c>
      <c r="BCC22">
        <v>33</v>
      </c>
      <c r="BCD22">
        <v>33</v>
      </c>
      <c r="BCE22">
        <v>33</v>
      </c>
      <c r="BCF22">
        <v>33</v>
      </c>
      <c r="BCG22">
        <v>33</v>
      </c>
      <c r="BCH22">
        <v>33</v>
      </c>
      <c r="BCI22">
        <v>33</v>
      </c>
      <c r="BCJ22">
        <v>33</v>
      </c>
      <c r="BCK22">
        <v>33</v>
      </c>
      <c r="BCL22">
        <v>33</v>
      </c>
      <c r="BCM22">
        <v>33</v>
      </c>
      <c r="BCN22">
        <v>33</v>
      </c>
      <c r="BCO22">
        <v>33</v>
      </c>
      <c r="BCP22">
        <v>33</v>
      </c>
      <c r="BCQ22">
        <v>33</v>
      </c>
      <c r="BCR22">
        <v>33</v>
      </c>
      <c r="BCS22">
        <v>33</v>
      </c>
      <c r="BCT22">
        <v>33</v>
      </c>
      <c r="BCU22">
        <v>33</v>
      </c>
      <c r="BCV22">
        <v>33</v>
      </c>
      <c r="BCW22">
        <v>33</v>
      </c>
      <c r="BCX22">
        <v>33</v>
      </c>
      <c r="BCY22">
        <v>33</v>
      </c>
      <c r="BCZ22">
        <v>33</v>
      </c>
      <c r="BDA22">
        <v>33</v>
      </c>
      <c r="BDB22">
        <v>33</v>
      </c>
      <c r="BDC22">
        <v>33.99</v>
      </c>
      <c r="BDD22">
        <v>33.99</v>
      </c>
      <c r="BDE22">
        <v>34</v>
      </c>
      <c r="BDF22">
        <v>34</v>
      </c>
      <c r="BDG22">
        <v>34</v>
      </c>
      <c r="BDH22">
        <v>34</v>
      </c>
      <c r="BDI22">
        <v>34</v>
      </c>
      <c r="BDJ22">
        <v>34</v>
      </c>
      <c r="BDK22">
        <v>34</v>
      </c>
      <c r="BDL22">
        <v>34</v>
      </c>
      <c r="BDM22">
        <v>34</v>
      </c>
      <c r="BDN22">
        <v>34</v>
      </c>
      <c r="BDO22">
        <v>34</v>
      </c>
      <c r="BDP22">
        <v>34</v>
      </c>
      <c r="BDQ22">
        <v>34</v>
      </c>
      <c r="BDR22">
        <v>34</v>
      </c>
      <c r="BDS22">
        <v>34</v>
      </c>
      <c r="BDT22">
        <v>34</v>
      </c>
      <c r="BDU22">
        <v>34</v>
      </c>
      <c r="BDV22">
        <v>34</v>
      </c>
      <c r="BDW22">
        <v>34</v>
      </c>
      <c r="BDX22">
        <v>34</v>
      </c>
      <c r="BDY22">
        <v>34</v>
      </c>
      <c r="BDZ22">
        <v>34</v>
      </c>
      <c r="BEA22">
        <v>34</v>
      </c>
      <c r="BEB22">
        <v>34</v>
      </c>
      <c r="BEC22">
        <v>34</v>
      </c>
      <c r="BED22">
        <v>34</v>
      </c>
      <c r="BEE22">
        <v>34</v>
      </c>
      <c r="BEF22">
        <v>34</v>
      </c>
      <c r="BEG22">
        <v>34</v>
      </c>
      <c r="BEH22">
        <v>34</v>
      </c>
      <c r="BEI22">
        <v>34</v>
      </c>
      <c r="BEJ22">
        <v>34</v>
      </c>
      <c r="BEK22">
        <v>34</v>
      </c>
      <c r="BEL22">
        <v>34</v>
      </c>
      <c r="BEM22">
        <v>34.99</v>
      </c>
      <c r="BEN22">
        <v>34.99</v>
      </c>
      <c r="BEO22">
        <v>34.99</v>
      </c>
      <c r="BEP22">
        <v>34.99</v>
      </c>
      <c r="BEQ22">
        <v>34.99</v>
      </c>
      <c r="BER22">
        <v>34.99</v>
      </c>
      <c r="BES22">
        <v>34.99</v>
      </c>
      <c r="BET22">
        <v>34.99</v>
      </c>
      <c r="BEU22">
        <v>35</v>
      </c>
      <c r="BEV22">
        <v>35</v>
      </c>
      <c r="BEW22">
        <v>35</v>
      </c>
      <c r="BEX22">
        <v>35</v>
      </c>
      <c r="BEY22">
        <v>35</v>
      </c>
      <c r="BEZ22">
        <v>35</v>
      </c>
      <c r="BFA22">
        <v>35</v>
      </c>
      <c r="BFB22">
        <v>35</v>
      </c>
      <c r="BFC22">
        <v>35</v>
      </c>
      <c r="BFD22">
        <v>35</v>
      </c>
      <c r="BFE22">
        <v>35</v>
      </c>
      <c r="BFF22">
        <v>35</v>
      </c>
      <c r="BFG22">
        <v>35</v>
      </c>
      <c r="BFH22">
        <v>35</v>
      </c>
      <c r="BFI22">
        <v>35</v>
      </c>
      <c r="BFJ22">
        <v>35</v>
      </c>
      <c r="BFK22">
        <v>35</v>
      </c>
      <c r="BFL22">
        <v>35</v>
      </c>
      <c r="BFM22">
        <v>35</v>
      </c>
      <c r="BFN22">
        <v>35</v>
      </c>
      <c r="BFO22">
        <v>35</v>
      </c>
      <c r="BFP22">
        <v>35</v>
      </c>
      <c r="BFQ22">
        <v>35</v>
      </c>
      <c r="BFR22">
        <v>35</v>
      </c>
      <c r="BFS22">
        <v>35</v>
      </c>
      <c r="BFT22">
        <v>35</v>
      </c>
      <c r="BFU22">
        <v>35</v>
      </c>
      <c r="BFV22">
        <v>35</v>
      </c>
      <c r="BFW22">
        <v>35.99</v>
      </c>
      <c r="BFX22">
        <v>35.99</v>
      </c>
      <c r="BFY22">
        <v>35.99</v>
      </c>
      <c r="BFZ22">
        <v>36</v>
      </c>
      <c r="BGA22">
        <v>36</v>
      </c>
      <c r="BGB22">
        <v>36</v>
      </c>
      <c r="BGC22">
        <v>36</v>
      </c>
      <c r="BGD22">
        <v>36</v>
      </c>
      <c r="BGE22">
        <v>36</v>
      </c>
      <c r="BGF22">
        <v>36</v>
      </c>
      <c r="BGG22">
        <v>36</v>
      </c>
      <c r="BGH22">
        <v>36</v>
      </c>
      <c r="BGI22">
        <v>36</v>
      </c>
      <c r="BGJ22">
        <v>36</v>
      </c>
      <c r="BGK22">
        <v>36</v>
      </c>
      <c r="BGL22">
        <v>36</v>
      </c>
      <c r="BGM22">
        <v>36</v>
      </c>
      <c r="BGN22">
        <v>36</v>
      </c>
      <c r="BGO22">
        <v>36</v>
      </c>
      <c r="BGP22">
        <v>36</v>
      </c>
      <c r="BGQ22">
        <v>36</v>
      </c>
      <c r="BGR22">
        <v>36</v>
      </c>
      <c r="BGS22">
        <v>36</v>
      </c>
      <c r="BGT22">
        <v>36</v>
      </c>
      <c r="BGU22">
        <v>36</v>
      </c>
      <c r="BGV22">
        <v>36</v>
      </c>
      <c r="BGW22">
        <v>36</v>
      </c>
      <c r="BGX22">
        <v>36</v>
      </c>
      <c r="BGY22">
        <v>36</v>
      </c>
      <c r="BGZ22">
        <v>36</v>
      </c>
      <c r="BHA22">
        <v>36.99</v>
      </c>
      <c r="BHB22">
        <v>36.99</v>
      </c>
      <c r="BHC22">
        <v>36.99</v>
      </c>
      <c r="BHD22">
        <v>36.99</v>
      </c>
      <c r="BHE22">
        <v>37</v>
      </c>
      <c r="BHF22">
        <v>37</v>
      </c>
      <c r="BHG22">
        <v>37</v>
      </c>
      <c r="BHH22">
        <v>37</v>
      </c>
      <c r="BHI22">
        <v>37</v>
      </c>
      <c r="BHJ22">
        <v>37</v>
      </c>
      <c r="BHK22">
        <v>37</v>
      </c>
      <c r="BHL22">
        <v>37</v>
      </c>
      <c r="BHM22">
        <v>37</v>
      </c>
      <c r="BHN22">
        <v>37</v>
      </c>
      <c r="BHO22">
        <v>37</v>
      </c>
      <c r="BHP22">
        <v>37</v>
      </c>
      <c r="BHQ22">
        <v>37</v>
      </c>
      <c r="BHR22">
        <v>37</v>
      </c>
      <c r="BHS22">
        <v>37</v>
      </c>
      <c r="BHT22">
        <v>37</v>
      </c>
      <c r="BHU22">
        <v>37</v>
      </c>
      <c r="BHV22">
        <v>37</v>
      </c>
      <c r="BHW22">
        <v>37</v>
      </c>
      <c r="BHX22">
        <v>37</v>
      </c>
      <c r="BHY22">
        <v>37</v>
      </c>
      <c r="BHZ22">
        <v>37</v>
      </c>
      <c r="BIA22">
        <v>37</v>
      </c>
      <c r="BIB22">
        <v>37</v>
      </c>
      <c r="BIC22">
        <v>37</v>
      </c>
      <c r="BID22">
        <v>37</v>
      </c>
      <c r="BIE22">
        <v>37</v>
      </c>
      <c r="BIF22">
        <v>37</v>
      </c>
      <c r="BIG22">
        <v>37</v>
      </c>
      <c r="BIH22">
        <v>37.020000000000003</v>
      </c>
      <c r="BII22">
        <v>37.04</v>
      </c>
      <c r="BIJ22">
        <v>37.99</v>
      </c>
      <c r="BIK22">
        <v>37.99</v>
      </c>
      <c r="BIL22">
        <v>37.99</v>
      </c>
      <c r="BIM22">
        <v>37.99</v>
      </c>
      <c r="BIN22">
        <v>37.99</v>
      </c>
      <c r="BIO22">
        <v>37.99</v>
      </c>
      <c r="BIP22">
        <v>38</v>
      </c>
      <c r="BIQ22">
        <v>38</v>
      </c>
      <c r="BIR22">
        <v>38</v>
      </c>
      <c r="BIS22">
        <v>38</v>
      </c>
      <c r="BIT22">
        <v>38</v>
      </c>
      <c r="BIU22">
        <v>38</v>
      </c>
      <c r="BIV22">
        <v>38</v>
      </c>
      <c r="BIW22">
        <v>38</v>
      </c>
      <c r="BIX22">
        <v>38</v>
      </c>
      <c r="BIY22">
        <v>38</v>
      </c>
      <c r="BIZ22">
        <v>38</v>
      </c>
      <c r="BJA22">
        <v>38</v>
      </c>
      <c r="BJB22">
        <v>38</v>
      </c>
      <c r="BJC22">
        <v>38</v>
      </c>
      <c r="BJD22">
        <v>38</v>
      </c>
      <c r="BJE22">
        <v>38</v>
      </c>
      <c r="BJF22">
        <v>38</v>
      </c>
      <c r="BJG22">
        <v>38</v>
      </c>
      <c r="BJH22">
        <v>38</v>
      </c>
      <c r="BJI22">
        <v>38</v>
      </c>
      <c r="BJJ22">
        <v>38</v>
      </c>
      <c r="BJK22">
        <v>38</v>
      </c>
      <c r="BJL22">
        <v>38</v>
      </c>
      <c r="BJM22">
        <v>38</v>
      </c>
      <c r="BJN22">
        <v>38</v>
      </c>
      <c r="BJO22">
        <v>38</v>
      </c>
      <c r="BJP22">
        <v>38</v>
      </c>
      <c r="BJQ22">
        <v>38</v>
      </c>
      <c r="BJR22">
        <v>38</v>
      </c>
      <c r="BJS22">
        <v>38</v>
      </c>
      <c r="BJT22">
        <v>38.01</v>
      </c>
      <c r="BJU22">
        <v>38.99</v>
      </c>
      <c r="BJV22">
        <v>38.99</v>
      </c>
      <c r="BJW22">
        <v>38.99</v>
      </c>
      <c r="BJX22">
        <v>38.99</v>
      </c>
      <c r="BJY22">
        <v>39</v>
      </c>
      <c r="BJZ22">
        <v>39</v>
      </c>
      <c r="BKA22">
        <v>39</v>
      </c>
      <c r="BKB22">
        <v>39</v>
      </c>
      <c r="BKC22">
        <v>39</v>
      </c>
      <c r="BKD22">
        <v>39</v>
      </c>
      <c r="BKE22">
        <v>39</v>
      </c>
      <c r="BKF22">
        <v>39</v>
      </c>
      <c r="BKG22">
        <v>39</v>
      </c>
      <c r="BKH22">
        <v>39</v>
      </c>
      <c r="BKI22">
        <v>39</v>
      </c>
      <c r="BKJ22">
        <v>39</v>
      </c>
      <c r="BKK22">
        <v>39</v>
      </c>
      <c r="BKL22">
        <v>39</v>
      </c>
      <c r="BKM22">
        <v>39</v>
      </c>
      <c r="BKN22">
        <v>39</v>
      </c>
      <c r="BKO22">
        <v>39</v>
      </c>
      <c r="BKP22">
        <v>39</v>
      </c>
      <c r="BKQ22">
        <v>39</v>
      </c>
      <c r="BKR22">
        <v>39</v>
      </c>
      <c r="BKS22">
        <v>39</v>
      </c>
      <c r="BKT22">
        <v>39</v>
      </c>
      <c r="BKU22">
        <v>39</v>
      </c>
      <c r="BKV22">
        <v>39</v>
      </c>
      <c r="BKW22">
        <v>39</v>
      </c>
      <c r="BKX22">
        <v>39</v>
      </c>
      <c r="BKY22">
        <v>39</v>
      </c>
      <c r="BKZ22">
        <v>39</v>
      </c>
      <c r="BLA22">
        <v>39.99</v>
      </c>
      <c r="BLB22">
        <v>39.99</v>
      </c>
      <c r="BLC22">
        <v>39.99</v>
      </c>
      <c r="BLD22">
        <v>39.99</v>
      </c>
      <c r="BLE22">
        <v>40</v>
      </c>
      <c r="BLF22">
        <v>40</v>
      </c>
      <c r="BLG22">
        <v>40</v>
      </c>
      <c r="BLH22">
        <v>40</v>
      </c>
      <c r="BLI22">
        <v>40</v>
      </c>
      <c r="BLJ22">
        <v>40</v>
      </c>
      <c r="BLK22">
        <v>40</v>
      </c>
      <c r="BLL22">
        <v>40</v>
      </c>
      <c r="BLM22">
        <v>40</v>
      </c>
      <c r="BLN22">
        <v>40</v>
      </c>
      <c r="BLO22">
        <v>40</v>
      </c>
      <c r="BLP22">
        <v>40</v>
      </c>
      <c r="BLQ22">
        <v>40</v>
      </c>
      <c r="BLR22">
        <v>40</v>
      </c>
      <c r="BLS22">
        <v>40</v>
      </c>
      <c r="BLT22">
        <v>40</v>
      </c>
      <c r="BLU22">
        <v>40</v>
      </c>
      <c r="BLV22">
        <v>40</v>
      </c>
      <c r="BLW22">
        <v>40</v>
      </c>
      <c r="BLX22">
        <v>40</v>
      </c>
      <c r="BLY22">
        <v>40</v>
      </c>
      <c r="BLZ22">
        <v>40</v>
      </c>
      <c r="BMA22">
        <v>40</v>
      </c>
      <c r="BMB22">
        <v>40</v>
      </c>
      <c r="BMC22">
        <v>40</v>
      </c>
      <c r="BMD22">
        <v>40.99</v>
      </c>
      <c r="BME22">
        <v>40.99</v>
      </c>
      <c r="BMF22">
        <v>41</v>
      </c>
      <c r="BMG22">
        <v>41</v>
      </c>
      <c r="BMH22">
        <v>41</v>
      </c>
      <c r="BMI22">
        <v>41</v>
      </c>
      <c r="BMJ22">
        <v>41</v>
      </c>
      <c r="BMK22">
        <v>41</v>
      </c>
      <c r="BML22">
        <v>41</v>
      </c>
      <c r="BMM22">
        <v>41</v>
      </c>
      <c r="BMN22">
        <v>41</v>
      </c>
      <c r="BMO22">
        <v>41</v>
      </c>
      <c r="BMP22">
        <v>41</v>
      </c>
      <c r="BMQ22">
        <v>41</v>
      </c>
      <c r="BMR22">
        <v>41</v>
      </c>
      <c r="BMS22">
        <v>41</v>
      </c>
      <c r="BMT22">
        <v>41</v>
      </c>
      <c r="BMU22">
        <v>41</v>
      </c>
      <c r="BMV22">
        <v>41.01</v>
      </c>
      <c r="BMW22">
        <v>41.989999999999903</v>
      </c>
      <c r="BMX22">
        <v>41.99</v>
      </c>
      <c r="BMY22">
        <v>41.99</v>
      </c>
      <c r="BMZ22">
        <v>41.99</v>
      </c>
      <c r="BNA22">
        <v>42</v>
      </c>
      <c r="BNB22">
        <v>42</v>
      </c>
      <c r="BNC22">
        <v>42</v>
      </c>
      <c r="BND22">
        <v>42</v>
      </c>
      <c r="BNE22">
        <v>42</v>
      </c>
      <c r="BNF22">
        <v>42</v>
      </c>
      <c r="BNG22">
        <v>42</v>
      </c>
      <c r="BNH22">
        <v>42</v>
      </c>
      <c r="BNI22">
        <v>42</v>
      </c>
      <c r="BNJ22">
        <v>42</v>
      </c>
      <c r="BNK22">
        <v>42</v>
      </c>
      <c r="BNL22">
        <v>42</v>
      </c>
      <c r="BNM22">
        <v>42</v>
      </c>
      <c r="BNN22">
        <v>42</v>
      </c>
      <c r="BNO22">
        <v>42</v>
      </c>
      <c r="BNP22">
        <v>42</v>
      </c>
      <c r="BNQ22">
        <v>42</v>
      </c>
      <c r="BNR22">
        <v>42</v>
      </c>
      <c r="BNS22">
        <v>42</v>
      </c>
      <c r="BNT22">
        <v>42</v>
      </c>
      <c r="BNU22">
        <v>42</v>
      </c>
      <c r="BNV22">
        <v>42</v>
      </c>
      <c r="BNW22">
        <v>42</v>
      </c>
      <c r="BNX22">
        <v>42</v>
      </c>
      <c r="BNY22">
        <v>42</v>
      </c>
      <c r="BNZ22">
        <v>42</v>
      </c>
      <c r="BOA22">
        <v>42</v>
      </c>
      <c r="BOB22">
        <v>42.01</v>
      </c>
      <c r="BOC22">
        <v>42.989999999999903</v>
      </c>
      <c r="BOD22">
        <v>42.99</v>
      </c>
      <c r="BOE22">
        <v>42.99</v>
      </c>
      <c r="BOF22">
        <v>42.99</v>
      </c>
      <c r="BOG22">
        <v>43</v>
      </c>
      <c r="BOH22">
        <v>43</v>
      </c>
      <c r="BOI22">
        <v>43</v>
      </c>
      <c r="BOJ22">
        <v>43</v>
      </c>
      <c r="BOK22">
        <v>43</v>
      </c>
      <c r="BOL22">
        <v>43</v>
      </c>
      <c r="BOM22">
        <v>43</v>
      </c>
      <c r="BON22">
        <v>43</v>
      </c>
      <c r="BOO22">
        <v>43</v>
      </c>
      <c r="BOP22">
        <v>43</v>
      </c>
      <c r="BOQ22">
        <v>43</v>
      </c>
      <c r="BOR22">
        <v>43</v>
      </c>
      <c r="BOS22">
        <v>43</v>
      </c>
      <c r="BOT22">
        <v>43</v>
      </c>
      <c r="BOU22">
        <v>43</v>
      </c>
      <c r="BOV22">
        <v>43</v>
      </c>
      <c r="BOW22">
        <v>43</v>
      </c>
      <c r="BOX22">
        <v>43</v>
      </c>
      <c r="BOY22">
        <v>43</v>
      </c>
      <c r="BOZ22">
        <v>43</v>
      </c>
      <c r="BPA22">
        <v>43</v>
      </c>
      <c r="BPB22">
        <v>43</v>
      </c>
      <c r="BPC22">
        <v>43</v>
      </c>
      <c r="BPD22">
        <v>43</v>
      </c>
      <c r="BPE22">
        <v>43.99</v>
      </c>
      <c r="BPF22">
        <v>43.99</v>
      </c>
      <c r="BPG22">
        <v>43.99</v>
      </c>
      <c r="BPH22">
        <v>44</v>
      </c>
      <c r="BPI22">
        <v>44</v>
      </c>
      <c r="BPJ22">
        <v>44</v>
      </c>
      <c r="BPK22">
        <v>44</v>
      </c>
      <c r="BPL22">
        <v>44</v>
      </c>
      <c r="BPM22">
        <v>44</v>
      </c>
      <c r="BPN22">
        <v>44</v>
      </c>
      <c r="BPO22">
        <v>44</v>
      </c>
      <c r="BPP22">
        <v>44</v>
      </c>
      <c r="BPQ22">
        <v>44</v>
      </c>
      <c r="BPR22">
        <v>44</v>
      </c>
      <c r="BPS22">
        <v>44</v>
      </c>
      <c r="BPT22">
        <v>44</v>
      </c>
      <c r="BPU22">
        <v>44</v>
      </c>
      <c r="BPV22">
        <v>44</v>
      </c>
      <c r="BPW22">
        <v>44</v>
      </c>
      <c r="BPX22">
        <v>44</v>
      </c>
      <c r="BPY22">
        <v>44</v>
      </c>
      <c r="BPZ22">
        <v>44.01</v>
      </c>
      <c r="BQA22">
        <v>44.01</v>
      </c>
      <c r="BQB22">
        <v>44.989999999999903</v>
      </c>
      <c r="BQC22">
        <v>44.99</v>
      </c>
      <c r="BQD22">
        <v>44.99</v>
      </c>
      <c r="BQE22">
        <v>44.99</v>
      </c>
      <c r="BQF22">
        <v>44.99</v>
      </c>
      <c r="BQG22">
        <v>44.99</v>
      </c>
      <c r="BQH22">
        <v>45</v>
      </c>
      <c r="BQI22">
        <v>45</v>
      </c>
      <c r="BQJ22">
        <v>45</v>
      </c>
      <c r="BQK22">
        <v>45</v>
      </c>
      <c r="BQL22">
        <v>45</v>
      </c>
      <c r="BQM22">
        <v>45</v>
      </c>
      <c r="BQN22">
        <v>45</v>
      </c>
      <c r="BQO22">
        <v>45</v>
      </c>
      <c r="BQP22">
        <v>45</v>
      </c>
      <c r="BQQ22">
        <v>45</v>
      </c>
      <c r="BQR22">
        <v>45</v>
      </c>
      <c r="BQS22">
        <v>45</v>
      </c>
      <c r="BQT22">
        <v>45</v>
      </c>
      <c r="BQU22">
        <v>45</v>
      </c>
      <c r="BQV22">
        <v>45</v>
      </c>
      <c r="BQW22">
        <v>45</v>
      </c>
      <c r="BQX22">
        <v>45</v>
      </c>
      <c r="BQY22">
        <v>45</v>
      </c>
      <c r="BQZ22">
        <v>45.99</v>
      </c>
      <c r="BRA22">
        <v>45.99</v>
      </c>
      <c r="BRB22">
        <v>45.99</v>
      </c>
      <c r="BRC22">
        <v>45.99</v>
      </c>
      <c r="BRD22">
        <v>46</v>
      </c>
      <c r="BRE22">
        <v>46</v>
      </c>
      <c r="BRF22">
        <v>46</v>
      </c>
      <c r="BRG22">
        <v>46</v>
      </c>
      <c r="BRH22">
        <v>46</v>
      </c>
      <c r="BRI22">
        <v>46</v>
      </c>
      <c r="BRJ22">
        <v>46</v>
      </c>
      <c r="BRK22">
        <v>46</v>
      </c>
      <c r="BRL22">
        <v>46</v>
      </c>
      <c r="BRM22">
        <v>46</v>
      </c>
      <c r="BRN22">
        <v>46</v>
      </c>
      <c r="BRO22">
        <v>46</v>
      </c>
      <c r="BRP22">
        <v>46</v>
      </c>
      <c r="BRQ22">
        <v>46</v>
      </c>
      <c r="BRR22">
        <v>46</v>
      </c>
      <c r="BRS22">
        <v>46</v>
      </c>
      <c r="BRT22">
        <v>46</v>
      </c>
      <c r="BRU22">
        <v>46</v>
      </c>
      <c r="BRV22">
        <v>46</v>
      </c>
      <c r="BRW22">
        <v>46</v>
      </c>
      <c r="BRX22">
        <v>46.01</v>
      </c>
      <c r="BRY22">
        <v>46.97</v>
      </c>
      <c r="BRZ22">
        <v>46.989999999999903</v>
      </c>
      <c r="BSA22">
        <v>46.99</v>
      </c>
      <c r="BSB22">
        <v>46.99</v>
      </c>
      <c r="BSC22">
        <v>46.99</v>
      </c>
      <c r="BSD22">
        <v>46.99</v>
      </c>
      <c r="BSE22">
        <v>47</v>
      </c>
      <c r="BSF22">
        <v>47</v>
      </c>
      <c r="BSG22">
        <v>47</v>
      </c>
      <c r="BSH22">
        <v>47</v>
      </c>
      <c r="BSI22">
        <v>47</v>
      </c>
      <c r="BSJ22">
        <v>47</v>
      </c>
      <c r="BSK22">
        <v>47</v>
      </c>
      <c r="BSL22">
        <v>47</v>
      </c>
      <c r="BSM22">
        <v>47</v>
      </c>
      <c r="BSN22">
        <v>47</v>
      </c>
      <c r="BSO22">
        <v>47</v>
      </c>
      <c r="BSP22">
        <v>47</v>
      </c>
      <c r="BSQ22">
        <v>47</v>
      </c>
      <c r="BSR22">
        <v>47</v>
      </c>
      <c r="BSS22">
        <v>47</v>
      </c>
      <c r="BST22">
        <v>47</v>
      </c>
      <c r="BSU22">
        <v>47</v>
      </c>
      <c r="BSV22">
        <v>47.99</v>
      </c>
      <c r="BSW22">
        <v>47.99</v>
      </c>
      <c r="BSX22">
        <v>48</v>
      </c>
      <c r="BSY22">
        <v>48</v>
      </c>
      <c r="BSZ22">
        <v>48</v>
      </c>
      <c r="BTA22">
        <v>48</v>
      </c>
      <c r="BTB22">
        <v>48</v>
      </c>
      <c r="BTC22">
        <v>48</v>
      </c>
      <c r="BTD22">
        <v>48</v>
      </c>
      <c r="BTE22">
        <v>48</v>
      </c>
      <c r="BTF22">
        <v>48</v>
      </c>
      <c r="BTG22">
        <v>48</v>
      </c>
      <c r="BTH22">
        <v>48</v>
      </c>
      <c r="BTI22">
        <v>48</v>
      </c>
      <c r="BTJ22">
        <v>48</v>
      </c>
      <c r="BTK22">
        <v>48</v>
      </c>
      <c r="BTL22">
        <v>48</v>
      </c>
      <c r="BTM22">
        <v>48</v>
      </c>
      <c r="BTN22">
        <v>48</v>
      </c>
      <c r="BTO22">
        <v>48</v>
      </c>
      <c r="BTP22">
        <v>48</v>
      </c>
      <c r="BTQ22">
        <v>48</v>
      </c>
      <c r="BTR22">
        <v>48.01</v>
      </c>
      <c r="BTS22">
        <v>48.989999999999903</v>
      </c>
      <c r="BTT22">
        <v>48.99</v>
      </c>
      <c r="BTU22">
        <v>48.99</v>
      </c>
      <c r="BTV22">
        <v>48.99</v>
      </c>
      <c r="BTW22">
        <v>48.99</v>
      </c>
      <c r="BTX22">
        <v>49</v>
      </c>
      <c r="BTY22">
        <v>49</v>
      </c>
      <c r="BTZ22">
        <v>49</v>
      </c>
      <c r="BUA22">
        <v>49</v>
      </c>
      <c r="BUB22">
        <v>49</v>
      </c>
      <c r="BUC22">
        <v>49</v>
      </c>
      <c r="BUD22">
        <v>49</v>
      </c>
      <c r="BUE22">
        <v>49</v>
      </c>
      <c r="BUF22">
        <v>49</v>
      </c>
      <c r="BUG22">
        <v>49</v>
      </c>
      <c r="BUH22">
        <v>49</v>
      </c>
      <c r="BUI22">
        <v>49</v>
      </c>
      <c r="BUJ22">
        <v>49</v>
      </c>
      <c r="BUK22">
        <v>49</v>
      </c>
      <c r="BUL22">
        <v>49</v>
      </c>
      <c r="BUM22">
        <v>49</v>
      </c>
      <c r="BUN22">
        <v>49</v>
      </c>
      <c r="BUO22">
        <v>49</v>
      </c>
      <c r="BUP22">
        <v>49.01</v>
      </c>
      <c r="BUQ22">
        <v>49.989999999999903</v>
      </c>
      <c r="BUR22">
        <v>49.99</v>
      </c>
      <c r="BUS22">
        <v>49.99</v>
      </c>
      <c r="BUT22">
        <v>49.99</v>
      </c>
      <c r="BUU22">
        <v>49.99</v>
      </c>
      <c r="BUV22">
        <v>49.99</v>
      </c>
      <c r="BUW22">
        <v>49.99</v>
      </c>
      <c r="BUX22">
        <v>50</v>
      </c>
      <c r="BUY22">
        <v>50</v>
      </c>
      <c r="BUZ22">
        <v>50</v>
      </c>
      <c r="BVA22">
        <v>50</v>
      </c>
      <c r="BVB22">
        <v>50</v>
      </c>
      <c r="BVC22">
        <v>50</v>
      </c>
      <c r="BVD22">
        <v>50</v>
      </c>
      <c r="BVE22">
        <v>50</v>
      </c>
      <c r="BVF22">
        <v>50</v>
      </c>
      <c r="BVG22">
        <v>50</v>
      </c>
      <c r="BVH22">
        <v>50</v>
      </c>
      <c r="BVI22">
        <v>50</v>
      </c>
      <c r="BVJ22">
        <v>50</v>
      </c>
      <c r="BVK22">
        <v>50</v>
      </c>
      <c r="BVL22">
        <v>50</v>
      </c>
      <c r="BVM22">
        <v>50</v>
      </c>
      <c r="BVN22">
        <v>50</v>
      </c>
      <c r="BVO22">
        <v>50</v>
      </c>
      <c r="BVP22">
        <v>50</v>
      </c>
      <c r="BVQ22">
        <v>50</v>
      </c>
      <c r="BVR22">
        <v>50</v>
      </c>
      <c r="BVS22">
        <v>50.99</v>
      </c>
      <c r="BVT22">
        <v>50.99</v>
      </c>
      <c r="BVU22">
        <v>50.99</v>
      </c>
      <c r="BVV22">
        <v>50.99</v>
      </c>
      <c r="BVW22">
        <v>50.99</v>
      </c>
      <c r="BVX22">
        <v>50.99</v>
      </c>
      <c r="BVY22">
        <v>51</v>
      </c>
      <c r="BVZ22">
        <v>51</v>
      </c>
      <c r="BWA22">
        <v>51</v>
      </c>
      <c r="BWB22">
        <v>51</v>
      </c>
      <c r="BWC22">
        <v>51</v>
      </c>
      <c r="BWD22">
        <v>51</v>
      </c>
      <c r="BWE22">
        <v>51</v>
      </c>
      <c r="BWF22">
        <v>51</v>
      </c>
      <c r="BWG22">
        <v>51</v>
      </c>
      <c r="BWH22">
        <v>51</v>
      </c>
      <c r="BWI22">
        <v>51</v>
      </c>
      <c r="BWJ22">
        <v>51</v>
      </c>
      <c r="BWK22">
        <v>51</v>
      </c>
      <c r="BWL22">
        <v>51</v>
      </c>
      <c r="BWM22">
        <v>51</v>
      </c>
      <c r="BWN22">
        <v>51</v>
      </c>
      <c r="BWO22">
        <v>51.99</v>
      </c>
      <c r="BWP22">
        <v>51.99</v>
      </c>
      <c r="BWQ22">
        <v>51.99</v>
      </c>
      <c r="BWR22">
        <v>51.99</v>
      </c>
      <c r="BWS22">
        <v>52</v>
      </c>
      <c r="BWT22">
        <v>52</v>
      </c>
      <c r="BWU22">
        <v>52</v>
      </c>
      <c r="BWV22">
        <v>52</v>
      </c>
      <c r="BWW22">
        <v>52</v>
      </c>
      <c r="BWX22">
        <v>52</v>
      </c>
      <c r="BWY22">
        <v>52</v>
      </c>
      <c r="BWZ22">
        <v>52</v>
      </c>
      <c r="BXA22">
        <v>52</v>
      </c>
      <c r="BXB22">
        <v>52</v>
      </c>
      <c r="BXC22">
        <v>52</v>
      </c>
      <c r="BXD22">
        <v>52</v>
      </c>
      <c r="BXE22">
        <v>52</v>
      </c>
      <c r="BXF22">
        <v>52</v>
      </c>
      <c r="BXG22">
        <v>52.01</v>
      </c>
      <c r="BXH22">
        <v>52.98</v>
      </c>
      <c r="BXI22">
        <v>52.99</v>
      </c>
      <c r="BXJ22">
        <v>52.99</v>
      </c>
      <c r="BXK22">
        <v>52.99</v>
      </c>
      <c r="BXL22">
        <v>52.99</v>
      </c>
      <c r="BXM22">
        <v>53</v>
      </c>
      <c r="BXN22">
        <v>53</v>
      </c>
      <c r="BXO22">
        <v>53</v>
      </c>
      <c r="BXP22">
        <v>53</v>
      </c>
      <c r="BXQ22">
        <v>53</v>
      </c>
      <c r="BXR22">
        <v>53</v>
      </c>
      <c r="BXS22">
        <v>53</v>
      </c>
      <c r="BXT22">
        <v>53</v>
      </c>
      <c r="BXU22">
        <v>53</v>
      </c>
      <c r="BXV22">
        <v>53</v>
      </c>
      <c r="BXW22">
        <v>53</v>
      </c>
      <c r="BXX22">
        <v>53</v>
      </c>
      <c r="BXY22">
        <v>53</v>
      </c>
      <c r="BXZ22">
        <v>53</v>
      </c>
      <c r="BYA22">
        <v>53.98</v>
      </c>
      <c r="BYB22">
        <v>53.989999999999903</v>
      </c>
      <c r="BYC22">
        <v>53.99</v>
      </c>
      <c r="BYD22">
        <v>53.99</v>
      </c>
      <c r="BYE22">
        <v>54</v>
      </c>
      <c r="BYF22">
        <v>54</v>
      </c>
      <c r="BYG22">
        <v>54</v>
      </c>
      <c r="BYH22">
        <v>54</v>
      </c>
      <c r="BYI22">
        <v>54</v>
      </c>
      <c r="BYJ22">
        <v>54</v>
      </c>
      <c r="BYK22">
        <v>54</v>
      </c>
      <c r="BYL22">
        <v>54</v>
      </c>
      <c r="BYM22">
        <v>54</v>
      </c>
      <c r="BYN22">
        <v>54.01</v>
      </c>
      <c r="BYO22">
        <v>54.01</v>
      </c>
      <c r="BYP22">
        <v>54.01</v>
      </c>
      <c r="BYQ22">
        <v>54.019999999999897</v>
      </c>
      <c r="BYR22">
        <v>54.989999999999903</v>
      </c>
      <c r="BYS22">
        <v>54.99</v>
      </c>
      <c r="BYT22">
        <v>54.99</v>
      </c>
      <c r="BYU22">
        <v>54.99</v>
      </c>
      <c r="BYV22">
        <v>54.99</v>
      </c>
      <c r="BYW22">
        <v>55</v>
      </c>
      <c r="BYX22">
        <v>55</v>
      </c>
      <c r="BYY22">
        <v>55</v>
      </c>
      <c r="BYZ22">
        <v>55</v>
      </c>
      <c r="BZA22">
        <v>55</v>
      </c>
      <c r="BZB22">
        <v>55</v>
      </c>
      <c r="BZC22">
        <v>55</v>
      </c>
      <c r="BZD22">
        <v>55</v>
      </c>
      <c r="BZE22">
        <v>55</v>
      </c>
      <c r="BZF22">
        <v>55</v>
      </c>
      <c r="BZG22">
        <v>55</v>
      </c>
      <c r="BZH22">
        <v>55</v>
      </c>
      <c r="BZI22">
        <v>55</v>
      </c>
      <c r="BZJ22">
        <v>55</v>
      </c>
      <c r="BZK22">
        <v>55</v>
      </c>
      <c r="BZL22">
        <v>55</v>
      </c>
      <c r="BZM22">
        <v>55</v>
      </c>
      <c r="BZN22">
        <v>55</v>
      </c>
      <c r="BZO22">
        <v>55</v>
      </c>
      <c r="BZP22">
        <v>55</v>
      </c>
      <c r="BZQ22">
        <v>55</v>
      </c>
      <c r="BZR22">
        <v>55</v>
      </c>
      <c r="BZS22">
        <v>55.99</v>
      </c>
      <c r="BZT22">
        <v>56</v>
      </c>
      <c r="BZU22">
        <v>56</v>
      </c>
      <c r="BZV22">
        <v>56</v>
      </c>
      <c r="BZW22">
        <v>56</v>
      </c>
      <c r="BZX22">
        <v>56</v>
      </c>
      <c r="BZY22">
        <v>56</v>
      </c>
      <c r="BZZ22">
        <v>56</v>
      </c>
      <c r="CAA22">
        <v>56</v>
      </c>
      <c r="CAB22">
        <v>56</v>
      </c>
      <c r="CAC22">
        <v>56</v>
      </c>
      <c r="CAD22">
        <v>56.99</v>
      </c>
      <c r="CAE22">
        <v>56.99</v>
      </c>
      <c r="CAF22">
        <v>57</v>
      </c>
      <c r="CAG22">
        <v>57</v>
      </c>
      <c r="CAH22">
        <v>57</v>
      </c>
      <c r="CAI22">
        <v>57</v>
      </c>
      <c r="CAJ22">
        <v>57</v>
      </c>
      <c r="CAK22">
        <v>57</v>
      </c>
      <c r="CAL22">
        <v>57</v>
      </c>
      <c r="CAM22">
        <v>57</v>
      </c>
      <c r="CAN22">
        <v>57</v>
      </c>
      <c r="CAO22">
        <v>57</v>
      </c>
      <c r="CAP22">
        <v>57</v>
      </c>
      <c r="CAQ22">
        <v>57</v>
      </c>
      <c r="CAR22">
        <v>57</v>
      </c>
      <c r="CAS22">
        <v>57</v>
      </c>
      <c r="CAT22">
        <v>57</v>
      </c>
      <c r="CAU22">
        <v>57.01</v>
      </c>
      <c r="CAV22">
        <v>57.989999999999903</v>
      </c>
      <c r="CAW22">
        <v>57.99</v>
      </c>
      <c r="CAX22">
        <v>57.99</v>
      </c>
      <c r="CAY22">
        <v>58</v>
      </c>
      <c r="CAZ22">
        <v>58</v>
      </c>
      <c r="CBA22">
        <v>58</v>
      </c>
      <c r="CBB22">
        <v>58</v>
      </c>
      <c r="CBC22">
        <v>58</v>
      </c>
      <c r="CBD22">
        <v>58</v>
      </c>
      <c r="CBE22">
        <v>58</v>
      </c>
      <c r="CBF22">
        <v>58</v>
      </c>
      <c r="CBG22">
        <v>58</v>
      </c>
      <c r="CBH22">
        <v>58</v>
      </c>
      <c r="CBI22">
        <v>58</v>
      </c>
      <c r="CBJ22">
        <v>58</v>
      </c>
      <c r="CBK22">
        <v>58</v>
      </c>
      <c r="CBL22">
        <v>58</v>
      </c>
      <c r="CBM22">
        <v>58</v>
      </c>
      <c r="CBN22">
        <v>58</v>
      </c>
      <c r="CBO22">
        <v>58.99</v>
      </c>
      <c r="CBP22">
        <v>58.99</v>
      </c>
      <c r="CBQ22">
        <v>58.99</v>
      </c>
      <c r="CBR22">
        <v>58.99</v>
      </c>
      <c r="CBS22">
        <v>58.99</v>
      </c>
      <c r="CBT22">
        <v>59</v>
      </c>
      <c r="CBU22">
        <v>59</v>
      </c>
      <c r="CBV22">
        <v>59</v>
      </c>
      <c r="CBW22">
        <v>59</v>
      </c>
      <c r="CBX22">
        <v>59</v>
      </c>
      <c r="CBY22">
        <v>59</v>
      </c>
      <c r="CBZ22">
        <v>59</v>
      </c>
      <c r="CCA22">
        <v>59</v>
      </c>
      <c r="CCB22">
        <v>59</v>
      </c>
      <c r="CCC22">
        <v>59</v>
      </c>
      <c r="CCD22">
        <v>59</v>
      </c>
      <c r="CCE22">
        <v>59.98</v>
      </c>
      <c r="CCF22">
        <v>59.99</v>
      </c>
      <c r="CCG22">
        <v>60</v>
      </c>
      <c r="CCH22">
        <v>60</v>
      </c>
      <c r="CCI22">
        <v>60</v>
      </c>
      <c r="CCJ22">
        <v>60</v>
      </c>
      <c r="CCK22">
        <v>60</v>
      </c>
      <c r="CCL22">
        <v>60</v>
      </c>
      <c r="CCM22">
        <v>60</v>
      </c>
      <c r="CCN22">
        <v>60</v>
      </c>
      <c r="CCO22">
        <v>60</v>
      </c>
      <c r="CCP22">
        <v>60</v>
      </c>
      <c r="CCQ22">
        <v>60</v>
      </c>
      <c r="CCR22">
        <v>60</v>
      </c>
      <c r="CCS22">
        <v>60</v>
      </c>
      <c r="CCT22">
        <v>60</v>
      </c>
      <c r="CCU22">
        <v>60</v>
      </c>
      <c r="CCV22">
        <v>60.01</v>
      </c>
      <c r="CCW22">
        <v>60.64</v>
      </c>
      <c r="CCX22">
        <v>60.99</v>
      </c>
      <c r="CCY22">
        <v>60.99</v>
      </c>
      <c r="CCZ22">
        <v>60.99</v>
      </c>
      <c r="CDA22">
        <v>61</v>
      </c>
      <c r="CDB22">
        <v>61</v>
      </c>
      <c r="CDC22">
        <v>61</v>
      </c>
      <c r="CDD22">
        <v>61</v>
      </c>
      <c r="CDE22">
        <v>61</v>
      </c>
      <c r="CDF22">
        <v>61</v>
      </c>
      <c r="CDG22">
        <v>61</v>
      </c>
      <c r="CDH22">
        <v>61</v>
      </c>
      <c r="CDI22">
        <v>61</v>
      </c>
      <c r="CDJ22">
        <v>61</v>
      </c>
      <c r="CDK22">
        <v>61</v>
      </c>
      <c r="CDL22">
        <v>61</v>
      </c>
      <c r="CDM22">
        <v>61.01</v>
      </c>
      <c r="CDN22">
        <v>61.99</v>
      </c>
      <c r="CDO22">
        <v>61.99</v>
      </c>
      <c r="CDP22">
        <v>62</v>
      </c>
      <c r="CDQ22">
        <v>62</v>
      </c>
      <c r="CDR22">
        <v>62</v>
      </c>
      <c r="CDS22">
        <v>62</v>
      </c>
      <c r="CDT22">
        <v>62</v>
      </c>
      <c r="CDU22">
        <v>62</v>
      </c>
      <c r="CDV22">
        <v>62</v>
      </c>
      <c r="CDW22">
        <v>62</v>
      </c>
      <c r="CDX22">
        <v>62</v>
      </c>
      <c r="CDY22">
        <v>62</v>
      </c>
      <c r="CDZ22">
        <v>62</v>
      </c>
      <c r="CEA22">
        <v>62</v>
      </c>
      <c r="CEB22">
        <v>62</v>
      </c>
      <c r="CEC22">
        <v>62.989999999999903</v>
      </c>
      <c r="CED22">
        <v>62.99</v>
      </c>
      <c r="CEE22">
        <v>63</v>
      </c>
      <c r="CEF22">
        <v>63</v>
      </c>
      <c r="CEG22">
        <v>63</v>
      </c>
      <c r="CEH22">
        <v>63</v>
      </c>
      <c r="CEI22">
        <v>63</v>
      </c>
      <c r="CEJ22">
        <v>63</v>
      </c>
      <c r="CEK22">
        <v>63</v>
      </c>
      <c r="CEL22">
        <v>63</v>
      </c>
      <c r="CEM22">
        <v>63</v>
      </c>
      <c r="CEN22">
        <v>63</v>
      </c>
      <c r="CEO22">
        <v>63</v>
      </c>
      <c r="CEP22">
        <v>63</v>
      </c>
      <c r="CEQ22">
        <v>63</v>
      </c>
      <c r="CER22">
        <v>63</v>
      </c>
      <c r="CES22">
        <v>63</v>
      </c>
      <c r="CET22">
        <v>63</v>
      </c>
      <c r="CEU22">
        <v>63</v>
      </c>
      <c r="CEV22">
        <v>63.99</v>
      </c>
      <c r="CEW22">
        <v>63.99</v>
      </c>
      <c r="CEX22">
        <v>63.99</v>
      </c>
      <c r="CEY22">
        <v>63.99</v>
      </c>
      <c r="CEZ22">
        <v>63.99</v>
      </c>
      <c r="CFA22">
        <v>63.99</v>
      </c>
      <c r="CFB22">
        <v>64</v>
      </c>
      <c r="CFC22">
        <v>64</v>
      </c>
      <c r="CFD22">
        <v>64</v>
      </c>
      <c r="CFE22">
        <v>64</v>
      </c>
      <c r="CFF22">
        <v>64</v>
      </c>
      <c r="CFG22">
        <v>64</v>
      </c>
      <c r="CFH22">
        <v>64</v>
      </c>
      <c r="CFI22">
        <v>64</v>
      </c>
      <c r="CFJ22">
        <v>64</v>
      </c>
      <c r="CFK22">
        <v>64</v>
      </c>
      <c r="CFL22">
        <v>64</v>
      </c>
      <c r="CFM22">
        <v>64</v>
      </c>
      <c r="CFN22">
        <v>64</v>
      </c>
      <c r="CFO22">
        <v>64</v>
      </c>
      <c r="CFP22">
        <v>64</v>
      </c>
      <c r="CFQ22">
        <v>64.009999999999906</v>
      </c>
      <c r="CFR22">
        <v>64.010000000000005</v>
      </c>
      <c r="CFS22">
        <v>64.989999999999995</v>
      </c>
      <c r="CFT22">
        <v>64.989999999999995</v>
      </c>
      <c r="CFU22">
        <v>64.989999999999995</v>
      </c>
      <c r="CFV22">
        <v>65</v>
      </c>
      <c r="CFW22">
        <v>65</v>
      </c>
      <c r="CFX22">
        <v>65</v>
      </c>
      <c r="CFY22">
        <v>65</v>
      </c>
      <c r="CFZ22">
        <v>65</v>
      </c>
      <c r="CGA22">
        <v>65</v>
      </c>
      <c r="CGB22">
        <v>65</v>
      </c>
      <c r="CGC22">
        <v>65</v>
      </c>
      <c r="CGD22">
        <v>65</v>
      </c>
      <c r="CGE22">
        <v>65</v>
      </c>
      <c r="CGF22">
        <v>65</v>
      </c>
      <c r="CGG22">
        <v>65</v>
      </c>
      <c r="CGH22">
        <v>65</v>
      </c>
      <c r="CGI22">
        <v>65</v>
      </c>
      <c r="CGJ22">
        <v>65</v>
      </c>
      <c r="CGK22">
        <v>65</v>
      </c>
      <c r="CGL22">
        <v>65</v>
      </c>
      <c r="CGM22">
        <v>65</v>
      </c>
      <c r="CGN22">
        <v>65</v>
      </c>
      <c r="CGO22">
        <v>65</v>
      </c>
      <c r="CGP22">
        <v>66</v>
      </c>
      <c r="CGQ22">
        <v>66</v>
      </c>
      <c r="CGR22">
        <v>66</v>
      </c>
      <c r="CGS22">
        <v>66</v>
      </c>
      <c r="CGT22">
        <v>66</v>
      </c>
      <c r="CGU22">
        <v>66</v>
      </c>
      <c r="CGV22">
        <v>66</v>
      </c>
      <c r="CGW22">
        <v>66</v>
      </c>
      <c r="CGX22">
        <v>66</v>
      </c>
      <c r="CGY22">
        <v>66</v>
      </c>
      <c r="CGZ22">
        <v>66</v>
      </c>
      <c r="CHA22">
        <v>66</v>
      </c>
      <c r="CHB22">
        <v>66</v>
      </c>
      <c r="CHC22">
        <v>66.989999999999995</v>
      </c>
      <c r="CHD22">
        <v>66.989999999999995</v>
      </c>
      <c r="CHE22">
        <v>66.989999999999995</v>
      </c>
      <c r="CHF22">
        <v>66.989999999999995</v>
      </c>
      <c r="CHG22">
        <v>66.989999999999995</v>
      </c>
      <c r="CHH22">
        <v>67</v>
      </c>
      <c r="CHI22">
        <v>67</v>
      </c>
      <c r="CHJ22">
        <v>67</v>
      </c>
      <c r="CHK22">
        <v>67</v>
      </c>
      <c r="CHL22">
        <v>67</v>
      </c>
      <c r="CHM22">
        <v>67</v>
      </c>
      <c r="CHN22">
        <v>67</v>
      </c>
      <c r="CHO22">
        <v>67</v>
      </c>
      <c r="CHP22">
        <v>67</v>
      </c>
      <c r="CHQ22">
        <v>67</v>
      </c>
      <c r="CHR22">
        <v>67</v>
      </c>
      <c r="CHS22">
        <v>67</v>
      </c>
      <c r="CHT22">
        <v>67</v>
      </c>
      <c r="CHU22">
        <v>67</v>
      </c>
      <c r="CHV22">
        <v>67</v>
      </c>
      <c r="CHW22">
        <v>67</v>
      </c>
      <c r="CHX22">
        <v>67.989999999999995</v>
      </c>
      <c r="CHY22">
        <v>67.989999999999995</v>
      </c>
      <c r="CHZ22">
        <v>67.989999999999995</v>
      </c>
      <c r="CIA22">
        <v>67.989999999999995</v>
      </c>
      <c r="CIB22">
        <v>68</v>
      </c>
      <c r="CIC22">
        <v>68</v>
      </c>
      <c r="CID22">
        <v>68</v>
      </c>
      <c r="CIE22">
        <v>68</v>
      </c>
      <c r="CIF22">
        <v>68</v>
      </c>
      <c r="CIG22">
        <v>68</v>
      </c>
      <c r="CIH22">
        <v>68</v>
      </c>
      <c r="CII22">
        <v>68</v>
      </c>
      <c r="CIJ22">
        <v>68</v>
      </c>
      <c r="CIK22">
        <v>68</v>
      </c>
      <c r="CIL22">
        <v>68</v>
      </c>
      <c r="CIM22">
        <v>68</v>
      </c>
      <c r="CIN22">
        <v>68</v>
      </c>
      <c r="CIO22">
        <v>68</v>
      </c>
      <c r="CIP22">
        <v>68</v>
      </c>
      <c r="CIQ22">
        <v>68.979999999999905</v>
      </c>
      <c r="CIR22">
        <v>68.989999999999995</v>
      </c>
      <c r="CIS22">
        <v>68.989999999999995</v>
      </c>
      <c r="CIT22">
        <v>68.989999999999995</v>
      </c>
      <c r="CIU22">
        <v>68.989999999999995</v>
      </c>
      <c r="CIV22">
        <v>68.989999999999995</v>
      </c>
      <c r="CIW22">
        <v>69</v>
      </c>
      <c r="CIX22">
        <v>69</v>
      </c>
      <c r="CIY22">
        <v>69</v>
      </c>
      <c r="CIZ22">
        <v>69</v>
      </c>
      <c r="CJA22">
        <v>69</v>
      </c>
      <c r="CJB22">
        <v>69</v>
      </c>
      <c r="CJC22">
        <v>69</v>
      </c>
      <c r="CJD22">
        <v>69</v>
      </c>
      <c r="CJE22">
        <v>69</v>
      </c>
      <c r="CJF22">
        <v>69</v>
      </c>
      <c r="CJG22">
        <v>69</v>
      </c>
      <c r="CJH22">
        <v>69</v>
      </c>
      <c r="CJI22">
        <v>69</v>
      </c>
      <c r="CJJ22">
        <v>69</v>
      </c>
      <c r="CJK22">
        <v>69</v>
      </c>
      <c r="CJL22">
        <v>69</v>
      </c>
      <c r="CJM22">
        <v>69</v>
      </c>
      <c r="CJN22">
        <v>69</v>
      </c>
      <c r="CJO22">
        <v>69</v>
      </c>
      <c r="CJP22">
        <v>69.989999999999995</v>
      </c>
      <c r="CJQ22">
        <v>70</v>
      </c>
      <c r="CJR22">
        <v>70</v>
      </c>
      <c r="CJS22">
        <v>70</v>
      </c>
      <c r="CJT22">
        <v>70</v>
      </c>
      <c r="CJU22">
        <v>70</v>
      </c>
      <c r="CJV22">
        <v>70</v>
      </c>
      <c r="CJW22">
        <v>70</v>
      </c>
      <c r="CJX22">
        <v>70</v>
      </c>
      <c r="CJY22">
        <v>70</v>
      </c>
      <c r="CJZ22">
        <v>70</v>
      </c>
      <c r="CKA22">
        <v>70</v>
      </c>
      <c r="CKB22">
        <v>70</v>
      </c>
      <c r="CKC22">
        <v>70</v>
      </c>
      <c r="CKD22">
        <v>70</v>
      </c>
      <c r="CKE22">
        <v>70</v>
      </c>
      <c r="CKF22">
        <v>70</v>
      </c>
      <c r="CKG22">
        <v>70.989999999999995</v>
      </c>
      <c r="CKH22">
        <v>70.989999999999995</v>
      </c>
      <c r="CKI22">
        <v>70.989999999999995</v>
      </c>
      <c r="CKJ22">
        <v>70.989999999999995</v>
      </c>
      <c r="CKK22">
        <v>70.989999999999995</v>
      </c>
      <c r="CKL22">
        <v>70.989999999999995</v>
      </c>
      <c r="CKM22">
        <v>71</v>
      </c>
      <c r="CKN22">
        <v>71</v>
      </c>
      <c r="CKO22">
        <v>71</v>
      </c>
      <c r="CKP22">
        <v>71</v>
      </c>
      <c r="CKQ22">
        <v>71</v>
      </c>
      <c r="CKR22">
        <v>71</v>
      </c>
      <c r="CKS22">
        <v>71</v>
      </c>
      <c r="CKT22">
        <v>71</v>
      </c>
      <c r="CKU22">
        <v>71.989999999999995</v>
      </c>
      <c r="CKV22">
        <v>71.989999999999995</v>
      </c>
      <c r="CKW22">
        <v>71.989999999999995</v>
      </c>
      <c r="CKX22">
        <v>71.989999999999995</v>
      </c>
      <c r="CKY22">
        <v>72</v>
      </c>
      <c r="CKZ22">
        <v>72</v>
      </c>
      <c r="CLA22">
        <v>72</v>
      </c>
      <c r="CLB22">
        <v>72</v>
      </c>
      <c r="CLC22">
        <v>72</v>
      </c>
      <c r="CLD22">
        <v>72</v>
      </c>
      <c r="CLE22">
        <v>72</v>
      </c>
      <c r="CLF22">
        <v>72</v>
      </c>
      <c r="CLG22">
        <v>72</v>
      </c>
      <c r="CLH22">
        <v>72.989999999999995</v>
      </c>
      <c r="CLI22">
        <v>72.989999999999995</v>
      </c>
      <c r="CLJ22">
        <v>72.989999999999995</v>
      </c>
      <c r="CLK22">
        <v>72.989999999999995</v>
      </c>
      <c r="CLL22">
        <v>73</v>
      </c>
      <c r="CLM22">
        <v>73</v>
      </c>
      <c r="CLN22">
        <v>73</v>
      </c>
      <c r="CLO22">
        <v>73</v>
      </c>
      <c r="CLP22">
        <v>73</v>
      </c>
      <c r="CLQ22">
        <v>73.989999999999995</v>
      </c>
      <c r="CLR22">
        <v>73.989999999999995</v>
      </c>
      <c r="CLS22">
        <v>73.989999999999995</v>
      </c>
      <c r="CLT22">
        <v>74</v>
      </c>
      <c r="CLU22">
        <v>74</v>
      </c>
      <c r="CLV22">
        <v>74</v>
      </c>
      <c r="CLW22">
        <v>74</v>
      </c>
      <c r="CLX22">
        <v>74</v>
      </c>
      <c r="CLY22">
        <v>74</v>
      </c>
      <c r="CLZ22">
        <v>74</v>
      </c>
      <c r="CMA22">
        <v>74</v>
      </c>
      <c r="CMB22">
        <v>74</v>
      </c>
      <c r="CMC22">
        <v>74</v>
      </c>
      <c r="CMD22">
        <v>74</v>
      </c>
      <c r="CME22">
        <v>74</v>
      </c>
      <c r="CMF22">
        <v>74</v>
      </c>
      <c r="CMG22">
        <v>74</v>
      </c>
      <c r="CMH22">
        <v>74</v>
      </c>
      <c r="CMI22">
        <v>74.989999999999995</v>
      </c>
      <c r="CMJ22">
        <v>74.989999999999995</v>
      </c>
      <c r="CMK22">
        <v>75</v>
      </c>
      <c r="CML22">
        <v>75</v>
      </c>
      <c r="CMM22">
        <v>75</v>
      </c>
      <c r="CMN22">
        <v>75</v>
      </c>
      <c r="CMO22">
        <v>75</v>
      </c>
      <c r="CMP22">
        <v>75</v>
      </c>
      <c r="CMQ22">
        <v>75</v>
      </c>
      <c r="CMR22">
        <v>75</v>
      </c>
      <c r="CMS22">
        <v>75.989999999999995</v>
      </c>
      <c r="CMT22">
        <v>76</v>
      </c>
      <c r="CMU22">
        <v>76</v>
      </c>
      <c r="CMV22">
        <v>76</v>
      </c>
      <c r="CMW22">
        <v>76</v>
      </c>
      <c r="CMX22">
        <v>76</v>
      </c>
      <c r="CMY22">
        <v>76</v>
      </c>
      <c r="CMZ22">
        <v>76</v>
      </c>
      <c r="CNA22">
        <v>76</v>
      </c>
      <c r="CNB22">
        <v>76.989999999999995</v>
      </c>
      <c r="CNC22">
        <v>76.989999999999995</v>
      </c>
      <c r="CND22">
        <v>76.989999999999995</v>
      </c>
      <c r="CNE22">
        <v>77</v>
      </c>
      <c r="CNF22">
        <v>77</v>
      </c>
      <c r="CNG22">
        <v>77</v>
      </c>
      <c r="CNH22">
        <v>77</v>
      </c>
      <c r="CNI22">
        <v>77</v>
      </c>
      <c r="CNJ22">
        <v>77</v>
      </c>
      <c r="CNK22">
        <v>77</v>
      </c>
      <c r="CNL22">
        <v>77</v>
      </c>
      <c r="CNM22">
        <v>77</v>
      </c>
      <c r="CNN22">
        <v>77</v>
      </c>
      <c r="CNO22">
        <v>77</v>
      </c>
      <c r="CNP22">
        <v>77</v>
      </c>
      <c r="CNQ22">
        <v>77.010000000000005</v>
      </c>
      <c r="CNR22">
        <v>77.989999999999995</v>
      </c>
      <c r="CNS22">
        <v>77.989999999999995</v>
      </c>
      <c r="CNT22">
        <v>77.989999999999995</v>
      </c>
      <c r="CNU22">
        <v>77.989999999999995</v>
      </c>
      <c r="CNV22">
        <v>78</v>
      </c>
      <c r="CNW22">
        <v>78</v>
      </c>
      <c r="CNX22">
        <v>78</v>
      </c>
      <c r="CNY22">
        <v>78</v>
      </c>
      <c r="CNZ22">
        <v>78</v>
      </c>
      <c r="COA22">
        <v>78</v>
      </c>
      <c r="COB22">
        <v>78</v>
      </c>
      <c r="COC22">
        <v>78</v>
      </c>
      <c r="COD22">
        <v>78</v>
      </c>
      <c r="COE22">
        <v>78</v>
      </c>
      <c r="COF22">
        <v>78</v>
      </c>
      <c r="COG22">
        <v>78</v>
      </c>
      <c r="COH22">
        <v>78.989999999999995</v>
      </c>
      <c r="COI22">
        <v>78.989999999999995</v>
      </c>
      <c r="COJ22">
        <v>78.989999999999995</v>
      </c>
      <c r="COK22">
        <v>78.989999999999995</v>
      </c>
      <c r="COL22">
        <v>79</v>
      </c>
      <c r="COM22">
        <v>79</v>
      </c>
      <c r="CON22">
        <v>79</v>
      </c>
      <c r="COO22">
        <v>79</v>
      </c>
      <c r="COP22">
        <v>79</v>
      </c>
      <c r="COQ22">
        <v>79</v>
      </c>
      <c r="COR22">
        <v>79</v>
      </c>
      <c r="COS22">
        <v>79</v>
      </c>
      <c r="COT22">
        <v>79.010000000000005</v>
      </c>
      <c r="COU22">
        <v>79.989999999999995</v>
      </c>
      <c r="COV22">
        <v>79.989999999999995</v>
      </c>
      <c r="COW22">
        <v>79.989999999999995</v>
      </c>
      <c r="COX22">
        <v>80</v>
      </c>
      <c r="COY22">
        <v>80</v>
      </c>
      <c r="COZ22">
        <v>80</v>
      </c>
      <c r="CPA22">
        <v>80</v>
      </c>
      <c r="CPB22">
        <v>80</v>
      </c>
      <c r="CPC22">
        <v>80</v>
      </c>
      <c r="CPD22">
        <v>80</v>
      </c>
      <c r="CPE22">
        <v>80.989999999999995</v>
      </c>
      <c r="CPF22">
        <v>80.989999999999995</v>
      </c>
      <c r="CPG22">
        <v>80.989999999999995</v>
      </c>
      <c r="CPH22">
        <v>81</v>
      </c>
      <c r="CPI22">
        <v>81</v>
      </c>
      <c r="CPJ22">
        <v>81</v>
      </c>
      <c r="CPK22">
        <v>81</v>
      </c>
      <c r="CPL22">
        <v>81</v>
      </c>
      <c r="CPM22">
        <v>81</v>
      </c>
      <c r="CPN22">
        <v>81</v>
      </c>
      <c r="CPO22">
        <v>81</v>
      </c>
      <c r="CPP22">
        <v>81.99</v>
      </c>
      <c r="CPQ22">
        <v>81.99</v>
      </c>
      <c r="CPR22">
        <v>82</v>
      </c>
      <c r="CPS22">
        <v>82</v>
      </c>
      <c r="CPT22">
        <v>82</v>
      </c>
      <c r="CPU22">
        <v>82</v>
      </c>
      <c r="CPV22">
        <v>83</v>
      </c>
      <c r="CPW22">
        <v>83</v>
      </c>
      <c r="CPX22">
        <v>83</v>
      </c>
      <c r="CPY22">
        <v>83</v>
      </c>
      <c r="CPZ22">
        <v>83</v>
      </c>
      <c r="CQA22">
        <v>83</v>
      </c>
      <c r="CQB22">
        <v>83</v>
      </c>
      <c r="CQC22">
        <v>83</v>
      </c>
      <c r="CQD22">
        <v>83</v>
      </c>
      <c r="CQE22">
        <v>83.99</v>
      </c>
      <c r="CQF22">
        <v>83.99</v>
      </c>
      <c r="CQG22">
        <v>84</v>
      </c>
      <c r="CQH22">
        <v>84</v>
      </c>
      <c r="CQI22">
        <v>84</v>
      </c>
      <c r="CQJ22">
        <v>84</v>
      </c>
      <c r="CQK22">
        <v>84.99</v>
      </c>
      <c r="CQL22">
        <v>84.99</v>
      </c>
      <c r="CQM22">
        <v>84.99</v>
      </c>
      <c r="CQN22">
        <v>84.99</v>
      </c>
      <c r="CQO22">
        <v>84.99</v>
      </c>
      <c r="CQP22">
        <v>84.99</v>
      </c>
      <c r="CQQ22">
        <v>84.99</v>
      </c>
      <c r="CQR22">
        <v>84.99</v>
      </c>
      <c r="CQS22">
        <v>85</v>
      </c>
      <c r="CQT22">
        <v>85</v>
      </c>
      <c r="CQU22">
        <v>85</v>
      </c>
      <c r="CQV22">
        <v>85</v>
      </c>
      <c r="CQW22">
        <v>85</v>
      </c>
      <c r="CQX22">
        <v>85.009999999999906</v>
      </c>
      <c r="CQY22">
        <v>85.99</v>
      </c>
      <c r="CQZ22">
        <v>86</v>
      </c>
      <c r="CRA22">
        <v>86</v>
      </c>
      <c r="CRB22">
        <v>86</v>
      </c>
      <c r="CRC22">
        <v>86</v>
      </c>
      <c r="CRD22">
        <v>86</v>
      </c>
      <c r="CRE22">
        <v>86</v>
      </c>
      <c r="CRF22">
        <v>86</v>
      </c>
      <c r="CRG22">
        <v>86</v>
      </c>
      <c r="CRH22">
        <v>86.98</v>
      </c>
      <c r="CRI22">
        <v>86.98</v>
      </c>
      <c r="CRJ22">
        <v>86.99</v>
      </c>
      <c r="CRK22">
        <v>86.99</v>
      </c>
      <c r="CRL22">
        <v>86.99</v>
      </c>
      <c r="CRM22">
        <v>86.99</v>
      </c>
      <c r="CRN22">
        <v>87</v>
      </c>
      <c r="CRO22">
        <v>87</v>
      </c>
      <c r="CRP22">
        <v>87</v>
      </c>
      <c r="CRQ22">
        <v>87</v>
      </c>
      <c r="CRR22">
        <v>87</v>
      </c>
      <c r="CRS22">
        <v>87</v>
      </c>
      <c r="CRT22">
        <v>87.99</v>
      </c>
      <c r="CRU22">
        <v>87.99</v>
      </c>
      <c r="CRV22">
        <v>87.99</v>
      </c>
      <c r="CRW22">
        <v>88</v>
      </c>
      <c r="CRX22">
        <v>88</v>
      </c>
      <c r="CRY22">
        <v>88</v>
      </c>
      <c r="CRZ22">
        <v>88</v>
      </c>
      <c r="CSA22">
        <v>88</v>
      </c>
      <c r="CSB22">
        <v>88</v>
      </c>
      <c r="CSC22">
        <v>88</v>
      </c>
      <c r="CSD22">
        <v>88</v>
      </c>
      <c r="CSE22">
        <v>88</v>
      </c>
      <c r="CSF22">
        <v>88.99</v>
      </c>
      <c r="CSG22">
        <v>88.99</v>
      </c>
      <c r="CSH22">
        <v>89</v>
      </c>
      <c r="CSI22">
        <v>89</v>
      </c>
      <c r="CSJ22">
        <v>89</v>
      </c>
      <c r="CSK22">
        <v>89</v>
      </c>
      <c r="CSL22">
        <v>89</v>
      </c>
      <c r="CSM22">
        <v>89</v>
      </c>
      <c r="CSN22">
        <v>89</v>
      </c>
      <c r="CSO22">
        <v>89</v>
      </c>
      <c r="CSP22">
        <v>89</v>
      </c>
      <c r="CSQ22">
        <v>89</v>
      </c>
      <c r="CSR22">
        <v>89</v>
      </c>
      <c r="CSS22">
        <v>89</v>
      </c>
      <c r="CST22">
        <v>89</v>
      </c>
      <c r="CSU22">
        <v>89.009999999999906</v>
      </c>
      <c r="CSV22">
        <v>89.99</v>
      </c>
      <c r="CSW22">
        <v>89.99</v>
      </c>
      <c r="CSX22">
        <v>89.99</v>
      </c>
      <c r="CSY22">
        <v>90</v>
      </c>
      <c r="CSZ22">
        <v>90</v>
      </c>
      <c r="CTA22">
        <v>90</v>
      </c>
      <c r="CTB22">
        <v>90</v>
      </c>
      <c r="CTC22">
        <v>90</v>
      </c>
      <c r="CTD22">
        <v>90</v>
      </c>
      <c r="CTE22">
        <v>90</v>
      </c>
      <c r="CTF22">
        <v>90.04</v>
      </c>
      <c r="CTG22">
        <v>90.99</v>
      </c>
      <c r="CTH22">
        <v>90.99</v>
      </c>
      <c r="CTI22">
        <v>90.99</v>
      </c>
      <c r="CTJ22">
        <v>90.99</v>
      </c>
      <c r="CTK22">
        <v>90.99</v>
      </c>
      <c r="CTL22">
        <v>91</v>
      </c>
      <c r="CTM22">
        <v>91</v>
      </c>
      <c r="CTN22">
        <v>91</v>
      </c>
      <c r="CTO22">
        <v>91</v>
      </c>
      <c r="CTP22">
        <v>91</v>
      </c>
      <c r="CTQ22">
        <v>91</v>
      </c>
      <c r="CTR22">
        <v>91</v>
      </c>
      <c r="CTS22">
        <v>91.99</v>
      </c>
      <c r="CTT22">
        <v>91.99</v>
      </c>
      <c r="CTU22">
        <v>92</v>
      </c>
      <c r="CTV22">
        <v>92</v>
      </c>
      <c r="CTW22">
        <v>92</v>
      </c>
      <c r="CTX22">
        <v>92</v>
      </c>
      <c r="CTY22">
        <v>92</v>
      </c>
      <c r="CTZ22">
        <v>92</v>
      </c>
      <c r="CUA22">
        <v>92</v>
      </c>
      <c r="CUB22">
        <v>92.92</v>
      </c>
      <c r="CUC22">
        <v>93</v>
      </c>
      <c r="CUD22">
        <v>93</v>
      </c>
      <c r="CUE22">
        <v>93</v>
      </c>
      <c r="CUF22">
        <v>93</v>
      </c>
      <c r="CUG22">
        <v>93</v>
      </c>
      <c r="CUH22">
        <v>93</v>
      </c>
      <c r="CUI22">
        <v>93.99</v>
      </c>
      <c r="CUJ22">
        <v>93.99</v>
      </c>
      <c r="CUK22">
        <v>93.99</v>
      </c>
      <c r="CUL22">
        <v>93.99</v>
      </c>
      <c r="CUM22">
        <v>94</v>
      </c>
      <c r="CUN22">
        <v>94</v>
      </c>
      <c r="CUO22">
        <v>94</v>
      </c>
      <c r="CUP22">
        <v>94</v>
      </c>
      <c r="CUQ22">
        <v>94</v>
      </c>
      <c r="CUR22">
        <v>94.99</v>
      </c>
      <c r="CUS22">
        <v>95</v>
      </c>
      <c r="CUT22">
        <v>95</v>
      </c>
      <c r="CUU22">
        <v>95</v>
      </c>
      <c r="CUV22">
        <v>95</v>
      </c>
      <c r="CUW22">
        <v>95</v>
      </c>
      <c r="CUX22">
        <v>95</v>
      </c>
      <c r="CUY22">
        <v>95</v>
      </c>
      <c r="CUZ22">
        <v>95</v>
      </c>
      <c r="CVA22">
        <v>95</v>
      </c>
      <c r="CVB22">
        <v>95</v>
      </c>
      <c r="CVC22">
        <v>95</v>
      </c>
      <c r="CVD22">
        <v>95</v>
      </c>
      <c r="CVE22">
        <v>95</v>
      </c>
      <c r="CVF22">
        <v>95</v>
      </c>
      <c r="CVG22">
        <v>95.01</v>
      </c>
      <c r="CVH22">
        <v>95.99</v>
      </c>
      <c r="CVI22">
        <v>95.99</v>
      </c>
      <c r="CVJ22">
        <v>95.99</v>
      </c>
      <c r="CVK22">
        <v>95.99</v>
      </c>
      <c r="CVL22">
        <v>96</v>
      </c>
      <c r="CVM22">
        <v>96</v>
      </c>
      <c r="CVN22">
        <v>96</v>
      </c>
      <c r="CVO22">
        <v>96</v>
      </c>
      <c r="CVP22">
        <v>96</v>
      </c>
      <c r="CVQ22">
        <v>96.01</v>
      </c>
      <c r="CVR22">
        <v>96.99</v>
      </c>
      <c r="CVS22">
        <v>96.99</v>
      </c>
      <c r="CVT22">
        <v>96.99</v>
      </c>
      <c r="CVU22">
        <v>97</v>
      </c>
      <c r="CVV22">
        <v>97</v>
      </c>
      <c r="CVW22">
        <v>97</v>
      </c>
      <c r="CVX22">
        <v>97</v>
      </c>
      <c r="CVY22">
        <v>97</v>
      </c>
      <c r="CVZ22">
        <v>97</v>
      </c>
      <c r="CWA22">
        <v>97</v>
      </c>
      <c r="CWB22">
        <v>97</v>
      </c>
      <c r="CWC22">
        <v>97.98</v>
      </c>
      <c r="CWD22">
        <v>97.99</v>
      </c>
      <c r="CWE22">
        <v>97.99</v>
      </c>
      <c r="CWF22">
        <v>97.99</v>
      </c>
      <c r="CWG22">
        <v>97.99</v>
      </c>
      <c r="CWH22">
        <v>97.99</v>
      </c>
      <c r="CWI22">
        <v>98</v>
      </c>
      <c r="CWJ22">
        <v>98</v>
      </c>
      <c r="CWK22">
        <v>98</v>
      </c>
      <c r="CWL22">
        <v>98</v>
      </c>
      <c r="CWM22">
        <v>98.99</v>
      </c>
      <c r="CWN22">
        <v>98.99</v>
      </c>
      <c r="CWO22">
        <v>99</v>
      </c>
      <c r="CWP22">
        <v>99</v>
      </c>
      <c r="CWQ22">
        <v>99</v>
      </c>
      <c r="CWR22">
        <v>99</v>
      </c>
      <c r="CWS22">
        <v>99</v>
      </c>
      <c r="CWT22">
        <v>99</v>
      </c>
      <c r="CWU22">
        <v>99</v>
      </c>
      <c r="CWV22">
        <v>99</v>
      </c>
      <c r="CWW22">
        <v>99</v>
      </c>
      <c r="CWX22">
        <v>99.99</v>
      </c>
      <c r="CWY22">
        <v>99.99</v>
      </c>
      <c r="CWZ22">
        <v>100</v>
      </c>
      <c r="CXA22">
        <v>100</v>
      </c>
      <c r="CXB22">
        <v>100</v>
      </c>
      <c r="CXC22">
        <v>100</v>
      </c>
      <c r="CXD22">
        <v>100</v>
      </c>
      <c r="CXE22">
        <v>100</v>
      </c>
      <c r="CXF22">
        <v>100</v>
      </c>
      <c r="CXG22">
        <v>100</v>
      </c>
      <c r="CXH22">
        <v>100</v>
      </c>
      <c r="CXI22">
        <v>100</v>
      </c>
      <c r="CXJ22">
        <v>100</v>
      </c>
      <c r="CXK22">
        <v>100</v>
      </c>
      <c r="CXL22">
        <v>100</v>
      </c>
      <c r="CXM22">
        <v>100.99</v>
      </c>
      <c r="CXN22">
        <v>101</v>
      </c>
      <c r="CXO22">
        <v>101</v>
      </c>
      <c r="CXP22">
        <v>101</v>
      </c>
      <c r="CXQ22">
        <v>101</v>
      </c>
      <c r="CXR22">
        <v>101</v>
      </c>
      <c r="CXS22">
        <v>101</v>
      </c>
      <c r="CXT22">
        <v>101.01</v>
      </c>
      <c r="CXU22">
        <v>101.03</v>
      </c>
      <c r="CXV22">
        <v>101.98</v>
      </c>
      <c r="CXW22">
        <v>101.99</v>
      </c>
      <c r="CXX22">
        <v>101.99</v>
      </c>
      <c r="CXY22">
        <v>102</v>
      </c>
      <c r="CXZ22">
        <v>102</v>
      </c>
      <c r="CYA22">
        <v>102</v>
      </c>
      <c r="CYB22">
        <v>102</v>
      </c>
      <c r="CYC22">
        <v>102</v>
      </c>
      <c r="CYD22">
        <v>102</v>
      </c>
      <c r="CYE22">
        <v>102.99</v>
      </c>
      <c r="CYF22">
        <v>102.99</v>
      </c>
      <c r="CYG22">
        <v>102.99</v>
      </c>
      <c r="CYH22">
        <v>102.99</v>
      </c>
      <c r="CYI22">
        <v>103</v>
      </c>
      <c r="CYJ22">
        <v>103</v>
      </c>
      <c r="CYK22">
        <v>103</v>
      </c>
      <c r="CYL22">
        <v>103</v>
      </c>
      <c r="CYM22">
        <v>103</v>
      </c>
      <c r="CYN22">
        <v>103</v>
      </c>
      <c r="CYO22">
        <v>103</v>
      </c>
      <c r="CYP22">
        <v>103</v>
      </c>
      <c r="CYQ22">
        <v>103.01</v>
      </c>
      <c r="CYR22">
        <v>103.99</v>
      </c>
      <c r="CYS22">
        <v>103.99</v>
      </c>
      <c r="CYT22">
        <v>104</v>
      </c>
      <c r="CYU22">
        <v>104</v>
      </c>
      <c r="CYV22">
        <v>104</v>
      </c>
      <c r="CYW22">
        <v>104</v>
      </c>
      <c r="CYX22">
        <v>104</v>
      </c>
      <c r="CYY22">
        <v>104</v>
      </c>
      <c r="CYZ22">
        <v>104</v>
      </c>
      <c r="CZA22">
        <v>104</v>
      </c>
      <c r="CZB22">
        <v>104</v>
      </c>
      <c r="CZC22">
        <v>104</v>
      </c>
      <c r="CZD22">
        <v>104.99</v>
      </c>
      <c r="CZE22">
        <v>104.99</v>
      </c>
      <c r="CZF22">
        <v>105</v>
      </c>
      <c r="CZG22">
        <v>105</v>
      </c>
      <c r="CZH22">
        <v>105</v>
      </c>
      <c r="CZI22">
        <v>105</v>
      </c>
      <c r="CZJ22">
        <v>105</v>
      </c>
      <c r="CZK22">
        <v>105</v>
      </c>
      <c r="CZL22">
        <v>105</v>
      </c>
      <c r="CZM22">
        <v>105</v>
      </c>
      <c r="CZN22">
        <v>105</v>
      </c>
      <c r="CZO22">
        <v>105.98</v>
      </c>
      <c r="CZP22">
        <v>105.99</v>
      </c>
      <c r="CZQ22">
        <v>105.99</v>
      </c>
      <c r="CZR22">
        <v>105.99</v>
      </c>
      <c r="CZS22">
        <v>106</v>
      </c>
      <c r="CZT22">
        <v>106</v>
      </c>
      <c r="CZU22">
        <v>106</v>
      </c>
      <c r="CZV22">
        <v>106</v>
      </c>
      <c r="CZW22">
        <v>106</v>
      </c>
      <c r="CZX22">
        <v>106</v>
      </c>
      <c r="CZY22">
        <v>106.01</v>
      </c>
      <c r="CZZ22">
        <v>106.99</v>
      </c>
      <c r="DAA22">
        <v>106.99</v>
      </c>
      <c r="DAB22">
        <v>107</v>
      </c>
      <c r="DAC22">
        <v>107</v>
      </c>
      <c r="DAD22">
        <v>107</v>
      </c>
      <c r="DAE22">
        <v>107</v>
      </c>
      <c r="DAF22">
        <v>107</v>
      </c>
      <c r="DAG22">
        <v>107</v>
      </c>
      <c r="DAH22">
        <v>107.009999999999</v>
      </c>
      <c r="DAI22">
        <v>107.99</v>
      </c>
      <c r="DAJ22">
        <v>107.99</v>
      </c>
      <c r="DAK22">
        <v>107.99</v>
      </c>
      <c r="DAL22">
        <v>107.99</v>
      </c>
      <c r="DAM22">
        <v>107.99</v>
      </c>
      <c r="DAN22">
        <v>107.99</v>
      </c>
      <c r="DAO22">
        <v>108</v>
      </c>
      <c r="DAP22">
        <v>108</v>
      </c>
      <c r="DAQ22">
        <v>108</v>
      </c>
      <c r="DAR22">
        <v>108</v>
      </c>
      <c r="DAS22">
        <v>108.02</v>
      </c>
      <c r="DAT22">
        <v>108.99</v>
      </c>
      <c r="DAU22">
        <v>108.99</v>
      </c>
      <c r="DAV22">
        <v>109</v>
      </c>
      <c r="DAW22">
        <v>109</v>
      </c>
      <c r="DAX22">
        <v>109</v>
      </c>
      <c r="DAY22">
        <v>109</v>
      </c>
      <c r="DAZ22">
        <v>109</v>
      </c>
      <c r="DBA22">
        <v>109</v>
      </c>
      <c r="DBB22">
        <v>109.99</v>
      </c>
      <c r="DBC22">
        <v>109.99</v>
      </c>
      <c r="DBD22">
        <v>109.99</v>
      </c>
      <c r="DBE22">
        <v>109.99</v>
      </c>
      <c r="DBF22">
        <v>110</v>
      </c>
      <c r="DBG22">
        <v>110</v>
      </c>
      <c r="DBH22">
        <v>110</v>
      </c>
      <c r="DBI22">
        <v>110</v>
      </c>
      <c r="DBJ22">
        <v>110</v>
      </c>
      <c r="DBK22">
        <v>110</v>
      </c>
      <c r="DBL22">
        <v>110.99</v>
      </c>
      <c r="DBM22">
        <v>110.99</v>
      </c>
      <c r="DBN22">
        <v>110.99</v>
      </c>
      <c r="DBO22">
        <v>110.99</v>
      </c>
      <c r="DBP22">
        <v>110.99</v>
      </c>
      <c r="DBQ22">
        <v>111</v>
      </c>
      <c r="DBR22">
        <v>111</v>
      </c>
      <c r="DBS22">
        <v>111</v>
      </c>
      <c r="DBT22">
        <v>111</v>
      </c>
      <c r="DBU22">
        <v>111.02</v>
      </c>
      <c r="DBV22">
        <v>111.99</v>
      </c>
      <c r="DBW22">
        <v>111.99</v>
      </c>
      <c r="DBX22">
        <v>111.99</v>
      </c>
      <c r="DBY22">
        <v>111.99</v>
      </c>
      <c r="DBZ22">
        <v>112</v>
      </c>
      <c r="DCA22">
        <v>112</v>
      </c>
      <c r="DCB22">
        <v>112</v>
      </c>
      <c r="DCC22">
        <v>112</v>
      </c>
      <c r="DCD22">
        <v>112</v>
      </c>
      <c r="DCE22">
        <v>112.99</v>
      </c>
      <c r="DCF22">
        <v>112.99</v>
      </c>
      <c r="DCG22">
        <v>113</v>
      </c>
      <c r="DCH22">
        <v>113</v>
      </c>
      <c r="DCI22">
        <v>113</v>
      </c>
      <c r="DCJ22">
        <v>113</v>
      </c>
      <c r="DCK22">
        <v>113.98</v>
      </c>
      <c r="DCL22">
        <v>113.99</v>
      </c>
      <c r="DCM22">
        <v>113.99</v>
      </c>
      <c r="DCN22">
        <v>114</v>
      </c>
      <c r="DCO22">
        <v>114</v>
      </c>
      <c r="DCP22">
        <v>114</v>
      </c>
      <c r="DCQ22">
        <v>114</v>
      </c>
      <c r="DCR22">
        <v>114</v>
      </c>
      <c r="DCS22">
        <v>114</v>
      </c>
      <c r="DCT22">
        <v>114</v>
      </c>
      <c r="DCU22">
        <v>114</v>
      </c>
      <c r="DCV22">
        <v>114.99</v>
      </c>
      <c r="DCW22">
        <v>114.99</v>
      </c>
      <c r="DCX22">
        <v>114.99</v>
      </c>
      <c r="DCY22">
        <v>114.99</v>
      </c>
      <c r="DCZ22">
        <v>115</v>
      </c>
      <c r="DDA22">
        <v>115</v>
      </c>
      <c r="DDB22">
        <v>115</v>
      </c>
      <c r="DDC22">
        <v>115.99</v>
      </c>
      <c r="DDD22">
        <v>115.99</v>
      </c>
      <c r="DDE22">
        <v>116</v>
      </c>
      <c r="DDF22">
        <v>116</v>
      </c>
      <c r="DDG22">
        <v>116</v>
      </c>
      <c r="DDH22">
        <v>116</v>
      </c>
      <c r="DDI22">
        <v>116</v>
      </c>
      <c r="DDJ22">
        <v>116</v>
      </c>
      <c r="DDK22">
        <v>116</v>
      </c>
      <c r="DDL22">
        <v>116</v>
      </c>
      <c r="DDM22">
        <v>116</v>
      </c>
      <c r="DDN22">
        <v>116.99</v>
      </c>
      <c r="DDO22">
        <v>116.99</v>
      </c>
      <c r="DDP22">
        <v>117</v>
      </c>
      <c r="DDQ22">
        <v>117</v>
      </c>
      <c r="DDR22">
        <v>117</v>
      </c>
      <c r="DDS22">
        <v>117.99</v>
      </c>
      <c r="DDT22">
        <v>117.99</v>
      </c>
      <c r="DDU22">
        <v>117.99</v>
      </c>
      <c r="DDV22">
        <v>117.99</v>
      </c>
      <c r="DDW22">
        <v>118</v>
      </c>
      <c r="DDX22">
        <v>118</v>
      </c>
      <c r="DDY22">
        <v>118</v>
      </c>
      <c r="DDZ22">
        <v>118</v>
      </c>
      <c r="DEA22">
        <v>118</v>
      </c>
      <c r="DEB22">
        <v>118</v>
      </c>
      <c r="DEC22">
        <v>118</v>
      </c>
      <c r="DED22">
        <v>118</v>
      </c>
      <c r="DEE22">
        <v>118.99</v>
      </c>
      <c r="DEF22">
        <v>118.99</v>
      </c>
      <c r="DEG22">
        <v>118.99</v>
      </c>
      <c r="DEH22">
        <v>118.99</v>
      </c>
      <c r="DEI22">
        <v>118.99</v>
      </c>
      <c r="DEJ22">
        <v>118.99</v>
      </c>
      <c r="DEK22">
        <v>118.99</v>
      </c>
      <c r="DEL22">
        <v>119</v>
      </c>
      <c r="DEM22">
        <v>119</v>
      </c>
      <c r="DEN22">
        <v>119</v>
      </c>
      <c r="DEO22">
        <v>119.99</v>
      </c>
      <c r="DEP22">
        <v>119.99</v>
      </c>
      <c r="DEQ22">
        <v>119.99</v>
      </c>
      <c r="DER22">
        <v>119.99</v>
      </c>
      <c r="DES22">
        <v>119.99</v>
      </c>
      <c r="DET22">
        <v>119.99</v>
      </c>
      <c r="DEU22">
        <v>119.99</v>
      </c>
      <c r="DEV22">
        <v>119.99</v>
      </c>
      <c r="DEW22">
        <v>120</v>
      </c>
      <c r="DEX22">
        <v>120</v>
      </c>
      <c r="DEY22">
        <v>120</v>
      </c>
      <c r="DEZ22">
        <v>120</v>
      </c>
      <c r="DFA22">
        <v>120</v>
      </c>
      <c r="DFB22">
        <v>120.99</v>
      </c>
      <c r="DFC22">
        <v>120.99</v>
      </c>
      <c r="DFD22">
        <v>120.99</v>
      </c>
      <c r="DFE22">
        <v>120.99</v>
      </c>
      <c r="DFF22">
        <v>121</v>
      </c>
      <c r="DFG22">
        <v>121</v>
      </c>
      <c r="DFH22">
        <v>121</v>
      </c>
      <c r="DFI22">
        <v>121</v>
      </c>
      <c r="DFJ22">
        <v>121.99</v>
      </c>
      <c r="DFK22">
        <v>121.99</v>
      </c>
      <c r="DFL22">
        <v>122</v>
      </c>
      <c r="DFM22">
        <v>122</v>
      </c>
      <c r="DFN22">
        <v>122.98</v>
      </c>
      <c r="DFO22">
        <v>122.99</v>
      </c>
      <c r="DFP22">
        <v>122.99</v>
      </c>
      <c r="DFQ22">
        <v>123</v>
      </c>
      <c r="DFR22">
        <v>123</v>
      </c>
      <c r="DFS22">
        <v>123</v>
      </c>
      <c r="DFT22">
        <v>123.99</v>
      </c>
      <c r="DFU22">
        <v>123.99</v>
      </c>
      <c r="DFV22">
        <v>123.99</v>
      </c>
      <c r="DFW22">
        <v>124</v>
      </c>
      <c r="DFX22">
        <v>124</v>
      </c>
      <c r="DFY22">
        <v>124</v>
      </c>
      <c r="DFZ22">
        <v>124.99</v>
      </c>
      <c r="DGA22">
        <v>124.99</v>
      </c>
      <c r="DGB22">
        <v>124.99</v>
      </c>
      <c r="DGC22">
        <v>125</v>
      </c>
      <c r="DGD22">
        <v>125</v>
      </c>
      <c r="DGE22">
        <v>125</v>
      </c>
      <c r="DGF22">
        <v>125</v>
      </c>
      <c r="DGG22">
        <v>125</v>
      </c>
      <c r="DGH22">
        <v>125</v>
      </c>
      <c r="DGI22">
        <v>125.99</v>
      </c>
      <c r="DGJ22">
        <v>125.99</v>
      </c>
      <c r="DGK22">
        <v>125.99</v>
      </c>
      <c r="DGL22">
        <v>126</v>
      </c>
      <c r="DGM22">
        <v>126</v>
      </c>
      <c r="DGN22">
        <v>126</v>
      </c>
      <c r="DGO22">
        <v>126</v>
      </c>
      <c r="DGP22">
        <v>126</v>
      </c>
      <c r="DGQ22">
        <v>126.89</v>
      </c>
      <c r="DGR22">
        <v>126.979999999999</v>
      </c>
      <c r="DGS22">
        <v>126.99</v>
      </c>
      <c r="DGT22">
        <v>126.99</v>
      </c>
      <c r="DGU22">
        <v>127</v>
      </c>
      <c r="DGV22">
        <v>127</v>
      </c>
      <c r="DGW22">
        <v>127</v>
      </c>
      <c r="DGX22">
        <v>127</v>
      </c>
      <c r="DGY22">
        <v>127</v>
      </c>
      <c r="DGZ22">
        <v>127</v>
      </c>
      <c r="DHA22">
        <v>127</v>
      </c>
      <c r="DHB22">
        <v>127.01</v>
      </c>
      <c r="DHC22">
        <v>127.01</v>
      </c>
      <c r="DHD22">
        <v>127.01</v>
      </c>
      <c r="DHE22">
        <v>127.99</v>
      </c>
      <c r="DHF22">
        <v>127.99</v>
      </c>
      <c r="DHG22">
        <v>127.99</v>
      </c>
      <c r="DHH22">
        <v>127.99</v>
      </c>
      <c r="DHI22">
        <v>128</v>
      </c>
      <c r="DHJ22">
        <v>128</v>
      </c>
      <c r="DHK22">
        <v>128</v>
      </c>
      <c r="DHL22">
        <v>128</v>
      </c>
      <c r="DHM22">
        <v>128.01</v>
      </c>
      <c r="DHN22">
        <v>128.99</v>
      </c>
      <c r="DHO22">
        <v>128.99</v>
      </c>
      <c r="DHP22">
        <v>128.99</v>
      </c>
      <c r="DHQ22">
        <v>129</v>
      </c>
      <c r="DHR22">
        <v>129</v>
      </c>
      <c r="DHS22">
        <v>129</v>
      </c>
      <c r="DHT22">
        <v>129</v>
      </c>
      <c r="DHU22">
        <v>129</v>
      </c>
      <c r="DHV22">
        <v>129</v>
      </c>
      <c r="DHW22">
        <v>129.01</v>
      </c>
      <c r="DHX22">
        <v>129.99</v>
      </c>
      <c r="DHY22">
        <v>129.99</v>
      </c>
      <c r="DHZ22">
        <v>129.99</v>
      </c>
      <c r="DIA22">
        <v>130</v>
      </c>
      <c r="DIB22">
        <v>130</v>
      </c>
      <c r="DIC22">
        <v>130.99</v>
      </c>
      <c r="DID22">
        <v>130.99</v>
      </c>
      <c r="DIE22">
        <v>130.99</v>
      </c>
      <c r="DIF22">
        <v>130.99</v>
      </c>
      <c r="DIG22">
        <v>130.99</v>
      </c>
      <c r="DIH22">
        <v>130.99</v>
      </c>
      <c r="DII22">
        <v>130.99</v>
      </c>
      <c r="DIJ22">
        <v>131</v>
      </c>
      <c r="DIK22">
        <v>131</v>
      </c>
      <c r="DIL22">
        <v>131</v>
      </c>
      <c r="DIM22">
        <v>131</v>
      </c>
      <c r="DIN22">
        <v>131</v>
      </c>
      <c r="DIO22">
        <v>131</v>
      </c>
      <c r="DIP22">
        <v>131</v>
      </c>
      <c r="DIQ22">
        <v>131</v>
      </c>
      <c r="DIR22">
        <v>131.03</v>
      </c>
      <c r="DIS22">
        <v>131.99</v>
      </c>
      <c r="DIT22">
        <v>131.99</v>
      </c>
      <c r="DIU22">
        <v>132</v>
      </c>
      <c r="DIV22">
        <v>132</v>
      </c>
      <c r="DIW22">
        <v>132</v>
      </c>
      <c r="DIX22">
        <v>132.99</v>
      </c>
      <c r="DIY22">
        <v>132.99</v>
      </c>
      <c r="DIZ22">
        <v>133</v>
      </c>
      <c r="DJA22">
        <v>133</v>
      </c>
      <c r="DJB22">
        <v>133</v>
      </c>
      <c r="DJC22">
        <v>133</v>
      </c>
      <c r="DJD22">
        <v>133.99</v>
      </c>
      <c r="DJE22">
        <v>133.99</v>
      </c>
      <c r="DJF22">
        <v>133.99</v>
      </c>
      <c r="DJG22">
        <v>134</v>
      </c>
      <c r="DJH22">
        <v>134</v>
      </c>
      <c r="DJI22">
        <v>134</v>
      </c>
      <c r="DJJ22">
        <v>134</v>
      </c>
      <c r="DJK22">
        <v>134</v>
      </c>
      <c r="DJL22">
        <v>134</v>
      </c>
      <c r="DJM22">
        <v>134.97</v>
      </c>
      <c r="DJN22">
        <v>134.99</v>
      </c>
      <c r="DJO22">
        <v>135</v>
      </c>
      <c r="DJP22">
        <v>135.01</v>
      </c>
      <c r="DJQ22">
        <v>135.97999999999999</v>
      </c>
      <c r="DJR22">
        <v>135.99</v>
      </c>
      <c r="DJS22">
        <v>135.99</v>
      </c>
      <c r="DJT22">
        <v>135.99</v>
      </c>
      <c r="DJU22">
        <v>135.99</v>
      </c>
      <c r="DJV22">
        <v>135.99</v>
      </c>
      <c r="DJW22">
        <v>136</v>
      </c>
      <c r="DJX22">
        <v>136</v>
      </c>
      <c r="DJY22">
        <v>136</v>
      </c>
      <c r="DJZ22">
        <v>136</v>
      </c>
      <c r="DKA22">
        <v>136.01</v>
      </c>
      <c r="DKB22">
        <v>136.97</v>
      </c>
      <c r="DKC22">
        <v>136.97999999999999</v>
      </c>
      <c r="DKD22">
        <v>136.97999999999999</v>
      </c>
      <c r="DKE22">
        <v>136.99</v>
      </c>
      <c r="DKF22">
        <v>137</v>
      </c>
      <c r="DKG22">
        <v>137</v>
      </c>
      <c r="DKH22">
        <v>137</v>
      </c>
      <c r="DKI22">
        <v>137.99</v>
      </c>
      <c r="DKJ22">
        <v>137.99</v>
      </c>
      <c r="DKK22">
        <v>137.99</v>
      </c>
      <c r="DKL22">
        <v>137.99</v>
      </c>
      <c r="DKM22">
        <v>137.99</v>
      </c>
      <c r="DKN22">
        <v>138</v>
      </c>
      <c r="DKO22">
        <v>138.96</v>
      </c>
      <c r="DKP22">
        <v>138.97999999999999</v>
      </c>
      <c r="DKQ22">
        <v>138.99</v>
      </c>
      <c r="DKR22">
        <v>138.99</v>
      </c>
      <c r="DKS22">
        <v>139</v>
      </c>
      <c r="DKT22">
        <v>139</v>
      </c>
      <c r="DKU22">
        <v>139</v>
      </c>
      <c r="DKV22">
        <v>139</v>
      </c>
      <c r="DKW22">
        <v>139</v>
      </c>
      <c r="DKX22">
        <v>139.99</v>
      </c>
      <c r="DKY22">
        <v>140</v>
      </c>
      <c r="DKZ22">
        <v>140</v>
      </c>
      <c r="DLA22">
        <v>140</v>
      </c>
      <c r="DLB22">
        <v>140</v>
      </c>
      <c r="DLC22">
        <v>140</v>
      </c>
      <c r="DLD22">
        <v>140</v>
      </c>
      <c r="DLE22">
        <v>140.04</v>
      </c>
      <c r="DLF22">
        <v>140.99</v>
      </c>
      <c r="DLG22">
        <v>141</v>
      </c>
      <c r="DLH22">
        <v>141</v>
      </c>
      <c r="DLI22">
        <v>141</v>
      </c>
      <c r="DLJ22">
        <v>141.99</v>
      </c>
      <c r="DLK22">
        <v>141.99</v>
      </c>
      <c r="DLL22">
        <v>141.99</v>
      </c>
      <c r="DLM22">
        <v>142</v>
      </c>
      <c r="DLN22">
        <v>142</v>
      </c>
      <c r="DLO22">
        <v>142.97</v>
      </c>
      <c r="DLP22">
        <v>142.99</v>
      </c>
      <c r="DLQ22">
        <v>142.99</v>
      </c>
      <c r="DLR22">
        <v>142.99</v>
      </c>
      <c r="DLS22">
        <v>143</v>
      </c>
      <c r="DLT22">
        <v>143</v>
      </c>
      <c r="DLU22">
        <v>143.99</v>
      </c>
      <c r="DLV22">
        <v>143.99</v>
      </c>
      <c r="DLW22">
        <v>144</v>
      </c>
      <c r="DLX22">
        <v>144.97999999999999</v>
      </c>
      <c r="DLY22">
        <v>144.99</v>
      </c>
      <c r="DLZ22">
        <v>144.99</v>
      </c>
      <c r="DMA22">
        <v>145</v>
      </c>
      <c r="DMB22">
        <v>145</v>
      </c>
      <c r="DMC22">
        <v>145.01</v>
      </c>
      <c r="DMD22">
        <v>146</v>
      </c>
      <c r="DME22">
        <v>146</v>
      </c>
      <c r="DMF22">
        <v>146</v>
      </c>
      <c r="DMG22">
        <v>146</v>
      </c>
      <c r="DMH22">
        <v>146</v>
      </c>
      <c r="DMI22">
        <v>146.97999999999999</v>
      </c>
      <c r="DMJ22">
        <v>146.99</v>
      </c>
      <c r="DMK22">
        <v>146.99</v>
      </c>
      <c r="DML22">
        <v>146.99</v>
      </c>
      <c r="DMM22">
        <v>146.99</v>
      </c>
      <c r="DMN22">
        <v>147</v>
      </c>
      <c r="DMO22">
        <v>147</v>
      </c>
      <c r="DMP22">
        <v>147</v>
      </c>
      <c r="DMQ22">
        <v>147</v>
      </c>
      <c r="DMR22">
        <v>147</v>
      </c>
      <c r="DMS22">
        <v>147.99</v>
      </c>
      <c r="DMT22">
        <v>148</v>
      </c>
      <c r="DMU22">
        <v>148</v>
      </c>
      <c r="DMV22">
        <v>148</v>
      </c>
      <c r="DMW22">
        <v>148</v>
      </c>
      <c r="DMX22">
        <v>148</v>
      </c>
      <c r="DMY22">
        <v>149</v>
      </c>
      <c r="DMZ22">
        <v>149</v>
      </c>
      <c r="DNA22">
        <v>149</v>
      </c>
      <c r="DNB22">
        <v>149</v>
      </c>
      <c r="DNC22">
        <v>149</v>
      </c>
      <c r="DND22">
        <v>149</v>
      </c>
      <c r="DNE22">
        <v>149</v>
      </c>
      <c r="DNF22">
        <v>149</v>
      </c>
      <c r="DNG22">
        <v>149.01</v>
      </c>
      <c r="DNH22">
        <v>149.02999999999901</v>
      </c>
      <c r="DNI22">
        <v>149.97</v>
      </c>
      <c r="DNJ22">
        <v>149.99</v>
      </c>
      <c r="DNK22">
        <v>149.99</v>
      </c>
      <c r="DNL22">
        <v>149.99</v>
      </c>
      <c r="DNM22">
        <v>150</v>
      </c>
      <c r="DNN22">
        <v>150</v>
      </c>
      <c r="DNO22">
        <v>150</v>
      </c>
      <c r="DNP22">
        <v>150</v>
      </c>
      <c r="DNQ22">
        <v>150.16</v>
      </c>
      <c r="DNR22">
        <v>150.99</v>
      </c>
      <c r="DNS22">
        <v>150.99</v>
      </c>
      <c r="DNT22">
        <v>150.99</v>
      </c>
      <c r="DNU22">
        <v>150.99</v>
      </c>
      <c r="DNV22">
        <v>150.99</v>
      </c>
      <c r="DNW22">
        <v>150.99</v>
      </c>
      <c r="DNX22">
        <v>150.99</v>
      </c>
      <c r="DNY22">
        <v>151</v>
      </c>
      <c r="DNZ22">
        <v>151</v>
      </c>
      <c r="DOA22">
        <v>151</v>
      </c>
      <c r="DOB22">
        <v>151.01</v>
      </c>
      <c r="DOC22">
        <v>151.02000000000001</v>
      </c>
      <c r="DOD22">
        <v>151.99</v>
      </c>
      <c r="DOE22">
        <v>152</v>
      </c>
      <c r="DOF22">
        <v>152</v>
      </c>
      <c r="DOG22">
        <v>152.97999999999999</v>
      </c>
      <c r="DOH22">
        <v>152.99</v>
      </c>
      <c r="DOI22">
        <v>153</v>
      </c>
      <c r="DOJ22">
        <v>153.01</v>
      </c>
      <c r="DOK22">
        <v>153.99</v>
      </c>
      <c r="DOL22">
        <v>154</v>
      </c>
      <c r="DOM22">
        <v>154</v>
      </c>
      <c r="DON22">
        <v>154</v>
      </c>
      <c r="DOO22">
        <v>154</v>
      </c>
      <c r="DOP22">
        <v>154.99</v>
      </c>
      <c r="DOQ22">
        <v>154.99</v>
      </c>
      <c r="DOR22">
        <v>154.99</v>
      </c>
      <c r="DOS22">
        <v>154.99</v>
      </c>
      <c r="DOT22">
        <v>155</v>
      </c>
      <c r="DOU22">
        <v>155</v>
      </c>
      <c r="DOV22">
        <v>155</v>
      </c>
      <c r="DOW22">
        <v>155</v>
      </c>
      <c r="DOX22">
        <v>155.99</v>
      </c>
      <c r="DOY22">
        <v>156</v>
      </c>
      <c r="DOZ22">
        <v>156</v>
      </c>
      <c r="DPA22">
        <v>156.99</v>
      </c>
      <c r="DPB22">
        <v>156.99</v>
      </c>
      <c r="DPC22">
        <v>157</v>
      </c>
      <c r="DPD22">
        <v>157</v>
      </c>
      <c r="DPE22">
        <v>157.99</v>
      </c>
      <c r="DPF22">
        <v>158</v>
      </c>
      <c r="DPG22">
        <v>158</v>
      </c>
      <c r="DPH22">
        <v>158</v>
      </c>
      <c r="DPI22">
        <v>158</v>
      </c>
      <c r="DPJ22">
        <v>158</v>
      </c>
      <c r="DPK22">
        <v>158.99</v>
      </c>
      <c r="DPL22">
        <v>158.99</v>
      </c>
      <c r="DPM22">
        <v>158.99</v>
      </c>
      <c r="DPN22">
        <v>158.99</v>
      </c>
      <c r="DPO22">
        <v>158.99</v>
      </c>
      <c r="DPP22">
        <v>158.99</v>
      </c>
      <c r="DPQ22">
        <v>159</v>
      </c>
      <c r="DPR22">
        <v>159</v>
      </c>
      <c r="DPS22">
        <v>159</v>
      </c>
      <c r="DPT22">
        <v>159.99</v>
      </c>
      <c r="DPU22">
        <v>160</v>
      </c>
      <c r="DPV22">
        <v>160</v>
      </c>
      <c r="DPW22">
        <v>160</v>
      </c>
      <c r="DPX22">
        <v>161</v>
      </c>
      <c r="DPY22">
        <v>161</v>
      </c>
      <c r="DPZ22">
        <v>161</v>
      </c>
      <c r="DQA22">
        <v>161</v>
      </c>
      <c r="DQB22">
        <v>161</v>
      </c>
      <c r="DQC22">
        <v>161.99</v>
      </c>
      <c r="DQD22">
        <v>162</v>
      </c>
      <c r="DQE22">
        <v>162.99</v>
      </c>
      <c r="DQF22">
        <v>162.99</v>
      </c>
      <c r="DQG22">
        <v>162.99</v>
      </c>
      <c r="DQH22">
        <v>163</v>
      </c>
      <c r="DQI22">
        <v>163</v>
      </c>
      <c r="DQJ22">
        <v>163</v>
      </c>
      <c r="DQK22">
        <v>163.99</v>
      </c>
      <c r="DQL22">
        <v>163.99</v>
      </c>
      <c r="DQM22">
        <v>164</v>
      </c>
      <c r="DQN22">
        <v>164</v>
      </c>
      <c r="DQO22">
        <v>164</v>
      </c>
      <c r="DQP22">
        <v>164.99</v>
      </c>
      <c r="DQQ22">
        <v>164.99</v>
      </c>
      <c r="DQR22">
        <v>164.99</v>
      </c>
      <c r="DQS22">
        <v>164.99</v>
      </c>
      <c r="DQT22">
        <v>164.99</v>
      </c>
      <c r="DQU22">
        <v>165</v>
      </c>
      <c r="DQV22">
        <v>165</v>
      </c>
      <c r="DQW22">
        <v>165.97</v>
      </c>
      <c r="DQX22">
        <v>166</v>
      </c>
      <c r="DQY22">
        <v>166</v>
      </c>
      <c r="DQZ22">
        <v>166</v>
      </c>
      <c r="DRA22">
        <v>166</v>
      </c>
      <c r="DRB22">
        <v>166.98</v>
      </c>
      <c r="DRC22">
        <v>167</v>
      </c>
      <c r="DRD22">
        <v>167</v>
      </c>
      <c r="DRE22">
        <v>167</v>
      </c>
      <c r="DRF22">
        <v>167</v>
      </c>
      <c r="DRG22">
        <v>167</v>
      </c>
      <c r="DRH22">
        <v>167.97</v>
      </c>
      <c r="DRI22">
        <v>167.99</v>
      </c>
      <c r="DRJ22">
        <v>168</v>
      </c>
      <c r="DRK22">
        <v>168.97</v>
      </c>
      <c r="DRL22">
        <v>169</v>
      </c>
      <c r="DRM22">
        <v>169</v>
      </c>
      <c r="DRN22">
        <v>169</v>
      </c>
      <c r="DRO22">
        <v>169.01</v>
      </c>
      <c r="DRP22">
        <v>169.98</v>
      </c>
      <c r="DRQ22">
        <v>169.99</v>
      </c>
      <c r="DRR22">
        <v>170</v>
      </c>
      <c r="DRS22">
        <v>170.99</v>
      </c>
      <c r="DRT22">
        <v>171</v>
      </c>
      <c r="DRU22">
        <v>171</v>
      </c>
      <c r="DRV22">
        <v>171</v>
      </c>
      <c r="DRW22">
        <v>171.99</v>
      </c>
      <c r="DRX22">
        <v>171.99</v>
      </c>
      <c r="DRY22">
        <v>171.99</v>
      </c>
      <c r="DRZ22">
        <v>172</v>
      </c>
      <c r="DSA22">
        <v>172.01</v>
      </c>
      <c r="DSB22">
        <v>172.98</v>
      </c>
      <c r="DSC22">
        <v>172.99</v>
      </c>
      <c r="DSD22">
        <v>173</v>
      </c>
      <c r="DSE22">
        <v>173</v>
      </c>
      <c r="DSF22">
        <v>173</v>
      </c>
      <c r="DSG22">
        <v>173</v>
      </c>
      <c r="DSH22">
        <v>173</v>
      </c>
      <c r="DSI22">
        <v>173</v>
      </c>
      <c r="DSJ22">
        <v>173.98</v>
      </c>
      <c r="DSK22">
        <v>173.99</v>
      </c>
      <c r="DSL22">
        <v>173.99</v>
      </c>
      <c r="DSM22">
        <v>173.99</v>
      </c>
      <c r="DSN22">
        <v>173.99</v>
      </c>
      <c r="DSO22">
        <v>174</v>
      </c>
      <c r="DSP22">
        <v>174</v>
      </c>
      <c r="DSQ22">
        <v>174</v>
      </c>
      <c r="DSR22">
        <v>174</v>
      </c>
      <c r="DSS22">
        <v>174.99</v>
      </c>
      <c r="DST22">
        <v>174.99</v>
      </c>
      <c r="DSU22">
        <v>174.99</v>
      </c>
      <c r="DSV22">
        <v>174.99</v>
      </c>
      <c r="DSW22">
        <v>175</v>
      </c>
      <c r="DSX22">
        <v>175</v>
      </c>
      <c r="DSY22">
        <v>175.03</v>
      </c>
      <c r="DSZ22">
        <v>175.99</v>
      </c>
      <c r="DTA22">
        <v>175.99</v>
      </c>
      <c r="DTB22">
        <v>176</v>
      </c>
      <c r="DTC22">
        <v>176</v>
      </c>
      <c r="DTD22">
        <v>176</v>
      </c>
      <c r="DTE22">
        <v>177</v>
      </c>
      <c r="DTF22">
        <v>177.01</v>
      </c>
      <c r="DTG22">
        <v>177.96</v>
      </c>
      <c r="DTH22">
        <v>178.04</v>
      </c>
      <c r="DTI22">
        <v>178.97</v>
      </c>
      <c r="DTJ22">
        <v>178.99</v>
      </c>
      <c r="DTK22">
        <v>178.99</v>
      </c>
      <c r="DTL22">
        <v>179</v>
      </c>
      <c r="DTM22">
        <v>179</v>
      </c>
      <c r="DTN22">
        <v>179</v>
      </c>
      <c r="DTO22">
        <v>179</v>
      </c>
      <c r="DTP22">
        <v>179.99</v>
      </c>
      <c r="DTQ22">
        <v>179.99</v>
      </c>
      <c r="DTR22">
        <v>180</v>
      </c>
      <c r="DTS22">
        <v>180.94</v>
      </c>
      <c r="DTT22">
        <v>180.99</v>
      </c>
      <c r="DTU22">
        <v>180.99</v>
      </c>
      <c r="DTV22">
        <v>180.99</v>
      </c>
      <c r="DTW22">
        <v>180.99</v>
      </c>
      <c r="DTX22">
        <v>181</v>
      </c>
      <c r="DTY22">
        <v>181</v>
      </c>
      <c r="DTZ22">
        <v>181</v>
      </c>
      <c r="DUA22">
        <v>181.05</v>
      </c>
      <c r="DUB22">
        <v>181.99</v>
      </c>
      <c r="DUC22">
        <v>181.99</v>
      </c>
      <c r="DUD22">
        <v>181.99</v>
      </c>
      <c r="DUE22">
        <v>182</v>
      </c>
      <c r="DUF22">
        <v>182</v>
      </c>
      <c r="DUG22">
        <v>182</v>
      </c>
      <c r="DUH22">
        <v>182</v>
      </c>
      <c r="DUI22">
        <v>183</v>
      </c>
      <c r="DUJ22">
        <v>183</v>
      </c>
      <c r="DUK22">
        <v>183.99</v>
      </c>
      <c r="DUL22">
        <v>183.99</v>
      </c>
      <c r="DUM22">
        <v>184</v>
      </c>
      <c r="DUN22">
        <v>184</v>
      </c>
      <c r="DUO22">
        <v>184.97</v>
      </c>
      <c r="DUP22">
        <v>184.99</v>
      </c>
      <c r="DUQ22">
        <v>185</v>
      </c>
      <c r="DUR22">
        <v>185</v>
      </c>
      <c r="DUS22">
        <v>185</v>
      </c>
      <c r="DUT22">
        <v>185</v>
      </c>
      <c r="DUU22">
        <v>185.98</v>
      </c>
      <c r="DUV22">
        <v>185.98</v>
      </c>
      <c r="DUW22">
        <v>185.99</v>
      </c>
      <c r="DUX22">
        <v>185.99</v>
      </c>
      <c r="DUY22">
        <v>186</v>
      </c>
      <c r="DUZ22">
        <v>186</v>
      </c>
      <c r="DVA22">
        <v>186</v>
      </c>
      <c r="DVB22">
        <v>186</v>
      </c>
      <c r="DVC22">
        <v>187.97</v>
      </c>
      <c r="DVD22">
        <v>187.99</v>
      </c>
      <c r="DVE22">
        <v>187.99</v>
      </c>
      <c r="DVF22">
        <v>188</v>
      </c>
      <c r="DVG22">
        <v>189</v>
      </c>
      <c r="DVH22">
        <v>189</v>
      </c>
      <c r="DVI22">
        <v>189.14</v>
      </c>
      <c r="DVJ22">
        <v>189.98</v>
      </c>
      <c r="DVK22">
        <v>190</v>
      </c>
      <c r="DVL22">
        <v>190.01</v>
      </c>
      <c r="DVM22">
        <v>190.99</v>
      </c>
      <c r="DVN22">
        <v>191</v>
      </c>
      <c r="DVO22">
        <v>191</v>
      </c>
      <c r="DVP22">
        <v>191.98</v>
      </c>
      <c r="DVQ22">
        <v>191.99</v>
      </c>
      <c r="DVR22">
        <v>192</v>
      </c>
      <c r="DVS22">
        <v>192</v>
      </c>
      <c r="DVT22">
        <v>192.99</v>
      </c>
      <c r="DVU22">
        <v>192.99</v>
      </c>
      <c r="DVV22">
        <v>193</v>
      </c>
      <c r="DVW22">
        <v>193.98</v>
      </c>
      <c r="DVX22">
        <v>194</v>
      </c>
      <c r="DVY22">
        <v>194</v>
      </c>
      <c r="DVZ22">
        <v>194.99</v>
      </c>
      <c r="DWA22">
        <v>194.99</v>
      </c>
      <c r="DWB22">
        <v>194.99</v>
      </c>
      <c r="DWC22">
        <v>195</v>
      </c>
      <c r="DWD22">
        <v>195.96</v>
      </c>
      <c r="DWE22">
        <v>195.98</v>
      </c>
      <c r="DWF22">
        <v>195.98</v>
      </c>
      <c r="DWG22">
        <v>196</v>
      </c>
      <c r="DWH22">
        <v>196.98</v>
      </c>
      <c r="DWI22">
        <v>196.99</v>
      </c>
      <c r="DWJ22">
        <v>196.99</v>
      </c>
      <c r="DWK22">
        <v>197.01</v>
      </c>
      <c r="DWL22">
        <v>197.99</v>
      </c>
      <c r="DWM22">
        <v>199</v>
      </c>
      <c r="DWN22">
        <v>199</v>
      </c>
      <c r="DWO22">
        <v>199</v>
      </c>
      <c r="DWP22">
        <v>199</v>
      </c>
      <c r="DWQ22">
        <v>199</v>
      </c>
      <c r="DWR22">
        <v>199.99</v>
      </c>
      <c r="DWS22">
        <v>199.99</v>
      </c>
      <c r="DWT22">
        <v>200</v>
      </c>
      <c r="DWU22">
        <v>200</v>
      </c>
      <c r="DWV22">
        <v>200</v>
      </c>
      <c r="DWW22">
        <v>200.99</v>
      </c>
      <c r="DWX22">
        <v>200.99</v>
      </c>
      <c r="DWY22">
        <v>200.99</v>
      </c>
      <c r="DWZ22">
        <v>200.99</v>
      </c>
      <c r="DXA22">
        <v>201</v>
      </c>
      <c r="DXB22">
        <v>201</v>
      </c>
      <c r="DXC22">
        <v>201</v>
      </c>
      <c r="DXD22">
        <v>202</v>
      </c>
      <c r="DXE22">
        <v>202</v>
      </c>
      <c r="DXF22">
        <v>202</v>
      </c>
      <c r="DXG22">
        <v>202.99</v>
      </c>
      <c r="DXH22">
        <v>203</v>
      </c>
      <c r="DXI22">
        <v>203</v>
      </c>
      <c r="DXJ22">
        <v>203</v>
      </c>
      <c r="DXK22">
        <v>203.99</v>
      </c>
      <c r="DXL22">
        <v>204</v>
      </c>
      <c r="DXM22">
        <v>204.01</v>
      </c>
      <c r="DXN22">
        <v>204.99</v>
      </c>
      <c r="DXO22">
        <v>205</v>
      </c>
      <c r="DXP22">
        <v>205.98</v>
      </c>
      <c r="DXQ22">
        <v>205.99</v>
      </c>
      <c r="DXR22">
        <v>206</v>
      </c>
      <c r="DXS22">
        <v>206</v>
      </c>
      <c r="DXT22">
        <v>206</v>
      </c>
      <c r="DXU22">
        <v>206.99</v>
      </c>
      <c r="DXV22">
        <v>207</v>
      </c>
      <c r="DXW22">
        <v>207</v>
      </c>
      <c r="DXX22">
        <v>207</v>
      </c>
      <c r="DXY22">
        <v>207</v>
      </c>
      <c r="DXZ22">
        <v>207.04</v>
      </c>
      <c r="DYA22">
        <v>207.98</v>
      </c>
      <c r="DYB22">
        <v>207.99</v>
      </c>
      <c r="DYC22">
        <v>207.99</v>
      </c>
      <c r="DYD22">
        <v>208</v>
      </c>
      <c r="DYE22">
        <v>208.98</v>
      </c>
      <c r="DYF22">
        <v>208.99</v>
      </c>
      <c r="DYG22">
        <v>209</v>
      </c>
      <c r="DYH22">
        <v>209</v>
      </c>
      <c r="DYI22">
        <v>209</v>
      </c>
      <c r="DYJ22">
        <v>209.99</v>
      </c>
      <c r="DYK22">
        <v>210</v>
      </c>
      <c r="DYL22">
        <v>210.96</v>
      </c>
      <c r="DYM22">
        <v>210.98</v>
      </c>
      <c r="DYN22">
        <v>210.99</v>
      </c>
      <c r="DYO22">
        <v>210.99</v>
      </c>
      <c r="DYP22">
        <v>211.01</v>
      </c>
      <c r="DYQ22">
        <v>211.99</v>
      </c>
      <c r="DYR22">
        <v>211.99</v>
      </c>
      <c r="DYS22">
        <v>212</v>
      </c>
      <c r="DYT22">
        <v>212</v>
      </c>
      <c r="DYU22">
        <v>212.99</v>
      </c>
      <c r="DYV22">
        <v>213</v>
      </c>
      <c r="DYW22">
        <v>213</v>
      </c>
      <c r="DYX22">
        <v>214</v>
      </c>
      <c r="DYY22">
        <v>214</v>
      </c>
      <c r="DYZ22">
        <v>214.98</v>
      </c>
      <c r="DZA22">
        <v>214.99</v>
      </c>
      <c r="DZB22">
        <v>215</v>
      </c>
      <c r="DZC22">
        <v>215</v>
      </c>
      <c r="DZD22">
        <v>215.05</v>
      </c>
      <c r="DZE22">
        <v>215.97</v>
      </c>
      <c r="DZF22">
        <v>215.99</v>
      </c>
      <c r="DZG22">
        <v>215.99</v>
      </c>
      <c r="DZH22">
        <v>216</v>
      </c>
      <c r="DZI22">
        <v>216</v>
      </c>
      <c r="DZJ22">
        <v>216</v>
      </c>
      <c r="DZK22">
        <v>216.98</v>
      </c>
      <c r="DZL22">
        <v>216.99</v>
      </c>
      <c r="DZM22">
        <v>216.99</v>
      </c>
      <c r="DZN22">
        <v>216.99</v>
      </c>
      <c r="DZO22">
        <v>217</v>
      </c>
      <c r="DZP22">
        <v>218</v>
      </c>
      <c r="DZQ22">
        <v>218.98</v>
      </c>
      <c r="DZR22">
        <v>218.99</v>
      </c>
      <c r="DZS22">
        <v>219</v>
      </c>
      <c r="DZT22">
        <v>219.99</v>
      </c>
      <c r="DZU22">
        <v>219.99</v>
      </c>
      <c r="DZV22">
        <v>220</v>
      </c>
      <c r="DZW22">
        <v>220</v>
      </c>
      <c r="DZX22">
        <v>220.99</v>
      </c>
      <c r="DZY22">
        <v>220.99</v>
      </c>
      <c r="DZZ22">
        <v>220.99</v>
      </c>
      <c r="EAA22">
        <v>221</v>
      </c>
      <c r="EAB22">
        <v>221</v>
      </c>
      <c r="EAC22">
        <v>221</v>
      </c>
      <c r="EAD22">
        <v>221.98</v>
      </c>
      <c r="EAE22">
        <v>222</v>
      </c>
      <c r="EAF22">
        <v>223</v>
      </c>
      <c r="EAG22">
        <v>223</v>
      </c>
      <c r="EAH22">
        <v>224</v>
      </c>
      <c r="EAI22">
        <v>224.98</v>
      </c>
      <c r="EAJ22">
        <v>224.99</v>
      </c>
      <c r="EAK22">
        <v>224.99</v>
      </c>
      <c r="EAL22">
        <v>225</v>
      </c>
      <c r="EAM22">
        <v>225</v>
      </c>
      <c r="EAN22">
        <v>225.99</v>
      </c>
      <c r="EAO22">
        <v>226</v>
      </c>
      <c r="EAP22">
        <v>226</v>
      </c>
      <c r="EAQ22">
        <v>226</v>
      </c>
      <c r="EAR22">
        <v>226.96</v>
      </c>
      <c r="EAS22">
        <v>226.98</v>
      </c>
      <c r="EAT22">
        <v>227</v>
      </c>
      <c r="EAU22">
        <v>228</v>
      </c>
      <c r="EAV22">
        <v>228.98</v>
      </c>
      <c r="EAW22">
        <v>228.99</v>
      </c>
      <c r="EAX22">
        <v>228.99</v>
      </c>
      <c r="EAY22">
        <v>229</v>
      </c>
      <c r="EAZ22">
        <v>229.98</v>
      </c>
      <c r="EBA22">
        <v>229.99</v>
      </c>
      <c r="EBB22">
        <v>230</v>
      </c>
      <c r="EBC22">
        <v>230</v>
      </c>
      <c r="EBD22">
        <v>230</v>
      </c>
      <c r="EBE22">
        <v>230.98</v>
      </c>
      <c r="EBF22">
        <v>230.98</v>
      </c>
      <c r="EBG22">
        <v>231.99</v>
      </c>
      <c r="EBH22">
        <v>231.99</v>
      </c>
      <c r="EBI22">
        <v>232</v>
      </c>
      <c r="EBJ22">
        <v>232.99</v>
      </c>
      <c r="EBK22">
        <v>233.97</v>
      </c>
      <c r="EBL22">
        <v>233.97</v>
      </c>
      <c r="EBM22">
        <v>233.99</v>
      </c>
      <c r="EBN22">
        <v>233.99</v>
      </c>
      <c r="EBO22">
        <v>233.99</v>
      </c>
      <c r="EBP22">
        <v>234</v>
      </c>
      <c r="EBQ22">
        <v>234.98</v>
      </c>
      <c r="EBR22">
        <v>234.99</v>
      </c>
      <c r="EBS22">
        <v>235</v>
      </c>
      <c r="EBT22">
        <v>235</v>
      </c>
      <c r="EBU22">
        <v>235</v>
      </c>
      <c r="EBV22">
        <v>235</v>
      </c>
      <c r="EBW22">
        <v>235.99</v>
      </c>
      <c r="EBX22">
        <v>236</v>
      </c>
      <c r="EBY22">
        <v>237.98</v>
      </c>
      <c r="EBZ22">
        <v>238</v>
      </c>
      <c r="ECA22">
        <v>238.99</v>
      </c>
      <c r="ECB22">
        <v>239.01</v>
      </c>
      <c r="ECC22">
        <v>239.95</v>
      </c>
      <c r="ECD22">
        <v>240</v>
      </c>
      <c r="ECE22">
        <v>240</v>
      </c>
      <c r="ECF22">
        <v>240.28</v>
      </c>
      <c r="ECG22">
        <v>240.98</v>
      </c>
      <c r="ECH22">
        <v>241</v>
      </c>
      <c r="ECI22">
        <v>241</v>
      </c>
      <c r="ECJ22">
        <v>241</v>
      </c>
      <c r="ECK22">
        <v>241.51</v>
      </c>
      <c r="ECL22">
        <v>241.98</v>
      </c>
      <c r="ECM22">
        <v>241.99</v>
      </c>
      <c r="ECN22">
        <v>242</v>
      </c>
      <c r="ECO22">
        <v>242.99</v>
      </c>
      <c r="ECP22">
        <v>242.99</v>
      </c>
      <c r="ECQ22">
        <v>243</v>
      </c>
      <c r="ECR22">
        <v>243</v>
      </c>
      <c r="ECS22">
        <v>243.99</v>
      </c>
      <c r="ECT22">
        <v>243.99</v>
      </c>
      <c r="ECU22">
        <v>244</v>
      </c>
      <c r="ECV22">
        <v>244</v>
      </c>
      <c r="ECW22">
        <v>244</v>
      </c>
      <c r="ECX22">
        <v>245.96</v>
      </c>
      <c r="ECY22">
        <v>245.99</v>
      </c>
      <c r="ECZ22">
        <v>245.99</v>
      </c>
      <c r="EDA22">
        <v>246.99</v>
      </c>
      <c r="EDB22">
        <v>247.05</v>
      </c>
      <c r="EDC22">
        <v>247.99</v>
      </c>
      <c r="EDD22">
        <v>247.99</v>
      </c>
      <c r="EDE22">
        <v>248</v>
      </c>
      <c r="EDF22">
        <v>248.92</v>
      </c>
      <c r="EDG22">
        <v>248.99</v>
      </c>
      <c r="EDH22">
        <v>249.99</v>
      </c>
      <c r="EDI22">
        <v>250</v>
      </c>
      <c r="EDJ22">
        <v>250.99</v>
      </c>
      <c r="EDK22">
        <v>251</v>
      </c>
      <c r="EDL22">
        <v>251.01</v>
      </c>
      <c r="EDM22">
        <v>251.98</v>
      </c>
      <c r="EDN22">
        <v>251.99</v>
      </c>
      <c r="EDO22">
        <v>252</v>
      </c>
      <c r="EDP22">
        <v>252.96</v>
      </c>
      <c r="EDQ22">
        <v>252.98</v>
      </c>
      <c r="EDR22">
        <v>253</v>
      </c>
      <c r="EDS22">
        <v>253.99</v>
      </c>
      <c r="EDT22">
        <v>254</v>
      </c>
      <c r="EDU22">
        <v>254</v>
      </c>
      <c r="EDV22">
        <v>255</v>
      </c>
      <c r="EDW22">
        <v>255.02</v>
      </c>
      <c r="EDX22">
        <v>255.32999999999899</v>
      </c>
      <c r="EDY22">
        <v>255.98</v>
      </c>
      <c r="EDZ22">
        <v>255.99</v>
      </c>
      <c r="EEA22">
        <v>255.99</v>
      </c>
      <c r="EEB22">
        <v>256</v>
      </c>
      <c r="EEC22">
        <v>256</v>
      </c>
      <c r="EED22">
        <v>256.99</v>
      </c>
      <c r="EEE22">
        <v>257</v>
      </c>
      <c r="EEF22">
        <v>257.95999999999998</v>
      </c>
      <c r="EEG22">
        <v>257.95999999999998</v>
      </c>
      <c r="EEH22">
        <v>258</v>
      </c>
      <c r="EEI22">
        <v>258</v>
      </c>
      <c r="EEJ22">
        <v>258</v>
      </c>
      <c r="EEK22">
        <v>258</v>
      </c>
      <c r="EEL22">
        <v>258.92</v>
      </c>
      <c r="EEM22">
        <v>258.98</v>
      </c>
      <c r="EEN22">
        <v>258.98</v>
      </c>
      <c r="EEO22">
        <v>258.99</v>
      </c>
      <c r="EEP22">
        <v>259.99</v>
      </c>
      <c r="EEQ22">
        <v>259.99</v>
      </c>
      <c r="EER22">
        <v>260</v>
      </c>
      <c r="EES22">
        <v>260</v>
      </c>
      <c r="EET22">
        <v>260.99</v>
      </c>
      <c r="EEU22">
        <v>260.99</v>
      </c>
      <c r="EEV22">
        <v>261.99</v>
      </c>
      <c r="EEW22">
        <v>261.99</v>
      </c>
      <c r="EEX22">
        <v>261.99</v>
      </c>
      <c r="EEY22">
        <v>261.99</v>
      </c>
      <c r="EEZ22">
        <v>261.99</v>
      </c>
      <c r="EFA22">
        <v>261.99</v>
      </c>
      <c r="EFB22">
        <v>262</v>
      </c>
      <c r="EFC22">
        <v>262.99</v>
      </c>
      <c r="EFD22">
        <v>262.99</v>
      </c>
      <c r="EFE22">
        <v>263.99</v>
      </c>
      <c r="EFF22">
        <v>264.99</v>
      </c>
      <c r="EFG22">
        <v>264.99</v>
      </c>
      <c r="EFH22">
        <v>264.99</v>
      </c>
      <c r="EFI22">
        <v>265</v>
      </c>
      <c r="EFJ22">
        <v>265.99</v>
      </c>
      <c r="EFK22">
        <v>265.99</v>
      </c>
      <c r="EFL22">
        <v>265.99</v>
      </c>
      <c r="EFM22">
        <v>266</v>
      </c>
      <c r="EFN22">
        <v>266</v>
      </c>
      <c r="EFO22">
        <v>266.99</v>
      </c>
      <c r="EFP22">
        <v>267.01</v>
      </c>
      <c r="EFQ22">
        <v>267.95999999999998</v>
      </c>
      <c r="EFR22">
        <v>267.99</v>
      </c>
      <c r="EFS22">
        <v>268</v>
      </c>
      <c r="EFT22">
        <v>268</v>
      </c>
      <c r="EFU22">
        <v>268.98</v>
      </c>
      <c r="EFV22">
        <v>268.99</v>
      </c>
      <c r="EFW22">
        <v>268.99</v>
      </c>
      <c r="EFX22">
        <v>268.99</v>
      </c>
      <c r="EFY22">
        <v>269</v>
      </c>
      <c r="EFZ22">
        <v>269</v>
      </c>
      <c r="EGA22">
        <v>269.98</v>
      </c>
      <c r="EGB22">
        <v>270</v>
      </c>
      <c r="EGC22">
        <v>270</v>
      </c>
      <c r="EGD22">
        <v>271</v>
      </c>
      <c r="EGE22">
        <v>271</v>
      </c>
      <c r="EGF22">
        <v>271.99</v>
      </c>
      <c r="EGG22">
        <v>273</v>
      </c>
      <c r="EGH22">
        <v>273</v>
      </c>
      <c r="EGI22">
        <v>273</v>
      </c>
      <c r="EGJ22">
        <v>273.98</v>
      </c>
      <c r="EGK22">
        <v>273.99</v>
      </c>
      <c r="EGL22">
        <v>273.99</v>
      </c>
      <c r="EGM22">
        <v>274.99</v>
      </c>
      <c r="EGN22">
        <v>275</v>
      </c>
      <c r="EGO22">
        <v>275.99</v>
      </c>
      <c r="EGP22">
        <v>276.01</v>
      </c>
      <c r="EGQ22">
        <v>276.99</v>
      </c>
      <c r="EGR22">
        <v>277</v>
      </c>
      <c r="EGS22">
        <v>277.97000000000003</v>
      </c>
      <c r="EGT22">
        <v>278</v>
      </c>
      <c r="EGU22">
        <v>279.99</v>
      </c>
      <c r="EGV22">
        <v>279.99</v>
      </c>
      <c r="EGW22">
        <v>280.83999999999997</v>
      </c>
      <c r="EGX22">
        <v>280.97000000000003</v>
      </c>
      <c r="EGY22">
        <v>280.98</v>
      </c>
      <c r="EGZ22">
        <v>281</v>
      </c>
      <c r="EHA22">
        <v>281.99</v>
      </c>
      <c r="EHB22">
        <v>282</v>
      </c>
      <c r="EHC22">
        <v>282</v>
      </c>
      <c r="EHD22">
        <v>282.99</v>
      </c>
      <c r="EHE22">
        <v>283.99</v>
      </c>
      <c r="EHF22">
        <v>284</v>
      </c>
      <c r="EHG22">
        <v>284.99</v>
      </c>
      <c r="EHH22">
        <v>285</v>
      </c>
      <c r="EHI22">
        <v>285.98</v>
      </c>
      <c r="EHJ22">
        <v>285.99</v>
      </c>
      <c r="EHK22">
        <v>285.99</v>
      </c>
      <c r="EHL22">
        <v>286</v>
      </c>
      <c r="EHM22">
        <v>286.98</v>
      </c>
      <c r="EHN22">
        <v>286.99</v>
      </c>
      <c r="EHO22">
        <v>286.99</v>
      </c>
      <c r="EHP22">
        <v>287</v>
      </c>
      <c r="EHQ22">
        <v>288</v>
      </c>
      <c r="EHR22">
        <v>288.99</v>
      </c>
      <c r="EHS22">
        <v>289</v>
      </c>
      <c r="EHT22">
        <v>289.89999999999998</v>
      </c>
      <c r="EHU22">
        <v>290</v>
      </c>
      <c r="EHV22">
        <v>290.98</v>
      </c>
      <c r="EHW22">
        <v>290.99</v>
      </c>
      <c r="EHX22">
        <v>291.99</v>
      </c>
      <c r="EHY22">
        <v>292.91000000000003</v>
      </c>
      <c r="EHZ22">
        <v>292.99</v>
      </c>
      <c r="EIA22">
        <v>294</v>
      </c>
      <c r="EIB22">
        <v>294</v>
      </c>
      <c r="EIC22">
        <v>294.99</v>
      </c>
      <c r="EID22">
        <v>295</v>
      </c>
      <c r="EIE22">
        <v>295.99</v>
      </c>
      <c r="EIF22">
        <v>296.99</v>
      </c>
      <c r="EIG22">
        <v>297</v>
      </c>
      <c r="EIH22">
        <v>297</v>
      </c>
      <c r="EII22">
        <v>297.01</v>
      </c>
      <c r="EIJ22">
        <v>298</v>
      </c>
      <c r="EIK22">
        <v>298</v>
      </c>
      <c r="EIL22">
        <v>298</v>
      </c>
      <c r="EIM22">
        <v>298</v>
      </c>
      <c r="EIN22">
        <v>298.02</v>
      </c>
      <c r="EIO22">
        <v>299</v>
      </c>
      <c r="EIP22">
        <v>299</v>
      </c>
      <c r="EIQ22">
        <v>299.97000000000003</v>
      </c>
      <c r="EIR22">
        <v>300.99</v>
      </c>
      <c r="EIS22">
        <v>300.99</v>
      </c>
      <c r="EIT22">
        <v>301.98</v>
      </c>
      <c r="EIU22">
        <v>302.97000000000003</v>
      </c>
      <c r="EIV22">
        <v>302.99</v>
      </c>
      <c r="EIW22">
        <v>302.99</v>
      </c>
      <c r="EIX22">
        <v>303.98</v>
      </c>
      <c r="EIY22">
        <v>303.98</v>
      </c>
      <c r="EIZ22">
        <v>303.98</v>
      </c>
      <c r="EJA22">
        <v>304</v>
      </c>
      <c r="EJB22">
        <v>304.10000000000002</v>
      </c>
      <c r="EJC22">
        <v>304.81</v>
      </c>
      <c r="EJD22">
        <v>304.95</v>
      </c>
      <c r="EJE22">
        <v>304.99</v>
      </c>
      <c r="EJF22">
        <v>305</v>
      </c>
      <c r="EJG22">
        <v>305.95</v>
      </c>
      <c r="EJH22">
        <v>305.99</v>
      </c>
      <c r="EJI22">
        <v>306</v>
      </c>
      <c r="EJJ22">
        <v>307</v>
      </c>
      <c r="EJK22">
        <v>307</v>
      </c>
      <c r="EJL22">
        <v>308.99</v>
      </c>
      <c r="EJM22">
        <v>308.99</v>
      </c>
      <c r="EJN22">
        <v>309.98</v>
      </c>
      <c r="EJO22">
        <v>309.99</v>
      </c>
      <c r="EJP22">
        <v>310</v>
      </c>
      <c r="EJQ22">
        <v>310</v>
      </c>
      <c r="EJR22">
        <v>311.95</v>
      </c>
      <c r="EJS22">
        <v>311.99</v>
      </c>
      <c r="EJT22">
        <v>311.99</v>
      </c>
      <c r="EJU22">
        <v>311.99</v>
      </c>
      <c r="EJV22">
        <v>311.99</v>
      </c>
      <c r="EJW22">
        <v>313</v>
      </c>
      <c r="EJX22">
        <v>314</v>
      </c>
      <c r="EJY22">
        <v>314.98</v>
      </c>
      <c r="EJZ22">
        <v>314.98</v>
      </c>
      <c r="EKA22">
        <v>314.98</v>
      </c>
      <c r="EKB22">
        <v>315.98</v>
      </c>
      <c r="EKC22">
        <v>315.99</v>
      </c>
      <c r="EKD22">
        <v>316</v>
      </c>
      <c r="EKE22">
        <v>316.02</v>
      </c>
      <c r="EKF22">
        <v>316.97000000000003</v>
      </c>
      <c r="EKG22">
        <v>317.95999999999998</v>
      </c>
      <c r="EKH22">
        <v>317.99</v>
      </c>
      <c r="EKI22">
        <v>318.95</v>
      </c>
      <c r="EKJ22">
        <v>318.99</v>
      </c>
      <c r="EKK22">
        <v>319</v>
      </c>
      <c r="EKL22">
        <v>320.94</v>
      </c>
      <c r="EKM22">
        <v>320.98</v>
      </c>
      <c r="EKN22">
        <v>320.98</v>
      </c>
      <c r="EKO22">
        <v>321.98</v>
      </c>
      <c r="EKP22">
        <v>321.99</v>
      </c>
      <c r="EKQ22">
        <v>322</v>
      </c>
      <c r="EKR22">
        <v>322.99</v>
      </c>
      <c r="EKS22">
        <v>323.98</v>
      </c>
      <c r="EKT22">
        <v>323.98</v>
      </c>
      <c r="EKU22">
        <v>324.99</v>
      </c>
      <c r="EKV22">
        <v>324.99</v>
      </c>
      <c r="EKW22">
        <v>324.99</v>
      </c>
      <c r="EKX22">
        <v>325</v>
      </c>
      <c r="EKY22">
        <v>325</v>
      </c>
      <c r="EKZ22">
        <v>325</v>
      </c>
      <c r="ELA22">
        <v>325.98</v>
      </c>
      <c r="ELB22">
        <v>325.98</v>
      </c>
      <c r="ELC22">
        <v>326</v>
      </c>
      <c r="ELD22">
        <v>326.01</v>
      </c>
      <c r="ELE22">
        <v>326.98</v>
      </c>
      <c r="ELF22">
        <v>326.99</v>
      </c>
      <c r="ELG22">
        <v>327</v>
      </c>
      <c r="ELH22">
        <v>328.98</v>
      </c>
      <c r="ELI22">
        <v>328.99</v>
      </c>
      <c r="ELJ22">
        <v>328.99</v>
      </c>
      <c r="ELK22">
        <v>329</v>
      </c>
      <c r="ELL22">
        <v>329.95</v>
      </c>
      <c r="ELM22">
        <v>329.98</v>
      </c>
      <c r="ELN22">
        <v>329.99</v>
      </c>
      <c r="ELO22">
        <v>330</v>
      </c>
      <c r="ELP22">
        <v>331.94</v>
      </c>
      <c r="ELQ22">
        <v>331.98</v>
      </c>
      <c r="ELR22">
        <v>331.98</v>
      </c>
      <c r="ELS22">
        <v>331.99</v>
      </c>
      <c r="ELT22">
        <v>331.99</v>
      </c>
      <c r="ELU22">
        <v>333.98</v>
      </c>
      <c r="ELV22">
        <v>333.99</v>
      </c>
      <c r="ELW22">
        <v>335.99</v>
      </c>
      <c r="ELX22">
        <v>336</v>
      </c>
      <c r="ELY22">
        <v>336.09</v>
      </c>
      <c r="ELZ22">
        <v>336.99</v>
      </c>
      <c r="EMA22">
        <v>337.99</v>
      </c>
      <c r="EMB22">
        <v>337.99</v>
      </c>
      <c r="EMC22">
        <v>338</v>
      </c>
      <c r="EMD22">
        <v>338.98</v>
      </c>
      <c r="EME22">
        <v>339</v>
      </c>
      <c r="EMF22">
        <v>339.96</v>
      </c>
      <c r="EMG22">
        <v>340.99</v>
      </c>
      <c r="EMH22">
        <v>341</v>
      </c>
      <c r="EMI22">
        <v>342.98</v>
      </c>
      <c r="EMJ22">
        <v>342.99</v>
      </c>
      <c r="EMK22">
        <v>343</v>
      </c>
      <c r="EML22">
        <v>343</v>
      </c>
      <c r="EMM22">
        <v>343.84</v>
      </c>
      <c r="EMN22">
        <v>343.99</v>
      </c>
      <c r="EMO22">
        <v>343.99</v>
      </c>
      <c r="EMP22">
        <v>343.99</v>
      </c>
      <c r="EMQ22">
        <v>345</v>
      </c>
      <c r="EMR22">
        <v>345.99</v>
      </c>
      <c r="EMS22">
        <v>346</v>
      </c>
      <c r="EMT22">
        <v>346</v>
      </c>
      <c r="EMU22">
        <v>346.99</v>
      </c>
      <c r="EMV22">
        <v>346.99</v>
      </c>
      <c r="EMW22">
        <v>346.99</v>
      </c>
      <c r="EMX22">
        <v>347.98</v>
      </c>
      <c r="EMY22">
        <v>349.98</v>
      </c>
      <c r="EMZ22">
        <v>349.99</v>
      </c>
      <c r="ENA22">
        <v>349.99</v>
      </c>
      <c r="ENB22">
        <v>349.99</v>
      </c>
      <c r="ENC22">
        <v>350.99</v>
      </c>
      <c r="END22">
        <v>351.98</v>
      </c>
      <c r="ENE22">
        <v>352.99</v>
      </c>
      <c r="ENF22">
        <v>353.96</v>
      </c>
      <c r="ENG22">
        <v>354.96</v>
      </c>
      <c r="ENH22">
        <v>354.97</v>
      </c>
      <c r="ENI22">
        <v>354.99</v>
      </c>
      <c r="ENJ22">
        <v>355</v>
      </c>
      <c r="ENK22">
        <v>355.98</v>
      </c>
      <c r="ENL22">
        <v>355.99</v>
      </c>
      <c r="ENM22">
        <v>357.99</v>
      </c>
      <c r="ENN22">
        <v>358</v>
      </c>
      <c r="ENO22">
        <v>358</v>
      </c>
      <c r="ENP22">
        <v>358.039999999999</v>
      </c>
      <c r="ENQ22">
        <v>359</v>
      </c>
      <c r="ENR22">
        <v>359.99</v>
      </c>
      <c r="ENS22">
        <v>360</v>
      </c>
      <c r="ENT22">
        <v>360</v>
      </c>
      <c r="ENU22">
        <v>360.98</v>
      </c>
      <c r="ENV22">
        <v>360.99</v>
      </c>
      <c r="ENW22">
        <v>361.94</v>
      </c>
      <c r="ENX22">
        <v>361.97</v>
      </c>
      <c r="ENY22">
        <v>361.99</v>
      </c>
      <c r="ENZ22">
        <v>361.99</v>
      </c>
      <c r="EOA22">
        <v>362.95</v>
      </c>
      <c r="EOB22">
        <v>363.99</v>
      </c>
      <c r="EOC22">
        <v>364.9</v>
      </c>
      <c r="EOD22">
        <v>364.98</v>
      </c>
      <c r="EOE22">
        <v>365.99</v>
      </c>
      <c r="EOF22">
        <v>366</v>
      </c>
      <c r="EOG22">
        <v>367.98</v>
      </c>
      <c r="EOH22">
        <v>368.92</v>
      </c>
      <c r="EOI22">
        <v>369</v>
      </c>
      <c r="EOJ22">
        <v>369.98</v>
      </c>
      <c r="EOK22">
        <v>369.99</v>
      </c>
      <c r="EOL22">
        <v>369.99</v>
      </c>
      <c r="EOM22">
        <v>372.01</v>
      </c>
      <c r="EON22">
        <v>372.98</v>
      </c>
      <c r="EOO22">
        <v>372.98</v>
      </c>
      <c r="EOP22">
        <v>372.99</v>
      </c>
      <c r="EOQ22">
        <v>372.99</v>
      </c>
      <c r="EOR22">
        <v>373.98</v>
      </c>
      <c r="EOS22">
        <v>373.99</v>
      </c>
      <c r="EOT22">
        <v>374</v>
      </c>
      <c r="EOU22">
        <v>374</v>
      </c>
      <c r="EOV22">
        <v>374.99</v>
      </c>
      <c r="EOW22">
        <v>375.99</v>
      </c>
      <c r="EOX22">
        <v>376.96</v>
      </c>
      <c r="EOY22">
        <v>377</v>
      </c>
      <c r="EOZ22">
        <v>377.98</v>
      </c>
      <c r="EPA22">
        <v>378.96</v>
      </c>
      <c r="EPB22">
        <v>378.99</v>
      </c>
      <c r="EPC22">
        <v>379</v>
      </c>
      <c r="EPD22">
        <v>379.88</v>
      </c>
      <c r="EPE22">
        <v>379.97</v>
      </c>
      <c r="EPF22">
        <v>379.98</v>
      </c>
      <c r="EPG22">
        <v>379.99</v>
      </c>
      <c r="EPH22">
        <v>380.99</v>
      </c>
      <c r="EPI22">
        <v>381.98</v>
      </c>
      <c r="EPJ22">
        <v>381.98</v>
      </c>
      <c r="EPK22">
        <v>382</v>
      </c>
      <c r="EPL22">
        <v>382.99</v>
      </c>
      <c r="EPM22">
        <v>383</v>
      </c>
      <c r="EPN22">
        <v>383.98</v>
      </c>
      <c r="EPO22">
        <v>383.98</v>
      </c>
      <c r="EPP22">
        <v>384.98</v>
      </c>
      <c r="EPQ22">
        <v>384.99</v>
      </c>
      <c r="EPR22">
        <v>385.01</v>
      </c>
      <c r="EPS22">
        <v>385.98</v>
      </c>
      <c r="EPT22">
        <v>385.99</v>
      </c>
      <c r="EPU22">
        <v>386.96</v>
      </c>
      <c r="EPV22">
        <v>386.99</v>
      </c>
      <c r="EPW22">
        <v>387</v>
      </c>
      <c r="EPX22">
        <v>387.99</v>
      </c>
      <c r="EPY22">
        <v>387.99</v>
      </c>
      <c r="EPZ22">
        <v>388</v>
      </c>
      <c r="EQA22">
        <v>388.98</v>
      </c>
      <c r="EQB22">
        <v>388.98</v>
      </c>
      <c r="EQC22">
        <v>388.98</v>
      </c>
      <c r="EQD22">
        <v>389.99</v>
      </c>
      <c r="EQE22">
        <v>390</v>
      </c>
      <c r="EQF22">
        <v>390.98</v>
      </c>
      <c r="EQG22">
        <v>390.98</v>
      </c>
      <c r="EQH22">
        <v>390.98</v>
      </c>
      <c r="EQI22">
        <v>390.99</v>
      </c>
      <c r="EQJ22">
        <v>391</v>
      </c>
      <c r="EQK22">
        <v>391.71</v>
      </c>
      <c r="EQL22">
        <v>391.98</v>
      </c>
      <c r="EQM22">
        <v>391.98</v>
      </c>
      <c r="EQN22">
        <v>392</v>
      </c>
      <c r="EQO22">
        <v>392.98</v>
      </c>
      <c r="EQP22">
        <v>392.98</v>
      </c>
      <c r="EQQ22">
        <v>393</v>
      </c>
      <c r="EQR22">
        <v>393.98</v>
      </c>
      <c r="EQS22">
        <v>393.99</v>
      </c>
      <c r="EQT22">
        <v>394</v>
      </c>
      <c r="EQU22">
        <v>394.98</v>
      </c>
      <c r="EQV22">
        <v>395.98</v>
      </c>
      <c r="EQW22">
        <v>395.99</v>
      </c>
      <c r="EQX22">
        <v>396.99</v>
      </c>
      <c r="EQY22">
        <v>397</v>
      </c>
      <c r="EQZ22">
        <v>397.96</v>
      </c>
      <c r="ERA22">
        <v>397.97</v>
      </c>
      <c r="ERB22">
        <v>398</v>
      </c>
      <c r="ERC22">
        <v>398.99</v>
      </c>
      <c r="ERD22">
        <v>399.98</v>
      </c>
      <c r="ERE22">
        <v>400</v>
      </c>
      <c r="ERF22">
        <v>400.97</v>
      </c>
      <c r="ERG22">
        <v>400.98</v>
      </c>
      <c r="ERH22">
        <v>400.99</v>
      </c>
      <c r="ERI22">
        <v>401.01</v>
      </c>
      <c r="ERJ22">
        <v>402.96</v>
      </c>
      <c r="ERK22">
        <v>402.98</v>
      </c>
      <c r="ERL22">
        <v>403</v>
      </c>
      <c r="ERM22">
        <v>403.01</v>
      </c>
      <c r="ERN22">
        <v>405.96</v>
      </c>
      <c r="ERO22">
        <v>405.98</v>
      </c>
      <c r="ERP22">
        <v>405.98</v>
      </c>
      <c r="ERQ22">
        <v>406.99</v>
      </c>
      <c r="ERR22">
        <v>407.01</v>
      </c>
      <c r="ERS22">
        <v>407.95</v>
      </c>
      <c r="ERT22">
        <v>408.96</v>
      </c>
      <c r="ERU22">
        <v>408.99</v>
      </c>
      <c r="ERV22">
        <v>409</v>
      </c>
      <c r="ERW22">
        <v>409.99</v>
      </c>
      <c r="ERX22">
        <v>410</v>
      </c>
      <c r="ERY22">
        <v>410.11</v>
      </c>
      <c r="ERZ22">
        <v>411.98</v>
      </c>
      <c r="ESA22">
        <v>411.99</v>
      </c>
      <c r="ESB22">
        <v>412.99</v>
      </c>
      <c r="ESC22">
        <v>413.95</v>
      </c>
      <c r="ESD22">
        <v>416.96</v>
      </c>
      <c r="ESE22">
        <v>417.99</v>
      </c>
      <c r="ESF22">
        <v>418</v>
      </c>
      <c r="ESG22">
        <v>419</v>
      </c>
      <c r="ESH22">
        <v>421.98</v>
      </c>
      <c r="ESI22">
        <v>422.96</v>
      </c>
      <c r="ESJ22">
        <v>422.99</v>
      </c>
      <c r="ESK22">
        <v>423</v>
      </c>
      <c r="ESL22">
        <v>423.98</v>
      </c>
      <c r="ESM22">
        <v>424.97</v>
      </c>
      <c r="ESN22">
        <v>424.98</v>
      </c>
      <c r="ESO22">
        <v>424.99</v>
      </c>
      <c r="ESP22">
        <v>425</v>
      </c>
      <c r="ESQ22">
        <v>425</v>
      </c>
      <c r="ESR22">
        <v>425</v>
      </c>
      <c r="ESS22">
        <v>425.98</v>
      </c>
      <c r="EST22">
        <v>425.99</v>
      </c>
      <c r="ESU22">
        <v>426</v>
      </c>
      <c r="ESV22">
        <v>426.99</v>
      </c>
      <c r="ESW22">
        <v>427</v>
      </c>
      <c r="ESX22">
        <v>427</v>
      </c>
      <c r="ESY22">
        <v>427.96</v>
      </c>
      <c r="ESZ22">
        <v>427.99</v>
      </c>
      <c r="ETA22">
        <v>428</v>
      </c>
      <c r="ETB22">
        <v>428.98</v>
      </c>
      <c r="ETC22">
        <v>429.99</v>
      </c>
      <c r="ETD22">
        <v>430</v>
      </c>
      <c r="ETE22">
        <v>430.01</v>
      </c>
      <c r="ETF22">
        <v>430.96</v>
      </c>
      <c r="ETG22">
        <v>432</v>
      </c>
      <c r="ETH22">
        <v>432.97</v>
      </c>
      <c r="ETI22">
        <v>433.99</v>
      </c>
      <c r="ETJ22">
        <v>434</v>
      </c>
      <c r="ETK22">
        <v>435.98</v>
      </c>
      <c r="ETL22">
        <v>435.99</v>
      </c>
      <c r="ETM22">
        <v>435.99</v>
      </c>
      <c r="ETN22">
        <v>437</v>
      </c>
      <c r="ETO22">
        <v>437.98</v>
      </c>
      <c r="ETP22">
        <v>437.98</v>
      </c>
      <c r="ETQ22">
        <v>438.98</v>
      </c>
      <c r="ETR22">
        <v>439.01</v>
      </c>
      <c r="ETS22">
        <v>440.97</v>
      </c>
      <c r="ETT22">
        <v>440.99</v>
      </c>
      <c r="ETU22">
        <v>440.99</v>
      </c>
      <c r="ETV22">
        <v>441.01</v>
      </c>
      <c r="ETW22">
        <v>441.98</v>
      </c>
      <c r="ETX22">
        <v>441.98</v>
      </c>
      <c r="ETY22">
        <v>441.99</v>
      </c>
      <c r="ETZ22">
        <v>441.99</v>
      </c>
      <c r="EUA22">
        <v>442.01</v>
      </c>
      <c r="EUB22">
        <v>443.99</v>
      </c>
      <c r="EUC22">
        <v>445.01</v>
      </c>
      <c r="EUD22">
        <v>445.87</v>
      </c>
      <c r="EUE22">
        <v>445.99</v>
      </c>
      <c r="EUF22">
        <v>446</v>
      </c>
      <c r="EUG22">
        <v>446.92</v>
      </c>
      <c r="EUH22">
        <v>446.99</v>
      </c>
      <c r="EUI22">
        <v>447.01</v>
      </c>
      <c r="EUJ22">
        <v>448.99</v>
      </c>
      <c r="EUK22">
        <v>450</v>
      </c>
      <c r="EUL22">
        <v>451.99</v>
      </c>
      <c r="EUM22">
        <v>451.99</v>
      </c>
      <c r="EUN22">
        <v>451.99</v>
      </c>
      <c r="EUO22">
        <v>452.98</v>
      </c>
      <c r="EUP22">
        <v>452.99</v>
      </c>
      <c r="EUQ22">
        <v>453.95</v>
      </c>
      <c r="EUR22">
        <v>453.98</v>
      </c>
      <c r="EUS22">
        <v>454</v>
      </c>
      <c r="EUT22">
        <v>454.98</v>
      </c>
      <c r="EUU22">
        <v>454.99</v>
      </c>
      <c r="EUV22">
        <v>456.01</v>
      </c>
      <c r="EUW22">
        <v>456.97</v>
      </c>
      <c r="EUX22">
        <v>457</v>
      </c>
      <c r="EUY22">
        <v>457.97</v>
      </c>
      <c r="EUZ22">
        <v>457.98</v>
      </c>
      <c r="EVA22">
        <v>458</v>
      </c>
      <c r="EVB22">
        <v>459</v>
      </c>
      <c r="EVC22">
        <v>460</v>
      </c>
      <c r="EVD22">
        <v>461.99</v>
      </c>
      <c r="EVE22">
        <v>462.98</v>
      </c>
      <c r="EVF22">
        <v>463</v>
      </c>
      <c r="EVG22">
        <v>464.98</v>
      </c>
      <c r="EVH22">
        <v>465.99</v>
      </c>
      <c r="EVI22">
        <v>468.99</v>
      </c>
      <c r="EVJ22">
        <v>470</v>
      </c>
      <c r="EVK22">
        <v>470.98</v>
      </c>
      <c r="EVL22">
        <v>471.93</v>
      </c>
      <c r="EVM22">
        <v>471.98</v>
      </c>
      <c r="EVN22">
        <v>471.99</v>
      </c>
      <c r="EVO22">
        <v>472.98</v>
      </c>
      <c r="EVP22">
        <v>472.99</v>
      </c>
      <c r="EVQ22">
        <v>474.98</v>
      </c>
      <c r="EVR22">
        <v>474.98</v>
      </c>
      <c r="EVS22">
        <v>476.98</v>
      </c>
      <c r="EVT22">
        <v>476.98</v>
      </c>
      <c r="EVU22">
        <v>476.99</v>
      </c>
      <c r="EVV22">
        <v>476.99</v>
      </c>
      <c r="EVW22">
        <v>476.99</v>
      </c>
      <c r="EVX22">
        <v>477.96</v>
      </c>
      <c r="EVY22">
        <v>477.98</v>
      </c>
      <c r="EVZ22">
        <v>477.99</v>
      </c>
      <c r="EWA22">
        <v>478.95</v>
      </c>
      <c r="EWB22">
        <v>479.95</v>
      </c>
      <c r="EWC22">
        <v>479.99</v>
      </c>
      <c r="EWD22">
        <v>480.99</v>
      </c>
      <c r="EWE22">
        <v>481.01</v>
      </c>
      <c r="EWF22">
        <v>481.97</v>
      </c>
      <c r="EWG22">
        <v>481.98</v>
      </c>
      <c r="EWH22">
        <v>482.99</v>
      </c>
      <c r="EWI22">
        <v>483.98</v>
      </c>
      <c r="EWJ22">
        <v>483.98</v>
      </c>
      <c r="EWK22">
        <v>485.95</v>
      </c>
      <c r="EWL22">
        <v>485.98</v>
      </c>
      <c r="EWM22">
        <v>486</v>
      </c>
      <c r="EWN22">
        <v>487</v>
      </c>
      <c r="EWO22">
        <v>487.99</v>
      </c>
      <c r="EWP22">
        <v>487.99</v>
      </c>
      <c r="EWQ22">
        <v>488.99</v>
      </c>
      <c r="EWR22">
        <v>489</v>
      </c>
      <c r="EWS22">
        <v>489.97</v>
      </c>
      <c r="EWT22">
        <v>490</v>
      </c>
      <c r="EWU22">
        <v>491.98</v>
      </c>
      <c r="EWV22">
        <v>491.98</v>
      </c>
      <c r="EWW22">
        <v>493.98</v>
      </c>
      <c r="EWX22">
        <v>495.96</v>
      </c>
      <c r="EWY22">
        <v>496.16</v>
      </c>
      <c r="EWZ22">
        <v>498.99</v>
      </c>
      <c r="EXA22">
        <v>498.99</v>
      </c>
      <c r="EXB22">
        <v>499.99</v>
      </c>
      <c r="EXC22">
        <v>500.84</v>
      </c>
      <c r="EXD22">
        <v>500.96</v>
      </c>
      <c r="EXE22">
        <v>501.99</v>
      </c>
      <c r="EXF22">
        <v>501.99</v>
      </c>
      <c r="EXG22">
        <v>502.99</v>
      </c>
      <c r="EXH22">
        <v>502.99</v>
      </c>
      <c r="EXI22">
        <v>503.99</v>
      </c>
      <c r="EXJ22">
        <v>504.99</v>
      </c>
      <c r="EXK22">
        <v>505</v>
      </c>
      <c r="EXL22">
        <v>505.99</v>
      </c>
      <c r="EXM22">
        <v>507.95</v>
      </c>
      <c r="EXN22">
        <v>508</v>
      </c>
      <c r="EXO22">
        <v>508.99</v>
      </c>
      <c r="EXP22">
        <v>508.99</v>
      </c>
      <c r="EXQ22">
        <v>510</v>
      </c>
      <c r="EXR22">
        <v>510.01</v>
      </c>
      <c r="EXS22">
        <v>510.99</v>
      </c>
      <c r="EXT22">
        <v>512</v>
      </c>
      <c r="EXU22">
        <v>513.98</v>
      </c>
      <c r="EXV22">
        <v>513.99</v>
      </c>
      <c r="EXW22">
        <v>514.99</v>
      </c>
      <c r="EXX22">
        <v>516.95000000000005</v>
      </c>
      <c r="EXY22">
        <v>516.98</v>
      </c>
      <c r="EXZ22">
        <v>516.99</v>
      </c>
      <c r="EYA22">
        <v>517.99</v>
      </c>
      <c r="EYB22">
        <v>518.99</v>
      </c>
      <c r="EYC22">
        <v>518.99</v>
      </c>
      <c r="EYD22">
        <v>519</v>
      </c>
      <c r="EYE22">
        <v>519.98</v>
      </c>
      <c r="EYF22">
        <v>521.98</v>
      </c>
      <c r="EYG22">
        <v>522.96</v>
      </c>
      <c r="EYH22">
        <v>522.98</v>
      </c>
      <c r="EYI22">
        <v>523.99</v>
      </c>
      <c r="EYJ22">
        <v>523.99</v>
      </c>
      <c r="EYK22">
        <v>524.99</v>
      </c>
      <c r="EYL22">
        <v>525.95000000000005</v>
      </c>
      <c r="EYM22">
        <v>526.02</v>
      </c>
      <c r="EYN22">
        <v>527.95000000000005</v>
      </c>
      <c r="EYO22">
        <v>527.95000000000005</v>
      </c>
      <c r="EYP22">
        <v>527.99</v>
      </c>
      <c r="EYQ22">
        <v>528.99</v>
      </c>
      <c r="EYR22">
        <v>529</v>
      </c>
      <c r="EYS22">
        <v>529.98</v>
      </c>
      <c r="EYT22">
        <v>530.01</v>
      </c>
      <c r="EYU22">
        <v>530.98</v>
      </c>
      <c r="EYV22">
        <v>530.98</v>
      </c>
      <c r="EYW22">
        <v>530.99</v>
      </c>
      <c r="EYX22">
        <v>531</v>
      </c>
      <c r="EYY22">
        <v>532.98</v>
      </c>
      <c r="EYZ22">
        <v>535.91999999999996</v>
      </c>
      <c r="EZA22">
        <v>535.96</v>
      </c>
      <c r="EZB22">
        <v>535.96</v>
      </c>
      <c r="EZC22">
        <v>536.99</v>
      </c>
      <c r="EZD22">
        <v>537</v>
      </c>
      <c r="EZE22">
        <v>537.29</v>
      </c>
      <c r="EZF22">
        <v>538.99</v>
      </c>
      <c r="EZG22">
        <v>541</v>
      </c>
      <c r="EZH22">
        <v>541.98</v>
      </c>
      <c r="EZI22">
        <v>542</v>
      </c>
      <c r="EZJ22">
        <v>542.99</v>
      </c>
      <c r="EZK22">
        <v>543.98</v>
      </c>
      <c r="EZL22">
        <v>544.01</v>
      </c>
      <c r="EZM22">
        <v>544.95000000000005</v>
      </c>
      <c r="EZN22">
        <v>546.96</v>
      </c>
      <c r="EZO22">
        <v>546.99</v>
      </c>
      <c r="EZP22">
        <v>546.99</v>
      </c>
      <c r="EZQ22">
        <v>549.96</v>
      </c>
      <c r="EZR22">
        <v>552</v>
      </c>
      <c r="EZS22">
        <v>552.01</v>
      </c>
      <c r="EZT22">
        <v>552.99</v>
      </c>
      <c r="EZU22">
        <v>553.01</v>
      </c>
      <c r="EZV22">
        <v>553.95000000000005</v>
      </c>
      <c r="EZW22">
        <v>553.96</v>
      </c>
      <c r="EZX22">
        <v>553.99</v>
      </c>
      <c r="EZY22">
        <v>555.98</v>
      </c>
      <c r="EZZ22">
        <v>555.99</v>
      </c>
      <c r="FAA22">
        <v>556.94000000000005</v>
      </c>
      <c r="FAB22">
        <v>556.98</v>
      </c>
      <c r="FAC22">
        <v>557.99</v>
      </c>
      <c r="FAD22">
        <v>559.98</v>
      </c>
      <c r="FAE22">
        <v>560.96</v>
      </c>
      <c r="FAF22">
        <v>560.97</v>
      </c>
      <c r="FAG22">
        <v>562</v>
      </c>
      <c r="FAH22">
        <v>562.97</v>
      </c>
      <c r="FAI22">
        <v>564</v>
      </c>
      <c r="FAJ22">
        <v>565.99</v>
      </c>
      <c r="FAK22">
        <v>567.96</v>
      </c>
      <c r="FAL22">
        <v>568.95000000000005</v>
      </c>
      <c r="FAM22">
        <v>568.99</v>
      </c>
      <c r="FAN22">
        <v>569.99</v>
      </c>
      <c r="FAO22">
        <v>570.98</v>
      </c>
      <c r="FAP22">
        <v>570.98</v>
      </c>
      <c r="FAQ22">
        <v>571.98</v>
      </c>
      <c r="FAR22">
        <v>571.98</v>
      </c>
      <c r="FAS22">
        <v>572.96</v>
      </c>
      <c r="FAT22">
        <v>575.84</v>
      </c>
      <c r="FAU22">
        <v>576.98</v>
      </c>
      <c r="FAV22">
        <v>578.98</v>
      </c>
      <c r="FAW22">
        <v>578.99</v>
      </c>
      <c r="FAX22">
        <v>579.96</v>
      </c>
      <c r="FAY22">
        <v>580.98</v>
      </c>
      <c r="FAZ22">
        <v>580.98</v>
      </c>
      <c r="FBA22">
        <v>581.98</v>
      </c>
      <c r="FBB22">
        <v>581.98</v>
      </c>
      <c r="FBC22">
        <v>581.98</v>
      </c>
      <c r="FBD22">
        <v>582</v>
      </c>
      <c r="FBE22">
        <v>584</v>
      </c>
      <c r="FBF22">
        <v>584.99</v>
      </c>
      <c r="FBG22">
        <v>586.01</v>
      </c>
      <c r="FBH22">
        <v>588</v>
      </c>
      <c r="FBI22">
        <v>591.98</v>
      </c>
      <c r="FBJ22">
        <v>592.01</v>
      </c>
      <c r="FBK22">
        <v>593.97</v>
      </c>
      <c r="FBL22">
        <v>593.99</v>
      </c>
      <c r="FBM22">
        <v>594.97</v>
      </c>
      <c r="FBN22">
        <v>595.99</v>
      </c>
      <c r="FBO22">
        <v>597.83000000000004</v>
      </c>
      <c r="FBP22">
        <v>597.95000000000005</v>
      </c>
      <c r="FBQ22">
        <v>597.96</v>
      </c>
      <c r="FBR22">
        <v>598.98</v>
      </c>
      <c r="FBS22">
        <v>599.98</v>
      </c>
      <c r="FBT22">
        <v>600</v>
      </c>
      <c r="FBU22">
        <v>602.96</v>
      </c>
      <c r="FBV22">
        <v>603.98</v>
      </c>
      <c r="FBW22">
        <v>604</v>
      </c>
      <c r="FBX22">
        <v>604.96</v>
      </c>
      <c r="FBY22">
        <v>606.96</v>
      </c>
      <c r="FBZ22">
        <v>607</v>
      </c>
      <c r="FCA22">
        <v>608.97</v>
      </c>
      <c r="FCB22">
        <v>609.98</v>
      </c>
      <c r="FCC22">
        <v>610.96</v>
      </c>
      <c r="FCD22">
        <v>610.98</v>
      </c>
      <c r="FCE22">
        <v>611.98</v>
      </c>
      <c r="FCF22">
        <v>614.96</v>
      </c>
      <c r="FCG22">
        <v>614.98</v>
      </c>
      <c r="FCH22">
        <v>616.99</v>
      </c>
      <c r="FCI22">
        <v>616.99</v>
      </c>
      <c r="FCJ22">
        <v>617.98</v>
      </c>
      <c r="FCK22">
        <v>619.99</v>
      </c>
      <c r="FCL22">
        <v>622.92999999999995</v>
      </c>
      <c r="FCM22">
        <v>622.96</v>
      </c>
      <c r="FCN22">
        <v>624.99</v>
      </c>
      <c r="FCO22">
        <v>625.98</v>
      </c>
      <c r="FCP22">
        <v>625.99</v>
      </c>
      <c r="FCQ22">
        <v>625.99</v>
      </c>
      <c r="FCR22">
        <v>628</v>
      </c>
      <c r="FCS22">
        <v>629.98</v>
      </c>
      <c r="FCT22">
        <v>629.98</v>
      </c>
      <c r="FCU22">
        <v>631.97</v>
      </c>
      <c r="FCV22">
        <v>631.98</v>
      </c>
      <c r="FCW22">
        <v>632.95000000000005</v>
      </c>
      <c r="FCX22">
        <v>633</v>
      </c>
      <c r="FCY22">
        <v>634.98</v>
      </c>
      <c r="FCZ22">
        <v>635.96</v>
      </c>
      <c r="FDA22">
        <v>636.97</v>
      </c>
      <c r="FDB22">
        <v>638.98</v>
      </c>
      <c r="FDC22">
        <v>639.99</v>
      </c>
      <c r="FDD22">
        <v>640.99</v>
      </c>
      <c r="FDE22">
        <v>640.99</v>
      </c>
      <c r="FDF22">
        <v>642.95000000000005</v>
      </c>
      <c r="FDG22">
        <v>642.99</v>
      </c>
      <c r="FDH22">
        <v>643</v>
      </c>
      <c r="FDI22">
        <v>643.98</v>
      </c>
      <c r="FDJ22">
        <v>644.98</v>
      </c>
      <c r="FDK22">
        <v>644.99</v>
      </c>
      <c r="FDL22">
        <v>646.97</v>
      </c>
      <c r="FDM22">
        <v>646.98</v>
      </c>
      <c r="FDN22">
        <v>647.96</v>
      </c>
      <c r="FDO22">
        <v>649.96</v>
      </c>
      <c r="FDP22">
        <v>651.01</v>
      </c>
      <c r="FDQ22">
        <v>652</v>
      </c>
      <c r="FDR22">
        <v>653.95000000000005</v>
      </c>
      <c r="FDS22">
        <v>654.98</v>
      </c>
      <c r="FDT22">
        <v>658.97</v>
      </c>
      <c r="FDU22">
        <v>659.72</v>
      </c>
      <c r="FDV22">
        <v>659.98</v>
      </c>
      <c r="FDW22">
        <v>660.97</v>
      </c>
      <c r="FDX22">
        <v>660.99</v>
      </c>
      <c r="FDY22">
        <v>661</v>
      </c>
      <c r="FDZ22">
        <v>662.92</v>
      </c>
      <c r="FEA22">
        <v>664</v>
      </c>
      <c r="FEB22">
        <v>664.99</v>
      </c>
      <c r="FEC22">
        <v>665.98</v>
      </c>
      <c r="FED22">
        <v>667.97</v>
      </c>
      <c r="FEE22">
        <v>668.95</v>
      </c>
      <c r="FEF22">
        <v>669.96</v>
      </c>
      <c r="FEG22">
        <v>669.99</v>
      </c>
      <c r="FEH22">
        <v>670.96</v>
      </c>
      <c r="FEI22">
        <v>670.98</v>
      </c>
      <c r="FEJ22">
        <v>670.99</v>
      </c>
      <c r="FEK22">
        <v>671.97</v>
      </c>
      <c r="FEL22">
        <v>674.99</v>
      </c>
      <c r="FEM22">
        <v>677.03</v>
      </c>
      <c r="FEN22">
        <v>679.96</v>
      </c>
      <c r="FEO22">
        <v>679.98</v>
      </c>
      <c r="FEP22">
        <v>681</v>
      </c>
      <c r="FEQ22">
        <v>682.99</v>
      </c>
      <c r="FER22">
        <v>684.96</v>
      </c>
      <c r="FES22">
        <v>684.99</v>
      </c>
      <c r="FET22">
        <v>685.96</v>
      </c>
      <c r="FEU22">
        <v>687.98</v>
      </c>
      <c r="FEV22">
        <v>690</v>
      </c>
      <c r="FEW22">
        <v>691.95</v>
      </c>
      <c r="FEX22">
        <v>692.96</v>
      </c>
      <c r="FEY22">
        <v>693.95</v>
      </c>
      <c r="FEZ22">
        <v>695.95</v>
      </c>
      <c r="FFA22">
        <v>696.96</v>
      </c>
      <c r="FFB22">
        <v>697.96</v>
      </c>
      <c r="FFC22">
        <v>699</v>
      </c>
      <c r="FFD22">
        <v>701.99</v>
      </c>
      <c r="FFE22">
        <v>707.96</v>
      </c>
      <c r="FFF22">
        <v>709</v>
      </c>
      <c r="FFG22">
        <v>712.95</v>
      </c>
      <c r="FFH22">
        <v>712.99</v>
      </c>
      <c r="FFI22">
        <v>716</v>
      </c>
      <c r="FFJ22">
        <v>716.98</v>
      </c>
      <c r="FFK22">
        <v>717.94</v>
      </c>
      <c r="FFL22">
        <v>718.98</v>
      </c>
      <c r="FFM22">
        <v>721</v>
      </c>
      <c r="FFN22">
        <v>722.99</v>
      </c>
      <c r="FFO22">
        <v>723.96</v>
      </c>
      <c r="FFP22">
        <v>725</v>
      </c>
      <c r="FFQ22">
        <v>725.99</v>
      </c>
      <c r="FFR22">
        <v>726.96</v>
      </c>
      <c r="FFS22">
        <v>726.98</v>
      </c>
      <c r="FFT22">
        <v>726.98</v>
      </c>
      <c r="FFU22">
        <v>727.94</v>
      </c>
      <c r="FFV22">
        <v>728.99</v>
      </c>
      <c r="FFW22">
        <v>730.98</v>
      </c>
      <c r="FFX22">
        <v>731</v>
      </c>
      <c r="FFY22">
        <v>732.95</v>
      </c>
      <c r="FFZ22">
        <v>732.98</v>
      </c>
      <c r="FGA22">
        <v>732.98</v>
      </c>
      <c r="FGB22">
        <v>733.11</v>
      </c>
      <c r="FGC22">
        <v>735.98</v>
      </c>
      <c r="FGD22">
        <v>738.99</v>
      </c>
      <c r="FGE22">
        <v>739.97</v>
      </c>
      <c r="FGF22">
        <v>740.95</v>
      </c>
      <c r="FGG22">
        <v>740.99</v>
      </c>
      <c r="FGH22">
        <v>741.01</v>
      </c>
      <c r="FGI22">
        <v>742.01</v>
      </c>
      <c r="FGJ22">
        <v>744.98</v>
      </c>
      <c r="FGK22">
        <v>745</v>
      </c>
      <c r="FGL22">
        <v>746.99</v>
      </c>
      <c r="FGM22">
        <v>746.99</v>
      </c>
      <c r="FGN22">
        <v>747.16</v>
      </c>
      <c r="FGO22">
        <v>747.98</v>
      </c>
      <c r="FGP22">
        <v>747.99</v>
      </c>
      <c r="FGQ22">
        <v>749.99</v>
      </c>
      <c r="FGR22">
        <v>751.97</v>
      </c>
      <c r="FGS22">
        <v>751.98</v>
      </c>
      <c r="FGT22">
        <v>751.99</v>
      </c>
      <c r="FGU22">
        <v>752.98</v>
      </c>
      <c r="FGV22">
        <v>752.99</v>
      </c>
      <c r="FGW22">
        <v>753.91</v>
      </c>
      <c r="FGX22">
        <v>755.9</v>
      </c>
      <c r="FGY22">
        <v>755.99</v>
      </c>
      <c r="FGZ22">
        <v>757.98</v>
      </c>
      <c r="FHA22">
        <v>760.96</v>
      </c>
      <c r="FHB22">
        <v>760.98</v>
      </c>
      <c r="FHC22">
        <v>762</v>
      </c>
      <c r="FHD22">
        <v>762.97</v>
      </c>
      <c r="FHE22">
        <v>763.96</v>
      </c>
      <c r="FHF22">
        <v>764</v>
      </c>
      <c r="FHG22">
        <v>766.91</v>
      </c>
      <c r="FHH22">
        <v>767.94</v>
      </c>
      <c r="FHI22">
        <v>767.97</v>
      </c>
      <c r="FHJ22">
        <v>771.98</v>
      </c>
      <c r="FHK22">
        <v>771.98</v>
      </c>
      <c r="FHL22">
        <v>772.96</v>
      </c>
      <c r="FHM22">
        <v>772.99</v>
      </c>
      <c r="FHN22">
        <v>773.99</v>
      </c>
      <c r="FHO22">
        <v>774.94</v>
      </c>
      <c r="FHP22">
        <v>774.96</v>
      </c>
      <c r="FHQ22">
        <v>779.98</v>
      </c>
      <c r="FHR22">
        <v>779.98</v>
      </c>
      <c r="FHS22">
        <v>780.95</v>
      </c>
      <c r="FHT22">
        <v>780.96</v>
      </c>
      <c r="FHU22">
        <v>784.02</v>
      </c>
      <c r="FHV22">
        <v>784.96</v>
      </c>
      <c r="FHW22">
        <v>784.97</v>
      </c>
      <c r="FHX22">
        <v>784.99</v>
      </c>
      <c r="FHY22">
        <v>784.99</v>
      </c>
      <c r="FHZ22">
        <v>785.98</v>
      </c>
      <c r="FIA22">
        <v>786.99</v>
      </c>
      <c r="FIB22">
        <v>791.04</v>
      </c>
      <c r="FIC22">
        <v>791.97</v>
      </c>
      <c r="FID22">
        <v>795.94</v>
      </c>
      <c r="FIE22">
        <v>795.98</v>
      </c>
      <c r="FIF22">
        <v>796</v>
      </c>
      <c r="FIG22">
        <v>797.75</v>
      </c>
      <c r="FIH22">
        <v>797.98</v>
      </c>
      <c r="FII22">
        <v>798.99</v>
      </c>
      <c r="FIJ22">
        <v>799.94</v>
      </c>
      <c r="FIK22">
        <v>801</v>
      </c>
      <c r="FIL22">
        <v>801.97</v>
      </c>
      <c r="FIM22">
        <v>802</v>
      </c>
      <c r="FIN22">
        <v>803.88</v>
      </c>
      <c r="FIO22">
        <v>808.97</v>
      </c>
      <c r="FIP22">
        <v>809</v>
      </c>
      <c r="FIQ22">
        <v>809.94</v>
      </c>
      <c r="FIR22">
        <v>809.98</v>
      </c>
      <c r="FIS22">
        <v>810.98</v>
      </c>
      <c r="FIT22">
        <v>811.99</v>
      </c>
      <c r="FIU22">
        <v>814</v>
      </c>
      <c r="FIV22">
        <v>814.92</v>
      </c>
      <c r="FIW22">
        <v>814.96</v>
      </c>
      <c r="FIX22">
        <v>817.01</v>
      </c>
      <c r="FIY22">
        <v>817.97</v>
      </c>
      <c r="FIZ22">
        <v>819.98</v>
      </c>
      <c r="FJA22">
        <v>820.94</v>
      </c>
      <c r="FJB22">
        <v>821.98</v>
      </c>
      <c r="FJC22">
        <v>825.97</v>
      </c>
      <c r="FJD22">
        <v>827.97</v>
      </c>
      <c r="FJE22">
        <v>829.75</v>
      </c>
      <c r="FJF22">
        <v>831.86</v>
      </c>
      <c r="FJG22">
        <v>831.98</v>
      </c>
      <c r="FJH22">
        <v>833.97</v>
      </c>
      <c r="FJI22">
        <v>833.98</v>
      </c>
      <c r="FJJ22">
        <v>833.98</v>
      </c>
      <c r="FJK22">
        <v>833.99</v>
      </c>
      <c r="FJL22">
        <v>834.95</v>
      </c>
      <c r="FJM22">
        <v>834.99</v>
      </c>
      <c r="FJN22">
        <v>835</v>
      </c>
      <c r="FJO22">
        <v>837.95</v>
      </c>
      <c r="FJP22">
        <v>838.96</v>
      </c>
      <c r="FJQ22">
        <v>839.95</v>
      </c>
      <c r="FJR22">
        <v>842.99</v>
      </c>
      <c r="FJS22">
        <v>844.98</v>
      </c>
      <c r="FJT22">
        <v>846.97</v>
      </c>
      <c r="FJU22">
        <v>847.98</v>
      </c>
      <c r="FJV22">
        <v>847.99</v>
      </c>
      <c r="FJW22">
        <v>848.94</v>
      </c>
      <c r="FJX22">
        <v>849.03</v>
      </c>
      <c r="FJY22">
        <v>849.98</v>
      </c>
      <c r="FJZ22">
        <v>850.03</v>
      </c>
      <c r="FKA22">
        <v>850.91</v>
      </c>
      <c r="FKB22">
        <v>850.96</v>
      </c>
      <c r="FKC22">
        <v>851.96</v>
      </c>
      <c r="FKD22">
        <v>852.95</v>
      </c>
      <c r="FKE22">
        <v>856</v>
      </c>
      <c r="FKF22">
        <v>859.86</v>
      </c>
      <c r="FKG22">
        <v>859.98</v>
      </c>
      <c r="FKH22">
        <v>860.01</v>
      </c>
      <c r="FKI22">
        <v>861.85</v>
      </c>
      <c r="FKJ22">
        <v>862.91</v>
      </c>
      <c r="FKK22">
        <v>864.94</v>
      </c>
      <c r="FKL22">
        <v>865.94</v>
      </c>
      <c r="FKM22">
        <v>868.97</v>
      </c>
      <c r="FKN22">
        <v>871.97</v>
      </c>
      <c r="FKO22">
        <v>872.99</v>
      </c>
      <c r="FKP22">
        <v>875.01</v>
      </c>
      <c r="FKQ22">
        <v>877.98</v>
      </c>
      <c r="FKR22">
        <v>878.96</v>
      </c>
      <c r="FKS22">
        <v>878.99</v>
      </c>
      <c r="FKT22">
        <v>879.98</v>
      </c>
      <c r="FKU22">
        <v>880.98</v>
      </c>
      <c r="FKV22">
        <v>881.98</v>
      </c>
      <c r="FKW22">
        <v>882.95</v>
      </c>
      <c r="FKX22">
        <v>882.98</v>
      </c>
      <c r="FKY22">
        <v>884.95</v>
      </c>
      <c r="FKZ22">
        <v>884.97</v>
      </c>
      <c r="FLA22">
        <v>888.94</v>
      </c>
      <c r="FLB22">
        <v>889</v>
      </c>
      <c r="FLC22">
        <v>889.98</v>
      </c>
      <c r="FLD22">
        <v>893.02</v>
      </c>
      <c r="FLE22">
        <v>893.97</v>
      </c>
      <c r="FLF22">
        <v>893.98</v>
      </c>
      <c r="FLG22">
        <v>893.98</v>
      </c>
      <c r="FLH22">
        <v>898.96</v>
      </c>
      <c r="FLI22">
        <v>898.98</v>
      </c>
      <c r="FLJ22">
        <v>904.99</v>
      </c>
      <c r="FLK22">
        <v>905</v>
      </c>
      <c r="FLL22">
        <v>906.99</v>
      </c>
      <c r="FLM22">
        <v>908.98</v>
      </c>
      <c r="FLN22">
        <v>909.92</v>
      </c>
      <c r="FLO22">
        <v>914.99</v>
      </c>
      <c r="FLP22">
        <v>915.98</v>
      </c>
      <c r="FLQ22">
        <v>919.99</v>
      </c>
      <c r="FLR22">
        <v>920.93</v>
      </c>
      <c r="FLS22">
        <v>920.97</v>
      </c>
      <c r="FLT22">
        <v>924.96</v>
      </c>
      <c r="FLU22">
        <v>927.96</v>
      </c>
      <c r="FLV22">
        <v>927.98</v>
      </c>
      <c r="FLW22">
        <v>930.99</v>
      </c>
      <c r="FLX22">
        <v>932.95</v>
      </c>
      <c r="FLY22">
        <v>932.98</v>
      </c>
      <c r="FLZ22">
        <v>933.93</v>
      </c>
      <c r="FMA22">
        <v>933.94</v>
      </c>
      <c r="FMB22">
        <v>933.94</v>
      </c>
      <c r="FMC22">
        <v>935.04</v>
      </c>
      <c r="FMD22">
        <v>938.95</v>
      </c>
      <c r="FME22">
        <v>938.98</v>
      </c>
      <c r="FMF22">
        <v>942.01</v>
      </c>
      <c r="FMG22">
        <v>943.95</v>
      </c>
      <c r="FMH22">
        <v>945</v>
      </c>
      <c r="FMI22">
        <v>948.99</v>
      </c>
      <c r="FMJ22">
        <v>949.96</v>
      </c>
      <c r="FMK22">
        <v>950.98</v>
      </c>
      <c r="FML22">
        <v>950.99</v>
      </c>
      <c r="FMM22">
        <v>954.96</v>
      </c>
      <c r="FMN22">
        <v>954.99</v>
      </c>
      <c r="FMO22">
        <v>955.99</v>
      </c>
      <c r="FMP22">
        <v>956.96</v>
      </c>
      <c r="FMQ22">
        <v>956.96</v>
      </c>
      <c r="FMR22">
        <v>956.96</v>
      </c>
      <c r="FMS22">
        <v>956.97</v>
      </c>
      <c r="FMT22">
        <v>959.08</v>
      </c>
      <c r="FMU22">
        <v>959.95</v>
      </c>
      <c r="FMV22">
        <v>963.95</v>
      </c>
      <c r="FMW22">
        <v>971.89</v>
      </c>
      <c r="FMX22">
        <v>976.97</v>
      </c>
      <c r="FMY22">
        <v>976.99</v>
      </c>
      <c r="FMZ22">
        <v>977.98</v>
      </c>
      <c r="FNA22">
        <v>978.9</v>
      </c>
      <c r="FNB22">
        <v>978.99</v>
      </c>
      <c r="FNC22">
        <v>983.96</v>
      </c>
      <c r="FND22">
        <v>983.98</v>
      </c>
      <c r="FNE22">
        <v>985.97</v>
      </c>
      <c r="FNF22">
        <v>987.92</v>
      </c>
      <c r="FNG22">
        <v>991.94</v>
      </c>
      <c r="FNH22">
        <v>991.96</v>
      </c>
      <c r="FNI22">
        <v>994.92</v>
      </c>
      <c r="FNJ22">
        <v>994.98</v>
      </c>
      <c r="FNK22">
        <v>995.89</v>
      </c>
      <c r="FNL22">
        <v>996.96</v>
      </c>
      <c r="FNM22">
        <v>999.99</v>
      </c>
      <c r="FNN22">
        <v>1000.94</v>
      </c>
      <c r="FNO22">
        <v>1001.98</v>
      </c>
      <c r="FNP22">
        <v>1003.94</v>
      </c>
      <c r="FNQ22">
        <v>1003.96</v>
      </c>
      <c r="FNR22">
        <v>1005.96</v>
      </c>
      <c r="FNS22">
        <v>1006.98</v>
      </c>
      <c r="FNT22">
        <v>1007.98</v>
      </c>
      <c r="FNU22">
        <v>1008.95</v>
      </c>
      <c r="FNV22">
        <v>1010.94</v>
      </c>
      <c r="FNW22">
        <v>1015.95</v>
      </c>
      <c r="FNX22">
        <v>1015.98</v>
      </c>
      <c r="FNY22">
        <v>1016.01</v>
      </c>
      <c r="FNZ22">
        <v>1017.99</v>
      </c>
      <c r="FOA22">
        <v>1021.96</v>
      </c>
      <c r="FOB22">
        <v>1022.98</v>
      </c>
      <c r="FOC22">
        <v>1024.96</v>
      </c>
      <c r="FOD22">
        <v>1025.97</v>
      </c>
      <c r="FOE22">
        <v>1027.82</v>
      </c>
      <c r="FOF22">
        <v>1027.97</v>
      </c>
      <c r="FOG22">
        <v>1027.98</v>
      </c>
      <c r="FOH22">
        <v>1028.94</v>
      </c>
      <c r="FOI22">
        <v>1031.98</v>
      </c>
      <c r="FOJ22">
        <v>1034.97</v>
      </c>
      <c r="FOK22">
        <v>1038.96</v>
      </c>
      <c r="FOL22">
        <v>1040.93</v>
      </c>
      <c r="FOM22">
        <v>1043.9099999999901</v>
      </c>
      <c r="FON22">
        <v>1043.99</v>
      </c>
      <c r="FOO22">
        <v>1047.95</v>
      </c>
      <c r="FOP22">
        <v>1048.94</v>
      </c>
      <c r="FOQ22">
        <v>1048.95</v>
      </c>
      <c r="FOR22">
        <v>1050.99</v>
      </c>
      <c r="FOS22">
        <v>1054</v>
      </c>
      <c r="FOT22">
        <v>1054.96</v>
      </c>
      <c r="FOU22">
        <v>1064.96</v>
      </c>
      <c r="FOV22">
        <v>1066</v>
      </c>
      <c r="FOW22">
        <v>1067.95</v>
      </c>
      <c r="FOX22">
        <v>1068.97</v>
      </c>
      <c r="FOY22">
        <v>1071.97</v>
      </c>
      <c r="FOZ22">
        <v>1072.94</v>
      </c>
      <c r="FPA22">
        <v>1072.95</v>
      </c>
      <c r="FPB22">
        <v>1073.96</v>
      </c>
      <c r="FPC22">
        <v>1075.96</v>
      </c>
      <c r="FPD22">
        <v>1078.95</v>
      </c>
      <c r="FPE22">
        <v>1079.95</v>
      </c>
      <c r="FPF22">
        <v>1080.02</v>
      </c>
      <c r="FPG22">
        <v>1081.05</v>
      </c>
      <c r="FPH22">
        <v>1084.97</v>
      </c>
      <c r="FPI22">
        <v>1085.97</v>
      </c>
      <c r="FPJ22">
        <v>1085.99</v>
      </c>
      <c r="FPK22">
        <v>1086.9100000000001</v>
      </c>
      <c r="FPL22">
        <v>1090.8900000000001</v>
      </c>
      <c r="FPM22">
        <v>1090.93</v>
      </c>
      <c r="FPN22">
        <v>1092.94</v>
      </c>
      <c r="FPO22">
        <v>1093.99</v>
      </c>
      <c r="FPP22">
        <v>1094.99</v>
      </c>
      <c r="FPQ22">
        <v>1095.95</v>
      </c>
      <c r="FPR22">
        <v>1098.95</v>
      </c>
      <c r="FPS22">
        <v>1100.97</v>
      </c>
      <c r="FPT22">
        <v>1104.2</v>
      </c>
      <c r="FPU22">
        <v>1110.98</v>
      </c>
      <c r="FPV22">
        <v>1111.8699999999999</v>
      </c>
      <c r="FPW22">
        <v>1112.94</v>
      </c>
      <c r="FPX22">
        <v>1113.96</v>
      </c>
      <c r="FPY22">
        <v>1115.94</v>
      </c>
      <c r="FPZ22">
        <v>1115.96</v>
      </c>
      <c r="FQA22">
        <v>1118.92</v>
      </c>
      <c r="FQB22">
        <v>1120.93</v>
      </c>
      <c r="FQC22">
        <v>1122</v>
      </c>
      <c r="FQD22">
        <v>1126.96</v>
      </c>
      <c r="FQE22">
        <v>1128.05</v>
      </c>
      <c r="FQF22">
        <v>1130.95</v>
      </c>
      <c r="FQG22">
        <v>1130.95</v>
      </c>
      <c r="FQH22">
        <v>1132.94</v>
      </c>
      <c r="FQI22">
        <v>1141.96</v>
      </c>
      <c r="FQJ22">
        <v>1150.95</v>
      </c>
      <c r="FQK22">
        <v>1152.92</v>
      </c>
      <c r="FQL22">
        <v>1154.96</v>
      </c>
      <c r="FQM22">
        <v>1154.99</v>
      </c>
      <c r="FQN22">
        <v>1159.98</v>
      </c>
      <c r="FQO22">
        <v>1163.97</v>
      </c>
      <c r="FQP22">
        <v>1167.99</v>
      </c>
      <c r="FQQ22">
        <v>1173.9099999999901</v>
      </c>
      <c r="FQR22">
        <v>1178.9000000000001</v>
      </c>
      <c r="FQS22">
        <v>1181.93</v>
      </c>
      <c r="FQT22">
        <v>1182.95</v>
      </c>
      <c r="FQU22">
        <v>1187.9100000000001</v>
      </c>
      <c r="FQV22">
        <v>1190.99</v>
      </c>
      <c r="FQW22">
        <v>1193.92</v>
      </c>
      <c r="FQX22">
        <v>1195.97</v>
      </c>
      <c r="FQY22">
        <v>1196</v>
      </c>
      <c r="FQZ22">
        <v>1197.9000000000001</v>
      </c>
      <c r="FRA22">
        <v>1198.01</v>
      </c>
      <c r="FRB22">
        <v>1199.17</v>
      </c>
      <c r="FRC22">
        <v>1204.95</v>
      </c>
      <c r="FRD22">
        <v>1210.96</v>
      </c>
      <c r="FRE22">
        <v>1213.95</v>
      </c>
      <c r="FRF22">
        <v>1218.96</v>
      </c>
      <c r="FRG22">
        <v>1219.94</v>
      </c>
      <c r="FRH22">
        <v>1225.93</v>
      </c>
      <c r="FRI22">
        <v>1225.96</v>
      </c>
      <c r="FRJ22">
        <v>1226.95</v>
      </c>
      <c r="FRK22">
        <v>1227.94</v>
      </c>
      <c r="FRL22">
        <v>1228.8900000000001</v>
      </c>
      <c r="FRM22">
        <v>1231.94</v>
      </c>
      <c r="FRN22">
        <v>1232.99</v>
      </c>
      <c r="FRO22">
        <v>1233.02</v>
      </c>
      <c r="FRP22">
        <v>1237.93</v>
      </c>
      <c r="FRQ22">
        <v>1239.93</v>
      </c>
      <c r="FRR22">
        <v>1242.9000000000001</v>
      </c>
      <c r="FRS22">
        <v>1244.98</v>
      </c>
      <c r="FRT22">
        <v>1252.9100000000001</v>
      </c>
      <c r="FRU22">
        <v>1253.96</v>
      </c>
      <c r="FRV22">
        <v>1256.04</v>
      </c>
      <c r="FRW22">
        <v>1261.96</v>
      </c>
      <c r="FRX22">
        <v>1262.9000000000001</v>
      </c>
      <c r="FRY22">
        <v>1262.96</v>
      </c>
      <c r="FRZ22">
        <v>1264.92</v>
      </c>
      <c r="FSA22">
        <v>1265.04</v>
      </c>
      <c r="FSB22">
        <v>1272.97</v>
      </c>
      <c r="FSC22">
        <v>1282.94</v>
      </c>
      <c r="FSD22">
        <v>1282.94</v>
      </c>
      <c r="FSE22">
        <v>1286.96</v>
      </c>
      <c r="FSF22">
        <v>1291.96</v>
      </c>
      <c r="FSG22">
        <v>1293.92</v>
      </c>
      <c r="FSH22">
        <v>1294.94</v>
      </c>
      <c r="FSI22">
        <v>1297.99</v>
      </c>
      <c r="FSJ22">
        <v>1299.9100000000001</v>
      </c>
      <c r="FSK22">
        <v>1304.8800000000001</v>
      </c>
      <c r="FSL22">
        <v>1312.95</v>
      </c>
      <c r="FSM22">
        <v>1314.95</v>
      </c>
      <c r="FSN22">
        <v>1318.98</v>
      </c>
      <c r="FSO22">
        <v>1320.94</v>
      </c>
      <c r="FSP22">
        <v>1321.94</v>
      </c>
      <c r="FSQ22">
        <v>1322.94</v>
      </c>
      <c r="FSR22">
        <v>1327.97</v>
      </c>
      <c r="FSS22">
        <v>1332</v>
      </c>
      <c r="FST22">
        <v>1336.95</v>
      </c>
      <c r="FSU22">
        <v>1337.95</v>
      </c>
      <c r="FSV22">
        <v>1351.8899999999901</v>
      </c>
      <c r="FSW22">
        <v>1354.96</v>
      </c>
      <c r="FSX22">
        <v>1357.32</v>
      </c>
      <c r="FSY22">
        <v>1363.02</v>
      </c>
      <c r="FSZ22">
        <v>1363.89</v>
      </c>
      <c r="FTA22">
        <v>1363.96</v>
      </c>
      <c r="FTB22">
        <v>1364.9</v>
      </c>
      <c r="FTC22">
        <v>1365.96</v>
      </c>
      <c r="FTD22">
        <v>1371.92</v>
      </c>
      <c r="FTE22">
        <v>1372.95</v>
      </c>
      <c r="FTF22">
        <v>1374.91</v>
      </c>
      <c r="FTG22">
        <v>1376.01</v>
      </c>
      <c r="FTH22">
        <v>1377.88</v>
      </c>
      <c r="FTI22">
        <v>1378.98</v>
      </c>
      <c r="FTJ22">
        <v>1381.99</v>
      </c>
      <c r="FTK22">
        <v>1392.95</v>
      </c>
      <c r="FTL22">
        <v>1395.95</v>
      </c>
      <c r="FTM22">
        <v>1396.89</v>
      </c>
      <c r="FTN22">
        <v>1396.98</v>
      </c>
      <c r="FTO22">
        <v>1397.97</v>
      </c>
      <c r="FTP22">
        <v>1398</v>
      </c>
      <c r="FTQ22">
        <v>1399.9</v>
      </c>
      <c r="FTR22">
        <v>1399.95</v>
      </c>
      <c r="FTS22">
        <v>1401.98</v>
      </c>
      <c r="FTT22">
        <v>1402.95</v>
      </c>
      <c r="FTU22">
        <v>1402.95</v>
      </c>
      <c r="FTV22">
        <v>1407.93</v>
      </c>
      <c r="FTW22">
        <v>1407.98</v>
      </c>
      <c r="FTX22">
        <v>1408.93</v>
      </c>
      <c r="FTY22">
        <v>1409.93</v>
      </c>
      <c r="FTZ22">
        <v>1415.95</v>
      </c>
      <c r="FUA22">
        <v>1415.95</v>
      </c>
      <c r="FUB22">
        <v>1416.91</v>
      </c>
      <c r="FUC22">
        <v>1420.94</v>
      </c>
      <c r="FUD22">
        <v>1421.94</v>
      </c>
      <c r="FUE22">
        <v>1421.94</v>
      </c>
      <c r="FUF22">
        <v>1423.96</v>
      </c>
      <c r="FUG22">
        <v>1424.93</v>
      </c>
      <c r="FUH22">
        <v>1430.92</v>
      </c>
      <c r="FUI22">
        <v>1432.97</v>
      </c>
      <c r="FUJ22">
        <v>1433.98</v>
      </c>
      <c r="FUK22">
        <v>1434.01</v>
      </c>
      <c r="FUL22">
        <v>1436.98</v>
      </c>
      <c r="FUM22">
        <v>1444.95</v>
      </c>
      <c r="FUN22">
        <v>1444.97</v>
      </c>
      <c r="FUO22">
        <v>1450.95</v>
      </c>
      <c r="FUP22">
        <v>1454.01</v>
      </c>
      <c r="FUQ22">
        <v>1456.01</v>
      </c>
      <c r="FUR22">
        <v>1459.8</v>
      </c>
      <c r="FUS22">
        <v>1459.94</v>
      </c>
      <c r="FUT22">
        <v>1471.93</v>
      </c>
      <c r="FUU22">
        <v>1474.94</v>
      </c>
      <c r="FUV22">
        <v>1477.96</v>
      </c>
      <c r="FUW22">
        <v>1481.95</v>
      </c>
      <c r="FUX22">
        <v>1483.79</v>
      </c>
      <c r="FUY22">
        <v>1484.1299999999901</v>
      </c>
      <c r="FUZ22">
        <v>1484.94</v>
      </c>
      <c r="FVA22">
        <v>1484.94</v>
      </c>
      <c r="FVB22">
        <v>1486.95</v>
      </c>
      <c r="FVC22">
        <v>1489.83</v>
      </c>
      <c r="FVD22">
        <v>1493.98</v>
      </c>
      <c r="FVE22">
        <v>1494.94</v>
      </c>
      <c r="FVF22">
        <v>1497.96</v>
      </c>
      <c r="FVG22">
        <v>1499.91</v>
      </c>
      <c r="FVH22">
        <v>1504.93</v>
      </c>
      <c r="FVI22">
        <v>1516.98</v>
      </c>
      <c r="FVJ22">
        <v>1523.01</v>
      </c>
      <c r="FVK22">
        <v>1526.94</v>
      </c>
      <c r="FVL22">
        <v>1526.98</v>
      </c>
      <c r="FVM22">
        <v>1529.98</v>
      </c>
      <c r="FVN22">
        <v>1530.95</v>
      </c>
      <c r="FVO22">
        <v>1532.86</v>
      </c>
      <c r="FVP22">
        <v>1532.97</v>
      </c>
      <c r="FVQ22">
        <v>1534</v>
      </c>
      <c r="FVR22">
        <v>1537</v>
      </c>
      <c r="FVS22">
        <v>1542.9</v>
      </c>
      <c r="FVT22">
        <v>1543.96</v>
      </c>
      <c r="FVU22">
        <v>1551.86</v>
      </c>
      <c r="FVV22">
        <v>1552.92</v>
      </c>
      <c r="FVW22">
        <v>1555.95</v>
      </c>
      <c r="FVX22">
        <v>1559.9</v>
      </c>
      <c r="FVY22">
        <v>1560.92</v>
      </c>
      <c r="FVZ22">
        <v>1562.96</v>
      </c>
      <c r="FWA22">
        <f>FVZ22/3600</f>
        <v>0.43415555555555557</v>
      </c>
      <c r="FWB22">
        <v>1564.83</v>
      </c>
      <c r="FWC22">
        <v>1570.94</v>
      </c>
      <c r="FWD22">
        <v>1576.82</v>
      </c>
      <c r="FWE22">
        <v>1577.9</v>
      </c>
      <c r="FWF22">
        <v>1585.87</v>
      </c>
      <c r="FWG22">
        <v>1589.96</v>
      </c>
      <c r="FWH22">
        <v>1590.95</v>
      </c>
      <c r="FWI22">
        <v>1592.94</v>
      </c>
      <c r="FWJ22">
        <v>1595.04</v>
      </c>
      <c r="FWK22">
        <v>1598.98</v>
      </c>
      <c r="FWL22">
        <v>1606.86</v>
      </c>
      <c r="FWM22">
        <v>1607.95</v>
      </c>
      <c r="FWN22">
        <v>1607.98</v>
      </c>
      <c r="FWO22">
        <v>1610.93</v>
      </c>
      <c r="FWP22">
        <v>1620.91</v>
      </c>
      <c r="FWQ22">
        <v>1621.9</v>
      </c>
      <c r="FWR22">
        <v>1625.95</v>
      </c>
      <c r="FWS22">
        <v>1626.95</v>
      </c>
      <c r="FWT22">
        <v>1629.96</v>
      </c>
      <c r="FWU22">
        <v>1634.91</v>
      </c>
      <c r="FWV22">
        <v>1636.92</v>
      </c>
      <c r="FWW22">
        <v>1644.96</v>
      </c>
      <c r="FWX22">
        <v>1651.93</v>
      </c>
      <c r="FWY22">
        <v>1665.98</v>
      </c>
      <c r="FWZ22">
        <v>1667.95</v>
      </c>
      <c r="FXA22">
        <v>1671.94</v>
      </c>
      <c r="FXB22">
        <v>1671.99</v>
      </c>
      <c r="FXC22">
        <v>1672.97</v>
      </c>
      <c r="FXD22">
        <v>1681.96</v>
      </c>
      <c r="FXE22">
        <v>1682.99</v>
      </c>
      <c r="FXF22">
        <v>1684.95</v>
      </c>
      <c r="FXG22">
        <v>1688.9</v>
      </c>
      <c r="FXH22">
        <v>1688.99</v>
      </c>
      <c r="FXI22">
        <v>1689.93</v>
      </c>
      <c r="FXJ22">
        <v>1690.9</v>
      </c>
      <c r="FXK22">
        <v>1706.83</v>
      </c>
      <c r="FXL22">
        <v>1708.96</v>
      </c>
      <c r="FXM22">
        <v>1708.96</v>
      </c>
      <c r="FXN22">
        <v>1710.93</v>
      </c>
      <c r="FXO22">
        <v>1711.91</v>
      </c>
      <c r="FXP22">
        <v>1711.91</v>
      </c>
      <c r="FXQ22">
        <v>1715.94</v>
      </c>
      <c r="FXR22">
        <v>1717.96</v>
      </c>
      <c r="FXS22">
        <v>1724.95</v>
      </c>
      <c r="FXT22">
        <v>1727.84</v>
      </c>
      <c r="FXU22">
        <v>1728.91</v>
      </c>
      <c r="FXV22">
        <v>1730.94</v>
      </c>
      <c r="FXW22">
        <v>1731.94</v>
      </c>
      <c r="FXX22">
        <v>1746.92</v>
      </c>
      <c r="FXY22">
        <v>1751.92</v>
      </c>
      <c r="FXZ22">
        <v>1756.99</v>
      </c>
      <c r="FYA22">
        <v>1758.88</v>
      </c>
      <c r="FYB22">
        <v>1765.88</v>
      </c>
      <c r="FYC22">
        <v>1769.96</v>
      </c>
      <c r="FYD22">
        <v>1771.94</v>
      </c>
      <c r="FYE22">
        <v>1784</v>
      </c>
      <c r="FYF22">
        <v>1784.82</v>
      </c>
      <c r="FYG22">
        <v>1788.92</v>
      </c>
      <c r="FYH22">
        <v>1788.95</v>
      </c>
      <c r="FYI22">
        <v>1792.91</v>
      </c>
      <c r="FYJ22">
        <v>1805.93</v>
      </c>
      <c r="FYK22">
        <v>1807.95</v>
      </c>
      <c r="FYL22">
        <v>1811.98</v>
      </c>
      <c r="FYM22">
        <v>1815</v>
      </c>
      <c r="FYN22">
        <v>1816.57</v>
      </c>
      <c r="FYO22">
        <v>1821.94</v>
      </c>
      <c r="FYP22">
        <v>1831.98</v>
      </c>
      <c r="FYQ22">
        <v>1834.57</v>
      </c>
      <c r="FYR22">
        <v>1834.96</v>
      </c>
      <c r="FYS22">
        <v>1835.94</v>
      </c>
      <c r="FYT22">
        <v>1835.94</v>
      </c>
      <c r="FYU22">
        <v>1837.95</v>
      </c>
      <c r="FYV22">
        <v>1841.94</v>
      </c>
      <c r="FYW22">
        <v>1848.92</v>
      </c>
      <c r="FYX22">
        <v>1850.87</v>
      </c>
      <c r="FYY22">
        <v>1851.87</v>
      </c>
      <c r="FYZ22">
        <v>1854.93</v>
      </c>
      <c r="FZA22">
        <v>1854.94</v>
      </c>
      <c r="FZB22">
        <v>1855.92</v>
      </c>
      <c r="FZC22">
        <v>1861.92</v>
      </c>
      <c r="FZD22">
        <v>1863.86</v>
      </c>
      <c r="FZE22">
        <v>1863.88</v>
      </c>
      <c r="FZF22">
        <v>1870.96</v>
      </c>
      <c r="FZG22">
        <v>1878.95</v>
      </c>
      <c r="FZH22">
        <v>1880.92</v>
      </c>
      <c r="FZI22">
        <v>1891.84</v>
      </c>
      <c r="FZJ22">
        <v>1892.94</v>
      </c>
      <c r="FZK22">
        <v>1904.92</v>
      </c>
      <c r="FZL22">
        <v>1909.96</v>
      </c>
      <c r="FZM22">
        <v>1912.88</v>
      </c>
      <c r="FZN22">
        <v>1919.95</v>
      </c>
      <c r="FZO22">
        <v>1922.96</v>
      </c>
      <c r="FZP22">
        <v>1923.8899999999901</v>
      </c>
      <c r="FZQ22">
        <v>1923.9</v>
      </c>
      <c r="FZR22">
        <v>1927.82</v>
      </c>
      <c r="FZS22">
        <v>1928.99</v>
      </c>
      <c r="FZT22">
        <v>1933.92</v>
      </c>
      <c r="FZU22">
        <v>1935.84</v>
      </c>
      <c r="FZV22">
        <v>1936.91</v>
      </c>
      <c r="FZW22">
        <v>1945.9</v>
      </c>
      <c r="FZX22">
        <v>1948.88</v>
      </c>
      <c r="FZY22">
        <v>1951.91</v>
      </c>
      <c r="FZZ22">
        <v>1957.95</v>
      </c>
      <c r="GAA22">
        <v>1958.87</v>
      </c>
      <c r="GAB22">
        <v>1959.91</v>
      </c>
      <c r="GAC22">
        <v>1963.95</v>
      </c>
      <c r="GAD22">
        <v>1966.25</v>
      </c>
      <c r="GAE22">
        <v>1972.94</v>
      </c>
      <c r="GAF22">
        <v>1977</v>
      </c>
      <c r="GAG22">
        <v>1984.95</v>
      </c>
      <c r="GAH22">
        <v>1985.92</v>
      </c>
      <c r="GAI22">
        <v>1985.96</v>
      </c>
      <c r="GAJ22">
        <v>1991.9</v>
      </c>
      <c r="GAK22">
        <v>2000.88</v>
      </c>
      <c r="GAL22">
        <v>2004</v>
      </c>
      <c r="GAM22">
        <v>2004.91</v>
      </c>
      <c r="GAN22">
        <v>2016.67</v>
      </c>
      <c r="GAO22">
        <v>2016.94</v>
      </c>
      <c r="GAP22">
        <v>2018.92</v>
      </c>
      <c r="GAQ22">
        <v>2022.9</v>
      </c>
      <c r="GAR22">
        <v>2023.03</v>
      </c>
      <c r="GAS22">
        <v>2024.87</v>
      </c>
      <c r="GAT22">
        <v>2030.94</v>
      </c>
      <c r="GAU22">
        <v>2031.94</v>
      </c>
      <c r="GAV22">
        <v>2040.96</v>
      </c>
      <c r="GAW22">
        <v>2043.99</v>
      </c>
      <c r="GAX22">
        <v>2049.94</v>
      </c>
      <c r="GAY22">
        <v>2050.9299999999998</v>
      </c>
      <c r="GAZ22">
        <v>2054.9</v>
      </c>
      <c r="GBA22">
        <v>2062.9</v>
      </c>
      <c r="GBB22">
        <v>2069.9299999999998</v>
      </c>
      <c r="GBC22">
        <v>2072.91</v>
      </c>
      <c r="GBD22">
        <v>2073.9299999999998</v>
      </c>
      <c r="GBE22">
        <v>2077.9499999999998</v>
      </c>
      <c r="GBF22">
        <v>2080.79</v>
      </c>
      <c r="GBG22">
        <v>2081.9</v>
      </c>
      <c r="GBH22">
        <v>2081.91</v>
      </c>
      <c r="GBI22">
        <v>2083.02</v>
      </c>
      <c r="GBJ22">
        <v>2084.91</v>
      </c>
      <c r="GBK22">
        <v>2089.96</v>
      </c>
      <c r="GBL22">
        <v>2093.96</v>
      </c>
      <c r="GBM22">
        <v>2098.85</v>
      </c>
      <c r="GBN22">
        <v>2099.9299999999998</v>
      </c>
      <c r="GBO22">
        <v>2103.94</v>
      </c>
      <c r="GBP22">
        <v>2109.98</v>
      </c>
      <c r="GBQ22">
        <v>2111.9299999999998</v>
      </c>
      <c r="GBR22">
        <v>2117.92</v>
      </c>
      <c r="GBS22">
        <v>2118.06</v>
      </c>
      <c r="GBT22">
        <v>2126.94</v>
      </c>
      <c r="GBU22">
        <v>2128.86</v>
      </c>
      <c r="GBV22">
        <v>2137.89</v>
      </c>
      <c r="GBW22">
        <v>2146.9699999999998</v>
      </c>
      <c r="GBX22">
        <v>2146.9699999999998</v>
      </c>
      <c r="GBY22">
        <v>2159.96</v>
      </c>
      <c r="GBZ22">
        <v>2161.94</v>
      </c>
      <c r="GCA22">
        <v>2170.94</v>
      </c>
      <c r="GCB22">
        <v>2182.92</v>
      </c>
      <c r="GCC22">
        <v>2186</v>
      </c>
      <c r="GCD22">
        <v>2187.9699999999998</v>
      </c>
      <c r="GCE22">
        <v>2194.89</v>
      </c>
      <c r="GCF22">
        <v>2197.02</v>
      </c>
      <c r="GCG22">
        <v>2204.96</v>
      </c>
      <c r="GCH22">
        <v>2206.94</v>
      </c>
      <c r="GCI22">
        <v>2246.96</v>
      </c>
      <c r="GCJ22">
        <v>2248.94</v>
      </c>
      <c r="GCK22">
        <v>2257.91</v>
      </c>
      <c r="GCL22">
        <v>2259.84</v>
      </c>
      <c r="GCM22">
        <v>2262.89</v>
      </c>
      <c r="GCN22">
        <v>2266.87</v>
      </c>
      <c r="GCO22">
        <v>2271.9299999999998</v>
      </c>
      <c r="GCP22">
        <v>2274.86</v>
      </c>
      <c r="GCQ22">
        <v>2274.96</v>
      </c>
      <c r="GCR22">
        <v>2275.94</v>
      </c>
      <c r="GCS22">
        <v>2278.91</v>
      </c>
      <c r="GCT22">
        <v>2278.96</v>
      </c>
      <c r="GCU22">
        <v>2280.94</v>
      </c>
      <c r="GCV22">
        <v>2283.86</v>
      </c>
      <c r="GCW22">
        <v>2283.9</v>
      </c>
      <c r="GCX22">
        <v>2287.91</v>
      </c>
      <c r="GCY22">
        <v>2291.02</v>
      </c>
      <c r="GCZ22">
        <v>2295.0100000000002</v>
      </c>
      <c r="GDA22">
        <v>2300.9</v>
      </c>
      <c r="GDB22">
        <v>2307.9299999999998</v>
      </c>
      <c r="GDC22">
        <v>2320.92</v>
      </c>
      <c r="GDD22">
        <v>2323.94</v>
      </c>
      <c r="GDE22">
        <v>2327.92</v>
      </c>
      <c r="GDF22">
        <v>2330.96</v>
      </c>
      <c r="GDG22">
        <v>2354.96</v>
      </c>
      <c r="GDH22">
        <v>2361.1299999999901</v>
      </c>
      <c r="GDI22">
        <v>2364.84</v>
      </c>
      <c r="GDJ22">
        <v>2366.9</v>
      </c>
      <c r="GDK22">
        <v>2367.96</v>
      </c>
      <c r="GDL22">
        <v>2382.92</v>
      </c>
      <c r="GDM22">
        <v>2383.87</v>
      </c>
      <c r="GDN22">
        <v>2383.94</v>
      </c>
      <c r="GDO22">
        <v>2384.9899999999998</v>
      </c>
      <c r="GDP22">
        <v>2385.89</v>
      </c>
      <c r="GDQ22">
        <v>2386.6</v>
      </c>
      <c r="GDR22">
        <v>2387.88</v>
      </c>
      <c r="GDS22">
        <v>2388.9499999999998</v>
      </c>
      <c r="GDT22">
        <v>2390.04</v>
      </c>
      <c r="GDU22">
        <v>2392.2199999999998</v>
      </c>
      <c r="GDV22">
        <v>2392.98</v>
      </c>
      <c r="GDW22">
        <v>2395.96</v>
      </c>
      <c r="GDX22">
        <v>2396.2399999999998</v>
      </c>
      <c r="GDY22">
        <v>2398.86</v>
      </c>
      <c r="GDZ22">
        <v>2398.91</v>
      </c>
      <c r="GEA22">
        <v>2409.87</v>
      </c>
      <c r="GEB22">
        <v>2421.91</v>
      </c>
      <c r="GEC22">
        <v>2423.9</v>
      </c>
      <c r="GED22">
        <v>2426.8999999999901</v>
      </c>
      <c r="GEE22">
        <v>2446.0699999999902</v>
      </c>
      <c r="GEF22">
        <v>2449.7399999999998</v>
      </c>
      <c r="GEG22">
        <v>2451.88</v>
      </c>
      <c r="GEH22">
        <v>2466.8999999999901</v>
      </c>
      <c r="GEI22">
        <v>2474.9399999999901</v>
      </c>
      <c r="GEJ22">
        <v>2478.75</v>
      </c>
      <c r="GEK22">
        <v>2478.9899999999998</v>
      </c>
      <c r="GEL22">
        <v>2480.84</v>
      </c>
      <c r="GEM22">
        <v>2482.0500000000002</v>
      </c>
      <c r="GEN22">
        <v>2483.92</v>
      </c>
      <c r="GEO22">
        <v>2489.96</v>
      </c>
      <c r="GEP22">
        <v>2496.92</v>
      </c>
      <c r="GEQ22">
        <v>2506.8999999999901</v>
      </c>
      <c r="GER22">
        <v>2516.9299999999998</v>
      </c>
      <c r="GES22">
        <v>2519</v>
      </c>
      <c r="GET22">
        <v>2524.96</v>
      </c>
      <c r="GEU22">
        <v>2526.92</v>
      </c>
      <c r="GEV22">
        <v>2538.9299999999998</v>
      </c>
      <c r="GEW22">
        <v>2546.92</v>
      </c>
      <c r="GEX22">
        <v>2571.9899999999998</v>
      </c>
      <c r="GEY22">
        <v>2573.94</v>
      </c>
      <c r="GEZ22">
        <v>2604.81</v>
      </c>
      <c r="GFA22">
        <v>2624.78</v>
      </c>
      <c r="GFB22">
        <v>2634.78</v>
      </c>
      <c r="GFC22">
        <v>2634.94</v>
      </c>
      <c r="GFD22">
        <v>2635.88</v>
      </c>
      <c r="GFE22">
        <v>2652.9</v>
      </c>
      <c r="GFF22">
        <v>2658.9</v>
      </c>
      <c r="GFG22">
        <v>2659.08</v>
      </c>
      <c r="GFH22">
        <v>2677.9</v>
      </c>
      <c r="GFI22">
        <v>2682.87</v>
      </c>
      <c r="GFJ22">
        <v>2690.97</v>
      </c>
      <c r="GFK22">
        <v>2696.95</v>
      </c>
      <c r="GFL22">
        <v>2701.93</v>
      </c>
      <c r="GFM22">
        <v>2709.98</v>
      </c>
      <c r="GFN22">
        <v>2718.93</v>
      </c>
      <c r="GFO22">
        <v>2721.97</v>
      </c>
      <c r="GFP22">
        <v>2722.91</v>
      </c>
      <c r="GFQ22">
        <v>2728.91</v>
      </c>
      <c r="GFR22">
        <v>2749.32</v>
      </c>
      <c r="GFS22">
        <v>2749.91</v>
      </c>
      <c r="GFT22">
        <v>2752.99</v>
      </c>
      <c r="GFU22">
        <v>2761.83</v>
      </c>
      <c r="GFV22">
        <v>2777.04</v>
      </c>
      <c r="GFW22">
        <v>2808.88</v>
      </c>
      <c r="GFX22">
        <v>2813.88</v>
      </c>
      <c r="GFY22">
        <v>2813.89</v>
      </c>
      <c r="GFZ22">
        <v>2834.82</v>
      </c>
      <c r="GGA22">
        <v>2858.06</v>
      </c>
      <c r="GGB22">
        <v>2869.79</v>
      </c>
      <c r="GGC22">
        <v>2873.94</v>
      </c>
      <c r="GGD22">
        <v>2897.99</v>
      </c>
      <c r="GGE22">
        <v>2905.89</v>
      </c>
      <c r="GGF22">
        <v>2908.89</v>
      </c>
      <c r="GGG22">
        <v>2924.88</v>
      </c>
      <c r="GGH22">
        <v>2935.82</v>
      </c>
      <c r="GGI22">
        <v>2935.95</v>
      </c>
      <c r="GGJ22">
        <v>2946.92</v>
      </c>
      <c r="GGK22">
        <v>2964.9</v>
      </c>
      <c r="GGL22">
        <v>2987.89</v>
      </c>
      <c r="GGM22">
        <v>3011.86</v>
      </c>
      <c r="GGN22">
        <v>3017.86</v>
      </c>
      <c r="GGO22">
        <v>3029.87</v>
      </c>
      <c r="GGP22">
        <v>3030.92</v>
      </c>
      <c r="GGQ22">
        <v>3032.98</v>
      </c>
      <c r="GGR22">
        <v>3037.85</v>
      </c>
      <c r="GGS22">
        <v>3048</v>
      </c>
      <c r="GGT22">
        <v>3063.41</v>
      </c>
      <c r="GGU22">
        <v>3064.9</v>
      </c>
      <c r="GGV22">
        <v>3084.88</v>
      </c>
      <c r="GGW22">
        <v>3088.83</v>
      </c>
      <c r="GGX22">
        <v>3100.86</v>
      </c>
      <c r="GGY22">
        <v>3100.98</v>
      </c>
      <c r="GGZ22">
        <v>3104.8</v>
      </c>
      <c r="GHA22">
        <v>3116.96</v>
      </c>
      <c r="GHB22">
        <v>3119.89</v>
      </c>
      <c r="GHC22">
        <v>3124.94</v>
      </c>
      <c r="GHD22">
        <v>3129.88</v>
      </c>
      <c r="GHE22">
        <v>3140.0099999999902</v>
      </c>
      <c r="GHF22">
        <v>3145</v>
      </c>
      <c r="GHG22">
        <v>3176.81</v>
      </c>
      <c r="GHH22">
        <v>3191.78</v>
      </c>
      <c r="GHI22">
        <v>3197.18</v>
      </c>
      <c r="GHJ22">
        <v>3206.76</v>
      </c>
      <c r="GHK22">
        <v>3207.87</v>
      </c>
      <c r="GHL22">
        <v>3209.9</v>
      </c>
      <c r="GHM22">
        <v>3211.8999999999901</v>
      </c>
      <c r="GHN22">
        <v>3215.8</v>
      </c>
      <c r="GHO22">
        <v>3233.94</v>
      </c>
      <c r="GHP22">
        <v>3237.85</v>
      </c>
      <c r="GHQ22">
        <v>3238.86</v>
      </c>
      <c r="GHR22">
        <v>3244.91</v>
      </c>
      <c r="GHS22">
        <v>3245.87</v>
      </c>
      <c r="GHT22">
        <v>3259.97</v>
      </c>
      <c r="GHU22">
        <v>3271.91</v>
      </c>
      <c r="GHV22">
        <v>3271.95</v>
      </c>
      <c r="GHW22">
        <v>3291.95</v>
      </c>
      <c r="GHX22">
        <v>3308.9399999999901</v>
      </c>
      <c r="GHY22">
        <v>3311.92</v>
      </c>
      <c r="GHZ22">
        <v>3314.9399999999901</v>
      </c>
      <c r="GIA22">
        <v>3336.81</v>
      </c>
      <c r="GIB22">
        <v>3336.93</v>
      </c>
      <c r="GIC22">
        <v>3349.8599999999901</v>
      </c>
      <c r="GID22">
        <v>3369.1499999999901</v>
      </c>
      <c r="GIE22">
        <v>3374.8</v>
      </c>
      <c r="GIF22">
        <v>3375.99</v>
      </c>
      <c r="GIG22">
        <v>3400.84</v>
      </c>
      <c r="GIH22">
        <v>3436.91</v>
      </c>
      <c r="GII22">
        <v>3459</v>
      </c>
      <c r="GIJ22">
        <v>3493.88</v>
      </c>
      <c r="GIK22">
        <v>3499.8599999999901</v>
      </c>
      <c r="GIL22">
        <v>3543.98</v>
      </c>
      <c r="GIM22">
        <v>3555.66</v>
      </c>
      <c r="GIN22">
        <v>3557.9</v>
      </c>
      <c r="GIO22">
        <v>3562.93</v>
      </c>
      <c r="GIP22">
        <v>3595.78</v>
      </c>
      <c r="GIQ22">
        <v>3596.84</v>
      </c>
      <c r="GIR22">
        <v>3637.84</v>
      </c>
      <c r="GIS22">
        <v>3641.9399999999901</v>
      </c>
      <c r="GIT22">
        <v>3655.83</v>
      </c>
      <c r="GIU22">
        <v>3674.93</v>
      </c>
      <c r="GIV22">
        <v>3680.83</v>
      </c>
      <c r="GIW22">
        <v>3682.86</v>
      </c>
      <c r="GIX22">
        <v>3692.8</v>
      </c>
      <c r="GIY22">
        <v>3710.47</v>
      </c>
      <c r="GIZ22">
        <v>3711.71</v>
      </c>
      <c r="GJA22">
        <v>3730.92</v>
      </c>
      <c r="GJB22">
        <v>3737.89</v>
      </c>
      <c r="GJC22">
        <v>3739.87</v>
      </c>
      <c r="GJD22">
        <v>3741.83</v>
      </c>
      <c r="GJE22">
        <v>3746.96</v>
      </c>
      <c r="GJF22">
        <v>3855.85</v>
      </c>
      <c r="GJG22">
        <v>3888.93</v>
      </c>
      <c r="GJH22">
        <v>3898.95</v>
      </c>
      <c r="GJI22">
        <v>3948.95</v>
      </c>
      <c r="GJJ22">
        <v>3951.86</v>
      </c>
      <c r="GJK22">
        <v>3973.87</v>
      </c>
      <c r="GJL22">
        <v>3980.91</v>
      </c>
      <c r="GJM22">
        <v>3982.8</v>
      </c>
      <c r="GJN22">
        <v>4008.83</v>
      </c>
      <c r="GJO22">
        <v>4080.86</v>
      </c>
      <c r="GJP22">
        <v>4095.93</v>
      </c>
      <c r="GJQ22">
        <v>4112.59</v>
      </c>
      <c r="GJR22">
        <v>4156.8099999999904</v>
      </c>
      <c r="GJS22">
        <v>4171.79</v>
      </c>
      <c r="GJT22">
        <v>4171.8</v>
      </c>
      <c r="GJU22">
        <v>4201.82</v>
      </c>
      <c r="GJV22">
        <v>4207.1400000000003</v>
      </c>
      <c r="GJW22">
        <v>4344.74</v>
      </c>
      <c r="GJX22">
        <v>4354.7700000000004</v>
      </c>
      <c r="GJY22">
        <v>4367.8899999999903</v>
      </c>
      <c r="GJZ22">
        <v>4370.83</v>
      </c>
      <c r="GKA22">
        <v>4371.1400000000003</v>
      </c>
      <c r="GKB22">
        <v>4376.2700000000004</v>
      </c>
      <c r="GKC22">
        <v>4394.8900000000003</v>
      </c>
      <c r="GKD22">
        <v>4429.75</v>
      </c>
      <c r="GKE22">
        <v>4450.93</v>
      </c>
      <c r="GKF22">
        <v>4491.74</v>
      </c>
      <c r="GKG22">
        <v>4506.8499999999904</v>
      </c>
      <c r="GKH22">
        <v>4536.79</v>
      </c>
      <c r="GKI22">
        <v>4546.79</v>
      </c>
      <c r="GKJ22">
        <v>4557.84</v>
      </c>
      <c r="GKK22">
        <v>4675.82</v>
      </c>
      <c r="GKL22">
        <v>4724.8599999999997</v>
      </c>
      <c r="GKM22">
        <v>4773.78</v>
      </c>
      <c r="GKN22">
        <v>4821.8999999999996</v>
      </c>
      <c r="GKO22">
        <v>4840.8099999999904</v>
      </c>
      <c r="GKP22">
        <v>4853.5</v>
      </c>
      <c r="GKQ22">
        <v>4863.95</v>
      </c>
      <c r="GKR22">
        <v>4901.83</v>
      </c>
      <c r="GKS22">
        <v>4908.93</v>
      </c>
      <c r="GKT22">
        <v>4978.78</v>
      </c>
      <c r="GKU22">
        <v>5044.8100000000004</v>
      </c>
      <c r="GKV22">
        <v>5074.8100000000004</v>
      </c>
      <c r="GKW22">
        <v>5076.88</v>
      </c>
      <c r="GKX22">
        <v>5077.83</v>
      </c>
      <c r="GKY22">
        <v>5158.7</v>
      </c>
      <c r="GKZ22">
        <v>5180.68</v>
      </c>
      <c r="GLA22">
        <v>5181.78</v>
      </c>
      <c r="GLB22">
        <v>5208.82</v>
      </c>
      <c r="GLC22">
        <v>5242.7</v>
      </c>
      <c r="GLD22">
        <v>5281.76</v>
      </c>
      <c r="GLE22">
        <v>5290.75</v>
      </c>
      <c r="GLF22">
        <v>5384.91</v>
      </c>
      <c r="GLG22">
        <v>5386.94</v>
      </c>
      <c r="GLH22">
        <v>5392.7</v>
      </c>
      <c r="GLI22">
        <v>5396.79</v>
      </c>
      <c r="GLJ22">
        <v>5412.87</v>
      </c>
      <c r="GLK22">
        <v>5421.86</v>
      </c>
      <c r="GLL22">
        <v>5442.6399999999903</v>
      </c>
      <c r="GLM22">
        <v>5446.78</v>
      </c>
      <c r="GLN22">
        <v>5460.6299999999901</v>
      </c>
      <c r="GLO22">
        <v>5514.76</v>
      </c>
      <c r="GLP22">
        <v>5537.81</v>
      </c>
      <c r="GLQ22">
        <v>5555.66</v>
      </c>
      <c r="GLR22">
        <v>5565.45</v>
      </c>
      <c r="GLS22">
        <v>5603.7199999999903</v>
      </c>
      <c r="GLT22">
        <v>5604.86</v>
      </c>
      <c r="GLU22">
        <v>5609.7</v>
      </c>
      <c r="GLV22">
        <v>5616.76</v>
      </c>
      <c r="GLW22">
        <v>5660.61</v>
      </c>
      <c r="GLX22">
        <v>5672.88</v>
      </c>
      <c r="GLY22">
        <v>5706.79</v>
      </c>
      <c r="GLZ22">
        <v>5819.76</v>
      </c>
      <c r="GMA22">
        <v>5885.51</v>
      </c>
      <c r="GMB22">
        <v>5896.75</v>
      </c>
      <c r="GMC22">
        <v>5904.84</v>
      </c>
      <c r="GMD22">
        <v>5909.93</v>
      </c>
      <c r="GME22">
        <v>6046.78</v>
      </c>
      <c r="GMF22">
        <v>6071.70999999999</v>
      </c>
      <c r="GMG22">
        <v>6097.8</v>
      </c>
      <c r="GMH22">
        <v>6134.05</v>
      </c>
      <c r="GMI22">
        <v>6140.86</v>
      </c>
      <c r="GMJ22">
        <v>6170.8099999999904</v>
      </c>
      <c r="GMK22">
        <v>6204.6399999999903</v>
      </c>
      <c r="GML22">
        <v>6210.74</v>
      </c>
      <c r="GMM22">
        <v>6219.73</v>
      </c>
      <c r="GMN22">
        <v>6286.7999999999902</v>
      </c>
      <c r="GMO22">
        <v>6368.69</v>
      </c>
      <c r="GMP22">
        <v>6397.68</v>
      </c>
      <c r="GMQ22">
        <v>6401.87</v>
      </c>
      <c r="GMR22">
        <v>6417.96</v>
      </c>
      <c r="GMS22">
        <v>6435.52</v>
      </c>
      <c r="GMT22">
        <v>6497.84</v>
      </c>
      <c r="GMU22">
        <v>6502.69</v>
      </c>
      <c r="GMV22">
        <v>6558.7199999999903</v>
      </c>
      <c r="GMW22">
        <v>6587.92</v>
      </c>
      <c r="GMX22">
        <v>6605.4</v>
      </c>
      <c r="GMY22">
        <v>6627.82</v>
      </c>
      <c r="GMZ22">
        <v>6671.73</v>
      </c>
      <c r="GNA22">
        <v>6694.73</v>
      </c>
      <c r="GNB22">
        <v>6730.91</v>
      </c>
      <c r="GNC22">
        <v>6732.84</v>
      </c>
      <c r="GND22">
        <v>6753.6</v>
      </c>
      <c r="GNE22">
        <v>6889.74</v>
      </c>
      <c r="GNF22">
        <v>7061.53</v>
      </c>
      <c r="GNG22">
        <v>7114.7</v>
      </c>
      <c r="GNH22">
        <v>7119.39</v>
      </c>
      <c r="GNI22">
        <v>7143.49</v>
      </c>
      <c r="GNJ22">
        <v>7193.69</v>
      </c>
      <c r="GNK22">
        <v>7253.44</v>
      </c>
      <c r="GNL22">
        <v>7278.76</v>
      </c>
      <c r="GNM22">
        <v>7288.81</v>
      </c>
      <c r="GNN22">
        <v>7334.78</v>
      </c>
      <c r="GNO22">
        <v>7504.76</v>
      </c>
      <c r="GNP22">
        <v>7516.33</v>
      </c>
      <c r="GNQ22">
        <v>7521.71</v>
      </c>
      <c r="GNR22">
        <v>7581.75</v>
      </c>
      <c r="GNS22">
        <v>7655.73</v>
      </c>
      <c r="GNT22">
        <v>7671.75</v>
      </c>
      <c r="GNU22">
        <v>7813.86</v>
      </c>
      <c r="GNV22">
        <v>7828.59</v>
      </c>
      <c r="GNW22">
        <v>7872.76</v>
      </c>
      <c r="GNX22">
        <v>7958.74</v>
      </c>
      <c r="GNY22">
        <v>8090.93</v>
      </c>
      <c r="GNZ22">
        <v>8173.8599999999897</v>
      </c>
      <c r="GOA22">
        <v>8220.67</v>
      </c>
      <c r="GOB22">
        <v>8272.6</v>
      </c>
      <c r="GOC22">
        <v>8411.65</v>
      </c>
      <c r="GOD22">
        <v>8428.59</v>
      </c>
      <c r="GOE22">
        <v>8468.59</v>
      </c>
      <c r="GOF22">
        <v>8490.83</v>
      </c>
      <c r="GOG22">
        <v>8773.9</v>
      </c>
      <c r="GOH22">
        <v>8839.92</v>
      </c>
      <c r="GOI22">
        <v>8886.5499999999993</v>
      </c>
      <c r="GOJ22">
        <v>8896.7099999999991</v>
      </c>
      <c r="GOK22">
        <v>9108.2900000000009</v>
      </c>
      <c r="GOL22">
        <v>9213.68</v>
      </c>
      <c r="GOM22">
        <v>9236.66</v>
      </c>
      <c r="GON22">
        <v>9425.7199999999993</v>
      </c>
      <c r="GOO22">
        <v>9465.57</v>
      </c>
      <c r="GOP22">
        <v>9470.6899999999896</v>
      </c>
      <c r="GOQ22">
        <v>9665.66</v>
      </c>
      <c r="GOR22">
        <v>9789.49</v>
      </c>
      <c r="GOS22">
        <v>9791.6299999999992</v>
      </c>
      <c r="GOT22">
        <v>9818.7799999999897</v>
      </c>
      <c r="GOU22">
        <v>9860.8799999999992</v>
      </c>
      <c r="GOV22">
        <v>10056.7699999999</v>
      </c>
      <c r="GOW22">
        <v>10371.699999999901</v>
      </c>
      <c r="GOX22">
        <v>10395.66</v>
      </c>
      <c r="GOY22">
        <v>10829.7</v>
      </c>
      <c r="GOZ22">
        <v>10957.46</v>
      </c>
      <c r="GPA22">
        <v>10988.22</v>
      </c>
      <c r="GPB22">
        <v>11073.22</v>
      </c>
      <c r="GPC22">
        <v>11121.779999999901</v>
      </c>
      <c r="GPD22">
        <v>11139.47</v>
      </c>
      <c r="GPE22">
        <v>11235.54</v>
      </c>
      <c r="GPF22">
        <v>11281.69</v>
      </c>
      <c r="GPG22">
        <v>11309.36</v>
      </c>
      <c r="GPH22">
        <v>11517.64</v>
      </c>
      <c r="GPI22">
        <v>11548.5799999999</v>
      </c>
      <c r="GPJ22">
        <v>11574.3999999999</v>
      </c>
      <c r="GPK22">
        <v>11582.609999999901</v>
      </c>
      <c r="GPL22">
        <v>11619.41</v>
      </c>
      <c r="GPM22">
        <v>11667.4</v>
      </c>
      <c r="GPN22">
        <v>11673.3199999999</v>
      </c>
      <c r="GPO22">
        <v>11892.48</v>
      </c>
      <c r="GPP22">
        <v>11925.51</v>
      </c>
      <c r="GPQ22">
        <v>11998.65</v>
      </c>
      <c r="GPR22">
        <v>12263.38</v>
      </c>
      <c r="GPS22">
        <v>12450.369999999901</v>
      </c>
      <c r="GPT22">
        <v>12553.81</v>
      </c>
      <c r="GPU22">
        <v>12672.55</v>
      </c>
      <c r="GPV22">
        <v>12757.77</v>
      </c>
      <c r="GPW22">
        <v>12798.7</v>
      </c>
      <c r="GPX22">
        <v>12902.37</v>
      </c>
      <c r="GPY22">
        <v>12948.34</v>
      </c>
      <c r="GPZ22">
        <v>12995.34</v>
      </c>
      <c r="GQA22">
        <v>13090.72</v>
      </c>
      <c r="GQB22">
        <v>13095.55</v>
      </c>
      <c r="GQC22">
        <v>13259.05</v>
      </c>
      <c r="GQD22">
        <v>13303.64</v>
      </c>
      <c r="GQE22">
        <v>13761.69</v>
      </c>
      <c r="GQF22">
        <v>14343.48</v>
      </c>
      <c r="GQG22">
        <v>14628.61</v>
      </c>
      <c r="GQH22">
        <v>15194.35</v>
      </c>
      <c r="GQI22">
        <v>15306.5999999999</v>
      </c>
      <c r="GQJ22">
        <v>15477.119999999901</v>
      </c>
      <c r="GQK22">
        <v>15669.65</v>
      </c>
      <c r="GQL22">
        <v>15912.529999999901</v>
      </c>
      <c r="GQM22">
        <v>17208.62</v>
      </c>
      <c r="GQN22">
        <v>17884.55</v>
      </c>
      <c r="GQO22">
        <v>17943.88</v>
      </c>
      <c r="GQP22">
        <v>18904.7</v>
      </c>
      <c r="GQQ22">
        <v>19103.91</v>
      </c>
      <c r="GQR22">
        <v>19154.28</v>
      </c>
      <c r="GQS22">
        <v>19403.53</v>
      </c>
      <c r="GQT22">
        <v>19511.29</v>
      </c>
      <c r="GQU22">
        <v>20048.150000000001</v>
      </c>
      <c r="GQV22">
        <v>20054.02</v>
      </c>
      <c r="GQW22">
        <v>20082.37</v>
      </c>
      <c r="GQX22">
        <v>20747.22</v>
      </c>
      <c r="GQY22">
        <v>20830.669999999998</v>
      </c>
      <c r="GQZ22">
        <v>21191.24</v>
      </c>
      <c r="GRA22">
        <v>21377.89</v>
      </c>
      <c r="GRB22">
        <v>21458.519999999899</v>
      </c>
      <c r="GRC22">
        <v>21465.58</v>
      </c>
      <c r="GRD22">
        <v>21771.43</v>
      </c>
      <c r="GRE22">
        <v>21861.16</v>
      </c>
      <c r="GRF22">
        <v>22126.22</v>
      </c>
      <c r="GRG22">
        <v>22544.35</v>
      </c>
      <c r="GRH22">
        <v>22646.75</v>
      </c>
      <c r="GRI22">
        <v>22995.34</v>
      </c>
      <c r="GRJ22">
        <v>23213.58</v>
      </c>
      <c r="GRK22">
        <v>23712.11</v>
      </c>
      <c r="GRL22">
        <v>24302.31</v>
      </c>
      <c r="GRM22">
        <v>24976.28</v>
      </c>
      <c r="GRN22">
        <v>24999.89</v>
      </c>
      <c r="GRO22">
        <v>25113.67</v>
      </c>
      <c r="GRP22">
        <v>25394.39</v>
      </c>
      <c r="GRQ22">
        <v>25793.279999999999</v>
      </c>
      <c r="GRR22">
        <v>27373.74</v>
      </c>
      <c r="GRS22">
        <v>30814.799999999999</v>
      </c>
      <c r="GRT22">
        <v>31994.67</v>
      </c>
      <c r="GRU22">
        <v>34285.64</v>
      </c>
      <c r="GRV22">
        <v>37867.539999999899</v>
      </c>
      <c r="GRW22">
        <v>38099.24</v>
      </c>
      <c r="GRX22">
        <v>39037.5</v>
      </c>
      <c r="GRY22">
        <v>39793.760000000002</v>
      </c>
      <c r="GRZ22">
        <v>41050.61</v>
      </c>
      <c r="GSA22">
        <v>41823.230000000003</v>
      </c>
      <c r="GSB22">
        <v>44400.86</v>
      </c>
      <c r="GSC22">
        <v>44976.909999999902</v>
      </c>
      <c r="GSD22">
        <v>45771.22</v>
      </c>
      <c r="GSE22">
        <v>49519.35</v>
      </c>
      <c r="GSF22">
        <v>50594.41</v>
      </c>
      <c r="GSG22">
        <v>54132.23</v>
      </c>
      <c r="GSH22">
        <v>54290.549999999901</v>
      </c>
      <c r="GSI22">
        <v>56559.85</v>
      </c>
      <c r="GSJ22">
        <v>72429.81</v>
      </c>
      <c r="GSK22">
        <v>73952.479999999996</v>
      </c>
      <c r="GSL22">
        <v>82894.320000000007</v>
      </c>
      <c r="GSM22">
        <v>88728.54</v>
      </c>
      <c r="GSN22">
        <v>93490.069999999905</v>
      </c>
      <c r="GSO22">
        <v>99446.299999999901</v>
      </c>
      <c r="GSP22">
        <v>150925.47999999899</v>
      </c>
      <c r="GSQ22">
        <v>291295.88</v>
      </c>
      <c r="GSR22">
        <f>SUM(GSR2:GSR21)</f>
        <v>5629011.6500000004</v>
      </c>
    </row>
    <row r="23" spans="1:5244" x14ac:dyDescent="0.2">
      <c r="A23" s="29" t="s">
        <v>5244</v>
      </c>
      <c r="B23">
        <v>0.05</v>
      </c>
      <c r="C23">
        <v>0.1</v>
      </c>
      <c r="D23">
        <v>0.1</v>
      </c>
      <c r="E23">
        <v>0.1</v>
      </c>
      <c r="F23">
        <v>0.1</v>
      </c>
      <c r="G23">
        <v>0.1</v>
      </c>
      <c r="H23">
        <v>0.1</v>
      </c>
      <c r="I23">
        <v>0.1</v>
      </c>
      <c r="J23">
        <v>0.1</v>
      </c>
      <c r="K23">
        <v>0.1</v>
      </c>
      <c r="L23">
        <v>0.1</v>
      </c>
      <c r="M23">
        <v>0.15</v>
      </c>
      <c r="N23">
        <v>0.15</v>
      </c>
      <c r="O23">
        <v>0.15</v>
      </c>
      <c r="P23">
        <v>0.15</v>
      </c>
      <c r="Q23">
        <v>0.15</v>
      </c>
      <c r="R23">
        <v>0.15</v>
      </c>
      <c r="S23">
        <v>0.15</v>
      </c>
      <c r="T23">
        <v>0.15</v>
      </c>
      <c r="U23">
        <v>0.15</v>
      </c>
      <c r="V23">
        <v>0.15</v>
      </c>
      <c r="W23">
        <v>0.15</v>
      </c>
      <c r="X23">
        <v>0.15</v>
      </c>
      <c r="Y23">
        <v>0.15</v>
      </c>
      <c r="Z23">
        <v>0.15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  <c r="BB23">
        <v>0.2</v>
      </c>
      <c r="BC23">
        <v>0.2</v>
      </c>
      <c r="BD23">
        <v>0.2</v>
      </c>
      <c r="BE23">
        <v>0.2</v>
      </c>
      <c r="BF23">
        <v>0.25</v>
      </c>
      <c r="BG23">
        <v>0.25</v>
      </c>
      <c r="BH23">
        <v>0.25</v>
      </c>
      <c r="BI23">
        <v>0.25</v>
      </c>
      <c r="BJ23">
        <v>0.25</v>
      </c>
      <c r="BK23">
        <v>0.25</v>
      </c>
      <c r="BL23">
        <v>0.25</v>
      </c>
      <c r="BM23">
        <v>0.25</v>
      </c>
      <c r="BN23">
        <v>0.25</v>
      </c>
      <c r="BO23">
        <v>0.25</v>
      </c>
      <c r="BP23">
        <v>0.25</v>
      </c>
      <c r="BQ23">
        <v>0.25</v>
      </c>
      <c r="BR23">
        <v>0.25</v>
      </c>
      <c r="BS23">
        <v>0.25</v>
      </c>
      <c r="BT23">
        <v>0.25</v>
      </c>
      <c r="BU23">
        <v>0.25</v>
      </c>
      <c r="BV23">
        <v>0.25</v>
      </c>
      <c r="BW23">
        <v>0.25</v>
      </c>
      <c r="BX23">
        <v>0.25</v>
      </c>
      <c r="BY23">
        <v>0.25</v>
      </c>
      <c r="BZ23">
        <v>0.25</v>
      </c>
      <c r="CA23">
        <v>0.25</v>
      </c>
      <c r="CB23">
        <v>0.25</v>
      </c>
      <c r="CC23">
        <v>0.25</v>
      </c>
      <c r="CD23">
        <v>0.25</v>
      </c>
      <c r="CE23">
        <v>0.25</v>
      </c>
      <c r="CF23">
        <v>0.25</v>
      </c>
      <c r="CG23">
        <v>0.25</v>
      </c>
      <c r="CH23">
        <v>0.25</v>
      </c>
      <c r="CI23">
        <v>0.25</v>
      </c>
      <c r="CJ23">
        <v>0.25</v>
      </c>
      <c r="CK23">
        <v>0.25</v>
      </c>
      <c r="CL23">
        <v>0.25</v>
      </c>
      <c r="CM23">
        <v>0.25</v>
      </c>
      <c r="CN23">
        <v>0.25</v>
      </c>
      <c r="CO23">
        <v>0.25</v>
      </c>
      <c r="CP23">
        <v>0.25</v>
      </c>
      <c r="CQ23">
        <v>0.25</v>
      </c>
      <c r="CR23">
        <v>0.25</v>
      </c>
      <c r="CS23">
        <v>0.25</v>
      </c>
      <c r="CT23">
        <v>0.3</v>
      </c>
      <c r="CU23">
        <v>0.3</v>
      </c>
      <c r="CV23">
        <v>0.3</v>
      </c>
      <c r="CW23">
        <v>0.3</v>
      </c>
      <c r="CX23">
        <v>0.3</v>
      </c>
      <c r="CY23">
        <v>0.3</v>
      </c>
      <c r="CZ23">
        <v>0.3</v>
      </c>
      <c r="DA23">
        <v>0.3</v>
      </c>
      <c r="DB23">
        <v>0.3</v>
      </c>
      <c r="DC23">
        <v>0.3</v>
      </c>
      <c r="DD23">
        <v>0.3</v>
      </c>
      <c r="DE23">
        <v>0.3</v>
      </c>
      <c r="DF23">
        <v>0.3</v>
      </c>
      <c r="DG23">
        <v>0.3</v>
      </c>
      <c r="DH23">
        <v>0.3</v>
      </c>
      <c r="DI23">
        <v>0.3</v>
      </c>
      <c r="DJ23">
        <v>0.3</v>
      </c>
      <c r="DK23">
        <v>0.3</v>
      </c>
      <c r="DL23">
        <v>0.3</v>
      </c>
      <c r="DM23">
        <v>0.3</v>
      </c>
      <c r="DN23">
        <v>0.3</v>
      </c>
      <c r="DO23">
        <v>0.3</v>
      </c>
      <c r="DP23">
        <v>0.3</v>
      </c>
      <c r="DQ23">
        <v>0.3</v>
      </c>
      <c r="DR23">
        <v>0.3</v>
      </c>
      <c r="DS23">
        <v>0.3</v>
      </c>
      <c r="DT23">
        <v>0.3</v>
      </c>
      <c r="DU23">
        <v>0.3</v>
      </c>
      <c r="DV23">
        <v>0.3</v>
      </c>
      <c r="DW23">
        <v>0.3</v>
      </c>
      <c r="DX23">
        <v>0.3</v>
      </c>
      <c r="DY23">
        <v>0.3</v>
      </c>
      <c r="DZ23">
        <v>0.3</v>
      </c>
      <c r="EA23">
        <v>0.3</v>
      </c>
      <c r="EB23">
        <v>0.3</v>
      </c>
      <c r="EC23">
        <v>0.3</v>
      </c>
      <c r="ED23">
        <v>0.3</v>
      </c>
      <c r="EE23">
        <v>0.3</v>
      </c>
      <c r="EF23">
        <v>0.3</v>
      </c>
      <c r="EG23">
        <v>0.3</v>
      </c>
      <c r="EH23">
        <v>0.3</v>
      </c>
      <c r="EI23">
        <v>0.3</v>
      </c>
      <c r="EJ23">
        <v>0.3</v>
      </c>
      <c r="EK23">
        <v>0.3</v>
      </c>
      <c r="EL23">
        <v>0.3</v>
      </c>
      <c r="EM23">
        <v>0.3</v>
      </c>
      <c r="EN23">
        <v>0.3</v>
      </c>
      <c r="EO23">
        <v>0.3</v>
      </c>
      <c r="EP23">
        <v>0.3</v>
      </c>
      <c r="EQ23">
        <v>0.3</v>
      </c>
      <c r="ER23">
        <v>0.3</v>
      </c>
      <c r="ES23">
        <v>0.3</v>
      </c>
      <c r="ET23">
        <v>0.3</v>
      </c>
      <c r="EU23">
        <v>0.3</v>
      </c>
      <c r="EV23">
        <v>0.3</v>
      </c>
      <c r="EW23">
        <v>0.3</v>
      </c>
      <c r="EX23">
        <v>0.3</v>
      </c>
      <c r="EY23">
        <v>0.3</v>
      </c>
      <c r="EZ23">
        <v>0.3</v>
      </c>
      <c r="FA23">
        <v>0.3</v>
      </c>
      <c r="FB23">
        <v>0.3</v>
      </c>
      <c r="FC23">
        <v>0.3</v>
      </c>
      <c r="FD23">
        <v>0.3</v>
      </c>
      <c r="FE23">
        <v>0.3</v>
      </c>
      <c r="FF23">
        <v>0.35</v>
      </c>
      <c r="FG23">
        <v>0.35</v>
      </c>
      <c r="FH23">
        <v>0.35</v>
      </c>
      <c r="FI23">
        <v>0.35</v>
      </c>
      <c r="FJ23">
        <v>0.35</v>
      </c>
      <c r="FK23">
        <v>0.35</v>
      </c>
      <c r="FL23">
        <v>0.35</v>
      </c>
      <c r="FM23">
        <v>0.35</v>
      </c>
      <c r="FN23">
        <v>0.35</v>
      </c>
      <c r="FO23">
        <v>0.35</v>
      </c>
      <c r="FP23">
        <v>0.35</v>
      </c>
      <c r="FQ23">
        <v>0.35</v>
      </c>
      <c r="FR23">
        <v>0.35</v>
      </c>
      <c r="FS23">
        <v>0.35</v>
      </c>
      <c r="FT23">
        <v>0.35</v>
      </c>
      <c r="FU23">
        <v>0.35</v>
      </c>
      <c r="FV23">
        <v>0.35</v>
      </c>
      <c r="FW23">
        <v>0.35</v>
      </c>
      <c r="FX23">
        <v>0.35</v>
      </c>
      <c r="FY23">
        <v>0.35</v>
      </c>
      <c r="FZ23">
        <v>0.35</v>
      </c>
      <c r="GA23">
        <v>0.35</v>
      </c>
      <c r="GB23">
        <v>0.35</v>
      </c>
      <c r="GC23">
        <v>0.35</v>
      </c>
      <c r="GD23">
        <v>0.35</v>
      </c>
      <c r="GE23">
        <v>0.35</v>
      </c>
      <c r="GF23">
        <v>0.35</v>
      </c>
      <c r="GG23">
        <v>0.35</v>
      </c>
      <c r="GH23">
        <v>0.35</v>
      </c>
      <c r="GI23">
        <v>0.35</v>
      </c>
      <c r="GJ23">
        <v>0.35</v>
      </c>
      <c r="GK23">
        <v>0.35</v>
      </c>
      <c r="GL23">
        <v>0.35</v>
      </c>
      <c r="GM23">
        <v>0.35</v>
      </c>
      <c r="GN23">
        <v>0.35</v>
      </c>
      <c r="GO23">
        <v>0.35</v>
      </c>
      <c r="GP23">
        <v>0.35</v>
      </c>
      <c r="GQ23">
        <v>0.35</v>
      </c>
      <c r="GR23">
        <v>0.35</v>
      </c>
      <c r="GS23">
        <v>0.35</v>
      </c>
      <c r="GT23">
        <v>0.35</v>
      </c>
      <c r="GU23">
        <v>0.35</v>
      </c>
      <c r="GV23">
        <v>0.35</v>
      </c>
      <c r="GW23">
        <v>0.35</v>
      </c>
      <c r="GX23">
        <v>0.35</v>
      </c>
      <c r="GY23">
        <v>0.35</v>
      </c>
      <c r="GZ23">
        <v>0.35</v>
      </c>
      <c r="HA23">
        <v>0.35</v>
      </c>
      <c r="HB23">
        <v>0.35</v>
      </c>
      <c r="HC23">
        <v>0.35</v>
      </c>
      <c r="HD23">
        <v>0.35</v>
      </c>
      <c r="HE23">
        <v>0.35</v>
      </c>
      <c r="HF23">
        <v>0.35</v>
      </c>
      <c r="HG23">
        <v>0.35</v>
      </c>
      <c r="HH23">
        <v>0.35</v>
      </c>
      <c r="HI23">
        <v>0.35</v>
      </c>
      <c r="HJ23">
        <v>0.35</v>
      </c>
      <c r="HK23">
        <v>0.35</v>
      </c>
      <c r="HL23">
        <v>0.35</v>
      </c>
      <c r="HM23">
        <v>0.35</v>
      </c>
      <c r="HN23">
        <v>0.35</v>
      </c>
      <c r="HO23">
        <v>0.35</v>
      </c>
      <c r="HP23">
        <v>0.35</v>
      </c>
      <c r="HQ23">
        <v>0.35</v>
      </c>
      <c r="HR23">
        <v>0.35</v>
      </c>
      <c r="HS23">
        <v>0.35</v>
      </c>
      <c r="HT23">
        <v>0.4</v>
      </c>
      <c r="HU23">
        <v>0.4</v>
      </c>
      <c r="HV23">
        <v>0.4</v>
      </c>
      <c r="HW23">
        <v>0.4</v>
      </c>
      <c r="HX23">
        <v>0.4</v>
      </c>
      <c r="HY23">
        <v>0.4</v>
      </c>
      <c r="HZ23">
        <v>0.4</v>
      </c>
      <c r="IA23">
        <v>0.4</v>
      </c>
      <c r="IB23">
        <v>0.4</v>
      </c>
      <c r="IC23">
        <v>0.4</v>
      </c>
      <c r="ID23">
        <v>0.4</v>
      </c>
      <c r="IE23">
        <v>0.4</v>
      </c>
      <c r="IF23">
        <v>0.4</v>
      </c>
      <c r="IG23">
        <v>0.4</v>
      </c>
      <c r="IH23">
        <v>0.4</v>
      </c>
      <c r="II23">
        <v>0.4</v>
      </c>
      <c r="IJ23">
        <v>0.4</v>
      </c>
      <c r="IK23">
        <v>0.4</v>
      </c>
      <c r="IL23">
        <v>0.4</v>
      </c>
      <c r="IM23">
        <v>0.4</v>
      </c>
      <c r="IN23">
        <v>0.4</v>
      </c>
      <c r="IO23">
        <v>0.4</v>
      </c>
      <c r="IP23">
        <v>0.4</v>
      </c>
      <c r="IQ23">
        <v>0.4</v>
      </c>
      <c r="IR23">
        <v>0.4</v>
      </c>
      <c r="IS23">
        <v>0.4</v>
      </c>
      <c r="IT23">
        <v>0.4</v>
      </c>
      <c r="IU23">
        <v>0.4</v>
      </c>
      <c r="IV23">
        <v>0.4</v>
      </c>
      <c r="IW23">
        <v>0.4</v>
      </c>
      <c r="IX23">
        <v>0.4</v>
      </c>
      <c r="IY23">
        <v>0.4</v>
      </c>
      <c r="IZ23">
        <v>0.4</v>
      </c>
      <c r="JA23">
        <v>0.4</v>
      </c>
      <c r="JB23">
        <v>0.4</v>
      </c>
      <c r="JC23">
        <v>0.4</v>
      </c>
      <c r="JD23">
        <v>0.4</v>
      </c>
      <c r="JE23">
        <v>0.4</v>
      </c>
      <c r="JF23">
        <v>0.4</v>
      </c>
      <c r="JG23">
        <v>0.4</v>
      </c>
      <c r="JH23">
        <v>0.4</v>
      </c>
      <c r="JI23">
        <v>0.4</v>
      </c>
      <c r="JJ23">
        <v>0.4</v>
      </c>
      <c r="JK23">
        <v>0.4</v>
      </c>
      <c r="JL23">
        <v>0.4</v>
      </c>
      <c r="JM23">
        <v>0.4</v>
      </c>
      <c r="JN23">
        <v>0.4</v>
      </c>
      <c r="JO23">
        <v>0.4</v>
      </c>
      <c r="JP23">
        <v>0.4</v>
      </c>
      <c r="JQ23">
        <v>0.45</v>
      </c>
      <c r="JR23">
        <v>0.45</v>
      </c>
      <c r="JS23">
        <v>0.45</v>
      </c>
      <c r="JT23">
        <v>0.45</v>
      </c>
      <c r="JU23">
        <v>0.45</v>
      </c>
      <c r="JV23">
        <v>0.45</v>
      </c>
      <c r="JW23">
        <v>0.45</v>
      </c>
      <c r="JX23">
        <v>0.45</v>
      </c>
      <c r="JY23">
        <v>0.45</v>
      </c>
      <c r="JZ23">
        <v>0.45</v>
      </c>
      <c r="KA23">
        <v>0.45</v>
      </c>
      <c r="KB23">
        <v>0.45</v>
      </c>
      <c r="KC23">
        <v>0.45</v>
      </c>
      <c r="KD23">
        <v>0.45</v>
      </c>
      <c r="KE23">
        <v>0.45</v>
      </c>
      <c r="KF23">
        <v>0.45</v>
      </c>
      <c r="KG23">
        <v>0.45</v>
      </c>
      <c r="KH23">
        <v>0.45</v>
      </c>
      <c r="KI23">
        <v>0.45</v>
      </c>
      <c r="KJ23">
        <v>0.45</v>
      </c>
      <c r="KK23">
        <v>0.45</v>
      </c>
      <c r="KL23">
        <v>0.45</v>
      </c>
      <c r="KM23">
        <v>0.45</v>
      </c>
      <c r="KN23">
        <v>0.45</v>
      </c>
      <c r="KO23">
        <v>0.45</v>
      </c>
      <c r="KP23">
        <v>0.45</v>
      </c>
      <c r="KQ23">
        <v>0.45</v>
      </c>
      <c r="KR23">
        <v>0.45</v>
      </c>
      <c r="KS23">
        <v>0.45</v>
      </c>
      <c r="KT23">
        <v>0.45</v>
      </c>
      <c r="KU23">
        <v>0.45</v>
      </c>
      <c r="KV23">
        <v>0.45</v>
      </c>
      <c r="KW23">
        <v>0.45</v>
      </c>
      <c r="KX23">
        <v>0.45</v>
      </c>
      <c r="KY23">
        <v>0.45</v>
      </c>
      <c r="KZ23">
        <v>0.45</v>
      </c>
      <c r="LA23">
        <v>0.45</v>
      </c>
      <c r="LB23">
        <v>0.45</v>
      </c>
      <c r="LC23">
        <v>0.45</v>
      </c>
      <c r="LD23">
        <v>0.45</v>
      </c>
      <c r="LE23">
        <v>0.45</v>
      </c>
      <c r="LF23">
        <v>0.45</v>
      </c>
      <c r="LG23">
        <v>0.45</v>
      </c>
      <c r="LH23">
        <v>0.45</v>
      </c>
      <c r="LI23">
        <v>0.45</v>
      </c>
      <c r="LJ23">
        <v>0.45</v>
      </c>
      <c r="LK23">
        <v>0.45</v>
      </c>
      <c r="LL23">
        <v>0.45</v>
      </c>
      <c r="LM23">
        <v>0.45</v>
      </c>
      <c r="LN23">
        <v>0.5</v>
      </c>
      <c r="LO23">
        <v>0.5</v>
      </c>
      <c r="LP23">
        <v>0.5</v>
      </c>
      <c r="LQ23">
        <v>0.5</v>
      </c>
      <c r="LR23">
        <v>0.5</v>
      </c>
      <c r="LS23">
        <v>0.5</v>
      </c>
      <c r="LT23">
        <v>0.5</v>
      </c>
      <c r="LU23">
        <v>0.5</v>
      </c>
      <c r="LV23">
        <v>0.5</v>
      </c>
      <c r="LW23">
        <v>0.5</v>
      </c>
      <c r="LX23">
        <v>0.5</v>
      </c>
      <c r="LY23">
        <v>0.5</v>
      </c>
      <c r="LZ23">
        <v>0.5</v>
      </c>
      <c r="MA23">
        <v>0.5</v>
      </c>
      <c r="MB23">
        <v>0.5</v>
      </c>
      <c r="MC23">
        <v>0.5</v>
      </c>
      <c r="MD23">
        <v>0.5</v>
      </c>
      <c r="ME23">
        <v>0.5</v>
      </c>
      <c r="MF23">
        <v>0.5</v>
      </c>
      <c r="MG23">
        <v>0.5</v>
      </c>
      <c r="MH23">
        <v>0.5</v>
      </c>
      <c r="MI23">
        <v>0.5</v>
      </c>
      <c r="MJ23">
        <v>0.5</v>
      </c>
      <c r="MK23">
        <v>0.5</v>
      </c>
      <c r="ML23">
        <v>0.5</v>
      </c>
      <c r="MM23">
        <v>0.5</v>
      </c>
      <c r="MN23">
        <v>0.5</v>
      </c>
      <c r="MO23">
        <v>0.5</v>
      </c>
      <c r="MP23">
        <v>0.5</v>
      </c>
      <c r="MQ23">
        <v>0.5</v>
      </c>
      <c r="MR23">
        <v>0.5</v>
      </c>
      <c r="MS23">
        <v>0.5</v>
      </c>
      <c r="MT23">
        <v>0.5</v>
      </c>
      <c r="MU23">
        <v>0.5</v>
      </c>
      <c r="MV23">
        <v>0.5</v>
      </c>
      <c r="MW23">
        <v>0.5</v>
      </c>
      <c r="MX23">
        <v>0.5</v>
      </c>
      <c r="MY23">
        <v>0.5</v>
      </c>
      <c r="MZ23">
        <v>0.5</v>
      </c>
      <c r="NA23">
        <v>0.5</v>
      </c>
      <c r="NB23">
        <v>0.5</v>
      </c>
      <c r="NC23">
        <v>0.5</v>
      </c>
      <c r="ND23">
        <v>0.5</v>
      </c>
      <c r="NE23">
        <v>0.5</v>
      </c>
      <c r="NF23">
        <v>0.5</v>
      </c>
      <c r="NG23">
        <v>0.5</v>
      </c>
      <c r="NH23">
        <v>0.5</v>
      </c>
      <c r="NI23">
        <v>0.5</v>
      </c>
      <c r="NJ23">
        <v>0.5</v>
      </c>
      <c r="NK23">
        <v>0.5</v>
      </c>
      <c r="NL23">
        <v>0.5</v>
      </c>
      <c r="NM23">
        <v>0.5</v>
      </c>
      <c r="NN23">
        <v>0.5</v>
      </c>
      <c r="NO23">
        <v>0.5</v>
      </c>
      <c r="NP23">
        <v>0.5</v>
      </c>
      <c r="NQ23">
        <v>0.5</v>
      </c>
      <c r="NR23">
        <v>0.5</v>
      </c>
      <c r="NS23">
        <v>0.5</v>
      </c>
      <c r="NT23">
        <v>0.5</v>
      </c>
      <c r="NU23">
        <v>0.55000000000000004</v>
      </c>
      <c r="NV23">
        <v>0.55000000000000004</v>
      </c>
      <c r="NW23">
        <v>0.55000000000000004</v>
      </c>
      <c r="NX23">
        <v>0.55000000000000004</v>
      </c>
      <c r="NY23">
        <v>0.55000000000000004</v>
      </c>
      <c r="NZ23">
        <v>0.55000000000000004</v>
      </c>
      <c r="OA23">
        <v>0.55000000000000004</v>
      </c>
      <c r="OB23">
        <v>0.55000000000000004</v>
      </c>
      <c r="OC23">
        <v>0.55000000000000004</v>
      </c>
      <c r="OD23">
        <v>0.55000000000000004</v>
      </c>
      <c r="OE23">
        <v>0.55000000000000004</v>
      </c>
      <c r="OF23">
        <v>0.55000000000000004</v>
      </c>
      <c r="OG23">
        <v>0.55000000000000004</v>
      </c>
      <c r="OH23">
        <v>0.55000000000000004</v>
      </c>
      <c r="OI23">
        <v>0.55000000000000004</v>
      </c>
      <c r="OJ23">
        <v>0.55000000000000004</v>
      </c>
      <c r="OK23">
        <v>0.55000000000000004</v>
      </c>
      <c r="OL23">
        <v>0.55000000000000004</v>
      </c>
      <c r="OM23">
        <v>0.55000000000000004</v>
      </c>
      <c r="ON23">
        <v>0.55000000000000004</v>
      </c>
      <c r="OO23">
        <v>0.55000000000000004</v>
      </c>
      <c r="OP23">
        <v>0.55000000000000004</v>
      </c>
      <c r="OQ23">
        <v>0.55000000000000004</v>
      </c>
      <c r="OR23">
        <v>0.55000000000000004</v>
      </c>
      <c r="OS23">
        <v>0.55000000000000004</v>
      </c>
      <c r="OT23">
        <v>0.55000000000000004</v>
      </c>
      <c r="OU23">
        <v>0.55000000000000004</v>
      </c>
      <c r="OV23">
        <v>0.55000000000000004</v>
      </c>
      <c r="OW23">
        <v>0.55000000000000004</v>
      </c>
      <c r="OX23">
        <v>0.55000000000000004</v>
      </c>
      <c r="OY23">
        <v>0.55000000000000004</v>
      </c>
      <c r="OZ23">
        <v>0.55000000000000004</v>
      </c>
      <c r="PA23">
        <v>0.55000000000000004</v>
      </c>
      <c r="PB23">
        <v>0.55000000000000004</v>
      </c>
      <c r="PC23">
        <v>0.55000000000000004</v>
      </c>
      <c r="PD23">
        <v>0.55000000000000004</v>
      </c>
      <c r="PE23">
        <v>0.55000000000000004</v>
      </c>
      <c r="PF23">
        <v>0.55000000000000004</v>
      </c>
      <c r="PG23">
        <v>0.55000000000000004</v>
      </c>
      <c r="PH23">
        <v>0.55000000000000004</v>
      </c>
      <c r="PI23">
        <v>0.55000000000000004</v>
      </c>
      <c r="PJ23">
        <v>0.55000000000000004</v>
      </c>
      <c r="PK23">
        <v>0.55000000000000004</v>
      </c>
      <c r="PL23">
        <v>0.55000000000000004</v>
      </c>
      <c r="PM23">
        <v>0.55000000000000004</v>
      </c>
      <c r="PN23">
        <v>0.55000000000000004</v>
      </c>
      <c r="PO23">
        <v>0.55000000000000004</v>
      </c>
      <c r="PP23">
        <v>0.55000000000000004</v>
      </c>
      <c r="PQ23">
        <v>0.55000000000000004</v>
      </c>
      <c r="PR23">
        <v>0.55000000000000004</v>
      </c>
      <c r="PS23">
        <v>0.55000000000000004</v>
      </c>
      <c r="PT23">
        <v>0.55000000000000004</v>
      </c>
      <c r="PU23">
        <v>0.55000000000000004</v>
      </c>
      <c r="PV23">
        <v>0.55000000000000004</v>
      </c>
      <c r="PW23">
        <v>0.55000000000000004</v>
      </c>
      <c r="PX23">
        <v>0.55000000000000004</v>
      </c>
      <c r="PY23">
        <v>0.55000000000000004</v>
      </c>
      <c r="PZ23">
        <v>0.55000000000000004</v>
      </c>
      <c r="QA23">
        <v>0.55000000000000004</v>
      </c>
      <c r="QB23">
        <v>0.55000000000000004</v>
      </c>
      <c r="QC23">
        <v>0.6</v>
      </c>
      <c r="QD23">
        <v>0.6</v>
      </c>
      <c r="QE23">
        <v>0.6</v>
      </c>
      <c r="QF23">
        <v>0.6</v>
      </c>
      <c r="QG23">
        <v>0.6</v>
      </c>
      <c r="QH23">
        <v>0.6</v>
      </c>
      <c r="QI23">
        <v>0.6</v>
      </c>
      <c r="QJ23">
        <v>0.6</v>
      </c>
      <c r="QK23">
        <v>0.6</v>
      </c>
      <c r="QL23">
        <v>0.6</v>
      </c>
      <c r="QM23">
        <v>0.6</v>
      </c>
      <c r="QN23">
        <v>0.6</v>
      </c>
      <c r="QO23">
        <v>0.6</v>
      </c>
      <c r="QP23">
        <v>0.6</v>
      </c>
      <c r="QQ23">
        <v>0.6</v>
      </c>
      <c r="QR23">
        <v>0.6</v>
      </c>
      <c r="QS23">
        <v>0.6</v>
      </c>
      <c r="QT23">
        <v>0.6</v>
      </c>
      <c r="QU23">
        <v>0.6</v>
      </c>
      <c r="QV23">
        <v>0.6</v>
      </c>
      <c r="QW23">
        <v>0.6</v>
      </c>
      <c r="QX23">
        <v>0.6</v>
      </c>
      <c r="QY23">
        <v>0.6</v>
      </c>
      <c r="QZ23">
        <v>0.6</v>
      </c>
      <c r="RA23">
        <v>0.6</v>
      </c>
      <c r="RB23">
        <v>0.6</v>
      </c>
      <c r="RC23">
        <v>0.6</v>
      </c>
      <c r="RD23">
        <v>0.6</v>
      </c>
      <c r="RE23">
        <v>0.6</v>
      </c>
      <c r="RF23">
        <v>0.6</v>
      </c>
      <c r="RG23">
        <v>0.6</v>
      </c>
      <c r="RH23">
        <v>0.6</v>
      </c>
      <c r="RI23">
        <v>0.6</v>
      </c>
      <c r="RJ23">
        <v>0.6</v>
      </c>
      <c r="RK23">
        <v>0.6</v>
      </c>
      <c r="RL23">
        <v>0.6</v>
      </c>
      <c r="RM23">
        <v>0.6</v>
      </c>
      <c r="RN23">
        <v>0.6</v>
      </c>
      <c r="RO23">
        <v>0.6</v>
      </c>
      <c r="RP23">
        <v>0.6</v>
      </c>
      <c r="RQ23">
        <v>0.6</v>
      </c>
      <c r="RR23">
        <v>0.6</v>
      </c>
      <c r="RS23">
        <v>0.6</v>
      </c>
      <c r="RT23">
        <v>0.6</v>
      </c>
      <c r="RU23">
        <v>0.6</v>
      </c>
      <c r="RV23">
        <v>0.6</v>
      </c>
      <c r="RW23">
        <v>0.6</v>
      </c>
      <c r="RX23">
        <v>0.6</v>
      </c>
      <c r="RY23">
        <v>0.6</v>
      </c>
      <c r="RZ23">
        <v>0.6</v>
      </c>
      <c r="SA23">
        <v>0.6</v>
      </c>
      <c r="SB23">
        <v>0.6</v>
      </c>
      <c r="SC23">
        <v>0.6</v>
      </c>
      <c r="SD23">
        <v>0.6</v>
      </c>
      <c r="SE23">
        <v>0.6</v>
      </c>
      <c r="SF23">
        <v>0.6</v>
      </c>
      <c r="SG23">
        <v>0.6</v>
      </c>
      <c r="SH23">
        <v>0.6</v>
      </c>
      <c r="SI23">
        <v>0.6</v>
      </c>
      <c r="SJ23">
        <v>0.6</v>
      </c>
      <c r="SK23">
        <v>0.6</v>
      </c>
      <c r="SL23">
        <v>0.6</v>
      </c>
      <c r="SM23">
        <v>0.6</v>
      </c>
      <c r="SN23">
        <v>0.6</v>
      </c>
      <c r="SO23">
        <v>0.6</v>
      </c>
      <c r="SP23">
        <v>0.6</v>
      </c>
      <c r="SQ23">
        <v>0.6</v>
      </c>
      <c r="SR23">
        <v>0.6</v>
      </c>
      <c r="SS23">
        <v>0.65</v>
      </c>
      <c r="ST23">
        <v>0.65</v>
      </c>
      <c r="SU23">
        <v>0.65</v>
      </c>
      <c r="SV23">
        <v>0.65</v>
      </c>
      <c r="SW23">
        <v>0.65</v>
      </c>
      <c r="SX23">
        <v>0.65</v>
      </c>
      <c r="SY23">
        <v>0.65</v>
      </c>
      <c r="SZ23">
        <v>0.65</v>
      </c>
      <c r="TA23">
        <v>0.65</v>
      </c>
      <c r="TB23">
        <v>0.65</v>
      </c>
      <c r="TC23">
        <v>0.65</v>
      </c>
      <c r="TD23">
        <v>0.65</v>
      </c>
      <c r="TE23">
        <v>0.65</v>
      </c>
      <c r="TF23">
        <v>0.65</v>
      </c>
      <c r="TG23">
        <v>0.65</v>
      </c>
      <c r="TH23">
        <v>0.65</v>
      </c>
      <c r="TI23">
        <v>0.65</v>
      </c>
      <c r="TJ23">
        <v>0.65</v>
      </c>
      <c r="TK23">
        <v>0.65</v>
      </c>
      <c r="TL23">
        <v>0.65</v>
      </c>
      <c r="TM23">
        <v>0.65</v>
      </c>
      <c r="TN23">
        <v>0.65</v>
      </c>
      <c r="TO23">
        <v>0.65</v>
      </c>
      <c r="TP23">
        <v>0.65</v>
      </c>
      <c r="TQ23">
        <v>0.65</v>
      </c>
      <c r="TR23">
        <v>0.65</v>
      </c>
      <c r="TS23">
        <v>0.65</v>
      </c>
      <c r="TT23">
        <v>0.65</v>
      </c>
      <c r="TU23">
        <v>0.65</v>
      </c>
      <c r="TV23">
        <v>0.65</v>
      </c>
      <c r="TW23">
        <v>0.65</v>
      </c>
      <c r="TX23">
        <v>0.65</v>
      </c>
      <c r="TY23">
        <v>0.65</v>
      </c>
      <c r="TZ23">
        <v>0.65</v>
      </c>
      <c r="UA23">
        <v>0.65</v>
      </c>
      <c r="UB23">
        <v>0.65</v>
      </c>
      <c r="UC23">
        <v>0.65</v>
      </c>
      <c r="UD23">
        <v>0.65</v>
      </c>
      <c r="UE23">
        <v>0.65</v>
      </c>
      <c r="UF23">
        <v>0.65</v>
      </c>
      <c r="UG23">
        <v>0.65</v>
      </c>
      <c r="UH23">
        <v>0.65</v>
      </c>
      <c r="UI23">
        <v>0.65</v>
      </c>
      <c r="UJ23">
        <v>0.65</v>
      </c>
      <c r="UK23">
        <v>0.65</v>
      </c>
      <c r="UL23">
        <v>0.7</v>
      </c>
      <c r="UM23">
        <v>0.7</v>
      </c>
      <c r="UN23">
        <v>0.7</v>
      </c>
      <c r="UO23">
        <v>0.7</v>
      </c>
      <c r="UP23">
        <v>0.7</v>
      </c>
      <c r="UQ23">
        <v>0.7</v>
      </c>
      <c r="UR23">
        <v>0.7</v>
      </c>
      <c r="US23">
        <v>0.7</v>
      </c>
      <c r="UT23">
        <v>0.7</v>
      </c>
      <c r="UU23">
        <v>0.7</v>
      </c>
      <c r="UV23">
        <v>0.7</v>
      </c>
      <c r="UW23">
        <v>0.7</v>
      </c>
      <c r="UX23">
        <v>0.7</v>
      </c>
      <c r="UY23">
        <v>0.7</v>
      </c>
      <c r="UZ23">
        <v>0.7</v>
      </c>
      <c r="VA23">
        <v>0.7</v>
      </c>
      <c r="VB23">
        <v>0.7</v>
      </c>
      <c r="VC23">
        <v>0.7</v>
      </c>
      <c r="VD23">
        <v>0.7</v>
      </c>
      <c r="VE23">
        <v>0.7</v>
      </c>
      <c r="VF23">
        <v>0.7</v>
      </c>
      <c r="VG23">
        <v>0.7</v>
      </c>
      <c r="VH23">
        <v>0.7</v>
      </c>
      <c r="VI23">
        <v>0.7</v>
      </c>
      <c r="VJ23">
        <v>0.7</v>
      </c>
      <c r="VK23">
        <v>0.7</v>
      </c>
      <c r="VL23">
        <v>0.7</v>
      </c>
      <c r="VM23">
        <v>0.7</v>
      </c>
      <c r="VN23">
        <v>0.7</v>
      </c>
      <c r="VO23">
        <v>0.7</v>
      </c>
      <c r="VP23">
        <v>0.7</v>
      </c>
      <c r="VQ23">
        <v>0.7</v>
      </c>
      <c r="VR23">
        <v>0.7</v>
      </c>
      <c r="VS23">
        <v>0.7</v>
      </c>
      <c r="VT23">
        <v>0.7</v>
      </c>
      <c r="VU23">
        <v>0.7</v>
      </c>
      <c r="VV23">
        <v>0.7</v>
      </c>
      <c r="VW23">
        <v>0.7</v>
      </c>
      <c r="VX23">
        <v>0.7</v>
      </c>
      <c r="VY23">
        <v>0.7</v>
      </c>
      <c r="VZ23">
        <v>0.7</v>
      </c>
      <c r="WA23">
        <v>0.7</v>
      </c>
      <c r="WB23">
        <v>0.7</v>
      </c>
      <c r="WC23">
        <v>0.7</v>
      </c>
      <c r="WD23">
        <v>0.7</v>
      </c>
      <c r="WE23">
        <v>0.7</v>
      </c>
      <c r="WF23">
        <v>0.7</v>
      </c>
      <c r="WG23">
        <v>0.7</v>
      </c>
      <c r="WH23">
        <v>0.7</v>
      </c>
      <c r="WI23">
        <v>0.7</v>
      </c>
      <c r="WJ23">
        <v>0.7</v>
      </c>
      <c r="WK23">
        <v>0.7</v>
      </c>
      <c r="WL23">
        <v>0.7</v>
      </c>
      <c r="WM23">
        <v>0.7</v>
      </c>
      <c r="WN23">
        <v>0.7</v>
      </c>
      <c r="WO23">
        <v>0.7</v>
      </c>
      <c r="WP23">
        <v>0.7</v>
      </c>
      <c r="WQ23">
        <v>0.7</v>
      </c>
      <c r="WR23">
        <v>0.7</v>
      </c>
      <c r="WS23">
        <v>0.7</v>
      </c>
      <c r="WT23">
        <v>0.75</v>
      </c>
      <c r="WU23">
        <v>0.75</v>
      </c>
      <c r="WV23">
        <v>0.75</v>
      </c>
      <c r="WW23">
        <v>0.75</v>
      </c>
      <c r="WX23">
        <v>0.75</v>
      </c>
      <c r="WY23">
        <v>0.75</v>
      </c>
      <c r="WZ23">
        <v>0.75</v>
      </c>
      <c r="XA23">
        <v>0.75</v>
      </c>
      <c r="XB23">
        <v>0.75</v>
      </c>
      <c r="XC23">
        <v>0.75</v>
      </c>
      <c r="XD23">
        <v>0.75</v>
      </c>
      <c r="XE23">
        <v>0.75</v>
      </c>
      <c r="XF23">
        <v>0.75</v>
      </c>
      <c r="XG23">
        <v>0.75</v>
      </c>
      <c r="XH23">
        <v>0.75</v>
      </c>
      <c r="XI23">
        <v>0.75</v>
      </c>
      <c r="XJ23">
        <v>0.75</v>
      </c>
      <c r="XK23">
        <v>0.75</v>
      </c>
      <c r="XL23">
        <v>0.75</v>
      </c>
      <c r="XM23">
        <v>0.75</v>
      </c>
      <c r="XN23">
        <v>0.75</v>
      </c>
      <c r="XO23">
        <v>0.75</v>
      </c>
      <c r="XP23">
        <v>0.75</v>
      </c>
      <c r="XQ23">
        <v>0.75</v>
      </c>
      <c r="XR23">
        <v>0.75</v>
      </c>
      <c r="XS23">
        <v>0.75</v>
      </c>
      <c r="XT23">
        <v>0.75</v>
      </c>
      <c r="XU23">
        <v>0.75</v>
      </c>
      <c r="XV23">
        <v>0.75</v>
      </c>
      <c r="XW23">
        <v>0.75</v>
      </c>
      <c r="XX23">
        <v>0.75</v>
      </c>
      <c r="XY23">
        <v>0.75</v>
      </c>
      <c r="XZ23">
        <v>0.75</v>
      </c>
      <c r="YA23">
        <v>0.75</v>
      </c>
      <c r="YB23">
        <v>0.75</v>
      </c>
      <c r="YC23">
        <v>0.75</v>
      </c>
      <c r="YD23">
        <v>0.75</v>
      </c>
      <c r="YE23">
        <v>0.75</v>
      </c>
      <c r="YF23">
        <v>0.75</v>
      </c>
      <c r="YG23">
        <v>0.75</v>
      </c>
      <c r="YH23">
        <v>0.75</v>
      </c>
      <c r="YI23">
        <v>0.75</v>
      </c>
      <c r="YJ23">
        <v>0.75</v>
      </c>
      <c r="YK23">
        <v>0.75</v>
      </c>
      <c r="YL23">
        <v>0.75</v>
      </c>
      <c r="YM23">
        <v>0.75</v>
      </c>
      <c r="YN23">
        <v>0.75</v>
      </c>
      <c r="YO23">
        <v>0.75</v>
      </c>
      <c r="YP23">
        <v>0.75</v>
      </c>
      <c r="YQ23">
        <v>0.75</v>
      </c>
      <c r="YR23">
        <v>0.75</v>
      </c>
      <c r="YS23">
        <v>0.75</v>
      </c>
      <c r="YT23">
        <v>0.8</v>
      </c>
      <c r="YU23">
        <v>0.8</v>
      </c>
      <c r="YV23">
        <v>0.8</v>
      </c>
      <c r="YW23">
        <v>0.8</v>
      </c>
      <c r="YX23">
        <v>0.8</v>
      </c>
      <c r="YY23">
        <v>0.8</v>
      </c>
      <c r="YZ23">
        <v>0.8</v>
      </c>
      <c r="ZA23">
        <v>0.8</v>
      </c>
      <c r="ZB23">
        <v>0.8</v>
      </c>
      <c r="ZC23">
        <v>0.8</v>
      </c>
      <c r="ZD23">
        <v>0.8</v>
      </c>
      <c r="ZE23">
        <v>0.8</v>
      </c>
      <c r="ZF23">
        <v>0.8</v>
      </c>
      <c r="ZG23">
        <v>0.8</v>
      </c>
      <c r="ZH23">
        <v>0.8</v>
      </c>
      <c r="ZI23">
        <v>0.8</v>
      </c>
      <c r="ZJ23">
        <v>0.8</v>
      </c>
      <c r="ZK23">
        <v>0.8</v>
      </c>
      <c r="ZL23">
        <v>0.8</v>
      </c>
      <c r="ZM23">
        <v>0.8</v>
      </c>
      <c r="ZN23">
        <v>0.8</v>
      </c>
      <c r="ZO23">
        <v>0.8</v>
      </c>
      <c r="ZP23">
        <v>0.8</v>
      </c>
      <c r="ZQ23">
        <v>0.8</v>
      </c>
      <c r="ZR23">
        <v>0.8</v>
      </c>
      <c r="ZS23">
        <v>0.8</v>
      </c>
      <c r="ZT23">
        <v>0.8</v>
      </c>
      <c r="ZU23">
        <v>0.8</v>
      </c>
      <c r="ZV23">
        <v>0.8</v>
      </c>
      <c r="ZW23">
        <v>0.8</v>
      </c>
      <c r="ZX23">
        <v>0.8</v>
      </c>
      <c r="ZY23">
        <v>0.8</v>
      </c>
      <c r="ZZ23">
        <v>0.8</v>
      </c>
      <c r="AAA23">
        <v>0.8</v>
      </c>
      <c r="AAB23">
        <v>0.8</v>
      </c>
      <c r="AAC23">
        <v>0.8</v>
      </c>
      <c r="AAD23">
        <v>0.8</v>
      </c>
      <c r="AAE23">
        <v>0.8</v>
      </c>
      <c r="AAF23">
        <v>0.8</v>
      </c>
      <c r="AAG23">
        <v>0.8</v>
      </c>
      <c r="AAH23">
        <v>0.8</v>
      </c>
      <c r="AAI23">
        <v>0.8</v>
      </c>
      <c r="AAJ23">
        <v>0.8</v>
      </c>
      <c r="AAK23">
        <v>0.8</v>
      </c>
      <c r="AAL23">
        <v>0.8</v>
      </c>
      <c r="AAM23">
        <v>0.8</v>
      </c>
      <c r="AAN23">
        <v>0.8</v>
      </c>
      <c r="AAO23">
        <v>0.8</v>
      </c>
      <c r="AAP23">
        <v>0.85</v>
      </c>
      <c r="AAQ23">
        <v>0.85</v>
      </c>
      <c r="AAR23">
        <v>0.85</v>
      </c>
      <c r="AAS23">
        <v>0.85</v>
      </c>
      <c r="AAT23">
        <v>0.85</v>
      </c>
      <c r="AAU23">
        <v>0.85</v>
      </c>
      <c r="AAV23">
        <v>0.85</v>
      </c>
      <c r="AAW23">
        <v>0.85</v>
      </c>
      <c r="AAX23">
        <v>0.85</v>
      </c>
      <c r="AAY23">
        <v>0.85</v>
      </c>
      <c r="AAZ23">
        <v>0.85</v>
      </c>
      <c r="ABA23">
        <v>0.85</v>
      </c>
      <c r="ABB23">
        <v>0.85</v>
      </c>
      <c r="ABC23">
        <v>0.85</v>
      </c>
      <c r="ABD23">
        <v>0.85</v>
      </c>
      <c r="ABE23">
        <v>0.85</v>
      </c>
      <c r="ABF23">
        <v>0.85</v>
      </c>
      <c r="ABG23">
        <v>0.85</v>
      </c>
      <c r="ABH23">
        <v>0.85</v>
      </c>
      <c r="ABI23">
        <v>0.85</v>
      </c>
      <c r="ABJ23">
        <v>0.85</v>
      </c>
      <c r="ABK23">
        <v>0.85</v>
      </c>
      <c r="ABL23">
        <v>0.85</v>
      </c>
      <c r="ABM23">
        <v>0.85</v>
      </c>
      <c r="ABN23">
        <v>0.85</v>
      </c>
      <c r="ABO23">
        <v>0.85</v>
      </c>
      <c r="ABP23">
        <v>0.85</v>
      </c>
      <c r="ABQ23">
        <v>0.85</v>
      </c>
      <c r="ABR23">
        <v>0.85</v>
      </c>
      <c r="ABS23">
        <v>0.85</v>
      </c>
      <c r="ABT23">
        <v>0.85</v>
      </c>
      <c r="ABU23">
        <v>0.85</v>
      </c>
      <c r="ABV23">
        <v>0.85</v>
      </c>
      <c r="ABW23">
        <v>0.85</v>
      </c>
      <c r="ABX23">
        <v>0.85</v>
      </c>
      <c r="ABY23">
        <v>0.85</v>
      </c>
      <c r="ABZ23">
        <v>0.85</v>
      </c>
      <c r="ACA23">
        <v>0.85</v>
      </c>
      <c r="ACB23">
        <v>0.85</v>
      </c>
      <c r="ACC23">
        <v>0.85</v>
      </c>
      <c r="ACD23">
        <v>0.85</v>
      </c>
      <c r="ACE23">
        <v>0.85</v>
      </c>
      <c r="ACF23">
        <v>0.85</v>
      </c>
      <c r="ACG23">
        <v>0.85</v>
      </c>
      <c r="ACH23">
        <v>0.85</v>
      </c>
      <c r="ACI23">
        <v>0.85</v>
      </c>
      <c r="ACJ23">
        <v>0.85</v>
      </c>
      <c r="ACK23">
        <v>0.85</v>
      </c>
      <c r="ACL23">
        <v>0.9</v>
      </c>
      <c r="ACM23">
        <v>0.9</v>
      </c>
      <c r="ACN23">
        <v>0.9</v>
      </c>
      <c r="ACO23">
        <v>0.9</v>
      </c>
      <c r="ACP23">
        <v>0.9</v>
      </c>
      <c r="ACQ23">
        <v>0.9</v>
      </c>
      <c r="ACR23">
        <v>0.9</v>
      </c>
      <c r="ACS23">
        <v>0.9</v>
      </c>
      <c r="ACT23">
        <v>0.9</v>
      </c>
      <c r="ACU23">
        <v>0.9</v>
      </c>
      <c r="ACV23">
        <v>0.9</v>
      </c>
      <c r="ACW23">
        <v>0.9</v>
      </c>
      <c r="ACX23">
        <v>0.9</v>
      </c>
      <c r="ACY23">
        <v>0.9</v>
      </c>
      <c r="ACZ23">
        <v>0.9</v>
      </c>
      <c r="ADA23">
        <v>0.9</v>
      </c>
      <c r="ADB23">
        <v>0.9</v>
      </c>
      <c r="ADC23">
        <v>0.9</v>
      </c>
      <c r="ADD23">
        <v>0.9</v>
      </c>
      <c r="ADE23">
        <v>0.9</v>
      </c>
      <c r="ADF23">
        <v>0.9</v>
      </c>
      <c r="ADG23">
        <v>0.9</v>
      </c>
      <c r="ADH23">
        <v>0.9</v>
      </c>
      <c r="ADI23">
        <v>0.9</v>
      </c>
      <c r="ADJ23">
        <v>0.9</v>
      </c>
      <c r="ADK23">
        <v>0.9</v>
      </c>
      <c r="ADL23">
        <v>0.9</v>
      </c>
      <c r="ADM23">
        <v>0.9</v>
      </c>
      <c r="ADN23">
        <v>0.9</v>
      </c>
      <c r="ADO23">
        <v>0.9</v>
      </c>
      <c r="ADP23">
        <v>0.9</v>
      </c>
      <c r="ADQ23">
        <v>0.9</v>
      </c>
      <c r="ADR23">
        <v>0.9</v>
      </c>
      <c r="ADS23">
        <v>0.9</v>
      </c>
      <c r="ADT23">
        <v>0.9</v>
      </c>
      <c r="ADU23">
        <v>0.9</v>
      </c>
      <c r="ADV23">
        <v>0.9</v>
      </c>
      <c r="ADW23">
        <v>0.9</v>
      </c>
      <c r="ADX23">
        <v>0.9</v>
      </c>
      <c r="ADY23">
        <v>0.9</v>
      </c>
      <c r="ADZ23">
        <v>0.9</v>
      </c>
      <c r="AEA23">
        <v>0.9</v>
      </c>
      <c r="AEB23">
        <v>0.9</v>
      </c>
      <c r="AEC23">
        <v>0.9</v>
      </c>
      <c r="AED23">
        <v>0.9</v>
      </c>
      <c r="AEE23">
        <v>0.9</v>
      </c>
      <c r="AEF23">
        <v>0.9</v>
      </c>
      <c r="AEG23">
        <v>0.9</v>
      </c>
      <c r="AEH23">
        <v>0.9</v>
      </c>
      <c r="AEI23">
        <v>0.9</v>
      </c>
      <c r="AEJ23">
        <v>0.9</v>
      </c>
      <c r="AEK23">
        <v>0.9</v>
      </c>
      <c r="AEL23">
        <v>0.9</v>
      </c>
      <c r="AEM23">
        <v>0.9</v>
      </c>
      <c r="AEN23">
        <v>0.95</v>
      </c>
      <c r="AEO23">
        <v>0.95</v>
      </c>
      <c r="AEP23">
        <v>0.95</v>
      </c>
      <c r="AEQ23">
        <v>0.95</v>
      </c>
      <c r="AER23">
        <v>0.95</v>
      </c>
      <c r="AES23">
        <v>0.95</v>
      </c>
      <c r="AET23">
        <v>0.95</v>
      </c>
      <c r="AEU23">
        <v>0.95</v>
      </c>
      <c r="AEV23">
        <v>0.95</v>
      </c>
      <c r="AEW23">
        <v>0.95</v>
      </c>
      <c r="AEX23">
        <v>0.95</v>
      </c>
      <c r="AEY23">
        <v>0.95</v>
      </c>
      <c r="AEZ23">
        <v>0.95</v>
      </c>
      <c r="AFA23">
        <v>0.95</v>
      </c>
      <c r="AFB23">
        <v>0.95</v>
      </c>
      <c r="AFC23">
        <v>0.95</v>
      </c>
      <c r="AFD23">
        <v>0.95</v>
      </c>
      <c r="AFE23">
        <v>0.95</v>
      </c>
      <c r="AFF23">
        <v>0.95</v>
      </c>
      <c r="AFG23">
        <v>0.95</v>
      </c>
      <c r="AFH23">
        <v>0.95</v>
      </c>
      <c r="AFI23">
        <v>0.95</v>
      </c>
      <c r="AFJ23">
        <v>0.95</v>
      </c>
      <c r="AFK23">
        <v>0.95</v>
      </c>
      <c r="AFL23">
        <v>0.95</v>
      </c>
      <c r="AFM23">
        <v>0.95</v>
      </c>
      <c r="AFN23">
        <v>0.95</v>
      </c>
      <c r="AFO23">
        <v>0.95</v>
      </c>
      <c r="AFP23">
        <v>0.95</v>
      </c>
      <c r="AFQ23">
        <v>0.95</v>
      </c>
      <c r="AFR23">
        <v>0.95</v>
      </c>
      <c r="AFS23">
        <v>0.95</v>
      </c>
      <c r="AFT23">
        <v>0.95</v>
      </c>
      <c r="AFU23">
        <v>0.95</v>
      </c>
      <c r="AFV23">
        <v>0.95</v>
      </c>
      <c r="AFW23">
        <v>0.95</v>
      </c>
      <c r="AFX23">
        <v>0.95</v>
      </c>
      <c r="AFY23">
        <v>0.95</v>
      </c>
      <c r="AFZ23">
        <v>0.95</v>
      </c>
      <c r="AGA23">
        <v>0.95</v>
      </c>
      <c r="AGB23">
        <v>0.95</v>
      </c>
      <c r="AGC23">
        <v>0.95</v>
      </c>
      <c r="AGD23">
        <v>0.95</v>
      </c>
      <c r="AGE23">
        <v>0.95</v>
      </c>
      <c r="AGF23">
        <v>0.95</v>
      </c>
      <c r="AGG23">
        <v>0.95</v>
      </c>
      <c r="AGH23">
        <v>0.95</v>
      </c>
      <c r="AGI23">
        <v>0.95</v>
      </c>
      <c r="AGJ23">
        <v>0.95</v>
      </c>
      <c r="AGK23">
        <v>0.95</v>
      </c>
      <c r="AGL23">
        <v>0.95</v>
      </c>
      <c r="AGM23">
        <v>0.95</v>
      </c>
      <c r="AGN23">
        <v>0.95</v>
      </c>
      <c r="AGO23">
        <v>0.95</v>
      </c>
      <c r="AGP23">
        <v>0.95</v>
      </c>
      <c r="AGQ23">
        <v>0.95</v>
      </c>
      <c r="AGR23">
        <v>0.95</v>
      </c>
      <c r="AGS23">
        <v>0.95</v>
      </c>
      <c r="AGT23">
        <v>0.95</v>
      </c>
      <c r="AGU23">
        <v>0.95</v>
      </c>
      <c r="AGV23">
        <v>0.95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1.05</v>
      </c>
      <c r="AIZ23">
        <v>1.05</v>
      </c>
      <c r="AJA23">
        <v>1.05</v>
      </c>
      <c r="AJB23">
        <v>1.05</v>
      </c>
      <c r="AJC23">
        <v>1.05</v>
      </c>
      <c r="AJD23">
        <v>1.05</v>
      </c>
      <c r="AJE23">
        <v>1.05</v>
      </c>
      <c r="AJF23">
        <v>1.05</v>
      </c>
      <c r="AJG23">
        <v>1.05</v>
      </c>
      <c r="AJH23">
        <v>1.05</v>
      </c>
      <c r="AJI23">
        <v>1.05</v>
      </c>
      <c r="AJJ23">
        <v>1.05</v>
      </c>
      <c r="AJK23">
        <v>1.05</v>
      </c>
      <c r="AJL23">
        <v>1.05</v>
      </c>
      <c r="AJM23">
        <v>1.05</v>
      </c>
      <c r="AJN23">
        <v>1.05</v>
      </c>
      <c r="AJO23">
        <v>1.05</v>
      </c>
      <c r="AJP23">
        <v>1.05</v>
      </c>
      <c r="AJQ23">
        <v>1.05</v>
      </c>
      <c r="AJR23">
        <v>1.05</v>
      </c>
      <c r="AJS23">
        <v>1.05</v>
      </c>
      <c r="AJT23">
        <v>1.05</v>
      </c>
      <c r="AJU23">
        <v>1.05</v>
      </c>
      <c r="AJV23">
        <v>1.05</v>
      </c>
      <c r="AJW23">
        <v>1.05</v>
      </c>
      <c r="AJX23">
        <v>1.05</v>
      </c>
      <c r="AJY23">
        <v>1.05</v>
      </c>
      <c r="AJZ23">
        <v>1.05</v>
      </c>
      <c r="AKA23">
        <v>1.05</v>
      </c>
      <c r="AKB23">
        <v>1.05</v>
      </c>
      <c r="AKC23">
        <v>1.05</v>
      </c>
      <c r="AKD23">
        <v>1.05</v>
      </c>
      <c r="AKE23">
        <v>1.05</v>
      </c>
      <c r="AKF23">
        <v>1.05</v>
      </c>
      <c r="AKG23">
        <v>1.05</v>
      </c>
      <c r="AKH23">
        <v>1.05</v>
      </c>
      <c r="AKI23">
        <v>1.05</v>
      </c>
      <c r="AKJ23">
        <v>1.05</v>
      </c>
      <c r="AKK23">
        <v>1.05</v>
      </c>
      <c r="AKL23">
        <v>1.05</v>
      </c>
      <c r="AKM23">
        <v>1.05</v>
      </c>
      <c r="AKN23">
        <v>1.05</v>
      </c>
      <c r="AKO23">
        <v>1.05</v>
      </c>
      <c r="AKP23">
        <v>1.05</v>
      </c>
      <c r="AKQ23">
        <v>1.05</v>
      </c>
      <c r="AKR23">
        <v>1.05</v>
      </c>
      <c r="AKS23">
        <v>1.05</v>
      </c>
      <c r="AKT23">
        <v>1.05</v>
      </c>
      <c r="AKU23">
        <v>1.05</v>
      </c>
      <c r="AKV23">
        <v>1.1000000000000001</v>
      </c>
      <c r="AKW23">
        <v>1.1000000000000001</v>
      </c>
      <c r="AKX23">
        <v>1.1000000000000001</v>
      </c>
      <c r="AKY23">
        <v>1.1000000000000001</v>
      </c>
      <c r="AKZ23">
        <v>1.1000000000000001</v>
      </c>
      <c r="ALA23">
        <v>1.1000000000000001</v>
      </c>
      <c r="ALB23">
        <v>1.1000000000000001</v>
      </c>
      <c r="ALC23">
        <v>1.1000000000000001</v>
      </c>
      <c r="ALD23">
        <v>1.1000000000000001</v>
      </c>
      <c r="ALE23">
        <v>1.1000000000000001</v>
      </c>
      <c r="ALF23">
        <v>1.1000000000000001</v>
      </c>
      <c r="ALG23">
        <v>1.1000000000000001</v>
      </c>
      <c r="ALH23">
        <v>1.1000000000000001</v>
      </c>
      <c r="ALI23">
        <v>1.1000000000000001</v>
      </c>
      <c r="ALJ23">
        <v>1.1000000000000001</v>
      </c>
      <c r="ALK23">
        <v>1.1000000000000001</v>
      </c>
      <c r="ALL23">
        <v>1.1000000000000001</v>
      </c>
      <c r="ALM23">
        <v>1.1000000000000001</v>
      </c>
      <c r="ALN23">
        <v>1.1000000000000001</v>
      </c>
      <c r="ALO23">
        <v>1.1000000000000001</v>
      </c>
      <c r="ALP23">
        <v>1.1000000000000001</v>
      </c>
      <c r="ALQ23">
        <v>1.1000000000000001</v>
      </c>
      <c r="ALR23">
        <v>1.1000000000000001</v>
      </c>
      <c r="ALS23">
        <v>1.1000000000000001</v>
      </c>
      <c r="ALT23">
        <v>1.1000000000000001</v>
      </c>
      <c r="ALU23">
        <v>1.1000000000000001</v>
      </c>
      <c r="ALV23">
        <v>1.1000000000000001</v>
      </c>
      <c r="ALW23">
        <v>1.1000000000000001</v>
      </c>
      <c r="ALX23">
        <v>1.1000000000000001</v>
      </c>
      <c r="ALY23">
        <v>1.1000000000000001</v>
      </c>
      <c r="ALZ23">
        <v>1.1000000000000001</v>
      </c>
      <c r="AMA23">
        <v>1.1000000000000001</v>
      </c>
      <c r="AMB23">
        <v>1.1000000000000001</v>
      </c>
      <c r="AMC23">
        <v>1.1000000000000001</v>
      </c>
      <c r="AMD23">
        <v>1.1000000000000001</v>
      </c>
      <c r="AME23">
        <v>1.1000000000000001</v>
      </c>
      <c r="AMF23">
        <v>1.1000000000000001</v>
      </c>
      <c r="AMG23">
        <v>1.1000000000000001</v>
      </c>
      <c r="AMH23">
        <v>1.1000000000000001</v>
      </c>
      <c r="AMI23">
        <v>1.1000000000000001</v>
      </c>
      <c r="AMJ23">
        <v>1.1000000000000001</v>
      </c>
      <c r="AMK23">
        <v>1.1000000000000001</v>
      </c>
      <c r="AML23">
        <v>1.1000000000000001</v>
      </c>
      <c r="AMM23">
        <v>1.1000000000000001</v>
      </c>
      <c r="AMN23">
        <v>1.1000000000000001</v>
      </c>
      <c r="AMO23">
        <v>1.1000000000000001</v>
      </c>
      <c r="AMP23">
        <v>1.1000000000000001</v>
      </c>
      <c r="AMQ23">
        <v>1.1000000000000001</v>
      </c>
      <c r="AMR23">
        <v>1.1000000000000001</v>
      </c>
      <c r="AMS23">
        <v>1.1000000000000001</v>
      </c>
      <c r="AMT23">
        <v>1.1000000000000001</v>
      </c>
      <c r="AMU23">
        <v>1.1000000000000001</v>
      </c>
      <c r="AMV23">
        <v>1.1000000000000001</v>
      </c>
      <c r="AMW23">
        <v>1.1000000000000001</v>
      </c>
      <c r="AMX23">
        <v>1.1000000000000001</v>
      </c>
      <c r="AMY23">
        <v>1.1000000000000001</v>
      </c>
      <c r="AMZ23">
        <v>1.1499999999999999</v>
      </c>
      <c r="ANA23">
        <v>1.1499999999999999</v>
      </c>
      <c r="ANB23">
        <v>1.1499999999999999</v>
      </c>
      <c r="ANC23">
        <v>1.1499999999999999</v>
      </c>
      <c r="AND23">
        <v>1.1499999999999999</v>
      </c>
      <c r="ANE23">
        <v>1.1499999999999999</v>
      </c>
      <c r="ANF23">
        <v>1.1499999999999999</v>
      </c>
      <c r="ANG23">
        <v>1.1499999999999999</v>
      </c>
      <c r="ANH23">
        <v>1.1499999999999999</v>
      </c>
      <c r="ANI23">
        <v>1.1499999999999999</v>
      </c>
      <c r="ANJ23">
        <v>1.1499999999999999</v>
      </c>
      <c r="ANK23">
        <v>1.1499999999999999</v>
      </c>
      <c r="ANL23">
        <v>1.1499999999999999</v>
      </c>
      <c r="ANM23">
        <v>1.1499999999999999</v>
      </c>
      <c r="ANN23">
        <v>1.1499999999999999</v>
      </c>
      <c r="ANO23">
        <v>1.1499999999999999</v>
      </c>
      <c r="ANP23">
        <v>1.1499999999999999</v>
      </c>
      <c r="ANQ23">
        <v>1.1499999999999999</v>
      </c>
      <c r="ANR23">
        <v>1.1499999999999999</v>
      </c>
      <c r="ANS23">
        <v>1.1499999999999999</v>
      </c>
      <c r="ANT23">
        <v>1.1499999999999999</v>
      </c>
      <c r="ANU23">
        <v>1.1499999999999999</v>
      </c>
      <c r="ANV23">
        <v>1.1499999999999999</v>
      </c>
      <c r="ANW23">
        <v>1.1499999999999999</v>
      </c>
      <c r="ANX23">
        <v>1.1499999999999999</v>
      </c>
      <c r="ANY23">
        <v>1.1499999999999999</v>
      </c>
      <c r="ANZ23">
        <v>1.1499999999999999</v>
      </c>
      <c r="AOA23">
        <v>1.1499999999999999</v>
      </c>
      <c r="AOB23">
        <v>1.1499999999999999</v>
      </c>
      <c r="AOC23">
        <v>1.1499999999999999</v>
      </c>
      <c r="AOD23">
        <v>1.1499999999999999</v>
      </c>
      <c r="AOE23">
        <v>1.1499999999999999</v>
      </c>
      <c r="AOF23">
        <v>1.1499999999999999</v>
      </c>
      <c r="AOG23">
        <v>1.1499999999999999</v>
      </c>
      <c r="AOH23">
        <v>1.1499999999999999</v>
      </c>
      <c r="AOI23">
        <v>1.1499999999999999</v>
      </c>
      <c r="AOJ23">
        <v>1.1499999999999999</v>
      </c>
      <c r="AOK23">
        <v>1.1499999999999999</v>
      </c>
      <c r="AOL23">
        <v>1.1499999999999999</v>
      </c>
      <c r="AOM23">
        <v>1.2</v>
      </c>
      <c r="AON23">
        <v>1.2</v>
      </c>
      <c r="AOO23">
        <v>1.2</v>
      </c>
      <c r="AOP23">
        <v>1.2</v>
      </c>
      <c r="AOQ23">
        <v>1.2</v>
      </c>
      <c r="AOR23">
        <v>1.2</v>
      </c>
      <c r="AOS23">
        <v>1.2</v>
      </c>
      <c r="AOT23">
        <v>1.2</v>
      </c>
      <c r="AOU23">
        <v>1.2</v>
      </c>
      <c r="AOV23">
        <v>1.2</v>
      </c>
      <c r="AOW23">
        <v>1.2</v>
      </c>
      <c r="AOX23">
        <v>1.2</v>
      </c>
      <c r="AOY23">
        <v>1.2</v>
      </c>
      <c r="AOZ23">
        <v>1.2</v>
      </c>
      <c r="APA23">
        <v>1.2</v>
      </c>
      <c r="APB23">
        <v>1.2</v>
      </c>
      <c r="APC23">
        <v>1.2</v>
      </c>
      <c r="APD23">
        <v>1.2</v>
      </c>
      <c r="APE23">
        <v>1.2</v>
      </c>
      <c r="APF23">
        <v>1.2</v>
      </c>
      <c r="APG23">
        <v>1.2</v>
      </c>
      <c r="APH23">
        <v>1.2</v>
      </c>
      <c r="API23">
        <v>1.2</v>
      </c>
      <c r="APJ23">
        <v>1.2</v>
      </c>
      <c r="APK23">
        <v>1.2</v>
      </c>
      <c r="APL23">
        <v>1.2</v>
      </c>
      <c r="APM23">
        <v>1.2</v>
      </c>
      <c r="APN23">
        <v>1.2</v>
      </c>
      <c r="APO23">
        <v>1.2</v>
      </c>
      <c r="APP23">
        <v>1.2</v>
      </c>
      <c r="APQ23">
        <v>1.2</v>
      </c>
      <c r="APR23">
        <v>1.2</v>
      </c>
      <c r="APS23">
        <v>1.2</v>
      </c>
      <c r="APT23">
        <v>1.2</v>
      </c>
      <c r="APU23">
        <v>1.25</v>
      </c>
      <c r="APV23">
        <v>1.25</v>
      </c>
      <c r="APW23">
        <v>1.25</v>
      </c>
      <c r="APX23">
        <v>1.25</v>
      </c>
      <c r="APY23">
        <v>1.25</v>
      </c>
      <c r="APZ23">
        <v>1.25</v>
      </c>
      <c r="AQA23">
        <v>1.25</v>
      </c>
      <c r="AQB23">
        <v>1.25</v>
      </c>
      <c r="AQC23">
        <v>1.25</v>
      </c>
      <c r="AQD23">
        <v>1.25</v>
      </c>
      <c r="AQE23">
        <v>1.25</v>
      </c>
      <c r="AQF23">
        <v>1.25</v>
      </c>
      <c r="AQG23">
        <v>1.25</v>
      </c>
      <c r="AQH23">
        <v>1.25</v>
      </c>
      <c r="AQI23">
        <v>1.25</v>
      </c>
      <c r="AQJ23">
        <v>1.25</v>
      </c>
      <c r="AQK23">
        <v>1.25</v>
      </c>
      <c r="AQL23">
        <v>1.25</v>
      </c>
      <c r="AQM23">
        <v>1.25</v>
      </c>
      <c r="AQN23">
        <v>1.25</v>
      </c>
      <c r="AQO23">
        <v>1.25</v>
      </c>
      <c r="AQP23">
        <v>1.25</v>
      </c>
      <c r="AQQ23">
        <v>1.25</v>
      </c>
      <c r="AQR23">
        <v>1.25</v>
      </c>
      <c r="AQS23">
        <v>1.25</v>
      </c>
      <c r="AQT23">
        <v>1.25</v>
      </c>
      <c r="AQU23">
        <v>1.25</v>
      </c>
      <c r="AQV23">
        <v>1.25</v>
      </c>
      <c r="AQW23">
        <v>1.25</v>
      </c>
      <c r="AQX23">
        <v>1.25</v>
      </c>
      <c r="AQY23">
        <v>1.25</v>
      </c>
      <c r="AQZ23">
        <v>1.25</v>
      </c>
      <c r="ARA23">
        <v>1.25</v>
      </c>
      <c r="ARB23">
        <v>1.25</v>
      </c>
      <c r="ARC23">
        <v>1.25</v>
      </c>
      <c r="ARD23">
        <v>1.25</v>
      </c>
      <c r="ARE23">
        <v>1.25</v>
      </c>
      <c r="ARF23">
        <v>1.25</v>
      </c>
      <c r="ARG23">
        <v>1.25</v>
      </c>
      <c r="ARH23">
        <v>1.25</v>
      </c>
      <c r="ARI23">
        <v>1.25</v>
      </c>
      <c r="ARJ23">
        <v>1.25</v>
      </c>
      <c r="ARK23">
        <v>1.25</v>
      </c>
      <c r="ARL23">
        <v>1.25</v>
      </c>
      <c r="ARM23">
        <v>1.25</v>
      </c>
      <c r="ARN23">
        <v>1.25</v>
      </c>
      <c r="ARO23">
        <v>1.25</v>
      </c>
      <c r="ARP23">
        <v>1.25</v>
      </c>
      <c r="ARQ23">
        <v>1.25</v>
      </c>
      <c r="ARR23">
        <v>1.25</v>
      </c>
      <c r="ARS23">
        <v>1.25</v>
      </c>
      <c r="ART23">
        <v>1.3</v>
      </c>
      <c r="ARU23">
        <v>1.3</v>
      </c>
      <c r="ARV23">
        <v>1.3</v>
      </c>
      <c r="ARW23">
        <v>1.3</v>
      </c>
      <c r="ARX23">
        <v>1.3</v>
      </c>
      <c r="ARY23">
        <v>1.3</v>
      </c>
      <c r="ARZ23">
        <v>1.3</v>
      </c>
      <c r="ASA23">
        <v>1.3</v>
      </c>
      <c r="ASB23">
        <v>1.3</v>
      </c>
      <c r="ASC23">
        <v>1.3</v>
      </c>
      <c r="ASD23">
        <v>1.3</v>
      </c>
      <c r="ASE23">
        <v>1.3</v>
      </c>
      <c r="ASF23">
        <v>1.3</v>
      </c>
      <c r="ASG23">
        <v>1.3</v>
      </c>
      <c r="ASH23">
        <v>1.3</v>
      </c>
      <c r="ASI23">
        <v>1.3</v>
      </c>
      <c r="ASJ23">
        <v>1.3</v>
      </c>
      <c r="ASK23">
        <v>1.3</v>
      </c>
      <c r="ASL23">
        <v>1.3</v>
      </c>
      <c r="ASM23">
        <v>1.3</v>
      </c>
      <c r="ASN23">
        <v>1.3</v>
      </c>
      <c r="ASO23">
        <v>1.3</v>
      </c>
      <c r="ASP23">
        <v>1.3</v>
      </c>
      <c r="ASQ23">
        <v>1.3</v>
      </c>
      <c r="ASR23">
        <v>1.3</v>
      </c>
      <c r="ASS23">
        <v>1.3</v>
      </c>
      <c r="AST23">
        <v>1.3</v>
      </c>
      <c r="ASU23">
        <v>1.3</v>
      </c>
      <c r="ASV23">
        <v>1.3</v>
      </c>
      <c r="ASW23">
        <v>1.3</v>
      </c>
      <c r="ASX23">
        <v>1.3</v>
      </c>
      <c r="ASY23">
        <v>1.3</v>
      </c>
      <c r="ASZ23">
        <v>1.3</v>
      </c>
      <c r="ATA23">
        <v>1.3</v>
      </c>
      <c r="ATB23">
        <v>1.3</v>
      </c>
      <c r="ATC23">
        <v>1.3</v>
      </c>
      <c r="ATD23">
        <v>1.3</v>
      </c>
      <c r="ATE23">
        <v>1.3</v>
      </c>
      <c r="ATF23">
        <v>1.3</v>
      </c>
      <c r="ATG23">
        <v>1.3</v>
      </c>
      <c r="ATH23">
        <v>1.35</v>
      </c>
      <c r="ATI23">
        <v>1.35</v>
      </c>
      <c r="ATJ23">
        <v>1.35</v>
      </c>
      <c r="ATK23">
        <v>1.35</v>
      </c>
      <c r="ATL23">
        <v>1.35</v>
      </c>
      <c r="ATM23">
        <v>1.35</v>
      </c>
      <c r="ATN23">
        <v>1.35</v>
      </c>
      <c r="ATO23">
        <v>1.35</v>
      </c>
      <c r="ATP23">
        <v>1.35</v>
      </c>
      <c r="ATQ23">
        <v>1.35</v>
      </c>
      <c r="ATR23">
        <v>1.35</v>
      </c>
      <c r="ATS23">
        <v>1.35</v>
      </c>
      <c r="ATT23">
        <v>1.35</v>
      </c>
      <c r="ATU23">
        <v>1.35</v>
      </c>
      <c r="ATV23">
        <v>1.35</v>
      </c>
      <c r="ATW23">
        <v>1.35</v>
      </c>
      <c r="ATX23">
        <v>1.35</v>
      </c>
      <c r="ATY23">
        <v>1.35</v>
      </c>
      <c r="ATZ23">
        <v>1.35</v>
      </c>
      <c r="AUA23">
        <v>1.35</v>
      </c>
      <c r="AUB23">
        <v>1.35</v>
      </c>
      <c r="AUC23">
        <v>1.35</v>
      </c>
      <c r="AUD23">
        <v>1.35</v>
      </c>
      <c r="AUE23">
        <v>1.35</v>
      </c>
      <c r="AUF23">
        <v>1.35</v>
      </c>
      <c r="AUG23">
        <v>1.35</v>
      </c>
      <c r="AUH23">
        <v>1.35</v>
      </c>
      <c r="AUI23">
        <v>1.35</v>
      </c>
      <c r="AUJ23">
        <v>1.35</v>
      </c>
      <c r="AUK23">
        <v>1.35</v>
      </c>
      <c r="AUL23">
        <v>1.35</v>
      </c>
      <c r="AUM23">
        <v>1.35</v>
      </c>
      <c r="AUN23">
        <v>1.35</v>
      </c>
      <c r="AUO23">
        <v>1.35</v>
      </c>
      <c r="AUP23">
        <v>1.35</v>
      </c>
      <c r="AUQ23">
        <v>1.4</v>
      </c>
      <c r="AUR23">
        <v>1.4</v>
      </c>
      <c r="AUS23">
        <v>1.4</v>
      </c>
      <c r="AUT23">
        <v>1.4</v>
      </c>
      <c r="AUU23">
        <v>1.4</v>
      </c>
      <c r="AUV23">
        <v>1.4</v>
      </c>
      <c r="AUW23">
        <v>1.4</v>
      </c>
      <c r="AUX23">
        <v>1.4</v>
      </c>
      <c r="AUY23">
        <v>1.4</v>
      </c>
      <c r="AUZ23">
        <v>1.4</v>
      </c>
      <c r="AVA23">
        <v>1.4</v>
      </c>
      <c r="AVB23">
        <v>1.4</v>
      </c>
      <c r="AVC23">
        <v>1.4</v>
      </c>
      <c r="AVD23">
        <v>1.4</v>
      </c>
      <c r="AVE23">
        <v>1.4</v>
      </c>
      <c r="AVF23">
        <v>1.4</v>
      </c>
      <c r="AVG23">
        <v>1.4</v>
      </c>
      <c r="AVH23">
        <v>1.4</v>
      </c>
      <c r="AVI23">
        <v>1.4</v>
      </c>
      <c r="AVJ23">
        <v>1.4</v>
      </c>
      <c r="AVK23">
        <v>1.4</v>
      </c>
      <c r="AVL23">
        <v>1.4</v>
      </c>
      <c r="AVM23">
        <v>1.4</v>
      </c>
      <c r="AVN23">
        <v>1.4</v>
      </c>
      <c r="AVO23">
        <v>1.4</v>
      </c>
      <c r="AVP23">
        <v>1.4</v>
      </c>
      <c r="AVQ23">
        <v>1.4</v>
      </c>
      <c r="AVR23">
        <v>1.4</v>
      </c>
      <c r="AVS23">
        <v>1.4</v>
      </c>
      <c r="AVT23">
        <v>1.4</v>
      </c>
      <c r="AVU23">
        <v>1.4</v>
      </c>
      <c r="AVV23">
        <v>1.4</v>
      </c>
      <c r="AVW23">
        <v>1.4</v>
      </c>
      <c r="AVX23">
        <v>1.4</v>
      </c>
      <c r="AVY23">
        <v>1.4</v>
      </c>
      <c r="AVZ23">
        <v>1.4</v>
      </c>
      <c r="AWA23">
        <v>1.4</v>
      </c>
      <c r="AWB23">
        <v>1.4</v>
      </c>
      <c r="AWC23">
        <v>1.4</v>
      </c>
      <c r="AWD23">
        <v>1.4</v>
      </c>
      <c r="AWE23">
        <v>1.45</v>
      </c>
      <c r="AWF23">
        <v>1.45</v>
      </c>
      <c r="AWG23">
        <v>1.45</v>
      </c>
      <c r="AWH23">
        <v>1.45</v>
      </c>
      <c r="AWI23">
        <v>1.45</v>
      </c>
      <c r="AWJ23">
        <v>1.45</v>
      </c>
      <c r="AWK23">
        <v>1.45</v>
      </c>
      <c r="AWL23">
        <v>1.45</v>
      </c>
      <c r="AWM23">
        <v>1.45</v>
      </c>
      <c r="AWN23">
        <v>1.45</v>
      </c>
      <c r="AWO23">
        <v>1.45</v>
      </c>
      <c r="AWP23">
        <v>1.45</v>
      </c>
      <c r="AWQ23">
        <v>1.45</v>
      </c>
      <c r="AWR23">
        <v>1.45</v>
      </c>
      <c r="AWS23">
        <v>1.45</v>
      </c>
      <c r="AWT23">
        <v>1.45</v>
      </c>
      <c r="AWU23">
        <v>1.45</v>
      </c>
      <c r="AWV23">
        <v>1.45</v>
      </c>
      <c r="AWW23">
        <v>1.45</v>
      </c>
      <c r="AWX23">
        <v>1.45</v>
      </c>
      <c r="AWY23">
        <v>1.45</v>
      </c>
      <c r="AWZ23">
        <v>1.45</v>
      </c>
      <c r="AXA23">
        <v>1.45</v>
      </c>
      <c r="AXB23">
        <v>1.45</v>
      </c>
      <c r="AXC23">
        <v>1.45</v>
      </c>
      <c r="AXD23">
        <v>1.45</v>
      </c>
      <c r="AXE23">
        <v>1.45</v>
      </c>
      <c r="AXF23">
        <v>1.45</v>
      </c>
      <c r="AXG23">
        <v>1.45</v>
      </c>
      <c r="AXH23">
        <v>1.45</v>
      </c>
      <c r="AXI23">
        <v>1.45</v>
      </c>
      <c r="AXJ23">
        <v>1.45</v>
      </c>
      <c r="AXK23">
        <v>1.45</v>
      </c>
      <c r="AXL23">
        <v>1.45</v>
      </c>
      <c r="AXM23">
        <v>1.45</v>
      </c>
      <c r="AXN23">
        <v>1.45</v>
      </c>
      <c r="AXO23">
        <v>1.45</v>
      </c>
      <c r="AXP23">
        <v>1.5</v>
      </c>
      <c r="AXQ23">
        <v>1.5</v>
      </c>
      <c r="AXR23">
        <v>1.5</v>
      </c>
      <c r="AXS23">
        <v>1.5</v>
      </c>
      <c r="AXT23">
        <v>1.5</v>
      </c>
      <c r="AXU23">
        <v>1.5</v>
      </c>
      <c r="AXV23">
        <v>1.5</v>
      </c>
      <c r="AXW23">
        <v>1.5</v>
      </c>
      <c r="AXX23">
        <v>1.5</v>
      </c>
      <c r="AXY23">
        <v>1.5</v>
      </c>
      <c r="AXZ23">
        <v>1.5</v>
      </c>
      <c r="AYA23">
        <v>1.5</v>
      </c>
      <c r="AYB23">
        <v>1.5</v>
      </c>
      <c r="AYC23">
        <v>1.5</v>
      </c>
      <c r="AYD23">
        <v>1.5</v>
      </c>
      <c r="AYE23">
        <v>1.5</v>
      </c>
      <c r="AYF23">
        <v>1.5</v>
      </c>
      <c r="AYG23">
        <v>1.5</v>
      </c>
      <c r="AYH23">
        <v>1.5</v>
      </c>
      <c r="AYI23">
        <v>1.5</v>
      </c>
      <c r="AYJ23">
        <v>1.5</v>
      </c>
      <c r="AYK23">
        <v>1.5</v>
      </c>
      <c r="AYL23">
        <v>1.5</v>
      </c>
      <c r="AYM23">
        <v>1.5</v>
      </c>
      <c r="AYN23">
        <v>1.5</v>
      </c>
      <c r="AYO23">
        <v>1.5</v>
      </c>
      <c r="AYP23">
        <v>1.5</v>
      </c>
      <c r="AYQ23">
        <v>1.5</v>
      </c>
      <c r="AYR23">
        <v>1.5</v>
      </c>
      <c r="AYS23">
        <v>1.55</v>
      </c>
      <c r="AYT23">
        <v>1.55</v>
      </c>
      <c r="AYU23">
        <v>1.55</v>
      </c>
      <c r="AYV23">
        <v>1.55</v>
      </c>
      <c r="AYW23">
        <v>1.55</v>
      </c>
      <c r="AYX23">
        <v>1.55</v>
      </c>
      <c r="AYY23">
        <v>1.55</v>
      </c>
      <c r="AYZ23">
        <v>1.55</v>
      </c>
      <c r="AZA23">
        <v>1.55</v>
      </c>
      <c r="AZB23">
        <v>1.55</v>
      </c>
      <c r="AZC23">
        <v>1.55</v>
      </c>
      <c r="AZD23">
        <v>1.55</v>
      </c>
      <c r="AZE23">
        <v>1.55</v>
      </c>
      <c r="AZF23">
        <v>1.55</v>
      </c>
      <c r="AZG23">
        <v>1.55</v>
      </c>
      <c r="AZH23">
        <v>1.55</v>
      </c>
      <c r="AZI23">
        <v>1.55</v>
      </c>
      <c r="AZJ23">
        <v>1.55</v>
      </c>
      <c r="AZK23">
        <v>1.55</v>
      </c>
      <c r="AZL23">
        <v>1.55</v>
      </c>
      <c r="AZM23">
        <v>1.55</v>
      </c>
      <c r="AZN23">
        <v>1.55</v>
      </c>
      <c r="AZO23">
        <v>1.55</v>
      </c>
      <c r="AZP23">
        <v>1.55</v>
      </c>
      <c r="AZQ23">
        <v>1.55</v>
      </c>
      <c r="AZR23">
        <v>1.55</v>
      </c>
      <c r="AZS23">
        <v>1.55</v>
      </c>
      <c r="AZT23">
        <v>1.55</v>
      </c>
      <c r="AZU23">
        <v>1.55</v>
      </c>
      <c r="AZV23">
        <v>1.55</v>
      </c>
      <c r="AZW23">
        <v>1.55</v>
      </c>
      <c r="AZX23">
        <v>1.55</v>
      </c>
      <c r="AZY23">
        <v>1.6</v>
      </c>
      <c r="AZZ23">
        <v>1.6</v>
      </c>
      <c r="BAA23">
        <v>1.6</v>
      </c>
      <c r="BAB23">
        <v>1.6</v>
      </c>
      <c r="BAC23">
        <v>1.6</v>
      </c>
      <c r="BAD23">
        <v>1.6</v>
      </c>
      <c r="BAE23">
        <v>1.6</v>
      </c>
      <c r="BAF23">
        <v>1.6</v>
      </c>
      <c r="BAG23">
        <v>1.6</v>
      </c>
      <c r="BAH23">
        <v>1.6</v>
      </c>
      <c r="BAI23">
        <v>1.6</v>
      </c>
      <c r="BAJ23">
        <v>1.6</v>
      </c>
      <c r="BAK23">
        <v>1.6</v>
      </c>
      <c r="BAL23">
        <v>1.6</v>
      </c>
      <c r="BAM23">
        <v>1.6</v>
      </c>
      <c r="BAN23">
        <v>1.6</v>
      </c>
      <c r="BAO23">
        <v>1.6</v>
      </c>
      <c r="BAP23">
        <v>1.6</v>
      </c>
      <c r="BAQ23">
        <v>1.6</v>
      </c>
      <c r="BAR23">
        <v>1.6</v>
      </c>
      <c r="BAS23">
        <v>1.6</v>
      </c>
      <c r="BAT23">
        <v>1.6</v>
      </c>
      <c r="BAU23">
        <v>1.6</v>
      </c>
      <c r="BAV23">
        <v>1.6</v>
      </c>
      <c r="BAW23">
        <v>1.6</v>
      </c>
      <c r="BAX23">
        <v>1.6</v>
      </c>
      <c r="BAY23">
        <v>1.6</v>
      </c>
      <c r="BAZ23">
        <v>1.6</v>
      </c>
      <c r="BBA23">
        <v>1.6</v>
      </c>
      <c r="BBB23">
        <v>1.6</v>
      </c>
      <c r="BBC23">
        <v>1.6</v>
      </c>
      <c r="BBD23">
        <v>1.6</v>
      </c>
      <c r="BBE23">
        <v>1.6</v>
      </c>
      <c r="BBF23">
        <v>1.6</v>
      </c>
      <c r="BBG23">
        <v>1.6</v>
      </c>
      <c r="BBH23">
        <v>1.6</v>
      </c>
      <c r="BBI23">
        <v>1.6</v>
      </c>
      <c r="BBJ23">
        <v>1.6</v>
      </c>
      <c r="BBK23">
        <v>1.6</v>
      </c>
      <c r="BBL23">
        <v>1.6</v>
      </c>
      <c r="BBM23">
        <v>1.6</v>
      </c>
      <c r="BBN23">
        <v>1.65</v>
      </c>
      <c r="BBO23">
        <v>1.65</v>
      </c>
      <c r="BBP23">
        <v>1.65</v>
      </c>
      <c r="BBQ23">
        <v>1.65</v>
      </c>
      <c r="BBR23">
        <v>1.65</v>
      </c>
      <c r="BBS23">
        <v>1.65</v>
      </c>
      <c r="BBT23">
        <v>1.65</v>
      </c>
      <c r="BBU23">
        <v>1.65</v>
      </c>
      <c r="BBV23">
        <v>1.65</v>
      </c>
      <c r="BBW23">
        <v>1.65</v>
      </c>
      <c r="BBX23">
        <v>1.65</v>
      </c>
      <c r="BBY23">
        <v>1.65</v>
      </c>
      <c r="BBZ23">
        <v>1.65</v>
      </c>
      <c r="BCA23">
        <v>1.65</v>
      </c>
      <c r="BCB23">
        <v>1.65</v>
      </c>
      <c r="BCC23">
        <v>1.65</v>
      </c>
      <c r="BCD23">
        <v>1.65</v>
      </c>
      <c r="BCE23">
        <v>1.65</v>
      </c>
      <c r="BCF23">
        <v>1.65</v>
      </c>
      <c r="BCG23">
        <v>1.65</v>
      </c>
      <c r="BCH23">
        <v>1.65</v>
      </c>
      <c r="BCI23">
        <v>1.65</v>
      </c>
      <c r="BCJ23">
        <v>1.65</v>
      </c>
      <c r="BCK23">
        <v>1.65</v>
      </c>
      <c r="BCL23">
        <v>1.65</v>
      </c>
      <c r="BCM23">
        <v>1.65</v>
      </c>
      <c r="BCN23">
        <v>1.65</v>
      </c>
      <c r="BCO23">
        <v>1.65</v>
      </c>
      <c r="BCP23">
        <v>1.65</v>
      </c>
      <c r="BCQ23">
        <v>1.65</v>
      </c>
      <c r="BCR23">
        <v>1.65</v>
      </c>
      <c r="BCS23">
        <v>1.65</v>
      </c>
      <c r="BCT23">
        <v>1.65</v>
      </c>
      <c r="BCU23">
        <v>1.65</v>
      </c>
      <c r="BCV23">
        <v>1.65</v>
      </c>
      <c r="BCW23">
        <v>1.65</v>
      </c>
      <c r="BCX23">
        <v>1.65</v>
      </c>
      <c r="BCY23">
        <v>1.65</v>
      </c>
      <c r="BCZ23">
        <v>1.65</v>
      </c>
      <c r="BDA23">
        <v>1.65</v>
      </c>
      <c r="BDB23">
        <v>1.65</v>
      </c>
      <c r="BDC23">
        <v>1.7</v>
      </c>
      <c r="BDD23">
        <v>1.7</v>
      </c>
      <c r="BDE23">
        <v>1.7</v>
      </c>
      <c r="BDF23">
        <v>1.7</v>
      </c>
      <c r="BDG23">
        <v>1.7</v>
      </c>
      <c r="BDH23">
        <v>1.7</v>
      </c>
      <c r="BDI23">
        <v>1.7</v>
      </c>
      <c r="BDJ23">
        <v>1.7</v>
      </c>
      <c r="BDK23">
        <v>1.7</v>
      </c>
      <c r="BDL23">
        <v>1.7</v>
      </c>
      <c r="BDM23">
        <v>1.7</v>
      </c>
      <c r="BDN23">
        <v>1.7</v>
      </c>
      <c r="BDO23">
        <v>1.7</v>
      </c>
      <c r="BDP23">
        <v>1.7</v>
      </c>
      <c r="BDQ23">
        <v>1.7</v>
      </c>
      <c r="BDR23">
        <v>1.7</v>
      </c>
      <c r="BDS23">
        <v>1.7</v>
      </c>
      <c r="BDT23">
        <v>1.7</v>
      </c>
      <c r="BDU23">
        <v>1.7</v>
      </c>
      <c r="BDV23">
        <v>1.7</v>
      </c>
      <c r="BDW23">
        <v>1.7</v>
      </c>
      <c r="BDX23">
        <v>1.7</v>
      </c>
      <c r="BDY23">
        <v>1.7</v>
      </c>
      <c r="BDZ23">
        <v>1.7</v>
      </c>
      <c r="BEA23">
        <v>1.7</v>
      </c>
      <c r="BEB23">
        <v>1.7</v>
      </c>
      <c r="BEC23">
        <v>1.7</v>
      </c>
      <c r="BED23">
        <v>1.7</v>
      </c>
      <c r="BEE23">
        <v>1.7</v>
      </c>
      <c r="BEF23">
        <v>1.7</v>
      </c>
      <c r="BEG23">
        <v>1.7</v>
      </c>
      <c r="BEH23">
        <v>1.7</v>
      </c>
      <c r="BEI23">
        <v>1.7</v>
      </c>
      <c r="BEJ23">
        <v>1.7</v>
      </c>
      <c r="BEK23">
        <v>1.7</v>
      </c>
      <c r="BEL23">
        <v>1.7</v>
      </c>
      <c r="BEM23">
        <v>1.75</v>
      </c>
      <c r="BEN23">
        <v>1.75</v>
      </c>
      <c r="BEO23">
        <v>1.75</v>
      </c>
      <c r="BEP23">
        <v>1.75</v>
      </c>
      <c r="BEQ23">
        <v>1.75</v>
      </c>
      <c r="BER23">
        <v>1.75</v>
      </c>
      <c r="BES23">
        <v>1.75</v>
      </c>
      <c r="BET23">
        <v>1.75</v>
      </c>
      <c r="BEU23">
        <v>1.75</v>
      </c>
      <c r="BEV23">
        <v>1.75</v>
      </c>
      <c r="BEW23">
        <v>1.75</v>
      </c>
      <c r="BEX23">
        <v>1.75</v>
      </c>
      <c r="BEY23">
        <v>1.75</v>
      </c>
      <c r="BEZ23">
        <v>1.75</v>
      </c>
      <c r="BFA23">
        <v>1.75</v>
      </c>
      <c r="BFB23">
        <v>1.75</v>
      </c>
      <c r="BFC23">
        <v>1.75</v>
      </c>
      <c r="BFD23">
        <v>1.75</v>
      </c>
      <c r="BFE23">
        <v>1.75</v>
      </c>
      <c r="BFF23">
        <v>1.75</v>
      </c>
      <c r="BFG23">
        <v>1.75</v>
      </c>
      <c r="BFH23">
        <v>1.75</v>
      </c>
      <c r="BFI23">
        <v>1.75</v>
      </c>
      <c r="BFJ23">
        <v>1.75</v>
      </c>
      <c r="BFK23">
        <v>1.75</v>
      </c>
      <c r="BFL23">
        <v>1.75</v>
      </c>
      <c r="BFM23">
        <v>1.75</v>
      </c>
      <c r="BFN23">
        <v>1.75</v>
      </c>
      <c r="BFO23">
        <v>1.75</v>
      </c>
      <c r="BFP23">
        <v>1.75</v>
      </c>
      <c r="BFQ23">
        <v>1.75</v>
      </c>
      <c r="BFR23">
        <v>1.75</v>
      </c>
      <c r="BFS23">
        <v>1.75</v>
      </c>
      <c r="BFT23">
        <v>1.75</v>
      </c>
      <c r="BFU23">
        <v>1.75</v>
      </c>
      <c r="BFV23">
        <v>1.75</v>
      </c>
      <c r="BFW23">
        <v>1.8</v>
      </c>
      <c r="BFX23">
        <v>1.8</v>
      </c>
      <c r="BFY23">
        <v>1.8</v>
      </c>
      <c r="BFZ23">
        <v>1.8</v>
      </c>
      <c r="BGA23">
        <v>1.8</v>
      </c>
      <c r="BGB23">
        <v>1.8</v>
      </c>
      <c r="BGC23">
        <v>1.8</v>
      </c>
      <c r="BGD23">
        <v>1.8</v>
      </c>
      <c r="BGE23">
        <v>1.8</v>
      </c>
      <c r="BGF23">
        <v>1.8</v>
      </c>
      <c r="BGG23">
        <v>1.8</v>
      </c>
      <c r="BGH23">
        <v>1.8</v>
      </c>
      <c r="BGI23">
        <v>1.8</v>
      </c>
      <c r="BGJ23">
        <v>1.8</v>
      </c>
      <c r="BGK23">
        <v>1.8</v>
      </c>
      <c r="BGL23">
        <v>1.8</v>
      </c>
      <c r="BGM23">
        <v>1.8</v>
      </c>
      <c r="BGN23">
        <v>1.8</v>
      </c>
      <c r="BGO23">
        <v>1.8</v>
      </c>
      <c r="BGP23">
        <v>1.8</v>
      </c>
      <c r="BGQ23">
        <v>1.8</v>
      </c>
      <c r="BGR23">
        <v>1.8</v>
      </c>
      <c r="BGS23">
        <v>1.8</v>
      </c>
      <c r="BGT23">
        <v>1.8</v>
      </c>
      <c r="BGU23">
        <v>1.8</v>
      </c>
      <c r="BGV23">
        <v>1.8</v>
      </c>
      <c r="BGW23">
        <v>1.8</v>
      </c>
      <c r="BGX23">
        <v>1.8</v>
      </c>
      <c r="BGY23">
        <v>1.8</v>
      </c>
      <c r="BGZ23">
        <v>1.8</v>
      </c>
      <c r="BHA23">
        <v>1.85</v>
      </c>
      <c r="BHB23">
        <v>1.85</v>
      </c>
      <c r="BHC23">
        <v>1.85</v>
      </c>
      <c r="BHD23">
        <v>1.85</v>
      </c>
      <c r="BHE23">
        <v>1.85</v>
      </c>
      <c r="BHF23">
        <v>1.85</v>
      </c>
      <c r="BHG23">
        <v>1.85</v>
      </c>
      <c r="BHH23">
        <v>1.85</v>
      </c>
      <c r="BHI23">
        <v>1.85</v>
      </c>
      <c r="BHJ23">
        <v>1.85</v>
      </c>
      <c r="BHK23">
        <v>1.85</v>
      </c>
      <c r="BHL23">
        <v>1.85</v>
      </c>
      <c r="BHM23">
        <v>1.85</v>
      </c>
      <c r="BHN23">
        <v>1.85</v>
      </c>
      <c r="BHO23">
        <v>1.85</v>
      </c>
      <c r="BHP23">
        <v>1.85</v>
      </c>
      <c r="BHQ23">
        <v>1.85</v>
      </c>
      <c r="BHR23">
        <v>1.85</v>
      </c>
      <c r="BHS23">
        <v>1.85</v>
      </c>
      <c r="BHT23">
        <v>1.85</v>
      </c>
      <c r="BHU23">
        <v>1.85</v>
      </c>
      <c r="BHV23">
        <v>1.85</v>
      </c>
      <c r="BHW23">
        <v>1.85</v>
      </c>
      <c r="BHX23">
        <v>1.85</v>
      </c>
      <c r="BHY23">
        <v>1.85</v>
      </c>
      <c r="BHZ23">
        <v>1.85</v>
      </c>
      <c r="BIA23">
        <v>1.85</v>
      </c>
      <c r="BIB23">
        <v>1.85</v>
      </c>
      <c r="BIC23">
        <v>1.85</v>
      </c>
      <c r="BID23">
        <v>1.85</v>
      </c>
      <c r="BIE23">
        <v>1.85</v>
      </c>
      <c r="BIF23">
        <v>1.85</v>
      </c>
      <c r="BIG23">
        <v>1.85</v>
      </c>
      <c r="BIH23">
        <v>1.85</v>
      </c>
      <c r="BII23">
        <v>1.85</v>
      </c>
      <c r="BIJ23">
        <v>1.9</v>
      </c>
      <c r="BIK23">
        <v>1.9</v>
      </c>
      <c r="BIL23">
        <v>1.9</v>
      </c>
      <c r="BIM23">
        <v>1.9</v>
      </c>
      <c r="BIN23">
        <v>1.9</v>
      </c>
      <c r="BIO23">
        <v>1.9</v>
      </c>
      <c r="BIP23">
        <v>1.9</v>
      </c>
      <c r="BIQ23">
        <v>1.9</v>
      </c>
      <c r="BIR23">
        <v>1.9</v>
      </c>
      <c r="BIS23">
        <v>1.9</v>
      </c>
      <c r="BIT23">
        <v>1.9</v>
      </c>
      <c r="BIU23">
        <v>1.9</v>
      </c>
      <c r="BIV23">
        <v>1.9</v>
      </c>
      <c r="BIW23">
        <v>1.9</v>
      </c>
      <c r="BIX23">
        <v>1.9</v>
      </c>
      <c r="BIY23">
        <v>1.9</v>
      </c>
      <c r="BIZ23">
        <v>1.9</v>
      </c>
      <c r="BJA23">
        <v>1.9</v>
      </c>
      <c r="BJB23">
        <v>1.9</v>
      </c>
      <c r="BJC23">
        <v>1.9</v>
      </c>
      <c r="BJD23">
        <v>1.9</v>
      </c>
      <c r="BJE23">
        <v>1.9</v>
      </c>
      <c r="BJF23">
        <v>1.9</v>
      </c>
      <c r="BJG23">
        <v>1.9</v>
      </c>
      <c r="BJH23">
        <v>1.9</v>
      </c>
      <c r="BJI23">
        <v>1.9</v>
      </c>
      <c r="BJJ23">
        <v>1.9</v>
      </c>
      <c r="BJK23">
        <v>1.9</v>
      </c>
      <c r="BJL23">
        <v>1.9</v>
      </c>
      <c r="BJM23">
        <v>1.9</v>
      </c>
      <c r="BJN23">
        <v>1.9</v>
      </c>
      <c r="BJO23">
        <v>1.9</v>
      </c>
      <c r="BJP23">
        <v>1.9</v>
      </c>
      <c r="BJQ23">
        <v>1.9</v>
      </c>
      <c r="BJR23">
        <v>1.9</v>
      </c>
      <c r="BJS23">
        <v>1.9</v>
      </c>
      <c r="BJT23">
        <v>1.9</v>
      </c>
      <c r="BJU23">
        <v>1.95</v>
      </c>
      <c r="BJV23">
        <v>1.95</v>
      </c>
      <c r="BJW23">
        <v>1.95</v>
      </c>
      <c r="BJX23">
        <v>1.95</v>
      </c>
      <c r="BJY23">
        <v>1.95</v>
      </c>
      <c r="BJZ23">
        <v>1.95</v>
      </c>
      <c r="BKA23">
        <v>1.95</v>
      </c>
      <c r="BKB23">
        <v>1.95</v>
      </c>
      <c r="BKC23">
        <v>1.95</v>
      </c>
      <c r="BKD23">
        <v>1.95</v>
      </c>
      <c r="BKE23">
        <v>1.95</v>
      </c>
      <c r="BKF23">
        <v>1.95</v>
      </c>
      <c r="BKG23">
        <v>1.95</v>
      </c>
      <c r="BKH23">
        <v>1.95</v>
      </c>
      <c r="BKI23">
        <v>1.95</v>
      </c>
      <c r="BKJ23">
        <v>1.95</v>
      </c>
      <c r="BKK23">
        <v>1.95</v>
      </c>
      <c r="BKL23">
        <v>1.95</v>
      </c>
      <c r="BKM23">
        <v>1.95</v>
      </c>
      <c r="BKN23">
        <v>1.95</v>
      </c>
      <c r="BKO23">
        <v>1.95</v>
      </c>
      <c r="BKP23">
        <v>1.95</v>
      </c>
      <c r="BKQ23">
        <v>1.95</v>
      </c>
      <c r="BKR23">
        <v>1.95</v>
      </c>
      <c r="BKS23">
        <v>1.95</v>
      </c>
      <c r="BKT23">
        <v>1.95</v>
      </c>
      <c r="BKU23">
        <v>1.95</v>
      </c>
      <c r="BKV23">
        <v>1.95</v>
      </c>
      <c r="BKW23">
        <v>1.95</v>
      </c>
      <c r="BKX23">
        <v>1.95</v>
      </c>
      <c r="BKY23">
        <v>1.95</v>
      </c>
      <c r="BKZ23">
        <v>1.95</v>
      </c>
      <c r="BLA23">
        <v>2</v>
      </c>
      <c r="BLB23">
        <v>2</v>
      </c>
      <c r="BLC23">
        <v>2</v>
      </c>
      <c r="BLD23">
        <v>2</v>
      </c>
      <c r="BLE23">
        <v>2</v>
      </c>
      <c r="BLF23">
        <v>2</v>
      </c>
      <c r="BLG23">
        <v>2</v>
      </c>
      <c r="BLH23">
        <v>2</v>
      </c>
      <c r="BLI23">
        <v>2</v>
      </c>
      <c r="BLJ23">
        <v>2</v>
      </c>
      <c r="BLK23">
        <v>2</v>
      </c>
      <c r="BLL23">
        <v>2</v>
      </c>
      <c r="BLM23">
        <v>2</v>
      </c>
      <c r="BLN23">
        <v>2</v>
      </c>
      <c r="BLO23">
        <v>2</v>
      </c>
      <c r="BLP23">
        <v>2</v>
      </c>
      <c r="BLQ23">
        <v>2</v>
      </c>
      <c r="BLR23">
        <v>2</v>
      </c>
      <c r="BLS23">
        <v>2</v>
      </c>
      <c r="BLT23">
        <v>2</v>
      </c>
      <c r="BLU23">
        <v>2</v>
      </c>
      <c r="BLV23">
        <v>2</v>
      </c>
      <c r="BLW23">
        <v>2</v>
      </c>
      <c r="BLX23">
        <v>2</v>
      </c>
      <c r="BLY23">
        <v>2</v>
      </c>
      <c r="BLZ23">
        <v>2</v>
      </c>
      <c r="BMA23">
        <v>2</v>
      </c>
      <c r="BMB23">
        <v>2</v>
      </c>
      <c r="BMC23">
        <v>2</v>
      </c>
      <c r="BMD23">
        <v>2.0499999999999998</v>
      </c>
      <c r="BME23">
        <v>2.0499999999999998</v>
      </c>
      <c r="BMF23">
        <v>2.0499999999999998</v>
      </c>
      <c r="BMG23">
        <v>2.0499999999999998</v>
      </c>
      <c r="BMH23">
        <v>2.0499999999999998</v>
      </c>
      <c r="BMI23">
        <v>2.0499999999999998</v>
      </c>
      <c r="BMJ23">
        <v>2.0499999999999998</v>
      </c>
      <c r="BMK23">
        <v>2.0499999999999998</v>
      </c>
      <c r="BML23">
        <v>2.0499999999999998</v>
      </c>
      <c r="BMM23">
        <v>2.0499999999999998</v>
      </c>
      <c r="BMN23">
        <v>2.0499999999999998</v>
      </c>
      <c r="BMO23">
        <v>2.0499999999999998</v>
      </c>
      <c r="BMP23">
        <v>2.0499999999999998</v>
      </c>
      <c r="BMQ23">
        <v>2.0499999999999998</v>
      </c>
      <c r="BMR23">
        <v>2.0499999999999998</v>
      </c>
      <c r="BMS23">
        <v>2.0499999999999998</v>
      </c>
      <c r="BMT23">
        <v>2.0499999999999998</v>
      </c>
      <c r="BMU23">
        <v>2.0499999999999998</v>
      </c>
      <c r="BMV23">
        <v>2.0499999999999998</v>
      </c>
      <c r="BMW23">
        <v>2.1</v>
      </c>
      <c r="BMX23">
        <v>2.1</v>
      </c>
      <c r="BMY23">
        <v>2.1</v>
      </c>
      <c r="BMZ23">
        <v>2.1</v>
      </c>
      <c r="BNA23">
        <v>2.1</v>
      </c>
      <c r="BNB23">
        <v>2.1</v>
      </c>
      <c r="BNC23">
        <v>2.1</v>
      </c>
      <c r="BND23">
        <v>2.1</v>
      </c>
      <c r="BNE23">
        <v>2.1</v>
      </c>
      <c r="BNF23">
        <v>2.1</v>
      </c>
      <c r="BNG23">
        <v>2.1</v>
      </c>
      <c r="BNH23">
        <v>2.1</v>
      </c>
      <c r="BNI23">
        <v>2.1</v>
      </c>
      <c r="BNJ23">
        <v>2.1</v>
      </c>
      <c r="BNK23">
        <v>2.1</v>
      </c>
      <c r="BNL23">
        <v>2.1</v>
      </c>
      <c r="BNM23">
        <v>2.1</v>
      </c>
      <c r="BNN23">
        <v>2.1</v>
      </c>
      <c r="BNO23">
        <v>2.1</v>
      </c>
      <c r="BNP23">
        <v>2.1</v>
      </c>
      <c r="BNQ23">
        <v>2.1</v>
      </c>
      <c r="BNR23">
        <v>2.1</v>
      </c>
      <c r="BNS23">
        <v>2.1</v>
      </c>
      <c r="BNT23">
        <v>2.1</v>
      </c>
      <c r="BNU23">
        <v>2.1</v>
      </c>
      <c r="BNV23">
        <v>2.1</v>
      </c>
      <c r="BNW23">
        <v>2.1</v>
      </c>
      <c r="BNX23">
        <v>2.1</v>
      </c>
      <c r="BNY23">
        <v>2.1</v>
      </c>
      <c r="BNZ23">
        <v>2.1</v>
      </c>
      <c r="BOA23">
        <v>2.1</v>
      </c>
      <c r="BOB23">
        <v>2.1</v>
      </c>
      <c r="BOC23">
        <v>2.15</v>
      </c>
      <c r="BOD23">
        <v>2.15</v>
      </c>
      <c r="BOE23">
        <v>2.15</v>
      </c>
      <c r="BOF23">
        <v>2.15</v>
      </c>
      <c r="BOG23">
        <v>2.15</v>
      </c>
      <c r="BOH23">
        <v>2.15</v>
      </c>
      <c r="BOI23">
        <v>2.15</v>
      </c>
      <c r="BOJ23">
        <v>2.15</v>
      </c>
      <c r="BOK23">
        <v>2.15</v>
      </c>
      <c r="BOL23">
        <v>2.15</v>
      </c>
      <c r="BOM23">
        <v>2.15</v>
      </c>
      <c r="BON23">
        <v>2.15</v>
      </c>
      <c r="BOO23">
        <v>2.15</v>
      </c>
      <c r="BOP23">
        <v>2.15</v>
      </c>
      <c r="BOQ23">
        <v>2.15</v>
      </c>
      <c r="BOR23">
        <v>2.15</v>
      </c>
      <c r="BOS23">
        <v>2.15</v>
      </c>
      <c r="BOT23">
        <v>2.15</v>
      </c>
      <c r="BOU23">
        <v>2.15</v>
      </c>
      <c r="BOV23">
        <v>2.15</v>
      </c>
      <c r="BOW23">
        <v>2.15</v>
      </c>
      <c r="BOX23">
        <v>2.15</v>
      </c>
      <c r="BOY23">
        <v>2.15</v>
      </c>
      <c r="BOZ23">
        <v>2.15</v>
      </c>
      <c r="BPA23">
        <v>2.15</v>
      </c>
      <c r="BPB23">
        <v>2.15</v>
      </c>
      <c r="BPC23">
        <v>2.15</v>
      </c>
      <c r="BPD23">
        <v>2.15</v>
      </c>
      <c r="BPE23">
        <v>2.2000000000000002</v>
      </c>
      <c r="BPF23">
        <v>2.2000000000000002</v>
      </c>
      <c r="BPG23">
        <v>2.2000000000000002</v>
      </c>
      <c r="BPH23">
        <v>2.2000000000000002</v>
      </c>
      <c r="BPI23">
        <v>2.2000000000000002</v>
      </c>
      <c r="BPJ23">
        <v>2.2000000000000002</v>
      </c>
      <c r="BPK23">
        <v>2.2000000000000002</v>
      </c>
      <c r="BPL23">
        <v>2.2000000000000002</v>
      </c>
      <c r="BPM23">
        <v>2.2000000000000002</v>
      </c>
      <c r="BPN23">
        <v>2.2000000000000002</v>
      </c>
      <c r="BPO23">
        <v>2.2000000000000002</v>
      </c>
      <c r="BPP23">
        <v>2.2000000000000002</v>
      </c>
      <c r="BPQ23">
        <v>2.2000000000000002</v>
      </c>
      <c r="BPR23">
        <v>2.2000000000000002</v>
      </c>
      <c r="BPS23">
        <v>2.2000000000000002</v>
      </c>
      <c r="BPT23">
        <v>2.2000000000000002</v>
      </c>
      <c r="BPU23">
        <v>2.2000000000000002</v>
      </c>
      <c r="BPV23">
        <v>2.2000000000000002</v>
      </c>
      <c r="BPW23">
        <v>2.2000000000000002</v>
      </c>
      <c r="BPX23">
        <v>2.2000000000000002</v>
      </c>
      <c r="BPY23">
        <v>2.2000000000000002</v>
      </c>
      <c r="BPZ23">
        <v>2.2000000000000002</v>
      </c>
      <c r="BQA23">
        <v>2.2000000000000002</v>
      </c>
      <c r="BQB23">
        <v>2.25</v>
      </c>
      <c r="BQC23">
        <v>2.25</v>
      </c>
      <c r="BQD23">
        <v>2.25</v>
      </c>
      <c r="BQE23">
        <v>2.25</v>
      </c>
      <c r="BQF23">
        <v>2.25</v>
      </c>
      <c r="BQG23">
        <v>2.25</v>
      </c>
      <c r="BQH23">
        <v>2.25</v>
      </c>
      <c r="BQI23">
        <v>2.25</v>
      </c>
      <c r="BQJ23">
        <v>2.25</v>
      </c>
      <c r="BQK23">
        <v>2.25</v>
      </c>
      <c r="BQL23">
        <v>2.25</v>
      </c>
      <c r="BQM23">
        <v>2.25</v>
      </c>
      <c r="BQN23">
        <v>2.25</v>
      </c>
      <c r="BQO23">
        <v>2.25</v>
      </c>
      <c r="BQP23">
        <v>2.25</v>
      </c>
      <c r="BQQ23">
        <v>2.25</v>
      </c>
      <c r="BQR23">
        <v>2.25</v>
      </c>
      <c r="BQS23">
        <v>2.25</v>
      </c>
      <c r="BQT23">
        <v>2.25</v>
      </c>
      <c r="BQU23">
        <v>2.25</v>
      </c>
      <c r="BQV23">
        <v>2.25</v>
      </c>
      <c r="BQW23">
        <v>2.25</v>
      </c>
      <c r="BQX23">
        <v>2.25</v>
      </c>
      <c r="BQY23">
        <v>2.25</v>
      </c>
      <c r="BQZ23">
        <v>2.2999999999999998</v>
      </c>
      <c r="BRA23">
        <v>2.2999999999999998</v>
      </c>
      <c r="BRB23">
        <v>2.2999999999999998</v>
      </c>
      <c r="BRC23">
        <v>2.2999999999999998</v>
      </c>
      <c r="BRD23">
        <v>2.2999999999999998</v>
      </c>
      <c r="BRE23">
        <v>2.2999999999999998</v>
      </c>
      <c r="BRF23">
        <v>2.2999999999999998</v>
      </c>
      <c r="BRG23">
        <v>2.2999999999999998</v>
      </c>
      <c r="BRH23">
        <v>2.2999999999999998</v>
      </c>
      <c r="BRI23">
        <v>2.2999999999999998</v>
      </c>
      <c r="BRJ23">
        <v>2.2999999999999998</v>
      </c>
      <c r="BRK23">
        <v>2.2999999999999998</v>
      </c>
      <c r="BRL23">
        <v>2.2999999999999998</v>
      </c>
      <c r="BRM23">
        <v>2.2999999999999998</v>
      </c>
      <c r="BRN23">
        <v>2.2999999999999998</v>
      </c>
      <c r="BRO23">
        <v>2.2999999999999998</v>
      </c>
      <c r="BRP23">
        <v>2.2999999999999998</v>
      </c>
      <c r="BRQ23">
        <v>2.2999999999999998</v>
      </c>
      <c r="BRR23">
        <v>2.2999999999999998</v>
      </c>
      <c r="BRS23">
        <v>2.2999999999999998</v>
      </c>
      <c r="BRT23">
        <v>2.2999999999999998</v>
      </c>
      <c r="BRU23">
        <v>2.2999999999999998</v>
      </c>
      <c r="BRV23">
        <v>2.2999999999999998</v>
      </c>
      <c r="BRW23">
        <v>2.2999999999999998</v>
      </c>
      <c r="BRX23">
        <v>2.2999999999999998</v>
      </c>
      <c r="BRY23">
        <v>2.35</v>
      </c>
      <c r="BRZ23">
        <v>2.35</v>
      </c>
      <c r="BSA23">
        <v>2.35</v>
      </c>
      <c r="BSB23">
        <v>2.35</v>
      </c>
      <c r="BSC23">
        <v>2.35</v>
      </c>
      <c r="BSD23">
        <v>2.35</v>
      </c>
      <c r="BSE23">
        <v>2.35</v>
      </c>
      <c r="BSF23">
        <v>2.35</v>
      </c>
      <c r="BSG23">
        <v>2.35</v>
      </c>
      <c r="BSH23">
        <v>2.35</v>
      </c>
      <c r="BSI23">
        <v>2.35</v>
      </c>
      <c r="BSJ23">
        <v>2.35</v>
      </c>
      <c r="BSK23">
        <v>2.35</v>
      </c>
      <c r="BSL23">
        <v>2.35</v>
      </c>
      <c r="BSM23">
        <v>2.35</v>
      </c>
      <c r="BSN23">
        <v>2.35</v>
      </c>
      <c r="BSO23">
        <v>2.35</v>
      </c>
      <c r="BSP23">
        <v>2.35</v>
      </c>
      <c r="BSQ23">
        <v>2.35</v>
      </c>
      <c r="BSR23">
        <v>2.35</v>
      </c>
      <c r="BSS23">
        <v>2.35</v>
      </c>
      <c r="BST23">
        <v>2.35</v>
      </c>
      <c r="BSU23">
        <v>2.35</v>
      </c>
      <c r="BSV23">
        <v>2.4</v>
      </c>
      <c r="BSW23">
        <v>2.4</v>
      </c>
      <c r="BSX23">
        <v>2.4</v>
      </c>
      <c r="BSY23">
        <v>2.4</v>
      </c>
      <c r="BSZ23">
        <v>2.4</v>
      </c>
      <c r="BTA23">
        <v>2.4</v>
      </c>
      <c r="BTB23">
        <v>2.4</v>
      </c>
      <c r="BTC23">
        <v>2.4</v>
      </c>
      <c r="BTD23">
        <v>2.4</v>
      </c>
      <c r="BTE23">
        <v>2.4</v>
      </c>
      <c r="BTF23">
        <v>2.4</v>
      </c>
      <c r="BTG23">
        <v>2.4</v>
      </c>
      <c r="BTH23">
        <v>2.4</v>
      </c>
      <c r="BTI23">
        <v>2.4</v>
      </c>
      <c r="BTJ23">
        <v>2.4</v>
      </c>
      <c r="BTK23">
        <v>2.4</v>
      </c>
      <c r="BTL23">
        <v>2.4</v>
      </c>
      <c r="BTM23">
        <v>2.4</v>
      </c>
      <c r="BTN23">
        <v>2.4</v>
      </c>
      <c r="BTO23">
        <v>2.4</v>
      </c>
      <c r="BTP23">
        <v>2.4</v>
      </c>
      <c r="BTQ23">
        <v>2.4</v>
      </c>
      <c r="BTR23">
        <v>2.4</v>
      </c>
      <c r="BTS23">
        <v>2.4500000000000002</v>
      </c>
      <c r="BTT23">
        <v>2.4500000000000002</v>
      </c>
      <c r="BTU23">
        <v>2.4500000000000002</v>
      </c>
      <c r="BTV23">
        <v>2.4500000000000002</v>
      </c>
      <c r="BTW23">
        <v>2.4500000000000002</v>
      </c>
      <c r="BTX23">
        <v>2.4500000000000002</v>
      </c>
      <c r="BTY23">
        <v>2.4500000000000002</v>
      </c>
      <c r="BTZ23">
        <v>2.4500000000000002</v>
      </c>
      <c r="BUA23">
        <v>2.4500000000000002</v>
      </c>
      <c r="BUB23">
        <v>2.4500000000000002</v>
      </c>
      <c r="BUC23">
        <v>2.4500000000000002</v>
      </c>
      <c r="BUD23">
        <v>2.4500000000000002</v>
      </c>
      <c r="BUE23">
        <v>2.4500000000000002</v>
      </c>
      <c r="BUF23">
        <v>2.4500000000000002</v>
      </c>
      <c r="BUG23">
        <v>2.4500000000000002</v>
      </c>
      <c r="BUH23">
        <v>2.4500000000000002</v>
      </c>
      <c r="BUI23">
        <v>2.4500000000000002</v>
      </c>
      <c r="BUJ23">
        <v>2.4500000000000002</v>
      </c>
      <c r="BUK23">
        <v>2.4500000000000002</v>
      </c>
      <c r="BUL23">
        <v>2.4500000000000002</v>
      </c>
      <c r="BUM23">
        <v>2.4500000000000002</v>
      </c>
      <c r="BUN23">
        <v>2.4500000000000002</v>
      </c>
      <c r="BUO23">
        <v>2.4500000000000002</v>
      </c>
      <c r="BUP23">
        <v>2.4500000000000002</v>
      </c>
      <c r="BUQ23">
        <v>2.5</v>
      </c>
      <c r="BUR23">
        <v>2.5</v>
      </c>
      <c r="BUS23">
        <v>2.5</v>
      </c>
      <c r="BUT23">
        <v>2.5</v>
      </c>
      <c r="BUU23">
        <v>2.5</v>
      </c>
      <c r="BUV23">
        <v>2.5</v>
      </c>
      <c r="BUW23">
        <v>2.5</v>
      </c>
      <c r="BUX23">
        <v>2.5</v>
      </c>
      <c r="BUY23">
        <v>2.5</v>
      </c>
      <c r="BUZ23">
        <v>2.5</v>
      </c>
      <c r="BVA23">
        <v>2.5</v>
      </c>
      <c r="BVB23">
        <v>2.5</v>
      </c>
      <c r="BVC23">
        <v>2.5</v>
      </c>
      <c r="BVD23">
        <v>2.5</v>
      </c>
      <c r="BVE23">
        <v>2.5</v>
      </c>
      <c r="BVF23">
        <v>2.5</v>
      </c>
      <c r="BVG23">
        <v>2.5</v>
      </c>
      <c r="BVH23">
        <v>2.5</v>
      </c>
      <c r="BVI23">
        <v>2.5</v>
      </c>
      <c r="BVJ23">
        <v>2.5</v>
      </c>
      <c r="BVK23">
        <v>2.5</v>
      </c>
      <c r="BVL23">
        <v>2.5</v>
      </c>
      <c r="BVM23">
        <v>2.5</v>
      </c>
      <c r="BVN23">
        <v>2.5</v>
      </c>
      <c r="BVO23">
        <v>2.5</v>
      </c>
      <c r="BVP23">
        <v>2.5</v>
      </c>
      <c r="BVQ23">
        <v>2.5</v>
      </c>
      <c r="BVR23">
        <v>2.5</v>
      </c>
      <c r="BVS23">
        <v>2.5499999999999998</v>
      </c>
      <c r="BVT23">
        <v>2.5499999999999998</v>
      </c>
      <c r="BVU23">
        <v>2.5499999999999998</v>
      </c>
      <c r="BVV23">
        <v>2.5499999999999998</v>
      </c>
      <c r="BVW23">
        <v>2.5499999999999998</v>
      </c>
      <c r="BVX23">
        <v>2.5499999999999998</v>
      </c>
      <c r="BVY23">
        <v>2.5499999999999998</v>
      </c>
      <c r="BVZ23">
        <v>2.5499999999999998</v>
      </c>
      <c r="BWA23">
        <v>2.5499999999999998</v>
      </c>
      <c r="BWB23">
        <v>2.5499999999999998</v>
      </c>
      <c r="BWC23">
        <v>2.5499999999999998</v>
      </c>
      <c r="BWD23">
        <v>2.5499999999999998</v>
      </c>
      <c r="BWE23">
        <v>2.5499999999999998</v>
      </c>
      <c r="BWF23">
        <v>2.5499999999999998</v>
      </c>
      <c r="BWG23">
        <v>2.5499999999999998</v>
      </c>
      <c r="BWH23">
        <v>2.5499999999999998</v>
      </c>
      <c r="BWI23">
        <v>2.5499999999999998</v>
      </c>
      <c r="BWJ23">
        <v>2.5499999999999998</v>
      </c>
      <c r="BWK23">
        <v>2.5499999999999998</v>
      </c>
      <c r="BWL23">
        <v>2.5499999999999998</v>
      </c>
      <c r="BWM23">
        <v>2.5499999999999998</v>
      </c>
      <c r="BWN23">
        <v>2.5499999999999998</v>
      </c>
      <c r="BWO23">
        <v>2.6</v>
      </c>
      <c r="BWP23">
        <v>2.6</v>
      </c>
      <c r="BWQ23">
        <v>2.6</v>
      </c>
      <c r="BWR23">
        <v>2.6</v>
      </c>
      <c r="BWS23">
        <v>2.6</v>
      </c>
      <c r="BWT23">
        <v>2.6</v>
      </c>
      <c r="BWU23">
        <v>2.6</v>
      </c>
      <c r="BWV23">
        <v>2.6</v>
      </c>
      <c r="BWW23">
        <v>2.6</v>
      </c>
      <c r="BWX23">
        <v>2.6</v>
      </c>
      <c r="BWY23">
        <v>2.6</v>
      </c>
      <c r="BWZ23">
        <v>2.6</v>
      </c>
      <c r="BXA23">
        <v>2.6</v>
      </c>
      <c r="BXB23">
        <v>2.6</v>
      </c>
      <c r="BXC23">
        <v>2.6</v>
      </c>
      <c r="BXD23">
        <v>2.6</v>
      </c>
      <c r="BXE23">
        <v>2.6</v>
      </c>
      <c r="BXF23">
        <v>2.6</v>
      </c>
      <c r="BXG23">
        <v>2.6</v>
      </c>
      <c r="BXH23">
        <v>2.65</v>
      </c>
      <c r="BXI23">
        <v>2.65</v>
      </c>
      <c r="BXJ23">
        <v>2.65</v>
      </c>
      <c r="BXK23">
        <v>2.65</v>
      </c>
      <c r="BXL23">
        <v>2.65</v>
      </c>
      <c r="BXM23">
        <v>2.65</v>
      </c>
      <c r="BXN23">
        <v>2.65</v>
      </c>
      <c r="BXO23">
        <v>2.65</v>
      </c>
      <c r="BXP23">
        <v>2.65</v>
      </c>
      <c r="BXQ23">
        <v>2.65</v>
      </c>
      <c r="BXR23">
        <v>2.65</v>
      </c>
      <c r="BXS23">
        <v>2.65</v>
      </c>
      <c r="BXT23">
        <v>2.65</v>
      </c>
      <c r="BXU23">
        <v>2.65</v>
      </c>
      <c r="BXV23">
        <v>2.65</v>
      </c>
      <c r="BXW23">
        <v>2.65</v>
      </c>
      <c r="BXX23">
        <v>2.65</v>
      </c>
      <c r="BXY23">
        <v>2.65</v>
      </c>
      <c r="BXZ23">
        <v>2.65</v>
      </c>
      <c r="BYA23">
        <v>2.7</v>
      </c>
      <c r="BYB23">
        <v>2.7</v>
      </c>
      <c r="BYC23">
        <v>2.7</v>
      </c>
      <c r="BYD23">
        <v>2.7</v>
      </c>
      <c r="BYE23">
        <v>2.7</v>
      </c>
      <c r="BYF23">
        <v>2.7</v>
      </c>
      <c r="BYG23">
        <v>2.7</v>
      </c>
      <c r="BYH23">
        <v>2.7</v>
      </c>
      <c r="BYI23">
        <v>2.7</v>
      </c>
      <c r="BYJ23">
        <v>2.7</v>
      </c>
      <c r="BYK23">
        <v>2.7</v>
      </c>
      <c r="BYL23">
        <v>2.7</v>
      </c>
      <c r="BYM23">
        <v>2.7</v>
      </c>
      <c r="BYN23">
        <v>2.7</v>
      </c>
      <c r="BYO23">
        <v>2.7</v>
      </c>
      <c r="BYP23">
        <v>2.7</v>
      </c>
      <c r="BYQ23">
        <v>2.7</v>
      </c>
      <c r="BYR23">
        <v>2.75</v>
      </c>
      <c r="BYS23">
        <v>2.75</v>
      </c>
      <c r="BYT23">
        <v>2.75</v>
      </c>
      <c r="BYU23">
        <v>2.75</v>
      </c>
      <c r="BYV23">
        <v>2.75</v>
      </c>
      <c r="BYW23">
        <v>2.75</v>
      </c>
      <c r="BYX23">
        <v>2.75</v>
      </c>
      <c r="BYY23">
        <v>2.75</v>
      </c>
      <c r="BYZ23">
        <v>2.75</v>
      </c>
      <c r="BZA23">
        <v>2.75</v>
      </c>
      <c r="BZB23">
        <v>2.75</v>
      </c>
      <c r="BZC23">
        <v>2.75</v>
      </c>
      <c r="BZD23">
        <v>2.75</v>
      </c>
      <c r="BZE23">
        <v>2.75</v>
      </c>
      <c r="BZF23">
        <v>2.75</v>
      </c>
      <c r="BZG23">
        <v>2.75</v>
      </c>
      <c r="BZH23">
        <v>2.75</v>
      </c>
      <c r="BZI23">
        <v>2.75</v>
      </c>
      <c r="BZJ23">
        <v>2.75</v>
      </c>
      <c r="BZK23">
        <v>2.75</v>
      </c>
      <c r="BZL23">
        <v>2.75</v>
      </c>
      <c r="BZM23">
        <v>2.75</v>
      </c>
      <c r="BZN23">
        <v>2.75</v>
      </c>
      <c r="BZO23">
        <v>2.75</v>
      </c>
      <c r="BZP23">
        <v>2.75</v>
      </c>
      <c r="BZQ23">
        <v>2.75</v>
      </c>
      <c r="BZR23">
        <v>2.75</v>
      </c>
      <c r="BZS23">
        <v>2.8</v>
      </c>
      <c r="BZT23">
        <v>2.8</v>
      </c>
      <c r="BZU23">
        <v>2.8</v>
      </c>
      <c r="BZV23">
        <v>2.8</v>
      </c>
      <c r="BZW23">
        <v>2.8</v>
      </c>
      <c r="BZX23">
        <v>2.8</v>
      </c>
      <c r="BZY23">
        <v>2.8</v>
      </c>
      <c r="BZZ23">
        <v>2.8</v>
      </c>
      <c r="CAA23">
        <v>2.8</v>
      </c>
      <c r="CAB23">
        <v>2.8</v>
      </c>
      <c r="CAC23">
        <v>2.8</v>
      </c>
      <c r="CAD23">
        <v>2.85</v>
      </c>
      <c r="CAE23">
        <v>2.85</v>
      </c>
      <c r="CAF23">
        <v>2.85</v>
      </c>
      <c r="CAG23">
        <v>2.85</v>
      </c>
      <c r="CAH23">
        <v>2.85</v>
      </c>
      <c r="CAI23">
        <v>2.85</v>
      </c>
      <c r="CAJ23">
        <v>2.85</v>
      </c>
      <c r="CAK23">
        <v>2.85</v>
      </c>
      <c r="CAL23">
        <v>2.85</v>
      </c>
      <c r="CAM23">
        <v>2.85</v>
      </c>
      <c r="CAN23">
        <v>2.85</v>
      </c>
      <c r="CAO23">
        <v>2.85</v>
      </c>
      <c r="CAP23">
        <v>2.85</v>
      </c>
      <c r="CAQ23">
        <v>2.85</v>
      </c>
      <c r="CAR23">
        <v>2.85</v>
      </c>
      <c r="CAS23">
        <v>2.85</v>
      </c>
      <c r="CAT23">
        <v>2.85</v>
      </c>
      <c r="CAU23">
        <v>2.85</v>
      </c>
      <c r="CAV23">
        <v>2.9</v>
      </c>
      <c r="CAW23">
        <v>2.9</v>
      </c>
      <c r="CAX23">
        <v>2.9</v>
      </c>
      <c r="CAY23">
        <v>2.9</v>
      </c>
      <c r="CAZ23">
        <v>2.9</v>
      </c>
      <c r="CBA23">
        <v>2.9</v>
      </c>
      <c r="CBB23">
        <v>2.9</v>
      </c>
      <c r="CBC23">
        <v>2.9</v>
      </c>
      <c r="CBD23">
        <v>2.9</v>
      </c>
      <c r="CBE23">
        <v>2.9</v>
      </c>
      <c r="CBF23">
        <v>2.9</v>
      </c>
      <c r="CBG23">
        <v>2.9</v>
      </c>
      <c r="CBH23">
        <v>2.9</v>
      </c>
      <c r="CBI23">
        <v>2.9</v>
      </c>
      <c r="CBJ23">
        <v>2.9</v>
      </c>
      <c r="CBK23">
        <v>2.9</v>
      </c>
      <c r="CBL23">
        <v>2.9</v>
      </c>
      <c r="CBM23">
        <v>2.9</v>
      </c>
      <c r="CBN23">
        <v>2.9</v>
      </c>
      <c r="CBO23">
        <v>2.95</v>
      </c>
      <c r="CBP23">
        <v>2.95</v>
      </c>
      <c r="CBQ23">
        <v>2.95</v>
      </c>
      <c r="CBR23">
        <v>2.95</v>
      </c>
      <c r="CBS23">
        <v>2.95</v>
      </c>
      <c r="CBT23">
        <v>2.95</v>
      </c>
      <c r="CBU23">
        <v>2.95</v>
      </c>
      <c r="CBV23">
        <v>2.95</v>
      </c>
      <c r="CBW23">
        <v>2.95</v>
      </c>
      <c r="CBX23">
        <v>2.95</v>
      </c>
      <c r="CBY23">
        <v>2.95</v>
      </c>
      <c r="CBZ23">
        <v>2.95</v>
      </c>
      <c r="CCA23">
        <v>2.95</v>
      </c>
      <c r="CCB23">
        <v>2.95</v>
      </c>
      <c r="CCC23">
        <v>2.95</v>
      </c>
      <c r="CCD23">
        <v>2.95</v>
      </c>
      <c r="CCE23">
        <v>3</v>
      </c>
      <c r="CCF23">
        <v>3</v>
      </c>
      <c r="CCG23">
        <v>3</v>
      </c>
      <c r="CCH23">
        <v>3</v>
      </c>
      <c r="CCI23">
        <v>3</v>
      </c>
      <c r="CCJ23">
        <v>3</v>
      </c>
      <c r="CCK23">
        <v>3</v>
      </c>
      <c r="CCL23">
        <v>3</v>
      </c>
      <c r="CCM23">
        <v>3</v>
      </c>
      <c r="CCN23">
        <v>3</v>
      </c>
      <c r="CCO23">
        <v>3</v>
      </c>
      <c r="CCP23">
        <v>3</v>
      </c>
      <c r="CCQ23">
        <v>3</v>
      </c>
      <c r="CCR23">
        <v>3</v>
      </c>
      <c r="CCS23">
        <v>3</v>
      </c>
      <c r="CCT23">
        <v>3</v>
      </c>
      <c r="CCU23">
        <v>3</v>
      </c>
      <c r="CCV23">
        <v>3</v>
      </c>
      <c r="CCW23">
        <v>3.03</v>
      </c>
      <c r="CCX23">
        <v>3.05</v>
      </c>
      <c r="CCY23">
        <v>3.05</v>
      </c>
      <c r="CCZ23">
        <v>3.05</v>
      </c>
      <c r="CDA23">
        <v>3.05</v>
      </c>
      <c r="CDB23">
        <v>3.05</v>
      </c>
      <c r="CDC23">
        <v>3.05</v>
      </c>
      <c r="CDD23">
        <v>3.05</v>
      </c>
      <c r="CDE23">
        <v>3.05</v>
      </c>
      <c r="CDF23">
        <v>3.05</v>
      </c>
      <c r="CDG23">
        <v>3.05</v>
      </c>
      <c r="CDH23">
        <v>3.05</v>
      </c>
      <c r="CDI23">
        <v>3.05</v>
      </c>
      <c r="CDJ23">
        <v>3.05</v>
      </c>
      <c r="CDK23">
        <v>3.05</v>
      </c>
      <c r="CDL23">
        <v>3.05</v>
      </c>
      <c r="CDM23">
        <v>3.05</v>
      </c>
      <c r="CDN23">
        <v>3.1</v>
      </c>
      <c r="CDO23">
        <v>3.1</v>
      </c>
      <c r="CDP23">
        <v>3.1</v>
      </c>
      <c r="CDQ23">
        <v>3.1</v>
      </c>
      <c r="CDR23">
        <v>3.1</v>
      </c>
      <c r="CDS23">
        <v>3.1</v>
      </c>
      <c r="CDT23">
        <v>3.1</v>
      </c>
      <c r="CDU23">
        <v>3.1</v>
      </c>
      <c r="CDV23">
        <v>3.1</v>
      </c>
      <c r="CDW23">
        <v>3.1</v>
      </c>
      <c r="CDX23">
        <v>3.1</v>
      </c>
      <c r="CDY23">
        <v>3.1</v>
      </c>
      <c r="CDZ23">
        <v>3.1</v>
      </c>
      <c r="CEA23">
        <v>3.1</v>
      </c>
      <c r="CEB23">
        <v>3.1</v>
      </c>
      <c r="CEC23">
        <v>3.15</v>
      </c>
      <c r="CED23">
        <v>3.15</v>
      </c>
      <c r="CEE23">
        <v>3.15</v>
      </c>
      <c r="CEF23">
        <v>3.15</v>
      </c>
      <c r="CEG23">
        <v>3.15</v>
      </c>
      <c r="CEH23">
        <v>3.15</v>
      </c>
      <c r="CEI23">
        <v>3.15</v>
      </c>
      <c r="CEJ23">
        <v>3.15</v>
      </c>
      <c r="CEK23">
        <v>3.15</v>
      </c>
      <c r="CEL23">
        <v>3.15</v>
      </c>
      <c r="CEM23">
        <v>3.15</v>
      </c>
      <c r="CEN23">
        <v>3.15</v>
      </c>
      <c r="CEO23">
        <v>3.15</v>
      </c>
      <c r="CEP23">
        <v>3.15</v>
      </c>
      <c r="CEQ23">
        <v>3.15</v>
      </c>
      <c r="CER23">
        <v>3.15</v>
      </c>
      <c r="CES23">
        <v>3.15</v>
      </c>
      <c r="CET23">
        <v>3.15</v>
      </c>
      <c r="CEU23">
        <v>3.15</v>
      </c>
      <c r="CEV23">
        <v>3.2</v>
      </c>
      <c r="CEW23">
        <v>3.2</v>
      </c>
      <c r="CEX23">
        <v>3.2</v>
      </c>
      <c r="CEY23">
        <v>3.2</v>
      </c>
      <c r="CEZ23">
        <v>3.2</v>
      </c>
      <c r="CFA23">
        <v>3.2</v>
      </c>
      <c r="CFB23">
        <v>3.2</v>
      </c>
      <c r="CFC23">
        <v>3.2</v>
      </c>
      <c r="CFD23">
        <v>3.2</v>
      </c>
      <c r="CFE23">
        <v>3.2</v>
      </c>
      <c r="CFF23">
        <v>3.2</v>
      </c>
      <c r="CFG23">
        <v>3.2</v>
      </c>
      <c r="CFH23">
        <v>3.2</v>
      </c>
      <c r="CFI23">
        <v>3.2</v>
      </c>
      <c r="CFJ23">
        <v>3.2</v>
      </c>
      <c r="CFK23">
        <v>3.2</v>
      </c>
      <c r="CFL23">
        <v>3.2</v>
      </c>
      <c r="CFM23">
        <v>3.2</v>
      </c>
      <c r="CFN23">
        <v>3.2</v>
      </c>
      <c r="CFO23">
        <v>3.2</v>
      </c>
      <c r="CFP23">
        <v>3.2</v>
      </c>
      <c r="CFQ23">
        <v>3.2</v>
      </c>
      <c r="CFR23">
        <v>3.2</v>
      </c>
      <c r="CFS23">
        <v>3.25</v>
      </c>
      <c r="CFT23">
        <v>3.25</v>
      </c>
      <c r="CFU23">
        <v>3.25</v>
      </c>
      <c r="CFV23">
        <v>3.25</v>
      </c>
      <c r="CFW23">
        <v>3.25</v>
      </c>
      <c r="CFX23">
        <v>3.25</v>
      </c>
      <c r="CFY23">
        <v>3.25</v>
      </c>
      <c r="CFZ23">
        <v>3.25</v>
      </c>
      <c r="CGA23">
        <v>3.25</v>
      </c>
      <c r="CGB23">
        <v>3.25</v>
      </c>
      <c r="CGC23">
        <v>3.25</v>
      </c>
      <c r="CGD23">
        <v>3.25</v>
      </c>
      <c r="CGE23">
        <v>3.25</v>
      </c>
      <c r="CGF23">
        <v>3.25</v>
      </c>
      <c r="CGG23">
        <v>3.25</v>
      </c>
      <c r="CGH23">
        <v>3.25</v>
      </c>
      <c r="CGI23">
        <v>3.25</v>
      </c>
      <c r="CGJ23">
        <v>3.25</v>
      </c>
      <c r="CGK23">
        <v>3.25</v>
      </c>
      <c r="CGL23">
        <v>3.25</v>
      </c>
      <c r="CGM23">
        <v>3.25</v>
      </c>
      <c r="CGN23">
        <v>3.25</v>
      </c>
      <c r="CGO23">
        <v>3.25</v>
      </c>
      <c r="CGP23">
        <v>3.3</v>
      </c>
      <c r="CGQ23">
        <v>3.3</v>
      </c>
      <c r="CGR23">
        <v>3.3</v>
      </c>
      <c r="CGS23">
        <v>3.3</v>
      </c>
      <c r="CGT23">
        <v>3.3</v>
      </c>
      <c r="CGU23">
        <v>3.3</v>
      </c>
      <c r="CGV23">
        <v>3.3</v>
      </c>
      <c r="CGW23">
        <v>3.3</v>
      </c>
      <c r="CGX23">
        <v>3.3</v>
      </c>
      <c r="CGY23">
        <v>3.3</v>
      </c>
      <c r="CGZ23">
        <v>3.3</v>
      </c>
      <c r="CHA23">
        <v>3.3</v>
      </c>
      <c r="CHB23">
        <v>3.3</v>
      </c>
      <c r="CHC23">
        <v>3.35</v>
      </c>
      <c r="CHD23">
        <v>3.35</v>
      </c>
      <c r="CHE23">
        <v>3.35</v>
      </c>
      <c r="CHF23">
        <v>3.35</v>
      </c>
      <c r="CHG23">
        <v>3.35</v>
      </c>
      <c r="CHH23">
        <v>3.35</v>
      </c>
      <c r="CHI23">
        <v>3.35</v>
      </c>
      <c r="CHJ23">
        <v>3.35</v>
      </c>
      <c r="CHK23">
        <v>3.35</v>
      </c>
      <c r="CHL23">
        <v>3.35</v>
      </c>
      <c r="CHM23">
        <v>3.35</v>
      </c>
      <c r="CHN23">
        <v>3.35</v>
      </c>
      <c r="CHO23">
        <v>3.35</v>
      </c>
      <c r="CHP23">
        <v>3.35</v>
      </c>
      <c r="CHQ23">
        <v>3.35</v>
      </c>
      <c r="CHR23">
        <v>3.35</v>
      </c>
      <c r="CHS23">
        <v>3.35</v>
      </c>
      <c r="CHT23">
        <v>3.35</v>
      </c>
      <c r="CHU23">
        <v>3.35</v>
      </c>
      <c r="CHV23">
        <v>3.35</v>
      </c>
      <c r="CHW23">
        <v>3.35</v>
      </c>
      <c r="CHX23">
        <v>3.4</v>
      </c>
      <c r="CHY23">
        <v>3.4</v>
      </c>
      <c r="CHZ23">
        <v>3.4</v>
      </c>
      <c r="CIA23">
        <v>3.4</v>
      </c>
      <c r="CIB23">
        <v>3.4</v>
      </c>
      <c r="CIC23">
        <v>3.4</v>
      </c>
      <c r="CID23">
        <v>3.4</v>
      </c>
      <c r="CIE23">
        <v>3.4</v>
      </c>
      <c r="CIF23">
        <v>3.4</v>
      </c>
      <c r="CIG23">
        <v>3.4</v>
      </c>
      <c r="CIH23">
        <v>3.4</v>
      </c>
      <c r="CII23">
        <v>3.4</v>
      </c>
      <c r="CIJ23">
        <v>3.4</v>
      </c>
      <c r="CIK23">
        <v>3.4</v>
      </c>
      <c r="CIL23">
        <v>3.4</v>
      </c>
      <c r="CIM23">
        <v>3.4</v>
      </c>
      <c r="CIN23">
        <v>3.4</v>
      </c>
      <c r="CIO23">
        <v>3.4</v>
      </c>
      <c r="CIP23">
        <v>3.4</v>
      </c>
      <c r="CIQ23">
        <v>3.45</v>
      </c>
      <c r="CIR23">
        <v>3.45</v>
      </c>
      <c r="CIS23">
        <v>3.45</v>
      </c>
      <c r="CIT23">
        <v>3.45</v>
      </c>
      <c r="CIU23">
        <v>3.45</v>
      </c>
      <c r="CIV23">
        <v>3.45</v>
      </c>
      <c r="CIW23">
        <v>3.45</v>
      </c>
      <c r="CIX23">
        <v>3.45</v>
      </c>
      <c r="CIY23">
        <v>3.45</v>
      </c>
      <c r="CIZ23">
        <v>3.45</v>
      </c>
      <c r="CJA23">
        <v>3.45</v>
      </c>
      <c r="CJB23">
        <v>3.45</v>
      </c>
      <c r="CJC23">
        <v>3.45</v>
      </c>
      <c r="CJD23">
        <v>3.45</v>
      </c>
      <c r="CJE23">
        <v>3.45</v>
      </c>
      <c r="CJF23">
        <v>3.45</v>
      </c>
      <c r="CJG23">
        <v>3.45</v>
      </c>
      <c r="CJH23">
        <v>3.45</v>
      </c>
      <c r="CJI23">
        <v>3.45</v>
      </c>
      <c r="CJJ23">
        <v>3.45</v>
      </c>
      <c r="CJK23">
        <v>3.45</v>
      </c>
      <c r="CJL23">
        <v>3.45</v>
      </c>
      <c r="CJM23">
        <v>3.45</v>
      </c>
      <c r="CJN23">
        <v>3.45</v>
      </c>
      <c r="CJO23">
        <v>3.45</v>
      </c>
      <c r="CJP23">
        <v>3.5</v>
      </c>
      <c r="CJQ23">
        <v>3.5</v>
      </c>
      <c r="CJR23">
        <v>3.5</v>
      </c>
      <c r="CJS23">
        <v>3.5</v>
      </c>
      <c r="CJT23">
        <v>3.5</v>
      </c>
      <c r="CJU23">
        <v>3.5</v>
      </c>
      <c r="CJV23">
        <v>3.5</v>
      </c>
      <c r="CJW23">
        <v>3.5</v>
      </c>
      <c r="CJX23">
        <v>3.5</v>
      </c>
      <c r="CJY23">
        <v>3.5</v>
      </c>
      <c r="CJZ23">
        <v>3.5</v>
      </c>
      <c r="CKA23">
        <v>3.5</v>
      </c>
      <c r="CKB23">
        <v>3.5</v>
      </c>
      <c r="CKC23">
        <v>3.5</v>
      </c>
      <c r="CKD23">
        <v>3.5</v>
      </c>
      <c r="CKE23">
        <v>3.5</v>
      </c>
      <c r="CKF23">
        <v>3.5</v>
      </c>
      <c r="CKG23">
        <v>3.55</v>
      </c>
      <c r="CKH23">
        <v>3.55</v>
      </c>
      <c r="CKI23">
        <v>3.55</v>
      </c>
      <c r="CKJ23">
        <v>3.55</v>
      </c>
      <c r="CKK23">
        <v>3.55</v>
      </c>
      <c r="CKL23">
        <v>3.55</v>
      </c>
      <c r="CKM23">
        <v>3.55</v>
      </c>
      <c r="CKN23">
        <v>3.55</v>
      </c>
      <c r="CKO23">
        <v>3.55</v>
      </c>
      <c r="CKP23">
        <v>3.55</v>
      </c>
      <c r="CKQ23">
        <v>3.55</v>
      </c>
      <c r="CKR23">
        <v>3.55</v>
      </c>
      <c r="CKS23">
        <v>3.55</v>
      </c>
      <c r="CKT23">
        <v>3.55</v>
      </c>
      <c r="CKU23">
        <v>3.6</v>
      </c>
      <c r="CKV23">
        <v>3.6</v>
      </c>
      <c r="CKW23">
        <v>3.6</v>
      </c>
      <c r="CKX23">
        <v>3.6</v>
      </c>
      <c r="CKY23">
        <v>3.6</v>
      </c>
      <c r="CKZ23">
        <v>3.6</v>
      </c>
      <c r="CLA23">
        <v>3.6</v>
      </c>
      <c r="CLB23">
        <v>3.6</v>
      </c>
      <c r="CLC23">
        <v>3.6</v>
      </c>
      <c r="CLD23">
        <v>3.6</v>
      </c>
      <c r="CLE23">
        <v>3.6</v>
      </c>
      <c r="CLF23">
        <v>3.6</v>
      </c>
      <c r="CLG23">
        <v>3.6</v>
      </c>
      <c r="CLH23">
        <v>3.65</v>
      </c>
      <c r="CLI23">
        <v>3.65</v>
      </c>
      <c r="CLJ23">
        <v>3.65</v>
      </c>
      <c r="CLK23">
        <v>3.65</v>
      </c>
      <c r="CLL23">
        <v>3.65</v>
      </c>
      <c r="CLM23">
        <v>3.65</v>
      </c>
      <c r="CLN23">
        <v>3.65</v>
      </c>
      <c r="CLO23">
        <v>3.65</v>
      </c>
      <c r="CLP23">
        <v>3.65</v>
      </c>
      <c r="CLQ23">
        <v>3.7</v>
      </c>
      <c r="CLR23">
        <v>3.7</v>
      </c>
      <c r="CLS23">
        <v>3.7</v>
      </c>
      <c r="CLT23">
        <v>3.7</v>
      </c>
      <c r="CLU23">
        <v>3.7</v>
      </c>
      <c r="CLV23">
        <v>3.7</v>
      </c>
      <c r="CLW23">
        <v>3.7</v>
      </c>
      <c r="CLX23">
        <v>3.7</v>
      </c>
      <c r="CLY23">
        <v>3.7</v>
      </c>
      <c r="CLZ23">
        <v>3.7</v>
      </c>
      <c r="CMA23">
        <v>3.7</v>
      </c>
      <c r="CMB23">
        <v>3.7</v>
      </c>
      <c r="CMC23">
        <v>3.7</v>
      </c>
      <c r="CMD23">
        <v>3.7</v>
      </c>
      <c r="CME23">
        <v>3.7</v>
      </c>
      <c r="CMF23">
        <v>3.7</v>
      </c>
      <c r="CMG23">
        <v>3.7</v>
      </c>
      <c r="CMH23">
        <v>3.7</v>
      </c>
      <c r="CMI23">
        <v>3.75</v>
      </c>
      <c r="CMJ23">
        <v>3.75</v>
      </c>
      <c r="CMK23">
        <v>3.75</v>
      </c>
      <c r="CML23">
        <v>3.75</v>
      </c>
      <c r="CMM23">
        <v>3.75</v>
      </c>
      <c r="CMN23">
        <v>3.75</v>
      </c>
      <c r="CMO23">
        <v>3.75</v>
      </c>
      <c r="CMP23">
        <v>3.75</v>
      </c>
      <c r="CMQ23">
        <v>3.75</v>
      </c>
      <c r="CMR23">
        <v>3.75</v>
      </c>
      <c r="CMS23">
        <v>3.8</v>
      </c>
      <c r="CMT23">
        <v>3.8</v>
      </c>
      <c r="CMU23">
        <v>3.8</v>
      </c>
      <c r="CMV23">
        <v>3.8</v>
      </c>
      <c r="CMW23">
        <v>3.8</v>
      </c>
      <c r="CMX23">
        <v>3.8</v>
      </c>
      <c r="CMY23">
        <v>3.8</v>
      </c>
      <c r="CMZ23">
        <v>3.8</v>
      </c>
      <c r="CNA23">
        <v>3.8</v>
      </c>
      <c r="CNB23">
        <v>3.85</v>
      </c>
      <c r="CNC23">
        <v>3.85</v>
      </c>
      <c r="CND23">
        <v>3.85</v>
      </c>
      <c r="CNE23">
        <v>3.85</v>
      </c>
      <c r="CNF23">
        <v>3.85</v>
      </c>
      <c r="CNG23">
        <v>3.85</v>
      </c>
      <c r="CNH23">
        <v>3.85</v>
      </c>
      <c r="CNI23">
        <v>3.85</v>
      </c>
      <c r="CNJ23">
        <v>3.85</v>
      </c>
      <c r="CNK23">
        <v>3.85</v>
      </c>
      <c r="CNL23">
        <v>3.85</v>
      </c>
      <c r="CNM23">
        <v>3.85</v>
      </c>
      <c r="CNN23">
        <v>3.85</v>
      </c>
      <c r="CNO23">
        <v>3.85</v>
      </c>
      <c r="CNP23">
        <v>3.85</v>
      </c>
      <c r="CNQ23">
        <v>3.85</v>
      </c>
      <c r="CNR23">
        <v>3.9</v>
      </c>
      <c r="CNS23">
        <v>3.9</v>
      </c>
      <c r="CNT23">
        <v>3.9</v>
      </c>
      <c r="CNU23">
        <v>3.9</v>
      </c>
      <c r="CNV23">
        <v>3.9</v>
      </c>
      <c r="CNW23">
        <v>3.9</v>
      </c>
      <c r="CNX23">
        <v>3.9</v>
      </c>
      <c r="CNY23">
        <v>3.9</v>
      </c>
      <c r="CNZ23">
        <v>3.9</v>
      </c>
      <c r="COA23">
        <v>3.9</v>
      </c>
      <c r="COB23">
        <v>3.9</v>
      </c>
      <c r="COC23">
        <v>3.9</v>
      </c>
      <c r="COD23">
        <v>3.9</v>
      </c>
      <c r="COE23">
        <v>3.9</v>
      </c>
      <c r="COF23">
        <v>3.9</v>
      </c>
      <c r="COG23">
        <v>3.9</v>
      </c>
      <c r="COH23">
        <v>3.95</v>
      </c>
      <c r="COI23">
        <v>3.95</v>
      </c>
      <c r="COJ23">
        <v>3.95</v>
      </c>
      <c r="COK23">
        <v>3.95</v>
      </c>
      <c r="COL23">
        <v>3.95</v>
      </c>
      <c r="COM23">
        <v>3.95</v>
      </c>
      <c r="CON23">
        <v>3.95</v>
      </c>
      <c r="COO23">
        <v>3.95</v>
      </c>
      <c r="COP23">
        <v>3.95</v>
      </c>
      <c r="COQ23">
        <v>3.95</v>
      </c>
      <c r="COR23">
        <v>3.95</v>
      </c>
      <c r="COS23">
        <v>3.95</v>
      </c>
      <c r="COT23">
        <v>3.95</v>
      </c>
      <c r="COU23">
        <v>4</v>
      </c>
      <c r="COV23">
        <v>4</v>
      </c>
      <c r="COW23">
        <v>4</v>
      </c>
      <c r="COX23">
        <v>4</v>
      </c>
      <c r="COY23">
        <v>4</v>
      </c>
      <c r="COZ23">
        <v>4</v>
      </c>
      <c r="CPA23">
        <v>4</v>
      </c>
      <c r="CPB23">
        <v>4</v>
      </c>
      <c r="CPC23">
        <v>4</v>
      </c>
      <c r="CPD23">
        <v>4</v>
      </c>
      <c r="CPE23">
        <v>4.05</v>
      </c>
      <c r="CPF23">
        <v>4.05</v>
      </c>
      <c r="CPG23">
        <v>4.05</v>
      </c>
      <c r="CPH23">
        <v>4.05</v>
      </c>
      <c r="CPI23">
        <v>4.05</v>
      </c>
      <c r="CPJ23">
        <v>4.05</v>
      </c>
      <c r="CPK23">
        <v>4.05</v>
      </c>
      <c r="CPL23">
        <v>4.05</v>
      </c>
      <c r="CPM23">
        <v>4.05</v>
      </c>
      <c r="CPN23">
        <v>4.05</v>
      </c>
      <c r="CPO23">
        <v>4.05</v>
      </c>
      <c r="CPP23">
        <v>4.0999999999999996</v>
      </c>
      <c r="CPQ23">
        <v>4.0999999999999996</v>
      </c>
      <c r="CPR23">
        <v>4.0999999999999996</v>
      </c>
      <c r="CPS23">
        <v>4.0999999999999996</v>
      </c>
      <c r="CPT23">
        <v>4.0999999999999996</v>
      </c>
      <c r="CPU23">
        <v>4.0999999999999996</v>
      </c>
      <c r="CPV23">
        <v>4.1500000000000004</v>
      </c>
      <c r="CPW23">
        <v>4.1500000000000004</v>
      </c>
      <c r="CPX23">
        <v>4.1500000000000004</v>
      </c>
      <c r="CPY23">
        <v>4.1500000000000004</v>
      </c>
      <c r="CPZ23">
        <v>4.1500000000000004</v>
      </c>
      <c r="CQA23">
        <v>4.1500000000000004</v>
      </c>
      <c r="CQB23">
        <v>4.1500000000000004</v>
      </c>
      <c r="CQC23">
        <v>4.1500000000000004</v>
      </c>
      <c r="CQD23">
        <v>4.1500000000000004</v>
      </c>
      <c r="CQE23">
        <v>4.2</v>
      </c>
      <c r="CQF23">
        <v>4.2</v>
      </c>
      <c r="CQG23">
        <v>4.2</v>
      </c>
      <c r="CQH23">
        <v>4.2</v>
      </c>
      <c r="CQI23">
        <v>4.2</v>
      </c>
      <c r="CQJ23">
        <v>4.2</v>
      </c>
      <c r="CQK23">
        <v>4.25</v>
      </c>
      <c r="CQL23">
        <v>4.25</v>
      </c>
      <c r="CQM23">
        <v>4.25</v>
      </c>
      <c r="CQN23">
        <v>4.25</v>
      </c>
      <c r="CQO23">
        <v>4.25</v>
      </c>
      <c r="CQP23">
        <v>4.25</v>
      </c>
      <c r="CQQ23">
        <v>4.25</v>
      </c>
      <c r="CQR23">
        <v>4.25</v>
      </c>
      <c r="CQS23">
        <v>4.25</v>
      </c>
      <c r="CQT23">
        <v>4.25</v>
      </c>
      <c r="CQU23">
        <v>4.25</v>
      </c>
      <c r="CQV23">
        <v>4.25</v>
      </c>
      <c r="CQW23">
        <v>4.25</v>
      </c>
      <c r="CQX23">
        <v>4.25</v>
      </c>
      <c r="CQY23">
        <v>4.3</v>
      </c>
      <c r="CQZ23">
        <v>4.3</v>
      </c>
      <c r="CRA23">
        <v>4.3</v>
      </c>
      <c r="CRB23">
        <v>4.3</v>
      </c>
      <c r="CRC23">
        <v>4.3</v>
      </c>
      <c r="CRD23">
        <v>4.3</v>
      </c>
      <c r="CRE23">
        <v>4.3</v>
      </c>
      <c r="CRF23">
        <v>4.3</v>
      </c>
      <c r="CRG23">
        <v>4.3</v>
      </c>
      <c r="CRH23">
        <v>4.3499999999999996</v>
      </c>
      <c r="CRI23">
        <v>4.3499999999999996</v>
      </c>
      <c r="CRJ23">
        <v>4.3499999999999996</v>
      </c>
      <c r="CRK23">
        <v>4.3499999999999996</v>
      </c>
      <c r="CRL23">
        <v>4.3499999999999996</v>
      </c>
      <c r="CRM23">
        <v>4.3499999999999996</v>
      </c>
      <c r="CRN23">
        <v>4.3499999999999996</v>
      </c>
      <c r="CRO23">
        <v>4.3499999999999996</v>
      </c>
      <c r="CRP23">
        <v>4.3499999999999996</v>
      </c>
      <c r="CRQ23">
        <v>4.3499999999999996</v>
      </c>
      <c r="CRR23">
        <v>4.3499999999999996</v>
      </c>
      <c r="CRS23">
        <v>4.3499999999999996</v>
      </c>
      <c r="CRT23">
        <v>4.4000000000000004</v>
      </c>
      <c r="CRU23">
        <v>4.4000000000000004</v>
      </c>
      <c r="CRV23">
        <v>4.4000000000000004</v>
      </c>
      <c r="CRW23">
        <v>4.4000000000000004</v>
      </c>
      <c r="CRX23">
        <v>4.4000000000000004</v>
      </c>
      <c r="CRY23">
        <v>4.4000000000000004</v>
      </c>
      <c r="CRZ23">
        <v>4.4000000000000004</v>
      </c>
      <c r="CSA23">
        <v>4.4000000000000004</v>
      </c>
      <c r="CSB23">
        <v>4.4000000000000004</v>
      </c>
      <c r="CSC23">
        <v>4.4000000000000004</v>
      </c>
      <c r="CSD23">
        <v>4.4000000000000004</v>
      </c>
      <c r="CSE23">
        <v>4.4000000000000004</v>
      </c>
      <c r="CSF23">
        <v>4.45</v>
      </c>
      <c r="CSG23">
        <v>4.45</v>
      </c>
      <c r="CSH23">
        <v>4.45</v>
      </c>
      <c r="CSI23">
        <v>4.45</v>
      </c>
      <c r="CSJ23">
        <v>4.45</v>
      </c>
      <c r="CSK23">
        <v>4.45</v>
      </c>
      <c r="CSL23">
        <v>4.45</v>
      </c>
      <c r="CSM23">
        <v>4.45</v>
      </c>
      <c r="CSN23">
        <v>4.45</v>
      </c>
      <c r="CSO23">
        <v>4.45</v>
      </c>
      <c r="CSP23">
        <v>4.45</v>
      </c>
      <c r="CSQ23">
        <v>4.45</v>
      </c>
      <c r="CSR23">
        <v>4.45</v>
      </c>
      <c r="CSS23">
        <v>4.45</v>
      </c>
      <c r="CST23">
        <v>4.45</v>
      </c>
      <c r="CSU23">
        <v>4.45</v>
      </c>
      <c r="CSV23">
        <v>4.5</v>
      </c>
      <c r="CSW23">
        <v>4.5</v>
      </c>
      <c r="CSX23">
        <v>4.5</v>
      </c>
      <c r="CSY23">
        <v>4.5</v>
      </c>
      <c r="CSZ23">
        <v>4.5</v>
      </c>
      <c r="CTA23">
        <v>4.5</v>
      </c>
      <c r="CTB23">
        <v>4.5</v>
      </c>
      <c r="CTC23">
        <v>4.5</v>
      </c>
      <c r="CTD23">
        <v>4.5</v>
      </c>
      <c r="CTE23">
        <v>4.5</v>
      </c>
      <c r="CTF23">
        <v>4.5</v>
      </c>
      <c r="CTG23">
        <v>4.55</v>
      </c>
      <c r="CTH23">
        <v>4.55</v>
      </c>
      <c r="CTI23">
        <v>4.55</v>
      </c>
      <c r="CTJ23">
        <v>4.55</v>
      </c>
      <c r="CTK23">
        <v>4.55</v>
      </c>
      <c r="CTL23">
        <v>4.55</v>
      </c>
      <c r="CTM23">
        <v>4.55</v>
      </c>
      <c r="CTN23">
        <v>4.55</v>
      </c>
      <c r="CTO23">
        <v>4.55</v>
      </c>
      <c r="CTP23">
        <v>4.55</v>
      </c>
      <c r="CTQ23">
        <v>4.55</v>
      </c>
      <c r="CTR23">
        <v>4.55</v>
      </c>
      <c r="CTS23">
        <v>4.5999999999999996</v>
      </c>
      <c r="CTT23">
        <v>4.5999999999999996</v>
      </c>
      <c r="CTU23">
        <v>4.5999999999999996</v>
      </c>
      <c r="CTV23">
        <v>4.5999999999999996</v>
      </c>
      <c r="CTW23">
        <v>4.5999999999999996</v>
      </c>
      <c r="CTX23">
        <v>4.5999999999999996</v>
      </c>
      <c r="CTY23">
        <v>4.5999999999999996</v>
      </c>
      <c r="CTZ23">
        <v>4.5999999999999996</v>
      </c>
      <c r="CUA23">
        <v>4.5999999999999996</v>
      </c>
      <c r="CUB23">
        <v>4.6500000000000004</v>
      </c>
      <c r="CUC23">
        <v>4.6500000000000004</v>
      </c>
      <c r="CUD23">
        <v>4.6500000000000004</v>
      </c>
      <c r="CUE23">
        <v>4.6500000000000004</v>
      </c>
      <c r="CUF23">
        <v>4.6500000000000004</v>
      </c>
      <c r="CUG23">
        <v>4.6500000000000004</v>
      </c>
      <c r="CUH23">
        <v>4.6500000000000004</v>
      </c>
      <c r="CUI23">
        <v>4.7</v>
      </c>
      <c r="CUJ23">
        <v>4.7</v>
      </c>
      <c r="CUK23">
        <v>4.7</v>
      </c>
      <c r="CUL23">
        <v>4.7</v>
      </c>
      <c r="CUM23">
        <v>4.7</v>
      </c>
      <c r="CUN23">
        <v>4.7</v>
      </c>
      <c r="CUO23">
        <v>4.7</v>
      </c>
      <c r="CUP23">
        <v>4.7</v>
      </c>
      <c r="CUQ23">
        <v>4.7</v>
      </c>
      <c r="CUR23">
        <v>4.75</v>
      </c>
      <c r="CUS23">
        <v>4.75</v>
      </c>
      <c r="CUT23">
        <v>4.75</v>
      </c>
      <c r="CUU23">
        <v>4.75</v>
      </c>
      <c r="CUV23">
        <v>4.75</v>
      </c>
      <c r="CUW23">
        <v>4.75</v>
      </c>
      <c r="CUX23">
        <v>4.75</v>
      </c>
      <c r="CUY23">
        <v>4.75</v>
      </c>
      <c r="CUZ23">
        <v>4.75</v>
      </c>
      <c r="CVA23">
        <v>4.75</v>
      </c>
      <c r="CVB23">
        <v>4.75</v>
      </c>
      <c r="CVC23">
        <v>4.75</v>
      </c>
      <c r="CVD23">
        <v>4.75</v>
      </c>
      <c r="CVE23">
        <v>4.75</v>
      </c>
      <c r="CVF23">
        <v>4.75</v>
      </c>
      <c r="CVG23">
        <v>4.75</v>
      </c>
      <c r="CVH23">
        <v>4.8</v>
      </c>
      <c r="CVI23">
        <v>4.8</v>
      </c>
      <c r="CVJ23">
        <v>4.8</v>
      </c>
      <c r="CVK23">
        <v>4.8</v>
      </c>
      <c r="CVL23">
        <v>4.8</v>
      </c>
      <c r="CVM23">
        <v>4.8</v>
      </c>
      <c r="CVN23">
        <v>4.8</v>
      </c>
      <c r="CVO23">
        <v>4.8</v>
      </c>
      <c r="CVP23">
        <v>4.8</v>
      </c>
      <c r="CVQ23">
        <v>4.8</v>
      </c>
      <c r="CVR23">
        <v>4.8499999999999996</v>
      </c>
      <c r="CVS23">
        <v>4.8499999999999996</v>
      </c>
      <c r="CVT23">
        <v>4.8499999999999996</v>
      </c>
      <c r="CVU23">
        <v>4.8499999999999996</v>
      </c>
      <c r="CVV23">
        <v>4.8499999999999996</v>
      </c>
      <c r="CVW23">
        <v>4.8499999999999996</v>
      </c>
      <c r="CVX23">
        <v>4.8499999999999996</v>
      </c>
      <c r="CVY23">
        <v>4.8499999999999996</v>
      </c>
      <c r="CVZ23">
        <v>4.8499999999999996</v>
      </c>
      <c r="CWA23">
        <v>4.8499999999999996</v>
      </c>
      <c r="CWB23">
        <v>4.8499999999999996</v>
      </c>
      <c r="CWC23">
        <v>4.9000000000000004</v>
      </c>
      <c r="CWD23">
        <v>4.9000000000000004</v>
      </c>
      <c r="CWE23">
        <v>4.9000000000000004</v>
      </c>
      <c r="CWF23">
        <v>4.9000000000000004</v>
      </c>
      <c r="CWG23">
        <v>4.9000000000000004</v>
      </c>
      <c r="CWH23">
        <v>4.9000000000000004</v>
      </c>
      <c r="CWI23">
        <v>4.9000000000000004</v>
      </c>
      <c r="CWJ23">
        <v>4.9000000000000004</v>
      </c>
      <c r="CWK23">
        <v>4.9000000000000004</v>
      </c>
      <c r="CWL23">
        <v>4.9000000000000004</v>
      </c>
      <c r="CWM23">
        <v>4.95</v>
      </c>
      <c r="CWN23">
        <v>4.95</v>
      </c>
      <c r="CWO23">
        <v>4.95</v>
      </c>
      <c r="CWP23">
        <v>4.95</v>
      </c>
      <c r="CWQ23">
        <v>4.95</v>
      </c>
      <c r="CWR23">
        <v>4.95</v>
      </c>
      <c r="CWS23">
        <v>4.95</v>
      </c>
      <c r="CWT23">
        <v>4.95</v>
      </c>
      <c r="CWU23">
        <v>4.95</v>
      </c>
      <c r="CWV23">
        <v>4.95</v>
      </c>
      <c r="CWW23">
        <v>4.95</v>
      </c>
      <c r="CWX23">
        <v>5</v>
      </c>
      <c r="CWY23">
        <v>5</v>
      </c>
      <c r="CWZ23">
        <v>5</v>
      </c>
      <c r="CXA23">
        <v>5</v>
      </c>
      <c r="CXB23">
        <v>5</v>
      </c>
      <c r="CXC23">
        <v>5</v>
      </c>
      <c r="CXD23">
        <v>5</v>
      </c>
      <c r="CXE23">
        <v>5</v>
      </c>
      <c r="CXF23">
        <v>5</v>
      </c>
      <c r="CXG23">
        <v>5</v>
      </c>
      <c r="CXH23">
        <v>5</v>
      </c>
      <c r="CXI23">
        <v>5</v>
      </c>
      <c r="CXJ23">
        <v>5</v>
      </c>
      <c r="CXK23">
        <v>5</v>
      </c>
      <c r="CXL23">
        <v>5</v>
      </c>
      <c r="CXM23">
        <v>5.05</v>
      </c>
      <c r="CXN23">
        <v>5.05</v>
      </c>
      <c r="CXO23">
        <v>5.05</v>
      </c>
      <c r="CXP23">
        <v>5.05</v>
      </c>
      <c r="CXQ23">
        <v>5.05</v>
      </c>
      <c r="CXR23">
        <v>5.05</v>
      </c>
      <c r="CXS23">
        <v>5.05</v>
      </c>
      <c r="CXT23">
        <v>5.05</v>
      </c>
      <c r="CXU23">
        <v>5.05</v>
      </c>
      <c r="CXV23">
        <v>5.0999999999999996</v>
      </c>
      <c r="CXW23">
        <v>5.0999999999999996</v>
      </c>
      <c r="CXX23">
        <v>5.0999999999999996</v>
      </c>
      <c r="CXY23">
        <v>5.0999999999999996</v>
      </c>
      <c r="CXZ23">
        <v>5.0999999999999996</v>
      </c>
      <c r="CYA23">
        <v>5.0999999999999996</v>
      </c>
      <c r="CYB23">
        <v>5.0999999999999996</v>
      </c>
      <c r="CYC23">
        <v>5.0999999999999996</v>
      </c>
      <c r="CYD23">
        <v>5.0999999999999996</v>
      </c>
      <c r="CYE23">
        <v>5.15</v>
      </c>
      <c r="CYF23">
        <v>5.15</v>
      </c>
      <c r="CYG23">
        <v>5.15</v>
      </c>
      <c r="CYH23">
        <v>5.15</v>
      </c>
      <c r="CYI23">
        <v>5.15</v>
      </c>
      <c r="CYJ23">
        <v>5.15</v>
      </c>
      <c r="CYK23">
        <v>5.15</v>
      </c>
      <c r="CYL23">
        <v>5.15</v>
      </c>
      <c r="CYM23">
        <v>5.15</v>
      </c>
      <c r="CYN23">
        <v>5.15</v>
      </c>
      <c r="CYO23">
        <v>5.15</v>
      </c>
      <c r="CYP23">
        <v>5.15</v>
      </c>
      <c r="CYQ23">
        <v>5.15</v>
      </c>
      <c r="CYR23">
        <v>5.2</v>
      </c>
      <c r="CYS23">
        <v>5.2</v>
      </c>
      <c r="CYT23">
        <v>5.2</v>
      </c>
      <c r="CYU23">
        <v>5.2</v>
      </c>
      <c r="CYV23">
        <v>5.2</v>
      </c>
      <c r="CYW23">
        <v>5.2</v>
      </c>
      <c r="CYX23">
        <v>5.2</v>
      </c>
      <c r="CYY23">
        <v>5.2</v>
      </c>
      <c r="CYZ23">
        <v>5.2</v>
      </c>
      <c r="CZA23">
        <v>5.2</v>
      </c>
      <c r="CZB23">
        <v>5.2</v>
      </c>
      <c r="CZC23">
        <v>5.2</v>
      </c>
      <c r="CZD23">
        <v>5.25</v>
      </c>
      <c r="CZE23">
        <v>5.25</v>
      </c>
      <c r="CZF23">
        <v>5.25</v>
      </c>
      <c r="CZG23">
        <v>5.25</v>
      </c>
      <c r="CZH23">
        <v>5.25</v>
      </c>
      <c r="CZI23">
        <v>5.25</v>
      </c>
      <c r="CZJ23">
        <v>5.25</v>
      </c>
      <c r="CZK23">
        <v>5.25</v>
      </c>
      <c r="CZL23">
        <v>5.25</v>
      </c>
      <c r="CZM23">
        <v>5.25</v>
      </c>
      <c r="CZN23">
        <v>5.25</v>
      </c>
      <c r="CZO23">
        <v>5.3</v>
      </c>
      <c r="CZP23">
        <v>5.3</v>
      </c>
      <c r="CZQ23">
        <v>5.3</v>
      </c>
      <c r="CZR23">
        <v>5.3</v>
      </c>
      <c r="CZS23">
        <v>5.3</v>
      </c>
      <c r="CZT23">
        <v>5.3</v>
      </c>
      <c r="CZU23">
        <v>5.3</v>
      </c>
      <c r="CZV23">
        <v>5.3</v>
      </c>
      <c r="CZW23">
        <v>5.3</v>
      </c>
      <c r="CZX23">
        <v>5.3</v>
      </c>
      <c r="CZY23">
        <v>5.3</v>
      </c>
      <c r="CZZ23">
        <v>5.35</v>
      </c>
      <c r="DAA23">
        <v>5.35</v>
      </c>
      <c r="DAB23">
        <v>5.35</v>
      </c>
      <c r="DAC23">
        <v>5.35</v>
      </c>
      <c r="DAD23">
        <v>5.35</v>
      </c>
      <c r="DAE23">
        <v>5.35</v>
      </c>
      <c r="DAF23">
        <v>5.35</v>
      </c>
      <c r="DAG23">
        <v>5.35</v>
      </c>
      <c r="DAH23">
        <v>5.35</v>
      </c>
      <c r="DAI23">
        <v>5.4</v>
      </c>
      <c r="DAJ23">
        <v>5.4</v>
      </c>
      <c r="DAK23">
        <v>5.4</v>
      </c>
      <c r="DAL23">
        <v>5.4</v>
      </c>
      <c r="DAM23">
        <v>5.4</v>
      </c>
      <c r="DAN23">
        <v>5.4</v>
      </c>
      <c r="DAO23">
        <v>5.4</v>
      </c>
      <c r="DAP23">
        <v>5.4</v>
      </c>
      <c r="DAQ23">
        <v>5.4</v>
      </c>
      <c r="DAR23">
        <v>5.4</v>
      </c>
      <c r="DAS23">
        <v>5.4</v>
      </c>
      <c r="DAT23">
        <v>5.45</v>
      </c>
      <c r="DAU23">
        <v>5.45</v>
      </c>
      <c r="DAV23">
        <v>5.45</v>
      </c>
      <c r="DAW23">
        <v>5.45</v>
      </c>
      <c r="DAX23">
        <v>5.45</v>
      </c>
      <c r="DAY23">
        <v>5.45</v>
      </c>
      <c r="DAZ23">
        <v>5.45</v>
      </c>
      <c r="DBA23">
        <v>5.45</v>
      </c>
      <c r="DBB23">
        <v>5.5</v>
      </c>
      <c r="DBC23">
        <v>5.5</v>
      </c>
      <c r="DBD23">
        <v>5.5</v>
      </c>
      <c r="DBE23">
        <v>5.5</v>
      </c>
      <c r="DBF23">
        <v>5.5</v>
      </c>
      <c r="DBG23">
        <v>5.5</v>
      </c>
      <c r="DBH23">
        <v>5.5</v>
      </c>
      <c r="DBI23">
        <v>5.5</v>
      </c>
      <c r="DBJ23">
        <v>5.5</v>
      </c>
      <c r="DBK23">
        <v>5.5</v>
      </c>
      <c r="DBL23">
        <v>5.55</v>
      </c>
      <c r="DBM23">
        <v>5.55</v>
      </c>
      <c r="DBN23">
        <v>5.55</v>
      </c>
      <c r="DBO23">
        <v>5.55</v>
      </c>
      <c r="DBP23">
        <v>5.55</v>
      </c>
      <c r="DBQ23">
        <v>5.55</v>
      </c>
      <c r="DBR23">
        <v>5.55</v>
      </c>
      <c r="DBS23">
        <v>5.55</v>
      </c>
      <c r="DBT23">
        <v>5.55</v>
      </c>
      <c r="DBU23">
        <v>5.55</v>
      </c>
      <c r="DBV23">
        <v>5.6</v>
      </c>
      <c r="DBW23">
        <v>5.6</v>
      </c>
      <c r="DBX23">
        <v>5.6</v>
      </c>
      <c r="DBY23">
        <v>5.6</v>
      </c>
      <c r="DBZ23">
        <v>5.6</v>
      </c>
      <c r="DCA23">
        <v>5.6</v>
      </c>
      <c r="DCB23">
        <v>5.6</v>
      </c>
      <c r="DCC23">
        <v>5.6</v>
      </c>
      <c r="DCD23">
        <v>5.6</v>
      </c>
      <c r="DCE23">
        <v>5.65</v>
      </c>
      <c r="DCF23">
        <v>5.65</v>
      </c>
      <c r="DCG23">
        <v>5.65</v>
      </c>
      <c r="DCH23">
        <v>5.65</v>
      </c>
      <c r="DCI23">
        <v>5.65</v>
      </c>
      <c r="DCJ23">
        <v>5.65</v>
      </c>
      <c r="DCK23">
        <v>5.7</v>
      </c>
      <c r="DCL23">
        <v>5.7</v>
      </c>
      <c r="DCM23">
        <v>5.7</v>
      </c>
      <c r="DCN23">
        <v>5.7</v>
      </c>
      <c r="DCO23">
        <v>5.7</v>
      </c>
      <c r="DCP23">
        <v>5.7</v>
      </c>
      <c r="DCQ23">
        <v>5.7</v>
      </c>
      <c r="DCR23">
        <v>5.7</v>
      </c>
      <c r="DCS23">
        <v>5.7</v>
      </c>
      <c r="DCT23">
        <v>5.7</v>
      </c>
      <c r="DCU23">
        <v>5.7</v>
      </c>
      <c r="DCV23">
        <v>5.75</v>
      </c>
      <c r="DCW23">
        <v>5.75</v>
      </c>
      <c r="DCX23">
        <v>5.75</v>
      </c>
      <c r="DCY23">
        <v>5.75</v>
      </c>
      <c r="DCZ23">
        <v>5.75</v>
      </c>
      <c r="DDA23">
        <v>5.75</v>
      </c>
      <c r="DDB23">
        <v>5.75</v>
      </c>
      <c r="DDC23">
        <v>5.8</v>
      </c>
      <c r="DDD23">
        <v>5.8</v>
      </c>
      <c r="DDE23">
        <v>5.8</v>
      </c>
      <c r="DDF23">
        <v>5.8</v>
      </c>
      <c r="DDG23">
        <v>5.8</v>
      </c>
      <c r="DDH23">
        <v>5.8</v>
      </c>
      <c r="DDI23">
        <v>5.8</v>
      </c>
      <c r="DDJ23">
        <v>5.8</v>
      </c>
      <c r="DDK23">
        <v>5.8</v>
      </c>
      <c r="DDL23">
        <v>5.8</v>
      </c>
      <c r="DDM23">
        <v>5.8</v>
      </c>
      <c r="DDN23">
        <v>5.85</v>
      </c>
      <c r="DDO23">
        <v>5.85</v>
      </c>
      <c r="DDP23">
        <v>5.85</v>
      </c>
      <c r="DDQ23">
        <v>5.85</v>
      </c>
      <c r="DDR23">
        <v>5.85</v>
      </c>
      <c r="DDS23">
        <v>5.9</v>
      </c>
      <c r="DDT23">
        <v>5.9</v>
      </c>
      <c r="DDU23">
        <v>5.9</v>
      </c>
      <c r="DDV23">
        <v>5.9</v>
      </c>
      <c r="DDW23">
        <v>5.9</v>
      </c>
      <c r="DDX23">
        <v>5.9</v>
      </c>
      <c r="DDY23">
        <v>5.9</v>
      </c>
      <c r="DDZ23">
        <v>5.9</v>
      </c>
      <c r="DEA23">
        <v>5.9</v>
      </c>
      <c r="DEB23">
        <v>5.9</v>
      </c>
      <c r="DEC23">
        <v>5.9</v>
      </c>
      <c r="DED23">
        <v>5.9</v>
      </c>
      <c r="DEE23">
        <v>5.95</v>
      </c>
      <c r="DEF23">
        <v>5.95</v>
      </c>
      <c r="DEG23">
        <v>5.95</v>
      </c>
      <c r="DEH23">
        <v>5.95</v>
      </c>
      <c r="DEI23">
        <v>5.95</v>
      </c>
      <c r="DEJ23">
        <v>5.95</v>
      </c>
      <c r="DEK23">
        <v>5.95</v>
      </c>
      <c r="DEL23">
        <v>5.95</v>
      </c>
      <c r="DEM23">
        <v>5.95</v>
      </c>
      <c r="DEN23">
        <v>5.95</v>
      </c>
      <c r="DEO23">
        <v>6</v>
      </c>
      <c r="DEP23">
        <v>6</v>
      </c>
      <c r="DEQ23">
        <v>6</v>
      </c>
      <c r="DER23">
        <v>6</v>
      </c>
      <c r="DES23">
        <v>6</v>
      </c>
      <c r="DET23">
        <v>6</v>
      </c>
      <c r="DEU23">
        <v>6</v>
      </c>
      <c r="DEV23">
        <v>6</v>
      </c>
      <c r="DEW23">
        <v>6</v>
      </c>
      <c r="DEX23">
        <v>6</v>
      </c>
      <c r="DEY23">
        <v>6</v>
      </c>
      <c r="DEZ23">
        <v>6</v>
      </c>
      <c r="DFA23">
        <v>6</v>
      </c>
      <c r="DFB23">
        <v>6.05</v>
      </c>
      <c r="DFC23">
        <v>6.05</v>
      </c>
      <c r="DFD23">
        <v>6.05</v>
      </c>
      <c r="DFE23">
        <v>6.05</v>
      </c>
      <c r="DFF23">
        <v>6.05</v>
      </c>
      <c r="DFG23">
        <v>6.05</v>
      </c>
      <c r="DFH23">
        <v>6.05</v>
      </c>
      <c r="DFI23">
        <v>6.05</v>
      </c>
      <c r="DFJ23">
        <v>6.1</v>
      </c>
      <c r="DFK23">
        <v>6.1</v>
      </c>
      <c r="DFL23">
        <v>6.1</v>
      </c>
      <c r="DFM23">
        <v>6.1</v>
      </c>
      <c r="DFN23">
        <v>6.15</v>
      </c>
      <c r="DFO23">
        <v>6.15</v>
      </c>
      <c r="DFP23">
        <v>6.15</v>
      </c>
      <c r="DFQ23">
        <v>6.15</v>
      </c>
      <c r="DFR23">
        <v>6.15</v>
      </c>
      <c r="DFS23">
        <v>6.15</v>
      </c>
      <c r="DFT23">
        <v>6.2</v>
      </c>
      <c r="DFU23">
        <v>6.2</v>
      </c>
      <c r="DFV23">
        <v>6.2</v>
      </c>
      <c r="DFW23">
        <v>6.2</v>
      </c>
      <c r="DFX23">
        <v>6.2</v>
      </c>
      <c r="DFY23">
        <v>6.2</v>
      </c>
      <c r="DFZ23">
        <v>6.25</v>
      </c>
      <c r="DGA23">
        <v>6.25</v>
      </c>
      <c r="DGB23">
        <v>6.25</v>
      </c>
      <c r="DGC23">
        <v>6.25</v>
      </c>
      <c r="DGD23">
        <v>6.25</v>
      </c>
      <c r="DGE23">
        <v>6.25</v>
      </c>
      <c r="DGF23">
        <v>6.25</v>
      </c>
      <c r="DGG23">
        <v>6.25</v>
      </c>
      <c r="DGH23">
        <v>6.25</v>
      </c>
      <c r="DGI23">
        <v>6.3</v>
      </c>
      <c r="DGJ23">
        <v>6.3</v>
      </c>
      <c r="DGK23">
        <v>6.3</v>
      </c>
      <c r="DGL23">
        <v>6.3</v>
      </c>
      <c r="DGM23">
        <v>6.3</v>
      </c>
      <c r="DGN23">
        <v>6.3</v>
      </c>
      <c r="DGO23">
        <v>6.3</v>
      </c>
      <c r="DGP23">
        <v>6.3</v>
      </c>
      <c r="DGQ23">
        <v>6.34</v>
      </c>
      <c r="DGR23">
        <v>6.35</v>
      </c>
      <c r="DGS23">
        <v>6.35</v>
      </c>
      <c r="DGT23">
        <v>6.35</v>
      </c>
      <c r="DGU23">
        <v>6.35</v>
      </c>
      <c r="DGV23">
        <v>6.35</v>
      </c>
      <c r="DGW23">
        <v>6.35</v>
      </c>
      <c r="DGX23">
        <v>6.35</v>
      </c>
      <c r="DGY23">
        <v>6.35</v>
      </c>
      <c r="DGZ23">
        <v>6.35</v>
      </c>
      <c r="DHA23">
        <v>6.35</v>
      </c>
      <c r="DHB23">
        <v>6.35</v>
      </c>
      <c r="DHC23">
        <v>6.35</v>
      </c>
      <c r="DHD23">
        <v>6.35</v>
      </c>
      <c r="DHE23">
        <v>6.4</v>
      </c>
      <c r="DHF23">
        <v>6.4</v>
      </c>
      <c r="DHG23">
        <v>6.4</v>
      </c>
      <c r="DHH23">
        <v>6.4</v>
      </c>
      <c r="DHI23">
        <v>6.4</v>
      </c>
      <c r="DHJ23">
        <v>6.4</v>
      </c>
      <c r="DHK23">
        <v>6.4</v>
      </c>
      <c r="DHL23">
        <v>6.4</v>
      </c>
      <c r="DHM23">
        <v>6.4</v>
      </c>
      <c r="DHN23">
        <v>6.45</v>
      </c>
      <c r="DHO23">
        <v>6.45</v>
      </c>
      <c r="DHP23">
        <v>6.45</v>
      </c>
      <c r="DHQ23">
        <v>6.45</v>
      </c>
      <c r="DHR23">
        <v>6.45</v>
      </c>
      <c r="DHS23">
        <v>6.45</v>
      </c>
      <c r="DHT23">
        <v>6.45</v>
      </c>
      <c r="DHU23">
        <v>6.45</v>
      </c>
      <c r="DHV23">
        <v>6.45</v>
      </c>
      <c r="DHW23">
        <v>6.45</v>
      </c>
      <c r="DHX23">
        <v>6.5</v>
      </c>
      <c r="DHY23">
        <v>6.5</v>
      </c>
      <c r="DHZ23">
        <v>6.5</v>
      </c>
      <c r="DIA23">
        <v>6.5</v>
      </c>
      <c r="DIB23">
        <v>6.5</v>
      </c>
      <c r="DIC23">
        <v>6.55</v>
      </c>
      <c r="DID23">
        <v>6.55</v>
      </c>
      <c r="DIE23">
        <v>6.55</v>
      </c>
      <c r="DIF23">
        <v>6.55</v>
      </c>
      <c r="DIG23">
        <v>6.55</v>
      </c>
      <c r="DIH23">
        <v>6.55</v>
      </c>
      <c r="DII23">
        <v>6.55</v>
      </c>
      <c r="DIJ23">
        <v>6.55</v>
      </c>
      <c r="DIK23">
        <v>6.55</v>
      </c>
      <c r="DIL23">
        <v>6.55</v>
      </c>
      <c r="DIM23">
        <v>6.55</v>
      </c>
      <c r="DIN23">
        <v>6.55</v>
      </c>
      <c r="DIO23">
        <v>6.55</v>
      </c>
      <c r="DIP23">
        <v>6.55</v>
      </c>
      <c r="DIQ23">
        <v>6.55</v>
      </c>
      <c r="DIR23">
        <v>6.55</v>
      </c>
      <c r="DIS23">
        <v>6.6</v>
      </c>
      <c r="DIT23">
        <v>6.6</v>
      </c>
      <c r="DIU23">
        <v>6.6</v>
      </c>
      <c r="DIV23">
        <v>6.6</v>
      </c>
      <c r="DIW23">
        <v>6.6</v>
      </c>
      <c r="DIX23">
        <v>6.65</v>
      </c>
      <c r="DIY23">
        <v>6.65</v>
      </c>
      <c r="DIZ23">
        <v>6.65</v>
      </c>
      <c r="DJA23">
        <v>6.65</v>
      </c>
      <c r="DJB23">
        <v>6.65</v>
      </c>
      <c r="DJC23">
        <v>6.65</v>
      </c>
      <c r="DJD23">
        <v>6.7</v>
      </c>
      <c r="DJE23">
        <v>6.7</v>
      </c>
      <c r="DJF23">
        <v>6.7</v>
      </c>
      <c r="DJG23">
        <v>6.7</v>
      </c>
      <c r="DJH23">
        <v>6.7</v>
      </c>
      <c r="DJI23">
        <v>6.7</v>
      </c>
      <c r="DJJ23">
        <v>6.7</v>
      </c>
      <c r="DJK23">
        <v>6.7</v>
      </c>
      <c r="DJL23">
        <v>6.7</v>
      </c>
      <c r="DJM23">
        <v>6.75</v>
      </c>
      <c r="DJN23">
        <v>6.75</v>
      </c>
      <c r="DJO23">
        <v>6.75</v>
      </c>
      <c r="DJP23">
        <v>6.75</v>
      </c>
      <c r="DJQ23">
        <v>6.8</v>
      </c>
      <c r="DJR23">
        <v>6.8</v>
      </c>
      <c r="DJS23">
        <v>6.8</v>
      </c>
      <c r="DJT23">
        <v>6.8</v>
      </c>
      <c r="DJU23">
        <v>6.8</v>
      </c>
      <c r="DJV23">
        <v>6.8</v>
      </c>
      <c r="DJW23">
        <v>6.8</v>
      </c>
      <c r="DJX23">
        <v>6.8</v>
      </c>
      <c r="DJY23">
        <v>6.8</v>
      </c>
      <c r="DJZ23">
        <v>6.8</v>
      </c>
      <c r="DKA23">
        <v>6.8</v>
      </c>
      <c r="DKB23">
        <v>6.85</v>
      </c>
      <c r="DKC23">
        <v>6.85</v>
      </c>
      <c r="DKD23">
        <v>6.85</v>
      </c>
      <c r="DKE23">
        <v>6.85</v>
      </c>
      <c r="DKF23">
        <v>6.85</v>
      </c>
      <c r="DKG23">
        <v>6.85</v>
      </c>
      <c r="DKH23">
        <v>6.85</v>
      </c>
      <c r="DKI23">
        <v>6.9</v>
      </c>
      <c r="DKJ23">
        <v>6.9</v>
      </c>
      <c r="DKK23">
        <v>6.9</v>
      </c>
      <c r="DKL23">
        <v>6.9</v>
      </c>
      <c r="DKM23">
        <v>6.9</v>
      </c>
      <c r="DKN23">
        <v>6.9</v>
      </c>
      <c r="DKO23">
        <v>6.95</v>
      </c>
      <c r="DKP23">
        <v>6.95</v>
      </c>
      <c r="DKQ23">
        <v>6.95</v>
      </c>
      <c r="DKR23">
        <v>6.95</v>
      </c>
      <c r="DKS23">
        <v>6.95</v>
      </c>
      <c r="DKT23">
        <v>6.95</v>
      </c>
      <c r="DKU23">
        <v>6.95</v>
      </c>
      <c r="DKV23">
        <v>6.95</v>
      </c>
      <c r="DKW23">
        <v>6.95</v>
      </c>
      <c r="DKX23">
        <v>7</v>
      </c>
      <c r="DKY23">
        <v>7</v>
      </c>
      <c r="DKZ23">
        <v>7</v>
      </c>
      <c r="DLA23">
        <v>7</v>
      </c>
      <c r="DLB23">
        <v>7</v>
      </c>
      <c r="DLC23">
        <v>7</v>
      </c>
      <c r="DLD23">
        <v>7</v>
      </c>
      <c r="DLE23">
        <v>7</v>
      </c>
      <c r="DLF23">
        <v>7.05</v>
      </c>
      <c r="DLG23">
        <v>7.05</v>
      </c>
      <c r="DLH23">
        <v>7.05</v>
      </c>
      <c r="DLI23">
        <v>7.05</v>
      </c>
      <c r="DLJ23">
        <v>7.1</v>
      </c>
      <c r="DLK23">
        <v>7.1</v>
      </c>
      <c r="DLL23">
        <v>7.1</v>
      </c>
      <c r="DLM23">
        <v>7.1</v>
      </c>
      <c r="DLN23">
        <v>7.1</v>
      </c>
      <c r="DLO23">
        <v>7.15</v>
      </c>
      <c r="DLP23">
        <v>7.15</v>
      </c>
      <c r="DLQ23">
        <v>7.15</v>
      </c>
      <c r="DLR23">
        <v>7.15</v>
      </c>
      <c r="DLS23">
        <v>7.15</v>
      </c>
      <c r="DLT23">
        <v>7.15</v>
      </c>
      <c r="DLU23">
        <v>7.2</v>
      </c>
      <c r="DLV23">
        <v>7.2</v>
      </c>
      <c r="DLW23">
        <v>7.2</v>
      </c>
      <c r="DLX23">
        <v>7.25</v>
      </c>
      <c r="DLY23">
        <v>7.25</v>
      </c>
      <c r="DLZ23">
        <v>7.25</v>
      </c>
      <c r="DMA23">
        <v>7.25</v>
      </c>
      <c r="DMB23">
        <v>7.25</v>
      </c>
      <c r="DMC23">
        <v>7.25</v>
      </c>
      <c r="DMD23">
        <v>7.3</v>
      </c>
      <c r="DME23">
        <v>7.3</v>
      </c>
      <c r="DMF23">
        <v>7.3</v>
      </c>
      <c r="DMG23">
        <v>7.3</v>
      </c>
      <c r="DMH23">
        <v>7.3</v>
      </c>
      <c r="DMI23">
        <v>7.35</v>
      </c>
      <c r="DMJ23">
        <v>7.35</v>
      </c>
      <c r="DMK23">
        <v>7.35</v>
      </c>
      <c r="DML23">
        <v>7.35</v>
      </c>
      <c r="DMM23">
        <v>7.35</v>
      </c>
      <c r="DMN23">
        <v>7.35</v>
      </c>
      <c r="DMO23">
        <v>7.35</v>
      </c>
      <c r="DMP23">
        <v>7.35</v>
      </c>
      <c r="DMQ23">
        <v>7.35</v>
      </c>
      <c r="DMR23">
        <v>7.35</v>
      </c>
      <c r="DMS23">
        <v>7.4</v>
      </c>
      <c r="DMT23">
        <v>7.4</v>
      </c>
      <c r="DMU23">
        <v>7.4</v>
      </c>
      <c r="DMV23">
        <v>7.4</v>
      </c>
      <c r="DMW23">
        <v>7.4</v>
      </c>
      <c r="DMX23">
        <v>7.4</v>
      </c>
      <c r="DMY23">
        <v>7.45</v>
      </c>
      <c r="DMZ23">
        <v>7.45</v>
      </c>
      <c r="DNA23">
        <v>7.45</v>
      </c>
      <c r="DNB23">
        <v>7.45</v>
      </c>
      <c r="DNC23">
        <v>7.45</v>
      </c>
      <c r="DND23">
        <v>7.45</v>
      </c>
      <c r="DNE23">
        <v>7.45</v>
      </c>
      <c r="DNF23">
        <v>7.45</v>
      </c>
      <c r="DNG23">
        <v>7.45</v>
      </c>
      <c r="DNH23">
        <v>7.45</v>
      </c>
      <c r="DNI23">
        <v>7.5</v>
      </c>
      <c r="DNJ23">
        <v>7.5</v>
      </c>
      <c r="DNK23">
        <v>7.5</v>
      </c>
      <c r="DNL23">
        <v>7.5</v>
      </c>
      <c r="DNM23">
        <v>7.5</v>
      </c>
      <c r="DNN23">
        <v>7.5</v>
      </c>
      <c r="DNO23">
        <v>7.5</v>
      </c>
      <c r="DNP23">
        <v>7.5</v>
      </c>
      <c r="DNQ23">
        <v>7.51</v>
      </c>
      <c r="DNR23">
        <v>7.55</v>
      </c>
      <c r="DNS23">
        <v>7.55</v>
      </c>
      <c r="DNT23">
        <v>7.55</v>
      </c>
      <c r="DNU23">
        <v>7.55</v>
      </c>
      <c r="DNV23">
        <v>7.55</v>
      </c>
      <c r="DNW23">
        <v>7.55</v>
      </c>
      <c r="DNX23">
        <v>7.55</v>
      </c>
      <c r="DNY23">
        <v>7.55</v>
      </c>
      <c r="DNZ23">
        <v>7.55</v>
      </c>
      <c r="DOA23">
        <v>7.55</v>
      </c>
      <c r="DOB23">
        <v>7.55</v>
      </c>
      <c r="DOC23">
        <v>7.55</v>
      </c>
      <c r="DOD23">
        <v>7.6</v>
      </c>
      <c r="DOE23">
        <v>7.6</v>
      </c>
      <c r="DOF23">
        <v>7.6</v>
      </c>
      <c r="DOG23">
        <v>7.65</v>
      </c>
      <c r="DOH23">
        <v>7.65</v>
      </c>
      <c r="DOI23">
        <v>7.65</v>
      </c>
      <c r="DOJ23">
        <v>7.65</v>
      </c>
      <c r="DOK23">
        <v>7.7</v>
      </c>
      <c r="DOL23">
        <v>7.7</v>
      </c>
      <c r="DOM23">
        <v>7.7</v>
      </c>
      <c r="DON23">
        <v>7.7</v>
      </c>
      <c r="DOO23">
        <v>7.7</v>
      </c>
      <c r="DOP23">
        <v>7.75</v>
      </c>
      <c r="DOQ23">
        <v>7.75</v>
      </c>
      <c r="DOR23">
        <v>7.75</v>
      </c>
      <c r="DOS23">
        <v>7.75</v>
      </c>
      <c r="DOT23">
        <v>7.75</v>
      </c>
      <c r="DOU23">
        <v>7.75</v>
      </c>
      <c r="DOV23">
        <v>7.75</v>
      </c>
      <c r="DOW23">
        <v>7.75</v>
      </c>
      <c r="DOX23">
        <v>7.8</v>
      </c>
      <c r="DOY23">
        <v>7.8</v>
      </c>
      <c r="DOZ23">
        <v>7.8</v>
      </c>
      <c r="DPA23">
        <v>7.85</v>
      </c>
      <c r="DPB23">
        <v>7.85</v>
      </c>
      <c r="DPC23">
        <v>7.85</v>
      </c>
      <c r="DPD23">
        <v>7.85</v>
      </c>
      <c r="DPE23">
        <v>7.9</v>
      </c>
      <c r="DPF23">
        <v>7.9</v>
      </c>
      <c r="DPG23">
        <v>7.9</v>
      </c>
      <c r="DPH23">
        <v>7.9</v>
      </c>
      <c r="DPI23">
        <v>7.9</v>
      </c>
      <c r="DPJ23">
        <v>7.9</v>
      </c>
      <c r="DPK23">
        <v>7.95</v>
      </c>
      <c r="DPL23">
        <v>7.95</v>
      </c>
      <c r="DPM23">
        <v>7.95</v>
      </c>
      <c r="DPN23">
        <v>7.95</v>
      </c>
      <c r="DPO23">
        <v>7.95</v>
      </c>
      <c r="DPP23">
        <v>7.95</v>
      </c>
      <c r="DPQ23">
        <v>7.95</v>
      </c>
      <c r="DPR23">
        <v>7.95</v>
      </c>
      <c r="DPS23">
        <v>7.95</v>
      </c>
      <c r="DPT23">
        <v>8</v>
      </c>
      <c r="DPU23">
        <v>8</v>
      </c>
      <c r="DPV23">
        <v>8</v>
      </c>
      <c r="DPW23">
        <v>8</v>
      </c>
      <c r="DPX23">
        <v>8.0500000000000007</v>
      </c>
      <c r="DPY23">
        <v>8.0500000000000007</v>
      </c>
      <c r="DPZ23">
        <v>8.0500000000000007</v>
      </c>
      <c r="DQA23">
        <v>8.0500000000000007</v>
      </c>
      <c r="DQB23">
        <v>8.0500000000000007</v>
      </c>
      <c r="DQC23">
        <v>8.1</v>
      </c>
      <c r="DQD23">
        <v>8.1</v>
      </c>
      <c r="DQE23">
        <v>8.15</v>
      </c>
      <c r="DQF23">
        <v>8.15</v>
      </c>
      <c r="DQG23">
        <v>8.15</v>
      </c>
      <c r="DQH23">
        <v>8.15</v>
      </c>
      <c r="DQI23">
        <v>8.15</v>
      </c>
      <c r="DQJ23">
        <v>8.15</v>
      </c>
      <c r="DQK23">
        <v>8.1999999999999993</v>
      </c>
      <c r="DQL23">
        <v>8.1999999999999993</v>
      </c>
      <c r="DQM23">
        <v>8.1999999999999993</v>
      </c>
      <c r="DQN23">
        <v>8.1999999999999993</v>
      </c>
      <c r="DQO23">
        <v>8.1999999999999993</v>
      </c>
      <c r="DQP23">
        <v>8.25</v>
      </c>
      <c r="DQQ23">
        <v>8.25</v>
      </c>
      <c r="DQR23">
        <v>8.25</v>
      </c>
      <c r="DQS23">
        <v>8.25</v>
      </c>
      <c r="DQT23">
        <v>8.25</v>
      </c>
      <c r="DQU23">
        <v>8.25</v>
      </c>
      <c r="DQV23">
        <v>8.25</v>
      </c>
      <c r="DQW23">
        <v>8.3000000000000007</v>
      </c>
      <c r="DQX23">
        <v>8.3000000000000007</v>
      </c>
      <c r="DQY23">
        <v>8.3000000000000007</v>
      </c>
      <c r="DQZ23">
        <v>8.3000000000000007</v>
      </c>
      <c r="DRA23">
        <v>8.3000000000000007</v>
      </c>
      <c r="DRB23">
        <v>8.35</v>
      </c>
      <c r="DRC23">
        <v>8.35</v>
      </c>
      <c r="DRD23">
        <v>8.35</v>
      </c>
      <c r="DRE23">
        <v>8.35</v>
      </c>
      <c r="DRF23">
        <v>8.35</v>
      </c>
      <c r="DRG23">
        <v>8.35</v>
      </c>
      <c r="DRH23">
        <v>8.4</v>
      </c>
      <c r="DRI23">
        <v>8.4</v>
      </c>
      <c r="DRJ23">
        <v>8.4</v>
      </c>
      <c r="DRK23">
        <v>8.4499999999999993</v>
      </c>
      <c r="DRL23">
        <v>8.4499999999999993</v>
      </c>
      <c r="DRM23">
        <v>8.4499999999999993</v>
      </c>
      <c r="DRN23">
        <v>8.4499999999999993</v>
      </c>
      <c r="DRO23">
        <v>8.4499999999999993</v>
      </c>
      <c r="DRP23">
        <v>8.5</v>
      </c>
      <c r="DRQ23">
        <v>8.5</v>
      </c>
      <c r="DRR23">
        <v>8.5</v>
      </c>
      <c r="DRS23">
        <v>8.5500000000000007</v>
      </c>
      <c r="DRT23">
        <v>8.5500000000000007</v>
      </c>
      <c r="DRU23">
        <v>8.5500000000000007</v>
      </c>
      <c r="DRV23">
        <v>8.5500000000000007</v>
      </c>
      <c r="DRW23">
        <v>8.6</v>
      </c>
      <c r="DRX23">
        <v>8.6</v>
      </c>
      <c r="DRY23">
        <v>8.6</v>
      </c>
      <c r="DRZ23">
        <v>8.6</v>
      </c>
      <c r="DSA23">
        <v>8.6</v>
      </c>
      <c r="DSB23">
        <v>8.65</v>
      </c>
      <c r="DSC23">
        <v>8.65</v>
      </c>
      <c r="DSD23">
        <v>8.65</v>
      </c>
      <c r="DSE23">
        <v>8.65</v>
      </c>
      <c r="DSF23">
        <v>8.65</v>
      </c>
      <c r="DSG23">
        <v>8.65</v>
      </c>
      <c r="DSH23">
        <v>8.65</v>
      </c>
      <c r="DSI23">
        <v>8.65</v>
      </c>
      <c r="DSJ23">
        <v>8.6999999999999993</v>
      </c>
      <c r="DSK23">
        <v>8.6999999999999993</v>
      </c>
      <c r="DSL23">
        <v>8.6999999999999993</v>
      </c>
      <c r="DSM23">
        <v>8.6999999999999993</v>
      </c>
      <c r="DSN23">
        <v>8.6999999999999993</v>
      </c>
      <c r="DSO23">
        <v>8.6999999999999993</v>
      </c>
      <c r="DSP23">
        <v>8.6999999999999993</v>
      </c>
      <c r="DSQ23">
        <v>8.6999999999999993</v>
      </c>
      <c r="DSR23">
        <v>8.6999999999999993</v>
      </c>
      <c r="DSS23">
        <v>8.75</v>
      </c>
      <c r="DST23">
        <v>8.75</v>
      </c>
      <c r="DSU23">
        <v>8.75</v>
      </c>
      <c r="DSV23">
        <v>8.75</v>
      </c>
      <c r="DSW23">
        <v>8.75</v>
      </c>
      <c r="DSX23">
        <v>8.75</v>
      </c>
      <c r="DSY23">
        <v>8.75</v>
      </c>
      <c r="DSZ23">
        <v>8.8000000000000007</v>
      </c>
      <c r="DTA23">
        <v>8.8000000000000007</v>
      </c>
      <c r="DTB23">
        <v>8.8000000000000007</v>
      </c>
      <c r="DTC23">
        <v>8.8000000000000007</v>
      </c>
      <c r="DTD23">
        <v>8.8000000000000007</v>
      </c>
      <c r="DTE23">
        <v>8.85</v>
      </c>
      <c r="DTF23">
        <v>8.85</v>
      </c>
      <c r="DTG23">
        <v>8.9</v>
      </c>
      <c r="DTH23">
        <v>8.9</v>
      </c>
      <c r="DTI23">
        <v>8.9499999999999993</v>
      </c>
      <c r="DTJ23">
        <v>8.9499999999999993</v>
      </c>
      <c r="DTK23">
        <v>8.9499999999999993</v>
      </c>
      <c r="DTL23">
        <v>8.9499999999999993</v>
      </c>
      <c r="DTM23">
        <v>8.9499999999999993</v>
      </c>
      <c r="DTN23">
        <v>8.9499999999999993</v>
      </c>
      <c r="DTO23">
        <v>8.9499999999999993</v>
      </c>
      <c r="DTP23">
        <v>9</v>
      </c>
      <c r="DTQ23">
        <v>9</v>
      </c>
      <c r="DTR23">
        <v>9</v>
      </c>
      <c r="DTS23">
        <v>9.0500000000000007</v>
      </c>
      <c r="DTT23">
        <v>9.0500000000000007</v>
      </c>
      <c r="DTU23">
        <v>9.0500000000000007</v>
      </c>
      <c r="DTV23">
        <v>9.0500000000000007</v>
      </c>
      <c r="DTW23">
        <v>9.0500000000000007</v>
      </c>
      <c r="DTX23">
        <v>9.0500000000000007</v>
      </c>
      <c r="DTY23">
        <v>9.0500000000000007</v>
      </c>
      <c r="DTZ23">
        <v>9.0500000000000007</v>
      </c>
      <c r="DUA23">
        <v>9.0500000000000007</v>
      </c>
      <c r="DUB23">
        <v>9.1</v>
      </c>
      <c r="DUC23">
        <v>9.1</v>
      </c>
      <c r="DUD23">
        <v>9.1</v>
      </c>
      <c r="DUE23">
        <v>9.1</v>
      </c>
      <c r="DUF23">
        <v>9.1</v>
      </c>
      <c r="DUG23">
        <v>9.1</v>
      </c>
      <c r="DUH23">
        <v>9.1</v>
      </c>
      <c r="DUI23">
        <v>9.15</v>
      </c>
      <c r="DUJ23">
        <v>9.15</v>
      </c>
      <c r="DUK23">
        <v>9.1999999999999993</v>
      </c>
      <c r="DUL23">
        <v>9.1999999999999993</v>
      </c>
      <c r="DUM23">
        <v>9.1999999999999993</v>
      </c>
      <c r="DUN23">
        <v>9.1999999999999993</v>
      </c>
      <c r="DUO23">
        <v>9.25</v>
      </c>
      <c r="DUP23">
        <v>9.25</v>
      </c>
      <c r="DUQ23">
        <v>9.25</v>
      </c>
      <c r="DUR23">
        <v>9.25</v>
      </c>
      <c r="DUS23">
        <v>9.25</v>
      </c>
      <c r="DUT23">
        <v>9.25</v>
      </c>
      <c r="DUU23">
        <v>9.3000000000000007</v>
      </c>
      <c r="DUV23">
        <v>9.3000000000000007</v>
      </c>
      <c r="DUW23">
        <v>9.3000000000000007</v>
      </c>
      <c r="DUX23">
        <v>9.3000000000000007</v>
      </c>
      <c r="DUY23">
        <v>9.3000000000000007</v>
      </c>
      <c r="DUZ23">
        <v>9.3000000000000007</v>
      </c>
      <c r="DVA23">
        <v>9.3000000000000007</v>
      </c>
      <c r="DVB23">
        <v>9.3000000000000007</v>
      </c>
      <c r="DVC23">
        <v>9.4</v>
      </c>
      <c r="DVD23">
        <v>9.4</v>
      </c>
      <c r="DVE23">
        <v>9.4</v>
      </c>
      <c r="DVF23">
        <v>9.4</v>
      </c>
      <c r="DVG23">
        <v>9.4499999999999993</v>
      </c>
      <c r="DVH23">
        <v>9.4499999999999993</v>
      </c>
      <c r="DVI23">
        <v>9.4600000000000009</v>
      </c>
      <c r="DVJ23">
        <v>9.5</v>
      </c>
      <c r="DVK23">
        <v>9.5</v>
      </c>
      <c r="DVL23">
        <v>9.5</v>
      </c>
      <c r="DVM23">
        <v>9.5500000000000007</v>
      </c>
      <c r="DVN23">
        <v>9.5500000000000007</v>
      </c>
      <c r="DVO23">
        <v>9.5500000000000007</v>
      </c>
      <c r="DVP23">
        <v>9.6</v>
      </c>
      <c r="DVQ23">
        <v>9.6</v>
      </c>
      <c r="DVR23">
        <v>9.6</v>
      </c>
      <c r="DVS23">
        <v>9.6</v>
      </c>
      <c r="DVT23">
        <v>9.65</v>
      </c>
      <c r="DVU23">
        <v>9.65</v>
      </c>
      <c r="DVV23">
        <v>9.65</v>
      </c>
      <c r="DVW23">
        <v>9.6999999999999993</v>
      </c>
      <c r="DVX23">
        <v>9.6999999999999993</v>
      </c>
      <c r="DVY23">
        <v>9.6999999999999993</v>
      </c>
      <c r="DVZ23">
        <v>9.75</v>
      </c>
      <c r="DWA23">
        <v>9.75</v>
      </c>
      <c r="DWB23">
        <v>9.75</v>
      </c>
      <c r="DWC23">
        <v>9.75</v>
      </c>
      <c r="DWD23">
        <v>9.8000000000000007</v>
      </c>
      <c r="DWE23">
        <v>9.8000000000000007</v>
      </c>
      <c r="DWF23">
        <v>9.8000000000000007</v>
      </c>
      <c r="DWG23">
        <v>9.8000000000000007</v>
      </c>
      <c r="DWH23">
        <v>9.85</v>
      </c>
      <c r="DWI23">
        <v>9.85</v>
      </c>
      <c r="DWJ23">
        <v>9.85</v>
      </c>
      <c r="DWK23">
        <v>9.85</v>
      </c>
      <c r="DWL23">
        <v>9.9</v>
      </c>
      <c r="DWM23">
        <v>9.9499999999999993</v>
      </c>
      <c r="DWN23">
        <v>9.9499999999999993</v>
      </c>
      <c r="DWO23">
        <v>9.9499999999999993</v>
      </c>
      <c r="DWP23">
        <v>9.9499999999999993</v>
      </c>
      <c r="DWQ23">
        <v>9.9499999999999993</v>
      </c>
      <c r="DWR23">
        <v>10</v>
      </c>
      <c r="DWS23">
        <v>10</v>
      </c>
      <c r="DWT23">
        <v>10</v>
      </c>
      <c r="DWU23">
        <v>10</v>
      </c>
      <c r="DWV23">
        <v>10</v>
      </c>
      <c r="DWW23">
        <v>10.050000000000001</v>
      </c>
      <c r="DWX23">
        <v>10.050000000000001</v>
      </c>
      <c r="DWY23">
        <v>10.050000000000001</v>
      </c>
      <c r="DWZ23">
        <v>10.050000000000001</v>
      </c>
      <c r="DXA23">
        <v>10.050000000000001</v>
      </c>
      <c r="DXB23">
        <v>10.050000000000001</v>
      </c>
      <c r="DXC23">
        <v>10.050000000000001</v>
      </c>
      <c r="DXD23">
        <v>10.1</v>
      </c>
      <c r="DXE23">
        <v>10.1</v>
      </c>
      <c r="DXF23">
        <v>10.1</v>
      </c>
      <c r="DXG23">
        <v>10.15</v>
      </c>
      <c r="DXH23">
        <v>10.15</v>
      </c>
      <c r="DXI23">
        <v>10.15</v>
      </c>
      <c r="DXJ23">
        <v>10.15</v>
      </c>
      <c r="DXK23">
        <v>10.199999999999999</v>
      </c>
      <c r="DXL23">
        <v>10.199999999999999</v>
      </c>
      <c r="DXM23">
        <v>10.199999999999999</v>
      </c>
      <c r="DXN23">
        <v>10.25</v>
      </c>
      <c r="DXO23">
        <v>10.25</v>
      </c>
      <c r="DXP23">
        <v>10.3</v>
      </c>
      <c r="DXQ23">
        <v>10.3</v>
      </c>
      <c r="DXR23">
        <v>10.3</v>
      </c>
      <c r="DXS23">
        <v>10.3</v>
      </c>
      <c r="DXT23">
        <v>10.3</v>
      </c>
      <c r="DXU23">
        <v>10.35</v>
      </c>
      <c r="DXV23">
        <v>10.35</v>
      </c>
      <c r="DXW23">
        <v>10.35</v>
      </c>
      <c r="DXX23">
        <v>10.35</v>
      </c>
      <c r="DXY23">
        <v>10.35</v>
      </c>
      <c r="DXZ23">
        <v>10.35</v>
      </c>
      <c r="DYA23">
        <v>10.4</v>
      </c>
      <c r="DYB23">
        <v>10.4</v>
      </c>
      <c r="DYC23">
        <v>10.4</v>
      </c>
      <c r="DYD23">
        <v>10.4</v>
      </c>
      <c r="DYE23">
        <v>10.45</v>
      </c>
      <c r="DYF23">
        <v>10.45</v>
      </c>
      <c r="DYG23">
        <v>10.45</v>
      </c>
      <c r="DYH23">
        <v>10.45</v>
      </c>
      <c r="DYI23">
        <v>10.45</v>
      </c>
      <c r="DYJ23">
        <v>10.5</v>
      </c>
      <c r="DYK23">
        <v>10.5</v>
      </c>
      <c r="DYL23">
        <v>10.55</v>
      </c>
      <c r="DYM23">
        <v>10.55</v>
      </c>
      <c r="DYN23">
        <v>10.55</v>
      </c>
      <c r="DYO23">
        <v>10.55</v>
      </c>
      <c r="DYP23">
        <v>10.55</v>
      </c>
      <c r="DYQ23">
        <v>10.6</v>
      </c>
      <c r="DYR23">
        <v>10.6</v>
      </c>
      <c r="DYS23">
        <v>10.6</v>
      </c>
      <c r="DYT23">
        <v>10.6</v>
      </c>
      <c r="DYU23">
        <v>10.65</v>
      </c>
      <c r="DYV23">
        <v>10.65</v>
      </c>
      <c r="DYW23">
        <v>10.65</v>
      </c>
      <c r="DYX23">
        <v>10.7</v>
      </c>
      <c r="DYY23">
        <v>10.7</v>
      </c>
      <c r="DYZ23">
        <v>10.75</v>
      </c>
      <c r="DZA23">
        <v>10.75</v>
      </c>
      <c r="DZB23">
        <v>10.75</v>
      </c>
      <c r="DZC23">
        <v>10.75</v>
      </c>
      <c r="DZD23">
        <v>10.75</v>
      </c>
      <c r="DZE23">
        <v>10.8</v>
      </c>
      <c r="DZF23">
        <v>10.8</v>
      </c>
      <c r="DZG23">
        <v>10.8</v>
      </c>
      <c r="DZH23">
        <v>10.8</v>
      </c>
      <c r="DZI23">
        <v>10.8</v>
      </c>
      <c r="DZJ23">
        <v>10.8</v>
      </c>
      <c r="DZK23">
        <v>10.85</v>
      </c>
      <c r="DZL23">
        <v>10.85</v>
      </c>
      <c r="DZM23">
        <v>10.85</v>
      </c>
      <c r="DZN23">
        <v>10.85</v>
      </c>
      <c r="DZO23">
        <v>10.85</v>
      </c>
      <c r="DZP23">
        <v>10.9</v>
      </c>
      <c r="DZQ23">
        <v>10.95</v>
      </c>
      <c r="DZR23">
        <v>10.95</v>
      </c>
      <c r="DZS23">
        <v>10.95</v>
      </c>
      <c r="DZT23">
        <v>11</v>
      </c>
      <c r="DZU23">
        <v>11</v>
      </c>
      <c r="DZV23">
        <v>11</v>
      </c>
      <c r="DZW23">
        <v>11</v>
      </c>
      <c r="DZX23">
        <v>11.05</v>
      </c>
      <c r="DZY23">
        <v>11.05</v>
      </c>
      <c r="DZZ23">
        <v>11.05</v>
      </c>
      <c r="EAA23">
        <v>11.05</v>
      </c>
      <c r="EAB23">
        <v>11.05</v>
      </c>
      <c r="EAC23">
        <v>11.05</v>
      </c>
      <c r="EAD23">
        <v>11.1</v>
      </c>
      <c r="EAE23">
        <v>11.1</v>
      </c>
      <c r="EAF23">
        <v>11.15</v>
      </c>
      <c r="EAG23">
        <v>11.15</v>
      </c>
      <c r="EAH23">
        <v>11.2</v>
      </c>
      <c r="EAI23">
        <v>11.25</v>
      </c>
      <c r="EAJ23">
        <v>11.25</v>
      </c>
      <c r="EAK23">
        <v>11.25</v>
      </c>
      <c r="EAL23">
        <v>11.25</v>
      </c>
      <c r="EAM23">
        <v>11.25</v>
      </c>
      <c r="EAN23">
        <v>11.3</v>
      </c>
      <c r="EAO23">
        <v>11.3</v>
      </c>
      <c r="EAP23">
        <v>11.3</v>
      </c>
      <c r="EAQ23">
        <v>11.3</v>
      </c>
      <c r="EAR23">
        <v>11.35</v>
      </c>
      <c r="EAS23">
        <v>11.35</v>
      </c>
      <c r="EAT23">
        <v>11.35</v>
      </c>
      <c r="EAU23">
        <v>11.4</v>
      </c>
      <c r="EAV23">
        <v>11.45</v>
      </c>
      <c r="EAW23">
        <v>11.45</v>
      </c>
      <c r="EAX23">
        <v>11.45</v>
      </c>
      <c r="EAY23">
        <v>11.45</v>
      </c>
      <c r="EAZ23">
        <v>11.5</v>
      </c>
      <c r="EBA23">
        <v>11.5</v>
      </c>
      <c r="EBB23">
        <v>11.5</v>
      </c>
      <c r="EBC23">
        <v>11.5</v>
      </c>
      <c r="EBD23">
        <v>11.5</v>
      </c>
      <c r="EBE23">
        <v>11.55</v>
      </c>
      <c r="EBF23">
        <v>11.55</v>
      </c>
      <c r="EBG23">
        <v>11.6</v>
      </c>
      <c r="EBH23">
        <v>11.6</v>
      </c>
      <c r="EBI23">
        <v>11.6</v>
      </c>
      <c r="EBJ23">
        <v>11.65</v>
      </c>
      <c r="EBK23">
        <v>11.7</v>
      </c>
      <c r="EBL23">
        <v>11.7</v>
      </c>
      <c r="EBM23">
        <v>11.7</v>
      </c>
      <c r="EBN23">
        <v>11.7</v>
      </c>
      <c r="EBO23">
        <v>11.7</v>
      </c>
      <c r="EBP23">
        <v>11.7</v>
      </c>
      <c r="EBQ23">
        <v>11.75</v>
      </c>
      <c r="EBR23">
        <v>11.75</v>
      </c>
      <c r="EBS23">
        <v>11.75</v>
      </c>
      <c r="EBT23">
        <v>11.75</v>
      </c>
      <c r="EBU23">
        <v>11.75</v>
      </c>
      <c r="EBV23">
        <v>11.75</v>
      </c>
      <c r="EBW23">
        <v>11.8</v>
      </c>
      <c r="EBX23">
        <v>11.8</v>
      </c>
      <c r="EBY23">
        <v>11.9</v>
      </c>
      <c r="EBZ23">
        <v>11.9</v>
      </c>
      <c r="ECA23">
        <v>11.95</v>
      </c>
      <c r="ECB23">
        <v>11.95</v>
      </c>
      <c r="ECC23">
        <v>12</v>
      </c>
      <c r="ECD23">
        <v>12</v>
      </c>
      <c r="ECE23">
        <v>12</v>
      </c>
      <c r="ECF23">
        <v>12.01</v>
      </c>
      <c r="ECG23">
        <v>12.05</v>
      </c>
      <c r="ECH23">
        <v>12.05</v>
      </c>
      <c r="ECI23">
        <v>12.05</v>
      </c>
      <c r="ECJ23">
        <v>12.05</v>
      </c>
      <c r="ECK23">
        <v>12.08</v>
      </c>
      <c r="ECL23">
        <v>12.1</v>
      </c>
      <c r="ECM23">
        <v>12.1</v>
      </c>
      <c r="ECN23">
        <v>12.1</v>
      </c>
      <c r="ECO23">
        <v>12.15</v>
      </c>
      <c r="ECP23">
        <v>12.15</v>
      </c>
      <c r="ECQ23">
        <v>12.15</v>
      </c>
      <c r="ECR23">
        <v>12.15</v>
      </c>
      <c r="ECS23">
        <v>12.2</v>
      </c>
      <c r="ECT23">
        <v>12.2</v>
      </c>
      <c r="ECU23">
        <v>12.2</v>
      </c>
      <c r="ECV23">
        <v>12.2</v>
      </c>
      <c r="ECW23">
        <v>12.2</v>
      </c>
      <c r="ECX23">
        <v>12.3</v>
      </c>
      <c r="ECY23">
        <v>12.3</v>
      </c>
      <c r="ECZ23">
        <v>12.3</v>
      </c>
      <c r="EDA23">
        <v>12.35</v>
      </c>
      <c r="EDB23">
        <v>12.35</v>
      </c>
      <c r="EDC23">
        <v>12.4</v>
      </c>
      <c r="EDD23">
        <v>12.4</v>
      </c>
      <c r="EDE23">
        <v>12.4</v>
      </c>
      <c r="EDF23">
        <v>12.45</v>
      </c>
      <c r="EDG23">
        <v>12.45</v>
      </c>
      <c r="EDH23">
        <v>12.5</v>
      </c>
      <c r="EDI23">
        <v>12.5</v>
      </c>
      <c r="EDJ23">
        <v>12.55</v>
      </c>
      <c r="EDK23">
        <v>12.55</v>
      </c>
      <c r="EDL23">
        <v>12.55</v>
      </c>
      <c r="EDM23">
        <v>12.6</v>
      </c>
      <c r="EDN23">
        <v>12.6</v>
      </c>
      <c r="EDO23">
        <v>12.6</v>
      </c>
      <c r="EDP23">
        <v>12.65</v>
      </c>
      <c r="EDQ23">
        <v>12.65</v>
      </c>
      <c r="EDR23">
        <v>12.65</v>
      </c>
      <c r="EDS23">
        <v>12.7</v>
      </c>
      <c r="EDT23">
        <v>12.7</v>
      </c>
      <c r="EDU23">
        <v>12.7</v>
      </c>
      <c r="EDV23">
        <v>12.75</v>
      </c>
      <c r="EDW23">
        <v>12.75</v>
      </c>
      <c r="EDX23">
        <v>12.77</v>
      </c>
      <c r="EDY23">
        <v>12.8</v>
      </c>
      <c r="EDZ23">
        <v>12.8</v>
      </c>
      <c r="EEA23">
        <v>12.8</v>
      </c>
      <c r="EEB23">
        <v>12.8</v>
      </c>
      <c r="EEC23">
        <v>12.8</v>
      </c>
      <c r="EED23">
        <v>12.85</v>
      </c>
      <c r="EEE23">
        <v>12.85</v>
      </c>
      <c r="EEF23">
        <v>12.9</v>
      </c>
      <c r="EEG23">
        <v>12.9</v>
      </c>
      <c r="EEH23">
        <v>12.9</v>
      </c>
      <c r="EEI23">
        <v>12.9</v>
      </c>
      <c r="EEJ23">
        <v>12.9</v>
      </c>
      <c r="EEK23">
        <v>12.9</v>
      </c>
      <c r="EEL23">
        <v>12.95</v>
      </c>
      <c r="EEM23">
        <v>12.95</v>
      </c>
      <c r="EEN23">
        <v>12.95</v>
      </c>
      <c r="EEO23">
        <v>12.95</v>
      </c>
      <c r="EEP23">
        <v>13</v>
      </c>
      <c r="EEQ23">
        <v>13</v>
      </c>
      <c r="EER23">
        <v>13</v>
      </c>
      <c r="EES23">
        <v>13</v>
      </c>
      <c r="EET23">
        <v>13.05</v>
      </c>
      <c r="EEU23">
        <v>13.05</v>
      </c>
      <c r="EEV23">
        <v>13.1</v>
      </c>
      <c r="EEW23">
        <v>13.1</v>
      </c>
      <c r="EEX23">
        <v>13.1</v>
      </c>
      <c r="EEY23">
        <v>13.1</v>
      </c>
      <c r="EEZ23">
        <v>13.1</v>
      </c>
      <c r="EFA23">
        <v>13.1</v>
      </c>
      <c r="EFB23">
        <v>13.1</v>
      </c>
      <c r="EFC23">
        <v>13.15</v>
      </c>
      <c r="EFD23">
        <v>13.15</v>
      </c>
      <c r="EFE23">
        <v>13.2</v>
      </c>
      <c r="EFF23">
        <v>13.25</v>
      </c>
      <c r="EFG23">
        <v>13.25</v>
      </c>
      <c r="EFH23">
        <v>13.25</v>
      </c>
      <c r="EFI23">
        <v>13.25</v>
      </c>
      <c r="EFJ23">
        <v>13.3</v>
      </c>
      <c r="EFK23">
        <v>13.3</v>
      </c>
      <c r="EFL23">
        <v>13.3</v>
      </c>
      <c r="EFM23">
        <v>13.3</v>
      </c>
      <c r="EFN23">
        <v>13.3</v>
      </c>
      <c r="EFO23">
        <v>13.35</v>
      </c>
      <c r="EFP23">
        <v>13.35</v>
      </c>
      <c r="EFQ23">
        <v>13.4</v>
      </c>
      <c r="EFR23">
        <v>13.4</v>
      </c>
      <c r="EFS23">
        <v>13.4</v>
      </c>
      <c r="EFT23">
        <v>13.4</v>
      </c>
      <c r="EFU23">
        <v>13.45</v>
      </c>
      <c r="EFV23">
        <v>13.45</v>
      </c>
      <c r="EFW23">
        <v>13.45</v>
      </c>
      <c r="EFX23">
        <v>13.45</v>
      </c>
      <c r="EFY23">
        <v>13.45</v>
      </c>
      <c r="EFZ23">
        <v>13.45</v>
      </c>
      <c r="EGA23">
        <v>13.5</v>
      </c>
      <c r="EGB23">
        <v>13.5</v>
      </c>
      <c r="EGC23">
        <v>13.5</v>
      </c>
      <c r="EGD23">
        <v>13.55</v>
      </c>
      <c r="EGE23">
        <v>13.55</v>
      </c>
      <c r="EGF23">
        <v>13.6</v>
      </c>
      <c r="EGG23">
        <v>13.65</v>
      </c>
      <c r="EGH23">
        <v>13.65</v>
      </c>
      <c r="EGI23">
        <v>13.65</v>
      </c>
      <c r="EGJ23">
        <v>13.7</v>
      </c>
      <c r="EGK23">
        <v>13.7</v>
      </c>
      <c r="EGL23">
        <v>13.7</v>
      </c>
      <c r="EGM23">
        <v>13.75</v>
      </c>
      <c r="EGN23">
        <v>13.75</v>
      </c>
      <c r="EGO23">
        <v>13.8</v>
      </c>
      <c r="EGP23">
        <v>13.8</v>
      </c>
      <c r="EGQ23">
        <v>13.85</v>
      </c>
      <c r="EGR23">
        <v>13.85</v>
      </c>
      <c r="EGS23">
        <v>13.9</v>
      </c>
      <c r="EGT23">
        <v>13.9</v>
      </c>
      <c r="EGU23">
        <v>14</v>
      </c>
      <c r="EGV23">
        <v>14</v>
      </c>
      <c r="EGW23">
        <v>14.04</v>
      </c>
      <c r="EGX23">
        <v>14.05</v>
      </c>
      <c r="EGY23">
        <v>14.05</v>
      </c>
      <c r="EGZ23">
        <v>14.05</v>
      </c>
      <c r="EHA23">
        <v>14.1</v>
      </c>
      <c r="EHB23">
        <v>14.1</v>
      </c>
      <c r="EHC23">
        <v>14.1</v>
      </c>
      <c r="EHD23">
        <v>14.15</v>
      </c>
      <c r="EHE23">
        <v>14.2</v>
      </c>
      <c r="EHF23">
        <v>14.2</v>
      </c>
      <c r="EHG23">
        <v>14.25</v>
      </c>
      <c r="EHH23">
        <v>14.25</v>
      </c>
      <c r="EHI23">
        <v>14.3</v>
      </c>
      <c r="EHJ23">
        <v>14.3</v>
      </c>
      <c r="EHK23">
        <v>14.3</v>
      </c>
      <c r="EHL23">
        <v>14.3</v>
      </c>
      <c r="EHM23">
        <v>14.35</v>
      </c>
      <c r="EHN23">
        <v>14.35</v>
      </c>
      <c r="EHO23">
        <v>14.35</v>
      </c>
      <c r="EHP23">
        <v>14.35</v>
      </c>
      <c r="EHQ23">
        <v>14.4</v>
      </c>
      <c r="EHR23">
        <v>14.45</v>
      </c>
      <c r="EHS23">
        <v>14.45</v>
      </c>
      <c r="EHT23">
        <v>14.5</v>
      </c>
      <c r="EHU23">
        <v>14.5</v>
      </c>
      <c r="EHV23">
        <v>14.55</v>
      </c>
      <c r="EHW23">
        <v>14.55</v>
      </c>
      <c r="EHX23">
        <v>14.6</v>
      </c>
      <c r="EHY23">
        <v>14.65</v>
      </c>
      <c r="EHZ23">
        <v>14.65</v>
      </c>
      <c r="EIA23">
        <v>14.7</v>
      </c>
      <c r="EIB23">
        <v>14.7</v>
      </c>
      <c r="EIC23">
        <v>14.75</v>
      </c>
      <c r="EID23">
        <v>14.75</v>
      </c>
      <c r="EIE23">
        <v>14.8</v>
      </c>
      <c r="EIF23">
        <v>14.85</v>
      </c>
      <c r="EIG23">
        <v>14.85</v>
      </c>
      <c r="EIH23">
        <v>14.85</v>
      </c>
      <c r="EII23">
        <v>14.85</v>
      </c>
      <c r="EIJ23">
        <v>14.9</v>
      </c>
      <c r="EIK23">
        <v>14.9</v>
      </c>
      <c r="EIL23">
        <v>14.9</v>
      </c>
      <c r="EIM23">
        <v>14.9</v>
      </c>
      <c r="EIN23">
        <v>14.9</v>
      </c>
      <c r="EIO23">
        <v>14.95</v>
      </c>
      <c r="EIP23">
        <v>14.95</v>
      </c>
      <c r="EIQ23">
        <v>15</v>
      </c>
      <c r="EIR23">
        <v>15.05</v>
      </c>
      <c r="EIS23">
        <v>15.05</v>
      </c>
      <c r="EIT23">
        <v>15.1</v>
      </c>
      <c r="EIU23">
        <v>15.15</v>
      </c>
      <c r="EIV23">
        <v>15.15</v>
      </c>
      <c r="EIW23">
        <v>15.15</v>
      </c>
      <c r="EIX23">
        <v>15.2</v>
      </c>
      <c r="EIY23">
        <v>15.2</v>
      </c>
      <c r="EIZ23">
        <v>15.2</v>
      </c>
      <c r="EJA23">
        <v>15.2</v>
      </c>
      <c r="EJB23">
        <v>15.21</v>
      </c>
      <c r="EJC23">
        <v>15.24</v>
      </c>
      <c r="EJD23">
        <v>15.25</v>
      </c>
      <c r="EJE23">
        <v>15.25</v>
      </c>
      <c r="EJF23">
        <v>15.25</v>
      </c>
      <c r="EJG23">
        <v>15.3</v>
      </c>
      <c r="EJH23">
        <v>15.3</v>
      </c>
      <c r="EJI23">
        <v>15.3</v>
      </c>
      <c r="EJJ23">
        <v>15.35</v>
      </c>
      <c r="EJK23">
        <v>15.35</v>
      </c>
      <c r="EJL23">
        <v>15.45</v>
      </c>
      <c r="EJM23">
        <v>15.45</v>
      </c>
      <c r="EJN23">
        <v>15.5</v>
      </c>
      <c r="EJO23">
        <v>15.5</v>
      </c>
      <c r="EJP23">
        <v>15.5</v>
      </c>
      <c r="EJQ23">
        <v>15.5</v>
      </c>
      <c r="EJR23">
        <v>15.6</v>
      </c>
      <c r="EJS23">
        <v>15.6</v>
      </c>
      <c r="EJT23">
        <v>15.6</v>
      </c>
      <c r="EJU23">
        <v>15.6</v>
      </c>
      <c r="EJV23">
        <v>15.6</v>
      </c>
      <c r="EJW23">
        <v>15.65</v>
      </c>
      <c r="EJX23">
        <v>15.7</v>
      </c>
      <c r="EJY23">
        <v>15.75</v>
      </c>
      <c r="EJZ23">
        <v>15.75</v>
      </c>
      <c r="EKA23">
        <v>15.75</v>
      </c>
      <c r="EKB23">
        <v>15.8</v>
      </c>
      <c r="EKC23">
        <v>15.8</v>
      </c>
      <c r="EKD23">
        <v>15.8</v>
      </c>
      <c r="EKE23">
        <v>15.8</v>
      </c>
      <c r="EKF23">
        <v>15.85</v>
      </c>
      <c r="EKG23">
        <v>15.9</v>
      </c>
      <c r="EKH23">
        <v>15.9</v>
      </c>
      <c r="EKI23">
        <v>15.95</v>
      </c>
      <c r="EKJ23">
        <v>15.95</v>
      </c>
      <c r="EKK23">
        <v>15.95</v>
      </c>
      <c r="EKL23">
        <v>16.05</v>
      </c>
      <c r="EKM23">
        <v>16.05</v>
      </c>
      <c r="EKN23">
        <v>16.05</v>
      </c>
      <c r="EKO23">
        <v>16.100000000000001</v>
      </c>
      <c r="EKP23">
        <v>16.100000000000001</v>
      </c>
      <c r="EKQ23">
        <v>16.100000000000001</v>
      </c>
      <c r="EKR23">
        <v>16.149999999999999</v>
      </c>
      <c r="EKS23">
        <v>16.2</v>
      </c>
      <c r="EKT23">
        <v>16.2</v>
      </c>
      <c r="EKU23">
        <v>16.25</v>
      </c>
      <c r="EKV23">
        <v>16.25</v>
      </c>
      <c r="EKW23">
        <v>16.25</v>
      </c>
      <c r="EKX23">
        <v>16.25</v>
      </c>
      <c r="EKY23">
        <v>16.25</v>
      </c>
      <c r="EKZ23">
        <v>16.25</v>
      </c>
      <c r="ELA23">
        <v>16.3</v>
      </c>
      <c r="ELB23">
        <v>16.3</v>
      </c>
      <c r="ELC23">
        <v>16.3</v>
      </c>
      <c r="ELD23">
        <v>16.3</v>
      </c>
      <c r="ELE23">
        <v>16.350000000000001</v>
      </c>
      <c r="ELF23">
        <v>16.350000000000001</v>
      </c>
      <c r="ELG23">
        <v>16.350000000000001</v>
      </c>
      <c r="ELH23">
        <v>16.45</v>
      </c>
      <c r="ELI23">
        <v>16.45</v>
      </c>
      <c r="ELJ23">
        <v>16.45</v>
      </c>
      <c r="ELK23">
        <v>16.45</v>
      </c>
      <c r="ELL23">
        <v>16.5</v>
      </c>
      <c r="ELM23">
        <v>16.5</v>
      </c>
      <c r="ELN23">
        <v>16.5</v>
      </c>
      <c r="ELO23">
        <v>16.5</v>
      </c>
      <c r="ELP23">
        <v>16.600000000000001</v>
      </c>
      <c r="ELQ23">
        <v>16.600000000000001</v>
      </c>
      <c r="ELR23">
        <v>16.600000000000001</v>
      </c>
      <c r="ELS23">
        <v>16.600000000000001</v>
      </c>
      <c r="ELT23">
        <v>16.600000000000001</v>
      </c>
      <c r="ELU23">
        <v>16.7</v>
      </c>
      <c r="ELV23">
        <v>16.7</v>
      </c>
      <c r="ELW23">
        <v>16.8</v>
      </c>
      <c r="ELX23">
        <v>16.8</v>
      </c>
      <c r="ELY23">
        <v>16.8</v>
      </c>
      <c r="ELZ23">
        <v>16.850000000000001</v>
      </c>
      <c r="EMA23">
        <v>16.899999999999999</v>
      </c>
      <c r="EMB23">
        <v>16.899999999999999</v>
      </c>
      <c r="EMC23">
        <v>16.899999999999999</v>
      </c>
      <c r="EMD23">
        <v>16.95</v>
      </c>
      <c r="EME23">
        <v>16.95</v>
      </c>
      <c r="EMF23">
        <v>17</v>
      </c>
      <c r="EMG23">
        <v>17.05</v>
      </c>
      <c r="EMH23">
        <v>17.05</v>
      </c>
      <c r="EMI23">
        <v>17.149999999999999</v>
      </c>
      <c r="EMJ23">
        <v>17.149999999999999</v>
      </c>
      <c r="EMK23">
        <v>17.149999999999999</v>
      </c>
      <c r="EML23">
        <v>17.149999999999999</v>
      </c>
      <c r="EMM23">
        <v>17.190000000000001</v>
      </c>
      <c r="EMN23">
        <v>17.2</v>
      </c>
      <c r="EMO23">
        <v>17.2</v>
      </c>
      <c r="EMP23">
        <v>17.2</v>
      </c>
      <c r="EMQ23">
        <v>17.25</v>
      </c>
      <c r="EMR23">
        <v>17.3</v>
      </c>
      <c r="EMS23">
        <v>17.3</v>
      </c>
      <c r="EMT23">
        <v>17.3</v>
      </c>
      <c r="EMU23">
        <v>17.350000000000001</v>
      </c>
      <c r="EMV23">
        <v>17.350000000000001</v>
      </c>
      <c r="EMW23">
        <v>17.350000000000001</v>
      </c>
      <c r="EMX23">
        <v>17.399999999999999</v>
      </c>
      <c r="EMY23">
        <v>17.5</v>
      </c>
      <c r="EMZ23">
        <v>17.5</v>
      </c>
      <c r="ENA23">
        <v>17.5</v>
      </c>
      <c r="ENB23">
        <v>17.5</v>
      </c>
      <c r="ENC23">
        <v>17.55</v>
      </c>
      <c r="END23">
        <v>17.600000000000001</v>
      </c>
      <c r="ENE23">
        <v>17.649999999999999</v>
      </c>
      <c r="ENF23">
        <v>17.7</v>
      </c>
      <c r="ENG23">
        <v>17.75</v>
      </c>
      <c r="ENH23">
        <v>17.75</v>
      </c>
      <c r="ENI23">
        <v>17.75</v>
      </c>
      <c r="ENJ23">
        <v>17.75</v>
      </c>
      <c r="ENK23">
        <v>17.8</v>
      </c>
      <c r="ENL23">
        <v>17.8</v>
      </c>
      <c r="ENM23">
        <v>17.899999999999999</v>
      </c>
      <c r="ENN23">
        <v>17.899999999999999</v>
      </c>
      <c r="ENO23">
        <v>17.899999999999999</v>
      </c>
      <c r="ENP23">
        <v>17.899999999999999</v>
      </c>
      <c r="ENQ23">
        <v>17.95</v>
      </c>
      <c r="ENR23">
        <v>18</v>
      </c>
      <c r="ENS23">
        <v>18</v>
      </c>
      <c r="ENT23">
        <v>18</v>
      </c>
      <c r="ENU23">
        <v>18.05</v>
      </c>
      <c r="ENV23">
        <v>18.05</v>
      </c>
      <c r="ENW23">
        <v>18.100000000000001</v>
      </c>
      <c r="ENX23">
        <v>18.100000000000001</v>
      </c>
      <c r="ENY23">
        <v>18.100000000000001</v>
      </c>
      <c r="ENZ23">
        <v>18.100000000000001</v>
      </c>
      <c r="EOA23">
        <v>18.149999999999999</v>
      </c>
      <c r="EOB23">
        <v>18.2</v>
      </c>
      <c r="EOC23">
        <v>18.239999999999998</v>
      </c>
      <c r="EOD23">
        <v>18.25</v>
      </c>
      <c r="EOE23">
        <v>18.3</v>
      </c>
      <c r="EOF23">
        <v>18.3</v>
      </c>
      <c r="EOG23">
        <v>18.399999999999999</v>
      </c>
      <c r="EOH23">
        <v>18.45</v>
      </c>
      <c r="EOI23">
        <v>18.45</v>
      </c>
      <c r="EOJ23">
        <v>18.5</v>
      </c>
      <c r="EOK23">
        <v>18.5</v>
      </c>
      <c r="EOL23">
        <v>18.5</v>
      </c>
      <c r="EOM23">
        <v>18.600000000000001</v>
      </c>
      <c r="EON23">
        <v>18.649999999999999</v>
      </c>
      <c r="EOO23">
        <v>18.649999999999999</v>
      </c>
      <c r="EOP23">
        <v>18.649999999999999</v>
      </c>
      <c r="EOQ23">
        <v>18.649999999999999</v>
      </c>
      <c r="EOR23">
        <v>18.7</v>
      </c>
      <c r="EOS23">
        <v>18.7</v>
      </c>
      <c r="EOT23">
        <v>18.7</v>
      </c>
      <c r="EOU23">
        <v>18.7</v>
      </c>
      <c r="EOV23">
        <v>18.75</v>
      </c>
      <c r="EOW23">
        <v>18.8</v>
      </c>
      <c r="EOX23">
        <v>18.850000000000001</v>
      </c>
      <c r="EOY23">
        <v>18.850000000000001</v>
      </c>
      <c r="EOZ23">
        <v>18.899999999999999</v>
      </c>
      <c r="EPA23">
        <v>18.95</v>
      </c>
      <c r="EPB23">
        <v>18.95</v>
      </c>
      <c r="EPC23">
        <v>18.95</v>
      </c>
      <c r="EPD23">
        <v>18.989999999999998</v>
      </c>
      <c r="EPE23">
        <v>19</v>
      </c>
      <c r="EPF23">
        <v>19</v>
      </c>
      <c r="EPG23">
        <v>19</v>
      </c>
      <c r="EPH23">
        <v>19.05</v>
      </c>
      <c r="EPI23">
        <v>19.100000000000001</v>
      </c>
      <c r="EPJ23">
        <v>19.100000000000001</v>
      </c>
      <c r="EPK23">
        <v>19.100000000000001</v>
      </c>
      <c r="EPL23">
        <v>19.149999999999999</v>
      </c>
      <c r="EPM23">
        <v>19.149999999999999</v>
      </c>
      <c r="EPN23">
        <v>19.2</v>
      </c>
      <c r="EPO23">
        <v>19.2</v>
      </c>
      <c r="EPP23">
        <v>19.25</v>
      </c>
      <c r="EPQ23">
        <v>19.25</v>
      </c>
      <c r="EPR23">
        <v>19.25</v>
      </c>
      <c r="EPS23">
        <v>19.3</v>
      </c>
      <c r="EPT23">
        <v>19.3</v>
      </c>
      <c r="EPU23">
        <v>19.350000000000001</v>
      </c>
      <c r="EPV23">
        <v>19.350000000000001</v>
      </c>
      <c r="EPW23">
        <v>19.350000000000001</v>
      </c>
      <c r="EPX23">
        <v>19.399999999999999</v>
      </c>
      <c r="EPY23">
        <v>19.399999999999999</v>
      </c>
      <c r="EPZ23">
        <v>19.399999999999999</v>
      </c>
      <c r="EQA23">
        <v>19.45</v>
      </c>
      <c r="EQB23">
        <v>19.45</v>
      </c>
      <c r="EQC23">
        <v>19.45</v>
      </c>
      <c r="EQD23">
        <v>19.5</v>
      </c>
      <c r="EQE23">
        <v>19.5</v>
      </c>
      <c r="EQF23">
        <v>19.55</v>
      </c>
      <c r="EQG23">
        <v>19.55</v>
      </c>
      <c r="EQH23">
        <v>19.55</v>
      </c>
      <c r="EQI23">
        <v>19.55</v>
      </c>
      <c r="EQJ23">
        <v>19.55</v>
      </c>
      <c r="EQK23">
        <v>19.59</v>
      </c>
      <c r="EQL23">
        <v>19.600000000000001</v>
      </c>
      <c r="EQM23">
        <v>19.600000000000001</v>
      </c>
      <c r="EQN23">
        <v>19.600000000000001</v>
      </c>
      <c r="EQO23">
        <v>19.649999999999999</v>
      </c>
      <c r="EQP23">
        <v>19.649999999999999</v>
      </c>
      <c r="EQQ23">
        <v>19.649999999999999</v>
      </c>
      <c r="EQR23">
        <v>19.7</v>
      </c>
      <c r="EQS23">
        <v>19.7</v>
      </c>
      <c r="EQT23">
        <v>19.7</v>
      </c>
      <c r="EQU23">
        <v>19.75</v>
      </c>
      <c r="EQV23">
        <v>19.8</v>
      </c>
      <c r="EQW23">
        <v>19.8</v>
      </c>
      <c r="EQX23">
        <v>19.850000000000001</v>
      </c>
      <c r="EQY23">
        <v>19.850000000000001</v>
      </c>
      <c r="EQZ23">
        <v>19.899999999999999</v>
      </c>
      <c r="ERA23">
        <v>19.899999999999999</v>
      </c>
      <c r="ERB23">
        <v>19.899999999999999</v>
      </c>
      <c r="ERC23">
        <v>19.95</v>
      </c>
      <c r="ERD23">
        <v>20</v>
      </c>
      <c r="ERE23">
        <v>20</v>
      </c>
      <c r="ERF23">
        <v>20.05</v>
      </c>
      <c r="ERG23">
        <v>20.05</v>
      </c>
      <c r="ERH23">
        <v>20.05</v>
      </c>
      <c r="ERI23">
        <v>20.05</v>
      </c>
      <c r="ERJ23">
        <v>20.149999999999999</v>
      </c>
      <c r="ERK23">
        <v>20.149999999999999</v>
      </c>
      <c r="ERL23">
        <v>20.149999999999999</v>
      </c>
      <c r="ERM23">
        <v>20.149999999999999</v>
      </c>
      <c r="ERN23">
        <v>20.3</v>
      </c>
      <c r="ERO23">
        <v>20.3</v>
      </c>
      <c r="ERP23">
        <v>20.3</v>
      </c>
      <c r="ERQ23">
        <v>20.350000000000001</v>
      </c>
      <c r="ERR23">
        <v>20.350000000000001</v>
      </c>
      <c r="ERS23">
        <v>20.399999999999999</v>
      </c>
      <c r="ERT23">
        <v>20.45</v>
      </c>
      <c r="ERU23">
        <v>20.45</v>
      </c>
      <c r="ERV23">
        <v>20.45</v>
      </c>
      <c r="ERW23">
        <v>20.5</v>
      </c>
      <c r="ERX23">
        <v>20.5</v>
      </c>
      <c r="ERY23">
        <v>20.51</v>
      </c>
      <c r="ERZ23">
        <v>20.6</v>
      </c>
      <c r="ESA23">
        <v>20.6</v>
      </c>
      <c r="ESB23">
        <v>20.65</v>
      </c>
      <c r="ESC23">
        <v>20.7</v>
      </c>
      <c r="ESD23">
        <v>20.85</v>
      </c>
      <c r="ESE23">
        <v>20.9</v>
      </c>
      <c r="ESF23">
        <v>20.9</v>
      </c>
      <c r="ESG23">
        <v>20.95</v>
      </c>
      <c r="ESH23">
        <v>21.1</v>
      </c>
      <c r="ESI23">
        <v>21.15</v>
      </c>
      <c r="ESJ23">
        <v>21.15</v>
      </c>
      <c r="ESK23">
        <v>21.15</v>
      </c>
      <c r="ESL23">
        <v>21.2</v>
      </c>
      <c r="ESM23">
        <v>21.25</v>
      </c>
      <c r="ESN23">
        <v>21.25</v>
      </c>
      <c r="ESO23">
        <v>21.25</v>
      </c>
      <c r="ESP23">
        <v>21.25</v>
      </c>
      <c r="ESQ23">
        <v>21.25</v>
      </c>
      <c r="ESR23">
        <v>21.25</v>
      </c>
      <c r="ESS23">
        <v>21.3</v>
      </c>
      <c r="EST23">
        <v>21.3</v>
      </c>
      <c r="ESU23">
        <v>21.3</v>
      </c>
      <c r="ESV23">
        <v>21.35</v>
      </c>
      <c r="ESW23">
        <v>21.35</v>
      </c>
      <c r="ESX23">
        <v>21.35</v>
      </c>
      <c r="ESY23">
        <v>21.4</v>
      </c>
      <c r="ESZ23">
        <v>21.4</v>
      </c>
      <c r="ETA23">
        <v>21.4</v>
      </c>
      <c r="ETB23">
        <v>21.45</v>
      </c>
      <c r="ETC23">
        <v>21.5</v>
      </c>
      <c r="ETD23">
        <v>21.5</v>
      </c>
      <c r="ETE23">
        <v>21.5</v>
      </c>
      <c r="ETF23">
        <v>21.55</v>
      </c>
      <c r="ETG23">
        <v>21.6</v>
      </c>
      <c r="ETH23">
        <v>21.65</v>
      </c>
      <c r="ETI23">
        <v>21.7</v>
      </c>
      <c r="ETJ23">
        <v>21.7</v>
      </c>
      <c r="ETK23">
        <v>21.8</v>
      </c>
      <c r="ETL23">
        <v>21.8</v>
      </c>
      <c r="ETM23">
        <v>21.8</v>
      </c>
      <c r="ETN23">
        <v>21.85</v>
      </c>
      <c r="ETO23">
        <v>21.9</v>
      </c>
      <c r="ETP23">
        <v>21.9</v>
      </c>
      <c r="ETQ23">
        <v>21.95</v>
      </c>
      <c r="ETR23">
        <v>21.95</v>
      </c>
      <c r="ETS23">
        <v>22.05</v>
      </c>
      <c r="ETT23">
        <v>22.05</v>
      </c>
      <c r="ETU23">
        <v>22.05</v>
      </c>
      <c r="ETV23">
        <v>22.05</v>
      </c>
      <c r="ETW23">
        <v>22.1</v>
      </c>
      <c r="ETX23">
        <v>22.1</v>
      </c>
      <c r="ETY23">
        <v>22.1</v>
      </c>
      <c r="ETZ23">
        <v>22.1</v>
      </c>
      <c r="EUA23">
        <v>22.1</v>
      </c>
      <c r="EUB23">
        <v>22.2</v>
      </c>
      <c r="EUC23">
        <v>22.25</v>
      </c>
      <c r="EUD23">
        <v>22.29</v>
      </c>
      <c r="EUE23">
        <v>22.3</v>
      </c>
      <c r="EUF23">
        <v>22.3</v>
      </c>
      <c r="EUG23">
        <v>22.35</v>
      </c>
      <c r="EUH23">
        <v>22.35</v>
      </c>
      <c r="EUI23">
        <v>22.35</v>
      </c>
      <c r="EUJ23">
        <v>22.45</v>
      </c>
      <c r="EUK23">
        <v>22.5</v>
      </c>
      <c r="EUL23">
        <v>22.6</v>
      </c>
      <c r="EUM23">
        <v>22.6</v>
      </c>
      <c r="EUN23">
        <v>22.6</v>
      </c>
      <c r="EUO23">
        <v>22.65</v>
      </c>
      <c r="EUP23">
        <v>22.65</v>
      </c>
      <c r="EUQ23">
        <v>22.7</v>
      </c>
      <c r="EUR23">
        <v>22.7</v>
      </c>
      <c r="EUS23">
        <v>22.7</v>
      </c>
      <c r="EUT23">
        <v>22.75</v>
      </c>
      <c r="EUU23">
        <v>22.75</v>
      </c>
      <c r="EUV23">
        <v>22.8</v>
      </c>
      <c r="EUW23">
        <v>22.85</v>
      </c>
      <c r="EUX23">
        <v>22.85</v>
      </c>
      <c r="EUY23">
        <v>22.9</v>
      </c>
      <c r="EUZ23">
        <v>22.9</v>
      </c>
      <c r="EVA23">
        <v>22.9</v>
      </c>
      <c r="EVB23">
        <v>22.95</v>
      </c>
      <c r="EVC23">
        <v>23</v>
      </c>
      <c r="EVD23">
        <v>23.1</v>
      </c>
      <c r="EVE23">
        <v>23.15</v>
      </c>
      <c r="EVF23">
        <v>23.15</v>
      </c>
      <c r="EVG23">
        <v>23.25</v>
      </c>
      <c r="EVH23">
        <v>23.3</v>
      </c>
      <c r="EVI23">
        <v>23.45</v>
      </c>
      <c r="EVJ23">
        <v>23.5</v>
      </c>
      <c r="EVK23">
        <v>23.55</v>
      </c>
      <c r="EVL23">
        <v>23.6</v>
      </c>
      <c r="EVM23">
        <v>23.6</v>
      </c>
      <c r="EVN23">
        <v>23.6</v>
      </c>
      <c r="EVO23">
        <v>23.65</v>
      </c>
      <c r="EVP23">
        <v>23.65</v>
      </c>
      <c r="EVQ23">
        <v>23.75</v>
      </c>
      <c r="EVR23">
        <v>23.75</v>
      </c>
      <c r="EVS23">
        <v>23.85</v>
      </c>
      <c r="EVT23">
        <v>23.85</v>
      </c>
      <c r="EVU23">
        <v>23.85</v>
      </c>
      <c r="EVV23">
        <v>23.85</v>
      </c>
      <c r="EVW23">
        <v>23.85</v>
      </c>
      <c r="EVX23">
        <v>23.9</v>
      </c>
      <c r="EVY23">
        <v>23.9</v>
      </c>
      <c r="EVZ23">
        <v>23.9</v>
      </c>
      <c r="EWA23">
        <v>23.95</v>
      </c>
      <c r="EWB23">
        <v>24</v>
      </c>
      <c r="EWC23">
        <v>24</v>
      </c>
      <c r="EWD23">
        <v>24.05</v>
      </c>
      <c r="EWE23">
        <v>24.05</v>
      </c>
      <c r="EWF23">
        <v>24.1</v>
      </c>
      <c r="EWG23">
        <v>24.1</v>
      </c>
      <c r="EWH23">
        <v>24.15</v>
      </c>
      <c r="EWI23">
        <v>24.2</v>
      </c>
      <c r="EWJ23">
        <v>24.2</v>
      </c>
      <c r="EWK23">
        <v>24.3</v>
      </c>
      <c r="EWL23">
        <v>24.3</v>
      </c>
      <c r="EWM23">
        <v>24.3</v>
      </c>
      <c r="EWN23">
        <v>24.35</v>
      </c>
      <c r="EWO23">
        <v>24.4</v>
      </c>
      <c r="EWP23">
        <v>24.4</v>
      </c>
      <c r="EWQ23">
        <v>24.45</v>
      </c>
      <c r="EWR23">
        <v>24.45</v>
      </c>
      <c r="EWS23">
        <v>24.5</v>
      </c>
      <c r="EWT23">
        <v>24.5</v>
      </c>
      <c r="EWU23">
        <v>24.6</v>
      </c>
      <c r="EWV23">
        <v>24.6</v>
      </c>
      <c r="EWW23">
        <v>24.7</v>
      </c>
      <c r="EWX23">
        <v>24.8</v>
      </c>
      <c r="EWY23">
        <v>24.81</v>
      </c>
      <c r="EWZ23">
        <v>24.95</v>
      </c>
      <c r="EXA23">
        <v>24.95</v>
      </c>
      <c r="EXB23">
        <v>25</v>
      </c>
      <c r="EXC23">
        <v>25.04</v>
      </c>
      <c r="EXD23">
        <v>25.05</v>
      </c>
      <c r="EXE23">
        <v>25.1</v>
      </c>
      <c r="EXF23">
        <v>25.1</v>
      </c>
      <c r="EXG23">
        <v>25.15</v>
      </c>
      <c r="EXH23">
        <v>25.15</v>
      </c>
      <c r="EXI23">
        <v>25.2</v>
      </c>
      <c r="EXJ23">
        <v>25.25</v>
      </c>
      <c r="EXK23">
        <v>25.25</v>
      </c>
      <c r="EXL23">
        <v>25.3</v>
      </c>
      <c r="EXM23">
        <v>25.4</v>
      </c>
      <c r="EXN23">
        <v>25.4</v>
      </c>
      <c r="EXO23">
        <v>25.45</v>
      </c>
      <c r="EXP23">
        <v>25.45</v>
      </c>
      <c r="EXQ23">
        <v>25.5</v>
      </c>
      <c r="EXR23">
        <v>25.5</v>
      </c>
      <c r="EXS23">
        <v>25.55</v>
      </c>
      <c r="EXT23">
        <v>25.6</v>
      </c>
      <c r="EXU23">
        <v>25.7</v>
      </c>
      <c r="EXV23">
        <v>25.7</v>
      </c>
      <c r="EXW23">
        <v>25.75</v>
      </c>
      <c r="EXX23">
        <v>25.85</v>
      </c>
      <c r="EXY23">
        <v>25.85</v>
      </c>
      <c r="EXZ23">
        <v>25.85</v>
      </c>
      <c r="EYA23">
        <v>25.9</v>
      </c>
      <c r="EYB23">
        <v>25.95</v>
      </c>
      <c r="EYC23">
        <v>25.95</v>
      </c>
      <c r="EYD23">
        <v>25.95</v>
      </c>
      <c r="EYE23">
        <v>26</v>
      </c>
      <c r="EYF23">
        <v>26.1</v>
      </c>
      <c r="EYG23">
        <v>26.15</v>
      </c>
      <c r="EYH23">
        <v>26.15</v>
      </c>
      <c r="EYI23">
        <v>26.2</v>
      </c>
      <c r="EYJ23">
        <v>26.2</v>
      </c>
      <c r="EYK23">
        <v>26.25</v>
      </c>
      <c r="EYL23">
        <v>26.3</v>
      </c>
      <c r="EYM23">
        <v>26.3</v>
      </c>
      <c r="EYN23">
        <v>26.4</v>
      </c>
      <c r="EYO23">
        <v>26.4</v>
      </c>
      <c r="EYP23">
        <v>26.4</v>
      </c>
      <c r="EYQ23">
        <v>26.45</v>
      </c>
      <c r="EYR23">
        <v>26.45</v>
      </c>
      <c r="EYS23">
        <v>26.5</v>
      </c>
      <c r="EYT23">
        <v>26.5</v>
      </c>
      <c r="EYU23">
        <v>26.55</v>
      </c>
      <c r="EYV23">
        <v>26.55</v>
      </c>
      <c r="EYW23">
        <v>26.55</v>
      </c>
      <c r="EYX23">
        <v>26.55</v>
      </c>
      <c r="EYY23">
        <v>26.65</v>
      </c>
      <c r="EYZ23">
        <v>26.8</v>
      </c>
      <c r="EZA23">
        <v>26.8</v>
      </c>
      <c r="EZB23">
        <v>26.8</v>
      </c>
      <c r="EZC23">
        <v>26.85</v>
      </c>
      <c r="EZD23">
        <v>26.85</v>
      </c>
      <c r="EZE23">
        <v>26.86</v>
      </c>
      <c r="EZF23">
        <v>26.95</v>
      </c>
      <c r="EZG23">
        <v>27.05</v>
      </c>
      <c r="EZH23">
        <v>27.1</v>
      </c>
      <c r="EZI23">
        <v>27.1</v>
      </c>
      <c r="EZJ23">
        <v>27.15</v>
      </c>
      <c r="EZK23">
        <v>27.2</v>
      </c>
      <c r="EZL23">
        <v>27.2</v>
      </c>
      <c r="EZM23">
        <v>27.25</v>
      </c>
      <c r="EZN23">
        <v>27.35</v>
      </c>
      <c r="EZO23">
        <v>27.35</v>
      </c>
      <c r="EZP23">
        <v>27.35</v>
      </c>
      <c r="EZQ23">
        <v>27.5</v>
      </c>
      <c r="EZR23">
        <v>27.6</v>
      </c>
      <c r="EZS23">
        <v>27.6</v>
      </c>
      <c r="EZT23">
        <v>27.65</v>
      </c>
      <c r="EZU23">
        <v>27.65</v>
      </c>
      <c r="EZV23">
        <v>27.7</v>
      </c>
      <c r="EZW23">
        <v>27.7</v>
      </c>
      <c r="EZX23">
        <v>27.7</v>
      </c>
      <c r="EZY23">
        <v>27.8</v>
      </c>
      <c r="EZZ23">
        <v>27.8</v>
      </c>
      <c r="FAA23">
        <v>27.85</v>
      </c>
      <c r="FAB23">
        <v>27.85</v>
      </c>
      <c r="FAC23">
        <v>27.9</v>
      </c>
      <c r="FAD23">
        <v>28</v>
      </c>
      <c r="FAE23">
        <v>28.05</v>
      </c>
      <c r="FAF23">
        <v>28.05</v>
      </c>
      <c r="FAG23">
        <v>28.1</v>
      </c>
      <c r="FAH23">
        <v>28.15</v>
      </c>
      <c r="FAI23">
        <v>28.2</v>
      </c>
      <c r="FAJ23">
        <v>28.3</v>
      </c>
      <c r="FAK23">
        <v>28.4</v>
      </c>
      <c r="FAL23">
        <v>28.45</v>
      </c>
      <c r="FAM23">
        <v>28.45</v>
      </c>
      <c r="FAN23">
        <v>28.5</v>
      </c>
      <c r="FAO23">
        <v>28.55</v>
      </c>
      <c r="FAP23">
        <v>28.55</v>
      </c>
      <c r="FAQ23">
        <v>28.6</v>
      </c>
      <c r="FAR23">
        <v>28.6</v>
      </c>
      <c r="FAS23">
        <v>28.65</v>
      </c>
      <c r="FAT23">
        <v>28.79</v>
      </c>
      <c r="FAU23">
        <v>28.85</v>
      </c>
      <c r="FAV23">
        <v>28.95</v>
      </c>
      <c r="FAW23">
        <v>28.95</v>
      </c>
      <c r="FAX23">
        <v>29</v>
      </c>
      <c r="FAY23">
        <v>29.05</v>
      </c>
      <c r="FAZ23">
        <v>29.05</v>
      </c>
      <c r="FBA23">
        <v>29.1</v>
      </c>
      <c r="FBB23">
        <v>29.1</v>
      </c>
      <c r="FBC23">
        <v>29.1</v>
      </c>
      <c r="FBD23">
        <v>29.1</v>
      </c>
      <c r="FBE23">
        <v>29.2</v>
      </c>
      <c r="FBF23">
        <v>29.25</v>
      </c>
      <c r="FBG23">
        <v>29.3</v>
      </c>
      <c r="FBH23">
        <v>29.4</v>
      </c>
      <c r="FBI23">
        <v>29.6</v>
      </c>
      <c r="FBJ23">
        <v>29.6</v>
      </c>
      <c r="FBK23">
        <v>29.7</v>
      </c>
      <c r="FBL23">
        <v>29.7</v>
      </c>
      <c r="FBM23">
        <v>29.75</v>
      </c>
      <c r="FBN23">
        <v>29.8</v>
      </c>
      <c r="FBO23">
        <v>29.89</v>
      </c>
      <c r="FBP23">
        <v>29.9</v>
      </c>
      <c r="FBQ23">
        <v>29.9</v>
      </c>
      <c r="FBR23">
        <v>29.95</v>
      </c>
      <c r="FBS23">
        <v>30</v>
      </c>
      <c r="FBT23">
        <v>30</v>
      </c>
      <c r="FBU23">
        <v>30.15</v>
      </c>
      <c r="FBV23">
        <v>30.2</v>
      </c>
      <c r="FBW23">
        <v>30.2</v>
      </c>
      <c r="FBX23">
        <v>30.25</v>
      </c>
      <c r="FBY23">
        <v>30.35</v>
      </c>
      <c r="FBZ23">
        <v>30.35</v>
      </c>
      <c r="FCA23">
        <v>30.45</v>
      </c>
      <c r="FCB23">
        <v>30.5</v>
      </c>
      <c r="FCC23">
        <v>30.55</v>
      </c>
      <c r="FCD23">
        <v>30.55</v>
      </c>
      <c r="FCE23">
        <v>30.6</v>
      </c>
      <c r="FCF23">
        <v>30.75</v>
      </c>
      <c r="FCG23">
        <v>30.75</v>
      </c>
      <c r="FCH23">
        <v>30.85</v>
      </c>
      <c r="FCI23">
        <v>30.85</v>
      </c>
      <c r="FCJ23">
        <v>30.9</v>
      </c>
      <c r="FCK23">
        <v>31</v>
      </c>
      <c r="FCL23">
        <v>31.15</v>
      </c>
      <c r="FCM23">
        <v>31.15</v>
      </c>
      <c r="FCN23">
        <v>31.25</v>
      </c>
      <c r="FCO23">
        <v>31.3</v>
      </c>
      <c r="FCP23">
        <v>31.3</v>
      </c>
      <c r="FCQ23">
        <v>31.3</v>
      </c>
      <c r="FCR23">
        <v>31.4</v>
      </c>
      <c r="FCS23">
        <v>31.5</v>
      </c>
      <c r="FCT23">
        <v>31.5</v>
      </c>
      <c r="FCU23">
        <v>31.6</v>
      </c>
      <c r="FCV23">
        <v>31.6</v>
      </c>
      <c r="FCW23">
        <v>31.65</v>
      </c>
      <c r="FCX23">
        <v>31.65</v>
      </c>
      <c r="FCY23">
        <v>31.75</v>
      </c>
      <c r="FCZ23">
        <v>31.8</v>
      </c>
      <c r="FDA23">
        <v>31.85</v>
      </c>
      <c r="FDB23">
        <v>31.95</v>
      </c>
      <c r="FDC23">
        <v>32</v>
      </c>
      <c r="FDD23">
        <v>32.049999999999997</v>
      </c>
      <c r="FDE23">
        <v>32.049999999999997</v>
      </c>
      <c r="FDF23">
        <v>32.15</v>
      </c>
      <c r="FDG23">
        <v>32.15</v>
      </c>
      <c r="FDH23">
        <v>32.15</v>
      </c>
      <c r="FDI23">
        <v>32.200000000000003</v>
      </c>
      <c r="FDJ23">
        <v>32.25</v>
      </c>
      <c r="FDK23">
        <v>32.25</v>
      </c>
      <c r="FDL23">
        <v>32.35</v>
      </c>
      <c r="FDM23">
        <v>32.35</v>
      </c>
      <c r="FDN23">
        <v>32.4</v>
      </c>
      <c r="FDO23">
        <v>32.5</v>
      </c>
      <c r="FDP23">
        <v>32.549999999999997</v>
      </c>
      <c r="FDQ23">
        <v>32.6</v>
      </c>
      <c r="FDR23">
        <v>32.700000000000003</v>
      </c>
      <c r="FDS23">
        <v>32.75</v>
      </c>
      <c r="FDT23">
        <v>32.950000000000003</v>
      </c>
      <c r="FDU23">
        <v>32.99</v>
      </c>
      <c r="FDV23">
        <v>33</v>
      </c>
      <c r="FDW23">
        <v>33.049999999999997</v>
      </c>
      <c r="FDX23">
        <v>33.049999999999997</v>
      </c>
      <c r="FDY23">
        <v>33.049999999999997</v>
      </c>
      <c r="FDZ23">
        <v>33.15</v>
      </c>
      <c r="FEA23">
        <v>33.200000000000003</v>
      </c>
      <c r="FEB23">
        <v>33.25</v>
      </c>
      <c r="FEC23">
        <v>33.299999999999997</v>
      </c>
      <c r="FED23">
        <v>33.4</v>
      </c>
      <c r="FEE23">
        <v>33.450000000000003</v>
      </c>
      <c r="FEF23">
        <v>33.5</v>
      </c>
      <c r="FEG23">
        <v>33.5</v>
      </c>
      <c r="FEH23">
        <v>33.549999999999997</v>
      </c>
      <c r="FEI23">
        <v>33.549999999999997</v>
      </c>
      <c r="FEJ23">
        <v>33.549999999999997</v>
      </c>
      <c r="FEK23">
        <v>33.6</v>
      </c>
      <c r="FEL23">
        <v>33.75</v>
      </c>
      <c r="FEM23">
        <v>33.85</v>
      </c>
      <c r="FEN23">
        <v>34</v>
      </c>
      <c r="FEO23">
        <v>34</v>
      </c>
      <c r="FEP23">
        <v>34.049999999999997</v>
      </c>
      <c r="FEQ23">
        <v>34.15</v>
      </c>
      <c r="FER23">
        <v>34.25</v>
      </c>
      <c r="FES23">
        <v>34.25</v>
      </c>
      <c r="FET23">
        <v>34.299999999999997</v>
      </c>
      <c r="FEU23">
        <v>34.4</v>
      </c>
      <c r="FEV23">
        <v>34.5</v>
      </c>
      <c r="FEW23">
        <v>34.6</v>
      </c>
      <c r="FEX23">
        <v>34.65</v>
      </c>
      <c r="FEY23">
        <v>34.700000000000003</v>
      </c>
      <c r="FEZ23">
        <v>34.799999999999997</v>
      </c>
      <c r="FFA23">
        <v>34.85</v>
      </c>
      <c r="FFB23">
        <v>34.9</v>
      </c>
      <c r="FFC23">
        <v>34.950000000000003</v>
      </c>
      <c r="FFD23">
        <v>35.1</v>
      </c>
      <c r="FFE23">
        <v>35.4</v>
      </c>
      <c r="FFF23">
        <v>35.450000000000003</v>
      </c>
      <c r="FFG23">
        <v>35.65</v>
      </c>
      <c r="FFH23">
        <v>35.65</v>
      </c>
      <c r="FFI23">
        <v>35.799999999999997</v>
      </c>
      <c r="FFJ23">
        <v>35.85</v>
      </c>
      <c r="FFK23">
        <v>35.9</v>
      </c>
      <c r="FFL23">
        <v>35.950000000000003</v>
      </c>
      <c r="FFM23">
        <v>36.049999999999997</v>
      </c>
      <c r="FFN23">
        <v>36.15</v>
      </c>
      <c r="FFO23">
        <v>36.200000000000003</v>
      </c>
      <c r="FFP23">
        <v>36.25</v>
      </c>
      <c r="FFQ23">
        <v>36.299999999999997</v>
      </c>
      <c r="FFR23">
        <v>36.35</v>
      </c>
      <c r="FFS23">
        <v>36.35</v>
      </c>
      <c r="FFT23">
        <v>36.35</v>
      </c>
      <c r="FFU23">
        <v>36.4</v>
      </c>
      <c r="FFV23">
        <v>36.450000000000003</v>
      </c>
      <c r="FFW23">
        <v>36.549999999999997</v>
      </c>
      <c r="FFX23">
        <v>36.549999999999997</v>
      </c>
      <c r="FFY23">
        <v>36.65</v>
      </c>
      <c r="FFZ23">
        <v>36.65</v>
      </c>
      <c r="FGA23">
        <v>36.65</v>
      </c>
      <c r="FGB23">
        <v>36.659999999999997</v>
      </c>
      <c r="FGC23">
        <v>36.799999999999997</v>
      </c>
      <c r="FGD23">
        <v>36.950000000000003</v>
      </c>
      <c r="FGE23">
        <v>37</v>
      </c>
      <c r="FGF23">
        <v>37.049999999999997</v>
      </c>
      <c r="FGG23">
        <v>37.049999999999997</v>
      </c>
      <c r="FGH23">
        <v>37.049999999999997</v>
      </c>
      <c r="FGI23">
        <v>37.1</v>
      </c>
      <c r="FGJ23">
        <v>37.25</v>
      </c>
      <c r="FGK23">
        <v>37.25</v>
      </c>
      <c r="FGL23">
        <v>37.35</v>
      </c>
      <c r="FGM23">
        <v>37.35</v>
      </c>
      <c r="FGN23">
        <v>37.36</v>
      </c>
      <c r="FGO23">
        <v>37.4</v>
      </c>
      <c r="FGP23">
        <v>37.4</v>
      </c>
      <c r="FGQ23">
        <v>37.5</v>
      </c>
      <c r="FGR23">
        <v>37.6</v>
      </c>
      <c r="FGS23">
        <v>37.6</v>
      </c>
      <c r="FGT23">
        <v>37.6</v>
      </c>
      <c r="FGU23">
        <v>37.65</v>
      </c>
      <c r="FGV23">
        <v>37.65</v>
      </c>
      <c r="FGW23">
        <v>37.700000000000003</v>
      </c>
      <c r="FGX23">
        <v>37.799999999999997</v>
      </c>
      <c r="FGY23">
        <v>37.799999999999997</v>
      </c>
      <c r="FGZ23">
        <v>37.9</v>
      </c>
      <c r="FHA23">
        <v>38.049999999999997</v>
      </c>
      <c r="FHB23">
        <v>38.049999999999997</v>
      </c>
      <c r="FHC23">
        <v>38.1</v>
      </c>
      <c r="FHD23">
        <v>38.15</v>
      </c>
      <c r="FHE23">
        <v>38.200000000000003</v>
      </c>
      <c r="FHF23">
        <v>38.200000000000003</v>
      </c>
      <c r="FHG23">
        <v>38.35</v>
      </c>
      <c r="FHH23">
        <v>38.4</v>
      </c>
      <c r="FHI23">
        <v>38.4</v>
      </c>
      <c r="FHJ23">
        <v>38.6</v>
      </c>
      <c r="FHK23">
        <v>38.6</v>
      </c>
      <c r="FHL23">
        <v>38.65</v>
      </c>
      <c r="FHM23">
        <v>38.65</v>
      </c>
      <c r="FHN23">
        <v>38.700000000000003</v>
      </c>
      <c r="FHO23">
        <v>38.75</v>
      </c>
      <c r="FHP23">
        <v>38.75</v>
      </c>
      <c r="FHQ23">
        <v>39</v>
      </c>
      <c r="FHR23">
        <v>39</v>
      </c>
      <c r="FHS23">
        <v>39.049999999999997</v>
      </c>
      <c r="FHT23">
        <v>39.049999999999997</v>
      </c>
      <c r="FHU23">
        <v>39.200000000000003</v>
      </c>
      <c r="FHV23">
        <v>39.25</v>
      </c>
      <c r="FHW23">
        <v>39.25</v>
      </c>
      <c r="FHX23">
        <v>39.25</v>
      </c>
      <c r="FHY23">
        <v>39.25</v>
      </c>
      <c r="FHZ23">
        <v>39.299999999999997</v>
      </c>
      <c r="FIA23">
        <v>39.35</v>
      </c>
      <c r="FIB23">
        <v>39.549999999999997</v>
      </c>
      <c r="FIC23">
        <v>39.6</v>
      </c>
      <c r="FID23">
        <v>39.799999999999997</v>
      </c>
      <c r="FIE23">
        <v>39.799999999999997</v>
      </c>
      <c r="FIF23">
        <v>39.799999999999997</v>
      </c>
      <c r="FIG23">
        <v>39.89</v>
      </c>
      <c r="FIH23">
        <v>39.9</v>
      </c>
      <c r="FII23">
        <v>39.950000000000003</v>
      </c>
      <c r="FIJ23">
        <v>40</v>
      </c>
      <c r="FIK23">
        <v>40.049999999999997</v>
      </c>
      <c r="FIL23">
        <v>40.1</v>
      </c>
      <c r="FIM23">
        <v>40.1</v>
      </c>
      <c r="FIN23">
        <v>40.19</v>
      </c>
      <c r="FIO23">
        <v>40.450000000000003</v>
      </c>
      <c r="FIP23">
        <v>40.450000000000003</v>
      </c>
      <c r="FIQ23">
        <v>40.5</v>
      </c>
      <c r="FIR23">
        <v>40.5</v>
      </c>
      <c r="FIS23">
        <v>40.549999999999997</v>
      </c>
      <c r="FIT23">
        <v>40.6</v>
      </c>
      <c r="FIU23">
        <v>40.700000000000003</v>
      </c>
      <c r="FIV23">
        <v>40.75</v>
      </c>
      <c r="FIW23">
        <v>40.75</v>
      </c>
      <c r="FIX23">
        <v>40.85</v>
      </c>
      <c r="FIY23">
        <v>40.9</v>
      </c>
      <c r="FIZ23">
        <v>41</v>
      </c>
      <c r="FJA23">
        <v>41.05</v>
      </c>
      <c r="FJB23">
        <v>41.1</v>
      </c>
      <c r="FJC23">
        <v>41.3</v>
      </c>
      <c r="FJD23">
        <v>41.4</v>
      </c>
      <c r="FJE23">
        <v>41.49</v>
      </c>
      <c r="FJF23">
        <v>41.59</v>
      </c>
      <c r="FJG23">
        <v>41.6</v>
      </c>
      <c r="FJH23">
        <v>41.7</v>
      </c>
      <c r="FJI23">
        <v>41.7</v>
      </c>
      <c r="FJJ23">
        <v>41.7</v>
      </c>
      <c r="FJK23">
        <v>41.7</v>
      </c>
      <c r="FJL23">
        <v>41.75</v>
      </c>
      <c r="FJM23">
        <v>41.75</v>
      </c>
      <c r="FJN23">
        <v>41.75</v>
      </c>
      <c r="FJO23">
        <v>41.9</v>
      </c>
      <c r="FJP23">
        <v>41.95</v>
      </c>
      <c r="FJQ23">
        <v>42</v>
      </c>
      <c r="FJR23">
        <v>42.15</v>
      </c>
      <c r="FJS23">
        <v>42.25</v>
      </c>
      <c r="FJT23">
        <v>42.35</v>
      </c>
      <c r="FJU23">
        <v>42.4</v>
      </c>
      <c r="FJV23">
        <v>42.4</v>
      </c>
      <c r="FJW23">
        <v>42.45</v>
      </c>
      <c r="FJX23">
        <v>42.45</v>
      </c>
      <c r="FJY23">
        <v>42.5</v>
      </c>
      <c r="FJZ23">
        <v>42.5</v>
      </c>
      <c r="FKA23">
        <v>42.55</v>
      </c>
      <c r="FKB23">
        <v>42.55</v>
      </c>
      <c r="FKC23">
        <v>42.6</v>
      </c>
      <c r="FKD23">
        <v>42.65</v>
      </c>
      <c r="FKE23">
        <v>42.8</v>
      </c>
      <c r="FKF23">
        <v>42.99</v>
      </c>
      <c r="FKG23">
        <v>43</v>
      </c>
      <c r="FKH23">
        <v>43</v>
      </c>
      <c r="FKI23">
        <v>43.09</v>
      </c>
      <c r="FKJ23">
        <v>43.15</v>
      </c>
      <c r="FKK23">
        <v>43.25</v>
      </c>
      <c r="FKL23">
        <v>43.3</v>
      </c>
      <c r="FKM23">
        <v>43.45</v>
      </c>
      <c r="FKN23">
        <v>43.6</v>
      </c>
      <c r="FKO23">
        <v>43.65</v>
      </c>
      <c r="FKP23">
        <v>43.75</v>
      </c>
      <c r="FKQ23">
        <v>43.9</v>
      </c>
      <c r="FKR23">
        <v>43.95</v>
      </c>
      <c r="FKS23">
        <v>43.95</v>
      </c>
      <c r="FKT23">
        <v>44</v>
      </c>
      <c r="FKU23">
        <v>44.05</v>
      </c>
      <c r="FKV23">
        <v>44.1</v>
      </c>
      <c r="FKW23">
        <v>44.15</v>
      </c>
      <c r="FKX23">
        <v>44.15</v>
      </c>
      <c r="FKY23">
        <v>44.25</v>
      </c>
      <c r="FKZ23">
        <v>44.25</v>
      </c>
      <c r="FLA23">
        <v>44.45</v>
      </c>
      <c r="FLB23">
        <v>44.45</v>
      </c>
      <c r="FLC23">
        <v>44.5</v>
      </c>
      <c r="FLD23">
        <v>44.65</v>
      </c>
      <c r="FLE23">
        <v>44.7</v>
      </c>
      <c r="FLF23">
        <v>44.7</v>
      </c>
      <c r="FLG23">
        <v>44.7</v>
      </c>
      <c r="FLH23">
        <v>44.95</v>
      </c>
      <c r="FLI23">
        <v>44.95</v>
      </c>
      <c r="FLJ23">
        <v>45.25</v>
      </c>
      <c r="FLK23">
        <v>45.25</v>
      </c>
      <c r="FLL23">
        <v>45.35</v>
      </c>
      <c r="FLM23">
        <v>45.45</v>
      </c>
      <c r="FLN23">
        <v>45.5</v>
      </c>
      <c r="FLO23">
        <v>45.75</v>
      </c>
      <c r="FLP23">
        <v>45.8</v>
      </c>
      <c r="FLQ23">
        <v>46</v>
      </c>
      <c r="FLR23">
        <v>46.05</v>
      </c>
      <c r="FLS23">
        <v>46.05</v>
      </c>
      <c r="FLT23">
        <v>46.25</v>
      </c>
      <c r="FLU23">
        <v>46.4</v>
      </c>
      <c r="FLV23">
        <v>46.4</v>
      </c>
      <c r="FLW23">
        <v>46.55</v>
      </c>
      <c r="FLX23">
        <v>46.65</v>
      </c>
      <c r="FLY23">
        <v>46.65</v>
      </c>
      <c r="FLZ23">
        <v>46.7</v>
      </c>
      <c r="FMA23">
        <v>46.7</v>
      </c>
      <c r="FMB23">
        <v>46.7</v>
      </c>
      <c r="FMC23">
        <v>46.75</v>
      </c>
      <c r="FMD23">
        <v>46.95</v>
      </c>
      <c r="FME23">
        <v>46.95</v>
      </c>
      <c r="FMF23">
        <v>47.1</v>
      </c>
      <c r="FMG23">
        <v>47.2</v>
      </c>
      <c r="FMH23">
        <v>47.25</v>
      </c>
      <c r="FMI23">
        <v>47.45</v>
      </c>
      <c r="FMJ23">
        <v>47.5</v>
      </c>
      <c r="FMK23">
        <v>47.55</v>
      </c>
      <c r="FML23">
        <v>47.55</v>
      </c>
      <c r="FMM23">
        <v>47.75</v>
      </c>
      <c r="FMN23">
        <v>47.75</v>
      </c>
      <c r="FMO23">
        <v>47.8</v>
      </c>
      <c r="FMP23">
        <v>47.85</v>
      </c>
      <c r="FMQ23">
        <v>47.85</v>
      </c>
      <c r="FMR23">
        <v>47.85</v>
      </c>
      <c r="FMS23">
        <v>47.85</v>
      </c>
      <c r="FMT23">
        <v>47.95</v>
      </c>
      <c r="FMU23">
        <v>48</v>
      </c>
      <c r="FMV23">
        <v>48.2</v>
      </c>
      <c r="FMW23">
        <v>48.59</v>
      </c>
      <c r="FMX23">
        <v>48.85</v>
      </c>
      <c r="FMY23">
        <v>48.85</v>
      </c>
      <c r="FMZ23">
        <v>48.9</v>
      </c>
      <c r="FNA23">
        <v>48.94</v>
      </c>
      <c r="FNB23">
        <v>48.95</v>
      </c>
      <c r="FNC23">
        <v>49.2</v>
      </c>
      <c r="FND23">
        <v>49.2</v>
      </c>
      <c r="FNE23">
        <v>49.3</v>
      </c>
      <c r="FNF23">
        <v>49.4</v>
      </c>
      <c r="FNG23">
        <v>49.6</v>
      </c>
      <c r="FNH23">
        <v>49.6</v>
      </c>
      <c r="FNI23">
        <v>49.75</v>
      </c>
      <c r="FNJ23">
        <v>49.75</v>
      </c>
      <c r="FNK23">
        <v>49.79</v>
      </c>
      <c r="FNL23">
        <v>49.85</v>
      </c>
      <c r="FNM23">
        <v>50</v>
      </c>
      <c r="FNN23">
        <v>50.05</v>
      </c>
      <c r="FNO23">
        <v>50.1</v>
      </c>
      <c r="FNP23">
        <v>50.2</v>
      </c>
      <c r="FNQ23">
        <v>50.2</v>
      </c>
      <c r="FNR23">
        <v>50.3</v>
      </c>
      <c r="FNS23">
        <v>50.35</v>
      </c>
      <c r="FNT23">
        <v>50.4</v>
      </c>
      <c r="FNU23">
        <v>50.45</v>
      </c>
      <c r="FNV23">
        <v>50.55</v>
      </c>
      <c r="FNW23">
        <v>50.8</v>
      </c>
      <c r="FNX23">
        <v>50.8</v>
      </c>
      <c r="FNY23">
        <v>50.8</v>
      </c>
      <c r="FNZ23">
        <v>50.9</v>
      </c>
      <c r="FOA23">
        <v>51.1</v>
      </c>
      <c r="FOB23">
        <v>51.15</v>
      </c>
      <c r="FOC23">
        <v>51.25</v>
      </c>
      <c r="FOD23">
        <v>51.3</v>
      </c>
      <c r="FOE23">
        <v>51.39</v>
      </c>
      <c r="FOF23">
        <v>51.4</v>
      </c>
      <c r="FOG23">
        <v>51.4</v>
      </c>
      <c r="FOH23">
        <v>51.45</v>
      </c>
      <c r="FOI23">
        <v>51.6</v>
      </c>
      <c r="FOJ23">
        <v>51.75</v>
      </c>
      <c r="FOK23">
        <v>51.95</v>
      </c>
      <c r="FOL23">
        <v>52.05</v>
      </c>
      <c r="FOM23">
        <v>52.2</v>
      </c>
      <c r="FON23">
        <v>52.2</v>
      </c>
      <c r="FOO23">
        <v>52.4</v>
      </c>
      <c r="FOP23">
        <v>52.45</v>
      </c>
      <c r="FOQ23">
        <v>52.45</v>
      </c>
      <c r="FOR23">
        <v>52.55</v>
      </c>
      <c r="FOS23">
        <v>52.7</v>
      </c>
      <c r="FOT23">
        <v>52.75</v>
      </c>
      <c r="FOU23">
        <v>53.25</v>
      </c>
      <c r="FOV23">
        <v>53.3</v>
      </c>
      <c r="FOW23">
        <v>53.4</v>
      </c>
      <c r="FOX23">
        <v>53.45</v>
      </c>
      <c r="FOY23">
        <v>53.6</v>
      </c>
      <c r="FOZ23">
        <v>53.65</v>
      </c>
      <c r="FPA23">
        <v>53.65</v>
      </c>
      <c r="FPB23">
        <v>53.7</v>
      </c>
      <c r="FPC23">
        <v>53.8</v>
      </c>
      <c r="FPD23">
        <v>53.95</v>
      </c>
      <c r="FPE23">
        <v>54</v>
      </c>
      <c r="FPF23">
        <v>54</v>
      </c>
      <c r="FPG23">
        <v>54.05</v>
      </c>
      <c r="FPH23">
        <v>54.25</v>
      </c>
      <c r="FPI23">
        <v>54.3</v>
      </c>
      <c r="FPJ23">
        <v>54.3</v>
      </c>
      <c r="FPK23">
        <v>54.35</v>
      </c>
      <c r="FPL23">
        <v>54.54</v>
      </c>
      <c r="FPM23">
        <v>54.55</v>
      </c>
      <c r="FPN23">
        <v>54.65</v>
      </c>
      <c r="FPO23">
        <v>54.7</v>
      </c>
      <c r="FPP23">
        <v>54.75</v>
      </c>
      <c r="FPQ23">
        <v>54.8</v>
      </c>
      <c r="FPR23">
        <v>54.95</v>
      </c>
      <c r="FPS23">
        <v>55.05</v>
      </c>
      <c r="FPT23">
        <v>55.21</v>
      </c>
      <c r="FPU23">
        <v>55.55</v>
      </c>
      <c r="FPV23">
        <v>55.59</v>
      </c>
      <c r="FPW23">
        <v>55.65</v>
      </c>
      <c r="FPX23">
        <v>55.7</v>
      </c>
      <c r="FPY23">
        <v>55.8</v>
      </c>
      <c r="FPZ23">
        <v>55.8</v>
      </c>
      <c r="FQA23">
        <v>55.95</v>
      </c>
      <c r="FQB23">
        <v>56.05</v>
      </c>
      <c r="FQC23">
        <v>56.1</v>
      </c>
      <c r="FQD23">
        <v>56.35</v>
      </c>
      <c r="FQE23">
        <v>56.4</v>
      </c>
      <c r="FQF23">
        <v>56.55</v>
      </c>
      <c r="FQG23">
        <v>56.55</v>
      </c>
      <c r="FQH23">
        <v>56.65</v>
      </c>
      <c r="FQI23">
        <v>57.1</v>
      </c>
      <c r="FQJ23">
        <v>57.55</v>
      </c>
      <c r="FQK23">
        <v>57.65</v>
      </c>
      <c r="FQL23">
        <v>57.75</v>
      </c>
      <c r="FQM23">
        <v>57.75</v>
      </c>
      <c r="FQN23">
        <v>58</v>
      </c>
      <c r="FQO23">
        <v>58.2</v>
      </c>
      <c r="FQP23">
        <v>58.4</v>
      </c>
      <c r="FQQ23">
        <v>58.7</v>
      </c>
      <c r="FQR23">
        <v>58.95</v>
      </c>
      <c r="FQS23">
        <v>59.1</v>
      </c>
      <c r="FQT23">
        <v>59.15</v>
      </c>
      <c r="FQU23">
        <v>59.4</v>
      </c>
      <c r="FQV23">
        <v>59.55</v>
      </c>
      <c r="FQW23">
        <v>59.7</v>
      </c>
      <c r="FQX23">
        <v>59.8</v>
      </c>
      <c r="FQY23">
        <v>59.8</v>
      </c>
      <c r="FQZ23">
        <v>59.9</v>
      </c>
      <c r="FRA23">
        <v>59.9</v>
      </c>
      <c r="FRB23">
        <v>59.96</v>
      </c>
      <c r="FRC23">
        <v>60.25</v>
      </c>
      <c r="FRD23">
        <v>60.55</v>
      </c>
      <c r="FRE23">
        <v>60.7</v>
      </c>
      <c r="FRF23">
        <v>60.95</v>
      </c>
      <c r="FRG23">
        <v>61</v>
      </c>
      <c r="FRH23">
        <v>61.3</v>
      </c>
      <c r="FRI23">
        <v>61.3</v>
      </c>
      <c r="FRJ23">
        <v>61.35</v>
      </c>
      <c r="FRK23">
        <v>61.4</v>
      </c>
      <c r="FRL23">
        <v>61.44</v>
      </c>
      <c r="FRM23">
        <v>61.6</v>
      </c>
      <c r="FRN23">
        <v>61.65</v>
      </c>
      <c r="FRO23">
        <v>61.65</v>
      </c>
      <c r="FRP23">
        <v>61.9</v>
      </c>
      <c r="FRQ23">
        <v>62</v>
      </c>
      <c r="FRR23">
        <v>62.14</v>
      </c>
      <c r="FRS23">
        <v>62.25</v>
      </c>
      <c r="FRT23">
        <v>62.65</v>
      </c>
      <c r="FRU23">
        <v>62.7</v>
      </c>
      <c r="FRV23">
        <v>62.8</v>
      </c>
      <c r="FRW23">
        <v>63.1</v>
      </c>
      <c r="FRX23">
        <v>63.14</v>
      </c>
      <c r="FRY23">
        <v>63.15</v>
      </c>
      <c r="FRZ23">
        <v>63.25</v>
      </c>
      <c r="FSA23">
        <v>63.25</v>
      </c>
      <c r="FSB23">
        <v>63.65</v>
      </c>
      <c r="FSC23">
        <v>64.150000000000006</v>
      </c>
      <c r="FSD23">
        <v>64.150000000000006</v>
      </c>
      <c r="FSE23">
        <v>64.349999999999994</v>
      </c>
      <c r="FSF23">
        <v>64.599999999999994</v>
      </c>
      <c r="FSG23">
        <v>64.7</v>
      </c>
      <c r="FSH23">
        <v>64.75</v>
      </c>
      <c r="FSI23">
        <v>64.900000000000006</v>
      </c>
      <c r="FSJ23">
        <v>65</v>
      </c>
      <c r="FSK23">
        <v>65.239999999999995</v>
      </c>
      <c r="FSL23">
        <v>65.650000000000006</v>
      </c>
      <c r="FSM23">
        <v>65.75</v>
      </c>
      <c r="FSN23">
        <v>65.95</v>
      </c>
      <c r="FSO23">
        <v>66.05</v>
      </c>
      <c r="FSP23">
        <v>66.099999999999994</v>
      </c>
      <c r="FSQ23">
        <v>66.150000000000006</v>
      </c>
      <c r="FSR23">
        <v>66.400000000000006</v>
      </c>
      <c r="FSS23">
        <v>66.599999999999994</v>
      </c>
      <c r="FST23">
        <v>66.849999999999994</v>
      </c>
      <c r="FSU23">
        <v>66.900000000000006</v>
      </c>
      <c r="FSV23">
        <v>67.59</v>
      </c>
      <c r="FSW23">
        <v>67.75</v>
      </c>
      <c r="FSX23">
        <v>67.87</v>
      </c>
      <c r="FSY23">
        <v>68.150000000000006</v>
      </c>
      <c r="FSZ23">
        <v>68.19</v>
      </c>
      <c r="FTA23">
        <v>68.2</v>
      </c>
      <c r="FTB23">
        <v>68.239999999999995</v>
      </c>
      <c r="FTC23">
        <v>68.3</v>
      </c>
      <c r="FTD23">
        <v>68.599999999999994</v>
      </c>
      <c r="FTE23">
        <v>68.650000000000006</v>
      </c>
      <c r="FTF23">
        <v>68.75</v>
      </c>
      <c r="FTG23">
        <v>68.8</v>
      </c>
      <c r="FTH23">
        <v>68.89</v>
      </c>
      <c r="FTI23">
        <v>68.95</v>
      </c>
      <c r="FTJ23">
        <v>69.099999999999994</v>
      </c>
      <c r="FTK23">
        <v>69.650000000000006</v>
      </c>
      <c r="FTL23">
        <v>69.8</v>
      </c>
      <c r="FTM23">
        <v>69.84</v>
      </c>
      <c r="FTN23">
        <v>69.849999999999994</v>
      </c>
      <c r="FTO23">
        <v>69.900000000000006</v>
      </c>
      <c r="FTP23">
        <v>69.900000000000006</v>
      </c>
      <c r="FTQ23">
        <v>70</v>
      </c>
      <c r="FTR23">
        <v>70</v>
      </c>
      <c r="FTS23">
        <v>70.099999999999994</v>
      </c>
      <c r="FTT23">
        <v>70.150000000000006</v>
      </c>
      <c r="FTU23">
        <v>70.150000000000006</v>
      </c>
      <c r="FTV23">
        <v>70.400000000000006</v>
      </c>
      <c r="FTW23">
        <v>70.400000000000006</v>
      </c>
      <c r="FTX23">
        <v>70.45</v>
      </c>
      <c r="FTY23">
        <v>70.5</v>
      </c>
      <c r="FTZ23">
        <v>70.8</v>
      </c>
      <c r="FUA23">
        <v>70.8</v>
      </c>
      <c r="FUB23">
        <v>70.849999999999994</v>
      </c>
      <c r="FUC23">
        <v>71.05</v>
      </c>
      <c r="FUD23">
        <v>71.099999999999994</v>
      </c>
      <c r="FUE23">
        <v>71.099999999999994</v>
      </c>
      <c r="FUF23">
        <v>71.2</v>
      </c>
      <c r="FUG23">
        <v>71.25</v>
      </c>
      <c r="FUH23">
        <v>71.55</v>
      </c>
      <c r="FUI23">
        <v>71.650000000000006</v>
      </c>
      <c r="FUJ23">
        <v>71.7</v>
      </c>
      <c r="FUK23">
        <v>71.7</v>
      </c>
      <c r="FUL23">
        <v>71.849999999999994</v>
      </c>
      <c r="FUM23">
        <v>72.25</v>
      </c>
      <c r="FUN23">
        <v>72.25</v>
      </c>
      <c r="FUO23">
        <v>72.55</v>
      </c>
      <c r="FUP23">
        <v>72.7</v>
      </c>
      <c r="FUQ23">
        <v>72.8</v>
      </c>
      <c r="FUR23">
        <v>72.989999999999995</v>
      </c>
      <c r="FUS23">
        <v>73</v>
      </c>
      <c r="FUT23">
        <v>73.599999999999994</v>
      </c>
      <c r="FUU23">
        <v>73.75</v>
      </c>
      <c r="FUV23">
        <v>73.900000000000006</v>
      </c>
      <c r="FUW23">
        <v>74.099999999999994</v>
      </c>
      <c r="FUX23">
        <v>74.19</v>
      </c>
      <c r="FUY23">
        <v>74.209999999999994</v>
      </c>
      <c r="FUZ23">
        <v>74.25</v>
      </c>
      <c r="FVA23">
        <v>74.25</v>
      </c>
      <c r="FVB23">
        <v>74.349999999999994</v>
      </c>
      <c r="FVC23">
        <v>74.489999999999995</v>
      </c>
      <c r="FVD23">
        <v>74.7</v>
      </c>
      <c r="FVE23">
        <v>74.75</v>
      </c>
      <c r="FVF23">
        <v>74.900000000000006</v>
      </c>
      <c r="FVG23">
        <v>75</v>
      </c>
      <c r="FVH23">
        <v>75.25</v>
      </c>
      <c r="FVI23">
        <v>75.849999999999994</v>
      </c>
      <c r="FVJ23">
        <v>76.150000000000006</v>
      </c>
      <c r="FVK23">
        <v>76.349999999999994</v>
      </c>
      <c r="FVL23">
        <v>76.349999999999994</v>
      </c>
      <c r="FVM23">
        <v>76.5</v>
      </c>
      <c r="FVN23">
        <v>76.55</v>
      </c>
      <c r="FVO23">
        <v>76.64</v>
      </c>
      <c r="FVP23">
        <v>76.650000000000006</v>
      </c>
      <c r="FVQ23">
        <v>76.7</v>
      </c>
      <c r="FVR23">
        <v>76.849999999999994</v>
      </c>
      <c r="FVS23">
        <v>77.150000000000006</v>
      </c>
      <c r="FVT23">
        <v>77.2</v>
      </c>
      <c r="FVU23">
        <v>77.59</v>
      </c>
      <c r="FVV23">
        <v>77.650000000000006</v>
      </c>
      <c r="FVW23">
        <v>77.8</v>
      </c>
      <c r="FVX23">
        <v>78</v>
      </c>
      <c r="FVY23">
        <v>78.05</v>
      </c>
      <c r="FVZ23">
        <v>78.150000000000006</v>
      </c>
      <c r="FWB23">
        <v>78.239999999999995</v>
      </c>
      <c r="FWC23">
        <v>78.55</v>
      </c>
      <c r="FWD23">
        <v>78.84</v>
      </c>
      <c r="FWE23">
        <v>78.900000000000006</v>
      </c>
      <c r="FWF23">
        <v>79.290000000000006</v>
      </c>
      <c r="FWG23">
        <v>79.5</v>
      </c>
      <c r="FWH23">
        <v>79.55</v>
      </c>
      <c r="FWI23">
        <v>79.650000000000006</v>
      </c>
      <c r="FWJ23">
        <v>79.75</v>
      </c>
      <c r="FWK23">
        <v>79.95</v>
      </c>
      <c r="FWL23">
        <v>80.34</v>
      </c>
      <c r="FWM23">
        <v>80.400000000000006</v>
      </c>
      <c r="FWN23">
        <v>80.400000000000006</v>
      </c>
      <c r="FWO23">
        <v>80.55</v>
      </c>
      <c r="FWP23">
        <v>81.05</v>
      </c>
      <c r="FWQ23">
        <v>81.099999999999994</v>
      </c>
      <c r="FWR23">
        <v>81.3</v>
      </c>
      <c r="FWS23">
        <v>81.349999999999994</v>
      </c>
      <c r="FWT23">
        <v>81.5</v>
      </c>
      <c r="FWU23">
        <v>81.75</v>
      </c>
      <c r="FWV23">
        <v>81.849999999999994</v>
      </c>
      <c r="FWW23">
        <v>82.25</v>
      </c>
      <c r="FWX23">
        <v>82.6</v>
      </c>
      <c r="FWY23">
        <v>83.3</v>
      </c>
      <c r="FWZ23">
        <v>83.4</v>
      </c>
      <c r="FXA23">
        <v>83.6</v>
      </c>
      <c r="FXB23">
        <v>83.6</v>
      </c>
      <c r="FXC23">
        <v>83.65</v>
      </c>
      <c r="FXD23">
        <v>84.1</v>
      </c>
      <c r="FXE23">
        <v>84.15</v>
      </c>
      <c r="FXF23">
        <v>84.25</v>
      </c>
      <c r="FXG23">
        <v>84.44</v>
      </c>
      <c r="FXH23">
        <v>84.45</v>
      </c>
      <c r="FXI23">
        <v>84.5</v>
      </c>
      <c r="FXJ23">
        <v>84.54</v>
      </c>
      <c r="FXK23">
        <v>85.34</v>
      </c>
      <c r="FXL23">
        <v>85.45</v>
      </c>
      <c r="FXM23">
        <v>85.45</v>
      </c>
      <c r="FXN23">
        <v>85.55</v>
      </c>
      <c r="FXO23">
        <v>85.6</v>
      </c>
      <c r="FXP23">
        <v>85.6</v>
      </c>
      <c r="FXQ23">
        <v>85.8</v>
      </c>
      <c r="FXR23">
        <v>85.9</v>
      </c>
      <c r="FXS23">
        <v>86.25</v>
      </c>
      <c r="FXT23">
        <v>86.39</v>
      </c>
      <c r="FXU23">
        <v>86.45</v>
      </c>
      <c r="FXV23">
        <v>86.55</v>
      </c>
      <c r="FXW23">
        <v>86.6</v>
      </c>
      <c r="FXX23">
        <v>87.35</v>
      </c>
      <c r="FXY23">
        <v>87.6</v>
      </c>
      <c r="FXZ23">
        <v>87.85</v>
      </c>
      <c r="FYA23">
        <v>87.94</v>
      </c>
      <c r="FYB23">
        <v>88.29</v>
      </c>
      <c r="FYC23">
        <v>88.5</v>
      </c>
      <c r="FYD23">
        <v>88.6</v>
      </c>
      <c r="FYE23">
        <v>89.2</v>
      </c>
      <c r="FYF23">
        <v>89.24</v>
      </c>
      <c r="FYG23">
        <v>89.45</v>
      </c>
      <c r="FYH23">
        <v>89.45</v>
      </c>
      <c r="FYI23">
        <v>89.65</v>
      </c>
      <c r="FYJ23">
        <v>90.3</v>
      </c>
      <c r="FYK23">
        <v>90.4</v>
      </c>
      <c r="FYL23">
        <v>90.6</v>
      </c>
      <c r="FYM23">
        <v>90.75</v>
      </c>
      <c r="FYN23">
        <v>90.83</v>
      </c>
      <c r="FYO23">
        <v>91.1</v>
      </c>
      <c r="FYP23">
        <v>91.6</v>
      </c>
      <c r="FYQ23">
        <v>91.73</v>
      </c>
      <c r="FYR23">
        <v>91.75</v>
      </c>
      <c r="FYS23">
        <v>91.8</v>
      </c>
      <c r="FYT23">
        <v>91.8</v>
      </c>
      <c r="FYU23">
        <v>91.9</v>
      </c>
      <c r="FYV23">
        <v>92.1</v>
      </c>
      <c r="FYW23">
        <v>92.45</v>
      </c>
      <c r="FYX23">
        <v>92.54</v>
      </c>
      <c r="FYY23">
        <v>92.59</v>
      </c>
      <c r="FYZ23">
        <v>92.75</v>
      </c>
      <c r="FZA23">
        <v>92.75</v>
      </c>
      <c r="FZB23">
        <v>92.8</v>
      </c>
      <c r="FZC23">
        <v>93.1</v>
      </c>
      <c r="FZD23">
        <v>93.19</v>
      </c>
      <c r="FZE23">
        <v>93.19</v>
      </c>
      <c r="FZF23">
        <v>93.55</v>
      </c>
      <c r="FZG23">
        <v>93.95</v>
      </c>
      <c r="FZH23">
        <v>94.05</v>
      </c>
      <c r="FZI23">
        <v>94.59</v>
      </c>
      <c r="FZJ23">
        <v>94.65</v>
      </c>
      <c r="FZK23">
        <v>95.25</v>
      </c>
      <c r="FZL23">
        <v>95.5</v>
      </c>
      <c r="FZM23">
        <v>95.64</v>
      </c>
      <c r="FZN23">
        <v>96</v>
      </c>
      <c r="FZO23">
        <v>96.15</v>
      </c>
      <c r="FZP23">
        <v>96.19</v>
      </c>
      <c r="FZQ23">
        <v>96.2</v>
      </c>
      <c r="FZR23">
        <v>96.39</v>
      </c>
      <c r="FZS23">
        <v>96.45</v>
      </c>
      <c r="FZT23">
        <v>96.7</v>
      </c>
      <c r="FZU23">
        <v>96.79</v>
      </c>
      <c r="FZV23">
        <v>96.85</v>
      </c>
      <c r="FZW23">
        <v>97.3</v>
      </c>
      <c r="FZX23">
        <v>97.44</v>
      </c>
      <c r="FZY23">
        <v>97.6</v>
      </c>
      <c r="FZZ23">
        <v>97.9</v>
      </c>
      <c r="GAA23">
        <v>97.94</v>
      </c>
      <c r="GAB23">
        <v>98</v>
      </c>
      <c r="GAC23">
        <v>98.2</v>
      </c>
      <c r="GAD23">
        <v>98.31</v>
      </c>
      <c r="GAE23">
        <v>98.65</v>
      </c>
      <c r="GAF23">
        <v>98.85</v>
      </c>
      <c r="GAG23">
        <v>99.25</v>
      </c>
      <c r="GAH23">
        <v>99.3</v>
      </c>
      <c r="GAI23">
        <v>99.3</v>
      </c>
      <c r="GAJ23">
        <v>99.6</v>
      </c>
      <c r="GAK23">
        <v>100.04</v>
      </c>
      <c r="GAL23">
        <v>100.2</v>
      </c>
      <c r="GAM23">
        <v>100.25</v>
      </c>
      <c r="GAN23">
        <v>100.83</v>
      </c>
      <c r="GAO23">
        <v>100.85</v>
      </c>
      <c r="GAP23">
        <v>100.95</v>
      </c>
      <c r="GAQ23">
        <v>101.15</v>
      </c>
      <c r="GAR23">
        <v>101.15</v>
      </c>
      <c r="GAS23">
        <v>101.24</v>
      </c>
      <c r="GAT23">
        <v>101.55</v>
      </c>
      <c r="GAU23">
        <v>101.6</v>
      </c>
      <c r="GAV23">
        <v>102.05</v>
      </c>
      <c r="GAW23">
        <v>102.2</v>
      </c>
      <c r="GAX23">
        <v>102.5</v>
      </c>
      <c r="GAY23">
        <v>102.55</v>
      </c>
      <c r="GAZ23">
        <v>102.74</v>
      </c>
      <c r="GBA23">
        <v>103.15</v>
      </c>
      <c r="GBB23">
        <v>103.5</v>
      </c>
      <c r="GBC23">
        <v>103.65</v>
      </c>
      <c r="GBD23">
        <v>103.7</v>
      </c>
      <c r="GBE23">
        <v>103.9</v>
      </c>
      <c r="GBF23">
        <v>104.04</v>
      </c>
      <c r="GBG23">
        <v>104.1</v>
      </c>
      <c r="GBH23">
        <v>104.1</v>
      </c>
      <c r="GBI23">
        <v>104.15</v>
      </c>
      <c r="GBJ23">
        <v>104.25</v>
      </c>
      <c r="GBK23">
        <v>104.5</v>
      </c>
      <c r="GBL23">
        <v>104.7</v>
      </c>
      <c r="GBM23">
        <v>104.94</v>
      </c>
      <c r="GBN23">
        <v>105</v>
      </c>
      <c r="GBO23">
        <v>105.2</v>
      </c>
      <c r="GBP23">
        <v>105.5</v>
      </c>
      <c r="GBQ23">
        <v>105.6</v>
      </c>
      <c r="GBR23">
        <v>105.9</v>
      </c>
      <c r="GBS23">
        <v>105.9</v>
      </c>
      <c r="GBT23">
        <v>106.35</v>
      </c>
      <c r="GBU23">
        <v>106.44</v>
      </c>
      <c r="GBV23">
        <v>106.89</v>
      </c>
      <c r="GBW23">
        <v>107.35</v>
      </c>
      <c r="GBX23">
        <v>107.35</v>
      </c>
      <c r="GBY23">
        <v>108</v>
      </c>
      <c r="GBZ23">
        <v>108.1</v>
      </c>
      <c r="GCA23">
        <v>108.55</v>
      </c>
      <c r="GCB23">
        <v>109.15</v>
      </c>
      <c r="GCC23">
        <v>109.3</v>
      </c>
      <c r="GCD23">
        <v>109.4</v>
      </c>
      <c r="GCE23">
        <v>109.74</v>
      </c>
      <c r="GCF23">
        <v>109.85</v>
      </c>
      <c r="GCG23">
        <v>110.25</v>
      </c>
      <c r="GCH23">
        <v>110.35</v>
      </c>
      <c r="GCI23">
        <v>112.35</v>
      </c>
      <c r="GCJ23">
        <v>112.45</v>
      </c>
      <c r="GCK23">
        <v>112.9</v>
      </c>
      <c r="GCL23">
        <v>112.99</v>
      </c>
      <c r="GCM23">
        <v>113.14</v>
      </c>
      <c r="GCN23">
        <v>113.34</v>
      </c>
      <c r="GCO23">
        <v>113.6</v>
      </c>
      <c r="GCP23">
        <v>113.74</v>
      </c>
      <c r="GCQ23">
        <v>113.75</v>
      </c>
      <c r="GCR23">
        <v>113.8</v>
      </c>
      <c r="GCS23">
        <v>113.95</v>
      </c>
      <c r="GCT23">
        <v>113.95</v>
      </c>
      <c r="GCU23">
        <v>114.05</v>
      </c>
      <c r="GCV23">
        <v>114.19</v>
      </c>
      <c r="GCW23">
        <v>114.2</v>
      </c>
      <c r="GCX23">
        <v>114.4</v>
      </c>
      <c r="GCY23">
        <v>114.55</v>
      </c>
      <c r="GCZ23">
        <v>114.75</v>
      </c>
      <c r="GDA23">
        <v>115.04</v>
      </c>
      <c r="GDB23">
        <v>115.4</v>
      </c>
      <c r="GDC23">
        <v>116.05</v>
      </c>
      <c r="GDD23">
        <v>116.2</v>
      </c>
      <c r="GDE23">
        <v>116.4</v>
      </c>
      <c r="GDF23">
        <v>116.55</v>
      </c>
      <c r="GDG23">
        <v>117.75</v>
      </c>
      <c r="GDH23">
        <v>118.06</v>
      </c>
      <c r="GDI23">
        <v>118.24</v>
      </c>
      <c r="GDJ23">
        <v>118.34</v>
      </c>
      <c r="GDK23">
        <v>118.4</v>
      </c>
      <c r="GDL23">
        <v>119.15</v>
      </c>
      <c r="GDM23">
        <v>119.19</v>
      </c>
      <c r="GDN23">
        <v>119.2</v>
      </c>
      <c r="GDO23">
        <v>119.25</v>
      </c>
      <c r="GDP23">
        <v>119.29</v>
      </c>
      <c r="GDQ23">
        <v>119.33</v>
      </c>
      <c r="GDR23">
        <v>119.39</v>
      </c>
      <c r="GDS23">
        <v>119.45</v>
      </c>
      <c r="GDT23">
        <v>119.5</v>
      </c>
      <c r="GDU23">
        <v>119.61</v>
      </c>
      <c r="GDV23">
        <v>119.65</v>
      </c>
      <c r="GDW23">
        <v>119.8</v>
      </c>
      <c r="GDX23">
        <v>119.81</v>
      </c>
      <c r="GDY23">
        <v>119.94</v>
      </c>
      <c r="GDZ23">
        <v>119.95</v>
      </c>
      <c r="GEA23">
        <v>120.49</v>
      </c>
      <c r="GEB23">
        <v>121.1</v>
      </c>
      <c r="GEC23">
        <v>121.2</v>
      </c>
      <c r="GED23">
        <v>121.34</v>
      </c>
      <c r="GEE23">
        <v>122.3</v>
      </c>
      <c r="GEF23">
        <v>122.49</v>
      </c>
      <c r="GEG23">
        <v>122.59</v>
      </c>
      <c r="GEH23">
        <v>123.34</v>
      </c>
      <c r="GEI23">
        <v>123.75</v>
      </c>
      <c r="GEJ23">
        <v>123.94</v>
      </c>
      <c r="GEK23">
        <v>123.95</v>
      </c>
      <c r="GEL23">
        <v>124.04</v>
      </c>
      <c r="GEM23">
        <v>124.1</v>
      </c>
      <c r="GEN23">
        <v>124.2</v>
      </c>
      <c r="GEO23">
        <v>124.5</v>
      </c>
      <c r="GEP23">
        <v>124.85</v>
      </c>
      <c r="GEQ23">
        <v>125.34</v>
      </c>
      <c r="GER23">
        <v>125.85</v>
      </c>
      <c r="GES23">
        <v>125.95</v>
      </c>
      <c r="GET23">
        <v>126.25</v>
      </c>
      <c r="GEU23">
        <v>126.35</v>
      </c>
      <c r="GEV23">
        <v>126.95</v>
      </c>
      <c r="GEW23">
        <v>127.35</v>
      </c>
      <c r="GEX23">
        <v>128.6</v>
      </c>
      <c r="GEY23">
        <v>128.69999999999999</v>
      </c>
      <c r="GEZ23">
        <v>130.24</v>
      </c>
      <c r="GFA23">
        <v>131.24</v>
      </c>
      <c r="GFB23">
        <v>131.74</v>
      </c>
      <c r="GFC23">
        <v>131.75</v>
      </c>
      <c r="GFD23">
        <v>131.79</v>
      </c>
      <c r="GFE23">
        <v>132.65</v>
      </c>
      <c r="GFF23">
        <v>132.94</v>
      </c>
      <c r="GFG23">
        <v>132.94999999999999</v>
      </c>
      <c r="GFH23">
        <v>133.9</v>
      </c>
      <c r="GFI23">
        <v>134.13999999999999</v>
      </c>
      <c r="GFJ23">
        <v>134.55000000000001</v>
      </c>
      <c r="GFK23">
        <v>134.85</v>
      </c>
      <c r="GFL23">
        <v>135.1</v>
      </c>
      <c r="GFM23">
        <v>135.5</v>
      </c>
      <c r="GFN23">
        <v>135.94999999999999</v>
      </c>
      <c r="GFO23">
        <v>136.1</v>
      </c>
      <c r="GFP23">
        <v>136.15</v>
      </c>
      <c r="GFQ23">
        <v>136.44999999999999</v>
      </c>
      <c r="GFR23">
        <v>137.47</v>
      </c>
      <c r="GFS23">
        <v>137.5</v>
      </c>
      <c r="GFT23">
        <v>137.65</v>
      </c>
      <c r="GFU23">
        <v>138.09</v>
      </c>
      <c r="GFV23">
        <v>138.85</v>
      </c>
      <c r="GFW23">
        <v>140.44</v>
      </c>
      <c r="GFX23">
        <v>140.69</v>
      </c>
      <c r="GFY23">
        <v>140.69</v>
      </c>
      <c r="GFZ23">
        <v>141.74</v>
      </c>
      <c r="GGA23">
        <v>142.9</v>
      </c>
      <c r="GGB23">
        <v>143.49</v>
      </c>
      <c r="GGC23">
        <v>143.69999999999999</v>
      </c>
      <c r="GGD23">
        <v>144.9</v>
      </c>
      <c r="GGE23">
        <v>145.29</v>
      </c>
      <c r="GGF23">
        <v>145.44</v>
      </c>
      <c r="GGG23">
        <v>146.24</v>
      </c>
      <c r="GGH23">
        <v>146.79</v>
      </c>
      <c r="GGI23">
        <v>146.80000000000001</v>
      </c>
      <c r="GGJ23">
        <v>147.35</v>
      </c>
      <c r="GGK23">
        <v>148.24</v>
      </c>
      <c r="GGL23">
        <v>149.38999999999999</v>
      </c>
      <c r="GGM23">
        <v>150.59</v>
      </c>
      <c r="GGN23">
        <v>150.88999999999999</v>
      </c>
      <c r="GGO23">
        <v>151.49</v>
      </c>
      <c r="GGP23">
        <v>151.55000000000001</v>
      </c>
      <c r="GGQ23">
        <v>151.65</v>
      </c>
      <c r="GGR23">
        <v>151.88999999999999</v>
      </c>
      <c r="GGS23">
        <v>152.4</v>
      </c>
      <c r="GGT23">
        <v>153.16999999999999</v>
      </c>
      <c r="GGU23">
        <v>153.24</v>
      </c>
      <c r="GGV23">
        <v>154.24</v>
      </c>
      <c r="GGW23">
        <v>154.44</v>
      </c>
      <c r="GGX23">
        <v>155.04</v>
      </c>
      <c r="GGY23">
        <v>155.05000000000001</v>
      </c>
      <c r="GGZ23">
        <v>155.24</v>
      </c>
      <c r="GHA23">
        <v>155.85</v>
      </c>
      <c r="GHB23">
        <v>155.99</v>
      </c>
      <c r="GHC23">
        <v>156.25</v>
      </c>
      <c r="GHD23">
        <v>156.49</v>
      </c>
      <c r="GHE23">
        <v>157</v>
      </c>
      <c r="GHF23">
        <v>157.25</v>
      </c>
      <c r="GHG23">
        <v>158.84</v>
      </c>
      <c r="GHH23">
        <v>159.59</v>
      </c>
      <c r="GHI23">
        <v>159.86000000000001</v>
      </c>
      <c r="GHJ23">
        <v>160.34</v>
      </c>
      <c r="GHK23">
        <v>160.38999999999999</v>
      </c>
      <c r="GHL23">
        <v>160.5</v>
      </c>
      <c r="GHM23">
        <v>160.59</v>
      </c>
      <c r="GHN23">
        <v>160.79</v>
      </c>
      <c r="GHO23">
        <v>161.69999999999999</v>
      </c>
      <c r="GHP23">
        <v>161.88999999999999</v>
      </c>
      <c r="GHQ23">
        <v>161.94</v>
      </c>
      <c r="GHR23">
        <v>162.25</v>
      </c>
      <c r="GHS23">
        <v>162.29</v>
      </c>
      <c r="GHT23">
        <v>163</v>
      </c>
      <c r="GHU23">
        <v>163.6</v>
      </c>
      <c r="GHV23">
        <v>163.6</v>
      </c>
      <c r="GHW23">
        <v>164.6</v>
      </c>
      <c r="GHX23">
        <v>165.45</v>
      </c>
      <c r="GHY23">
        <v>165.6</v>
      </c>
      <c r="GHZ23">
        <v>165.75</v>
      </c>
      <c r="GIA23">
        <v>166.84</v>
      </c>
      <c r="GIB23">
        <v>166.85</v>
      </c>
      <c r="GIC23">
        <v>167.49</v>
      </c>
      <c r="GID23">
        <v>168.46</v>
      </c>
      <c r="GIE23">
        <v>168.74</v>
      </c>
      <c r="GIF23">
        <v>168.8</v>
      </c>
      <c r="GIG23">
        <v>170.04</v>
      </c>
      <c r="GIH23">
        <v>171.85</v>
      </c>
      <c r="GII23">
        <v>172.95</v>
      </c>
      <c r="GIJ23">
        <v>174.69</v>
      </c>
      <c r="GIK23">
        <v>174.99</v>
      </c>
      <c r="GIL23">
        <v>177.2</v>
      </c>
      <c r="GIM23">
        <v>177.78</v>
      </c>
      <c r="GIN23">
        <v>177.9</v>
      </c>
      <c r="GIO23">
        <v>178.15</v>
      </c>
      <c r="GIP23">
        <v>179.79</v>
      </c>
      <c r="GIQ23">
        <v>179.84</v>
      </c>
      <c r="GIR23">
        <v>181.89</v>
      </c>
      <c r="GIS23">
        <v>182.1</v>
      </c>
      <c r="GIT23">
        <v>182.79</v>
      </c>
      <c r="GIU23">
        <v>183.75</v>
      </c>
      <c r="GIV23">
        <v>184.04</v>
      </c>
      <c r="GIW23">
        <v>184.14</v>
      </c>
      <c r="GIX23">
        <v>184.64</v>
      </c>
      <c r="GIY23">
        <v>185.52</v>
      </c>
      <c r="GIZ23">
        <v>185.59</v>
      </c>
      <c r="GJA23">
        <v>186.55</v>
      </c>
      <c r="GJB23">
        <v>186.89</v>
      </c>
      <c r="GJC23">
        <v>186.99</v>
      </c>
      <c r="GJD23">
        <v>187.09</v>
      </c>
      <c r="GJE23">
        <v>187.35</v>
      </c>
      <c r="GJF23">
        <v>192.79</v>
      </c>
      <c r="GJG23">
        <v>194.45</v>
      </c>
      <c r="GJH23">
        <v>194.95</v>
      </c>
      <c r="GJI23">
        <v>197.45</v>
      </c>
      <c r="GJJ23">
        <v>197.59</v>
      </c>
      <c r="GJK23">
        <v>198.69</v>
      </c>
      <c r="GJL23">
        <v>199.05</v>
      </c>
      <c r="GJM23">
        <v>199.14</v>
      </c>
      <c r="GJN23">
        <v>200.44</v>
      </c>
      <c r="GJO23">
        <v>204.04</v>
      </c>
      <c r="GJP23">
        <v>204.8</v>
      </c>
      <c r="GJQ23">
        <v>205.63</v>
      </c>
      <c r="GJR23">
        <v>207.84</v>
      </c>
      <c r="GJS23">
        <v>208.59</v>
      </c>
      <c r="GJT23">
        <v>208.59</v>
      </c>
      <c r="GJU23">
        <v>210.09</v>
      </c>
      <c r="GJV23">
        <v>210.36</v>
      </c>
      <c r="GJW23">
        <v>217.24</v>
      </c>
      <c r="GJX23">
        <v>217.74</v>
      </c>
      <c r="GJY23">
        <v>218.39</v>
      </c>
      <c r="GJZ23">
        <v>218.54</v>
      </c>
      <c r="GKA23">
        <v>218.56</v>
      </c>
      <c r="GKB23">
        <v>218.81</v>
      </c>
      <c r="GKC23">
        <v>219.74</v>
      </c>
      <c r="GKD23">
        <v>221.49</v>
      </c>
      <c r="GKE23">
        <v>222.55</v>
      </c>
      <c r="GKF23">
        <v>224.59</v>
      </c>
      <c r="GKG23">
        <v>225.34</v>
      </c>
      <c r="GKH23">
        <v>226.84</v>
      </c>
      <c r="GKI23">
        <v>227.34</v>
      </c>
      <c r="GKJ23">
        <v>227.89</v>
      </c>
      <c r="GKK23">
        <v>233.79</v>
      </c>
      <c r="GKL23">
        <v>236.24</v>
      </c>
      <c r="GKM23">
        <v>238.69</v>
      </c>
      <c r="GKN23">
        <v>241.09</v>
      </c>
      <c r="GKO23">
        <v>242.04</v>
      </c>
      <c r="GKP23">
        <v>242.68</v>
      </c>
      <c r="GKQ23">
        <v>243.2</v>
      </c>
      <c r="GKR23">
        <v>245.09</v>
      </c>
      <c r="GKS23">
        <v>245.45</v>
      </c>
      <c r="GKT23">
        <v>248.94</v>
      </c>
      <c r="GKU23">
        <v>252.24</v>
      </c>
      <c r="GKV23">
        <v>253.74</v>
      </c>
      <c r="GKW23">
        <v>253.84</v>
      </c>
      <c r="GKX23">
        <v>253.89</v>
      </c>
      <c r="GKY23">
        <v>257.94</v>
      </c>
      <c r="GKZ23">
        <v>259.02999999999997</v>
      </c>
      <c r="GLA23">
        <v>259.08999999999997</v>
      </c>
      <c r="GLB23">
        <v>260.44</v>
      </c>
      <c r="GLC23">
        <v>262.14</v>
      </c>
      <c r="GLD23">
        <v>264.08999999999997</v>
      </c>
      <c r="GLE23">
        <v>264.54000000000002</v>
      </c>
      <c r="GLF23">
        <v>269.25</v>
      </c>
      <c r="GLG23">
        <v>269.35000000000002</v>
      </c>
      <c r="GLH23">
        <v>269.64</v>
      </c>
      <c r="GLI23">
        <v>269.83999999999997</v>
      </c>
      <c r="GLJ23">
        <v>270.64</v>
      </c>
      <c r="GLK23">
        <v>271.08999999999997</v>
      </c>
      <c r="GLL23">
        <v>272.13</v>
      </c>
      <c r="GLM23">
        <v>272.33999999999997</v>
      </c>
      <c r="GLN23">
        <v>273.02999999999997</v>
      </c>
      <c r="GLO23">
        <v>275.74</v>
      </c>
      <c r="GLP23">
        <v>276.89</v>
      </c>
      <c r="GLQ23">
        <v>277.77999999999997</v>
      </c>
      <c r="GLR23">
        <v>278.27</v>
      </c>
      <c r="GLS23">
        <v>280.19</v>
      </c>
      <c r="GLT23">
        <v>280.24</v>
      </c>
      <c r="GLU23">
        <v>280.48</v>
      </c>
      <c r="GLV23">
        <v>280.83999999999997</v>
      </c>
      <c r="GLW23">
        <v>283.02999999999997</v>
      </c>
      <c r="GLX23">
        <v>283.64</v>
      </c>
      <c r="GLY23">
        <v>285.33999999999997</v>
      </c>
      <c r="GLZ23">
        <v>290.99</v>
      </c>
      <c r="GMA23">
        <v>294.27999999999997</v>
      </c>
      <c r="GMB23">
        <v>294.83999999999997</v>
      </c>
      <c r="GMC23">
        <v>295.24</v>
      </c>
      <c r="GMD23">
        <v>295.5</v>
      </c>
      <c r="GME23">
        <v>302.33999999999997</v>
      </c>
      <c r="GMF23">
        <v>303.58999999999997</v>
      </c>
      <c r="GMG23">
        <v>304.89</v>
      </c>
      <c r="GMH23">
        <v>306.7</v>
      </c>
      <c r="GMI23">
        <v>307.04000000000002</v>
      </c>
      <c r="GMJ23">
        <v>308.54000000000002</v>
      </c>
      <c r="GMK23">
        <v>310.23</v>
      </c>
      <c r="GML23">
        <v>310.54000000000002</v>
      </c>
      <c r="GMM23">
        <v>310.99</v>
      </c>
      <c r="GMN23">
        <v>314.33999999999997</v>
      </c>
      <c r="GMO23">
        <v>318.43</v>
      </c>
      <c r="GMP23">
        <v>319.88</v>
      </c>
      <c r="GMQ23">
        <v>320.08999999999997</v>
      </c>
      <c r="GMR23">
        <v>320.89999999999998</v>
      </c>
      <c r="GMS23">
        <v>321.77999999999997</v>
      </c>
      <c r="GMT23">
        <v>324.89</v>
      </c>
      <c r="GMU23">
        <v>325.13</v>
      </c>
      <c r="GMV23">
        <v>327.94</v>
      </c>
      <c r="GMW23">
        <v>329.4</v>
      </c>
      <c r="GMX23">
        <v>330.27</v>
      </c>
      <c r="GMY23">
        <v>331.39</v>
      </c>
      <c r="GMZ23">
        <v>333.59</v>
      </c>
      <c r="GNA23">
        <v>334.74</v>
      </c>
      <c r="GNB23">
        <v>336.55</v>
      </c>
      <c r="GNC23">
        <v>336.64</v>
      </c>
      <c r="GND23">
        <v>337.68</v>
      </c>
      <c r="GNE23">
        <v>344.49</v>
      </c>
      <c r="GNF23">
        <v>353.08</v>
      </c>
      <c r="GNG23">
        <v>355.74</v>
      </c>
      <c r="GNH23">
        <v>355.97</v>
      </c>
      <c r="GNI23">
        <v>357.17</v>
      </c>
      <c r="GNJ23">
        <v>359.68</v>
      </c>
      <c r="GNK23">
        <v>362.67</v>
      </c>
      <c r="GNL23">
        <v>363.94</v>
      </c>
      <c r="GNM23">
        <v>364.44</v>
      </c>
      <c r="GNN23">
        <v>366.74</v>
      </c>
      <c r="GNO23">
        <v>375.24</v>
      </c>
      <c r="GNP23">
        <v>375.82</v>
      </c>
      <c r="GNQ23">
        <v>376.09</v>
      </c>
      <c r="GNR23">
        <v>379.09</v>
      </c>
      <c r="GNS23">
        <v>382.79</v>
      </c>
      <c r="GNT23">
        <v>383.59</v>
      </c>
      <c r="GNU23">
        <v>390.69</v>
      </c>
      <c r="GNV23">
        <v>391.43</v>
      </c>
      <c r="GNW23">
        <v>393.64</v>
      </c>
      <c r="GNX23">
        <v>397.94</v>
      </c>
      <c r="GNY23">
        <v>404.55</v>
      </c>
      <c r="GNZ23">
        <v>408.69</v>
      </c>
      <c r="GOA23">
        <v>411.03</v>
      </c>
      <c r="GOB23">
        <v>413.63</v>
      </c>
      <c r="GOC23">
        <v>420.58</v>
      </c>
      <c r="GOD23">
        <v>421.43</v>
      </c>
      <c r="GOE23">
        <v>423.43</v>
      </c>
      <c r="GOF23">
        <v>424.54</v>
      </c>
      <c r="GOG23">
        <v>438.7</v>
      </c>
      <c r="GOH23">
        <v>442</v>
      </c>
      <c r="GOI23">
        <v>444.33</v>
      </c>
      <c r="GOJ23">
        <v>444.84</v>
      </c>
      <c r="GOK23">
        <v>455.41</v>
      </c>
      <c r="GOL23">
        <v>460.68</v>
      </c>
      <c r="GOM23">
        <v>461.83</v>
      </c>
      <c r="GON23">
        <v>471.29</v>
      </c>
      <c r="GOO23">
        <v>473.28</v>
      </c>
      <c r="GOP23">
        <v>473.53</v>
      </c>
      <c r="GOQ23">
        <v>483.28</v>
      </c>
      <c r="GOR23">
        <v>489.47</v>
      </c>
      <c r="GOS23">
        <v>489.58</v>
      </c>
      <c r="GOT23">
        <v>490.94</v>
      </c>
      <c r="GOU23">
        <v>493.04</v>
      </c>
      <c r="GOV23">
        <v>502.84</v>
      </c>
      <c r="GOW23">
        <v>518.58000000000004</v>
      </c>
      <c r="GOX23">
        <v>519.78</v>
      </c>
      <c r="GOY23">
        <v>541.48</v>
      </c>
      <c r="GOZ23">
        <v>547.87</v>
      </c>
      <c r="GPA23">
        <v>549.41</v>
      </c>
      <c r="GPB23">
        <v>553.66</v>
      </c>
      <c r="GPC23">
        <v>556.09</v>
      </c>
      <c r="GPD23">
        <v>556.97</v>
      </c>
      <c r="GPE23">
        <v>561.78</v>
      </c>
      <c r="GPF23">
        <v>564.08000000000004</v>
      </c>
      <c r="GPG23">
        <v>565.47</v>
      </c>
      <c r="GPH23">
        <v>575.88</v>
      </c>
      <c r="GPI23">
        <v>577.42999999999995</v>
      </c>
      <c r="GPJ23">
        <v>578.72</v>
      </c>
      <c r="GPK23">
        <v>579.13</v>
      </c>
      <c r="GPL23">
        <v>580.97</v>
      </c>
      <c r="GPM23">
        <v>583.37</v>
      </c>
      <c r="GPN23">
        <v>583.66999999999996</v>
      </c>
      <c r="GPO23">
        <v>594.62</v>
      </c>
      <c r="GPP23">
        <v>596.28</v>
      </c>
      <c r="GPQ23">
        <v>599.92999999999995</v>
      </c>
      <c r="GPR23">
        <v>613.16999999999996</v>
      </c>
      <c r="GPS23">
        <v>622.52</v>
      </c>
      <c r="GPT23">
        <v>627.69000000000005</v>
      </c>
      <c r="GPU23">
        <v>633.63</v>
      </c>
      <c r="GPV23">
        <v>637.89</v>
      </c>
      <c r="GPW23">
        <v>639.94000000000005</v>
      </c>
      <c r="GPX23">
        <v>645.12</v>
      </c>
      <c r="GPY23">
        <v>647.41999999999996</v>
      </c>
      <c r="GPZ23">
        <v>649.77</v>
      </c>
      <c r="GQA23">
        <v>654.54</v>
      </c>
      <c r="GQB23">
        <v>654.78</v>
      </c>
      <c r="GQC23">
        <v>662.95</v>
      </c>
      <c r="GQD23">
        <v>665.18</v>
      </c>
      <c r="GQE23">
        <v>688.08</v>
      </c>
      <c r="GQF23">
        <v>717.17</v>
      </c>
      <c r="GQG23">
        <v>731.43</v>
      </c>
      <c r="GQH23">
        <v>759.72</v>
      </c>
      <c r="GQI23">
        <v>765.33</v>
      </c>
      <c r="GQJ23">
        <v>773.86</v>
      </c>
      <c r="GQK23">
        <v>783.48</v>
      </c>
      <c r="GQL23">
        <v>795.63</v>
      </c>
      <c r="GQM23">
        <v>860.43</v>
      </c>
      <c r="GQN23">
        <v>894.23</v>
      </c>
      <c r="GQO23">
        <v>897.19</v>
      </c>
      <c r="GQP23">
        <v>945.24</v>
      </c>
      <c r="GQQ23">
        <v>955.2</v>
      </c>
      <c r="GQR23">
        <v>957.71</v>
      </c>
      <c r="GQS23">
        <v>970.18</v>
      </c>
      <c r="GQT23">
        <v>975.56</v>
      </c>
      <c r="GQU23">
        <v>1002.41</v>
      </c>
      <c r="GQV23">
        <v>1002.7</v>
      </c>
      <c r="GQW23">
        <v>1004.12</v>
      </c>
      <c r="GQX23">
        <v>1037.3599999999999</v>
      </c>
      <c r="GQY23">
        <v>1041.53</v>
      </c>
      <c r="GQZ23">
        <v>1059.56</v>
      </c>
      <c r="GRA23">
        <v>1068.8900000000001</v>
      </c>
      <c r="GRB23">
        <v>1072.93</v>
      </c>
      <c r="GRC23">
        <v>1073.28</v>
      </c>
      <c r="GRD23">
        <v>1088.57</v>
      </c>
      <c r="GRE23">
        <v>1093.06</v>
      </c>
      <c r="GRF23">
        <v>1106.31</v>
      </c>
      <c r="GRG23">
        <v>1127.22</v>
      </c>
      <c r="GRH23">
        <v>1132.3399999999999</v>
      </c>
      <c r="GRI23">
        <v>1149.77</v>
      </c>
      <c r="GRJ23">
        <v>1160.68</v>
      </c>
      <c r="GRK23">
        <v>1185.6099999999999</v>
      </c>
      <c r="GRL23">
        <v>1215.1199999999999</v>
      </c>
      <c r="GRM23">
        <v>1248.81</v>
      </c>
      <c r="GRN23">
        <v>1249.99</v>
      </c>
      <c r="GRO23">
        <v>1255.68</v>
      </c>
      <c r="GRP23">
        <v>1269.72</v>
      </c>
      <c r="GRQ23">
        <v>1289.6600000000001</v>
      </c>
      <c r="GRR23">
        <v>1368.69</v>
      </c>
      <c r="GRS23">
        <v>1540.74</v>
      </c>
      <c r="GRT23">
        <v>1599.73</v>
      </c>
      <c r="GRU23">
        <v>1714.28</v>
      </c>
      <c r="GRV23">
        <v>1893.38</v>
      </c>
      <c r="GRW23">
        <v>1904.96</v>
      </c>
      <c r="GRX23">
        <v>1951.88</v>
      </c>
      <c r="GRY23">
        <v>1989.69</v>
      </c>
      <c r="GRZ23">
        <v>2052.5300000000002</v>
      </c>
      <c r="GSA23">
        <v>2091.16</v>
      </c>
      <c r="GSB23">
        <v>2220.04</v>
      </c>
      <c r="GSC23">
        <v>2248.85</v>
      </c>
      <c r="GSD23">
        <v>2288.56</v>
      </c>
      <c r="GSE23">
        <v>2475.9699999999998</v>
      </c>
      <c r="GSF23">
        <v>2529.7199999999998</v>
      </c>
      <c r="GSG23">
        <v>2706.61</v>
      </c>
      <c r="GSH23">
        <v>2714.53</v>
      </c>
      <c r="GSI23">
        <v>2827.99</v>
      </c>
      <c r="GSJ23">
        <v>3621.49</v>
      </c>
      <c r="GSK23">
        <v>3697.62</v>
      </c>
      <c r="GSL23">
        <v>4144.72</v>
      </c>
      <c r="GSM23">
        <v>4436.43</v>
      </c>
      <c r="GSN23">
        <v>4674.5</v>
      </c>
      <c r="GSO23">
        <v>4972.3100000000004</v>
      </c>
      <c r="GSP23">
        <v>7546.27</v>
      </c>
      <c r="GSQ23">
        <v>14564.79</v>
      </c>
      <c r="GSR23">
        <f>AVERAGE(GSR2:GSR21)</f>
        <v>281450.58250000002</v>
      </c>
    </row>
    <row r="24" spans="1:5244" x14ac:dyDescent="0.2">
      <c r="A24" s="29" t="s">
        <v>5245</v>
      </c>
      <c r="B24">
        <v>0.22</v>
      </c>
      <c r="C24">
        <v>0.44</v>
      </c>
      <c r="D24">
        <v>0.44</v>
      </c>
      <c r="E24">
        <v>0.44</v>
      </c>
      <c r="F24">
        <v>0.44</v>
      </c>
      <c r="G24">
        <v>0.44</v>
      </c>
      <c r="H24">
        <v>0.44</v>
      </c>
      <c r="I24">
        <v>0.44</v>
      </c>
      <c r="J24">
        <v>0.44</v>
      </c>
      <c r="K24">
        <v>0.44</v>
      </c>
      <c r="L24">
        <v>0.44</v>
      </c>
      <c r="M24">
        <v>0.65</v>
      </c>
      <c r="N24">
        <v>0.65</v>
      </c>
      <c r="O24">
        <v>0.65</v>
      </c>
      <c r="P24">
        <v>0.65</v>
      </c>
      <c r="Q24">
        <v>0.65</v>
      </c>
      <c r="R24">
        <v>0.65</v>
      </c>
      <c r="S24">
        <v>0.65</v>
      </c>
      <c r="T24">
        <v>0.65</v>
      </c>
      <c r="U24">
        <v>0.65</v>
      </c>
      <c r="V24">
        <v>0.65</v>
      </c>
      <c r="W24">
        <v>0.65</v>
      </c>
      <c r="X24">
        <v>0.65</v>
      </c>
      <c r="Y24">
        <v>0.65</v>
      </c>
      <c r="Z24">
        <v>0.65</v>
      </c>
      <c r="AA24">
        <v>0.87</v>
      </c>
      <c r="AB24">
        <v>0.87</v>
      </c>
      <c r="AC24">
        <v>0.87</v>
      </c>
      <c r="AD24">
        <v>0.87</v>
      </c>
      <c r="AE24">
        <v>0.87</v>
      </c>
      <c r="AF24">
        <v>0.87</v>
      </c>
      <c r="AG24">
        <v>0.87</v>
      </c>
      <c r="AH24">
        <v>0.87</v>
      </c>
      <c r="AI24">
        <v>0.87</v>
      </c>
      <c r="AJ24">
        <v>0.87</v>
      </c>
      <c r="AK24">
        <v>0.87</v>
      </c>
      <c r="AL24">
        <v>0.87</v>
      </c>
      <c r="AM24">
        <v>0.87</v>
      </c>
      <c r="AN24">
        <v>0.87</v>
      </c>
      <c r="AO24">
        <v>0.87</v>
      </c>
      <c r="AP24">
        <v>0.87</v>
      </c>
      <c r="AQ24">
        <v>0.87</v>
      </c>
      <c r="AR24">
        <v>0.87</v>
      </c>
      <c r="AS24">
        <v>0.87</v>
      </c>
      <c r="AT24">
        <v>0.87</v>
      </c>
      <c r="AU24">
        <v>0.87</v>
      </c>
      <c r="AV24">
        <v>0.87</v>
      </c>
      <c r="AW24">
        <v>0.87</v>
      </c>
      <c r="AX24">
        <v>0.87</v>
      </c>
      <c r="AY24">
        <v>0.87</v>
      </c>
      <c r="AZ24">
        <v>0.87</v>
      </c>
      <c r="BA24">
        <v>0.87</v>
      </c>
      <c r="BB24">
        <v>0.87</v>
      </c>
      <c r="BC24">
        <v>0.87</v>
      </c>
      <c r="BD24">
        <v>0.87</v>
      </c>
      <c r="BE24">
        <v>0.87</v>
      </c>
      <c r="BF24">
        <v>1.0900000000000001</v>
      </c>
      <c r="BG24">
        <v>1.0900000000000001</v>
      </c>
      <c r="BH24">
        <v>1.0900000000000001</v>
      </c>
      <c r="BI24">
        <v>1.0900000000000001</v>
      </c>
      <c r="BJ24">
        <v>1.0900000000000001</v>
      </c>
      <c r="BK24">
        <v>1.0900000000000001</v>
      </c>
      <c r="BL24">
        <v>1.0900000000000001</v>
      </c>
      <c r="BM24">
        <v>1.0900000000000001</v>
      </c>
      <c r="BN24">
        <v>1.0900000000000001</v>
      </c>
      <c r="BO24">
        <v>1.0900000000000001</v>
      </c>
      <c r="BP24">
        <v>1.0900000000000001</v>
      </c>
      <c r="BQ24">
        <v>1.0900000000000001</v>
      </c>
      <c r="BR24">
        <v>1.0900000000000001</v>
      </c>
      <c r="BS24">
        <v>1.0900000000000001</v>
      </c>
      <c r="BT24">
        <v>1.0900000000000001</v>
      </c>
      <c r="BU24">
        <v>1.0900000000000001</v>
      </c>
      <c r="BV24">
        <v>1.0900000000000001</v>
      </c>
      <c r="BW24">
        <v>1.0900000000000001</v>
      </c>
      <c r="BX24">
        <v>1.0900000000000001</v>
      </c>
      <c r="BY24">
        <v>1.0900000000000001</v>
      </c>
      <c r="BZ24">
        <v>1.0900000000000001</v>
      </c>
      <c r="CA24">
        <v>1.0900000000000001</v>
      </c>
      <c r="CB24">
        <v>1.0900000000000001</v>
      </c>
      <c r="CC24">
        <v>1.0900000000000001</v>
      </c>
      <c r="CD24">
        <v>1.0900000000000001</v>
      </c>
      <c r="CE24">
        <v>0.89</v>
      </c>
      <c r="CF24">
        <v>1.0900000000000001</v>
      </c>
      <c r="CG24">
        <v>1.0900000000000001</v>
      </c>
      <c r="CH24">
        <v>1.0900000000000001</v>
      </c>
      <c r="CI24">
        <v>1.0900000000000001</v>
      </c>
      <c r="CJ24">
        <v>1.0900000000000001</v>
      </c>
      <c r="CK24">
        <v>1.0900000000000001</v>
      </c>
      <c r="CL24">
        <v>1.0900000000000001</v>
      </c>
      <c r="CM24">
        <v>1.0900000000000001</v>
      </c>
      <c r="CN24">
        <v>1.0900000000000001</v>
      </c>
      <c r="CO24">
        <v>1.0900000000000001</v>
      </c>
      <c r="CP24">
        <v>1.0900000000000001</v>
      </c>
      <c r="CQ24">
        <v>1.0900000000000001</v>
      </c>
      <c r="CR24">
        <v>1.0900000000000001</v>
      </c>
      <c r="CS24">
        <v>1.0900000000000001</v>
      </c>
      <c r="CT24">
        <v>1.31</v>
      </c>
      <c r="CU24">
        <v>1.31</v>
      </c>
      <c r="CV24">
        <v>1.31</v>
      </c>
      <c r="CW24">
        <v>1.31</v>
      </c>
      <c r="CX24">
        <v>1.31</v>
      </c>
      <c r="CY24">
        <v>1.31</v>
      </c>
      <c r="CZ24">
        <v>1.31</v>
      </c>
      <c r="DA24">
        <v>1.31</v>
      </c>
      <c r="DB24">
        <v>1.31</v>
      </c>
      <c r="DC24">
        <v>1.31</v>
      </c>
      <c r="DD24">
        <v>1.31</v>
      </c>
      <c r="DE24">
        <v>1.31</v>
      </c>
      <c r="DF24">
        <v>1.31</v>
      </c>
      <c r="DG24">
        <v>1.31</v>
      </c>
      <c r="DH24">
        <v>1.31</v>
      </c>
      <c r="DI24">
        <v>1.31</v>
      </c>
      <c r="DJ24">
        <v>1.31</v>
      </c>
      <c r="DK24">
        <v>1.31</v>
      </c>
      <c r="DL24">
        <v>1.31</v>
      </c>
      <c r="DM24">
        <v>1.31</v>
      </c>
      <c r="DN24">
        <v>1.31</v>
      </c>
      <c r="DO24">
        <v>1.31</v>
      </c>
      <c r="DP24">
        <v>1.31</v>
      </c>
      <c r="DQ24">
        <v>1.31</v>
      </c>
      <c r="DR24">
        <v>1.31</v>
      </c>
      <c r="DS24">
        <v>1.31</v>
      </c>
      <c r="DT24">
        <v>1.31</v>
      </c>
      <c r="DU24">
        <v>1.31</v>
      </c>
      <c r="DV24">
        <v>1.31</v>
      </c>
      <c r="DW24">
        <v>1.31</v>
      </c>
      <c r="DX24">
        <v>1.31</v>
      </c>
      <c r="DY24">
        <v>1.31</v>
      </c>
      <c r="DZ24">
        <v>1.31</v>
      </c>
      <c r="EA24">
        <v>1.31</v>
      </c>
      <c r="EB24">
        <v>1.31</v>
      </c>
      <c r="EC24">
        <v>1.31</v>
      </c>
      <c r="ED24">
        <v>1.31</v>
      </c>
      <c r="EE24">
        <v>1.31</v>
      </c>
      <c r="EF24">
        <v>1.31</v>
      </c>
      <c r="EG24">
        <v>1.31</v>
      </c>
      <c r="EH24">
        <v>1.31</v>
      </c>
      <c r="EI24">
        <v>1.31</v>
      </c>
      <c r="EJ24">
        <v>1.31</v>
      </c>
      <c r="EK24">
        <v>1.31</v>
      </c>
      <c r="EL24">
        <v>1.31</v>
      </c>
      <c r="EM24">
        <v>1.31</v>
      </c>
      <c r="EN24">
        <v>1.31</v>
      </c>
      <c r="EO24">
        <v>1.31</v>
      </c>
      <c r="EP24">
        <v>1.31</v>
      </c>
      <c r="EQ24">
        <v>1.31</v>
      </c>
      <c r="ER24">
        <v>1.31</v>
      </c>
      <c r="ES24">
        <v>1.31</v>
      </c>
      <c r="ET24">
        <v>1.31</v>
      </c>
      <c r="EU24">
        <v>1.31</v>
      </c>
      <c r="EV24">
        <v>1.31</v>
      </c>
      <c r="EW24">
        <v>1.31</v>
      </c>
      <c r="EX24">
        <v>1.31</v>
      </c>
      <c r="EY24">
        <v>1.31</v>
      </c>
      <c r="EZ24">
        <v>1.31</v>
      </c>
      <c r="FA24">
        <v>1.31</v>
      </c>
      <c r="FB24">
        <v>1.31</v>
      </c>
      <c r="FC24">
        <v>1.31</v>
      </c>
      <c r="FD24">
        <v>1.31</v>
      </c>
      <c r="FE24">
        <v>1.31</v>
      </c>
      <c r="FF24">
        <v>1.52</v>
      </c>
      <c r="FG24">
        <v>1.52</v>
      </c>
      <c r="FH24">
        <v>1.52</v>
      </c>
      <c r="FI24">
        <v>1.52</v>
      </c>
      <c r="FJ24">
        <v>1.53</v>
      </c>
      <c r="FK24">
        <v>1.53</v>
      </c>
      <c r="FL24">
        <v>1.53</v>
      </c>
      <c r="FM24">
        <v>1.53</v>
      </c>
      <c r="FN24">
        <v>1.53</v>
      </c>
      <c r="FO24">
        <v>1.53</v>
      </c>
      <c r="FP24">
        <v>1.53</v>
      </c>
      <c r="FQ24">
        <v>1.53</v>
      </c>
      <c r="FR24">
        <v>1.53</v>
      </c>
      <c r="FS24">
        <v>1.53</v>
      </c>
      <c r="FT24">
        <v>1.53</v>
      </c>
      <c r="FU24">
        <v>1.53</v>
      </c>
      <c r="FV24">
        <v>1.53</v>
      </c>
      <c r="FW24">
        <v>1.53</v>
      </c>
      <c r="FX24">
        <v>1.53</v>
      </c>
      <c r="FY24">
        <v>1.53</v>
      </c>
      <c r="FZ24">
        <v>1.53</v>
      </c>
      <c r="GA24">
        <v>1.53</v>
      </c>
      <c r="GB24">
        <v>1.53</v>
      </c>
      <c r="GC24">
        <v>1.53</v>
      </c>
      <c r="GD24">
        <v>1.53</v>
      </c>
      <c r="GE24">
        <v>1.53</v>
      </c>
      <c r="GF24">
        <v>1.53</v>
      </c>
      <c r="GG24">
        <v>1.53</v>
      </c>
      <c r="GH24">
        <v>1.53</v>
      </c>
      <c r="GI24">
        <v>1.53</v>
      </c>
      <c r="GJ24">
        <v>1.53</v>
      </c>
      <c r="GK24">
        <v>1.53</v>
      </c>
      <c r="GL24">
        <v>1.53</v>
      </c>
      <c r="GM24">
        <v>1.53</v>
      </c>
      <c r="GN24">
        <v>1.53</v>
      </c>
      <c r="GO24">
        <v>1.53</v>
      </c>
      <c r="GP24">
        <v>1.53</v>
      </c>
      <c r="GQ24">
        <v>1.53</v>
      </c>
      <c r="GR24">
        <v>1.53</v>
      </c>
      <c r="GS24">
        <v>1.53</v>
      </c>
      <c r="GT24">
        <v>1.53</v>
      </c>
      <c r="GU24">
        <v>1.53</v>
      </c>
      <c r="GV24">
        <v>1.53</v>
      </c>
      <c r="GW24">
        <v>1.53</v>
      </c>
      <c r="GX24">
        <v>1.53</v>
      </c>
      <c r="GY24">
        <v>1.53</v>
      </c>
      <c r="GZ24">
        <v>1.53</v>
      </c>
      <c r="HA24">
        <v>1.53</v>
      </c>
      <c r="HB24">
        <v>1.53</v>
      </c>
      <c r="HC24">
        <v>1.53</v>
      </c>
      <c r="HD24">
        <v>1.53</v>
      </c>
      <c r="HE24">
        <v>1.53</v>
      </c>
      <c r="HF24">
        <v>1.53</v>
      </c>
      <c r="HG24">
        <v>1.53</v>
      </c>
      <c r="HH24">
        <v>1.53</v>
      </c>
      <c r="HI24">
        <v>1.53</v>
      </c>
      <c r="HJ24">
        <v>1.53</v>
      </c>
      <c r="HK24">
        <v>1.53</v>
      </c>
      <c r="HL24">
        <v>1.53</v>
      </c>
      <c r="HM24">
        <v>1.53</v>
      </c>
      <c r="HN24">
        <v>1.53</v>
      </c>
      <c r="HO24">
        <v>1.53</v>
      </c>
      <c r="HP24">
        <v>1.53</v>
      </c>
      <c r="HQ24">
        <v>1.53</v>
      </c>
      <c r="HR24">
        <v>1.53</v>
      </c>
      <c r="HS24">
        <v>1.53</v>
      </c>
      <c r="HT24">
        <v>1.74</v>
      </c>
      <c r="HU24">
        <v>1.74</v>
      </c>
      <c r="HV24">
        <v>1.74</v>
      </c>
      <c r="HW24">
        <v>1.74</v>
      </c>
      <c r="HX24">
        <v>1.74</v>
      </c>
      <c r="HY24">
        <v>1.74</v>
      </c>
      <c r="HZ24">
        <v>1.74</v>
      </c>
      <c r="IA24">
        <v>1.74</v>
      </c>
      <c r="IB24">
        <v>1.74</v>
      </c>
      <c r="IC24">
        <v>1.74</v>
      </c>
      <c r="ID24">
        <v>1.74</v>
      </c>
      <c r="IE24">
        <v>1.74</v>
      </c>
      <c r="IF24">
        <v>1.24</v>
      </c>
      <c r="IG24">
        <v>1.74</v>
      </c>
      <c r="IH24">
        <v>1.74</v>
      </c>
      <c r="II24">
        <v>1.74</v>
      </c>
      <c r="IJ24">
        <v>1.74</v>
      </c>
      <c r="IK24">
        <v>1.74</v>
      </c>
      <c r="IL24">
        <v>1.74</v>
      </c>
      <c r="IM24">
        <v>1.74</v>
      </c>
      <c r="IN24">
        <v>1.74</v>
      </c>
      <c r="IO24">
        <v>1.74</v>
      </c>
      <c r="IP24">
        <v>1.74</v>
      </c>
      <c r="IQ24">
        <v>1.74</v>
      </c>
      <c r="IR24">
        <v>1.74</v>
      </c>
      <c r="IS24">
        <v>1.74</v>
      </c>
      <c r="IT24">
        <v>1.74</v>
      </c>
      <c r="IU24">
        <v>1.74</v>
      </c>
      <c r="IV24">
        <v>1.74</v>
      </c>
      <c r="IW24">
        <v>1.74</v>
      </c>
      <c r="IX24">
        <v>1.74</v>
      </c>
      <c r="IY24">
        <v>1.74</v>
      </c>
      <c r="IZ24">
        <v>1.74</v>
      </c>
      <c r="JA24">
        <v>1.74</v>
      </c>
      <c r="JB24">
        <v>1.74</v>
      </c>
      <c r="JC24">
        <v>1.74</v>
      </c>
      <c r="JD24">
        <v>1.74</v>
      </c>
      <c r="JE24">
        <v>1.74</v>
      </c>
      <c r="JF24">
        <v>1.74</v>
      </c>
      <c r="JG24">
        <v>1.74</v>
      </c>
      <c r="JH24">
        <v>1.74</v>
      </c>
      <c r="JI24">
        <v>1.74</v>
      </c>
      <c r="JJ24">
        <v>1.74</v>
      </c>
      <c r="JK24">
        <v>1.74</v>
      </c>
      <c r="JL24">
        <v>1.74</v>
      </c>
      <c r="JM24">
        <v>1.74</v>
      </c>
      <c r="JN24">
        <v>1.74</v>
      </c>
      <c r="JO24">
        <v>1.74</v>
      </c>
      <c r="JP24">
        <v>1.74</v>
      </c>
      <c r="JQ24">
        <v>1.96</v>
      </c>
      <c r="JR24">
        <v>1.96</v>
      </c>
      <c r="JS24">
        <v>1.96</v>
      </c>
      <c r="JT24">
        <v>1.96</v>
      </c>
      <c r="JU24">
        <v>1.96</v>
      </c>
      <c r="JV24">
        <v>1.96</v>
      </c>
      <c r="JW24">
        <v>1.96</v>
      </c>
      <c r="JX24">
        <v>1.96</v>
      </c>
      <c r="JY24">
        <v>1.96</v>
      </c>
      <c r="JZ24">
        <v>1.96</v>
      </c>
      <c r="KA24">
        <v>1.96</v>
      </c>
      <c r="KB24">
        <v>1.96</v>
      </c>
      <c r="KC24">
        <v>1.96</v>
      </c>
      <c r="KD24">
        <v>1.96</v>
      </c>
      <c r="KE24">
        <v>1.36</v>
      </c>
      <c r="KF24">
        <v>1.96</v>
      </c>
      <c r="KG24">
        <v>1.96</v>
      </c>
      <c r="KH24">
        <v>1.96</v>
      </c>
      <c r="KI24">
        <v>1.96</v>
      </c>
      <c r="KJ24">
        <v>1.36</v>
      </c>
      <c r="KK24">
        <v>1.96</v>
      </c>
      <c r="KL24">
        <v>1.96</v>
      </c>
      <c r="KM24">
        <v>1.96</v>
      </c>
      <c r="KN24">
        <v>1.96</v>
      </c>
      <c r="KO24">
        <v>1.96</v>
      </c>
      <c r="KP24">
        <v>1.96</v>
      </c>
      <c r="KQ24">
        <v>1.96</v>
      </c>
      <c r="KR24">
        <v>1.96</v>
      </c>
      <c r="KS24">
        <v>1.96</v>
      </c>
      <c r="KT24">
        <v>1.96</v>
      </c>
      <c r="KU24">
        <v>1.96</v>
      </c>
      <c r="KV24">
        <v>1.96</v>
      </c>
      <c r="KW24">
        <v>1.96</v>
      </c>
      <c r="KX24">
        <v>1.96</v>
      </c>
      <c r="KY24">
        <v>1.96</v>
      </c>
      <c r="KZ24">
        <v>1.96</v>
      </c>
      <c r="LA24">
        <v>1.96</v>
      </c>
      <c r="LB24">
        <v>1.96</v>
      </c>
      <c r="LC24">
        <v>1.96</v>
      </c>
      <c r="LD24">
        <v>1.96</v>
      </c>
      <c r="LE24">
        <v>1.96</v>
      </c>
      <c r="LF24">
        <v>1.96</v>
      </c>
      <c r="LG24">
        <v>1.96</v>
      </c>
      <c r="LH24">
        <v>1.96</v>
      </c>
      <c r="LI24">
        <v>1.96</v>
      </c>
      <c r="LJ24">
        <v>1.96</v>
      </c>
      <c r="LK24">
        <v>1.96</v>
      </c>
      <c r="LL24">
        <v>1.96</v>
      </c>
      <c r="LM24">
        <v>1.96</v>
      </c>
      <c r="LN24">
        <v>2.1800000000000002</v>
      </c>
      <c r="LO24">
        <v>2.1800000000000002</v>
      </c>
      <c r="LP24">
        <v>2.1800000000000002</v>
      </c>
      <c r="LQ24">
        <v>2.1800000000000002</v>
      </c>
      <c r="LR24">
        <v>2.1800000000000002</v>
      </c>
      <c r="LS24">
        <v>2.1800000000000002</v>
      </c>
      <c r="LT24">
        <v>2.1800000000000002</v>
      </c>
      <c r="LU24">
        <v>2.1800000000000002</v>
      </c>
      <c r="LV24">
        <v>2.1800000000000002</v>
      </c>
      <c r="LW24">
        <v>2.1800000000000002</v>
      </c>
      <c r="LX24">
        <v>2.1800000000000002</v>
      </c>
      <c r="LY24">
        <v>2.1800000000000002</v>
      </c>
      <c r="LZ24">
        <v>2.1800000000000002</v>
      </c>
      <c r="MA24">
        <v>2.1800000000000002</v>
      </c>
      <c r="MB24">
        <v>2.1800000000000002</v>
      </c>
      <c r="MC24">
        <v>2.1800000000000002</v>
      </c>
      <c r="MD24">
        <v>2.1800000000000002</v>
      </c>
      <c r="ME24">
        <v>2.1800000000000002</v>
      </c>
      <c r="MF24">
        <v>2.1800000000000002</v>
      </c>
      <c r="MG24">
        <v>2.1800000000000002</v>
      </c>
      <c r="MH24">
        <v>2.1800000000000002</v>
      </c>
      <c r="MI24">
        <v>2.1800000000000002</v>
      </c>
      <c r="MJ24">
        <v>2.1800000000000002</v>
      </c>
      <c r="MK24">
        <v>2.1800000000000002</v>
      </c>
      <c r="ML24">
        <v>2.1800000000000002</v>
      </c>
      <c r="MM24">
        <v>2.1800000000000002</v>
      </c>
      <c r="MN24">
        <v>2.1800000000000002</v>
      </c>
      <c r="MO24">
        <v>2.1800000000000002</v>
      </c>
      <c r="MP24">
        <v>2.1800000000000002</v>
      </c>
      <c r="MQ24">
        <v>2.1800000000000002</v>
      </c>
      <c r="MR24">
        <v>2.1800000000000002</v>
      </c>
      <c r="MS24">
        <v>2.1800000000000002</v>
      </c>
      <c r="MT24">
        <v>2.1800000000000002</v>
      </c>
      <c r="MU24">
        <v>2.1800000000000002</v>
      </c>
      <c r="MV24">
        <v>2.1800000000000002</v>
      </c>
      <c r="MW24">
        <v>2.1800000000000002</v>
      </c>
      <c r="MX24">
        <v>2.1800000000000002</v>
      </c>
      <c r="MY24">
        <v>2.1800000000000002</v>
      </c>
      <c r="MZ24">
        <v>2.1800000000000002</v>
      </c>
      <c r="NA24">
        <v>2.1800000000000002</v>
      </c>
      <c r="NB24">
        <v>2.1800000000000002</v>
      </c>
      <c r="NC24">
        <v>2.1800000000000002</v>
      </c>
      <c r="ND24">
        <v>2.1800000000000002</v>
      </c>
      <c r="NE24">
        <v>2.1800000000000002</v>
      </c>
      <c r="NF24">
        <v>2.1800000000000002</v>
      </c>
      <c r="NG24">
        <v>2.1800000000000002</v>
      </c>
      <c r="NH24">
        <v>2.1800000000000002</v>
      </c>
      <c r="NI24">
        <v>2.1800000000000002</v>
      </c>
      <c r="NJ24">
        <v>2.1800000000000002</v>
      </c>
      <c r="NK24">
        <v>2.1800000000000002</v>
      </c>
      <c r="NL24">
        <v>2.1800000000000002</v>
      </c>
      <c r="NM24">
        <v>2.1800000000000002</v>
      </c>
      <c r="NN24">
        <v>2.1800000000000002</v>
      </c>
      <c r="NO24">
        <v>2.1800000000000002</v>
      </c>
      <c r="NP24">
        <v>2.1800000000000002</v>
      </c>
      <c r="NQ24">
        <v>2.1800000000000002</v>
      </c>
      <c r="NR24">
        <v>2.1800000000000002</v>
      </c>
      <c r="NS24">
        <v>2.1800000000000002</v>
      </c>
      <c r="NT24">
        <v>2.1800000000000002</v>
      </c>
      <c r="NU24">
        <v>2.4</v>
      </c>
      <c r="NV24">
        <v>2.4</v>
      </c>
      <c r="NW24">
        <v>2.4</v>
      </c>
      <c r="NX24">
        <v>2.4</v>
      </c>
      <c r="NY24">
        <v>2.4</v>
      </c>
      <c r="NZ24">
        <v>2.4</v>
      </c>
      <c r="OA24">
        <v>2.4</v>
      </c>
      <c r="OB24">
        <v>2.4</v>
      </c>
      <c r="OC24">
        <v>2.4</v>
      </c>
      <c r="OD24">
        <v>2.4</v>
      </c>
      <c r="OE24">
        <v>2.4</v>
      </c>
      <c r="OF24">
        <v>2.4</v>
      </c>
      <c r="OG24">
        <v>2.4</v>
      </c>
      <c r="OH24">
        <v>2.4</v>
      </c>
      <c r="OI24">
        <v>2.4</v>
      </c>
      <c r="OJ24">
        <v>2.4</v>
      </c>
      <c r="OK24">
        <v>2.4</v>
      </c>
      <c r="OL24">
        <v>2.4</v>
      </c>
      <c r="OM24">
        <v>2.4</v>
      </c>
      <c r="ON24">
        <v>2.4</v>
      </c>
      <c r="OO24">
        <v>2.4</v>
      </c>
      <c r="OP24">
        <v>2.4</v>
      </c>
      <c r="OQ24">
        <v>2.4</v>
      </c>
      <c r="OR24">
        <v>2.4</v>
      </c>
      <c r="OS24">
        <v>2.4</v>
      </c>
      <c r="OT24">
        <v>2.4</v>
      </c>
      <c r="OU24">
        <v>2.4</v>
      </c>
      <c r="OV24">
        <v>2.4</v>
      </c>
      <c r="OW24">
        <v>2.4</v>
      </c>
      <c r="OX24">
        <v>2.4</v>
      </c>
      <c r="OY24">
        <v>2.4</v>
      </c>
      <c r="OZ24">
        <v>2.4</v>
      </c>
      <c r="PA24">
        <v>1.72</v>
      </c>
      <c r="PB24">
        <v>2.4</v>
      </c>
      <c r="PC24">
        <v>2.4</v>
      </c>
      <c r="PD24">
        <v>2.4</v>
      </c>
      <c r="PE24">
        <v>2.4</v>
      </c>
      <c r="PF24">
        <v>2.4</v>
      </c>
      <c r="PG24">
        <v>2.4</v>
      </c>
      <c r="PH24">
        <v>2.4</v>
      </c>
      <c r="PI24">
        <v>2.4</v>
      </c>
      <c r="PJ24">
        <v>2.4</v>
      </c>
      <c r="PK24">
        <v>2.4</v>
      </c>
      <c r="PL24">
        <v>2.4</v>
      </c>
      <c r="PM24">
        <v>2.4</v>
      </c>
      <c r="PN24">
        <v>2.4</v>
      </c>
      <c r="PO24">
        <v>2.4</v>
      </c>
      <c r="PP24">
        <v>2.4</v>
      </c>
      <c r="PQ24">
        <v>2.4</v>
      </c>
      <c r="PR24">
        <v>2.4</v>
      </c>
      <c r="PS24">
        <v>2.4</v>
      </c>
      <c r="PT24">
        <v>2.4</v>
      </c>
      <c r="PU24">
        <v>2.4</v>
      </c>
      <c r="PV24">
        <v>2.4</v>
      </c>
      <c r="PW24">
        <v>2.4</v>
      </c>
      <c r="PX24">
        <v>2.4</v>
      </c>
      <c r="PY24">
        <v>2.4</v>
      </c>
      <c r="PZ24">
        <v>2.4</v>
      </c>
      <c r="QA24">
        <v>2.4</v>
      </c>
      <c r="QB24">
        <v>2.4</v>
      </c>
      <c r="QC24">
        <v>2.61</v>
      </c>
      <c r="QD24">
        <v>2.62</v>
      </c>
      <c r="QE24">
        <v>2.62</v>
      </c>
      <c r="QF24">
        <v>2.62</v>
      </c>
      <c r="QG24">
        <v>2.62</v>
      </c>
      <c r="QH24">
        <v>2.62</v>
      </c>
      <c r="QI24">
        <v>2.62</v>
      </c>
      <c r="QJ24">
        <v>2.62</v>
      </c>
      <c r="QK24">
        <v>2.62</v>
      </c>
      <c r="QL24">
        <v>2.62</v>
      </c>
      <c r="QM24">
        <v>2.62</v>
      </c>
      <c r="QN24">
        <v>2.62</v>
      </c>
      <c r="QO24">
        <v>2.62</v>
      </c>
      <c r="QP24">
        <v>2.62</v>
      </c>
      <c r="QQ24">
        <v>2.62</v>
      </c>
      <c r="QR24">
        <v>2.62</v>
      </c>
      <c r="QS24">
        <v>2.62</v>
      </c>
      <c r="QT24">
        <v>2.62</v>
      </c>
      <c r="QU24">
        <v>2.62</v>
      </c>
      <c r="QV24">
        <v>2.62</v>
      </c>
      <c r="QW24">
        <v>2.62</v>
      </c>
      <c r="QX24">
        <v>2.62</v>
      </c>
      <c r="QY24">
        <v>2.62</v>
      </c>
      <c r="QZ24">
        <v>2.62</v>
      </c>
      <c r="RA24">
        <v>2.62</v>
      </c>
      <c r="RB24">
        <v>2.62</v>
      </c>
      <c r="RC24">
        <v>2.62</v>
      </c>
      <c r="RD24">
        <v>2.62</v>
      </c>
      <c r="RE24">
        <v>2.62</v>
      </c>
      <c r="RF24">
        <v>2.62</v>
      </c>
      <c r="RG24">
        <v>2.62</v>
      </c>
      <c r="RH24">
        <v>2.62</v>
      </c>
      <c r="RI24">
        <v>2.62</v>
      </c>
      <c r="RJ24">
        <v>2.62</v>
      </c>
      <c r="RK24">
        <v>2.62</v>
      </c>
      <c r="RL24">
        <v>2.62</v>
      </c>
      <c r="RM24">
        <v>2.62</v>
      </c>
      <c r="RN24">
        <v>2.62</v>
      </c>
      <c r="RO24">
        <v>2.62</v>
      </c>
      <c r="RP24">
        <v>2.62</v>
      </c>
      <c r="RQ24">
        <v>2.62</v>
      </c>
      <c r="RR24">
        <v>2.62</v>
      </c>
      <c r="RS24">
        <v>2.62</v>
      </c>
      <c r="RT24">
        <v>2.62</v>
      </c>
      <c r="RU24">
        <v>2.62</v>
      </c>
      <c r="RV24">
        <v>2.62</v>
      </c>
      <c r="RW24">
        <v>2.62</v>
      </c>
      <c r="RX24">
        <v>2.62</v>
      </c>
      <c r="RY24">
        <v>2.62</v>
      </c>
      <c r="RZ24">
        <v>2.62</v>
      </c>
      <c r="SA24">
        <v>2.62</v>
      </c>
      <c r="SB24">
        <v>2.62</v>
      </c>
      <c r="SC24">
        <v>2.62</v>
      </c>
      <c r="SD24">
        <v>2.62</v>
      </c>
      <c r="SE24">
        <v>2.62</v>
      </c>
      <c r="SF24">
        <v>2.62</v>
      </c>
      <c r="SG24">
        <v>2.62</v>
      </c>
      <c r="SH24">
        <v>2.62</v>
      </c>
      <c r="SI24">
        <v>2.62</v>
      </c>
      <c r="SJ24">
        <v>2.62</v>
      </c>
      <c r="SK24">
        <v>2.62</v>
      </c>
      <c r="SL24">
        <v>2.62</v>
      </c>
      <c r="SM24">
        <v>2.62</v>
      </c>
      <c r="SN24">
        <v>2.62</v>
      </c>
      <c r="SO24">
        <v>2.62</v>
      </c>
      <c r="SP24">
        <v>2.62</v>
      </c>
      <c r="SQ24">
        <v>2.62</v>
      </c>
      <c r="SR24">
        <v>2.62</v>
      </c>
      <c r="SS24">
        <v>2.83</v>
      </c>
      <c r="ST24">
        <v>2.83</v>
      </c>
      <c r="SU24">
        <v>2.83</v>
      </c>
      <c r="SV24">
        <v>2.83</v>
      </c>
      <c r="SW24">
        <v>2.83</v>
      </c>
      <c r="SX24">
        <v>2.83</v>
      </c>
      <c r="SY24">
        <v>2.83</v>
      </c>
      <c r="SZ24">
        <v>2.83</v>
      </c>
      <c r="TA24">
        <v>2.83</v>
      </c>
      <c r="TB24">
        <v>2.83</v>
      </c>
      <c r="TC24">
        <v>2.83</v>
      </c>
      <c r="TD24">
        <v>2.83</v>
      </c>
      <c r="TE24">
        <v>2.83</v>
      </c>
      <c r="TF24">
        <v>2.83</v>
      </c>
      <c r="TG24">
        <v>2.83</v>
      </c>
      <c r="TH24">
        <v>2.83</v>
      </c>
      <c r="TI24">
        <v>2.83</v>
      </c>
      <c r="TJ24">
        <v>2.83</v>
      </c>
      <c r="TK24">
        <v>2.83</v>
      </c>
      <c r="TL24">
        <v>2.83</v>
      </c>
      <c r="TM24">
        <v>2.83</v>
      </c>
      <c r="TN24">
        <v>2.83</v>
      </c>
      <c r="TO24">
        <v>2.83</v>
      </c>
      <c r="TP24">
        <v>2.83</v>
      </c>
      <c r="TQ24">
        <v>2.83</v>
      </c>
      <c r="TR24">
        <v>2.83</v>
      </c>
      <c r="TS24">
        <v>2.83</v>
      </c>
      <c r="TT24">
        <v>2.83</v>
      </c>
      <c r="TU24">
        <v>2.83</v>
      </c>
      <c r="TV24">
        <v>2.83</v>
      </c>
      <c r="TW24">
        <v>2.83</v>
      </c>
      <c r="TX24">
        <v>2.83</v>
      </c>
      <c r="TY24">
        <v>2.83</v>
      </c>
      <c r="TZ24">
        <v>2.83</v>
      </c>
      <c r="UA24">
        <v>2.83</v>
      </c>
      <c r="UB24">
        <v>2.83</v>
      </c>
      <c r="UC24">
        <v>2.83</v>
      </c>
      <c r="UD24">
        <v>2.83</v>
      </c>
      <c r="UE24">
        <v>2.83</v>
      </c>
      <c r="UF24">
        <v>2.83</v>
      </c>
      <c r="UG24">
        <v>2.83</v>
      </c>
      <c r="UH24">
        <v>2.83</v>
      </c>
      <c r="UI24">
        <v>2.83</v>
      </c>
      <c r="UJ24">
        <v>2.83</v>
      </c>
      <c r="UK24">
        <v>2.83</v>
      </c>
      <c r="UL24">
        <v>2.12</v>
      </c>
      <c r="UM24">
        <v>3.05</v>
      </c>
      <c r="UN24">
        <v>3.05</v>
      </c>
      <c r="UO24">
        <v>3.05</v>
      </c>
      <c r="UP24">
        <v>3.05</v>
      </c>
      <c r="UQ24">
        <v>2.19</v>
      </c>
      <c r="UR24">
        <v>3.05</v>
      </c>
      <c r="US24">
        <v>3.05</v>
      </c>
      <c r="UT24">
        <v>3.05</v>
      </c>
      <c r="UU24">
        <v>3.05</v>
      </c>
      <c r="UV24">
        <v>3.05</v>
      </c>
      <c r="UW24">
        <v>3.05</v>
      </c>
      <c r="UX24">
        <v>3.05</v>
      </c>
      <c r="UY24">
        <v>3.05</v>
      </c>
      <c r="UZ24">
        <v>3.05</v>
      </c>
      <c r="VA24">
        <v>3.05</v>
      </c>
      <c r="VB24">
        <v>3.05</v>
      </c>
      <c r="VC24">
        <v>3.05</v>
      </c>
      <c r="VD24">
        <v>3.05</v>
      </c>
      <c r="VE24">
        <v>3.05</v>
      </c>
      <c r="VF24">
        <v>3.05</v>
      </c>
      <c r="VG24">
        <v>3.05</v>
      </c>
      <c r="VH24">
        <v>3.05</v>
      </c>
      <c r="VI24">
        <v>3.05</v>
      </c>
      <c r="VJ24">
        <v>3.05</v>
      </c>
      <c r="VK24">
        <v>3.05</v>
      </c>
      <c r="VL24">
        <v>2.1</v>
      </c>
      <c r="VM24">
        <v>3.05</v>
      </c>
      <c r="VN24">
        <v>3.05</v>
      </c>
      <c r="VO24">
        <v>3.05</v>
      </c>
      <c r="VP24">
        <v>3.05</v>
      </c>
      <c r="VQ24">
        <v>3.05</v>
      </c>
      <c r="VR24">
        <v>3.05</v>
      </c>
      <c r="VS24">
        <v>3.05</v>
      </c>
      <c r="VT24">
        <v>3.05</v>
      </c>
      <c r="VU24">
        <v>3.05</v>
      </c>
      <c r="VV24">
        <v>3.05</v>
      </c>
      <c r="VW24">
        <v>3.05</v>
      </c>
      <c r="VX24">
        <v>3.05</v>
      </c>
      <c r="VY24">
        <v>3.05</v>
      </c>
      <c r="VZ24">
        <v>3.05</v>
      </c>
      <c r="WA24">
        <v>3.05</v>
      </c>
      <c r="WB24">
        <v>3.05</v>
      </c>
      <c r="WC24">
        <v>3.05</v>
      </c>
      <c r="WD24">
        <v>3.05</v>
      </c>
      <c r="WE24">
        <v>3.05</v>
      </c>
      <c r="WF24">
        <v>3.05</v>
      </c>
      <c r="WG24">
        <v>3.05</v>
      </c>
      <c r="WH24">
        <v>3.05</v>
      </c>
      <c r="WI24">
        <v>3.05</v>
      </c>
      <c r="WJ24">
        <v>3.05</v>
      </c>
      <c r="WK24">
        <v>3.05</v>
      </c>
      <c r="WL24">
        <v>3.05</v>
      </c>
      <c r="WM24">
        <v>3.05</v>
      </c>
      <c r="WN24">
        <v>3.05</v>
      </c>
      <c r="WO24">
        <v>3.05</v>
      </c>
      <c r="WP24">
        <v>3.05</v>
      </c>
      <c r="WQ24">
        <v>3.05</v>
      </c>
      <c r="WR24">
        <v>3.05</v>
      </c>
      <c r="WS24">
        <v>3.05</v>
      </c>
      <c r="WT24">
        <v>3.27</v>
      </c>
      <c r="WU24">
        <v>3.27</v>
      </c>
      <c r="WV24">
        <v>3.27</v>
      </c>
      <c r="WW24">
        <v>3.27</v>
      </c>
      <c r="WX24">
        <v>3.27</v>
      </c>
      <c r="WY24">
        <v>3.27</v>
      </c>
      <c r="WZ24">
        <v>3.27</v>
      </c>
      <c r="XA24">
        <v>2.38</v>
      </c>
      <c r="XB24">
        <v>3.27</v>
      </c>
      <c r="XC24">
        <v>3.27</v>
      </c>
      <c r="XD24">
        <v>3.27</v>
      </c>
      <c r="XE24">
        <v>3.27</v>
      </c>
      <c r="XF24">
        <v>3.27</v>
      </c>
      <c r="XG24">
        <v>3.27</v>
      </c>
      <c r="XH24">
        <v>3.27</v>
      </c>
      <c r="XI24">
        <v>2.5099999999999998</v>
      </c>
      <c r="XJ24">
        <v>3.27</v>
      </c>
      <c r="XK24">
        <v>3.27</v>
      </c>
      <c r="XL24">
        <v>3.27</v>
      </c>
      <c r="XM24">
        <v>3.27</v>
      </c>
      <c r="XN24">
        <v>3.27</v>
      </c>
      <c r="XO24">
        <v>3.27</v>
      </c>
      <c r="XP24">
        <v>3.27</v>
      </c>
      <c r="XQ24">
        <v>3.27</v>
      </c>
      <c r="XR24">
        <v>3.27</v>
      </c>
      <c r="XS24">
        <v>3.27</v>
      </c>
      <c r="XT24">
        <v>3.27</v>
      </c>
      <c r="XU24">
        <v>3.27</v>
      </c>
      <c r="XV24">
        <v>3.27</v>
      </c>
      <c r="XW24">
        <v>3.27</v>
      </c>
      <c r="XX24">
        <v>3.27</v>
      </c>
      <c r="XY24">
        <v>3.27</v>
      </c>
      <c r="XZ24">
        <v>3.27</v>
      </c>
      <c r="YA24">
        <v>3.27</v>
      </c>
      <c r="YB24">
        <v>3.27</v>
      </c>
      <c r="YC24">
        <v>3.27</v>
      </c>
      <c r="YD24">
        <v>3.27</v>
      </c>
      <c r="YE24">
        <v>3.27</v>
      </c>
      <c r="YF24">
        <v>3.27</v>
      </c>
      <c r="YG24">
        <v>3.27</v>
      </c>
      <c r="YH24">
        <v>3.27</v>
      </c>
      <c r="YI24">
        <v>3.27</v>
      </c>
      <c r="YJ24">
        <v>3.27</v>
      </c>
      <c r="YK24">
        <v>3.27</v>
      </c>
      <c r="YL24">
        <v>3.27</v>
      </c>
      <c r="YM24">
        <v>3.27</v>
      </c>
      <c r="YN24">
        <v>3.27</v>
      </c>
      <c r="YO24">
        <v>3.27</v>
      </c>
      <c r="YP24">
        <v>3.27</v>
      </c>
      <c r="YQ24">
        <v>3.27</v>
      </c>
      <c r="YR24">
        <v>3.27</v>
      </c>
      <c r="YS24">
        <v>3.27</v>
      </c>
      <c r="YT24">
        <v>3.48</v>
      </c>
      <c r="YU24">
        <v>3.48</v>
      </c>
      <c r="YV24">
        <v>3.48</v>
      </c>
      <c r="YW24">
        <v>3.49</v>
      </c>
      <c r="YX24">
        <v>3.49</v>
      </c>
      <c r="YY24">
        <v>3.49</v>
      </c>
      <c r="YZ24">
        <v>3.49</v>
      </c>
      <c r="ZA24">
        <v>3.49</v>
      </c>
      <c r="ZB24">
        <v>3.49</v>
      </c>
      <c r="ZC24">
        <v>3.49</v>
      </c>
      <c r="ZD24">
        <v>3.49</v>
      </c>
      <c r="ZE24">
        <v>3.49</v>
      </c>
      <c r="ZF24">
        <v>2.71</v>
      </c>
      <c r="ZG24">
        <v>3.49</v>
      </c>
      <c r="ZH24">
        <v>3.49</v>
      </c>
      <c r="ZI24">
        <v>3.49</v>
      </c>
      <c r="ZJ24">
        <v>3.49</v>
      </c>
      <c r="ZK24">
        <v>3.49</v>
      </c>
      <c r="ZL24">
        <v>3.49</v>
      </c>
      <c r="ZM24">
        <v>3.49</v>
      </c>
      <c r="ZN24">
        <v>3.49</v>
      </c>
      <c r="ZO24">
        <v>2.42</v>
      </c>
      <c r="ZP24">
        <v>3.49</v>
      </c>
      <c r="ZQ24">
        <v>3.49</v>
      </c>
      <c r="ZR24">
        <v>3.49</v>
      </c>
      <c r="ZS24">
        <v>3.49</v>
      </c>
      <c r="ZT24">
        <v>3.49</v>
      </c>
      <c r="ZU24">
        <v>3.49</v>
      </c>
      <c r="ZV24">
        <v>3.49</v>
      </c>
      <c r="ZW24">
        <v>3.49</v>
      </c>
      <c r="ZX24">
        <v>3.49</v>
      </c>
      <c r="ZY24">
        <v>3.49</v>
      </c>
      <c r="ZZ24">
        <v>3.49</v>
      </c>
      <c r="AAA24">
        <v>3.49</v>
      </c>
      <c r="AAB24">
        <v>3.49</v>
      </c>
      <c r="AAC24">
        <v>3.49</v>
      </c>
      <c r="AAD24">
        <v>3.49</v>
      </c>
      <c r="AAE24">
        <v>3.49</v>
      </c>
      <c r="AAF24">
        <v>3.49</v>
      </c>
      <c r="AAG24">
        <v>3.49</v>
      </c>
      <c r="AAH24">
        <v>3.49</v>
      </c>
      <c r="AAI24">
        <v>3.49</v>
      </c>
      <c r="AAJ24">
        <v>3.49</v>
      </c>
      <c r="AAK24">
        <v>3.49</v>
      </c>
      <c r="AAL24">
        <v>3.49</v>
      </c>
      <c r="AAM24">
        <v>3.49</v>
      </c>
      <c r="AAN24">
        <v>3.49</v>
      </c>
      <c r="AAO24">
        <v>3.49</v>
      </c>
      <c r="AAP24">
        <v>3.7</v>
      </c>
      <c r="AAQ24">
        <v>3.7</v>
      </c>
      <c r="AAR24">
        <v>3.7</v>
      </c>
      <c r="AAS24">
        <v>3.71</v>
      </c>
      <c r="AAT24">
        <v>3.71</v>
      </c>
      <c r="AAU24">
        <v>3.71</v>
      </c>
      <c r="AAV24">
        <v>3.71</v>
      </c>
      <c r="AAW24">
        <v>3.71</v>
      </c>
      <c r="AAX24">
        <v>3.71</v>
      </c>
      <c r="AAY24">
        <v>3.71</v>
      </c>
      <c r="AAZ24">
        <v>3.71</v>
      </c>
      <c r="ABA24">
        <v>3.71</v>
      </c>
      <c r="ABB24">
        <v>3.71</v>
      </c>
      <c r="ABC24">
        <v>3.71</v>
      </c>
      <c r="ABD24">
        <v>3.71</v>
      </c>
      <c r="ABE24">
        <v>3.71</v>
      </c>
      <c r="ABF24">
        <v>3.71</v>
      </c>
      <c r="ABG24">
        <v>3.71</v>
      </c>
      <c r="ABH24">
        <v>3.71</v>
      </c>
      <c r="ABI24">
        <v>3.71</v>
      </c>
      <c r="ABJ24">
        <v>3.71</v>
      </c>
      <c r="ABK24">
        <v>3.71</v>
      </c>
      <c r="ABL24">
        <v>3.71</v>
      </c>
      <c r="ABM24">
        <v>3.71</v>
      </c>
      <c r="ABN24">
        <v>3.71</v>
      </c>
      <c r="ABO24">
        <v>3.71</v>
      </c>
      <c r="ABP24">
        <v>3.71</v>
      </c>
      <c r="ABQ24">
        <v>3.71</v>
      </c>
      <c r="ABR24">
        <v>3.71</v>
      </c>
      <c r="ABS24">
        <v>3.71</v>
      </c>
      <c r="ABT24">
        <v>3.71</v>
      </c>
      <c r="ABU24">
        <v>3.71</v>
      </c>
      <c r="ABV24">
        <v>3.71</v>
      </c>
      <c r="ABW24">
        <v>3.09</v>
      </c>
      <c r="ABX24">
        <v>3.71</v>
      </c>
      <c r="ABY24">
        <v>3.71</v>
      </c>
      <c r="ABZ24">
        <v>3.71</v>
      </c>
      <c r="ACA24">
        <v>3.71</v>
      </c>
      <c r="ACB24">
        <v>3.71</v>
      </c>
      <c r="ACC24">
        <v>3.71</v>
      </c>
      <c r="ACD24">
        <v>3.71</v>
      </c>
      <c r="ACE24">
        <v>3.71</v>
      </c>
      <c r="ACF24">
        <v>3.71</v>
      </c>
      <c r="ACG24">
        <v>3.71</v>
      </c>
      <c r="ACH24">
        <v>3.71</v>
      </c>
      <c r="ACI24">
        <v>3.71</v>
      </c>
      <c r="ACJ24">
        <v>3.71</v>
      </c>
      <c r="ACK24">
        <v>3.71</v>
      </c>
      <c r="ACL24">
        <v>3.49</v>
      </c>
      <c r="ACM24">
        <v>3.92</v>
      </c>
      <c r="ACN24">
        <v>3.92</v>
      </c>
      <c r="ACO24">
        <v>3.92</v>
      </c>
      <c r="ACP24">
        <v>2.7</v>
      </c>
      <c r="ACQ24">
        <v>3.92</v>
      </c>
      <c r="ACR24">
        <v>3.92</v>
      </c>
      <c r="ACS24">
        <v>3.92</v>
      </c>
      <c r="ACT24">
        <v>3.92</v>
      </c>
      <c r="ACU24">
        <v>3.92</v>
      </c>
      <c r="ACV24">
        <v>3.92</v>
      </c>
      <c r="ACW24">
        <v>3.92</v>
      </c>
      <c r="ACX24">
        <v>3.92</v>
      </c>
      <c r="ACY24">
        <v>3.92</v>
      </c>
      <c r="ACZ24">
        <v>3.92</v>
      </c>
      <c r="ADA24">
        <v>3.92</v>
      </c>
      <c r="ADB24">
        <v>3.92</v>
      </c>
      <c r="ADC24">
        <v>3.92</v>
      </c>
      <c r="ADD24">
        <v>3.92</v>
      </c>
      <c r="ADE24">
        <v>3.92</v>
      </c>
      <c r="ADF24">
        <v>3.92</v>
      </c>
      <c r="ADG24">
        <v>3.92</v>
      </c>
      <c r="ADH24">
        <v>3.92</v>
      </c>
      <c r="ADI24">
        <v>3.92</v>
      </c>
      <c r="ADJ24">
        <v>3.92</v>
      </c>
      <c r="ADK24">
        <v>3.92</v>
      </c>
      <c r="ADL24">
        <v>3.92</v>
      </c>
      <c r="ADM24">
        <v>3.92</v>
      </c>
      <c r="ADN24">
        <v>3.92</v>
      </c>
      <c r="ADO24">
        <v>3.92</v>
      </c>
      <c r="ADP24">
        <v>3.92</v>
      </c>
      <c r="ADQ24">
        <v>3.92</v>
      </c>
      <c r="ADR24">
        <v>3.92</v>
      </c>
      <c r="ADS24">
        <v>3.92</v>
      </c>
      <c r="ADT24">
        <v>3.92</v>
      </c>
      <c r="ADU24">
        <v>3.92</v>
      </c>
      <c r="ADV24">
        <v>3.92</v>
      </c>
      <c r="ADW24">
        <v>3.92</v>
      </c>
      <c r="ADX24">
        <v>3.92</v>
      </c>
      <c r="ADY24">
        <v>3.92</v>
      </c>
      <c r="ADZ24">
        <v>3.92</v>
      </c>
      <c r="AEA24">
        <v>3.92</v>
      </c>
      <c r="AEB24">
        <v>3.92</v>
      </c>
      <c r="AEC24">
        <v>3.92</v>
      </c>
      <c r="AED24">
        <v>3.92</v>
      </c>
      <c r="AEE24">
        <v>3.92</v>
      </c>
      <c r="AEF24">
        <v>3.92</v>
      </c>
      <c r="AEG24">
        <v>3.92</v>
      </c>
      <c r="AEH24">
        <v>3.92</v>
      </c>
      <c r="AEI24">
        <v>3.92</v>
      </c>
      <c r="AEJ24">
        <v>3.92</v>
      </c>
      <c r="AEK24">
        <v>3.92</v>
      </c>
      <c r="AEL24">
        <v>3.92</v>
      </c>
      <c r="AEM24">
        <v>3.92</v>
      </c>
      <c r="AEN24">
        <v>4.1399999999999997</v>
      </c>
      <c r="AEO24">
        <v>4.1399999999999997</v>
      </c>
      <c r="AEP24">
        <v>4.1399999999999997</v>
      </c>
      <c r="AEQ24">
        <v>4.1399999999999997</v>
      </c>
      <c r="AER24">
        <v>3.71</v>
      </c>
      <c r="AES24">
        <v>4.1399999999999997</v>
      </c>
      <c r="AET24">
        <v>4.1399999999999997</v>
      </c>
      <c r="AEU24">
        <v>4.1399999999999997</v>
      </c>
      <c r="AEV24">
        <v>3.34</v>
      </c>
      <c r="AEW24">
        <v>4.1399999999999997</v>
      </c>
      <c r="AEX24">
        <v>4.1399999999999997</v>
      </c>
      <c r="AEY24">
        <v>4.1399999999999997</v>
      </c>
      <c r="AEZ24">
        <v>4.1399999999999997</v>
      </c>
      <c r="AFA24">
        <v>2.48</v>
      </c>
      <c r="AFB24">
        <v>4.1399999999999997</v>
      </c>
      <c r="AFC24">
        <v>4.1399999999999997</v>
      </c>
      <c r="AFD24">
        <v>4.1399999999999997</v>
      </c>
      <c r="AFE24">
        <v>4.1399999999999997</v>
      </c>
      <c r="AFF24">
        <v>4.1399999999999997</v>
      </c>
      <c r="AFG24">
        <v>4.1399999999999997</v>
      </c>
      <c r="AFH24">
        <v>4.1399999999999997</v>
      </c>
      <c r="AFI24">
        <v>4.1399999999999997</v>
      </c>
      <c r="AFJ24">
        <v>4.1399999999999997</v>
      </c>
      <c r="AFK24">
        <v>4.1399999999999997</v>
      </c>
      <c r="AFL24">
        <v>4.1399999999999997</v>
      </c>
      <c r="AFM24">
        <v>4.1399999999999997</v>
      </c>
      <c r="AFN24">
        <v>4.1399999999999997</v>
      </c>
      <c r="AFO24">
        <v>4.1399999999999997</v>
      </c>
      <c r="AFP24">
        <v>4.1399999999999997</v>
      </c>
      <c r="AFQ24">
        <v>4.1399999999999997</v>
      </c>
      <c r="AFR24">
        <v>4.1399999999999997</v>
      </c>
      <c r="AFS24">
        <v>4.1399999999999997</v>
      </c>
      <c r="AFT24">
        <v>4.1399999999999997</v>
      </c>
      <c r="AFU24">
        <v>4.1399999999999997</v>
      </c>
      <c r="AFV24">
        <v>4.1399999999999997</v>
      </c>
      <c r="AFW24">
        <v>4.1399999999999997</v>
      </c>
      <c r="AFX24">
        <v>4.1399999999999997</v>
      </c>
      <c r="AFY24">
        <v>4.1399999999999997</v>
      </c>
      <c r="AFZ24">
        <v>4.1399999999999997</v>
      </c>
      <c r="AGA24">
        <v>4.1399999999999997</v>
      </c>
      <c r="AGB24">
        <v>4.1399999999999997</v>
      </c>
      <c r="AGC24">
        <v>4.1399999999999997</v>
      </c>
      <c r="AGD24">
        <v>4.1399999999999997</v>
      </c>
      <c r="AGE24">
        <v>4.1399999999999997</v>
      </c>
      <c r="AGF24">
        <v>4.1399999999999997</v>
      </c>
      <c r="AGG24">
        <v>4.1399999999999997</v>
      </c>
      <c r="AGH24">
        <v>4.1399999999999997</v>
      </c>
      <c r="AGI24">
        <v>4.1399999999999997</v>
      </c>
      <c r="AGJ24">
        <v>4.1399999999999997</v>
      </c>
      <c r="AGK24">
        <v>4.1399999999999997</v>
      </c>
      <c r="AGL24">
        <v>4.1399999999999997</v>
      </c>
      <c r="AGM24">
        <v>4.1399999999999997</v>
      </c>
      <c r="AGN24">
        <v>4.1399999999999997</v>
      </c>
      <c r="AGO24">
        <v>4.1399999999999997</v>
      </c>
      <c r="AGP24">
        <v>4.1399999999999997</v>
      </c>
      <c r="AGQ24">
        <v>4.1399999999999997</v>
      </c>
      <c r="AGR24">
        <v>2.85</v>
      </c>
      <c r="AGS24">
        <v>4.1399999999999997</v>
      </c>
      <c r="AGT24">
        <v>4.1399999999999997</v>
      </c>
      <c r="AGU24">
        <v>4.1399999999999997</v>
      </c>
      <c r="AGV24">
        <v>4.1500000000000004</v>
      </c>
      <c r="AGW24">
        <v>4.3600000000000003</v>
      </c>
      <c r="AGX24">
        <v>4.3600000000000003</v>
      </c>
      <c r="AGY24">
        <v>4.3600000000000003</v>
      </c>
      <c r="AGZ24">
        <v>4.3600000000000003</v>
      </c>
      <c r="AHA24">
        <v>3.07</v>
      </c>
      <c r="AHB24">
        <v>4.3600000000000003</v>
      </c>
      <c r="AHC24">
        <v>4.3600000000000003</v>
      </c>
      <c r="AHD24">
        <v>4.3600000000000003</v>
      </c>
      <c r="AHE24">
        <v>4.3600000000000003</v>
      </c>
      <c r="AHF24">
        <v>4.3600000000000003</v>
      </c>
      <c r="AHG24">
        <v>4.3600000000000003</v>
      </c>
      <c r="AHH24">
        <v>4.3600000000000003</v>
      </c>
      <c r="AHI24">
        <v>4.3600000000000003</v>
      </c>
      <c r="AHJ24">
        <v>4.3600000000000003</v>
      </c>
      <c r="AHK24">
        <v>4.3600000000000003</v>
      </c>
      <c r="AHL24">
        <v>4.3600000000000003</v>
      </c>
      <c r="AHM24">
        <v>3.26</v>
      </c>
      <c r="AHN24">
        <v>4.3600000000000003</v>
      </c>
      <c r="AHO24">
        <v>4.3600000000000003</v>
      </c>
      <c r="AHP24">
        <v>4.3600000000000003</v>
      </c>
      <c r="AHQ24">
        <v>4.3600000000000003</v>
      </c>
      <c r="AHR24">
        <v>3.07</v>
      </c>
      <c r="AHS24">
        <v>4.3600000000000003</v>
      </c>
      <c r="AHT24">
        <v>4.3600000000000003</v>
      </c>
      <c r="AHU24">
        <v>4.3600000000000003</v>
      </c>
      <c r="AHV24">
        <v>4.3600000000000003</v>
      </c>
      <c r="AHW24">
        <v>4.3600000000000003</v>
      </c>
      <c r="AHX24">
        <v>4.3600000000000003</v>
      </c>
      <c r="AHY24">
        <v>4.3600000000000003</v>
      </c>
      <c r="AHZ24">
        <v>4.3600000000000003</v>
      </c>
      <c r="AIA24">
        <v>4.3600000000000003</v>
      </c>
      <c r="AIB24">
        <v>4.3600000000000003</v>
      </c>
      <c r="AIC24">
        <v>4.3600000000000003</v>
      </c>
      <c r="AID24">
        <v>4.3600000000000003</v>
      </c>
      <c r="AIE24">
        <v>4.3600000000000003</v>
      </c>
      <c r="AIF24">
        <v>4.3600000000000003</v>
      </c>
      <c r="AIG24">
        <v>4.3600000000000003</v>
      </c>
      <c r="AIH24">
        <v>4.3600000000000003</v>
      </c>
      <c r="AII24">
        <v>4.3600000000000003</v>
      </c>
      <c r="AIJ24">
        <v>4.3600000000000003</v>
      </c>
      <c r="AIK24">
        <v>4.3600000000000003</v>
      </c>
      <c r="AIL24">
        <v>4.3600000000000003</v>
      </c>
      <c r="AIM24">
        <v>4.3600000000000003</v>
      </c>
      <c r="AIN24">
        <v>4.3600000000000003</v>
      </c>
      <c r="AIO24">
        <v>4.3600000000000003</v>
      </c>
      <c r="AIP24">
        <v>4.3600000000000003</v>
      </c>
      <c r="AIQ24">
        <v>4.3600000000000003</v>
      </c>
      <c r="AIR24">
        <v>4.3600000000000003</v>
      </c>
      <c r="AIS24">
        <v>4.3600000000000003</v>
      </c>
      <c r="AIT24">
        <v>4.3600000000000003</v>
      </c>
      <c r="AIU24">
        <v>4.3600000000000003</v>
      </c>
      <c r="AIV24">
        <v>4.3600000000000003</v>
      </c>
      <c r="AIW24">
        <v>4.3600000000000003</v>
      </c>
      <c r="AIX24">
        <v>4.3600000000000003</v>
      </c>
      <c r="AIY24">
        <v>4.57</v>
      </c>
      <c r="AIZ24">
        <v>4.57</v>
      </c>
      <c r="AJA24">
        <v>4.57</v>
      </c>
      <c r="AJB24">
        <v>4.58</v>
      </c>
      <c r="AJC24">
        <v>4.58</v>
      </c>
      <c r="AJD24">
        <v>4.58</v>
      </c>
      <c r="AJE24">
        <v>4.58</v>
      </c>
      <c r="AJF24">
        <v>4.58</v>
      </c>
      <c r="AJG24">
        <v>4.58</v>
      </c>
      <c r="AJH24">
        <v>4.58</v>
      </c>
      <c r="AJI24">
        <v>4.58</v>
      </c>
      <c r="AJJ24">
        <v>4.58</v>
      </c>
      <c r="AJK24">
        <v>4.58</v>
      </c>
      <c r="AJL24">
        <v>4.58</v>
      </c>
      <c r="AJM24">
        <v>4.58</v>
      </c>
      <c r="AJN24">
        <v>4.58</v>
      </c>
      <c r="AJO24">
        <v>4.58</v>
      </c>
      <c r="AJP24">
        <v>4.58</v>
      </c>
      <c r="AJQ24">
        <v>4.58</v>
      </c>
      <c r="AJR24">
        <v>4.58</v>
      </c>
      <c r="AJS24">
        <v>4.58</v>
      </c>
      <c r="AJT24">
        <v>4.58</v>
      </c>
      <c r="AJU24">
        <v>4.58</v>
      </c>
      <c r="AJV24">
        <v>4.58</v>
      </c>
      <c r="AJW24">
        <v>4.58</v>
      </c>
      <c r="AJX24">
        <v>4.58</v>
      </c>
      <c r="AJY24">
        <v>4.58</v>
      </c>
      <c r="AJZ24">
        <v>4.58</v>
      </c>
      <c r="AKA24">
        <v>4.58</v>
      </c>
      <c r="AKB24">
        <v>4.58</v>
      </c>
      <c r="AKC24">
        <v>4.58</v>
      </c>
      <c r="AKD24">
        <v>4.58</v>
      </c>
      <c r="AKE24">
        <v>4.58</v>
      </c>
      <c r="AKF24">
        <v>4.58</v>
      </c>
      <c r="AKG24">
        <v>4.58</v>
      </c>
      <c r="AKH24">
        <v>4.58</v>
      </c>
      <c r="AKI24">
        <v>4.58</v>
      </c>
      <c r="AKJ24">
        <v>3.34</v>
      </c>
      <c r="AKK24">
        <v>4.58</v>
      </c>
      <c r="AKL24">
        <v>4.58</v>
      </c>
      <c r="AKM24">
        <v>4.58</v>
      </c>
      <c r="AKN24">
        <v>4.58</v>
      </c>
      <c r="AKO24">
        <v>4.58</v>
      </c>
      <c r="AKP24">
        <v>4.58</v>
      </c>
      <c r="AKQ24">
        <v>4.58</v>
      </c>
      <c r="AKR24">
        <v>4.58</v>
      </c>
      <c r="AKS24">
        <v>4.58</v>
      </c>
      <c r="AKT24">
        <v>4.58</v>
      </c>
      <c r="AKU24">
        <v>4.58</v>
      </c>
      <c r="AKV24">
        <v>4.79</v>
      </c>
      <c r="AKW24">
        <v>4.79</v>
      </c>
      <c r="AKX24">
        <v>4.79</v>
      </c>
      <c r="AKY24">
        <v>4.79</v>
      </c>
      <c r="AKZ24">
        <v>4.79</v>
      </c>
      <c r="ALA24">
        <v>4.79</v>
      </c>
      <c r="ALB24">
        <v>4.79</v>
      </c>
      <c r="ALC24">
        <v>3.53</v>
      </c>
      <c r="ALD24">
        <v>4.79</v>
      </c>
      <c r="ALE24">
        <v>4.79</v>
      </c>
      <c r="ALF24">
        <v>4.79</v>
      </c>
      <c r="ALG24">
        <v>4.79</v>
      </c>
      <c r="ALH24">
        <v>4.79</v>
      </c>
      <c r="ALI24">
        <v>4.79</v>
      </c>
      <c r="ALJ24">
        <v>4.79</v>
      </c>
      <c r="ALK24">
        <v>4.79</v>
      </c>
      <c r="ALL24">
        <v>4.79</v>
      </c>
      <c r="ALM24">
        <v>4.79</v>
      </c>
      <c r="ALN24">
        <v>4.79</v>
      </c>
      <c r="ALO24">
        <v>4.79</v>
      </c>
      <c r="ALP24">
        <v>4.79</v>
      </c>
      <c r="ALQ24">
        <v>4.79</v>
      </c>
      <c r="ALR24">
        <v>4.79</v>
      </c>
      <c r="ALS24">
        <v>4.79</v>
      </c>
      <c r="ALT24">
        <v>4.79</v>
      </c>
      <c r="ALU24">
        <v>4.79</v>
      </c>
      <c r="ALV24">
        <v>4.79</v>
      </c>
      <c r="ALW24">
        <v>4.79</v>
      </c>
      <c r="ALX24">
        <v>4.79</v>
      </c>
      <c r="ALY24">
        <v>4.79</v>
      </c>
      <c r="ALZ24">
        <v>4.79</v>
      </c>
      <c r="AMA24">
        <v>4.79</v>
      </c>
      <c r="AMB24">
        <v>4.79</v>
      </c>
      <c r="AMC24">
        <v>4.79</v>
      </c>
      <c r="AMD24">
        <v>4.79</v>
      </c>
      <c r="AME24">
        <v>4.79</v>
      </c>
      <c r="AMF24">
        <v>4.79</v>
      </c>
      <c r="AMG24">
        <v>4.79</v>
      </c>
      <c r="AMH24">
        <v>4.79</v>
      </c>
      <c r="AMI24">
        <v>4.79</v>
      </c>
      <c r="AMJ24">
        <v>4.79</v>
      </c>
      <c r="AMK24">
        <v>4.79</v>
      </c>
      <c r="AML24">
        <v>4.79</v>
      </c>
      <c r="AMM24">
        <v>4.79</v>
      </c>
      <c r="AMN24">
        <v>4.79</v>
      </c>
      <c r="AMO24">
        <v>4.79</v>
      </c>
      <c r="AMP24">
        <v>4.79</v>
      </c>
      <c r="AMQ24">
        <v>3.36</v>
      </c>
      <c r="AMR24">
        <v>4.79</v>
      </c>
      <c r="AMS24">
        <v>4.79</v>
      </c>
      <c r="AMT24">
        <v>4.79</v>
      </c>
      <c r="AMU24">
        <v>4.79</v>
      </c>
      <c r="AMV24">
        <v>4.79</v>
      </c>
      <c r="AMW24">
        <v>4.79</v>
      </c>
      <c r="AMX24">
        <v>4.79</v>
      </c>
      <c r="AMY24">
        <v>4.79</v>
      </c>
      <c r="AMZ24">
        <v>5.01</v>
      </c>
      <c r="ANA24">
        <v>5.01</v>
      </c>
      <c r="ANB24">
        <v>5.01</v>
      </c>
      <c r="ANC24">
        <v>5.01</v>
      </c>
      <c r="AND24">
        <v>5.01</v>
      </c>
      <c r="ANE24">
        <v>5.01</v>
      </c>
      <c r="ANF24">
        <v>5.01</v>
      </c>
      <c r="ANG24">
        <v>5.01</v>
      </c>
      <c r="ANH24">
        <v>5.01</v>
      </c>
      <c r="ANI24">
        <v>5.01</v>
      </c>
      <c r="ANJ24">
        <v>5.01</v>
      </c>
      <c r="ANK24">
        <v>5.01</v>
      </c>
      <c r="ANL24">
        <v>5.01</v>
      </c>
      <c r="ANM24">
        <v>5.01</v>
      </c>
      <c r="ANN24">
        <v>5.01</v>
      </c>
      <c r="ANO24">
        <v>5.01</v>
      </c>
      <c r="ANP24">
        <v>5.01</v>
      </c>
      <c r="ANQ24">
        <v>5.01</v>
      </c>
      <c r="ANR24">
        <v>5.01</v>
      </c>
      <c r="ANS24">
        <v>5.01</v>
      </c>
      <c r="ANT24">
        <v>5.01</v>
      </c>
      <c r="ANU24">
        <v>3.73</v>
      </c>
      <c r="ANV24">
        <v>3.73</v>
      </c>
      <c r="ANW24">
        <v>5.01</v>
      </c>
      <c r="ANX24">
        <v>5.01</v>
      </c>
      <c r="ANY24">
        <v>5.01</v>
      </c>
      <c r="ANZ24">
        <v>3.62</v>
      </c>
      <c r="AOA24">
        <v>5.01</v>
      </c>
      <c r="AOB24">
        <v>5.01</v>
      </c>
      <c r="AOC24">
        <v>5.01</v>
      </c>
      <c r="AOD24">
        <v>5.01</v>
      </c>
      <c r="AOE24">
        <v>5.01</v>
      </c>
      <c r="AOF24">
        <v>5.01</v>
      </c>
      <c r="AOG24">
        <v>5.01</v>
      </c>
      <c r="AOH24">
        <v>5.01</v>
      </c>
      <c r="AOI24">
        <v>5.01</v>
      </c>
      <c r="AOJ24">
        <v>5.01</v>
      </c>
      <c r="AOK24">
        <v>5.01</v>
      </c>
      <c r="AOL24">
        <v>5.01</v>
      </c>
      <c r="AOM24">
        <v>5.23</v>
      </c>
      <c r="AON24">
        <v>5.23</v>
      </c>
      <c r="AOO24">
        <v>5.23</v>
      </c>
      <c r="AOP24">
        <v>3.93</v>
      </c>
      <c r="AOQ24">
        <v>5.23</v>
      </c>
      <c r="AOR24">
        <v>5.23</v>
      </c>
      <c r="AOS24">
        <v>5.23</v>
      </c>
      <c r="AOT24">
        <v>5.23</v>
      </c>
      <c r="AOU24">
        <v>5.23</v>
      </c>
      <c r="AOV24">
        <v>5.23</v>
      </c>
      <c r="AOW24">
        <v>5.23</v>
      </c>
      <c r="AOX24">
        <v>5.23</v>
      </c>
      <c r="AOY24">
        <v>5.23</v>
      </c>
      <c r="AOZ24">
        <v>5.23</v>
      </c>
      <c r="APA24">
        <v>5.23</v>
      </c>
      <c r="APB24">
        <v>5.23</v>
      </c>
      <c r="APC24">
        <v>5.23</v>
      </c>
      <c r="APD24">
        <v>3.93</v>
      </c>
      <c r="APE24">
        <v>4.2300000000000004</v>
      </c>
      <c r="APF24">
        <v>5.23</v>
      </c>
      <c r="APG24">
        <v>5.23</v>
      </c>
      <c r="APH24">
        <v>5.23</v>
      </c>
      <c r="API24">
        <v>5.23</v>
      </c>
      <c r="APJ24">
        <v>5.23</v>
      </c>
      <c r="APK24">
        <v>5.23</v>
      </c>
      <c r="APL24">
        <v>5.23</v>
      </c>
      <c r="APM24">
        <v>5.23</v>
      </c>
      <c r="APN24">
        <v>5.23</v>
      </c>
      <c r="APO24">
        <v>5.23</v>
      </c>
      <c r="APP24">
        <v>5.23</v>
      </c>
      <c r="APQ24">
        <v>5.23</v>
      </c>
      <c r="APR24">
        <v>5.23</v>
      </c>
      <c r="APS24">
        <v>5.23</v>
      </c>
      <c r="APT24">
        <v>5.23</v>
      </c>
      <c r="APU24">
        <v>5.45</v>
      </c>
      <c r="APV24">
        <v>5.45</v>
      </c>
      <c r="APW24">
        <v>3.91</v>
      </c>
      <c r="APX24">
        <v>3.39</v>
      </c>
      <c r="APY24">
        <v>5.45</v>
      </c>
      <c r="APZ24">
        <v>5.45</v>
      </c>
      <c r="AQA24">
        <v>5.45</v>
      </c>
      <c r="AQB24">
        <v>3.75</v>
      </c>
      <c r="AQC24">
        <v>5.45</v>
      </c>
      <c r="AQD24">
        <v>5.45</v>
      </c>
      <c r="AQE24">
        <v>5.45</v>
      </c>
      <c r="AQF24">
        <v>5.45</v>
      </c>
      <c r="AQG24">
        <v>5.45</v>
      </c>
      <c r="AQH24">
        <v>5.45</v>
      </c>
      <c r="AQI24">
        <v>5.45</v>
      </c>
      <c r="AQJ24">
        <v>5.45</v>
      </c>
      <c r="AQK24">
        <v>5.45</v>
      </c>
      <c r="AQL24">
        <v>5.45</v>
      </c>
      <c r="AQM24">
        <v>5.45</v>
      </c>
      <c r="AQN24">
        <v>5.45</v>
      </c>
      <c r="AQO24">
        <v>5.45</v>
      </c>
      <c r="AQP24">
        <v>5.45</v>
      </c>
      <c r="AQQ24">
        <v>5.45</v>
      </c>
      <c r="AQR24">
        <v>5.45</v>
      </c>
      <c r="AQS24">
        <v>5.45</v>
      </c>
      <c r="AQT24">
        <v>5.45</v>
      </c>
      <c r="AQU24">
        <v>5.45</v>
      </c>
      <c r="AQV24">
        <v>5.45</v>
      </c>
      <c r="AQW24">
        <v>5.45</v>
      </c>
      <c r="AQX24">
        <v>5.45</v>
      </c>
      <c r="AQY24">
        <v>5.45</v>
      </c>
      <c r="AQZ24">
        <v>5.45</v>
      </c>
      <c r="ARA24">
        <v>5.45</v>
      </c>
      <c r="ARB24">
        <v>5.45</v>
      </c>
      <c r="ARC24">
        <v>5.45</v>
      </c>
      <c r="ARD24">
        <v>5.45</v>
      </c>
      <c r="ARE24">
        <v>5.45</v>
      </c>
      <c r="ARF24">
        <v>5.45</v>
      </c>
      <c r="ARG24">
        <v>5.45</v>
      </c>
      <c r="ARH24">
        <v>5.45</v>
      </c>
      <c r="ARI24">
        <v>5.45</v>
      </c>
      <c r="ARJ24">
        <v>5.45</v>
      </c>
      <c r="ARK24">
        <v>5.45</v>
      </c>
      <c r="ARL24">
        <v>5.45</v>
      </c>
      <c r="ARM24">
        <v>5.45</v>
      </c>
      <c r="ARN24">
        <v>5.45</v>
      </c>
      <c r="ARO24">
        <v>5.45</v>
      </c>
      <c r="ARP24">
        <v>5.45</v>
      </c>
      <c r="ARQ24">
        <v>5.45</v>
      </c>
      <c r="ARR24">
        <v>5.45</v>
      </c>
      <c r="ARS24">
        <v>5.45</v>
      </c>
      <c r="ART24">
        <v>5.66</v>
      </c>
      <c r="ARU24">
        <v>4.4800000000000004</v>
      </c>
      <c r="ARV24">
        <v>5.66</v>
      </c>
      <c r="ARW24">
        <v>5.66</v>
      </c>
      <c r="ARX24">
        <v>5.66</v>
      </c>
      <c r="ARY24">
        <v>5.66</v>
      </c>
      <c r="ARZ24">
        <v>5.67</v>
      </c>
      <c r="ASA24">
        <v>5.67</v>
      </c>
      <c r="ASB24">
        <v>5.67</v>
      </c>
      <c r="ASC24">
        <v>5.67</v>
      </c>
      <c r="ASD24">
        <v>5.67</v>
      </c>
      <c r="ASE24">
        <v>5.67</v>
      </c>
      <c r="ASF24">
        <v>5.67</v>
      </c>
      <c r="ASG24">
        <v>5.67</v>
      </c>
      <c r="ASH24">
        <v>5.67</v>
      </c>
      <c r="ASI24">
        <v>5.67</v>
      </c>
      <c r="ASJ24">
        <v>5.67</v>
      </c>
      <c r="ASK24">
        <v>5.67</v>
      </c>
      <c r="ASL24">
        <v>5.67</v>
      </c>
      <c r="ASM24">
        <v>5.67</v>
      </c>
      <c r="ASN24">
        <v>3.91</v>
      </c>
      <c r="ASO24">
        <v>5.67</v>
      </c>
      <c r="ASP24">
        <v>5.67</v>
      </c>
      <c r="ASQ24">
        <v>5.67</v>
      </c>
      <c r="ASR24">
        <v>5.67</v>
      </c>
      <c r="ASS24">
        <v>5.67</v>
      </c>
      <c r="AST24">
        <v>5.67</v>
      </c>
      <c r="ASU24">
        <v>5.67</v>
      </c>
      <c r="ASV24">
        <v>5.67</v>
      </c>
      <c r="ASW24">
        <v>5.67</v>
      </c>
      <c r="ASX24">
        <v>5.67</v>
      </c>
      <c r="ASY24">
        <v>5.67</v>
      </c>
      <c r="ASZ24">
        <v>5.67</v>
      </c>
      <c r="ATA24">
        <v>5.67</v>
      </c>
      <c r="ATB24">
        <v>5.67</v>
      </c>
      <c r="ATC24">
        <v>5.67</v>
      </c>
      <c r="ATD24">
        <v>5.67</v>
      </c>
      <c r="ATE24">
        <v>5.67</v>
      </c>
      <c r="ATF24">
        <v>3.32</v>
      </c>
      <c r="ATG24">
        <v>5.67</v>
      </c>
      <c r="ATH24">
        <v>5.88</v>
      </c>
      <c r="ATI24">
        <v>5.88</v>
      </c>
      <c r="ATJ24">
        <v>4.54</v>
      </c>
      <c r="ATK24">
        <v>5.88</v>
      </c>
      <c r="ATL24">
        <v>5.04</v>
      </c>
      <c r="ATM24">
        <v>5.88</v>
      </c>
      <c r="ATN24">
        <v>5.88</v>
      </c>
      <c r="ATO24">
        <v>5.88</v>
      </c>
      <c r="ATP24">
        <v>5.88</v>
      </c>
      <c r="ATQ24">
        <v>5.88</v>
      </c>
      <c r="ATR24">
        <v>5.88</v>
      </c>
      <c r="ATS24">
        <v>5.88</v>
      </c>
      <c r="ATT24">
        <v>4.54</v>
      </c>
      <c r="ATU24">
        <v>5.88</v>
      </c>
      <c r="ATV24">
        <v>5.88</v>
      </c>
      <c r="ATW24">
        <v>5.88</v>
      </c>
      <c r="ATX24">
        <v>5.88</v>
      </c>
      <c r="ATY24">
        <v>5.88</v>
      </c>
      <c r="ATZ24">
        <v>5.88</v>
      </c>
      <c r="AUA24">
        <v>5.88</v>
      </c>
      <c r="AUB24">
        <v>5.88</v>
      </c>
      <c r="AUC24">
        <v>5.88</v>
      </c>
      <c r="AUD24">
        <v>5.88</v>
      </c>
      <c r="AUE24">
        <v>5.88</v>
      </c>
      <c r="AUF24">
        <v>5.88</v>
      </c>
      <c r="AUG24">
        <v>5.88</v>
      </c>
      <c r="AUH24">
        <v>5.88</v>
      </c>
      <c r="AUI24">
        <v>5.88</v>
      </c>
      <c r="AUJ24">
        <v>5.88</v>
      </c>
      <c r="AUK24">
        <v>5.88</v>
      </c>
      <c r="AUL24">
        <v>5.88</v>
      </c>
      <c r="AUM24">
        <v>5.88</v>
      </c>
      <c r="AUN24">
        <v>5.88</v>
      </c>
      <c r="AUO24">
        <v>5.88</v>
      </c>
      <c r="AUP24">
        <v>5.88</v>
      </c>
      <c r="AUQ24">
        <v>6.1</v>
      </c>
      <c r="AUR24">
        <v>6.1</v>
      </c>
      <c r="AUS24">
        <v>6.1</v>
      </c>
      <c r="AUT24">
        <v>6.1</v>
      </c>
      <c r="AUU24">
        <v>6.1</v>
      </c>
      <c r="AUV24">
        <v>6.1</v>
      </c>
      <c r="AUW24">
        <v>6.1</v>
      </c>
      <c r="AUX24">
        <v>6.1</v>
      </c>
      <c r="AUY24">
        <v>6.1</v>
      </c>
      <c r="AUZ24">
        <v>6.1</v>
      </c>
      <c r="AVA24">
        <v>6.1</v>
      </c>
      <c r="AVB24">
        <v>6.1</v>
      </c>
      <c r="AVC24">
        <v>6.1</v>
      </c>
      <c r="AVD24">
        <v>6.1</v>
      </c>
      <c r="AVE24">
        <v>6.1</v>
      </c>
      <c r="AVF24">
        <v>6.1</v>
      </c>
      <c r="AVG24">
        <v>6.1</v>
      </c>
      <c r="AVH24">
        <v>6.1</v>
      </c>
      <c r="AVI24">
        <v>6.1</v>
      </c>
      <c r="AVJ24">
        <v>6.1</v>
      </c>
      <c r="AVK24">
        <v>4.49</v>
      </c>
      <c r="AVL24">
        <v>6.1</v>
      </c>
      <c r="AVM24">
        <v>5.66</v>
      </c>
      <c r="AVN24">
        <v>6.1</v>
      </c>
      <c r="AVO24">
        <v>6.1</v>
      </c>
      <c r="AVP24">
        <v>6.1</v>
      </c>
      <c r="AVQ24">
        <v>6.1</v>
      </c>
      <c r="AVR24">
        <v>6.1</v>
      </c>
      <c r="AVS24">
        <v>6.1</v>
      </c>
      <c r="AVT24">
        <v>6.1</v>
      </c>
      <c r="AVU24">
        <v>6.1</v>
      </c>
      <c r="AVV24">
        <v>4.3899999999999997</v>
      </c>
      <c r="AVW24">
        <v>6.1</v>
      </c>
      <c r="AVX24">
        <v>6.1</v>
      </c>
      <c r="AVY24">
        <v>6.1</v>
      </c>
      <c r="AVZ24">
        <v>6.1</v>
      </c>
      <c r="AWA24">
        <v>6.1</v>
      </c>
      <c r="AWB24">
        <v>6.1</v>
      </c>
      <c r="AWC24">
        <v>6.1</v>
      </c>
      <c r="AWD24">
        <v>6.1</v>
      </c>
      <c r="AWE24">
        <v>6.32</v>
      </c>
      <c r="AWF24">
        <v>6.32</v>
      </c>
      <c r="AWG24">
        <v>6.32</v>
      </c>
      <c r="AWH24">
        <v>6.32</v>
      </c>
      <c r="AWI24">
        <v>6.32</v>
      </c>
      <c r="AWJ24">
        <v>6.32</v>
      </c>
      <c r="AWK24">
        <v>4.42</v>
      </c>
      <c r="AWL24">
        <v>6.32</v>
      </c>
      <c r="AWM24">
        <v>6.32</v>
      </c>
      <c r="AWN24">
        <v>6.32</v>
      </c>
      <c r="AWO24">
        <v>6.32</v>
      </c>
      <c r="AWP24">
        <v>6.32</v>
      </c>
      <c r="AWQ24">
        <v>6.32</v>
      </c>
      <c r="AWR24">
        <v>6.32</v>
      </c>
      <c r="AWS24">
        <v>6.32</v>
      </c>
      <c r="AWT24">
        <v>6.32</v>
      </c>
      <c r="AWU24">
        <v>6.32</v>
      </c>
      <c r="AWV24">
        <v>6.32</v>
      </c>
      <c r="AWW24">
        <v>6.32</v>
      </c>
      <c r="AWX24">
        <v>6.32</v>
      </c>
      <c r="AWY24">
        <v>6.32</v>
      </c>
      <c r="AWZ24">
        <v>6.32</v>
      </c>
      <c r="AXA24">
        <v>6.32</v>
      </c>
      <c r="AXB24">
        <v>6.32</v>
      </c>
      <c r="AXC24">
        <v>6.32</v>
      </c>
      <c r="AXD24">
        <v>6.32</v>
      </c>
      <c r="AXE24">
        <v>6.32</v>
      </c>
      <c r="AXF24">
        <v>6.32</v>
      </c>
      <c r="AXG24">
        <v>6.32</v>
      </c>
      <c r="AXH24">
        <v>6.32</v>
      </c>
      <c r="AXI24">
        <v>6.32</v>
      </c>
      <c r="AXJ24">
        <v>6.32</v>
      </c>
      <c r="AXK24">
        <v>6.32</v>
      </c>
      <c r="AXL24">
        <v>6.32</v>
      </c>
      <c r="AXM24">
        <v>6.32</v>
      </c>
      <c r="AXN24">
        <v>6.32</v>
      </c>
      <c r="AXO24">
        <v>6.32</v>
      </c>
      <c r="AXP24">
        <v>4.6900000000000004</v>
      </c>
      <c r="AXQ24">
        <v>6.54</v>
      </c>
      <c r="AXR24">
        <v>4.2</v>
      </c>
      <c r="AXS24">
        <v>6.54</v>
      </c>
      <c r="AXT24">
        <v>6.54</v>
      </c>
      <c r="AXU24">
        <v>5.32</v>
      </c>
      <c r="AXV24">
        <v>6.54</v>
      </c>
      <c r="AXW24">
        <v>5.5</v>
      </c>
      <c r="AXX24">
        <v>6.54</v>
      </c>
      <c r="AXY24">
        <v>6.54</v>
      </c>
      <c r="AXZ24">
        <v>6.54</v>
      </c>
      <c r="AYA24">
        <v>6.54</v>
      </c>
      <c r="AYB24">
        <v>6.54</v>
      </c>
      <c r="AYC24">
        <v>4.51</v>
      </c>
      <c r="AYD24">
        <v>6.54</v>
      </c>
      <c r="AYE24">
        <v>6.54</v>
      </c>
      <c r="AYF24">
        <v>6.54</v>
      </c>
      <c r="AYG24">
        <v>6.54</v>
      </c>
      <c r="AYH24">
        <v>6.54</v>
      </c>
      <c r="AYI24">
        <v>6.54</v>
      </c>
      <c r="AYJ24">
        <v>6.54</v>
      </c>
      <c r="AYK24">
        <v>6.54</v>
      </c>
      <c r="AYL24">
        <v>6.54</v>
      </c>
      <c r="AYM24">
        <v>6.54</v>
      </c>
      <c r="AYN24">
        <v>6.54</v>
      </c>
      <c r="AYO24">
        <v>6.54</v>
      </c>
      <c r="AYP24">
        <v>6.54</v>
      </c>
      <c r="AYQ24">
        <v>6.54</v>
      </c>
      <c r="AYR24">
        <v>6.55</v>
      </c>
      <c r="AYS24">
        <v>6.75</v>
      </c>
      <c r="AYT24">
        <v>6.75</v>
      </c>
      <c r="AYU24">
        <v>6.75</v>
      </c>
      <c r="AYV24">
        <v>4.6500000000000004</v>
      </c>
      <c r="AYW24">
        <v>6.76</v>
      </c>
      <c r="AYX24">
        <v>6.76</v>
      </c>
      <c r="AYY24">
        <v>4.96</v>
      </c>
      <c r="AYZ24">
        <v>6.76</v>
      </c>
      <c r="AZA24">
        <v>6.76</v>
      </c>
      <c r="AZB24">
        <v>6.76</v>
      </c>
      <c r="AZC24">
        <v>6.76</v>
      </c>
      <c r="AZD24">
        <v>4.96</v>
      </c>
      <c r="AZE24">
        <v>6.76</v>
      </c>
      <c r="AZF24">
        <v>6.76</v>
      </c>
      <c r="AZG24">
        <v>6.76</v>
      </c>
      <c r="AZH24">
        <v>6.76</v>
      </c>
      <c r="AZI24">
        <v>6.76</v>
      </c>
      <c r="AZJ24">
        <v>6.76</v>
      </c>
      <c r="AZK24">
        <v>6.76</v>
      </c>
      <c r="AZL24">
        <v>6.76</v>
      </c>
      <c r="AZM24">
        <v>6.76</v>
      </c>
      <c r="AZN24">
        <v>6.76</v>
      </c>
      <c r="AZO24">
        <v>6.76</v>
      </c>
      <c r="AZP24">
        <v>6.76</v>
      </c>
      <c r="AZQ24">
        <v>6.76</v>
      </c>
      <c r="AZR24">
        <v>6.76</v>
      </c>
      <c r="AZS24">
        <v>6.76</v>
      </c>
      <c r="AZT24">
        <v>6.76</v>
      </c>
      <c r="AZU24">
        <v>6.76</v>
      </c>
      <c r="AZV24">
        <v>6.76</v>
      </c>
      <c r="AZW24">
        <v>6.76</v>
      </c>
      <c r="AZX24">
        <v>6.76</v>
      </c>
      <c r="AZY24">
        <v>6.97</v>
      </c>
      <c r="AZZ24">
        <v>6.97</v>
      </c>
      <c r="BAA24">
        <v>6.97</v>
      </c>
      <c r="BAB24">
        <v>6.97</v>
      </c>
      <c r="BAC24">
        <v>6.97</v>
      </c>
      <c r="BAD24">
        <v>4.8899999999999997</v>
      </c>
      <c r="BAE24">
        <v>4.84</v>
      </c>
      <c r="BAF24">
        <v>6.97</v>
      </c>
      <c r="BAG24">
        <v>4.8</v>
      </c>
      <c r="BAH24">
        <v>6.97</v>
      </c>
      <c r="BAI24">
        <v>6.97</v>
      </c>
      <c r="BAJ24">
        <v>6.97</v>
      </c>
      <c r="BAK24">
        <v>6.97</v>
      </c>
      <c r="BAL24">
        <v>5.05</v>
      </c>
      <c r="BAM24">
        <v>6.97</v>
      </c>
      <c r="BAN24">
        <v>6.97</v>
      </c>
      <c r="BAO24">
        <v>6.97</v>
      </c>
      <c r="BAP24">
        <v>4.32</v>
      </c>
      <c r="BAQ24">
        <v>6.97</v>
      </c>
      <c r="BAR24">
        <v>6.97</v>
      </c>
      <c r="BAS24">
        <v>6.97</v>
      </c>
      <c r="BAT24">
        <v>6.97</v>
      </c>
      <c r="BAU24">
        <v>6.97</v>
      </c>
      <c r="BAV24">
        <v>5.58</v>
      </c>
      <c r="BAW24">
        <v>6.97</v>
      </c>
      <c r="BAX24">
        <v>6.97</v>
      </c>
      <c r="BAY24">
        <v>6.97</v>
      </c>
      <c r="BAZ24">
        <v>6.97</v>
      </c>
      <c r="BBA24">
        <v>6.97</v>
      </c>
      <c r="BBB24">
        <v>6.97</v>
      </c>
      <c r="BBC24">
        <v>6.97</v>
      </c>
      <c r="BBD24">
        <v>6.97</v>
      </c>
      <c r="BBE24">
        <v>6.97</v>
      </c>
      <c r="BBF24">
        <v>6.97</v>
      </c>
      <c r="BBG24">
        <v>6.97</v>
      </c>
      <c r="BBH24">
        <v>6.97</v>
      </c>
      <c r="BBI24">
        <v>6.97</v>
      </c>
      <c r="BBJ24">
        <v>6.97</v>
      </c>
      <c r="BBK24">
        <v>6.97</v>
      </c>
      <c r="BBL24">
        <v>6.97</v>
      </c>
      <c r="BBM24">
        <v>6.97</v>
      </c>
      <c r="BBN24">
        <v>7.19</v>
      </c>
      <c r="BBO24">
        <v>7.19</v>
      </c>
      <c r="BBP24">
        <v>4.97</v>
      </c>
      <c r="BBQ24">
        <v>7.19</v>
      </c>
      <c r="BBR24">
        <v>7.19</v>
      </c>
      <c r="BBS24">
        <v>6.33</v>
      </c>
      <c r="BBT24">
        <v>7.19</v>
      </c>
      <c r="BBU24">
        <v>7.19</v>
      </c>
      <c r="BBV24">
        <v>5.01</v>
      </c>
      <c r="BBW24">
        <v>7.19</v>
      </c>
      <c r="BBX24">
        <v>7.19</v>
      </c>
      <c r="BBY24">
        <v>5.07</v>
      </c>
      <c r="BBZ24">
        <v>7.19</v>
      </c>
      <c r="BCA24">
        <v>7.19</v>
      </c>
      <c r="BCB24">
        <v>7.19</v>
      </c>
      <c r="BCC24">
        <v>7.19</v>
      </c>
      <c r="BCD24">
        <v>7.19</v>
      </c>
      <c r="BCE24">
        <v>7.19</v>
      </c>
      <c r="BCF24">
        <v>6.33</v>
      </c>
      <c r="BCG24">
        <v>7.19</v>
      </c>
      <c r="BCH24">
        <v>7.19</v>
      </c>
      <c r="BCI24">
        <v>7.19</v>
      </c>
      <c r="BCJ24">
        <v>7.19</v>
      </c>
      <c r="BCK24">
        <v>7.19</v>
      </c>
      <c r="BCL24">
        <v>7.19</v>
      </c>
      <c r="BCM24">
        <v>7.19</v>
      </c>
      <c r="BCN24">
        <v>7.19</v>
      </c>
      <c r="BCO24">
        <v>7.19</v>
      </c>
      <c r="BCP24">
        <v>7.19</v>
      </c>
      <c r="BCQ24">
        <v>7.19</v>
      </c>
      <c r="BCR24">
        <v>7.19</v>
      </c>
      <c r="BCS24">
        <v>7.19</v>
      </c>
      <c r="BCT24">
        <v>7.19</v>
      </c>
      <c r="BCU24">
        <v>7.19</v>
      </c>
      <c r="BCV24">
        <v>7.19</v>
      </c>
      <c r="BCW24">
        <v>7.19</v>
      </c>
      <c r="BCX24">
        <v>7.19</v>
      </c>
      <c r="BCY24">
        <v>7.19</v>
      </c>
      <c r="BCZ24">
        <v>7.19</v>
      </c>
      <c r="BDA24">
        <v>7.19</v>
      </c>
      <c r="BDB24">
        <v>7.19</v>
      </c>
      <c r="BDC24">
        <v>7.41</v>
      </c>
      <c r="BDD24">
        <v>7.41</v>
      </c>
      <c r="BDE24">
        <v>7.41</v>
      </c>
      <c r="BDF24">
        <v>7.41</v>
      </c>
      <c r="BDG24">
        <v>7.41</v>
      </c>
      <c r="BDH24">
        <v>7.41</v>
      </c>
      <c r="BDI24">
        <v>7.41</v>
      </c>
      <c r="BDJ24">
        <v>7.41</v>
      </c>
      <c r="BDK24">
        <v>7.41</v>
      </c>
      <c r="BDL24">
        <v>7.41</v>
      </c>
      <c r="BDM24">
        <v>7.41</v>
      </c>
      <c r="BDN24">
        <v>7.41</v>
      </c>
      <c r="BDO24">
        <v>7.41</v>
      </c>
      <c r="BDP24">
        <v>7.41</v>
      </c>
      <c r="BDQ24">
        <v>7.41</v>
      </c>
      <c r="BDR24">
        <v>7.41</v>
      </c>
      <c r="BDS24">
        <v>7.41</v>
      </c>
      <c r="BDT24">
        <v>7.41</v>
      </c>
      <c r="BDU24">
        <v>7.41</v>
      </c>
      <c r="BDV24">
        <v>7.41</v>
      </c>
      <c r="BDW24">
        <v>7.41</v>
      </c>
      <c r="BDX24">
        <v>5.34</v>
      </c>
      <c r="BDY24">
        <v>7.41</v>
      </c>
      <c r="BDZ24">
        <v>7.41</v>
      </c>
      <c r="BEA24">
        <v>7.41</v>
      </c>
      <c r="BEB24">
        <v>7.41</v>
      </c>
      <c r="BEC24">
        <v>7.41</v>
      </c>
      <c r="BED24">
        <v>7.41</v>
      </c>
      <c r="BEE24">
        <v>7.41</v>
      </c>
      <c r="BEF24">
        <v>7.41</v>
      </c>
      <c r="BEG24">
        <v>7.41</v>
      </c>
      <c r="BEH24">
        <v>7.41</v>
      </c>
      <c r="BEI24">
        <v>7.41</v>
      </c>
      <c r="BEJ24">
        <v>7.41</v>
      </c>
      <c r="BEK24">
        <v>7.41</v>
      </c>
      <c r="BEL24">
        <v>7.41</v>
      </c>
      <c r="BEM24">
        <v>7.63</v>
      </c>
      <c r="BEN24">
        <v>7.63</v>
      </c>
      <c r="BEO24">
        <v>7.63</v>
      </c>
      <c r="BEP24">
        <v>7.63</v>
      </c>
      <c r="BEQ24">
        <v>7.63</v>
      </c>
      <c r="BER24">
        <v>7.63</v>
      </c>
      <c r="BES24">
        <v>7.63</v>
      </c>
      <c r="BET24">
        <v>7.63</v>
      </c>
      <c r="BEU24">
        <v>7.63</v>
      </c>
      <c r="BEV24">
        <v>5.31</v>
      </c>
      <c r="BEW24">
        <v>7.63</v>
      </c>
      <c r="BEX24">
        <v>7.63</v>
      </c>
      <c r="BEY24">
        <v>5.64</v>
      </c>
      <c r="BEZ24">
        <v>7.63</v>
      </c>
      <c r="BFA24">
        <v>4.7699999999999996</v>
      </c>
      <c r="BFB24">
        <v>7.63</v>
      </c>
      <c r="BFC24">
        <v>7.63</v>
      </c>
      <c r="BFD24">
        <v>7.63</v>
      </c>
      <c r="BFE24">
        <v>5.37</v>
      </c>
      <c r="BFF24">
        <v>7.63</v>
      </c>
      <c r="BFG24">
        <v>7.63</v>
      </c>
      <c r="BFH24">
        <v>7.63</v>
      </c>
      <c r="BFI24">
        <v>7.63</v>
      </c>
      <c r="BFJ24">
        <v>7.63</v>
      </c>
      <c r="BFK24">
        <v>7.63</v>
      </c>
      <c r="BFL24">
        <v>7.63</v>
      </c>
      <c r="BFM24">
        <v>7.63</v>
      </c>
      <c r="BFN24">
        <v>7.63</v>
      </c>
      <c r="BFO24">
        <v>5.25</v>
      </c>
      <c r="BFP24">
        <v>7.63</v>
      </c>
      <c r="BFQ24">
        <v>7.63</v>
      </c>
      <c r="BFR24">
        <v>7.63</v>
      </c>
      <c r="BFS24">
        <v>7.63</v>
      </c>
      <c r="BFT24">
        <v>7.63</v>
      </c>
      <c r="BFU24">
        <v>7.63</v>
      </c>
      <c r="BFV24">
        <v>7.63</v>
      </c>
      <c r="BFW24">
        <v>7.84</v>
      </c>
      <c r="BFX24">
        <v>3.77</v>
      </c>
      <c r="BFY24">
        <v>7.84</v>
      </c>
      <c r="BFZ24">
        <v>7.85</v>
      </c>
      <c r="BGA24">
        <v>7.85</v>
      </c>
      <c r="BGB24">
        <v>7.85</v>
      </c>
      <c r="BGC24">
        <v>7.85</v>
      </c>
      <c r="BGD24">
        <v>7.85</v>
      </c>
      <c r="BGE24">
        <v>7.85</v>
      </c>
      <c r="BGF24">
        <v>7.85</v>
      </c>
      <c r="BGG24">
        <v>6.6</v>
      </c>
      <c r="BGH24">
        <v>7.85</v>
      </c>
      <c r="BGI24">
        <v>5.44</v>
      </c>
      <c r="BGJ24">
        <v>7.85</v>
      </c>
      <c r="BGK24">
        <v>7.85</v>
      </c>
      <c r="BGL24">
        <v>7.85</v>
      </c>
      <c r="BGM24">
        <v>7.85</v>
      </c>
      <c r="BGN24">
        <v>7.85</v>
      </c>
      <c r="BGO24">
        <v>7.85</v>
      </c>
      <c r="BGP24">
        <v>7.85</v>
      </c>
      <c r="BGQ24">
        <v>7.85</v>
      </c>
      <c r="BGR24">
        <v>4.97</v>
      </c>
      <c r="BGS24">
        <v>7.85</v>
      </c>
      <c r="BGT24">
        <v>7.85</v>
      </c>
      <c r="BGU24">
        <v>6.26</v>
      </c>
      <c r="BGV24">
        <v>7.85</v>
      </c>
      <c r="BGW24">
        <v>6.1</v>
      </c>
      <c r="BGX24">
        <v>7.85</v>
      </c>
      <c r="BGY24">
        <v>7.85</v>
      </c>
      <c r="BGZ24">
        <v>7.85</v>
      </c>
      <c r="BHA24">
        <v>8.06</v>
      </c>
      <c r="BHB24">
        <v>8.06</v>
      </c>
      <c r="BHC24">
        <v>8.06</v>
      </c>
      <c r="BHD24">
        <v>8.06</v>
      </c>
      <c r="BHE24">
        <v>8.06</v>
      </c>
      <c r="BHF24">
        <v>8.06</v>
      </c>
      <c r="BHG24">
        <v>8.06</v>
      </c>
      <c r="BHH24">
        <v>8.06</v>
      </c>
      <c r="BHI24">
        <v>8.06</v>
      </c>
      <c r="BHJ24">
        <v>8.06</v>
      </c>
      <c r="BHK24">
        <v>8.06</v>
      </c>
      <c r="BHL24">
        <v>8.06</v>
      </c>
      <c r="BHM24">
        <v>8.06</v>
      </c>
      <c r="BHN24">
        <v>8.06</v>
      </c>
      <c r="BHO24">
        <v>5.61</v>
      </c>
      <c r="BHP24">
        <v>8.06</v>
      </c>
      <c r="BHQ24">
        <v>8.06</v>
      </c>
      <c r="BHR24">
        <v>8.06</v>
      </c>
      <c r="BHS24">
        <v>5.61</v>
      </c>
      <c r="BHT24">
        <v>8.06</v>
      </c>
      <c r="BHU24">
        <v>8.06</v>
      </c>
      <c r="BHV24">
        <v>8.06</v>
      </c>
      <c r="BHW24">
        <v>8.06</v>
      </c>
      <c r="BHX24">
        <v>8.06</v>
      </c>
      <c r="BHY24">
        <v>8.06</v>
      </c>
      <c r="BHZ24">
        <v>8.06</v>
      </c>
      <c r="BIA24">
        <v>5.55</v>
      </c>
      <c r="BIB24">
        <v>8.06</v>
      </c>
      <c r="BIC24">
        <v>8.06</v>
      </c>
      <c r="BID24">
        <v>8.06</v>
      </c>
      <c r="BIE24">
        <v>8.06</v>
      </c>
      <c r="BIF24">
        <v>8.06</v>
      </c>
      <c r="BIG24">
        <v>8.06</v>
      </c>
      <c r="BIH24">
        <v>7.01</v>
      </c>
      <c r="BII24">
        <v>8.07</v>
      </c>
      <c r="BIJ24">
        <v>8.2799999999999994</v>
      </c>
      <c r="BIK24">
        <v>8.2799999999999994</v>
      </c>
      <c r="BIL24">
        <v>8.2799999999999994</v>
      </c>
      <c r="BIM24">
        <v>8.2799999999999994</v>
      </c>
      <c r="BIN24">
        <v>8.2799999999999994</v>
      </c>
      <c r="BIO24">
        <v>8.2799999999999994</v>
      </c>
      <c r="BIP24">
        <v>8.2799999999999994</v>
      </c>
      <c r="BIQ24">
        <v>8.2799999999999994</v>
      </c>
      <c r="BIR24">
        <v>8.2799999999999994</v>
      </c>
      <c r="BIS24">
        <v>8.2799999999999994</v>
      </c>
      <c r="BIT24">
        <v>6.01</v>
      </c>
      <c r="BIU24">
        <v>5.84</v>
      </c>
      <c r="BIV24">
        <v>7.22</v>
      </c>
      <c r="BIW24">
        <v>8.2799999999999994</v>
      </c>
      <c r="BIX24">
        <v>8.2799999999999994</v>
      </c>
      <c r="BIY24">
        <v>8.2799999999999994</v>
      </c>
      <c r="BIZ24">
        <v>8.2799999999999994</v>
      </c>
      <c r="BJA24">
        <v>8.2799999999999994</v>
      </c>
      <c r="BJB24">
        <v>8.2799999999999994</v>
      </c>
      <c r="BJC24">
        <v>7.62</v>
      </c>
      <c r="BJD24">
        <v>8.2799999999999994</v>
      </c>
      <c r="BJE24">
        <v>8.2799999999999994</v>
      </c>
      <c r="BJF24">
        <v>8.2799999999999994</v>
      </c>
      <c r="BJG24">
        <v>8.2799999999999994</v>
      </c>
      <c r="BJH24">
        <v>8.2799999999999994</v>
      </c>
      <c r="BJI24">
        <v>8.2799999999999994</v>
      </c>
      <c r="BJJ24">
        <v>8.2799999999999994</v>
      </c>
      <c r="BJK24">
        <v>8.2799999999999994</v>
      </c>
      <c r="BJL24">
        <v>8.2799999999999994</v>
      </c>
      <c r="BJM24">
        <v>8.2799999999999994</v>
      </c>
      <c r="BJN24">
        <v>8.2799999999999994</v>
      </c>
      <c r="BJO24">
        <v>8.2799999999999994</v>
      </c>
      <c r="BJP24">
        <v>8.2799999999999994</v>
      </c>
      <c r="BJQ24">
        <v>8.2799999999999994</v>
      </c>
      <c r="BJR24">
        <v>6.24</v>
      </c>
      <c r="BJS24">
        <v>8.2799999999999994</v>
      </c>
      <c r="BJT24">
        <v>8.2799999999999994</v>
      </c>
      <c r="BJU24">
        <v>8.5</v>
      </c>
      <c r="BJV24">
        <v>8.5</v>
      </c>
      <c r="BJW24">
        <v>8.5</v>
      </c>
      <c r="BJX24">
        <v>8.5</v>
      </c>
      <c r="BJY24">
        <v>8.5</v>
      </c>
      <c r="BJZ24">
        <v>4.74</v>
      </c>
      <c r="BKA24">
        <v>8.5</v>
      </c>
      <c r="BKB24">
        <v>8.5</v>
      </c>
      <c r="BKC24">
        <v>8.5</v>
      </c>
      <c r="BKD24">
        <v>8.5</v>
      </c>
      <c r="BKE24">
        <v>8.5</v>
      </c>
      <c r="BKF24">
        <v>8.5</v>
      </c>
      <c r="BKG24">
        <v>6.89</v>
      </c>
      <c r="BKH24">
        <v>8.5</v>
      </c>
      <c r="BKI24">
        <v>8.5</v>
      </c>
      <c r="BKJ24">
        <v>8.5</v>
      </c>
      <c r="BKK24">
        <v>8.5</v>
      </c>
      <c r="BKL24">
        <v>8.5</v>
      </c>
      <c r="BKM24">
        <v>8.5</v>
      </c>
      <c r="BKN24">
        <v>8.5</v>
      </c>
      <c r="BKO24">
        <v>8.5</v>
      </c>
      <c r="BKP24">
        <v>8.5</v>
      </c>
      <c r="BKQ24">
        <v>8.5</v>
      </c>
      <c r="BKR24">
        <v>8.5</v>
      </c>
      <c r="BKS24">
        <v>8.5</v>
      </c>
      <c r="BKT24">
        <v>8.5</v>
      </c>
      <c r="BKU24">
        <v>8.5</v>
      </c>
      <c r="BKV24">
        <v>8.5</v>
      </c>
      <c r="BKW24">
        <v>8.5</v>
      </c>
      <c r="BKX24">
        <v>8.5</v>
      </c>
      <c r="BKY24">
        <v>8.5</v>
      </c>
      <c r="BKZ24">
        <v>8.5</v>
      </c>
      <c r="BLA24">
        <v>8.7200000000000006</v>
      </c>
      <c r="BLB24">
        <v>8.7200000000000006</v>
      </c>
      <c r="BLC24">
        <v>8.7200000000000006</v>
      </c>
      <c r="BLD24">
        <v>8.7200000000000006</v>
      </c>
      <c r="BLE24">
        <v>6.13</v>
      </c>
      <c r="BLF24">
        <v>8.7200000000000006</v>
      </c>
      <c r="BLG24">
        <v>7.27</v>
      </c>
      <c r="BLH24">
        <v>8.7200000000000006</v>
      </c>
      <c r="BLI24">
        <v>6.02</v>
      </c>
      <c r="BLJ24">
        <v>8.7200000000000006</v>
      </c>
      <c r="BLK24">
        <v>6.03</v>
      </c>
      <c r="BLL24">
        <v>8.7200000000000006</v>
      </c>
      <c r="BLM24">
        <v>8.7200000000000006</v>
      </c>
      <c r="BLN24">
        <v>8.7200000000000006</v>
      </c>
      <c r="BLO24">
        <v>8.7200000000000006</v>
      </c>
      <c r="BLP24">
        <v>8.7200000000000006</v>
      </c>
      <c r="BLQ24">
        <v>8.7200000000000006</v>
      </c>
      <c r="BLR24">
        <v>6.64</v>
      </c>
      <c r="BLS24">
        <v>8.7200000000000006</v>
      </c>
      <c r="BLT24">
        <v>8.7200000000000006</v>
      </c>
      <c r="BLU24">
        <v>8.7200000000000006</v>
      </c>
      <c r="BLV24">
        <v>8.7200000000000006</v>
      </c>
      <c r="BLW24">
        <v>8.7200000000000006</v>
      </c>
      <c r="BLX24">
        <v>8.7200000000000006</v>
      </c>
      <c r="BLY24">
        <v>8.7200000000000006</v>
      </c>
      <c r="BLZ24">
        <v>8.7200000000000006</v>
      </c>
      <c r="BMA24">
        <v>8.7200000000000006</v>
      </c>
      <c r="BMB24">
        <v>8.7200000000000006</v>
      </c>
      <c r="BMC24">
        <v>8.7200000000000006</v>
      </c>
      <c r="BMD24">
        <v>8.93</v>
      </c>
      <c r="BME24">
        <v>8.93</v>
      </c>
      <c r="BMF24">
        <v>5.2</v>
      </c>
      <c r="BMG24">
        <v>8.94</v>
      </c>
      <c r="BMH24">
        <v>6.15</v>
      </c>
      <c r="BMI24">
        <v>8.94</v>
      </c>
      <c r="BMJ24">
        <v>8.94</v>
      </c>
      <c r="BMK24">
        <v>8.94</v>
      </c>
      <c r="BML24">
        <v>8.94</v>
      </c>
      <c r="BMM24">
        <v>8.94</v>
      </c>
      <c r="BMN24">
        <v>8.94</v>
      </c>
      <c r="BMO24">
        <v>8.94</v>
      </c>
      <c r="BMP24">
        <v>6.84</v>
      </c>
      <c r="BMQ24">
        <v>8.94</v>
      </c>
      <c r="BMR24">
        <v>8.94</v>
      </c>
      <c r="BMS24">
        <v>8.94</v>
      </c>
      <c r="BMT24">
        <v>8.94</v>
      </c>
      <c r="BMU24">
        <v>8.94</v>
      </c>
      <c r="BMV24">
        <v>8.94</v>
      </c>
      <c r="BMW24">
        <v>6.42</v>
      </c>
      <c r="BMX24">
        <v>9.15</v>
      </c>
      <c r="BMY24">
        <v>9.15</v>
      </c>
      <c r="BMZ24">
        <v>9.15</v>
      </c>
      <c r="BNA24">
        <v>7.89</v>
      </c>
      <c r="BNB24">
        <v>9.15</v>
      </c>
      <c r="BNC24">
        <v>9.15</v>
      </c>
      <c r="BND24">
        <v>9.15</v>
      </c>
      <c r="BNE24">
        <v>5.54</v>
      </c>
      <c r="BNF24">
        <v>9.15</v>
      </c>
      <c r="BNG24">
        <v>9.15</v>
      </c>
      <c r="BNH24">
        <v>9.15</v>
      </c>
      <c r="BNI24">
        <v>9.15</v>
      </c>
      <c r="BNJ24">
        <v>9.15</v>
      </c>
      <c r="BNK24">
        <v>7.52</v>
      </c>
      <c r="BNL24">
        <v>6.3</v>
      </c>
      <c r="BNM24">
        <v>9.15</v>
      </c>
      <c r="BNN24">
        <v>9.15</v>
      </c>
      <c r="BNO24">
        <v>9.15</v>
      </c>
      <c r="BNP24">
        <v>6.68</v>
      </c>
      <c r="BNQ24">
        <v>9.15</v>
      </c>
      <c r="BNR24">
        <v>9.15</v>
      </c>
      <c r="BNS24">
        <v>9.15</v>
      </c>
      <c r="BNT24">
        <v>9.15</v>
      </c>
      <c r="BNU24">
        <v>6.33</v>
      </c>
      <c r="BNV24">
        <v>9.15</v>
      </c>
      <c r="BNW24">
        <v>9.15</v>
      </c>
      <c r="BNX24">
        <v>9.15</v>
      </c>
      <c r="BNY24">
        <v>9.15</v>
      </c>
      <c r="BNZ24">
        <v>9.15</v>
      </c>
      <c r="BOA24">
        <v>9.15</v>
      </c>
      <c r="BOB24">
        <v>9.16</v>
      </c>
      <c r="BOC24">
        <v>6.87</v>
      </c>
      <c r="BOD24">
        <v>9.3699999999999992</v>
      </c>
      <c r="BOE24">
        <v>9.3699999999999992</v>
      </c>
      <c r="BOF24">
        <v>9.3699999999999992</v>
      </c>
      <c r="BOG24">
        <v>9.3699999999999992</v>
      </c>
      <c r="BOH24">
        <v>6.54</v>
      </c>
      <c r="BOI24">
        <v>9.3699999999999992</v>
      </c>
      <c r="BOJ24">
        <v>7.73</v>
      </c>
      <c r="BOK24">
        <v>7.91</v>
      </c>
      <c r="BOL24">
        <v>9.3699999999999992</v>
      </c>
      <c r="BOM24">
        <v>9.3699999999999992</v>
      </c>
      <c r="BON24">
        <v>9.3699999999999992</v>
      </c>
      <c r="BOO24">
        <v>7.73</v>
      </c>
      <c r="BOP24">
        <v>9.3699999999999992</v>
      </c>
      <c r="BOQ24">
        <v>9.3699999999999992</v>
      </c>
      <c r="BOR24">
        <v>9.3699999999999992</v>
      </c>
      <c r="BOS24">
        <v>9.3699999999999992</v>
      </c>
      <c r="BOT24">
        <v>9.3699999999999992</v>
      </c>
      <c r="BOU24">
        <v>9.3699999999999992</v>
      </c>
      <c r="BOV24">
        <v>7.56</v>
      </c>
      <c r="BOW24">
        <v>9.3699999999999992</v>
      </c>
      <c r="BOX24">
        <v>9.3699999999999992</v>
      </c>
      <c r="BOY24">
        <v>9.3699999999999992</v>
      </c>
      <c r="BOZ24">
        <v>9.3699999999999992</v>
      </c>
      <c r="BPA24">
        <v>9.3699999999999992</v>
      </c>
      <c r="BPB24">
        <v>9.3699999999999992</v>
      </c>
      <c r="BPC24">
        <v>9.3699999999999992</v>
      </c>
      <c r="BPD24">
        <v>9.3699999999999992</v>
      </c>
      <c r="BPE24">
        <v>9.59</v>
      </c>
      <c r="BPF24">
        <v>5.33</v>
      </c>
      <c r="BPG24">
        <v>9.59</v>
      </c>
      <c r="BPH24">
        <v>9.59</v>
      </c>
      <c r="BPI24">
        <v>9.59</v>
      </c>
      <c r="BPJ24">
        <v>7.61</v>
      </c>
      <c r="BPK24">
        <v>9.59</v>
      </c>
      <c r="BPL24">
        <v>9.59</v>
      </c>
      <c r="BPM24">
        <v>9.59</v>
      </c>
      <c r="BPN24">
        <v>9.59</v>
      </c>
      <c r="BPO24">
        <v>9.59</v>
      </c>
      <c r="BPP24">
        <v>9.59</v>
      </c>
      <c r="BPQ24">
        <v>9.59</v>
      </c>
      <c r="BPR24">
        <v>9.59</v>
      </c>
      <c r="BPS24">
        <v>7.95</v>
      </c>
      <c r="BPT24">
        <v>9.59</v>
      </c>
      <c r="BPU24">
        <v>9.59</v>
      </c>
      <c r="BPV24">
        <v>9.59</v>
      </c>
      <c r="BPW24">
        <v>9.59</v>
      </c>
      <c r="BPX24">
        <v>9.59</v>
      </c>
      <c r="BPY24">
        <v>9.59</v>
      </c>
      <c r="BPZ24">
        <v>7.95</v>
      </c>
      <c r="BQA24">
        <v>9.59</v>
      </c>
      <c r="BQB24">
        <v>7.26</v>
      </c>
      <c r="BQC24">
        <v>9.81</v>
      </c>
      <c r="BQD24">
        <v>4.68</v>
      </c>
      <c r="BQE24">
        <v>9.81</v>
      </c>
      <c r="BQF24">
        <v>9.81</v>
      </c>
      <c r="BQG24">
        <v>9.81</v>
      </c>
      <c r="BQH24">
        <v>9.81</v>
      </c>
      <c r="BQI24">
        <v>9.81</v>
      </c>
      <c r="BQJ24">
        <v>9.81</v>
      </c>
      <c r="BQK24">
        <v>9.81</v>
      </c>
      <c r="BQL24">
        <v>9.81</v>
      </c>
      <c r="BQM24">
        <v>9.81</v>
      </c>
      <c r="BQN24">
        <v>9.81</v>
      </c>
      <c r="BQO24">
        <v>9.81</v>
      </c>
      <c r="BQP24">
        <v>5.47</v>
      </c>
      <c r="BQQ24">
        <v>9.81</v>
      </c>
      <c r="BQR24">
        <v>9.81</v>
      </c>
      <c r="BQS24">
        <v>9.81</v>
      </c>
      <c r="BQT24">
        <v>4.84</v>
      </c>
      <c r="BQU24">
        <v>9.81</v>
      </c>
      <c r="BQV24">
        <v>9.81</v>
      </c>
      <c r="BQW24">
        <v>9.81</v>
      </c>
      <c r="BQX24">
        <v>9.81</v>
      </c>
      <c r="BQY24">
        <v>9.81</v>
      </c>
      <c r="BQZ24">
        <v>10.02</v>
      </c>
      <c r="BRA24">
        <v>10.02</v>
      </c>
      <c r="BRB24">
        <v>10.02</v>
      </c>
      <c r="BRC24">
        <v>10.02</v>
      </c>
      <c r="BRD24">
        <v>10.029999999999999</v>
      </c>
      <c r="BRE24">
        <v>6.25</v>
      </c>
      <c r="BRF24">
        <v>10.029999999999999</v>
      </c>
      <c r="BRG24">
        <v>10.029999999999999</v>
      </c>
      <c r="BRH24">
        <v>10.029999999999999</v>
      </c>
      <c r="BRI24">
        <v>5.6</v>
      </c>
      <c r="BRJ24">
        <v>10.029999999999999</v>
      </c>
      <c r="BRK24">
        <v>10.029999999999999</v>
      </c>
      <c r="BRL24">
        <v>10.029999999999999</v>
      </c>
      <c r="BRM24">
        <v>10.029999999999999</v>
      </c>
      <c r="BRN24">
        <v>7.59</v>
      </c>
      <c r="BRO24">
        <v>10.029999999999999</v>
      </c>
      <c r="BRP24">
        <v>10.029999999999999</v>
      </c>
      <c r="BRQ24">
        <v>10.029999999999999</v>
      </c>
      <c r="BRR24">
        <v>10.029999999999999</v>
      </c>
      <c r="BRS24">
        <v>10.029999999999999</v>
      </c>
      <c r="BRT24">
        <v>10.029999999999999</v>
      </c>
      <c r="BRU24">
        <v>10.029999999999999</v>
      </c>
      <c r="BRV24">
        <v>10.029999999999999</v>
      </c>
      <c r="BRW24">
        <v>10.029999999999999</v>
      </c>
      <c r="BRX24">
        <v>10.029999999999999</v>
      </c>
      <c r="BRY24">
        <v>7.79</v>
      </c>
      <c r="BRZ24">
        <v>7.19</v>
      </c>
      <c r="BSA24">
        <v>10.24</v>
      </c>
      <c r="BSB24">
        <v>5.61</v>
      </c>
      <c r="BSC24">
        <v>10.24</v>
      </c>
      <c r="BSD24">
        <v>10.24</v>
      </c>
      <c r="BSE24">
        <v>7.79</v>
      </c>
      <c r="BSF24">
        <v>10.24</v>
      </c>
      <c r="BSG24">
        <v>7.66</v>
      </c>
      <c r="BSH24">
        <v>10.24</v>
      </c>
      <c r="BSI24">
        <v>7.14</v>
      </c>
      <c r="BSJ24">
        <v>10.24</v>
      </c>
      <c r="BSK24">
        <v>10.24</v>
      </c>
      <c r="BSL24">
        <v>10.24</v>
      </c>
      <c r="BSM24">
        <v>10.24</v>
      </c>
      <c r="BSN24">
        <v>10.24</v>
      </c>
      <c r="BSO24">
        <v>10.24</v>
      </c>
      <c r="BSP24">
        <v>10.24</v>
      </c>
      <c r="BSQ24">
        <v>10.24</v>
      </c>
      <c r="BSR24">
        <v>10.24</v>
      </c>
      <c r="BSS24">
        <v>10.24</v>
      </c>
      <c r="BST24">
        <v>10.24</v>
      </c>
      <c r="BSU24">
        <v>10.24</v>
      </c>
      <c r="BSV24">
        <v>10.46</v>
      </c>
      <c r="BSW24">
        <v>10.46</v>
      </c>
      <c r="BSX24">
        <v>10.46</v>
      </c>
      <c r="BSY24">
        <v>10.46</v>
      </c>
      <c r="BSZ24">
        <v>10.46</v>
      </c>
      <c r="BTA24">
        <v>10.46</v>
      </c>
      <c r="BTB24">
        <v>10.46</v>
      </c>
      <c r="BTC24">
        <v>10.46</v>
      </c>
      <c r="BTD24">
        <v>10.46</v>
      </c>
      <c r="BTE24">
        <v>8.14</v>
      </c>
      <c r="BTF24">
        <v>10.46</v>
      </c>
      <c r="BTG24">
        <v>10.46</v>
      </c>
      <c r="BTH24">
        <v>9.18</v>
      </c>
      <c r="BTI24">
        <v>10.46</v>
      </c>
      <c r="BTJ24">
        <v>10.46</v>
      </c>
      <c r="BTK24">
        <v>10.46</v>
      </c>
      <c r="BTL24">
        <v>10.46</v>
      </c>
      <c r="BTM24">
        <v>10.46</v>
      </c>
      <c r="BTN24">
        <v>10.46</v>
      </c>
      <c r="BTO24">
        <v>10.46</v>
      </c>
      <c r="BTP24">
        <v>10.46</v>
      </c>
      <c r="BTQ24">
        <v>10.46</v>
      </c>
      <c r="BTR24">
        <v>6.13</v>
      </c>
      <c r="BTS24">
        <v>7.72</v>
      </c>
      <c r="BTT24">
        <v>10.68</v>
      </c>
      <c r="BTU24">
        <v>10.68</v>
      </c>
      <c r="BTV24">
        <v>10.68</v>
      </c>
      <c r="BTW24">
        <v>10.68</v>
      </c>
      <c r="BTX24">
        <v>10.68</v>
      </c>
      <c r="BTY24">
        <v>10.68</v>
      </c>
      <c r="BTZ24">
        <v>10.68</v>
      </c>
      <c r="BUA24">
        <v>10.68</v>
      </c>
      <c r="BUB24">
        <v>10.68</v>
      </c>
      <c r="BUC24">
        <v>10.68</v>
      </c>
      <c r="BUD24">
        <v>10.68</v>
      </c>
      <c r="BUE24">
        <v>10.68</v>
      </c>
      <c r="BUF24">
        <v>10.68</v>
      </c>
      <c r="BUG24">
        <v>10.68</v>
      </c>
      <c r="BUH24">
        <v>10.68</v>
      </c>
      <c r="BUI24">
        <v>10.68</v>
      </c>
      <c r="BUJ24">
        <v>8.66</v>
      </c>
      <c r="BUK24">
        <v>10.68</v>
      </c>
      <c r="BUL24">
        <v>10.68</v>
      </c>
      <c r="BUM24">
        <v>10.68</v>
      </c>
      <c r="BUN24">
        <v>10.68</v>
      </c>
      <c r="BUO24">
        <v>10.68</v>
      </c>
      <c r="BUP24">
        <v>10.68</v>
      </c>
      <c r="BUQ24">
        <v>7.52</v>
      </c>
      <c r="BUR24">
        <v>8.4</v>
      </c>
      <c r="BUS24">
        <v>10.9</v>
      </c>
      <c r="BUT24">
        <v>10.9</v>
      </c>
      <c r="BUU24">
        <v>10.9</v>
      </c>
      <c r="BUV24">
        <v>10.9</v>
      </c>
      <c r="BUW24">
        <v>10.9</v>
      </c>
      <c r="BUX24">
        <v>10.9</v>
      </c>
      <c r="BUY24">
        <v>8.7100000000000009</v>
      </c>
      <c r="BUZ24">
        <v>8.5500000000000007</v>
      </c>
      <c r="BVA24">
        <v>10.23</v>
      </c>
      <c r="BVB24">
        <v>10.9</v>
      </c>
      <c r="BVC24">
        <v>10.9</v>
      </c>
      <c r="BVD24">
        <v>7.56</v>
      </c>
      <c r="BVE24">
        <v>10.9</v>
      </c>
      <c r="BVF24">
        <v>10.9</v>
      </c>
      <c r="BVG24">
        <v>10.9</v>
      </c>
      <c r="BVH24">
        <v>10.9</v>
      </c>
      <c r="BVI24">
        <v>10.9</v>
      </c>
      <c r="BVJ24">
        <v>10.9</v>
      </c>
      <c r="BVK24">
        <v>10.9</v>
      </c>
      <c r="BVL24">
        <v>10.9</v>
      </c>
      <c r="BVM24">
        <v>10.9</v>
      </c>
      <c r="BVN24">
        <v>10.9</v>
      </c>
      <c r="BVO24">
        <v>7.5</v>
      </c>
      <c r="BVP24">
        <v>10.9</v>
      </c>
      <c r="BVQ24">
        <v>10.9</v>
      </c>
      <c r="BVR24">
        <v>10.9</v>
      </c>
      <c r="BVS24">
        <v>9.44</v>
      </c>
      <c r="BVT24">
        <v>11.11</v>
      </c>
      <c r="BVU24">
        <v>11.11</v>
      </c>
      <c r="BVV24">
        <v>11.11</v>
      </c>
      <c r="BVW24">
        <v>11.11</v>
      </c>
      <c r="BVX24">
        <v>11.11</v>
      </c>
      <c r="BVY24">
        <v>8.76</v>
      </c>
      <c r="BVZ24">
        <v>7.66</v>
      </c>
      <c r="BWA24">
        <v>7.85</v>
      </c>
      <c r="BWB24">
        <v>11.12</v>
      </c>
      <c r="BWC24">
        <v>11.12</v>
      </c>
      <c r="BWD24">
        <v>11.12</v>
      </c>
      <c r="BWE24">
        <v>11.12</v>
      </c>
      <c r="BWF24">
        <v>11.12</v>
      </c>
      <c r="BWG24">
        <v>11.12</v>
      </c>
      <c r="BWH24">
        <v>11.12</v>
      </c>
      <c r="BWI24">
        <v>11.12</v>
      </c>
      <c r="BWJ24">
        <v>11.12</v>
      </c>
      <c r="BWK24">
        <v>11.12</v>
      </c>
      <c r="BWL24">
        <v>11.12</v>
      </c>
      <c r="BWM24">
        <v>11.12</v>
      </c>
      <c r="BWN24">
        <v>11.12</v>
      </c>
      <c r="BWO24">
        <v>11.33</v>
      </c>
      <c r="BWP24">
        <v>8.11</v>
      </c>
      <c r="BWQ24">
        <v>11.33</v>
      </c>
      <c r="BWR24">
        <v>11.33</v>
      </c>
      <c r="BWS24">
        <v>8.0299999999999994</v>
      </c>
      <c r="BWT24">
        <v>11.33</v>
      </c>
      <c r="BWU24">
        <v>11.33</v>
      </c>
      <c r="BWV24">
        <v>11.33</v>
      </c>
      <c r="BWW24">
        <v>11.33</v>
      </c>
      <c r="BWX24">
        <v>9.3000000000000007</v>
      </c>
      <c r="BWY24">
        <v>11.33</v>
      </c>
      <c r="BWZ24">
        <v>11.33</v>
      </c>
      <c r="BXA24">
        <v>7.7</v>
      </c>
      <c r="BXB24">
        <v>11.33</v>
      </c>
      <c r="BXC24">
        <v>11.33</v>
      </c>
      <c r="BXD24">
        <v>11.33</v>
      </c>
      <c r="BXE24">
        <v>11.33</v>
      </c>
      <c r="BXF24">
        <v>11.33</v>
      </c>
      <c r="BXG24">
        <v>11.34</v>
      </c>
      <c r="BXH24">
        <v>11.55</v>
      </c>
      <c r="BXI24">
        <v>11.55</v>
      </c>
      <c r="BXJ24">
        <v>11.55</v>
      </c>
      <c r="BXK24">
        <v>11.55</v>
      </c>
      <c r="BXL24">
        <v>11.55</v>
      </c>
      <c r="BXM24">
        <v>6.51</v>
      </c>
      <c r="BXN24">
        <v>7.95</v>
      </c>
      <c r="BXO24">
        <v>11.55</v>
      </c>
      <c r="BXP24">
        <v>11.55</v>
      </c>
      <c r="BXQ24">
        <v>11.55</v>
      </c>
      <c r="BXR24">
        <v>11.55</v>
      </c>
      <c r="BXS24">
        <v>11.55</v>
      </c>
      <c r="BXT24">
        <v>11.55</v>
      </c>
      <c r="BXU24">
        <v>10.46</v>
      </c>
      <c r="BXV24">
        <v>11.55</v>
      </c>
      <c r="BXW24">
        <v>6.84</v>
      </c>
      <c r="BXX24">
        <v>11.55</v>
      </c>
      <c r="BXY24">
        <v>11.55</v>
      </c>
      <c r="BXZ24">
        <v>11.55</v>
      </c>
      <c r="BYA24">
        <v>7.55</v>
      </c>
      <c r="BYB24">
        <v>6</v>
      </c>
      <c r="BYC24">
        <v>8.69</v>
      </c>
      <c r="BYD24">
        <v>11.77</v>
      </c>
      <c r="BYE24">
        <v>8.4</v>
      </c>
      <c r="BYF24">
        <v>11.77</v>
      </c>
      <c r="BYG24">
        <v>11.77</v>
      </c>
      <c r="BYH24">
        <v>11.77</v>
      </c>
      <c r="BYI24">
        <v>6.66</v>
      </c>
      <c r="BYJ24">
        <v>11.77</v>
      </c>
      <c r="BYK24">
        <v>11.77</v>
      </c>
      <c r="BYL24">
        <v>11.77</v>
      </c>
      <c r="BYM24">
        <v>11.77</v>
      </c>
      <c r="BYN24">
        <v>9.5500000000000007</v>
      </c>
      <c r="BYO24">
        <v>11.77</v>
      </c>
      <c r="BYP24">
        <v>11.77</v>
      </c>
      <c r="BYQ24">
        <v>8.11</v>
      </c>
      <c r="BYR24">
        <v>8.26</v>
      </c>
      <c r="BYS24">
        <v>11.98</v>
      </c>
      <c r="BYT24">
        <v>11.98</v>
      </c>
      <c r="BYU24">
        <v>11.98</v>
      </c>
      <c r="BYV24">
        <v>11.98</v>
      </c>
      <c r="BYW24">
        <v>8.26</v>
      </c>
      <c r="BYX24">
        <v>8.2899999999999991</v>
      </c>
      <c r="BYY24">
        <v>10.69</v>
      </c>
      <c r="BYZ24">
        <v>9.15</v>
      </c>
      <c r="BZA24">
        <v>9.2899999999999991</v>
      </c>
      <c r="BZB24">
        <v>8.68</v>
      </c>
      <c r="BZC24">
        <v>11.99</v>
      </c>
      <c r="BZD24">
        <v>11.99</v>
      </c>
      <c r="BZE24">
        <v>11.99</v>
      </c>
      <c r="BZF24">
        <v>11.99</v>
      </c>
      <c r="BZG24">
        <v>11.99</v>
      </c>
      <c r="BZH24">
        <v>9.15</v>
      </c>
      <c r="BZI24">
        <v>11.99</v>
      </c>
      <c r="BZJ24">
        <v>11.99</v>
      </c>
      <c r="BZK24">
        <v>11.99</v>
      </c>
      <c r="BZL24">
        <v>11.99</v>
      </c>
      <c r="BZM24">
        <v>11.99</v>
      </c>
      <c r="BZN24">
        <v>11.99</v>
      </c>
      <c r="BZO24">
        <v>11.99</v>
      </c>
      <c r="BZP24">
        <v>11.99</v>
      </c>
      <c r="BZQ24">
        <v>11.99</v>
      </c>
      <c r="BZR24">
        <v>11.99</v>
      </c>
      <c r="BZS24">
        <v>12.2</v>
      </c>
      <c r="BZT24">
        <v>7.75</v>
      </c>
      <c r="BZU24">
        <v>9.35</v>
      </c>
      <c r="BZV24">
        <v>12.2</v>
      </c>
      <c r="BZW24">
        <v>12.2</v>
      </c>
      <c r="BZX24">
        <v>12.2</v>
      </c>
      <c r="BZY24">
        <v>12.2</v>
      </c>
      <c r="BZZ24">
        <v>8.69</v>
      </c>
      <c r="CAA24">
        <v>12.2</v>
      </c>
      <c r="CAB24">
        <v>12.2</v>
      </c>
      <c r="CAC24">
        <v>12.2</v>
      </c>
      <c r="CAD24">
        <v>9.06</v>
      </c>
      <c r="CAE24">
        <v>12.42</v>
      </c>
      <c r="CAF24">
        <v>6.4</v>
      </c>
      <c r="CAG24">
        <v>12.42</v>
      </c>
      <c r="CAH24">
        <v>8.67</v>
      </c>
      <c r="CAI24">
        <v>12.42</v>
      </c>
      <c r="CAJ24">
        <v>8.73</v>
      </c>
      <c r="CAK24">
        <v>12.42</v>
      </c>
      <c r="CAL24">
        <v>12.42</v>
      </c>
      <c r="CAM24">
        <v>12.42</v>
      </c>
      <c r="CAN24">
        <v>10.54</v>
      </c>
      <c r="CAO24">
        <v>9.17</v>
      </c>
      <c r="CAP24">
        <v>12.42</v>
      </c>
      <c r="CAQ24">
        <v>12.42</v>
      </c>
      <c r="CAR24">
        <v>12.42</v>
      </c>
      <c r="CAS24">
        <v>12.42</v>
      </c>
      <c r="CAT24">
        <v>12.42</v>
      </c>
      <c r="CAU24">
        <v>12.43</v>
      </c>
      <c r="CAV24">
        <v>7.36</v>
      </c>
      <c r="CAW24">
        <v>12.64</v>
      </c>
      <c r="CAX24">
        <v>12.64</v>
      </c>
      <c r="CAY24">
        <v>11.34</v>
      </c>
      <c r="CAZ24">
        <v>12.64</v>
      </c>
      <c r="CBA24">
        <v>9.26</v>
      </c>
      <c r="CBB24">
        <v>12.64</v>
      </c>
      <c r="CBC24">
        <v>12.64</v>
      </c>
      <c r="CBD24">
        <v>6.97</v>
      </c>
      <c r="CBE24">
        <v>12.64</v>
      </c>
      <c r="CBF24">
        <v>12.64</v>
      </c>
      <c r="CBG24">
        <v>12.64</v>
      </c>
      <c r="CBH24">
        <v>12.64</v>
      </c>
      <c r="CBI24">
        <v>8.9</v>
      </c>
      <c r="CBJ24">
        <v>12.64</v>
      </c>
      <c r="CBK24">
        <v>12.64</v>
      </c>
      <c r="CBL24">
        <v>12.64</v>
      </c>
      <c r="CBM24">
        <v>12.64</v>
      </c>
      <c r="CBN24">
        <v>12.64</v>
      </c>
      <c r="CBO24">
        <v>8.8000000000000007</v>
      </c>
      <c r="CBP24">
        <v>10.97</v>
      </c>
      <c r="CBQ24">
        <v>12.86</v>
      </c>
      <c r="CBR24">
        <v>12.86</v>
      </c>
      <c r="CBS24">
        <v>12.86</v>
      </c>
      <c r="CBT24">
        <v>12.86</v>
      </c>
      <c r="CBU24">
        <v>12.86</v>
      </c>
      <c r="CBV24">
        <v>7.79</v>
      </c>
      <c r="CBW24">
        <v>12.86</v>
      </c>
      <c r="CBX24">
        <v>9.83</v>
      </c>
      <c r="CBY24">
        <v>12.86</v>
      </c>
      <c r="CBZ24">
        <v>12.86</v>
      </c>
      <c r="CCA24">
        <v>12.86</v>
      </c>
      <c r="CCB24">
        <v>12.86</v>
      </c>
      <c r="CCC24">
        <v>12.86</v>
      </c>
      <c r="CCD24">
        <v>12.86</v>
      </c>
      <c r="CCE24">
        <v>13.07</v>
      </c>
      <c r="CCF24">
        <v>13.07</v>
      </c>
      <c r="CCG24">
        <v>13.08</v>
      </c>
      <c r="CCH24">
        <v>10.65</v>
      </c>
      <c r="CCI24">
        <v>13.08</v>
      </c>
      <c r="CCJ24">
        <v>13.08</v>
      </c>
      <c r="CCK24">
        <v>13.08</v>
      </c>
      <c r="CCL24">
        <v>13.08</v>
      </c>
      <c r="CCM24">
        <v>13.08</v>
      </c>
      <c r="CCN24">
        <v>13.08</v>
      </c>
      <c r="CCO24">
        <v>8.73</v>
      </c>
      <c r="CCP24">
        <v>13.08</v>
      </c>
      <c r="CCQ24">
        <v>13.08</v>
      </c>
      <c r="CCR24">
        <v>13.08</v>
      </c>
      <c r="CCS24">
        <v>13.08</v>
      </c>
      <c r="CCT24">
        <v>13.08</v>
      </c>
      <c r="CCU24">
        <v>13.08</v>
      </c>
      <c r="CCV24">
        <v>10.28</v>
      </c>
      <c r="CCW24">
        <v>13.22</v>
      </c>
      <c r="CCX24">
        <v>13.29</v>
      </c>
      <c r="CCY24">
        <v>13.29</v>
      </c>
      <c r="CCZ24">
        <v>13.29</v>
      </c>
      <c r="CDA24">
        <v>11.52</v>
      </c>
      <c r="CDB24">
        <v>7.43</v>
      </c>
      <c r="CDC24">
        <v>13.29</v>
      </c>
      <c r="CDD24">
        <v>7.49</v>
      </c>
      <c r="CDE24">
        <v>13.29</v>
      </c>
      <c r="CDF24">
        <v>10.23</v>
      </c>
      <c r="CDG24">
        <v>13.29</v>
      </c>
      <c r="CDH24">
        <v>13.29</v>
      </c>
      <c r="CDI24">
        <v>9.9700000000000006</v>
      </c>
      <c r="CDJ24">
        <v>13.29</v>
      </c>
      <c r="CDK24">
        <v>13.29</v>
      </c>
      <c r="CDL24">
        <v>13.29</v>
      </c>
      <c r="CDM24">
        <v>13.3</v>
      </c>
      <c r="CDN24">
        <v>13.51</v>
      </c>
      <c r="CDO24">
        <v>13.51</v>
      </c>
      <c r="CDP24">
        <v>9.56</v>
      </c>
      <c r="CDQ24">
        <v>13.51</v>
      </c>
      <c r="CDR24">
        <v>9.31</v>
      </c>
      <c r="CDS24">
        <v>13.51</v>
      </c>
      <c r="CDT24">
        <v>13.51</v>
      </c>
      <c r="CDU24">
        <v>11.07</v>
      </c>
      <c r="CDV24">
        <v>13.51</v>
      </c>
      <c r="CDW24">
        <v>13.51</v>
      </c>
      <c r="CDX24">
        <v>13.51</v>
      </c>
      <c r="CDY24">
        <v>13.51</v>
      </c>
      <c r="CDZ24">
        <v>13.51</v>
      </c>
      <c r="CEA24">
        <v>13.51</v>
      </c>
      <c r="CEB24">
        <v>13.51</v>
      </c>
      <c r="CEC24">
        <v>9.61</v>
      </c>
      <c r="CED24">
        <v>13.73</v>
      </c>
      <c r="CEE24">
        <v>13.73</v>
      </c>
      <c r="CEF24">
        <v>13.73</v>
      </c>
      <c r="CEG24">
        <v>13.73</v>
      </c>
      <c r="CEH24">
        <v>13.73</v>
      </c>
      <c r="CEI24">
        <v>13.73</v>
      </c>
      <c r="CEJ24">
        <v>10.02</v>
      </c>
      <c r="CEK24">
        <v>13.73</v>
      </c>
      <c r="CEL24">
        <v>13.73</v>
      </c>
      <c r="CEM24">
        <v>13.73</v>
      </c>
      <c r="CEN24">
        <v>13.73</v>
      </c>
      <c r="CEO24">
        <v>13.73</v>
      </c>
      <c r="CEP24">
        <v>13.73</v>
      </c>
      <c r="CEQ24">
        <v>13.73</v>
      </c>
      <c r="CER24">
        <v>12.22</v>
      </c>
      <c r="CES24">
        <v>13.73</v>
      </c>
      <c r="CET24">
        <v>13.73</v>
      </c>
      <c r="CEU24">
        <v>13.73</v>
      </c>
      <c r="CEV24">
        <v>8.33</v>
      </c>
      <c r="CEW24">
        <v>13.95</v>
      </c>
      <c r="CEX24">
        <v>13.95</v>
      </c>
      <c r="CEY24">
        <v>13.95</v>
      </c>
      <c r="CEZ24">
        <v>13.95</v>
      </c>
      <c r="CFA24">
        <v>13.95</v>
      </c>
      <c r="CFB24">
        <v>13.95</v>
      </c>
      <c r="CFC24">
        <v>13.95</v>
      </c>
      <c r="CFD24">
        <v>12.44</v>
      </c>
      <c r="CFE24">
        <v>13.95</v>
      </c>
      <c r="CFF24">
        <v>7.19</v>
      </c>
      <c r="CFG24">
        <v>13.95</v>
      </c>
      <c r="CFH24">
        <v>13.95</v>
      </c>
      <c r="CFI24">
        <v>13.95</v>
      </c>
      <c r="CFJ24">
        <v>9.73</v>
      </c>
      <c r="CFK24">
        <v>13.95</v>
      </c>
      <c r="CFL24">
        <v>13.95</v>
      </c>
      <c r="CFM24">
        <v>13.95</v>
      </c>
      <c r="CFN24">
        <v>13.95</v>
      </c>
      <c r="CFO24">
        <v>13.95</v>
      </c>
      <c r="CFP24">
        <v>13.95</v>
      </c>
      <c r="CFQ24">
        <v>11.86</v>
      </c>
      <c r="CFR24">
        <v>13.95</v>
      </c>
      <c r="CFS24">
        <v>12.45</v>
      </c>
      <c r="CFT24">
        <v>10.64</v>
      </c>
      <c r="CFU24">
        <v>11.88</v>
      </c>
      <c r="CFV24">
        <v>13.06</v>
      </c>
      <c r="CFW24">
        <v>14.17</v>
      </c>
      <c r="CFX24">
        <v>10.199999999999999</v>
      </c>
      <c r="CFY24">
        <v>12.45</v>
      </c>
      <c r="CFZ24">
        <v>14.17</v>
      </c>
      <c r="CGA24">
        <v>10.11</v>
      </c>
      <c r="CGB24">
        <v>8.3699999999999992</v>
      </c>
      <c r="CGC24">
        <v>14.17</v>
      </c>
      <c r="CGD24">
        <v>9.81</v>
      </c>
      <c r="CGE24">
        <v>14.17</v>
      </c>
      <c r="CGF24">
        <v>10.07</v>
      </c>
      <c r="CGG24">
        <v>14.17</v>
      </c>
      <c r="CGH24">
        <v>14.17</v>
      </c>
      <c r="CGI24">
        <v>14.17</v>
      </c>
      <c r="CGJ24">
        <v>14.17</v>
      </c>
      <c r="CGK24">
        <v>12.45</v>
      </c>
      <c r="CGL24">
        <v>14.17</v>
      </c>
      <c r="CGM24">
        <v>14.17</v>
      </c>
      <c r="CGN24">
        <v>14.17</v>
      </c>
      <c r="CGO24">
        <v>14.17</v>
      </c>
      <c r="CGP24">
        <v>12.87</v>
      </c>
      <c r="CGQ24">
        <v>14.38</v>
      </c>
      <c r="CGR24">
        <v>14.38</v>
      </c>
      <c r="CGS24">
        <v>10.98</v>
      </c>
      <c r="CGT24">
        <v>10.84</v>
      </c>
      <c r="CGU24">
        <v>8.27</v>
      </c>
      <c r="CGV24">
        <v>14.38</v>
      </c>
      <c r="CGW24">
        <v>14.38</v>
      </c>
      <c r="CGX24">
        <v>14.38</v>
      </c>
      <c r="CGY24">
        <v>14.38</v>
      </c>
      <c r="CGZ24">
        <v>14.38</v>
      </c>
      <c r="CHA24">
        <v>14.38</v>
      </c>
      <c r="CHB24">
        <v>13.07</v>
      </c>
      <c r="CHC24">
        <v>10.4</v>
      </c>
      <c r="CHD24">
        <v>10.69</v>
      </c>
      <c r="CHE24">
        <v>12.5</v>
      </c>
      <c r="CHF24">
        <v>14.6</v>
      </c>
      <c r="CHG24">
        <v>14.6</v>
      </c>
      <c r="CHH24">
        <v>14.6</v>
      </c>
      <c r="CHI24">
        <v>9.82</v>
      </c>
      <c r="CHJ24">
        <v>14.6</v>
      </c>
      <c r="CHK24">
        <v>14.6</v>
      </c>
      <c r="CHL24">
        <v>14.6</v>
      </c>
      <c r="CHM24">
        <v>14.6</v>
      </c>
      <c r="CHN24">
        <v>10.26</v>
      </c>
      <c r="CHO24">
        <v>14.6</v>
      </c>
      <c r="CHP24">
        <v>14.6</v>
      </c>
      <c r="CHQ24">
        <v>14.6</v>
      </c>
      <c r="CHR24">
        <v>14.6</v>
      </c>
      <c r="CHS24">
        <v>14.6</v>
      </c>
      <c r="CHT24">
        <v>14.6</v>
      </c>
      <c r="CHU24">
        <v>14.6</v>
      </c>
      <c r="CHV24">
        <v>14.6</v>
      </c>
      <c r="CHW24">
        <v>14.6</v>
      </c>
      <c r="CHX24">
        <v>14.82</v>
      </c>
      <c r="CHY24">
        <v>14.82</v>
      </c>
      <c r="CHZ24">
        <v>14.82</v>
      </c>
      <c r="CIA24">
        <v>14.82</v>
      </c>
      <c r="CIB24">
        <v>11.53</v>
      </c>
      <c r="CIC24">
        <v>11</v>
      </c>
      <c r="CID24">
        <v>11.12</v>
      </c>
      <c r="CIE24">
        <v>14.82</v>
      </c>
      <c r="CIF24">
        <v>9.01</v>
      </c>
      <c r="CIG24">
        <v>14.82</v>
      </c>
      <c r="CIH24">
        <v>14.82</v>
      </c>
      <c r="CII24">
        <v>14.82</v>
      </c>
      <c r="CIJ24">
        <v>12.17</v>
      </c>
      <c r="CIK24">
        <v>14.82</v>
      </c>
      <c r="CIL24">
        <v>14.82</v>
      </c>
      <c r="CIM24">
        <v>14.82</v>
      </c>
      <c r="CIN24">
        <v>14.82</v>
      </c>
      <c r="CIO24">
        <v>14.82</v>
      </c>
      <c r="CIP24">
        <v>14.82</v>
      </c>
      <c r="CIQ24">
        <v>12.56</v>
      </c>
      <c r="CIR24">
        <v>12.05</v>
      </c>
      <c r="CIS24">
        <v>15.04</v>
      </c>
      <c r="CIT24">
        <v>15.04</v>
      </c>
      <c r="CIU24">
        <v>15.04</v>
      </c>
      <c r="CIV24">
        <v>15.04</v>
      </c>
      <c r="CIW24">
        <v>10.87</v>
      </c>
      <c r="CIX24">
        <v>15.04</v>
      </c>
      <c r="CIY24">
        <v>10.35</v>
      </c>
      <c r="CIZ24">
        <v>15.04</v>
      </c>
      <c r="CJA24">
        <v>15.04</v>
      </c>
      <c r="CJB24">
        <v>11.08</v>
      </c>
      <c r="CJC24">
        <v>10.38</v>
      </c>
      <c r="CJD24">
        <v>15.04</v>
      </c>
      <c r="CJE24">
        <v>15.04</v>
      </c>
      <c r="CJF24">
        <v>10.41</v>
      </c>
      <c r="CJG24">
        <v>15.04</v>
      </c>
      <c r="CJH24">
        <v>15.04</v>
      </c>
      <c r="CJI24">
        <v>15.04</v>
      </c>
      <c r="CJJ24">
        <v>12.05</v>
      </c>
      <c r="CJK24">
        <v>15.04</v>
      </c>
      <c r="CJL24">
        <v>15.04</v>
      </c>
      <c r="CJM24">
        <v>15.04</v>
      </c>
      <c r="CJN24">
        <v>15.04</v>
      </c>
      <c r="CJO24">
        <v>15.04</v>
      </c>
      <c r="CJP24">
        <v>15.25</v>
      </c>
      <c r="CJQ24">
        <v>10.5</v>
      </c>
      <c r="CJR24">
        <v>11.66</v>
      </c>
      <c r="CJS24">
        <v>15.26</v>
      </c>
      <c r="CJT24">
        <v>15.26</v>
      </c>
      <c r="CJU24">
        <v>15.26</v>
      </c>
      <c r="CJV24">
        <v>11.4</v>
      </c>
      <c r="CJW24">
        <v>10.62</v>
      </c>
      <c r="CJX24">
        <v>15.26</v>
      </c>
      <c r="CJY24">
        <v>15.26</v>
      </c>
      <c r="CJZ24">
        <v>15.26</v>
      </c>
      <c r="CKA24">
        <v>15.26</v>
      </c>
      <c r="CKB24">
        <v>15.26</v>
      </c>
      <c r="CKC24">
        <v>15.26</v>
      </c>
      <c r="CKD24">
        <v>13.14</v>
      </c>
      <c r="CKE24">
        <v>10.5</v>
      </c>
      <c r="CKF24">
        <v>15.26</v>
      </c>
      <c r="CKG24">
        <v>11.72</v>
      </c>
      <c r="CKH24">
        <v>7.55</v>
      </c>
      <c r="CKI24">
        <v>15.47</v>
      </c>
      <c r="CKJ24">
        <v>15.47</v>
      </c>
      <c r="CKK24">
        <v>15.47</v>
      </c>
      <c r="CKL24">
        <v>15.47</v>
      </c>
      <c r="CKM24">
        <v>13.55</v>
      </c>
      <c r="CKN24">
        <v>15.47</v>
      </c>
      <c r="CKO24">
        <v>15.47</v>
      </c>
      <c r="CKP24">
        <v>11.16</v>
      </c>
      <c r="CKQ24">
        <v>15.47</v>
      </c>
      <c r="CKR24">
        <v>15.47</v>
      </c>
      <c r="CKS24">
        <v>15.47</v>
      </c>
      <c r="CKT24">
        <v>15.47</v>
      </c>
      <c r="CKU24">
        <v>15.69</v>
      </c>
      <c r="CKV24">
        <v>15.69</v>
      </c>
      <c r="CKW24">
        <v>15.69</v>
      </c>
      <c r="CKX24">
        <v>15.69</v>
      </c>
      <c r="CKY24">
        <v>15.69</v>
      </c>
      <c r="CKZ24">
        <v>15.69</v>
      </c>
      <c r="CLA24">
        <v>12.06</v>
      </c>
      <c r="CLB24">
        <v>8.58</v>
      </c>
      <c r="CLC24">
        <v>15.69</v>
      </c>
      <c r="CLD24">
        <v>10.84</v>
      </c>
      <c r="CLE24">
        <v>15.69</v>
      </c>
      <c r="CLF24">
        <v>15.69</v>
      </c>
      <c r="CLG24">
        <v>15.69</v>
      </c>
      <c r="CLH24">
        <v>15.91</v>
      </c>
      <c r="CLI24">
        <v>15.91</v>
      </c>
      <c r="CLJ24">
        <v>15.91</v>
      </c>
      <c r="CLK24">
        <v>15.91</v>
      </c>
      <c r="CLL24">
        <v>15.91</v>
      </c>
      <c r="CLM24">
        <v>15.91</v>
      </c>
      <c r="CLN24">
        <v>14.18</v>
      </c>
      <c r="CLO24">
        <v>15.91</v>
      </c>
      <c r="CLP24">
        <v>15.91</v>
      </c>
      <c r="CLQ24">
        <v>16.13</v>
      </c>
      <c r="CLR24">
        <v>11.21</v>
      </c>
      <c r="CLS24">
        <v>11.54</v>
      </c>
      <c r="CLT24">
        <v>9.5299999999999994</v>
      </c>
      <c r="CLU24">
        <v>16.13</v>
      </c>
      <c r="CLV24">
        <v>16.13</v>
      </c>
      <c r="CLW24">
        <v>8.82</v>
      </c>
      <c r="CLX24">
        <v>16.13</v>
      </c>
      <c r="CLY24">
        <v>16.13</v>
      </c>
      <c r="CLZ24">
        <v>10.41</v>
      </c>
      <c r="CMA24">
        <v>12.62</v>
      </c>
      <c r="CMB24">
        <v>16.13</v>
      </c>
      <c r="CMC24">
        <v>16.13</v>
      </c>
      <c r="CMD24">
        <v>16.13</v>
      </c>
      <c r="CME24">
        <v>16.13</v>
      </c>
      <c r="CMF24">
        <v>16.13</v>
      </c>
      <c r="CMG24">
        <v>16.13</v>
      </c>
      <c r="CMH24">
        <v>16.13</v>
      </c>
      <c r="CMI24">
        <v>16.34</v>
      </c>
      <c r="CMJ24">
        <v>16.34</v>
      </c>
      <c r="CMK24">
        <v>16.350000000000001</v>
      </c>
      <c r="CML24">
        <v>16.350000000000001</v>
      </c>
      <c r="CMM24">
        <v>15.03</v>
      </c>
      <c r="CMN24">
        <v>16.350000000000001</v>
      </c>
      <c r="CMO24">
        <v>16.350000000000001</v>
      </c>
      <c r="CMP24">
        <v>16.350000000000001</v>
      </c>
      <c r="CMQ24">
        <v>16.350000000000001</v>
      </c>
      <c r="CMR24">
        <v>16.350000000000001</v>
      </c>
      <c r="CMS24">
        <v>16.559999999999999</v>
      </c>
      <c r="CMT24">
        <v>11.47</v>
      </c>
      <c r="CMU24">
        <v>16.559999999999999</v>
      </c>
      <c r="CMV24">
        <v>12.74</v>
      </c>
      <c r="CMW24">
        <v>16.559999999999999</v>
      </c>
      <c r="CMX24">
        <v>14.83</v>
      </c>
      <c r="CMY24">
        <v>16.559999999999999</v>
      </c>
      <c r="CMZ24">
        <v>16.559999999999999</v>
      </c>
      <c r="CNA24">
        <v>16.559999999999999</v>
      </c>
      <c r="CNB24">
        <v>16.78</v>
      </c>
      <c r="CNC24">
        <v>16.78</v>
      </c>
      <c r="CND24">
        <v>16.78</v>
      </c>
      <c r="CNE24">
        <v>10.51</v>
      </c>
      <c r="CNF24">
        <v>11.93</v>
      </c>
      <c r="CNG24">
        <v>16.78</v>
      </c>
      <c r="CNH24">
        <v>16.78</v>
      </c>
      <c r="CNI24">
        <v>16.78</v>
      </c>
      <c r="CNJ24">
        <v>16.78</v>
      </c>
      <c r="CNK24">
        <v>16.78</v>
      </c>
      <c r="CNL24">
        <v>16.78</v>
      </c>
      <c r="CNM24">
        <v>16.78</v>
      </c>
      <c r="CNN24">
        <v>16.78</v>
      </c>
      <c r="CNO24">
        <v>16.78</v>
      </c>
      <c r="CNP24">
        <v>16.78</v>
      </c>
      <c r="CNQ24">
        <v>9.68</v>
      </c>
      <c r="CNR24">
        <v>9.2100000000000009</v>
      </c>
      <c r="CNS24">
        <v>17</v>
      </c>
      <c r="CNT24">
        <v>17</v>
      </c>
      <c r="CNU24">
        <v>17</v>
      </c>
      <c r="CNV24">
        <v>17</v>
      </c>
      <c r="CNW24">
        <v>17</v>
      </c>
      <c r="CNX24">
        <v>12.88</v>
      </c>
      <c r="CNY24">
        <v>17</v>
      </c>
      <c r="CNZ24">
        <v>17</v>
      </c>
      <c r="COA24">
        <v>11.72</v>
      </c>
      <c r="COB24">
        <v>17</v>
      </c>
      <c r="COC24">
        <v>8.64</v>
      </c>
      <c r="COD24">
        <v>17</v>
      </c>
      <c r="COE24">
        <v>17</v>
      </c>
      <c r="COF24">
        <v>17</v>
      </c>
      <c r="COG24">
        <v>17</v>
      </c>
      <c r="COH24">
        <v>12.15</v>
      </c>
      <c r="COI24">
        <v>17.22</v>
      </c>
      <c r="COJ24">
        <v>17.22</v>
      </c>
      <c r="COK24">
        <v>17.22</v>
      </c>
      <c r="COL24">
        <v>17.22</v>
      </c>
      <c r="COM24">
        <v>14.89</v>
      </c>
      <c r="CON24">
        <v>17.22</v>
      </c>
      <c r="COO24">
        <v>13.36</v>
      </c>
      <c r="COP24">
        <v>17.22</v>
      </c>
      <c r="COQ24">
        <v>11.9</v>
      </c>
      <c r="COR24">
        <v>10.57</v>
      </c>
      <c r="COS24">
        <v>17.22</v>
      </c>
      <c r="COT24">
        <v>17.22</v>
      </c>
      <c r="COU24">
        <v>17.43</v>
      </c>
      <c r="COV24">
        <v>15.29</v>
      </c>
      <c r="COW24">
        <v>17.43</v>
      </c>
      <c r="COX24">
        <v>14.2</v>
      </c>
      <c r="COY24">
        <v>17.440000000000001</v>
      </c>
      <c r="COZ24">
        <v>17.440000000000001</v>
      </c>
      <c r="CPA24">
        <v>12.07</v>
      </c>
      <c r="CPB24">
        <v>17.440000000000001</v>
      </c>
      <c r="CPC24">
        <v>10.59</v>
      </c>
      <c r="CPD24">
        <v>17.440000000000001</v>
      </c>
      <c r="CPE24">
        <v>12.17</v>
      </c>
      <c r="CPF24">
        <v>12.44</v>
      </c>
      <c r="CPG24">
        <v>17.649999999999999</v>
      </c>
      <c r="CPH24">
        <v>17.649999999999999</v>
      </c>
      <c r="CPI24">
        <v>17.649999999999999</v>
      </c>
      <c r="CPJ24">
        <v>17.649999999999999</v>
      </c>
      <c r="CPK24">
        <v>17.649999999999999</v>
      </c>
      <c r="CPL24">
        <v>12.27</v>
      </c>
      <c r="CPM24">
        <v>14.08</v>
      </c>
      <c r="CPN24">
        <v>17.649999999999999</v>
      </c>
      <c r="CPO24">
        <v>17.649999999999999</v>
      </c>
      <c r="CPP24">
        <v>17.87</v>
      </c>
      <c r="CPQ24">
        <v>17.87</v>
      </c>
      <c r="CPR24">
        <v>17.87</v>
      </c>
      <c r="CPS24">
        <v>17.87</v>
      </c>
      <c r="CPT24">
        <v>17.87</v>
      </c>
      <c r="CPU24">
        <v>17.87</v>
      </c>
      <c r="CPV24">
        <v>18.09</v>
      </c>
      <c r="CPW24">
        <v>16.760000000000002</v>
      </c>
      <c r="CPX24">
        <v>18.09</v>
      </c>
      <c r="CPY24">
        <v>16.350000000000001</v>
      </c>
      <c r="CPZ24">
        <v>18.09</v>
      </c>
      <c r="CQA24">
        <v>18.09</v>
      </c>
      <c r="CQB24">
        <v>18.09</v>
      </c>
      <c r="CQC24">
        <v>18.09</v>
      </c>
      <c r="CQD24">
        <v>18.09</v>
      </c>
      <c r="CQE24">
        <v>14.71</v>
      </c>
      <c r="CQF24">
        <v>12.63</v>
      </c>
      <c r="CQG24">
        <v>18.309999999999999</v>
      </c>
      <c r="CQH24">
        <v>18.309999999999999</v>
      </c>
      <c r="CQI24">
        <v>18.309999999999999</v>
      </c>
      <c r="CQJ24">
        <v>18.309999999999999</v>
      </c>
      <c r="CQK24">
        <v>13.77</v>
      </c>
      <c r="CQL24">
        <v>18.52</v>
      </c>
      <c r="CQM24">
        <v>18.52</v>
      </c>
      <c r="CQN24">
        <v>18.52</v>
      </c>
      <c r="CQO24">
        <v>18.52</v>
      </c>
      <c r="CQP24">
        <v>18.52</v>
      </c>
      <c r="CQQ24">
        <v>18.52</v>
      </c>
      <c r="CQR24">
        <v>18.52</v>
      </c>
      <c r="CQS24">
        <v>18.53</v>
      </c>
      <c r="CQT24">
        <v>13.55</v>
      </c>
      <c r="CQU24">
        <v>18.53</v>
      </c>
      <c r="CQV24">
        <v>14.03</v>
      </c>
      <c r="CQW24">
        <v>18.53</v>
      </c>
      <c r="CQX24">
        <v>12.87</v>
      </c>
      <c r="CQY24">
        <v>18.739999999999998</v>
      </c>
      <c r="CQZ24">
        <v>13.28</v>
      </c>
      <c r="CRA24">
        <v>9.11</v>
      </c>
      <c r="CRB24">
        <v>14.1</v>
      </c>
      <c r="CRC24">
        <v>13.64</v>
      </c>
      <c r="CRD24">
        <v>13.45</v>
      </c>
      <c r="CRE24">
        <v>18.739999999999998</v>
      </c>
      <c r="CRF24">
        <v>18.739999999999998</v>
      </c>
      <c r="CRG24">
        <v>13.74</v>
      </c>
      <c r="CRH24">
        <v>13.23</v>
      </c>
      <c r="CRI24">
        <v>13.16</v>
      </c>
      <c r="CRJ24">
        <v>13.16</v>
      </c>
      <c r="CRK24">
        <v>13.07</v>
      </c>
      <c r="CRL24">
        <v>14.05</v>
      </c>
      <c r="CRM24">
        <v>18.96</v>
      </c>
      <c r="CRN24">
        <v>18.96</v>
      </c>
      <c r="CRO24">
        <v>18.96</v>
      </c>
      <c r="CRP24">
        <v>18.96</v>
      </c>
      <c r="CRQ24">
        <v>18.96</v>
      </c>
      <c r="CRR24">
        <v>10.43</v>
      </c>
      <c r="CRS24">
        <v>18.96</v>
      </c>
      <c r="CRT24">
        <v>11.39</v>
      </c>
      <c r="CRU24">
        <v>16.440000000000001</v>
      </c>
      <c r="CRV24">
        <v>19.18</v>
      </c>
      <c r="CRW24">
        <v>19.18</v>
      </c>
      <c r="CRX24">
        <v>12.15</v>
      </c>
      <c r="CRY24">
        <v>19.18</v>
      </c>
      <c r="CRZ24">
        <v>19.18</v>
      </c>
      <c r="CSA24">
        <v>12.19</v>
      </c>
      <c r="CSB24">
        <v>19.18</v>
      </c>
      <c r="CSC24">
        <v>11.44</v>
      </c>
      <c r="CSD24">
        <v>19.18</v>
      </c>
      <c r="CSE24">
        <v>19.18</v>
      </c>
      <c r="CSF24">
        <v>14.33</v>
      </c>
      <c r="CSG24">
        <v>13.42</v>
      </c>
      <c r="CSH24">
        <v>15.28</v>
      </c>
      <c r="CSI24">
        <v>19.399999999999999</v>
      </c>
      <c r="CSJ24">
        <v>12.3</v>
      </c>
      <c r="CSK24">
        <v>12.51</v>
      </c>
      <c r="CSL24">
        <v>19.399999999999999</v>
      </c>
      <c r="CSM24">
        <v>11.48</v>
      </c>
      <c r="CSN24">
        <v>11.04</v>
      </c>
      <c r="CSO24">
        <v>13.62</v>
      </c>
      <c r="CSP24">
        <v>19.399999999999999</v>
      </c>
      <c r="CSQ24">
        <v>14.33</v>
      </c>
      <c r="CSR24">
        <v>19.399999999999999</v>
      </c>
      <c r="CSS24">
        <v>19.399999999999999</v>
      </c>
      <c r="CST24">
        <v>19.399999999999999</v>
      </c>
      <c r="CSU24">
        <v>11.22</v>
      </c>
      <c r="CSV24">
        <v>19.61</v>
      </c>
      <c r="CSW24">
        <v>17.45</v>
      </c>
      <c r="CSX24">
        <v>19.61</v>
      </c>
      <c r="CSY24">
        <v>13.51</v>
      </c>
      <c r="CSZ24">
        <v>12.6</v>
      </c>
      <c r="CTA24">
        <v>18.5</v>
      </c>
      <c r="CTB24">
        <v>19.62</v>
      </c>
      <c r="CTC24">
        <v>11.69</v>
      </c>
      <c r="CTD24">
        <v>13.8</v>
      </c>
      <c r="CTE24">
        <v>19.62</v>
      </c>
      <c r="CTF24">
        <v>17.670000000000002</v>
      </c>
      <c r="CTG24">
        <v>19.829999999999998</v>
      </c>
      <c r="CTH24">
        <v>19.829999999999998</v>
      </c>
      <c r="CTI24">
        <v>19.829999999999998</v>
      </c>
      <c r="CTJ24">
        <v>19.829999999999998</v>
      </c>
      <c r="CTK24">
        <v>19.829999999999998</v>
      </c>
      <c r="CTL24">
        <v>11.26</v>
      </c>
      <c r="CTM24">
        <v>14.98</v>
      </c>
      <c r="CTN24">
        <v>19.829999999999998</v>
      </c>
      <c r="CTO24">
        <v>19.829999999999998</v>
      </c>
      <c r="CTP24">
        <v>19.829999999999998</v>
      </c>
      <c r="CTQ24">
        <v>19.829999999999998</v>
      </c>
      <c r="CTR24">
        <v>19.829999999999998</v>
      </c>
      <c r="CTS24">
        <v>16.739999999999998</v>
      </c>
      <c r="CTT24">
        <v>20.05</v>
      </c>
      <c r="CTU24">
        <v>13.98</v>
      </c>
      <c r="CTV24">
        <v>11.62</v>
      </c>
      <c r="CTW24">
        <v>16.93</v>
      </c>
      <c r="CTX24">
        <v>20.05</v>
      </c>
      <c r="CTY24">
        <v>18.940000000000001</v>
      </c>
      <c r="CTZ24">
        <v>20.05</v>
      </c>
      <c r="CUA24">
        <v>20.05</v>
      </c>
      <c r="CUB24">
        <v>20.25</v>
      </c>
      <c r="CUC24">
        <v>12.95</v>
      </c>
      <c r="CUD24">
        <v>20.27</v>
      </c>
      <c r="CUE24">
        <v>18.52</v>
      </c>
      <c r="CUF24">
        <v>20.27</v>
      </c>
      <c r="CUG24">
        <v>20.27</v>
      </c>
      <c r="CUH24">
        <v>20.27</v>
      </c>
      <c r="CUI24">
        <v>11.82</v>
      </c>
      <c r="CUJ24">
        <v>20.48</v>
      </c>
      <c r="CUK24">
        <v>20.48</v>
      </c>
      <c r="CUL24">
        <v>20.48</v>
      </c>
      <c r="CUM24">
        <v>13.2</v>
      </c>
      <c r="CUN24">
        <v>20.49</v>
      </c>
      <c r="CUO24">
        <v>20.49</v>
      </c>
      <c r="CUP24">
        <v>20.49</v>
      </c>
      <c r="CUQ24">
        <v>20.49</v>
      </c>
      <c r="CUR24">
        <v>14.44</v>
      </c>
      <c r="CUS24">
        <v>20.7</v>
      </c>
      <c r="CUT24">
        <v>13.36</v>
      </c>
      <c r="CUU24">
        <v>9.31</v>
      </c>
      <c r="CUV24">
        <v>20.7</v>
      </c>
      <c r="CUW24">
        <v>20.7</v>
      </c>
      <c r="CUX24">
        <v>20.7</v>
      </c>
      <c r="CUY24">
        <v>20.7</v>
      </c>
      <c r="CUZ24">
        <v>20.7</v>
      </c>
      <c r="CVA24">
        <v>20.7</v>
      </c>
      <c r="CVB24">
        <v>20.7</v>
      </c>
      <c r="CVC24">
        <v>15.07</v>
      </c>
      <c r="CVD24">
        <v>20.7</v>
      </c>
      <c r="CVE24">
        <v>20.7</v>
      </c>
      <c r="CVF24">
        <v>17.57</v>
      </c>
      <c r="CVG24">
        <v>20.71</v>
      </c>
      <c r="CVH24">
        <v>17.78</v>
      </c>
      <c r="CVI24">
        <v>20.92</v>
      </c>
      <c r="CVJ24">
        <v>20.92</v>
      </c>
      <c r="CVK24">
        <v>20.92</v>
      </c>
      <c r="CVL24">
        <v>13.3</v>
      </c>
      <c r="CVM24">
        <v>20.92</v>
      </c>
      <c r="CVN24">
        <v>20.92</v>
      </c>
      <c r="CVO24">
        <v>20.92</v>
      </c>
      <c r="CVP24">
        <v>16.739999999999998</v>
      </c>
      <c r="CVQ24">
        <v>20.92</v>
      </c>
      <c r="CVR24">
        <v>21.14</v>
      </c>
      <c r="CVS24">
        <v>14.56</v>
      </c>
      <c r="CVT24">
        <v>21.14</v>
      </c>
      <c r="CVU24">
        <v>21.14</v>
      </c>
      <c r="CVV24">
        <v>11</v>
      </c>
      <c r="CVW24">
        <v>16.79</v>
      </c>
      <c r="CVX24">
        <v>15.93</v>
      </c>
      <c r="CVY24">
        <v>21.14</v>
      </c>
      <c r="CVZ24">
        <v>21.14</v>
      </c>
      <c r="CWA24">
        <v>21.14</v>
      </c>
      <c r="CWB24">
        <v>21.14</v>
      </c>
      <c r="CWC24">
        <v>15.44</v>
      </c>
      <c r="CWD24">
        <v>17.16</v>
      </c>
      <c r="CWE24">
        <v>21.36</v>
      </c>
      <c r="CWF24">
        <v>12.95</v>
      </c>
      <c r="CWG24">
        <v>21.36</v>
      </c>
      <c r="CWH24">
        <v>21.36</v>
      </c>
      <c r="CWI24">
        <v>21.36</v>
      </c>
      <c r="CWJ24">
        <v>21.36</v>
      </c>
      <c r="CWK24">
        <v>21.36</v>
      </c>
      <c r="CWL24">
        <v>21.36</v>
      </c>
      <c r="CWM24">
        <v>21.57</v>
      </c>
      <c r="CWN24">
        <v>21.57</v>
      </c>
      <c r="CWO24">
        <v>17.05</v>
      </c>
      <c r="CWP24">
        <v>21.58</v>
      </c>
      <c r="CWQ24">
        <v>21.58</v>
      </c>
      <c r="CWR24">
        <v>15.22</v>
      </c>
      <c r="CWS24">
        <v>21.58</v>
      </c>
      <c r="CWT24">
        <v>21.58</v>
      </c>
      <c r="CWU24">
        <v>21.58</v>
      </c>
      <c r="CWV24">
        <v>21.58</v>
      </c>
      <c r="CWW24">
        <v>18.43</v>
      </c>
      <c r="CWX24">
        <v>20.239999999999998</v>
      </c>
      <c r="CWY24">
        <v>21.79</v>
      </c>
      <c r="CWZ24">
        <v>19.829999999999998</v>
      </c>
      <c r="CXA24">
        <v>21.79</v>
      </c>
      <c r="CXB24">
        <v>20.46</v>
      </c>
      <c r="CXC24">
        <v>21.79</v>
      </c>
      <c r="CXD24">
        <v>21.79</v>
      </c>
      <c r="CXE24">
        <v>11.31</v>
      </c>
      <c r="CXF24">
        <v>15.12</v>
      </c>
      <c r="CXG24">
        <v>21.79</v>
      </c>
      <c r="CXH24">
        <v>16.670000000000002</v>
      </c>
      <c r="CXI24">
        <v>21.79</v>
      </c>
      <c r="CXJ24">
        <v>21.79</v>
      </c>
      <c r="CXK24">
        <v>21.79</v>
      </c>
      <c r="CXL24">
        <v>21.79</v>
      </c>
      <c r="CXM24">
        <v>16.13</v>
      </c>
      <c r="CXN24">
        <v>22.01</v>
      </c>
      <c r="CXO24">
        <v>15.33</v>
      </c>
      <c r="CXP24">
        <v>22.01</v>
      </c>
      <c r="CXQ24">
        <v>22.01</v>
      </c>
      <c r="CXR24">
        <v>22.01</v>
      </c>
      <c r="CXS24">
        <v>22.01</v>
      </c>
      <c r="CXT24">
        <v>19.64</v>
      </c>
      <c r="CXU24">
        <v>20.260000000000002</v>
      </c>
      <c r="CXV24">
        <v>22.23</v>
      </c>
      <c r="CXW24">
        <v>22.23</v>
      </c>
      <c r="CXX24">
        <v>22.23</v>
      </c>
      <c r="CXY24">
        <v>11.18</v>
      </c>
      <c r="CXZ24">
        <v>15.07</v>
      </c>
      <c r="CYA24">
        <v>11.67</v>
      </c>
      <c r="CYB24">
        <v>15.33</v>
      </c>
      <c r="CYC24">
        <v>22.23</v>
      </c>
      <c r="CYD24">
        <v>22.23</v>
      </c>
      <c r="CYE24">
        <v>12.01</v>
      </c>
      <c r="CYF24">
        <v>22.45</v>
      </c>
      <c r="CYG24">
        <v>22.45</v>
      </c>
      <c r="CYH24">
        <v>22.45</v>
      </c>
      <c r="CYI24">
        <v>15.47</v>
      </c>
      <c r="CYJ24">
        <v>16.309999999999999</v>
      </c>
      <c r="CYK24">
        <v>21.33</v>
      </c>
      <c r="CYL24">
        <v>22.45</v>
      </c>
      <c r="CYM24">
        <v>22.45</v>
      </c>
      <c r="CYN24">
        <v>22.45</v>
      </c>
      <c r="CYO24">
        <v>22.45</v>
      </c>
      <c r="CYP24">
        <v>22.45</v>
      </c>
      <c r="CYQ24">
        <v>15.81</v>
      </c>
      <c r="CYR24">
        <v>16.72</v>
      </c>
      <c r="CYS24">
        <v>22.66</v>
      </c>
      <c r="CYT24">
        <v>22.67</v>
      </c>
      <c r="CYU24">
        <v>20.9</v>
      </c>
      <c r="CYV24">
        <v>10.83</v>
      </c>
      <c r="CYW24">
        <v>21.33</v>
      </c>
      <c r="CYX24">
        <v>22.67</v>
      </c>
      <c r="CYY24">
        <v>21.33</v>
      </c>
      <c r="CYZ24">
        <v>22.67</v>
      </c>
      <c r="CZA24">
        <v>22.67</v>
      </c>
      <c r="CZB24">
        <v>22.67</v>
      </c>
      <c r="CZC24">
        <v>22.67</v>
      </c>
      <c r="CZD24">
        <v>22.88</v>
      </c>
      <c r="CZE24">
        <v>22.88</v>
      </c>
      <c r="CZF24">
        <v>13.58</v>
      </c>
      <c r="CZG24">
        <v>16.5</v>
      </c>
      <c r="CZH24">
        <v>17.55</v>
      </c>
      <c r="CZI24">
        <v>15.76</v>
      </c>
      <c r="CZJ24">
        <v>22.88</v>
      </c>
      <c r="CZK24">
        <v>22.88</v>
      </c>
      <c r="CZL24">
        <v>22.88</v>
      </c>
      <c r="CZM24">
        <v>22.88</v>
      </c>
      <c r="CZN24">
        <v>22.88</v>
      </c>
      <c r="CZO24">
        <v>23.1</v>
      </c>
      <c r="CZP24">
        <v>18.420000000000002</v>
      </c>
      <c r="CZQ24">
        <v>23.1</v>
      </c>
      <c r="CZR24">
        <v>21.13</v>
      </c>
      <c r="CZS24">
        <v>23.1</v>
      </c>
      <c r="CZT24">
        <v>23.1</v>
      </c>
      <c r="CZU24">
        <v>23.1</v>
      </c>
      <c r="CZV24">
        <v>23.1</v>
      </c>
      <c r="CZW24">
        <v>23.1</v>
      </c>
      <c r="CZX24">
        <v>23.1</v>
      </c>
      <c r="CZY24">
        <v>23.1</v>
      </c>
      <c r="CZZ24">
        <v>23.32</v>
      </c>
      <c r="DAA24">
        <v>23.32</v>
      </c>
      <c r="DAB24">
        <v>23.32</v>
      </c>
      <c r="DAC24">
        <v>13.22</v>
      </c>
      <c r="DAD24">
        <v>23.32</v>
      </c>
      <c r="DAE24">
        <v>23.32</v>
      </c>
      <c r="DAF24">
        <v>23.32</v>
      </c>
      <c r="DAG24">
        <v>23.32</v>
      </c>
      <c r="DAH24">
        <v>16.07</v>
      </c>
      <c r="DAI24">
        <v>23.54</v>
      </c>
      <c r="DAJ24">
        <v>23.54</v>
      </c>
      <c r="DAK24">
        <v>15.44</v>
      </c>
      <c r="DAL24">
        <v>13.59</v>
      </c>
      <c r="DAM24">
        <v>23.54</v>
      </c>
      <c r="DAN24">
        <v>23.54</v>
      </c>
      <c r="DAO24">
        <v>16.25</v>
      </c>
      <c r="DAP24">
        <v>23.54</v>
      </c>
      <c r="DAQ24">
        <v>23.54</v>
      </c>
      <c r="DAR24">
        <v>23.54</v>
      </c>
      <c r="DAS24">
        <v>23.54</v>
      </c>
      <c r="DAT24">
        <v>23.75</v>
      </c>
      <c r="DAU24">
        <v>21.36</v>
      </c>
      <c r="DAV24">
        <v>23.76</v>
      </c>
      <c r="DAW24">
        <v>23.76</v>
      </c>
      <c r="DAX24">
        <v>18.07</v>
      </c>
      <c r="DAY24">
        <v>23.76</v>
      </c>
      <c r="DAZ24">
        <v>14.62</v>
      </c>
      <c r="DBA24">
        <v>23.76</v>
      </c>
      <c r="DBB24">
        <v>16.57</v>
      </c>
      <c r="DBC24">
        <v>23.97</v>
      </c>
      <c r="DBD24">
        <v>23.97</v>
      </c>
      <c r="DBE24">
        <v>23.97</v>
      </c>
      <c r="DBF24">
        <v>17.25</v>
      </c>
      <c r="DBG24">
        <v>11.6</v>
      </c>
      <c r="DBH24">
        <v>23.97</v>
      </c>
      <c r="DBI24">
        <v>23.97</v>
      </c>
      <c r="DBJ24">
        <v>15.14</v>
      </c>
      <c r="DBK24">
        <v>23.97</v>
      </c>
      <c r="DBL24">
        <v>17.98</v>
      </c>
      <c r="DBM24">
        <v>24.19</v>
      </c>
      <c r="DBN24">
        <v>24.19</v>
      </c>
      <c r="DBO24">
        <v>24.19</v>
      </c>
      <c r="DBP24">
        <v>24.19</v>
      </c>
      <c r="DBQ24">
        <v>18.23</v>
      </c>
      <c r="DBR24">
        <v>24.19</v>
      </c>
      <c r="DBS24">
        <v>16.649999999999999</v>
      </c>
      <c r="DBT24">
        <v>24.19</v>
      </c>
      <c r="DBU24">
        <v>24.2</v>
      </c>
      <c r="DBV24">
        <v>14.03</v>
      </c>
      <c r="DBW24">
        <v>22.17</v>
      </c>
      <c r="DBX24">
        <v>24.41</v>
      </c>
      <c r="DBY24">
        <v>24.41</v>
      </c>
      <c r="DBZ24">
        <v>24.41</v>
      </c>
      <c r="DCA24">
        <v>11.93</v>
      </c>
      <c r="DCB24">
        <v>24.41</v>
      </c>
      <c r="DCC24">
        <v>16.87</v>
      </c>
      <c r="DCD24">
        <v>24.41</v>
      </c>
      <c r="DCE24">
        <v>24.63</v>
      </c>
      <c r="DCF24">
        <v>16.95</v>
      </c>
      <c r="DCG24">
        <v>24.63</v>
      </c>
      <c r="DCH24">
        <v>24.63</v>
      </c>
      <c r="DCI24">
        <v>24.63</v>
      </c>
      <c r="DCJ24">
        <v>24.63</v>
      </c>
      <c r="DCK24">
        <v>24.84</v>
      </c>
      <c r="DCL24">
        <v>16.07</v>
      </c>
      <c r="DCM24">
        <v>24.84</v>
      </c>
      <c r="DCN24">
        <v>11.87</v>
      </c>
      <c r="DCO24">
        <v>24.85</v>
      </c>
      <c r="DCP24">
        <v>24.85</v>
      </c>
      <c r="DCQ24">
        <v>20.37</v>
      </c>
      <c r="DCR24">
        <v>24.85</v>
      </c>
      <c r="DCS24">
        <v>24.85</v>
      </c>
      <c r="DCT24">
        <v>24.85</v>
      </c>
      <c r="DCU24">
        <v>24.85</v>
      </c>
      <c r="DCV24">
        <v>14.41</v>
      </c>
      <c r="DCW24">
        <v>19.18</v>
      </c>
      <c r="DCX24">
        <v>25.06</v>
      </c>
      <c r="DCY24">
        <v>25.06</v>
      </c>
      <c r="DCZ24">
        <v>10.79</v>
      </c>
      <c r="DDA24">
        <v>25.06</v>
      </c>
      <c r="DDB24">
        <v>25.06</v>
      </c>
      <c r="DDC24">
        <v>18.39</v>
      </c>
      <c r="DDD24">
        <v>25.28</v>
      </c>
      <c r="DDE24">
        <v>25.28</v>
      </c>
      <c r="DDF24">
        <v>11.95</v>
      </c>
      <c r="DDG24">
        <v>25.28</v>
      </c>
      <c r="DDH24">
        <v>25.28</v>
      </c>
      <c r="DDI24">
        <v>25.28</v>
      </c>
      <c r="DDJ24">
        <v>25.28</v>
      </c>
      <c r="DDK24">
        <v>22.68</v>
      </c>
      <c r="DDL24">
        <v>25.28</v>
      </c>
      <c r="DDM24">
        <v>25.28</v>
      </c>
      <c r="DDN24">
        <v>25.5</v>
      </c>
      <c r="DDO24">
        <v>25.5</v>
      </c>
      <c r="DDP24">
        <v>25.5</v>
      </c>
      <c r="DDQ24">
        <v>25.5</v>
      </c>
      <c r="DDR24">
        <v>25.5</v>
      </c>
      <c r="DDS24">
        <v>12.37</v>
      </c>
      <c r="DDT24">
        <v>25.72</v>
      </c>
      <c r="DDU24">
        <v>25.72</v>
      </c>
      <c r="DDV24">
        <v>25.72</v>
      </c>
      <c r="DDW24">
        <v>25.72</v>
      </c>
      <c r="DDX24">
        <v>25.72</v>
      </c>
      <c r="DDY24">
        <v>16.510000000000002</v>
      </c>
      <c r="DDZ24">
        <v>25.72</v>
      </c>
      <c r="DEA24">
        <v>25.72</v>
      </c>
      <c r="DEB24">
        <v>16.66</v>
      </c>
      <c r="DEC24">
        <v>19.28</v>
      </c>
      <c r="DED24">
        <v>25.72</v>
      </c>
      <c r="DEE24">
        <v>25.93</v>
      </c>
      <c r="DEF24">
        <v>14.16</v>
      </c>
      <c r="DEG24">
        <v>25.93</v>
      </c>
      <c r="DEH24">
        <v>25.93</v>
      </c>
      <c r="DEI24">
        <v>17.91</v>
      </c>
      <c r="DEJ24">
        <v>25.93</v>
      </c>
      <c r="DEK24">
        <v>25.93</v>
      </c>
      <c r="DEL24">
        <v>25.94</v>
      </c>
      <c r="DEM24">
        <v>14.97</v>
      </c>
      <c r="DEN24">
        <v>25.94</v>
      </c>
      <c r="DEO24">
        <v>16.52</v>
      </c>
      <c r="DEP24">
        <v>20.34</v>
      </c>
      <c r="DEQ24">
        <v>14.35</v>
      </c>
      <c r="DER24">
        <v>26.15</v>
      </c>
      <c r="DES24">
        <v>23.75</v>
      </c>
      <c r="DET24">
        <v>26.15</v>
      </c>
      <c r="DEU24">
        <v>26.15</v>
      </c>
      <c r="DEV24">
        <v>26.15</v>
      </c>
      <c r="DEW24">
        <v>20.67</v>
      </c>
      <c r="DEX24">
        <v>18.54</v>
      </c>
      <c r="DEY24">
        <v>18.329999999999998</v>
      </c>
      <c r="DEZ24">
        <v>26.15</v>
      </c>
      <c r="DFA24">
        <v>20.28</v>
      </c>
      <c r="DFB24">
        <v>26.37</v>
      </c>
      <c r="DFC24">
        <v>14.06</v>
      </c>
      <c r="DFD24">
        <v>26.37</v>
      </c>
      <c r="DFE24">
        <v>26.37</v>
      </c>
      <c r="DFF24">
        <v>13.53</v>
      </c>
      <c r="DFG24">
        <v>26.37</v>
      </c>
      <c r="DFH24">
        <v>26.37</v>
      </c>
      <c r="DFI24">
        <v>24.6</v>
      </c>
      <c r="DFJ24">
        <v>26.59</v>
      </c>
      <c r="DFK24">
        <v>26.59</v>
      </c>
      <c r="DFL24">
        <v>11.33</v>
      </c>
      <c r="DFM24">
        <v>26.59</v>
      </c>
      <c r="DFN24">
        <v>26.8</v>
      </c>
      <c r="DFO24">
        <v>20.53</v>
      </c>
      <c r="DFP24">
        <v>21.12</v>
      </c>
      <c r="DFQ24">
        <v>18.8</v>
      </c>
      <c r="DFR24">
        <v>26.81</v>
      </c>
      <c r="DFS24">
        <v>26.81</v>
      </c>
      <c r="DFT24">
        <v>15.05</v>
      </c>
      <c r="DFU24">
        <v>27.02</v>
      </c>
      <c r="DFV24">
        <v>27.02</v>
      </c>
      <c r="DFW24">
        <v>19.52</v>
      </c>
      <c r="DFX24">
        <v>27.03</v>
      </c>
      <c r="DFY24">
        <v>19.75</v>
      </c>
      <c r="DFZ24">
        <v>15.78</v>
      </c>
      <c r="DGA24">
        <v>18.149999999999999</v>
      </c>
      <c r="DGB24">
        <v>27.24</v>
      </c>
      <c r="DGC24">
        <v>12.89</v>
      </c>
      <c r="DGD24">
        <v>27.24</v>
      </c>
      <c r="DGE24">
        <v>25.68</v>
      </c>
      <c r="DGF24">
        <v>16.440000000000001</v>
      </c>
      <c r="DGG24">
        <v>27.24</v>
      </c>
      <c r="DGH24">
        <v>27.24</v>
      </c>
      <c r="DGI24">
        <v>27.46</v>
      </c>
      <c r="DGJ24">
        <v>27.46</v>
      </c>
      <c r="DGK24">
        <v>27.46</v>
      </c>
      <c r="DGL24">
        <v>15.02</v>
      </c>
      <c r="DGM24">
        <v>19.28</v>
      </c>
      <c r="DGN24">
        <v>27.46</v>
      </c>
      <c r="DGO24">
        <v>27.46</v>
      </c>
      <c r="DGP24">
        <v>27.46</v>
      </c>
      <c r="DGQ24">
        <v>27.66</v>
      </c>
      <c r="DGR24">
        <v>19.329999999999998</v>
      </c>
      <c r="DGS24">
        <v>27.68</v>
      </c>
      <c r="DGT24">
        <v>27.68</v>
      </c>
      <c r="DGU24">
        <v>18.91</v>
      </c>
      <c r="DGV24">
        <v>20.12</v>
      </c>
      <c r="DGW24">
        <v>27.68</v>
      </c>
      <c r="DGX24">
        <v>20.12</v>
      </c>
      <c r="DGY24">
        <v>24.26</v>
      </c>
      <c r="DGZ24">
        <v>27.68</v>
      </c>
      <c r="DHA24">
        <v>27.68</v>
      </c>
      <c r="DHB24">
        <v>12.99</v>
      </c>
      <c r="DHC24">
        <v>27.68</v>
      </c>
      <c r="DHD24">
        <v>27.68</v>
      </c>
      <c r="DHE24">
        <v>27.89</v>
      </c>
      <c r="DHF24">
        <v>27.89</v>
      </c>
      <c r="DHG24">
        <v>27.89</v>
      </c>
      <c r="DHH24">
        <v>27.89</v>
      </c>
      <c r="DHI24">
        <v>25.7</v>
      </c>
      <c r="DHJ24">
        <v>15.43</v>
      </c>
      <c r="DHK24">
        <v>20.420000000000002</v>
      </c>
      <c r="DHL24">
        <v>27.9</v>
      </c>
      <c r="DHM24">
        <v>21.14</v>
      </c>
      <c r="DHN24">
        <v>15.8</v>
      </c>
      <c r="DHO24">
        <v>17.600000000000001</v>
      </c>
      <c r="DHP24">
        <v>25.09</v>
      </c>
      <c r="DHQ24">
        <v>28.11</v>
      </c>
      <c r="DHR24">
        <v>28.11</v>
      </c>
      <c r="DHS24">
        <v>28.11</v>
      </c>
      <c r="DHT24">
        <v>18.7</v>
      </c>
      <c r="DHU24">
        <v>28.11</v>
      </c>
      <c r="DHV24">
        <v>28.11</v>
      </c>
      <c r="DHW24">
        <v>23.03</v>
      </c>
      <c r="DHX24">
        <v>9.33</v>
      </c>
      <c r="DHY24">
        <v>20.399999999999999</v>
      </c>
      <c r="DHZ24">
        <v>28.33</v>
      </c>
      <c r="DIA24">
        <v>21.53</v>
      </c>
      <c r="DIB24">
        <v>28.33</v>
      </c>
      <c r="DIC24">
        <v>28.55</v>
      </c>
      <c r="DID24">
        <v>28.55</v>
      </c>
      <c r="DIE24">
        <v>28.55</v>
      </c>
      <c r="DIF24">
        <v>28.55</v>
      </c>
      <c r="DIG24">
        <v>25.32</v>
      </c>
      <c r="DIH24">
        <v>28.55</v>
      </c>
      <c r="DII24">
        <v>28.55</v>
      </c>
      <c r="DIJ24">
        <v>11.94</v>
      </c>
      <c r="DIK24">
        <v>28.55</v>
      </c>
      <c r="DIL24">
        <v>28.55</v>
      </c>
      <c r="DIM24">
        <v>28.55</v>
      </c>
      <c r="DIN24">
        <v>28.55</v>
      </c>
      <c r="DIO24">
        <v>28.55</v>
      </c>
      <c r="DIP24">
        <v>23.99</v>
      </c>
      <c r="DIQ24">
        <v>28.55</v>
      </c>
      <c r="DIR24">
        <v>25.94</v>
      </c>
      <c r="DIS24">
        <v>28.77</v>
      </c>
      <c r="DIT24">
        <v>28.77</v>
      </c>
      <c r="DIU24">
        <v>28.77</v>
      </c>
      <c r="DIV24">
        <v>28.77</v>
      </c>
      <c r="DIW24">
        <v>28.77</v>
      </c>
      <c r="DIX24">
        <v>28.98</v>
      </c>
      <c r="DIY24">
        <v>28.98</v>
      </c>
      <c r="DIZ24">
        <v>28.99</v>
      </c>
      <c r="DJA24">
        <v>28.99</v>
      </c>
      <c r="DJB24">
        <v>28.99</v>
      </c>
      <c r="DJC24">
        <v>28.99</v>
      </c>
      <c r="DJD24">
        <v>29.2</v>
      </c>
      <c r="DJE24">
        <v>29.2</v>
      </c>
      <c r="DJF24">
        <v>29.2</v>
      </c>
      <c r="DJG24">
        <v>20.65</v>
      </c>
      <c r="DJH24">
        <v>29.2</v>
      </c>
      <c r="DJI24">
        <v>29.2</v>
      </c>
      <c r="DJJ24">
        <v>25.19</v>
      </c>
      <c r="DJK24">
        <v>24.81</v>
      </c>
      <c r="DJL24">
        <v>29.2</v>
      </c>
      <c r="DJM24">
        <v>28.51</v>
      </c>
      <c r="DJN24">
        <v>20.83</v>
      </c>
      <c r="DJO24">
        <v>29.42</v>
      </c>
      <c r="DJP24">
        <v>29.42</v>
      </c>
      <c r="DJQ24">
        <v>29.64</v>
      </c>
      <c r="DJR24">
        <v>13.72</v>
      </c>
      <c r="DJS24">
        <v>29.64</v>
      </c>
      <c r="DJT24">
        <v>29.64</v>
      </c>
      <c r="DJU24">
        <v>14.5</v>
      </c>
      <c r="DJV24">
        <v>29.64</v>
      </c>
      <c r="DJW24">
        <v>16.760000000000002</v>
      </c>
      <c r="DJX24">
        <v>29.64</v>
      </c>
      <c r="DJY24">
        <v>25.43</v>
      </c>
      <c r="DJZ24">
        <v>29.64</v>
      </c>
      <c r="DKA24">
        <v>29.64</v>
      </c>
      <c r="DKB24">
        <v>20.65</v>
      </c>
      <c r="DKC24">
        <v>29.85</v>
      </c>
      <c r="DKD24">
        <v>29.85</v>
      </c>
      <c r="DKE24">
        <v>29.86</v>
      </c>
      <c r="DKF24">
        <v>29.86</v>
      </c>
      <c r="DKG24">
        <v>29.86</v>
      </c>
      <c r="DKH24">
        <v>29.86</v>
      </c>
      <c r="DKI24">
        <v>30.07</v>
      </c>
      <c r="DKJ24">
        <v>25.67</v>
      </c>
      <c r="DKK24">
        <v>30.07</v>
      </c>
      <c r="DKL24">
        <v>30.07</v>
      </c>
      <c r="DKM24">
        <v>24.59</v>
      </c>
      <c r="DKN24">
        <v>30.08</v>
      </c>
      <c r="DKO24">
        <v>30.29</v>
      </c>
      <c r="DKP24">
        <v>30.29</v>
      </c>
      <c r="DKQ24">
        <v>30.29</v>
      </c>
      <c r="DKR24">
        <v>25.7</v>
      </c>
      <c r="DKS24">
        <v>30.29</v>
      </c>
      <c r="DKT24">
        <v>16.66</v>
      </c>
      <c r="DKU24">
        <v>30.29</v>
      </c>
      <c r="DKV24">
        <v>30.29</v>
      </c>
      <c r="DKW24">
        <v>30.29</v>
      </c>
      <c r="DKX24">
        <v>30.51</v>
      </c>
      <c r="DKY24">
        <v>30.51</v>
      </c>
      <c r="DKZ24">
        <v>30.51</v>
      </c>
      <c r="DLA24">
        <v>30.51</v>
      </c>
      <c r="DLB24">
        <v>30.51</v>
      </c>
      <c r="DLC24">
        <v>30.51</v>
      </c>
      <c r="DLD24">
        <v>30.51</v>
      </c>
      <c r="DLE24">
        <v>30.52</v>
      </c>
      <c r="DLF24">
        <v>30.73</v>
      </c>
      <c r="DLG24">
        <v>14.01</v>
      </c>
      <c r="DLH24">
        <v>30.73</v>
      </c>
      <c r="DLI24">
        <v>30.73</v>
      </c>
      <c r="DLJ24">
        <v>26.15</v>
      </c>
      <c r="DLK24">
        <v>30.95</v>
      </c>
      <c r="DLL24">
        <v>30.95</v>
      </c>
      <c r="DLM24">
        <v>30.95</v>
      </c>
      <c r="DLN24">
        <v>21.82</v>
      </c>
      <c r="DLO24">
        <v>16.75</v>
      </c>
      <c r="DLP24">
        <v>25.48</v>
      </c>
      <c r="DLQ24">
        <v>27.52</v>
      </c>
      <c r="DLR24">
        <v>31.16</v>
      </c>
      <c r="DLS24">
        <v>31.17</v>
      </c>
      <c r="DLT24">
        <v>31.17</v>
      </c>
      <c r="DLU24">
        <v>21.46</v>
      </c>
      <c r="DLV24">
        <v>31.38</v>
      </c>
      <c r="DLW24">
        <v>22.97</v>
      </c>
      <c r="DLX24">
        <v>20.88</v>
      </c>
      <c r="DLY24">
        <v>22.37</v>
      </c>
      <c r="DLZ24">
        <v>31.6</v>
      </c>
      <c r="DMA24">
        <v>31.6</v>
      </c>
      <c r="DMB24">
        <v>31.6</v>
      </c>
      <c r="DMC24">
        <v>18.27</v>
      </c>
      <c r="DMD24">
        <v>31.82</v>
      </c>
      <c r="DME24">
        <v>31.82</v>
      </c>
      <c r="DMF24">
        <v>31.82</v>
      </c>
      <c r="DMG24">
        <v>31.82</v>
      </c>
      <c r="DMH24">
        <v>31.82</v>
      </c>
      <c r="DMI24">
        <v>20.83</v>
      </c>
      <c r="DMJ24">
        <v>22.09</v>
      </c>
      <c r="DMK24">
        <v>32.04</v>
      </c>
      <c r="DML24">
        <v>32.04</v>
      </c>
      <c r="DMM24">
        <v>32.04</v>
      </c>
      <c r="DMN24">
        <v>17.940000000000001</v>
      </c>
      <c r="DMO24">
        <v>28.25</v>
      </c>
      <c r="DMP24">
        <v>32.04</v>
      </c>
      <c r="DMQ24">
        <v>32.04</v>
      </c>
      <c r="DMR24">
        <v>32.04</v>
      </c>
      <c r="DMS24">
        <v>25.09</v>
      </c>
      <c r="DMT24">
        <v>32.26</v>
      </c>
      <c r="DMU24">
        <v>32.26</v>
      </c>
      <c r="DMV24">
        <v>22.28</v>
      </c>
      <c r="DMW24">
        <v>32.26</v>
      </c>
      <c r="DMX24">
        <v>23.67</v>
      </c>
      <c r="DMY24">
        <v>20.29</v>
      </c>
      <c r="DMZ24">
        <v>32.47</v>
      </c>
      <c r="DNA24">
        <v>32.47</v>
      </c>
      <c r="DNB24">
        <v>32.47</v>
      </c>
      <c r="DNC24">
        <v>32.47</v>
      </c>
      <c r="DND24">
        <v>32.47</v>
      </c>
      <c r="DNE24">
        <v>32.47</v>
      </c>
      <c r="DNF24">
        <v>32.47</v>
      </c>
      <c r="DNG24">
        <v>32.479999999999997</v>
      </c>
      <c r="DNH24">
        <v>15.59</v>
      </c>
      <c r="DNI24">
        <v>32.69</v>
      </c>
      <c r="DNJ24">
        <v>28.44</v>
      </c>
      <c r="DNK24">
        <v>32.69</v>
      </c>
      <c r="DNL24">
        <v>22.51</v>
      </c>
      <c r="DNM24">
        <v>23.37</v>
      </c>
      <c r="DNN24">
        <v>32.69</v>
      </c>
      <c r="DNO24">
        <v>32.69</v>
      </c>
      <c r="DNP24">
        <v>32.69</v>
      </c>
      <c r="DNQ24">
        <v>22.74</v>
      </c>
      <c r="DNR24">
        <v>32.909999999999997</v>
      </c>
      <c r="DNS24">
        <v>28.27</v>
      </c>
      <c r="DNT24">
        <v>32.909999999999997</v>
      </c>
      <c r="DNU24">
        <v>32.909999999999997</v>
      </c>
      <c r="DNV24">
        <v>22.77</v>
      </c>
      <c r="DNW24">
        <v>32.909999999999997</v>
      </c>
      <c r="DNX24">
        <v>32.909999999999997</v>
      </c>
      <c r="DNY24">
        <v>21.27</v>
      </c>
      <c r="DNZ24">
        <v>32.909999999999997</v>
      </c>
      <c r="DOA24">
        <v>32.909999999999997</v>
      </c>
      <c r="DOB24">
        <v>18.5</v>
      </c>
      <c r="DOC24">
        <v>19.63</v>
      </c>
      <c r="DOD24">
        <v>25.45</v>
      </c>
      <c r="DOE24">
        <v>25.07</v>
      </c>
      <c r="DOF24">
        <v>24.03</v>
      </c>
      <c r="DOG24">
        <v>33.340000000000003</v>
      </c>
      <c r="DOH24">
        <v>33.340000000000003</v>
      </c>
      <c r="DOI24">
        <v>33.35</v>
      </c>
      <c r="DOJ24">
        <v>33.35</v>
      </c>
      <c r="DOK24">
        <v>33.56</v>
      </c>
      <c r="DOL24">
        <v>23.28</v>
      </c>
      <c r="DOM24">
        <v>33.56</v>
      </c>
      <c r="DON24">
        <v>31.56</v>
      </c>
      <c r="DOO24">
        <v>33.56</v>
      </c>
      <c r="DOP24">
        <v>33.78</v>
      </c>
      <c r="DOQ24">
        <v>23.4</v>
      </c>
      <c r="DOR24">
        <v>33.78</v>
      </c>
      <c r="DOS24">
        <v>33.78</v>
      </c>
      <c r="DOT24">
        <v>22.39</v>
      </c>
      <c r="DOU24">
        <v>33.78</v>
      </c>
      <c r="DOV24">
        <v>33.78</v>
      </c>
      <c r="DOW24">
        <v>24.14</v>
      </c>
      <c r="DOX24">
        <v>34</v>
      </c>
      <c r="DOY24">
        <v>34</v>
      </c>
      <c r="DOZ24">
        <v>34</v>
      </c>
      <c r="DPA24">
        <v>34.22</v>
      </c>
      <c r="DPB24">
        <v>34.22</v>
      </c>
      <c r="DPC24">
        <v>30.95</v>
      </c>
      <c r="DPD24">
        <v>15.82</v>
      </c>
      <c r="DPE24">
        <v>31.16</v>
      </c>
      <c r="DPF24">
        <v>34.44</v>
      </c>
      <c r="DPG24">
        <v>34.44</v>
      </c>
      <c r="DPH24">
        <v>34.44</v>
      </c>
      <c r="DPI24">
        <v>34.44</v>
      </c>
      <c r="DPJ24">
        <v>34.44</v>
      </c>
      <c r="DPK24">
        <v>22.21</v>
      </c>
      <c r="DPL24">
        <v>34.65</v>
      </c>
      <c r="DPM24">
        <v>24.71</v>
      </c>
      <c r="DPN24">
        <v>34.65</v>
      </c>
      <c r="DPO24">
        <v>30.18</v>
      </c>
      <c r="DPP24">
        <v>34.65</v>
      </c>
      <c r="DPQ24">
        <v>34.65</v>
      </c>
      <c r="DPR24">
        <v>19.09</v>
      </c>
      <c r="DPS24">
        <v>34.65</v>
      </c>
      <c r="DPT24">
        <v>29.6</v>
      </c>
      <c r="DPU24">
        <v>34.869999999999997</v>
      </c>
      <c r="DPV24">
        <v>25.81</v>
      </c>
      <c r="DPW24">
        <v>34.869999999999997</v>
      </c>
      <c r="DPX24">
        <v>35.090000000000003</v>
      </c>
      <c r="DPY24">
        <v>35.090000000000003</v>
      </c>
      <c r="DPZ24">
        <v>35.090000000000003</v>
      </c>
      <c r="DQA24">
        <v>35.090000000000003</v>
      </c>
      <c r="DQB24">
        <v>35.090000000000003</v>
      </c>
      <c r="DQC24">
        <v>35.299999999999997</v>
      </c>
      <c r="DQD24">
        <v>35.31</v>
      </c>
      <c r="DQE24">
        <v>35.520000000000003</v>
      </c>
      <c r="DQF24">
        <v>18.850000000000001</v>
      </c>
      <c r="DQG24">
        <v>35.520000000000003</v>
      </c>
      <c r="DQH24">
        <v>28.37</v>
      </c>
      <c r="DQI24">
        <v>35.53</v>
      </c>
      <c r="DQJ24">
        <v>35.53</v>
      </c>
      <c r="DQK24">
        <v>35.74</v>
      </c>
      <c r="DQL24">
        <v>35.74</v>
      </c>
      <c r="DQM24">
        <v>16.5</v>
      </c>
      <c r="DQN24">
        <v>30.31</v>
      </c>
      <c r="DQO24">
        <v>35.74</v>
      </c>
      <c r="DQP24">
        <v>21.26</v>
      </c>
      <c r="DQQ24">
        <v>32.68</v>
      </c>
      <c r="DQR24">
        <v>33.1</v>
      </c>
      <c r="DQS24">
        <v>35.96</v>
      </c>
      <c r="DQT24">
        <v>27.18</v>
      </c>
      <c r="DQU24">
        <v>35.96</v>
      </c>
      <c r="DQV24">
        <v>35.96</v>
      </c>
      <c r="DQW24">
        <v>31.49</v>
      </c>
      <c r="DQX24">
        <v>17.13</v>
      </c>
      <c r="DQY24">
        <v>36.18</v>
      </c>
      <c r="DQZ24">
        <v>36.18</v>
      </c>
      <c r="DRA24">
        <v>36.18</v>
      </c>
      <c r="DRB24">
        <v>36.39</v>
      </c>
      <c r="DRC24">
        <v>18.579999999999998</v>
      </c>
      <c r="DRD24">
        <v>36.4</v>
      </c>
      <c r="DRE24">
        <v>36.4</v>
      </c>
      <c r="DRF24">
        <v>33.119999999999997</v>
      </c>
      <c r="DRG24">
        <v>36.4</v>
      </c>
      <c r="DRH24">
        <v>19.96</v>
      </c>
      <c r="DRI24">
        <v>36.61</v>
      </c>
      <c r="DRJ24">
        <v>30.26</v>
      </c>
      <c r="DRK24">
        <v>26.16</v>
      </c>
      <c r="DRL24">
        <v>21.63</v>
      </c>
      <c r="DRM24">
        <v>32.74</v>
      </c>
      <c r="DRN24">
        <v>28.69</v>
      </c>
      <c r="DRO24">
        <v>36.83</v>
      </c>
      <c r="DRP24">
        <v>37.049999999999997</v>
      </c>
      <c r="DRQ24">
        <v>22.51</v>
      </c>
      <c r="DRR24">
        <v>37.049999999999997</v>
      </c>
      <c r="DRS24">
        <v>37.270000000000003</v>
      </c>
      <c r="DRT24">
        <v>37.270000000000003</v>
      </c>
      <c r="DRU24">
        <v>37.270000000000003</v>
      </c>
      <c r="DRV24">
        <v>37.270000000000003</v>
      </c>
      <c r="DRW24">
        <v>10.96</v>
      </c>
      <c r="DRX24">
        <v>14.47</v>
      </c>
      <c r="DRY24">
        <v>37.479999999999997</v>
      </c>
      <c r="DRZ24">
        <v>29.88</v>
      </c>
      <c r="DSA24">
        <v>29.02</v>
      </c>
      <c r="DSB24">
        <v>37.700000000000003</v>
      </c>
      <c r="DSC24">
        <v>37.700000000000003</v>
      </c>
      <c r="DSD24">
        <v>37.700000000000003</v>
      </c>
      <c r="DSE24">
        <v>37.700000000000003</v>
      </c>
      <c r="DSF24">
        <v>37.700000000000003</v>
      </c>
      <c r="DSG24">
        <v>37.700000000000003</v>
      </c>
      <c r="DSH24">
        <v>37.700000000000003</v>
      </c>
      <c r="DSI24">
        <v>37.700000000000003</v>
      </c>
      <c r="DSJ24">
        <v>37.92</v>
      </c>
      <c r="DSK24">
        <v>37.92</v>
      </c>
      <c r="DSL24">
        <v>32.08</v>
      </c>
      <c r="DSM24">
        <v>37.92</v>
      </c>
      <c r="DSN24">
        <v>37.92</v>
      </c>
      <c r="DSO24">
        <v>32.450000000000003</v>
      </c>
      <c r="DSP24">
        <v>27.88</v>
      </c>
      <c r="DSQ24">
        <v>25.87</v>
      </c>
      <c r="DSR24">
        <v>37.92</v>
      </c>
      <c r="DSS24">
        <v>30.09</v>
      </c>
      <c r="DST24">
        <v>38.14</v>
      </c>
      <c r="DSU24">
        <v>38.14</v>
      </c>
      <c r="DSV24">
        <v>38.14</v>
      </c>
      <c r="DSW24">
        <v>31.93</v>
      </c>
      <c r="DSX24">
        <v>38.14</v>
      </c>
      <c r="DSY24">
        <v>38.15</v>
      </c>
      <c r="DSZ24">
        <v>38.36</v>
      </c>
      <c r="DTA24">
        <v>38.36</v>
      </c>
      <c r="DTB24">
        <v>20.260000000000002</v>
      </c>
      <c r="DTC24">
        <v>38.36</v>
      </c>
      <c r="DTD24">
        <v>38.36</v>
      </c>
      <c r="DTE24">
        <v>38.58</v>
      </c>
      <c r="DTF24">
        <v>16.940000000000001</v>
      </c>
      <c r="DTG24">
        <v>38.79</v>
      </c>
      <c r="DTH24">
        <v>38.799999999999997</v>
      </c>
      <c r="DTI24">
        <v>39.01</v>
      </c>
      <c r="DTJ24">
        <v>39.01</v>
      </c>
      <c r="DTK24">
        <v>39.01</v>
      </c>
      <c r="DTL24">
        <v>15.32</v>
      </c>
      <c r="DTM24">
        <v>17.47</v>
      </c>
      <c r="DTN24">
        <v>39.01</v>
      </c>
      <c r="DTO24">
        <v>27.95</v>
      </c>
      <c r="DTP24">
        <v>16.41</v>
      </c>
      <c r="DTQ24">
        <v>39.229999999999997</v>
      </c>
      <c r="DTR24">
        <v>39.229999999999997</v>
      </c>
      <c r="DTS24">
        <v>39.43</v>
      </c>
      <c r="DTT24">
        <v>13.44</v>
      </c>
      <c r="DTU24">
        <v>25.63</v>
      </c>
      <c r="DTV24">
        <v>39.450000000000003</v>
      </c>
      <c r="DTW24">
        <v>39.450000000000003</v>
      </c>
      <c r="DTX24">
        <v>17.510000000000002</v>
      </c>
      <c r="DTY24">
        <v>39.450000000000003</v>
      </c>
      <c r="DTZ24">
        <v>28.23</v>
      </c>
      <c r="DUA24">
        <v>39.46</v>
      </c>
      <c r="DUB24">
        <v>39.659999999999997</v>
      </c>
      <c r="DUC24">
        <v>39.659999999999997</v>
      </c>
      <c r="DUD24">
        <v>39.659999999999997</v>
      </c>
      <c r="DUE24">
        <v>23.58</v>
      </c>
      <c r="DUF24">
        <v>27.3</v>
      </c>
      <c r="DUG24">
        <v>39.67</v>
      </c>
      <c r="DUH24">
        <v>27.82</v>
      </c>
      <c r="DUI24">
        <v>37.65</v>
      </c>
      <c r="DUJ24">
        <v>39.880000000000003</v>
      </c>
      <c r="DUK24">
        <v>27.6</v>
      </c>
      <c r="DUL24">
        <v>40.1</v>
      </c>
      <c r="DUM24">
        <v>32.29</v>
      </c>
      <c r="DUN24">
        <v>40.1</v>
      </c>
      <c r="DUO24">
        <v>24.38</v>
      </c>
      <c r="DUP24">
        <v>40.32</v>
      </c>
      <c r="DUQ24">
        <v>34.82</v>
      </c>
      <c r="DUR24">
        <v>40.32</v>
      </c>
      <c r="DUS24">
        <v>29.93</v>
      </c>
      <c r="DUT24">
        <v>24.82</v>
      </c>
      <c r="DUU24">
        <v>21.1</v>
      </c>
      <c r="DUV24">
        <v>23.41</v>
      </c>
      <c r="DUW24">
        <v>37.659999999999997</v>
      </c>
      <c r="DUX24">
        <v>40.54</v>
      </c>
      <c r="DUY24">
        <v>40.54</v>
      </c>
      <c r="DUZ24">
        <v>15.56</v>
      </c>
      <c r="DVA24">
        <v>36.409999999999997</v>
      </c>
      <c r="DVB24">
        <v>40.54</v>
      </c>
      <c r="DVC24">
        <v>40.97</v>
      </c>
      <c r="DVD24">
        <v>40.97</v>
      </c>
      <c r="DVE24">
        <v>40.97</v>
      </c>
      <c r="DVF24">
        <v>40.97</v>
      </c>
      <c r="DVG24">
        <v>41.19</v>
      </c>
      <c r="DVH24">
        <v>34.74</v>
      </c>
      <c r="DVI24">
        <v>30.74</v>
      </c>
      <c r="DVJ24">
        <v>41.41</v>
      </c>
      <c r="DVK24">
        <v>38.96</v>
      </c>
      <c r="DVL24">
        <v>21.31</v>
      </c>
      <c r="DVM24">
        <v>41.63</v>
      </c>
      <c r="DVN24">
        <v>41.63</v>
      </c>
      <c r="DVO24">
        <v>41.63</v>
      </c>
      <c r="DVP24">
        <v>34.659999999999997</v>
      </c>
      <c r="DVQ24">
        <v>41.84</v>
      </c>
      <c r="DVR24">
        <v>18.559999999999999</v>
      </c>
      <c r="DVS24">
        <v>41.85</v>
      </c>
      <c r="DVT24">
        <v>42.06</v>
      </c>
      <c r="DVU24">
        <v>42.06</v>
      </c>
      <c r="DVV24">
        <v>32.61</v>
      </c>
      <c r="DVW24">
        <v>42.28</v>
      </c>
      <c r="DVX24">
        <v>42.28</v>
      </c>
      <c r="DVY24">
        <v>42.28</v>
      </c>
      <c r="DVZ24">
        <v>38.159999999999997</v>
      </c>
      <c r="DWA24">
        <v>36.97</v>
      </c>
      <c r="DWB24">
        <v>42.5</v>
      </c>
      <c r="DWC24">
        <v>42.5</v>
      </c>
      <c r="DWD24">
        <v>17.940000000000001</v>
      </c>
      <c r="DWE24">
        <v>40.26</v>
      </c>
      <c r="DWF24">
        <v>42.71</v>
      </c>
      <c r="DWG24">
        <v>37.97</v>
      </c>
      <c r="DWH24">
        <v>42.93</v>
      </c>
      <c r="DWI24">
        <v>42.93</v>
      </c>
      <c r="DWJ24">
        <v>42.93</v>
      </c>
      <c r="DWK24">
        <v>42.94</v>
      </c>
      <c r="DWL24">
        <v>35.54</v>
      </c>
      <c r="DWM24">
        <v>43.37</v>
      </c>
      <c r="DWN24">
        <v>24.43</v>
      </c>
      <c r="DWO24">
        <v>43.37</v>
      </c>
      <c r="DWP24">
        <v>43.37</v>
      </c>
      <c r="DWQ24">
        <v>29.92</v>
      </c>
      <c r="DWR24">
        <v>43.59</v>
      </c>
      <c r="DWS24">
        <v>43.59</v>
      </c>
      <c r="DWT24">
        <v>23.55</v>
      </c>
      <c r="DWU24">
        <v>21.96</v>
      </c>
      <c r="DWV24">
        <v>43.59</v>
      </c>
      <c r="DWW24">
        <v>43.8</v>
      </c>
      <c r="DWX24">
        <v>32.28</v>
      </c>
      <c r="DWY24">
        <v>43.8</v>
      </c>
      <c r="DWZ24">
        <v>43.8</v>
      </c>
      <c r="DXA24">
        <v>43.81</v>
      </c>
      <c r="DXB24">
        <v>43.81</v>
      </c>
      <c r="DXC24">
        <v>43.81</v>
      </c>
      <c r="DXD24">
        <v>44.02</v>
      </c>
      <c r="DXE24">
        <v>44.02</v>
      </c>
      <c r="DXF24">
        <v>44.02</v>
      </c>
      <c r="DXG24">
        <v>30.7</v>
      </c>
      <c r="DXH24">
        <v>37</v>
      </c>
      <c r="DXI24">
        <v>44.24</v>
      </c>
      <c r="DXJ24">
        <v>44.24</v>
      </c>
      <c r="DXK24">
        <v>37.58</v>
      </c>
      <c r="DXL24">
        <v>44.46</v>
      </c>
      <c r="DXM24">
        <v>30.67</v>
      </c>
      <c r="DXN24">
        <v>44.68</v>
      </c>
      <c r="DXO24">
        <v>44.68</v>
      </c>
      <c r="DXP24">
        <v>39.54</v>
      </c>
      <c r="DXQ24">
        <v>25.81</v>
      </c>
      <c r="DXR24">
        <v>21.77</v>
      </c>
      <c r="DXS24">
        <v>44.9</v>
      </c>
      <c r="DXT24">
        <v>44.9</v>
      </c>
      <c r="DXU24">
        <v>45.11</v>
      </c>
      <c r="DXV24">
        <v>45.11</v>
      </c>
      <c r="DXW24">
        <v>45.11</v>
      </c>
      <c r="DXX24">
        <v>33.96</v>
      </c>
      <c r="DXY24">
        <v>45.11</v>
      </c>
      <c r="DXZ24">
        <v>31.43</v>
      </c>
      <c r="DYA24">
        <v>27.96</v>
      </c>
      <c r="DYB24">
        <v>45.33</v>
      </c>
      <c r="DYC24">
        <v>45.33</v>
      </c>
      <c r="DYD24">
        <v>31.66</v>
      </c>
      <c r="DYE24">
        <v>45.55</v>
      </c>
      <c r="DYF24">
        <v>45.55</v>
      </c>
      <c r="DYG24">
        <v>44.42</v>
      </c>
      <c r="DYH24">
        <v>45.55</v>
      </c>
      <c r="DYI24">
        <v>45.55</v>
      </c>
      <c r="DYJ24">
        <v>32.9</v>
      </c>
      <c r="DYK24">
        <v>20.87</v>
      </c>
      <c r="DYL24">
        <v>45.98</v>
      </c>
      <c r="DYM24">
        <v>45.98</v>
      </c>
      <c r="DYN24">
        <v>41.62</v>
      </c>
      <c r="DYO24">
        <v>40.24</v>
      </c>
      <c r="DYP24">
        <v>45.99</v>
      </c>
      <c r="DYQ24">
        <v>46.2</v>
      </c>
      <c r="DYR24">
        <v>46.2</v>
      </c>
      <c r="DYS24">
        <v>23.51</v>
      </c>
      <c r="DYT24">
        <v>31.88</v>
      </c>
      <c r="DYU24">
        <v>46.42</v>
      </c>
      <c r="DYV24">
        <v>37.86</v>
      </c>
      <c r="DYW24">
        <v>46.42</v>
      </c>
      <c r="DYX24">
        <v>46.64</v>
      </c>
      <c r="DYY24">
        <v>46.64</v>
      </c>
      <c r="DYZ24">
        <v>34.299999999999997</v>
      </c>
      <c r="DZA24">
        <v>46.86</v>
      </c>
      <c r="DZB24">
        <v>38.67</v>
      </c>
      <c r="DZC24">
        <v>46.86</v>
      </c>
      <c r="DZD24">
        <v>46.87</v>
      </c>
      <c r="DZE24">
        <v>47.07</v>
      </c>
      <c r="DZF24">
        <v>42.1</v>
      </c>
      <c r="DZG24">
        <v>47.07</v>
      </c>
      <c r="DZH24">
        <v>43.97</v>
      </c>
      <c r="DZI24">
        <v>24.12</v>
      </c>
      <c r="DZJ24">
        <v>31.27</v>
      </c>
      <c r="DZK24">
        <v>44.62</v>
      </c>
      <c r="DZL24">
        <v>47.29</v>
      </c>
      <c r="DZM24">
        <v>37.28</v>
      </c>
      <c r="DZN24">
        <v>47.29</v>
      </c>
      <c r="DZO24">
        <v>47.29</v>
      </c>
      <c r="DZP24">
        <v>47.51</v>
      </c>
      <c r="DZQ24">
        <v>47.73</v>
      </c>
      <c r="DZR24">
        <v>47.73</v>
      </c>
      <c r="DZS24">
        <v>47.73</v>
      </c>
      <c r="DZT24">
        <v>37.79</v>
      </c>
      <c r="DZU24">
        <v>45.92</v>
      </c>
      <c r="DZV24">
        <v>36.799999999999997</v>
      </c>
      <c r="DZW24">
        <v>47.95</v>
      </c>
      <c r="DZX24">
        <v>27.96</v>
      </c>
      <c r="DZY24">
        <v>48.16</v>
      </c>
      <c r="DZZ24">
        <v>48.16</v>
      </c>
      <c r="EAA24">
        <v>48.17</v>
      </c>
      <c r="EAB24">
        <v>31.83</v>
      </c>
      <c r="EAC24">
        <v>48.17</v>
      </c>
      <c r="EAD24">
        <v>34.99</v>
      </c>
      <c r="EAE24">
        <v>45.71</v>
      </c>
      <c r="EAF24">
        <v>36.17</v>
      </c>
      <c r="EAG24">
        <v>48.6</v>
      </c>
      <c r="EAH24">
        <v>23.37</v>
      </c>
      <c r="EAI24">
        <v>19.72</v>
      </c>
      <c r="EAJ24">
        <v>49.04</v>
      </c>
      <c r="EAK24">
        <v>34.200000000000003</v>
      </c>
      <c r="EAL24">
        <v>38.770000000000003</v>
      </c>
      <c r="EAM24">
        <v>49.04</v>
      </c>
      <c r="EAN24">
        <v>22.87</v>
      </c>
      <c r="EAO24">
        <v>28.46</v>
      </c>
      <c r="EAP24">
        <v>41.19</v>
      </c>
      <c r="EAQ24">
        <v>46.58</v>
      </c>
      <c r="EAR24">
        <v>23.63</v>
      </c>
      <c r="EAS24">
        <v>34.24</v>
      </c>
      <c r="EAT24">
        <v>37.479999999999997</v>
      </c>
      <c r="EAU24">
        <v>28.12</v>
      </c>
      <c r="EAV24">
        <v>49.91</v>
      </c>
      <c r="EAW24">
        <v>25.75</v>
      </c>
      <c r="EAX24">
        <v>49.91</v>
      </c>
      <c r="EAY24">
        <v>28.49</v>
      </c>
      <c r="EAZ24">
        <v>35.97</v>
      </c>
      <c r="EBA24">
        <v>44.52</v>
      </c>
      <c r="EBB24">
        <v>34.520000000000003</v>
      </c>
      <c r="EBC24">
        <v>27.42</v>
      </c>
      <c r="EBD24">
        <v>50.13</v>
      </c>
      <c r="EBE24">
        <v>23.65</v>
      </c>
      <c r="EBF24">
        <v>41.03</v>
      </c>
      <c r="EBG24">
        <v>50.56</v>
      </c>
      <c r="EBH24">
        <v>50.56</v>
      </c>
      <c r="EBI24">
        <v>32.96</v>
      </c>
      <c r="EBJ24">
        <v>50.78</v>
      </c>
      <c r="EBK24">
        <v>30.31</v>
      </c>
      <c r="EBL24">
        <v>42.01</v>
      </c>
      <c r="EBM24">
        <v>51</v>
      </c>
      <c r="EBN24">
        <v>35.979999999999997</v>
      </c>
      <c r="EBO24">
        <v>51</v>
      </c>
      <c r="EBP24">
        <v>51</v>
      </c>
      <c r="EBQ24">
        <v>51.21</v>
      </c>
      <c r="EBR24">
        <v>42.93</v>
      </c>
      <c r="EBS24">
        <v>51.22</v>
      </c>
      <c r="EBT24">
        <v>45.6</v>
      </c>
      <c r="EBU24">
        <v>51.22</v>
      </c>
      <c r="EBV24">
        <v>51.22</v>
      </c>
      <c r="EBW24">
        <v>51.43</v>
      </c>
      <c r="EBX24">
        <v>51.44</v>
      </c>
      <c r="EBY24">
        <v>27.86</v>
      </c>
      <c r="EBZ24">
        <v>24.27</v>
      </c>
      <c r="ECA24">
        <v>52.09</v>
      </c>
      <c r="ECB24">
        <v>46.67</v>
      </c>
      <c r="ECC24">
        <v>52.3</v>
      </c>
      <c r="ECD24">
        <v>28.99</v>
      </c>
      <c r="ECE24">
        <v>50.95</v>
      </c>
      <c r="ECF24">
        <v>30.32</v>
      </c>
      <c r="ECG24">
        <v>29.63</v>
      </c>
      <c r="ECH24">
        <v>52.52</v>
      </c>
      <c r="ECI24">
        <v>32.17</v>
      </c>
      <c r="ECJ24">
        <v>33.68</v>
      </c>
      <c r="ECK24">
        <v>41.77</v>
      </c>
      <c r="ECL24">
        <v>37.950000000000003</v>
      </c>
      <c r="ECM24">
        <v>52.74</v>
      </c>
      <c r="ECN24">
        <v>37.11</v>
      </c>
      <c r="ECO24">
        <v>52.96</v>
      </c>
      <c r="ECP24">
        <v>52.96</v>
      </c>
      <c r="ECQ24">
        <v>52.96</v>
      </c>
      <c r="ECR24">
        <v>36.78</v>
      </c>
      <c r="ECS24">
        <v>50.49</v>
      </c>
      <c r="ECT24">
        <v>53.18</v>
      </c>
      <c r="ECU24">
        <v>53.18</v>
      </c>
      <c r="ECV24">
        <v>53.18</v>
      </c>
      <c r="ECW24">
        <v>53.18</v>
      </c>
      <c r="ECX24">
        <v>29.94</v>
      </c>
      <c r="ECY24">
        <v>44.92</v>
      </c>
      <c r="ECZ24">
        <v>37.44</v>
      </c>
      <c r="EDA24">
        <v>43.83</v>
      </c>
      <c r="EDB24">
        <v>50.51</v>
      </c>
      <c r="EDC24">
        <v>45.34</v>
      </c>
      <c r="EDD24">
        <v>54.05</v>
      </c>
      <c r="EDE24">
        <v>47.03</v>
      </c>
      <c r="EDF24">
        <v>54.25</v>
      </c>
      <c r="EDG24">
        <v>32.24</v>
      </c>
      <c r="EDH24">
        <v>54.48</v>
      </c>
      <c r="EDI24">
        <v>54.49</v>
      </c>
      <c r="EDJ24">
        <v>54.7</v>
      </c>
      <c r="EDK24">
        <v>44.75</v>
      </c>
      <c r="EDL24">
        <v>33.5</v>
      </c>
      <c r="EDM24">
        <v>29.3</v>
      </c>
      <c r="EDN24">
        <v>29.35</v>
      </c>
      <c r="EDO24">
        <v>54.92</v>
      </c>
      <c r="EDP24">
        <v>41.36</v>
      </c>
      <c r="EDQ24">
        <v>55.14</v>
      </c>
      <c r="EDR24">
        <v>27.13</v>
      </c>
      <c r="EDS24">
        <v>55.36</v>
      </c>
      <c r="EDT24">
        <v>55.36</v>
      </c>
      <c r="EDU24">
        <v>55.36</v>
      </c>
      <c r="EDV24">
        <v>50.96</v>
      </c>
      <c r="EDW24">
        <v>26.73</v>
      </c>
      <c r="EDX24">
        <v>37.090000000000003</v>
      </c>
      <c r="EDY24">
        <v>55.79</v>
      </c>
      <c r="EDZ24">
        <v>43.7</v>
      </c>
      <c r="EEA24">
        <v>36.33</v>
      </c>
      <c r="EEB24">
        <v>55.79</v>
      </c>
      <c r="EEC24">
        <v>55.79</v>
      </c>
      <c r="EED24">
        <v>56.01</v>
      </c>
      <c r="EEE24">
        <v>38.79</v>
      </c>
      <c r="EEF24">
        <v>56.22</v>
      </c>
      <c r="EEG24">
        <v>53.75</v>
      </c>
      <c r="EEH24">
        <v>32.47</v>
      </c>
      <c r="EEI24">
        <v>56.23</v>
      </c>
      <c r="EEJ24">
        <v>54.87</v>
      </c>
      <c r="EEK24">
        <v>56.23</v>
      </c>
      <c r="EEL24">
        <v>56.43</v>
      </c>
      <c r="EEM24">
        <v>56.44</v>
      </c>
      <c r="EEN24">
        <v>56.44</v>
      </c>
      <c r="EEO24">
        <v>54.2</v>
      </c>
      <c r="EEP24">
        <v>55.3</v>
      </c>
      <c r="EEQ24">
        <v>27.05</v>
      </c>
      <c r="EER24">
        <v>56.67</v>
      </c>
      <c r="EES24">
        <v>38.46</v>
      </c>
      <c r="EET24">
        <v>56.88</v>
      </c>
      <c r="EEU24">
        <v>51.64</v>
      </c>
      <c r="EEV24">
        <v>57.1</v>
      </c>
      <c r="EEW24">
        <v>50.64</v>
      </c>
      <c r="EEX24">
        <v>57.1</v>
      </c>
      <c r="EEY24">
        <v>52.48</v>
      </c>
      <c r="EEZ24">
        <v>57.1</v>
      </c>
      <c r="EFA24">
        <v>57.1</v>
      </c>
      <c r="EFB24">
        <v>57.1</v>
      </c>
      <c r="EFC24">
        <v>57.32</v>
      </c>
      <c r="EFD24">
        <v>57.32</v>
      </c>
      <c r="EFE24">
        <v>40.44</v>
      </c>
      <c r="EFF24">
        <v>57.75</v>
      </c>
      <c r="EFG24">
        <v>57.75</v>
      </c>
      <c r="EFH24">
        <v>57.75</v>
      </c>
      <c r="EFI24">
        <v>57.76</v>
      </c>
      <c r="EFJ24">
        <v>41.76</v>
      </c>
      <c r="EFK24">
        <v>57.97</v>
      </c>
      <c r="EFL24">
        <v>49.79</v>
      </c>
      <c r="EFM24">
        <v>57.97</v>
      </c>
      <c r="EFN24">
        <v>48.22</v>
      </c>
      <c r="EFO24">
        <v>50.93</v>
      </c>
      <c r="EFP24">
        <v>22.97</v>
      </c>
      <c r="EFQ24">
        <v>58.4</v>
      </c>
      <c r="EFR24">
        <v>36.42</v>
      </c>
      <c r="EFS24">
        <v>58.41</v>
      </c>
      <c r="EFT24">
        <v>58.41</v>
      </c>
      <c r="EFU24">
        <v>58.62</v>
      </c>
      <c r="EFV24">
        <v>36.96</v>
      </c>
      <c r="EFW24">
        <v>54.21</v>
      </c>
      <c r="EFX24">
        <v>58.63</v>
      </c>
      <c r="EFY24">
        <v>27.51</v>
      </c>
      <c r="EFZ24">
        <v>58.63</v>
      </c>
      <c r="EGA24">
        <v>58.84</v>
      </c>
      <c r="EGB24">
        <v>58.85</v>
      </c>
      <c r="EGC24">
        <v>46.15</v>
      </c>
      <c r="EGD24">
        <v>33.47</v>
      </c>
      <c r="EGE24">
        <v>56.15</v>
      </c>
      <c r="EGF24">
        <v>40.82</v>
      </c>
      <c r="EGG24">
        <v>59.5</v>
      </c>
      <c r="EGH24">
        <v>41.56</v>
      </c>
      <c r="EGI24">
        <v>36.6</v>
      </c>
      <c r="EGJ24">
        <v>59.71</v>
      </c>
      <c r="EGK24">
        <v>59.71</v>
      </c>
      <c r="EGL24">
        <v>59.71</v>
      </c>
      <c r="EGM24">
        <v>59.93</v>
      </c>
      <c r="EGN24">
        <v>34.549999999999997</v>
      </c>
      <c r="EGO24">
        <v>60.15</v>
      </c>
      <c r="EGP24">
        <v>60.15</v>
      </c>
      <c r="EGQ24">
        <v>60.37</v>
      </c>
      <c r="EGR24">
        <v>46.29</v>
      </c>
      <c r="EGS24">
        <v>20.13</v>
      </c>
      <c r="EGT24">
        <v>60.59</v>
      </c>
      <c r="EGU24">
        <v>26.46</v>
      </c>
      <c r="EGV24">
        <v>61.02</v>
      </c>
      <c r="EGW24">
        <v>26.15</v>
      </c>
      <c r="EGX24">
        <v>57.46</v>
      </c>
      <c r="EGY24">
        <v>61.24</v>
      </c>
      <c r="EGZ24">
        <v>61.24</v>
      </c>
      <c r="EHA24">
        <v>52.44</v>
      </c>
      <c r="EHB24">
        <v>24.79</v>
      </c>
      <c r="EHC24">
        <v>61.46</v>
      </c>
      <c r="EHD24">
        <v>42.48</v>
      </c>
      <c r="EHE24">
        <v>61.89</v>
      </c>
      <c r="EHF24">
        <v>61.9</v>
      </c>
      <c r="EHG24">
        <v>47.92</v>
      </c>
      <c r="EHH24">
        <v>48.36</v>
      </c>
      <c r="EHI24">
        <v>44.46</v>
      </c>
      <c r="EHJ24">
        <v>22.71</v>
      </c>
      <c r="EHK24">
        <v>62.33</v>
      </c>
      <c r="EHL24">
        <v>29.62</v>
      </c>
      <c r="EHM24">
        <v>62.55</v>
      </c>
      <c r="EHN24">
        <v>62.55</v>
      </c>
      <c r="EHO24">
        <v>62.55</v>
      </c>
      <c r="EHP24">
        <v>62.55</v>
      </c>
      <c r="EHQ24">
        <v>53.54</v>
      </c>
      <c r="EHR24">
        <v>62.98</v>
      </c>
      <c r="EHS24">
        <v>62.99</v>
      </c>
      <c r="EHT24">
        <v>63.18</v>
      </c>
      <c r="EHU24">
        <v>63.2</v>
      </c>
      <c r="EHV24">
        <v>63.42</v>
      </c>
      <c r="EHW24">
        <v>63.42</v>
      </c>
      <c r="EHX24">
        <v>37.76</v>
      </c>
      <c r="EHY24">
        <v>63.84</v>
      </c>
      <c r="EHZ24">
        <v>49.13</v>
      </c>
      <c r="EIA24">
        <v>64.08</v>
      </c>
      <c r="EIB24">
        <v>64.08</v>
      </c>
      <c r="EIC24">
        <v>26.26</v>
      </c>
      <c r="EID24">
        <v>52.62</v>
      </c>
      <c r="EIE24">
        <v>32.130000000000003</v>
      </c>
      <c r="EIF24">
        <v>64.73</v>
      </c>
      <c r="EIG24">
        <v>46.27</v>
      </c>
      <c r="EIH24">
        <v>48.48</v>
      </c>
      <c r="EII24">
        <v>27.16</v>
      </c>
      <c r="EIJ24">
        <v>64.95</v>
      </c>
      <c r="EIK24">
        <v>48.69</v>
      </c>
      <c r="EIL24">
        <v>64.95</v>
      </c>
      <c r="EIM24">
        <v>64.95</v>
      </c>
      <c r="EIN24">
        <v>56.45</v>
      </c>
      <c r="EIO24">
        <v>65.17</v>
      </c>
      <c r="EIP24">
        <v>65.17</v>
      </c>
      <c r="EIQ24">
        <v>55.92</v>
      </c>
      <c r="EIR24">
        <v>60.95</v>
      </c>
      <c r="EIS24">
        <v>65.599999999999994</v>
      </c>
      <c r="EIT24">
        <v>20.28</v>
      </c>
      <c r="EIU24">
        <v>37.21</v>
      </c>
      <c r="EIV24">
        <v>26.6</v>
      </c>
      <c r="EIW24">
        <v>66.040000000000006</v>
      </c>
      <c r="EIX24">
        <v>38.1</v>
      </c>
      <c r="EIY24">
        <v>66.25</v>
      </c>
      <c r="EIZ24">
        <v>66.25</v>
      </c>
      <c r="EJA24">
        <v>32.26</v>
      </c>
      <c r="EJB24">
        <v>26.71</v>
      </c>
      <c r="EJC24">
        <v>66.430000000000007</v>
      </c>
      <c r="EJD24">
        <v>66.459999999999994</v>
      </c>
      <c r="EJE24">
        <v>34.799999999999997</v>
      </c>
      <c r="EJF24">
        <v>66.47</v>
      </c>
      <c r="EJG24">
        <v>66.680000000000007</v>
      </c>
      <c r="EJH24">
        <v>48.05</v>
      </c>
      <c r="EJI24">
        <v>66.69</v>
      </c>
      <c r="EJJ24">
        <v>66.91</v>
      </c>
      <c r="EJK24">
        <v>66.91</v>
      </c>
      <c r="EJL24">
        <v>67.34</v>
      </c>
      <c r="EJM24">
        <v>67.34</v>
      </c>
      <c r="EJN24">
        <v>67.56</v>
      </c>
      <c r="EJO24">
        <v>67.56</v>
      </c>
      <c r="EJP24">
        <v>67.56</v>
      </c>
      <c r="EJQ24">
        <v>67.56</v>
      </c>
      <c r="EJR24">
        <v>67.989999999999995</v>
      </c>
      <c r="EJS24">
        <v>64.37</v>
      </c>
      <c r="EJT24">
        <v>66.63</v>
      </c>
      <c r="EJU24">
        <v>68</v>
      </c>
      <c r="EJV24">
        <v>68</v>
      </c>
      <c r="EJW24">
        <v>68.22</v>
      </c>
      <c r="EJX24">
        <v>58.33</v>
      </c>
      <c r="EJY24">
        <v>68.650000000000006</v>
      </c>
      <c r="EJZ24">
        <v>68.650000000000006</v>
      </c>
      <c r="EKA24">
        <v>55.57</v>
      </c>
      <c r="EKB24">
        <v>68.87</v>
      </c>
      <c r="EKC24">
        <v>36.270000000000003</v>
      </c>
      <c r="EKD24">
        <v>68.87</v>
      </c>
      <c r="EKE24">
        <v>68.87</v>
      </c>
      <c r="EKF24">
        <v>69.08</v>
      </c>
      <c r="EKG24">
        <v>32.159999999999997</v>
      </c>
      <c r="EKH24">
        <v>69.3</v>
      </c>
      <c r="EKI24">
        <v>69.510000000000005</v>
      </c>
      <c r="EKJ24">
        <v>69.52</v>
      </c>
      <c r="EKK24">
        <v>69.52</v>
      </c>
      <c r="EKL24">
        <v>69.95</v>
      </c>
      <c r="EKM24">
        <v>69.959999999999994</v>
      </c>
      <c r="EKN24">
        <v>69.959999999999994</v>
      </c>
      <c r="EKO24">
        <v>62.61</v>
      </c>
      <c r="EKP24">
        <v>41.75</v>
      </c>
      <c r="EKQ24">
        <v>56.95</v>
      </c>
      <c r="EKR24">
        <v>62.63</v>
      </c>
      <c r="EKS24">
        <v>32.200000000000003</v>
      </c>
      <c r="EKT24">
        <v>70.61</v>
      </c>
      <c r="EKU24">
        <v>70.83</v>
      </c>
      <c r="EKV24">
        <v>70.83</v>
      </c>
      <c r="EKW24">
        <v>53.04</v>
      </c>
      <c r="EKX24">
        <v>50.16</v>
      </c>
      <c r="EKY24">
        <v>70.83</v>
      </c>
      <c r="EKZ24">
        <v>61.49</v>
      </c>
      <c r="ELA24">
        <v>71.05</v>
      </c>
      <c r="ELB24">
        <v>54.77</v>
      </c>
      <c r="ELC24">
        <v>71.05</v>
      </c>
      <c r="ELD24">
        <v>71.05</v>
      </c>
      <c r="ELE24">
        <v>71.260000000000005</v>
      </c>
      <c r="ELF24">
        <v>49.11</v>
      </c>
      <c r="ELG24">
        <v>71.27</v>
      </c>
      <c r="ELH24">
        <v>40.07</v>
      </c>
      <c r="ELI24">
        <v>71.7</v>
      </c>
      <c r="ELJ24">
        <v>71.7</v>
      </c>
      <c r="ELK24">
        <v>71.7</v>
      </c>
      <c r="ELL24">
        <v>69.650000000000006</v>
      </c>
      <c r="ELM24">
        <v>71.92</v>
      </c>
      <c r="ELN24">
        <v>52.79</v>
      </c>
      <c r="ELO24">
        <v>71.92</v>
      </c>
      <c r="ELP24">
        <v>72.34</v>
      </c>
      <c r="ELQ24">
        <v>62.42</v>
      </c>
      <c r="ELR24">
        <v>72.349999999999994</v>
      </c>
      <c r="ELS24">
        <v>58.32</v>
      </c>
      <c r="ELT24">
        <v>39.130000000000003</v>
      </c>
      <c r="ELU24">
        <v>51.11</v>
      </c>
      <c r="ELV24">
        <v>47.57</v>
      </c>
      <c r="ELW24">
        <v>61.6</v>
      </c>
      <c r="ELX24">
        <v>64.84</v>
      </c>
      <c r="ELY24">
        <v>73.25</v>
      </c>
      <c r="ELZ24">
        <v>73.45</v>
      </c>
      <c r="EMA24">
        <v>73.66</v>
      </c>
      <c r="EMB24">
        <v>43.61</v>
      </c>
      <c r="EMC24">
        <v>73.67</v>
      </c>
      <c r="EMD24">
        <v>73.88</v>
      </c>
      <c r="EME24">
        <v>41</v>
      </c>
      <c r="EMF24">
        <v>74.09</v>
      </c>
      <c r="EMG24">
        <v>30.65</v>
      </c>
      <c r="EMH24">
        <v>40.19</v>
      </c>
      <c r="EMI24">
        <v>55.77</v>
      </c>
      <c r="EMJ24">
        <v>74.75</v>
      </c>
      <c r="EMK24">
        <v>25.46</v>
      </c>
      <c r="EML24">
        <v>74.760000000000005</v>
      </c>
      <c r="EMM24">
        <v>26.07</v>
      </c>
      <c r="EMN24">
        <v>53.53</v>
      </c>
      <c r="EMO24">
        <v>74.97</v>
      </c>
      <c r="EMP24">
        <v>74.97</v>
      </c>
      <c r="EMQ24">
        <v>75.19</v>
      </c>
      <c r="EMR24">
        <v>75.41</v>
      </c>
      <c r="EMS24">
        <v>36.9</v>
      </c>
      <c r="EMT24">
        <v>25.95</v>
      </c>
      <c r="EMU24">
        <v>75.62</v>
      </c>
      <c r="EMV24">
        <v>75.62</v>
      </c>
      <c r="EMW24">
        <v>60.33</v>
      </c>
      <c r="EMX24">
        <v>75.84</v>
      </c>
      <c r="EMY24">
        <v>76.28</v>
      </c>
      <c r="EMZ24">
        <v>76.28</v>
      </c>
      <c r="ENA24">
        <v>76.28</v>
      </c>
      <c r="ENB24">
        <v>76.28</v>
      </c>
      <c r="ENC24">
        <v>76.5</v>
      </c>
      <c r="END24">
        <v>67.3</v>
      </c>
      <c r="ENE24">
        <v>43.11</v>
      </c>
      <c r="ENF24">
        <v>77.14</v>
      </c>
      <c r="ENG24">
        <v>77.36</v>
      </c>
      <c r="ENH24">
        <v>53.64</v>
      </c>
      <c r="ENI24">
        <v>54.11</v>
      </c>
      <c r="ENJ24">
        <v>77.37</v>
      </c>
      <c r="ENK24">
        <v>77.58</v>
      </c>
      <c r="ENL24">
        <v>72.7</v>
      </c>
      <c r="ENM24">
        <v>78.02</v>
      </c>
      <c r="ENN24">
        <v>78.02</v>
      </c>
      <c r="ENO24">
        <v>78.02</v>
      </c>
      <c r="ENP24">
        <v>57.62</v>
      </c>
      <c r="ENQ24">
        <v>78.239999999999995</v>
      </c>
      <c r="ENR24">
        <v>59.47</v>
      </c>
      <c r="ENS24">
        <v>78.459999999999994</v>
      </c>
      <c r="ENT24">
        <v>78.459999999999994</v>
      </c>
      <c r="ENU24">
        <v>46.2</v>
      </c>
      <c r="ENV24">
        <v>78.680000000000007</v>
      </c>
      <c r="ENW24">
        <v>57.8</v>
      </c>
      <c r="ENX24">
        <v>78.89</v>
      </c>
      <c r="ENY24">
        <v>31.46</v>
      </c>
      <c r="ENZ24">
        <v>69.05</v>
      </c>
      <c r="EOA24">
        <v>79.099999999999994</v>
      </c>
      <c r="EOB24">
        <v>79.33</v>
      </c>
      <c r="EOC24">
        <v>79.53</v>
      </c>
      <c r="EOD24">
        <v>79.55</v>
      </c>
      <c r="EOE24">
        <v>56</v>
      </c>
      <c r="EOF24">
        <v>79.77</v>
      </c>
      <c r="EOG24">
        <v>80.2</v>
      </c>
      <c r="EOH24">
        <v>57.61</v>
      </c>
      <c r="EOI24">
        <v>77.05</v>
      </c>
      <c r="EOJ24">
        <v>64.03</v>
      </c>
      <c r="EOK24">
        <v>80.64</v>
      </c>
      <c r="EOL24">
        <v>80.64</v>
      </c>
      <c r="EOM24">
        <v>81.08</v>
      </c>
      <c r="EON24">
        <v>43.57</v>
      </c>
      <c r="EOO24">
        <v>46.47</v>
      </c>
      <c r="EOP24">
        <v>81.290000000000006</v>
      </c>
      <c r="EOQ24">
        <v>81.290000000000006</v>
      </c>
      <c r="EOR24">
        <v>81.510000000000005</v>
      </c>
      <c r="EOS24">
        <v>81.510000000000005</v>
      </c>
      <c r="EOT24">
        <v>58.55</v>
      </c>
      <c r="EOU24">
        <v>81.510000000000005</v>
      </c>
      <c r="EOV24">
        <v>81.73</v>
      </c>
      <c r="EOW24">
        <v>27.76</v>
      </c>
      <c r="EOX24">
        <v>71.510000000000005</v>
      </c>
      <c r="EOY24">
        <v>54.36</v>
      </c>
      <c r="EOZ24">
        <v>82.38</v>
      </c>
      <c r="EPA24">
        <v>82.59</v>
      </c>
      <c r="EPB24">
        <v>82.6</v>
      </c>
      <c r="EPC24">
        <v>82.6</v>
      </c>
      <c r="EPD24">
        <v>82.79</v>
      </c>
      <c r="EPE24">
        <v>49.36</v>
      </c>
      <c r="EPF24">
        <v>80.77</v>
      </c>
      <c r="EPG24">
        <v>82.82</v>
      </c>
      <c r="EPH24">
        <v>53.38</v>
      </c>
      <c r="EPI24">
        <v>69.5</v>
      </c>
      <c r="EPJ24">
        <v>69.069999999999993</v>
      </c>
      <c r="EPK24">
        <v>48.56</v>
      </c>
      <c r="EPL24">
        <v>39.11</v>
      </c>
      <c r="EPM24">
        <v>83.47</v>
      </c>
      <c r="EPN24">
        <v>70.95</v>
      </c>
      <c r="EPO24">
        <v>83.69</v>
      </c>
      <c r="EPP24">
        <v>82.54</v>
      </c>
      <c r="EPQ24">
        <v>83.91</v>
      </c>
      <c r="EPR24">
        <v>38.89</v>
      </c>
      <c r="EPS24">
        <v>52.25</v>
      </c>
      <c r="EPT24">
        <v>84.12</v>
      </c>
      <c r="EPU24">
        <v>84.34</v>
      </c>
      <c r="EPV24">
        <v>84.34</v>
      </c>
      <c r="EPW24">
        <v>84.34</v>
      </c>
      <c r="EPX24">
        <v>58.27</v>
      </c>
      <c r="EPY24">
        <v>84.56</v>
      </c>
      <c r="EPZ24">
        <v>72.55</v>
      </c>
      <c r="EQA24">
        <v>58.37</v>
      </c>
      <c r="EQB24">
        <v>84.78</v>
      </c>
      <c r="EQC24">
        <v>84.78</v>
      </c>
      <c r="EQD24">
        <v>85</v>
      </c>
      <c r="EQE24">
        <v>85</v>
      </c>
      <c r="EQF24">
        <v>64.19</v>
      </c>
      <c r="EQG24">
        <v>78.69</v>
      </c>
      <c r="EQH24">
        <v>73.959999999999994</v>
      </c>
      <c r="EQI24">
        <v>59.9</v>
      </c>
      <c r="EQJ24">
        <v>85.22</v>
      </c>
      <c r="EQK24">
        <v>26.48</v>
      </c>
      <c r="EQL24">
        <v>85.43</v>
      </c>
      <c r="EQM24">
        <v>85.43</v>
      </c>
      <c r="EQN24">
        <v>52.08</v>
      </c>
      <c r="EQO24">
        <v>47.3</v>
      </c>
      <c r="EQP24">
        <v>37.909999999999997</v>
      </c>
      <c r="EQQ24">
        <v>51.82</v>
      </c>
      <c r="EQR24">
        <v>85.87</v>
      </c>
      <c r="EQS24">
        <v>85.87</v>
      </c>
      <c r="EQT24">
        <v>85.87</v>
      </c>
      <c r="EQU24">
        <v>75.010000000000005</v>
      </c>
      <c r="EQV24">
        <v>62.55</v>
      </c>
      <c r="EQW24">
        <v>72.06</v>
      </c>
      <c r="EQX24">
        <v>86.52</v>
      </c>
      <c r="EQY24">
        <v>51.28</v>
      </c>
      <c r="EQZ24">
        <v>86.73</v>
      </c>
      <c r="ERA24">
        <v>58.02</v>
      </c>
      <c r="ERB24">
        <v>80.34</v>
      </c>
      <c r="ERC24">
        <v>42.12</v>
      </c>
      <c r="ERD24">
        <v>87.17</v>
      </c>
      <c r="ERE24">
        <v>87.18</v>
      </c>
      <c r="ERF24">
        <v>65.290000000000006</v>
      </c>
      <c r="ERG24">
        <v>40.229999999999997</v>
      </c>
      <c r="ERH24">
        <v>71.91</v>
      </c>
      <c r="ERI24">
        <v>87.4</v>
      </c>
      <c r="ERJ24">
        <v>70.430000000000007</v>
      </c>
      <c r="ERK24">
        <v>82.66</v>
      </c>
      <c r="ERL24">
        <v>87.83</v>
      </c>
      <c r="ERM24">
        <v>59.99</v>
      </c>
      <c r="ERN24">
        <v>88.48</v>
      </c>
      <c r="ERO24">
        <v>88.48</v>
      </c>
      <c r="ERP24">
        <v>88.48</v>
      </c>
      <c r="ERQ24">
        <v>56.3</v>
      </c>
      <c r="ERR24">
        <v>61.06</v>
      </c>
      <c r="ERS24">
        <v>88.91</v>
      </c>
      <c r="ERT24">
        <v>58.62</v>
      </c>
      <c r="ERU24">
        <v>79.010000000000005</v>
      </c>
      <c r="ERV24">
        <v>75.930000000000007</v>
      </c>
      <c r="ERW24">
        <v>87.09</v>
      </c>
      <c r="ERX24">
        <v>63.74</v>
      </c>
      <c r="ERY24">
        <v>59.36</v>
      </c>
      <c r="ERZ24">
        <v>89.79</v>
      </c>
      <c r="ESA24">
        <v>39.549999999999997</v>
      </c>
      <c r="ESB24">
        <v>53.11</v>
      </c>
      <c r="ESC24">
        <v>90.22</v>
      </c>
      <c r="ESD24">
        <v>90.87</v>
      </c>
      <c r="ESE24">
        <v>91.1</v>
      </c>
      <c r="ESF24">
        <v>80.42</v>
      </c>
      <c r="ESG24">
        <v>91.32</v>
      </c>
      <c r="ESH24">
        <v>91.97</v>
      </c>
      <c r="ESI24">
        <v>92.18</v>
      </c>
      <c r="ESJ24">
        <v>92.19</v>
      </c>
      <c r="ESK24">
        <v>92.19</v>
      </c>
      <c r="ESL24">
        <v>73.42</v>
      </c>
      <c r="ESM24">
        <v>92.62</v>
      </c>
      <c r="ESN24">
        <v>92.62</v>
      </c>
      <c r="ESO24">
        <v>79.930000000000007</v>
      </c>
      <c r="ESP24">
        <v>27.82</v>
      </c>
      <c r="ESQ24">
        <v>92.63</v>
      </c>
      <c r="ESR24">
        <v>80.319999999999993</v>
      </c>
      <c r="ESS24">
        <v>92.84</v>
      </c>
      <c r="EST24">
        <v>73.37</v>
      </c>
      <c r="ESU24">
        <v>83.1</v>
      </c>
      <c r="ESV24">
        <v>87.41</v>
      </c>
      <c r="ESW24">
        <v>43.13</v>
      </c>
      <c r="ESX24">
        <v>44.44</v>
      </c>
      <c r="ESY24">
        <v>93.27</v>
      </c>
      <c r="ESZ24">
        <v>24.93</v>
      </c>
      <c r="ETA24">
        <v>93.28</v>
      </c>
      <c r="ETB24">
        <v>39.11</v>
      </c>
      <c r="ETC24">
        <v>93.71</v>
      </c>
      <c r="ETD24">
        <v>74.67</v>
      </c>
      <c r="ETE24">
        <v>59.65</v>
      </c>
      <c r="ETF24">
        <v>93.93</v>
      </c>
      <c r="ETG24">
        <v>65.11</v>
      </c>
      <c r="ETH24">
        <v>54.33</v>
      </c>
      <c r="ETI24">
        <v>94.59</v>
      </c>
      <c r="ETJ24">
        <v>61.18</v>
      </c>
      <c r="ETK24">
        <v>95.02</v>
      </c>
      <c r="ETL24">
        <v>70.84</v>
      </c>
      <c r="ETM24">
        <v>95.02</v>
      </c>
      <c r="ETN24">
        <v>95.24</v>
      </c>
      <c r="ETO24">
        <v>47.01</v>
      </c>
      <c r="ETP24">
        <v>93.64</v>
      </c>
      <c r="ETQ24">
        <v>44.49</v>
      </c>
      <c r="ETR24">
        <v>36.61</v>
      </c>
      <c r="ETS24">
        <v>49.33</v>
      </c>
      <c r="ETT24">
        <v>96.11</v>
      </c>
      <c r="ETU24">
        <v>66.150000000000006</v>
      </c>
      <c r="ETV24">
        <v>96.12</v>
      </c>
      <c r="ETW24">
        <v>67.209999999999994</v>
      </c>
      <c r="ETX24">
        <v>73.180000000000007</v>
      </c>
      <c r="ETY24">
        <v>96.33</v>
      </c>
      <c r="ETZ24">
        <v>91.84</v>
      </c>
      <c r="EUA24">
        <v>66.77</v>
      </c>
      <c r="EUB24">
        <v>93.8</v>
      </c>
      <c r="EUC24">
        <v>96.99</v>
      </c>
      <c r="EUD24">
        <v>97.18</v>
      </c>
      <c r="EUE24">
        <v>69.89</v>
      </c>
      <c r="EUF24">
        <v>40.86</v>
      </c>
      <c r="EUG24">
        <v>94.91</v>
      </c>
      <c r="EUH24">
        <v>97.42</v>
      </c>
      <c r="EUI24">
        <v>97.42</v>
      </c>
      <c r="EUJ24">
        <v>94.25</v>
      </c>
      <c r="EUK24">
        <v>98.08</v>
      </c>
      <c r="EUL24">
        <v>30.48</v>
      </c>
      <c r="EUM24">
        <v>98.51</v>
      </c>
      <c r="EUN24">
        <v>98.51</v>
      </c>
      <c r="EUO24">
        <v>98.72</v>
      </c>
      <c r="EUP24">
        <v>81.709999999999994</v>
      </c>
      <c r="EUQ24">
        <v>87.94</v>
      </c>
      <c r="EUR24">
        <v>98.94</v>
      </c>
      <c r="EUS24">
        <v>76.760000000000005</v>
      </c>
      <c r="EUT24">
        <v>99.16</v>
      </c>
      <c r="EUU24">
        <v>99.16</v>
      </c>
      <c r="EUV24">
        <v>99.39</v>
      </c>
      <c r="EUW24">
        <v>64.239999999999995</v>
      </c>
      <c r="EUX24">
        <v>49.21</v>
      </c>
      <c r="EUY24">
        <v>60.32</v>
      </c>
      <c r="EUZ24">
        <v>99.81</v>
      </c>
      <c r="EVA24">
        <v>99.82</v>
      </c>
      <c r="EVB24">
        <v>43.27</v>
      </c>
      <c r="EVC24">
        <v>71.650000000000006</v>
      </c>
      <c r="EVD24">
        <v>92.97</v>
      </c>
      <c r="EVE24">
        <v>64.77</v>
      </c>
      <c r="EVF24">
        <v>88.9</v>
      </c>
      <c r="EVG24">
        <v>101.34</v>
      </c>
      <c r="EVH24">
        <v>101.56</v>
      </c>
      <c r="EVI24">
        <v>71.39</v>
      </c>
      <c r="EVJ24">
        <v>59.71</v>
      </c>
      <c r="EVK24">
        <v>102.65</v>
      </c>
      <c r="EVL24">
        <v>74.430000000000007</v>
      </c>
      <c r="EVM24">
        <v>56.3</v>
      </c>
      <c r="EVN24">
        <v>102.87</v>
      </c>
      <c r="EVO24">
        <v>103.08</v>
      </c>
      <c r="EVP24">
        <v>76.5</v>
      </c>
      <c r="EVQ24">
        <v>98.59</v>
      </c>
      <c r="EVR24">
        <v>55.73</v>
      </c>
      <c r="EVS24">
        <v>103.96</v>
      </c>
      <c r="EVT24">
        <v>103.96</v>
      </c>
      <c r="EVU24">
        <v>103.96</v>
      </c>
      <c r="EVV24">
        <v>103.96</v>
      </c>
      <c r="EVW24">
        <v>97.08</v>
      </c>
      <c r="EVX24">
        <v>104.17</v>
      </c>
      <c r="EVY24">
        <v>29.01</v>
      </c>
      <c r="EVZ24">
        <v>104.18</v>
      </c>
      <c r="EWA24">
        <v>57.08</v>
      </c>
      <c r="EWB24">
        <v>102.56</v>
      </c>
      <c r="EWC24">
        <v>88.18</v>
      </c>
      <c r="EWD24">
        <v>85.92</v>
      </c>
      <c r="EWE24">
        <v>73.64</v>
      </c>
      <c r="EWF24">
        <v>105.04</v>
      </c>
      <c r="EWG24">
        <v>105.05</v>
      </c>
      <c r="EWH24">
        <v>105.27</v>
      </c>
      <c r="EWI24">
        <v>105.48</v>
      </c>
      <c r="EWJ24">
        <v>105.48</v>
      </c>
      <c r="EWK24">
        <v>38.83</v>
      </c>
      <c r="EWL24">
        <v>105.92</v>
      </c>
      <c r="EWM24">
        <v>105.92</v>
      </c>
      <c r="EWN24">
        <v>77.540000000000006</v>
      </c>
      <c r="EWO24">
        <v>72.39</v>
      </c>
      <c r="EWP24">
        <v>76.03</v>
      </c>
      <c r="EWQ24">
        <v>93.84</v>
      </c>
      <c r="EWR24">
        <v>85.11</v>
      </c>
      <c r="EWS24">
        <v>32.5</v>
      </c>
      <c r="EWT24">
        <v>80.78</v>
      </c>
      <c r="EWU24">
        <v>107.22</v>
      </c>
      <c r="EWV24">
        <v>85.57</v>
      </c>
      <c r="EWW24">
        <v>107.66</v>
      </c>
      <c r="EWX24">
        <v>108.09</v>
      </c>
      <c r="EWY24">
        <v>64.77</v>
      </c>
      <c r="EWZ24">
        <v>67.040000000000006</v>
      </c>
      <c r="EXA24">
        <v>108.75</v>
      </c>
      <c r="EXB24">
        <v>108.97</v>
      </c>
      <c r="EXC24">
        <v>76.03</v>
      </c>
      <c r="EXD24">
        <v>109.18</v>
      </c>
      <c r="EXE24">
        <v>95.16</v>
      </c>
      <c r="EXF24">
        <v>80.72</v>
      </c>
      <c r="EXG24">
        <v>109.62</v>
      </c>
      <c r="EXH24">
        <v>34.340000000000003</v>
      </c>
      <c r="EXI24">
        <v>109.84</v>
      </c>
      <c r="EXJ24">
        <v>110.06</v>
      </c>
      <c r="EXK24">
        <v>110.06</v>
      </c>
      <c r="EXL24">
        <v>110.28</v>
      </c>
      <c r="EXM24">
        <v>79.959999999999994</v>
      </c>
      <c r="EXN24">
        <v>95.49</v>
      </c>
      <c r="EXO24">
        <v>110.93</v>
      </c>
      <c r="EXP24">
        <v>110.93</v>
      </c>
      <c r="EXQ24">
        <v>100.27</v>
      </c>
      <c r="EXR24">
        <v>111.15</v>
      </c>
      <c r="EXS24">
        <v>76.650000000000006</v>
      </c>
      <c r="EXT24">
        <v>111.59</v>
      </c>
      <c r="EXU24">
        <v>112.02</v>
      </c>
      <c r="EXV24">
        <v>112.02</v>
      </c>
      <c r="EXW24">
        <v>40.200000000000003</v>
      </c>
      <c r="EXX24">
        <v>112.67</v>
      </c>
      <c r="EXY24">
        <v>48.76</v>
      </c>
      <c r="EXZ24">
        <v>61.29</v>
      </c>
      <c r="EYA24">
        <v>65.64</v>
      </c>
      <c r="EYB24">
        <v>113.11</v>
      </c>
      <c r="EYC24">
        <v>113.11</v>
      </c>
      <c r="EYD24">
        <v>113.11</v>
      </c>
      <c r="EYE24">
        <v>72.03</v>
      </c>
      <c r="EYF24">
        <v>113.76</v>
      </c>
      <c r="EYG24">
        <v>113.98</v>
      </c>
      <c r="EYH24">
        <v>113.98</v>
      </c>
      <c r="EYI24">
        <v>114.2</v>
      </c>
      <c r="EYJ24">
        <v>79.33</v>
      </c>
      <c r="EYK24">
        <v>114.42</v>
      </c>
      <c r="EYL24">
        <v>93.21</v>
      </c>
      <c r="EYM24">
        <v>106.46</v>
      </c>
      <c r="EYN24">
        <v>115.06</v>
      </c>
      <c r="EYO24">
        <v>115.06</v>
      </c>
      <c r="EYP24">
        <v>51.42</v>
      </c>
      <c r="EYQ24">
        <v>115.29</v>
      </c>
      <c r="EYR24">
        <v>71.41</v>
      </c>
      <c r="EYS24">
        <v>115.51</v>
      </c>
      <c r="EYT24">
        <v>115.51</v>
      </c>
      <c r="EYU24">
        <v>58.78</v>
      </c>
      <c r="EYV24">
        <v>115.72</v>
      </c>
      <c r="EYW24">
        <v>62.4</v>
      </c>
      <c r="EYX24">
        <v>115.73</v>
      </c>
      <c r="EYY24">
        <v>116.16</v>
      </c>
      <c r="EYZ24">
        <v>116.8</v>
      </c>
      <c r="EZA24">
        <v>83.39</v>
      </c>
      <c r="EZB24">
        <v>116.81</v>
      </c>
      <c r="EZC24">
        <v>100.58</v>
      </c>
      <c r="EZD24">
        <v>117.04</v>
      </c>
      <c r="EZE24">
        <v>117.1</v>
      </c>
      <c r="EZF24">
        <v>93.18</v>
      </c>
      <c r="EZG24">
        <v>117.91</v>
      </c>
      <c r="EZH24">
        <v>118.12</v>
      </c>
      <c r="EZI24">
        <v>78.58</v>
      </c>
      <c r="EZJ24">
        <v>112.52</v>
      </c>
      <c r="EZK24">
        <v>65.08</v>
      </c>
      <c r="EZL24">
        <v>118.56</v>
      </c>
      <c r="EZM24">
        <v>85.71</v>
      </c>
      <c r="EZN24">
        <v>119.21</v>
      </c>
      <c r="EZO24">
        <v>97.94</v>
      </c>
      <c r="EZP24">
        <v>119.21</v>
      </c>
      <c r="EZQ24">
        <v>87.06</v>
      </c>
      <c r="EZR24">
        <v>120.31</v>
      </c>
      <c r="EZS24">
        <v>82.96</v>
      </c>
      <c r="EZT24">
        <v>105.92</v>
      </c>
      <c r="EZU24">
        <v>83.58</v>
      </c>
      <c r="EZV24">
        <v>120.73</v>
      </c>
      <c r="EZW24">
        <v>81.5</v>
      </c>
      <c r="EZX24">
        <v>120.74</v>
      </c>
      <c r="EZY24">
        <v>121.17</v>
      </c>
      <c r="EZZ24">
        <v>121.18</v>
      </c>
      <c r="FAA24">
        <v>121.38</v>
      </c>
      <c r="FAB24">
        <v>75.099999999999994</v>
      </c>
      <c r="FAC24">
        <v>121.61</v>
      </c>
      <c r="FAD24">
        <v>122.04</v>
      </c>
      <c r="FAE24">
        <v>122.26</v>
      </c>
      <c r="FAF24">
        <v>122.26</v>
      </c>
      <c r="FAG24">
        <v>122.49</v>
      </c>
      <c r="FAH24">
        <v>96.47</v>
      </c>
      <c r="FAI24">
        <v>122.92</v>
      </c>
      <c r="FAJ24">
        <v>116.01</v>
      </c>
      <c r="FAK24">
        <v>123.78</v>
      </c>
      <c r="FAL24">
        <v>88.29</v>
      </c>
      <c r="FAM24">
        <v>121.73</v>
      </c>
      <c r="FAN24">
        <v>124.23</v>
      </c>
      <c r="FAO24">
        <v>123.53</v>
      </c>
      <c r="FAP24">
        <v>124.44</v>
      </c>
      <c r="FAQ24">
        <v>120.37</v>
      </c>
      <c r="FAR24">
        <v>124.66</v>
      </c>
      <c r="FAS24">
        <v>94.43</v>
      </c>
      <c r="FAT24">
        <v>125.5</v>
      </c>
      <c r="FAU24">
        <v>70.95</v>
      </c>
      <c r="FAV24">
        <v>81.489999999999995</v>
      </c>
      <c r="FAW24">
        <v>126.19</v>
      </c>
      <c r="FAX24">
        <v>63.47</v>
      </c>
      <c r="FAY24">
        <v>108.59</v>
      </c>
      <c r="FAZ24">
        <v>126.62</v>
      </c>
      <c r="FBA24">
        <v>72.72</v>
      </c>
      <c r="FBB24">
        <v>126.84</v>
      </c>
      <c r="FBC24">
        <v>126.84</v>
      </c>
      <c r="FBD24">
        <v>126.84</v>
      </c>
      <c r="FBE24">
        <v>127.28</v>
      </c>
      <c r="FBF24">
        <v>127.5</v>
      </c>
      <c r="FBG24">
        <v>127.72</v>
      </c>
      <c r="FBH24">
        <v>90.71</v>
      </c>
      <c r="FBI24">
        <v>110.5</v>
      </c>
      <c r="FBJ24">
        <v>129.03</v>
      </c>
      <c r="FBK24">
        <v>129.44999999999999</v>
      </c>
      <c r="FBL24">
        <v>129.46</v>
      </c>
      <c r="FBM24">
        <v>129.66999999999999</v>
      </c>
      <c r="FBN24">
        <v>78.72</v>
      </c>
      <c r="FBO24">
        <v>130.29</v>
      </c>
      <c r="FBP24">
        <v>126.92</v>
      </c>
      <c r="FBQ24">
        <v>130.32</v>
      </c>
      <c r="FBR24">
        <v>107.85</v>
      </c>
      <c r="FBS24">
        <v>130.76</v>
      </c>
      <c r="FBT24">
        <v>93.75</v>
      </c>
      <c r="FBU24">
        <v>124.26</v>
      </c>
      <c r="FBV24">
        <v>92.08</v>
      </c>
      <c r="FBW24">
        <v>131.63999999999999</v>
      </c>
      <c r="FBX24">
        <v>131.85</v>
      </c>
      <c r="FBY24">
        <v>91.06</v>
      </c>
      <c r="FBZ24">
        <v>132.29</v>
      </c>
      <c r="FCA24">
        <v>92.07</v>
      </c>
      <c r="FCB24">
        <v>132.94</v>
      </c>
      <c r="FCC24">
        <v>106.81</v>
      </c>
      <c r="FCD24">
        <v>133.16</v>
      </c>
      <c r="FCE24">
        <v>104.66</v>
      </c>
      <c r="FCF24">
        <v>134.03</v>
      </c>
      <c r="FCG24">
        <v>124.31</v>
      </c>
      <c r="FCH24">
        <v>80.650000000000006</v>
      </c>
      <c r="FCI24">
        <v>68.91</v>
      </c>
      <c r="FCJ24">
        <v>134.69</v>
      </c>
      <c r="FCK24">
        <v>135.12</v>
      </c>
      <c r="FCL24">
        <v>57.51</v>
      </c>
      <c r="FCM24">
        <v>103.2</v>
      </c>
      <c r="FCN24">
        <v>63.55</v>
      </c>
      <c r="FCO24">
        <v>38.630000000000003</v>
      </c>
      <c r="FCP24">
        <v>136.43</v>
      </c>
      <c r="FCQ24">
        <v>96.47</v>
      </c>
      <c r="FCR24">
        <v>136.87</v>
      </c>
      <c r="FCS24">
        <v>137.30000000000001</v>
      </c>
      <c r="FCT24">
        <v>137.30000000000001</v>
      </c>
      <c r="FCU24">
        <v>95.4</v>
      </c>
      <c r="FCV24">
        <v>104.1</v>
      </c>
      <c r="FCW24">
        <v>137.94999999999999</v>
      </c>
      <c r="FCX24">
        <v>137.96</v>
      </c>
      <c r="FCY24">
        <v>138.38999999999999</v>
      </c>
      <c r="FCZ24">
        <v>138.6</v>
      </c>
      <c r="FDA24">
        <v>138.82</v>
      </c>
      <c r="FDB24">
        <v>133.86000000000001</v>
      </c>
      <c r="FDC24">
        <v>139.47999999999999</v>
      </c>
      <c r="FDD24">
        <v>133.58000000000001</v>
      </c>
      <c r="FDE24">
        <v>139.69999999999999</v>
      </c>
      <c r="FDF24">
        <v>47.41</v>
      </c>
      <c r="FDG24">
        <v>102.26</v>
      </c>
      <c r="FDH24">
        <v>114.88</v>
      </c>
      <c r="FDI24">
        <v>121.87</v>
      </c>
      <c r="FDJ24">
        <v>102.46</v>
      </c>
      <c r="FDK24">
        <v>118.25</v>
      </c>
      <c r="FDL24">
        <v>67.319999999999993</v>
      </c>
      <c r="FDM24">
        <v>141.01</v>
      </c>
      <c r="FDN24">
        <v>141.22</v>
      </c>
      <c r="FDO24">
        <v>141.66</v>
      </c>
      <c r="FDP24">
        <v>141.88</v>
      </c>
      <c r="FDQ24">
        <v>142.1</v>
      </c>
      <c r="FDR24">
        <v>92.19</v>
      </c>
      <c r="FDS24">
        <v>117.45</v>
      </c>
      <c r="FDT24">
        <v>143.62</v>
      </c>
      <c r="FDU24">
        <v>113.98</v>
      </c>
      <c r="FDV24">
        <v>143.84</v>
      </c>
      <c r="FDW24">
        <v>134.30000000000001</v>
      </c>
      <c r="FDX24">
        <v>86.42</v>
      </c>
      <c r="FDY24">
        <v>144.06</v>
      </c>
      <c r="FDZ24">
        <v>144.47999999999999</v>
      </c>
      <c r="FEA24">
        <v>137.04</v>
      </c>
      <c r="FEB24">
        <v>144.93</v>
      </c>
      <c r="FEC24">
        <v>66.88</v>
      </c>
      <c r="FED24">
        <v>63.86</v>
      </c>
      <c r="FEE24">
        <v>145.79</v>
      </c>
      <c r="FEF24">
        <v>146.01</v>
      </c>
      <c r="FEG24">
        <v>110.6</v>
      </c>
      <c r="FEH24">
        <v>146.22999999999999</v>
      </c>
      <c r="FEI24">
        <v>118.41</v>
      </c>
      <c r="FEJ24">
        <v>134.5</v>
      </c>
      <c r="FEK24">
        <v>107.61</v>
      </c>
      <c r="FEL24">
        <v>147.11000000000001</v>
      </c>
      <c r="FEM24">
        <v>42.98</v>
      </c>
      <c r="FEN24">
        <v>125.93</v>
      </c>
      <c r="FEO24">
        <v>87.98</v>
      </c>
      <c r="FEP24">
        <v>142.79</v>
      </c>
      <c r="FEQ24">
        <v>118.73</v>
      </c>
      <c r="FER24">
        <v>149.28</v>
      </c>
      <c r="FES24">
        <v>134.30000000000001</v>
      </c>
      <c r="FET24">
        <v>149.5</v>
      </c>
      <c r="FEU24">
        <v>139.4</v>
      </c>
      <c r="FEV24">
        <v>146.53</v>
      </c>
      <c r="FEW24">
        <v>150.81</v>
      </c>
      <c r="FEX24">
        <v>143.63999999999999</v>
      </c>
      <c r="FEY24">
        <v>151.24</v>
      </c>
      <c r="FEZ24">
        <v>151.68</v>
      </c>
      <c r="FFA24">
        <v>151.9</v>
      </c>
      <c r="FFB24">
        <v>152.12</v>
      </c>
      <c r="FFC24">
        <v>152.34</v>
      </c>
      <c r="FFD24">
        <v>153</v>
      </c>
      <c r="FFE24">
        <v>154.30000000000001</v>
      </c>
      <c r="FFF24">
        <v>154.52000000000001</v>
      </c>
      <c r="FFG24">
        <v>155.38</v>
      </c>
      <c r="FFH24">
        <v>151.54</v>
      </c>
      <c r="FFI24">
        <v>156.05000000000001</v>
      </c>
      <c r="FFJ24">
        <v>156.26</v>
      </c>
      <c r="FFK24">
        <v>145.76</v>
      </c>
      <c r="FFL24">
        <v>87.77</v>
      </c>
      <c r="FFM24">
        <v>157.13999999999999</v>
      </c>
      <c r="FFN24">
        <v>104.4</v>
      </c>
      <c r="FFO24">
        <v>111.89</v>
      </c>
      <c r="FFP24">
        <v>96.04</v>
      </c>
      <c r="FFQ24">
        <v>120.56</v>
      </c>
      <c r="FFR24">
        <v>153.24</v>
      </c>
      <c r="FFS24">
        <v>54.18</v>
      </c>
      <c r="FFT24">
        <v>84.31</v>
      </c>
      <c r="FFU24">
        <v>123.28</v>
      </c>
      <c r="FFV24">
        <v>158.88</v>
      </c>
      <c r="FFW24">
        <v>159.31</v>
      </c>
      <c r="FFX24">
        <v>159.32</v>
      </c>
      <c r="FFY24">
        <v>159.74</v>
      </c>
      <c r="FFZ24">
        <v>159.75</v>
      </c>
      <c r="FGA24">
        <v>159.75</v>
      </c>
      <c r="FGB24">
        <v>159.78</v>
      </c>
      <c r="FGC24">
        <v>160.4</v>
      </c>
      <c r="FGD24">
        <v>114.17</v>
      </c>
      <c r="FGE24">
        <v>61.27</v>
      </c>
      <c r="FGF24">
        <v>161.49</v>
      </c>
      <c r="FGG24">
        <v>119.97</v>
      </c>
      <c r="FGH24">
        <v>57.33</v>
      </c>
      <c r="FGI24">
        <v>161.72</v>
      </c>
      <c r="FGJ24">
        <v>162.36000000000001</v>
      </c>
      <c r="FGK24">
        <v>35.79</v>
      </c>
      <c r="FGL24">
        <v>130.57</v>
      </c>
      <c r="FGM24">
        <v>162.80000000000001</v>
      </c>
      <c r="FGN24">
        <v>162.84</v>
      </c>
      <c r="FGO24">
        <v>118.44</v>
      </c>
      <c r="FGP24">
        <v>133.88</v>
      </c>
      <c r="FGQ24">
        <v>123.74</v>
      </c>
      <c r="FGR24">
        <v>81.599999999999994</v>
      </c>
      <c r="FGS24">
        <v>79.87</v>
      </c>
      <c r="FGT24">
        <v>59.39</v>
      </c>
      <c r="FGU24">
        <v>62.5</v>
      </c>
      <c r="FGV24">
        <v>81.819999999999993</v>
      </c>
      <c r="FGW24">
        <v>155.94</v>
      </c>
      <c r="FGX24">
        <v>133.22</v>
      </c>
      <c r="FGY24">
        <v>164.76</v>
      </c>
      <c r="FGZ24">
        <v>165.2</v>
      </c>
      <c r="FHA24">
        <v>115.48</v>
      </c>
      <c r="FHB24">
        <v>165.85</v>
      </c>
      <c r="FHC24">
        <v>127.69</v>
      </c>
      <c r="FHD24">
        <v>115.55</v>
      </c>
      <c r="FHE24">
        <v>166.5</v>
      </c>
      <c r="FHF24">
        <v>155.21</v>
      </c>
      <c r="FHG24">
        <v>167.14</v>
      </c>
      <c r="FHH24">
        <v>167.37</v>
      </c>
      <c r="FHI24">
        <v>83.12</v>
      </c>
      <c r="FHJ24">
        <v>57.29</v>
      </c>
      <c r="FHK24">
        <v>168.25</v>
      </c>
      <c r="FHL24">
        <v>168.46</v>
      </c>
      <c r="FHM24">
        <v>168.47</v>
      </c>
      <c r="FHN24">
        <v>168.69</v>
      </c>
      <c r="FHO24">
        <v>72.849999999999994</v>
      </c>
      <c r="FHP24">
        <v>168.9</v>
      </c>
      <c r="FHQ24">
        <v>131.52000000000001</v>
      </c>
      <c r="FHR24">
        <v>169.99</v>
      </c>
      <c r="FHS24">
        <v>170.2</v>
      </c>
      <c r="FHT24">
        <v>145.80000000000001</v>
      </c>
      <c r="FHU24">
        <v>134.59</v>
      </c>
      <c r="FHV24">
        <v>78.55</v>
      </c>
      <c r="FHW24">
        <v>147.99</v>
      </c>
      <c r="FHX24">
        <v>155.03</v>
      </c>
      <c r="FHY24">
        <v>171.08</v>
      </c>
      <c r="FHZ24">
        <v>97.18</v>
      </c>
      <c r="FIA24">
        <v>171.52</v>
      </c>
      <c r="FIB24">
        <v>76.37</v>
      </c>
      <c r="FIC24">
        <v>127.91</v>
      </c>
      <c r="FID24">
        <v>164.31</v>
      </c>
      <c r="FIE24">
        <v>173.48</v>
      </c>
      <c r="FIF24">
        <v>127.12</v>
      </c>
      <c r="FIG24">
        <v>153.08000000000001</v>
      </c>
      <c r="FIH24">
        <v>173.92</v>
      </c>
      <c r="FII24">
        <v>174.14</v>
      </c>
      <c r="FIJ24">
        <v>154.13999999999999</v>
      </c>
      <c r="FIK24">
        <v>83.11</v>
      </c>
      <c r="FIL24">
        <v>119.79</v>
      </c>
      <c r="FIM24">
        <v>105.98</v>
      </c>
      <c r="FIN24">
        <v>103.39</v>
      </c>
      <c r="FIO24">
        <v>66.34</v>
      </c>
      <c r="FIP24">
        <v>85.08</v>
      </c>
      <c r="FIQ24">
        <v>151.47999999999999</v>
      </c>
      <c r="FIR24">
        <v>176.53</v>
      </c>
      <c r="FIS24">
        <v>176.75</v>
      </c>
      <c r="FIT24">
        <v>94.45</v>
      </c>
      <c r="FIU24">
        <v>153.08000000000001</v>
      </c>
      <c r="FIV24">
        <v>100.56</v>
      </c>
      <c r="FIW24">
        <v>138</v>
      </c>
      <c r="FIX24">
        <v>178.06</v>
      </c>
      <c r="FIY24">
        <v>127.26</v>
      </c>
      <c r="FIZ24">
        <v>178.71</v>
      </c>
      <c r="FJA24">
        <v>178.92</v>
      </c>
      <c r="FJB24">
        <v>100.05</v>
      </c>
      <c r="FJC24">
        <v>180.02</v>
      </c>
      <c r="FJD24">
        <v>54.86</v>
      </c>
      <c r="FJE24">
        <v>180.84</v>
      </c>
      <c r="FJF24">
        <v>181.3</v>
      </c>
      <c r="FJG24">
        <v>176.79</v>
      </c>
      <c r="FJH24">
        <v>181.76</v>
      </c>
      <c r="FJI24">
        <v>123.93</v>
      </c>
      <c r="FJJ24">
        <v>181.76</v>
      </c>
      <c r="FJK24">
        <v>181.76</v>
      </c>
      <c r="FJL24">
        <v>153.47</v>
      </c>
      <c r="FJM24">
        <v>181.98</v>
      </c>
      <c r="FJN24">
        <v>111.27</v>
      </c>
      <c r="FJO24">
        <v>172.15</v>
      </c>
      <c r="FJP24">
        <v>94.35</v>
      </c>
      <c r="FJQ24">
        <v>183.06</v>
      </c>
      <c r="FJR24">
        <v>183.73</v>
      </c>
      <c r="FJS24">
        <v>184.16</v>
      </c>
      <c r="FJT24">
        <v>46.4</v>
      </c>
      <c r="FJU24">
        <v>129.05000000000001</v>
      </c>
      <c r="FJV24">
        <v>124.05</v>
      </c>
      <c r="FJW24">
        <v>125.19</v>
      </c>
      <c r="FJX24">
        <v>83.4</v>
      </c>
      <c r="FJY24">
        <v>185.25</v>
      </c>
      <c r="FJZ24">
        <v>132.72999999999999</v>
      </c>
      <c r="FKA24">
        <v>73.36</v>
      </c>
      <c r="FKB24">
        <v>185.46</v>
      </c>
      <c r="FKC24">
        <v>129.54</v>
      </c>
      <c r="FKD24">
        <v>146.78</v>
      </c>
      <c r="FKE24">
        <v>124.89</v>
      </c>
      <c r="FKF24">
        <v>187.4</v>
      </c>
      <c r="FKG24">
        <v>131.1</v>
      </c>
      <c r="FKH24">
        <v>187.43</v>
      </c>
      <c r="FKI24">
        <v>187.84</v>
      </c>
      <c r="FKJ24">
        <v>146.69999999999999</v>
      </c>
      <c r="FKK24">
        <v>188.51</v>
      </c>
      <c r="FKL24">
        <v>188.73</v>
      </c>
      <c r="FKM24">
        <v>73.03</v>
      </c>
      <c r="FKN24">
        <v>138.19</v>
      </c>
      <c r="FKO24">
        <v>182.61</v>
      </c>
      <c r="FKP24">
        <v>190.7</v>
      </c>
      <c r="FKQ24">
        <v>191.35</v>
      </c>
      <c r="FKR24">
        <v>191.56</v>
      </c>
      <c r="FKS24">
        <v>191.57</v>
      </c>
      <c r="FKT24">
        <v>106.4</v>
      </c>
      <c r="FKU24">
        <v>163.52000000000001</v>
      </c>
      <c r="FKV24">
        <v>142.80000000000001</v>
      </c>
      <c r="FKW24">
        <v>77.38</v>
      </c>
      <c r="FKX24">
        <v>177.14</v>
      </c>
      <c r="FKY24">
        <v>192.87</v>
      </c>
      <c r="FKZ24">
        <v>122.49</v>
      </c>
      <c r="FLA24">
        <v>150.84</v>
      </c>
      <c r="FLB24">
        <v>166.54</v>
      </c>
      <c r="FLC24">
        <v>109.27</v>
      </c>
      <c r="FLD24">
        <v>194.63</v>
      </c>
      <c r="FLE24">
        <v>136.61000000000001</v>
      </c>
      <c r="FLF24">
        <v>106.66</v>
      </c>
      <c r="FLG24">
        <v>187.63</v>
      </c>
      <c r="FLH24">
        <v>195.92</v>
      </c>
      <c r="FLI24">
        <v>195.93</v>
      </c>
      <c r="FLJ24">
        <v>197.24</v>
      </c>
      <c r="FLK24">
        <v>197.24</v>
      </c>
      <c r="FLL24">
        <v>197.67</v>
      </c>
      <c r="FLM24">
        <v>106.91</v>
      </c>
      <c r="FLN24">
        <v>198.31</v>
      </c>
      <c r="FLO24">
        <v>157.68</v>
      </c>
      <c r="FLP24">
        <v>112.35</v>
      </c>
      <c r="FLQ24">
        <v>117.75</v>
      </c>
      <c r="FLR24">
        <v>146.63</v>
      </c>
      <c r="FLS24">
        <v>127.26</v>
      </c>
      <c r="FLT24">
        <v>180.52</v>
      </c>
      <c r="FLU24">
        <v>199.06</v>
      </c>
      <c r="FLV24">
        <v>202.25</v>
      </c>
      <c r="FLW24">
        <v>193.05</v>
      </c>
      <c r="FLX24">
        <v>203.33</v>
      </c>
      <c r="FLY24">
        <v>203.34</v>
      </c>
      <c r="FLZ24">
        <v>140.91</v>
      </c>
      <c r="FMA24">
        <v>111.48</v>
      </c>
      <c r="FMB24">
        <v>203.55</v>
      </c>
      <c r="FMC24">
        <v>203.79</v>
      </c>
      <c r="FMD24">
        <v>182.59</v>
      </c>
      <c r="FME24">
        <v>204.65</v>
      </c>
      <c r="FMF24">
        <v>205.31</v>
      </c>
      <c r="FMG24">
        <v>205.73</v>
      </c>
      <c r="FMH24">
        <v>205.96</v>
      </c>
      <c r="FMI24">
        <v>184.77</v>
      </c>
      <c r="FMJ24">
        <v>179.46</v>
      </c>
      <c r="FMK24">
        <v>117.94</v>
      </c>
      <c r="FML24">
        <v>152.12</v>
      </c>
      <c r="FMM24">
        <v>208.13</v>
      </c>
      <c r="FMN24">
        <v>205.17</v>
      </c>
      <c r="FMO24">
        <v>85.05</v>
      </c>
      <c r="FMP24">
        <v>143.55000000000001</v>
      </c>
      <c r="FMQ24">
        <v>208.56</v>
      </c>
      <c r="FMR24">
        <v>208.56</v>
      </c>
      <c r="FMS24">
        <v>189.96</v>
      </c>
      <c r="FMT24">
        <v>93.62</v>
      </c>
      <c r="FMU24">
        <v>164.72</v>
      </c>
      <c r="FMV24">
        <v>141.19</v>
      </c>
      <c r="FMW24">
        <v>113.31</v>
      </c>
      <c r="FMX24">
        <v>78.36</v>
      </c>
      <c r="FMY24">
        <v>212.93</v>
      </c>
      <c r="FMZ24">
        <v>213.15</v>
      </c>
      <c r="FNA24">
        <v>213.35</v>
      </c>
      <c r="FNB24">
        <v>213.37</v>
      </c>
      <c r="FNC24">
        <v>196.03</v>
      </c>
      <c r="FND24">
        <v>139.19</v>
      </c>
      <c r="FNE24">
        <v>207.22</v>
      </c>
      <c r="FNF24">
        <v>198.53</v>
      </c>
      <c r="FNG24">
        <v>162.55000000000001</v>
      </c>
      <c r="FNH24">
        <v>216.19</v>
      </c>
      <c r="FNI24">
        <v>216.84</v>
      </c>
      <c r="FNJ24">
        <v>216.85</v>
      </c>
      <c r="FNK24">
        <v>217.05</v>
      </c>
      <c r="FNL24">
        <v>217.28</v>
      </c>
      <c r="FNM24">
        <v>217.94</v>
      </c>
      <c r="FNN24">
        <v>216.55</v>
      </c>
      <c r="FNO24">
        <v>141.6</v>
      </c>
      <c r="FNP24">
        <v>218.8</v>
      </c>
      <c r="FNQ24">
        <v>99.84</v>
      </c>
      <c r="FNR24">
        <v>219.24</v>
      </c>
      <c r="FNS24">
        <v>219.47</v>
      </c>
      <c r="FNT24">
        <v>219.68</v>
      </c>
      <c r="FNU24">
        <v>213.11</v>
      </c>
      <c r="FNV24">
        <v>164.15</v>
      </c>
      <c r="FNW24">
        <v>211.55</v>
      </c>
      <c r="FNX24">
        <v>221.43</v>
      </c>
      <c r="FNY24">
        <v>221.43</v>
      </c>
      <c r="FNZ24">
        <v>193.72</v>
      </c>
      <c r="FOA24">
        <v>172.39</v>
      </c>
      <c r="FOB24">
        <v>222.95</v>
      </c>
      <c r="FOC24">
        <v>220.65</v>
      </c>
      <c r="FOD24">
        <v>134.31</v>
      </c>
      <c r="FOE24">
        <v>66.5</v>
      </c>
      <c r="FOF24">
        <v>224.04</v>
      </c>
      <c r="FOG24">
        <v>104.7</v>
      </c>
      <c r="FOH24">
        <v>218.81</v>
      </c>
      <c r="FOI24">
        <v>201.72</v>
      </c>
      <c r="FOJ24">
        <v>225.57</v>
      </c>
      <c r="FOK24">
        <v>226.44</v>
      </c>
      <c r="FOL24">
        <v>74.58</v>
      </c>
      <c r="FOM24">
        <v>182.1</v>
      </c>
      <c r="FON24">
        <v>227.53</v>
      </c>
      <c r="FOO24">
        <v>159.22</v>
      </c>
      <c r="FOP24">
        <v>228.61</v>
      </c>
      <c r="FOQ24">
        <v>132.37</v>
      </c>
      <c r="FOR24">
        <v>229.06</v>
      </c>
      <c r="FOS24">
        <v>76.05</v>
      </c>
      <c r="FOT24">
        <v>119.57</v>
      </c>
      <c r="FOU24">
        <v>226.21</v>
      </c>
      <c r="FOV24">
        <v>232.33</v>
      </c>
      <c r="FOW24">
        <v>232.75</v>
      </c>
      <c r="FOX24">
        <v>149.52000000000001</v>
      </c>
      <c r="FOY24">
        <v>233.63</v>
      </c>
      <c r="FOZ24">
        <v>233.84</v>
      </c>
      <c r="FPA24">
        <v>165.12</v>
      </c>
      <c r="FPB24">
        <v>54.28</v>
      </c>
      <c r="FPC24">
        <v>62.7</v>
      </c>
      <c r="FPD24">
        <v>235.15</v>
      </c>
      <c r="FPE24">
        <v>129.78</v>
      </c>
      <c r="FPF24">
        <v>131.13999999999999</v>
      </c>
      <c r="FPG24">
        <v>66.06</v>
      </c>
      <c r="FPH24">
        <v>172.01</v>
      </c>
      <c r="FPI24">
        <v>127.79</v>
      </c>
      <c r="FPJ24">
        <v>236.69</v>
      </c>
      <c r="FPK24">
        <v>236.89</v>
      </c>
      <c r="FPL24">
        <v>237.75</v>
      </c>
      <c r="FPM24">
        <v>157.80000000000001</v>
      </c>
      <c r="FPN24">
        <v>238.2</v>
      </c>
      <c r="FPO24">
        <v>238.43</v>
      </c>
      <c r="FPP24">
        <v>196.57</v>
      </c>
      <c r="FPQ24">
        <v>71.150000000000006</v>
      </c>
      <c r="FPR24">
        <v>239.51</v>
      </c>
      <c r="FPS24">
        <v>94.14</v>
      </c>
      <c r="FPT24">
        <v>182.79</v>
      </c>
      <c r="FPU24">
        <v>134.72999999999999</v>
      </c>
      <c r="FPV24">
        <v>242.33</v>
      </c>
      <c r="FPW24">
        <v>142.12</v>
      </c>
      <c r="FPX24">
        <v>233.71</v>
      </c>
      <c r="FPY24">
        <v>243.21</v>
      </c>
      <c r="FPZ24">
        <v>243.22</v>
      </c>
      <c r="FQA24">
        <v>242.26</v>
      </c>
      <c r="FQB24">
        <v>122.71</v>
      </c>
      <c r="FQC24">
        <v>244.53</v>
      </c>
      <c r="FQD24">
        <v>60.29</v>
      </c>
      <c r="FQE24">
        <v>82.26</v>
      </c>
      <c r="FQF24">
        <v>86.43</v>
      </c>
      <c r="FQG24">
        <v>246.48</v>
      </c>
      <c r="FQH24">
        <v>246.92</v>
      </c>
      <c r="FQI24">
        <v>248.88</v>
      </c>
      <c r="FQJ24">
        <v>242.93</v>
      </c>
      <c r="FQK24">
        <v>251.27</v>
      </c>
      <c r="FQL24">
        <v>251.72</v>
      </c>
      <c r="FQM24">
        <v>251.72</v>
      </c>
      <c r="FQN24">
        <v>252.81</v>
      </c>
      <c r="FQO24">
        <v>253.68</v>
      </c>
      <c r="FQP24">
        <v>157.36000000000001</v>
      </c>
      <c r="FQQ24">
        <v>206.19</v>
      </c>
      <c r="FQR24">
        <v>256.94</v>
      </c>
      <c r="FQS24">
        <v>186.89</v>
      </c>
      <c r="FQT24">
        <v>257.82</v>
      </c>
      <c r="FQU24">
        <v>258.89999999999998</v>
      </c>
      <c r="FQV24">
        <v>259.57</v>
      </c>
      <c r="FQW24">
        <v>260.20999999999998</v>
      </c>
      <c r="FQX24">
        <v>233.97</v>
      </c>
      <c r="FQY24">
        <v>260.66000000000003</v>
      </c>
      <c r="FQZ24">
        <v>227.89</v>
      </c>
      <c r="FRA24">
        <v>230.01</v>
      </c>
      <c r="FRB24">
        <v>241.08</v>
      </c>
      <c r="FRC24">
        <v>171.32</v>
      </c>
      <c r="FRD24">
        <v>263.92</v>
      </c>
      <c r="FRE24">
        <v>136.59</v>
      </c>
      <c r="FRF24">
        <v>265.67</v>
      </c>
      <c r="FRG24">
        <v>226.48</v>
      </c>
      <c r="FRH24">
        <v>89.33</v>
      </c>
      <c r="FRI24">
        <v>116.25</v>
      </c>
      <c r="FRJ24">
        <v>229.48</v>
      </c>
      <c r="FRK24">
        <v>132.72999999999999</v>
      </c>
      <c r="FRL24">
        <v>267.83</v>
      </c>
      <c r="FRM24">
        <v>181.91</v>
      </c>
      <c r="FRN24">
        <v>104.02</v>
      </c>
      <c r="FRO24">
        <v>168.49</v>
      </c>
      <c r="FRP24">
        <v>135.99</v>
      </c>
      <c r="FRQ24">
        <v>113.47</v>
      </c>
      <c r="FRR24">
        <v>128.63</v>
      </c>
      <c r="FRS24">
        <v>254.23</v>
      </c>
      <c r="FRT24">
        <v>273.07</v>
      </c>
      <c r="FRU24">
        <v>205.92</v>
      </c>
      <c r="FRV24">
        <v>273.75</v>
      </c>
      <c r="FRW24">
        <v>275.04000000000002</v>
      </c>
      <c r="FRX24">
        <v>224.25</v>
      </c>
      <c r="FRY24">
        <v>275.26</v>
      </c>
      <c r="FRZ24">
        <v>88.66</v>
      </c>
      <c r="FSA24">
        <v>275.70999999999998</v>
      </c>
      <c r="FSB24">
        <v>277.44</v>
      </c>
      <c r="FSC24">
        <v>254.05</v>
      </c>
      <c r="FSD24">
        <v>279.61</v>
      </c>
      <c r="FSE24">
        <v>280.49</v>
      </c>
      <c r="FSF24">
        <v>281.58</v>
      </c>
      <c r="FSG24">
        <v>119.23</v>
      </c>
      <c r="FSH24">
        <v>282.23</v>
      </c>
      <c r="FSI24">
        <v>260.33</v>
      </c>
      <c r="FSJ24">
        <v>186.58</v>
      </c>
      <c r="FSK24">
        <v>167.83</v>
      </c>
      <c r="FSL24">
        <v>285.01</v>
      </c>
      <c r="FSM24">
        <v>156.94999999999999</v>
      </c>
      <c r="FSN24">
        <v>287.47000000000003</v>
      </c>
      <c r="FSO24">
        <v>109.59</v>
      </c>
      <c r="FSP24">
        <v>211.24</v>
      </c>
      <c r="FSQ24">
        <v>288.33</v>
      </c>
      <c r="FSR24">
        <v>101.45</v>
      </c>
      <c r="FSS24">
        <v>290.3</v>
      </c>
      <c r="FST24">
        <v>291.38</v>
      </c>
      <c r="FSU24">
        <v>277.49</v>
      </c>
      <c r="FSV24">
        <v>208.68</v>
      </c>
      <c r="FSW24">
        <v>202.43</v>
      </c>
      <c r="FSX24">
        <v>295.82</v>
      </c>
      <c r="FSY24">
        <v>297.06</v>
      </c>
      <c r="FSZ24">
        <v>246.76</v>
      </c>
      <c r="FTA24">
        <v>208.02</v>
      </c>
      <c r="FTB24">
        <v>297.47000000000003</v>
      </c>
      <c r="FTC24">
        <v>297.7</v>
      </c>
      <c r="FTD24">
        <v>299</v>
      </c>
      <c r="FTE24">
        <v>238.04</v>
      </c>
      <c r="FTF24">
        <v>137.81</v>
      </c>
      <c r="FTG24">
        <v>75.86</v>
      </c>
      <c r="FTH24">
        <v>275.89999999999998</v>
      </c>
      <c r="FTI24">
        <v>232.37</v>
      </c>
      <c r="FTJ24">
        <v>301.2</v>
      </c>
      <c r="FTK24">
        <v>303.58999999999997</v>
      </c>
      <c r="FTL24">
        <v>183.39</v>
      </c>
      <c r="FTM24">
        <v>304.45</v>
      </c>
      <c r="FTN24">
        <v>217.4</v>
      </c>
      <c r="FTO24">
        <v>230.61</v>
      </c>
      <c r="FTP24">
        <v>304.69</v>
      </c>
      <c r="FTQ24">
        <v>254.88</v>
      </c>
      <c r="FTR24">
        <v>305.11</v>
      </c>
      <c r="FTS24">
        <v>305.55</v>
      </c>
      <c r="FTT24">
        <v>305.77</v>
      </c>
      <c r="FTU24">
        <v>112.85</v>
      </c>
      <c r="FTV24">
        <v>225.83</v>
      </c>
      <c r="FTW24">
        <v>293.83</v>
      </c>
      <c r="FTX24">
        <v>218.19</v>
      </c>
      <c r="FTY24">
        <v>284.37</v>
      </c>
      <c r="FTZ24">
        <v>278.55</v>
      </c>
      <c r="FUA24">
        <v>277.33999999999997</v>
      </c>
      <c r="FUB24">
        <v>208.84</v>
      </c>
      <c r="FUC24">
        <v>261.95</v>
      </c>
      <c r="FUD24">
        <v>309.89999999999998</v>
      </c>
      <c r="FUE24">
        <v>309.89999999999998</v>
      </c>
      <c r="FUF24">
        <v>310.33999999999997</v>
      </c>
      <c r="FUG24">
        <v>257.39999999999998</v>
      </c>
      <c r="FUH24">
        <v>297.07</v>
      </c>
      <c r="FUI24">
        <v>208.42</v>
      </c>
      <c r="FUJ24">
        <v>223.67</v>
      </c>
      <c r="FUK24">
        <v>312.54000000000002</v>
      </c>
      <c r="FUL24">
        <v>187.96</v>
      </c>
      <c r="FUM24">
        <v>314.92</v>
      </c>
      <c r="FUN24">
        <v>295.57</v>
      </c>
      <c r="FUO24">
        <v>316.23</v>
      </c>
      <c r="FUP24">
        <v>125.82</v>
      </c>
      <c r="FUQ24">
        <v>317.33</v>
      </c>
      <c r="FUR24">
        <v>90.34</v>
      </c>
      <c r="FUS24">
        <v>216.46</v>
      </c>
      <c r="FUT24">
        <v>198.49</v>
      </c>
      <c r="FUU24">
        <v>321.45999999999998</v>
      </c>
      <c r="FUV24">
        <v>155.41999999999999</v>
      </c>
      <c r="FUW24">
        <v>322.98</v>
      </c>
      <c r="FUX24">
        <v>323.38</v>
      </c>
      <c r="FUY24">
        <v>135.52000000000001</v>
      </c>
      <c r="FUZ24">
        <v>242.72</v>
      </c>
      <c r="FVA24">
        <v>323.64</v>
      </c>
      <c r="FVB24">
        <v>302.33999999999997</v>
      </c>
      <c r="FVC24">
        <v>138.81</v>
      </c>
      <c r="FVD24">
        <v>158.63</v>
      </c>
      <c r="FVE24">
        <v>325.81</v>
      </c>
      <c r="FVF24">
        <v>219.64</v>
      </c>
      <c r="FVG24">
        <v>196.53</v>
      </c>
      <c r="FVH24">
        <v>250.1</v>
      </c>
      <c r="FVI24">
        <v>330.62</v>
      </c>
      <c r="FVJ24">
        <v>210.34</v>
      </c>
      <c r="FVK24">
        <v>226.54</v>
      </c>
      <c r="FVL24">
        <v>332.8</v>
      </c>
      <c r="FVM24">
        <v>322.39</v>
      </c>
      <c r="FVN24">
        <v>146.36000000000001</v>
      </c>
      <c r="FVO24">
        <v>88.67</v>
      </c>
      <c r="FVP24">
        <v>199.42</v>
      </c>
      <c r="FVQ24">
        <v>196.39</v>
      </c>
      <c r="FVR24">
        <v>215.85</v>
      </c>
      <c r="FVS24">
        <v>336.27</v>
      </c>
      <c r="FVT24">
        <v>120.62</v>
      </c>
      <c r="FVU24">
        <v>338.22</v>
      </c>
      <c r="FVV24">
        <v>157.24</v>
      </c>
      <c r="FVW24">
        <v>184.87</v>
      </c>
      <c r="FVX24">
        <v>193.24</v>
      </c>
      <c r="FVY24">
        <v>315.36</v>
      </c>
      <c r="FVZ24">
        <v>249.47</v>
      </c>
      <c r="FWB24">
        <v>219.55</v>
      </c>
      <c r="FWC24">
        <v>213.61</v>
      </c>
      <c r="FWD24">
        <v>334.15</v>
      </c>
      <c r="FWE24">
        <v>343.9</v>
      </c>
      <c r="FWF24">
        <v>94.55</v>
      </c>
      <c r="FWG24">
        <v>346.52</v>
      </c>
      <c r="FWH24">
        <v>343.54</v>
      </c>
      <c r="FWI24">
        <v>347.17</v>
      </c>
      <c r="FWJ24">
        <v>147.79</v>
      </c>
      <c r="FWK24">
        <v>348.49</v>
      </c>
      <c r="FWL24">
        <v>350.21</v>
      </c>
      <c r="FWM24">
        <v>70.14</v>
      </c>
      <c r="FWN24">
        <v>197.34</v>
      </c>
      <c r="FWO24">
        <v>262.39999999999998</v>
      </c>
      <c r="FWP24">
        <v>353.27</v>
      </c>
      <c r="FWQ24">
        <v>269.95</v>
      </c>
      <c r="FWR24">
        <v>219.76</v>
      </c>
      <c r="FWS24">
        <v>248.79</v>
      </c>
      <c r="FWT24">
        <v>228.56</v>
      </c>
      <c r="FWU24">
        <v>123.18</v>
      </c>
      <c r="FWV24">
        <v>107.81</v>
      </c>
      <c r="FWW24">
        <v>198.62</v>
      </c>
      <c r="FWX24">
        <v>151.81</v>
      </c>
      <c r="FWY24">
        <v>363.09</v>
      </c>
      <c r="FWZ24">
        <v>363.52</v>
      </c>
      <c r="FXA24">
        <v>252.3</v>
      </c>
      <c r="FXB24">
        <v>125.06</v>
      </c>
      <c r="FXC24">
        <v>153.07</v>
      </c>
      <c r="FXD24">
        <v>201.07</v>
      </c>
      <c r="FXE24">
        <v>366.8</v>
      </c>
      <c r="FXF24">
        <v>269.92</v>
      </c>
      <c r="FXG24">
        <v>264.8</v>
      </c>
      <c r="FXH24">
        <v>189.25</v>
      </c>
      <c r="FXI24">
        <v>368.31</v>
      </c>
      <c r="FXJ24">
        <v>295.06</v>
      </c>
      <c r="FXK24">
        <v>316.22000000000003</v>
      </c>
      <c r="FXL24">
        <v>214.27</v>
      </c>
      <c r="FXM24">
        <v>372.46</v>
      </c>
      <c r="FXN24">
        <v>192.11</v>
      </c>
      <c r="FXO24">
        <v>323.07</v>
      </c>
      <c r="FXP24">
        <v>373.1</v>
      </c>
      <c r="FXQ24">
        <v>191.84</v>
      </c>
      <c r="FXR24">
        <v>312.67</v>
      </c>
      <c r="FXS24">
        <v>371.36</v>
      </c>
      <c r="FXT24">
        <v>167.52</v>
      </c>
      <c r="FXU24">
        <v>302.35000000000002</v>
      </c>
      <c r="FXV24">
        <v>266.89999999999998</v>
      </c>
      <c r="FXW24">
        <v>218.02</v>
      </c>
      <c r="FXX24">
        <v>193.18</v>
      </c>
      <c r="FXY24">
        <v>237.52</v>
      </c>
      <c r="FXZ24">
        <v>382.93</v>
      </c>
      <c r="FYA24">
        <v>383.34</v>
      </c>
      <c r="FYB24">
        <v>276.77999999999997</v>
      </c>
      <c r="FYC24">
        <v>268.33</v>
      </c>
      <c r="FYD24">
        <v>125.91</v>
      </c>
      <c r="FYE24">
        <v>388.81</v>
      </c>
      <c r="FYF24">
        <v>347.87</v>
      </c>
      <c r="FYG24">
        <v>383.74</v>
      </c>
      <c r="FYH24">
        <v>139.19</v>
      </c>
      <c r="FYI24">
        <v>231.29</v>
      </c>
      <c r="FYJ24">
        <v>237.92</v>
      </c>
      <c r="FYK24">
        <v>394.03</v>
      </c>
      <c r="FYL24">
        <v>147.22</v>
      </c>
      <c r="FYM24">
        <v>169.06</v>
      </c>
      <c r="FYN24">
        <v>86.65</v>
      </c>
      <c r="FYO24">
        <v>397.08</v>
      </c>
      <c r="FYP24">
        <v>233.17</v>
      </c>
      <c r="FYQ24">
        <v>302.51</v>
      </c>
      <c r="FYR24">
        <v>266.20999999999998</v>
      </c>
      <c r="FYS24">
        <v>169.3</v>
      </c>
      <c r="FYT24">
        <v>324.20999999999998</v>
      </c>
      <c r="FYU24">
        <v>315.18</v>
      </c>
      <c r="FYV24">
        <v>251.04</v>
      </c>
      <c r="FYW24">
        <v>402.96</v>
      </c>
      <c r="FYX24">
        <v>357.54</v>
      </c>
      <c r="FYY24">
        <v>130.63</v>
      </c>
      <c r="FYZ24">
        <v>240.29</v>
      </c>
      <c r="FZA24">
        <v>175.95</v>
      </c>
      <c r="FZB24">
        <v>354.68</v>
      </c>
      <c r="FZC24">
        <v>161.72999999999999</v>
      </c>
      <c r="FZD24">
        <v>406.22</v>
      </c>
      <c r="FZE24">
        <v>309.45</v>
      </c>
      <c r="FZF24">
        <v>407.77</v>
      </c>
      <c r="FZG24">
        <v>409.51</v>
      </c>
      <c r="FZH24">
        <v>278.17</v>
      </c>
      <c r="FZI24">
        <v>265.62</v>
      </c>
      <c r="FZJ24">
        <v>403.65</v>
      </c>
      <c r="FZK24">
        <v>200.63</v>
      </c>
      <c r="FZL24">
        <v>278.57</v>
      </c>
      <c r="FZM24">
        <v>189.19</v>
      </c>
      <c r="FZN24">
        <v>295.2</v>
      </c>
      <c r="FZO24">
        <v>371.92</v>
      </c>
      <c r="FZP24">
        <v>127.13</v>
      </c>
      <c r="FZQ24">
        <v>398.48</v>
      </c>
      <c r="FZR24">
        <v>420.16</v>
      </c>
      <c r="FZS24">
        <v>212.54</v>
      </c>
      <c r="FZT24">
        <v>254.48</v>
      </c>
      <c r="FZU24">
        <v>421.91</v>
      </c>
      <c r="FZV24">
        <v>422.14</v>
      </c>
      <c r="FZW24">
        <v>357.3</v>
      </c>
      <c r="FZX24">
        <v>424.75</v>
      </c>
      <c r="FZY24">
        <v>342.17</v>
      </c>
      <c r="FZZ24">
        <v>361.03</v>
      </c>
      <c r="GAA24">
        <v>297.31</v>
      </c>
      <c r="GAB24">
        <v>294</v>
      </c>
      <c r="GAC24">
        <v>372.13</v>
      </c>
      <c r="GAD24">
        <v>150.54</v>
      </c>
      <c r="GAE24">
        <v>429.99</v>
      </c>
      <c r="GAF24">
        <v>430.88</v>
      </c>
      <c r="GAG24">
        <v>432.61</v>
      </c>
      <c r="GAH24">
        <v>107.78</v>
      </c>
      <c r="GAI24">
        <v>336.33</v>
      </c>
      <c r="GAJ24">
        <v>434.12</v>
      </c>
      <c r="GAK24">
        <v>428.35</v>
      </c>
      <c r="GAL24">
        <v>113.95</v>
      </c>
      <c r="GAM24">
        <v>436.96</v>
      </c>
      <c r="GAN24">
        <v>303.85000000000002</v>
      </c>
      <c r="GAO24">
        <v>420.71</v>
      </c>
      <c r="GAP24">
        <v>195.83</v>
      </c>
      <c r="GAQ24">
        <v>403.58</v>
      </c>
      <c r="GAR24">
        <v>440.91</v>
      </c>
      <c r="GAS24">
        <v>348.52</v>
      </c>
      <c r="GAT24">
        <v>152.5</v>
      </c>
      <c r="GAU24">
        <v>413.89</v>
      </c>
      <c r="GAV24">
        <v>336.02</v>
      </c>
      <c r="GAW24">
        <v>406.91</v>
      </c>
      <c r="GAX24">
        <v>136.43</v>
      </c>
      <c r="GAY24">
        <v>385.47</v>
      </c>
      <c r="GAZ24">
        <v>447.86</v>
      </c>
      <c r="GBA24">
        <v>426.61</v>
      </c>
      <c r="GBB24">
        <v>287.27</v>
      </c>
      <c r="GBC24">
        <v>451.78</v>
      </c>
      <c r="GBD24">
        <v>386.63</v>
      </c>
      <c r="GBE24">
        <v>218.13</v>
      </c>
      <c r="GBF24">
        <v>351.72</v>
      </c>
      <c r="GBG24">
        <v>328.78</v>
      </c>
      <c r="GBH24">
        <v>453.74</v>
      </c>
      <c r="GBI24">
        <v>384.3</v>
      </c>
      <c r="GBJ24">
        <v>454.4</v>
      </c>
      <c r="GBK24">
        <v>350.8</v>
      </c>
      <c r="GBL24">
        <v>297.58999999999997</v>
      </c>
      <c r="GBM24">
        <v>425.55</v>
      </c>
      <c r="GBN24">
        <v>298.07</v>
      </c>
      <c r="GBO24">
        <v>332</v>
      </c>
      <c r="GBP24">
        <v>348.58</v>
      </c>
      <c r="GBQ24">
        <v>217.2</v>
      </c>
      <c r="GBR24">
        <v>227.38</v>
      </c>
      <c r="GBS24">
        <v>120.29</v>
      </c>
      <c r="GBT24">
        <v>247.22</v>
      </c>
      <c r="GBU24">
        <v>463.97</v>
      </c>
      <c r="GBV24">
        <v>325.31</v>
      </c>
      <c r="GBW24">
        <v>269.44</v>
      </c>
      <c r="GBX24">
        <v>201.38</v>
      </c>
      <c r="GBY24">
        <v>280.58999999999997</v>
      </c>
      <c r="GBZ24">
        <v>471.18</v>
      </c>
      <c r="GCA24">
        <v>291.64</v>
      </c>
      <c r="GCB24">
        <v>254.83</v>
      </c>
      <c r="GCC24">
        <v>197.6</v>
      </c>
      <c r="GCD24">
        <v>332.56</v>
      </c>
      <c r="GCE24">
        <v>478.37</v>
      </c>
      <c r="GCF24">
        <v>464.48</v>
      </c>
      <c r="GCG24">
        <v>148.01</v>
      </c>
      <c r="GCH24">
        <v>211.74</v>
      </c>
      <c r="GCI24">
        <v>248.62</v>
      </c>
      <c r="GCJ24">
        <v>490.15</v>
      </c>
      <c r="GCK24">
        <v>492.1</v>
      </c>
      <c r="GCL24">
        <v>492.52</v>
      </c>
      <c r="GCM24">
        <v>493.19</v>
      </c>
      <c r="GCN24">
        <v>132.32</v>
      </c>
      <c r="GCO24">
        <v>344.71</v>
      </c>
      <c r="GCP24">
        <v>302.47000000000003</v>
      </c>
      <c r="GCQ24">
        <v>487.85</v>
      </c>
      <c r="GCR24">
        <v>496.03</v>
      </c>
      <c r="GCS24">
        <v>358.7</v>
      </c>
      <c r="GCT24">
        <v>428.79</v>
      </c>
      <c r="GCU24">
        <v>359.32</v>
      </c>
      <c r="GCV24">
        <v>312.47000000000003</v>
      </c>
      <c r="GCW24">
        <v>497.76</v>
      </c>
      <c r="GCX24">
        <v>328.19</v>
      </c>
      <c r="GCY24">
        <v>499.32</v>
      </c>
      <c r="GCZ24">
        <v>500.19</v>
      </c>
      <c r="GDA24">
        <v>423.09</v>
      </c>
      <c r="GDB24">
        <v>213.86</v>
      </c>
      <c r="GDC24">
        <v>210.33</v>
      </c>
      <c r="GDD24">
        <v>488.01</v>
      </c>
      <c r="GDE24">
        <v>263.67</v>
      </c>
      <c r="GDF24">
        <v>160.16999999999999</v>
      </c>
      <c r="GDG24">
        <v>222.79</v>
      </c>
      <c r="GDH24">
        <v>468.61</v>
      </c>
      <c r="GDI24">
        <v>459.86</v>
      </c>
      <c r="GDJ24">
        <v>289.39999999999998</v>
      </c>
      <c r="GDK24">
        <v>501.82</v>
      </c>
      <c r="GDL24">
        <v>264.33999999999997</v>
      </c>
      <c r="GDM24">
        <v>125.94</v>
      </c>
      <c r="GDN24">
        <v>441.26</v>
      </c>
      <c r="GDO24">
        <v>519.79999999999995</v>
      </c>
      <c r="GDP24">
        <v>439.91</v>
      </c>
      <c r="GDQ24">
        <v>164.24</v>
      </c>
      <c r="GDR24">
        <v>298.42</v>
      </c>
      <c r="GDS24">
        <v>336.7</v>
      </c>
      <c r="GDT24">
        <v>307.24</v>
      </c>
      <c r="GDU24">
        <v>255.77</v>
      </c>
      <c r="GDV24">
        <v>521.54</v>
      </c>
      <c r="GDW24">
        <v>320.08</v>
      </c>
      <c r="GDX24">
        <v>336.45</v>
      </c>
      <c r="GDY24">
        <v>522.82000000000005</v>
      </c>
      <c r="GDZ24">
        <v>522.83000000000004</v>
      </c>
      <c r="GEA24">
        <v>391.02</v>
      </c>
      <c r="GEB24">
        <v>142.05000000000001</v>
      </c>
      <c r="GEC24">
        <v>284.76</v>
      </c>
      <c r="GED24">
        <v>273.67</v>
      </c>
      <c r="GEE24">
        <v>306.98</v>
      </c>
      <c r="GEF24">
        <v>402.56</v>
      </c>
      <c r="GEG24">
        <v>457.03</v>
      </c>
      <c r="GEH24">
        <v>174.81</v>
      </c>
      <c r="GEI24">
        <v>142.47</v>
      </c>
      <c r="GEJ24">
        <v>540.23</v>
      </c>
      <c r="GEK24">
        <v>361.13</v>
      </c>
      <c r="GEL24">
        <v>493.38</v>
      </c>
      <c r="GEM24">
        <v>540.95000000000005</v>
      </c>
      <c r="GEN24">
        <v>203.65</v>
      </c>
      <c r="GEO24">
        <v>184.83</v>
      </c>
      <c r="GEP24">
        <v>353.03</v>
      </c>
      <c r="GEQ24">
        <v>207.42</v>
      </c>
      <c r="GER24">
        <v>510.05</v>
      </c>
      <c r="GES24">
        <v>549</v>
      </c>
      <c r="GET24">
        <v>331.99</v>
      </c>
      <c r="GEU24">
        <v>446.63</v>
      </c>
      <c r="GEV24">
        <v>370.24</v>
      </c>
      <c r="GEW24">
        <v>412.39</v>
      </c>
      <c r="GEX24">
        <v>451.21</v>
      </c>
      <c r="GEY24">
        <v>505.33</v>
      </c>
      <c r="GEZ24">
        <v>517.99</v>
      </c>
      <c r="GFA24">
        <v>278.45999999999998</v>
      </c>
      <c r="GFB24">
        <v>315.41000000000003</v>
      </c>
      <c r="GFC24">
        <v>574.27</v>
      </c>
      <c r="GFD24">
        <v>378.61</v>
      </c>
      <c r="GFE24">
        <v>578.19000000000005</v>
      </c>
      <c r="GFF24">
        <v>293.33999999999997</v>
      </c>
      <c r="GFG24">
        <v>579.53</v>
      </c>
      <c r="GFH24">
        <v>419.08</v>
      </c>
      <c r="GFI24">
        <v>545.69000000000005</v>
      </c>
      <c r="GFJ24">
        <v>318.52999999999997</v>
      </c>
      <c r="GFK24">
        <v>206.04</v>
      </c>
      <c r="GFL24">
        <v>560.22</v>
      </c>
      <c r="GFM24">
        <v>505.84</v>
      </c>
      <c r="GFN24">
        <v>592.58000000000004</v>
      </c>
      <c r="GFO24">
        <v>408.51</v>
      </c>
      <c r="GFP24">
        <v>593.44000000000005</v>
      </c>
      <c r="GFQ24">
        <v>594.75</v>
      </c>
      <c r="GFR24">
        <v>439.64</v>
      </c>
      <c r="GFS24">
        <v>456.17</v>
      </c>
      <c r="GFT24">
        <v>429.86</v>
      </c>
      <c r="GFU24">
        <v>192.29</v>
      </c>
      <c r="GFV24">
        <v>356.13</v>
      </c>
      <c r="GFW24">
        <v>268.22000000000003</v>
      </c>
      <c r="GFX24">
        <v>504.69</v>
      </c>
      <c r="GFY24">
        <v>452.75</v>
      </c>
      <c r="GFZ24">
        <v>617.83000000000004</v>
      </c>
      <c r="GGA24">
        <v>504.65</v>
      </c>
      <c r="GGB24">
        <v>439.22</v>
      </c>
      <c r="GGC24">
        <v>626.36</v>
      </c>
      <c r="GGD24">
        <v>397.08</v>
      </c>
      <c r="GGE24">
        <v>633.32000000000005</v>
      </c>
      <c r="GGF24">
        <v>500.54</v>
      </c>
      <c r="GGG24">
        <v>329.34</v>
      </c>
      <c r="GGH24">
        <v>498.38</v>
      </c>
      <c r="GGI24">
        <v>639.88</v>
      </c>
      <c r="GGJ24">
        <v>491.11</v>
      </c>
      <c r="GGK24">
        <v>646.17999999999995</v>
      </c>
      <c r="GGL24">
        <v>410.16</v>
      </c>
      <c r="GGM24">
        <v>247.81</v>
      </c>
      <c r="GGN24">
        <v>272.79000000000002</v>
      </c>
      <c r="GGO24">
        <v>236.89</v>
      </c>
      <c r="GGP24">
        <v>227.94</v>
      </c>
      <c r="GGQ24">
        <v>456.31</v>
      </c>
      <c r="GGR24">
        <v>464.75</v>
      </c>
      <c r="GGS24">
        <v>664.3</v>
      </c>
      <c r="GGT24">
        <v>580.69000000000005</v>
      </c>
      <c r="GGU24">
        <v>667.98</v>
      </c>
      <c r="GGV24">
        <v>492.97</v>
      </c>
      <c r="GGW24">
        <v>421.91</v>
      </c>
      <c r="GGX24">
        <v>655.91</v>
      </c>
      <c r="GGY24">
        <v>675.84</v>
      </c>
      <c r="GGZ24">
        <v>676.68</v>
      </c>
      <c r="GHA24">
        <v>196.53</v>
      </c>
      <c r="GHB24">
        <v>418.69</v>
      </c>
      <c r="GHC24">
        <v>434.56</v>
      </c>
      <c r="GHD24">
        <v>682.14</v>
      </c>
      <c r="GHE24">
        <v>433.67</v>
      </c>
      <c r="GHF24">
        <v>685.44</v>
      </c>
      <c r="GHG24">
        <v>460.43</v>
      </c>
      <c r="GHH24">
        <v>239.95</v>
      </c>
      <c r="GHI24">
        <v>559.86</v>
      </c>
      <c r="GHJ24">
        <v>520.58000000000004</v>
      </c>
      <c r="GHK24">
        <v>699.14</v>
      </c>
      <c r="GHL24">
        <v>192.36</v>
      </c>
      <c r="GHM24">
        <v>293.38</v>
      </c>
      <c r="GHN24">
        <v>283.51</v>
      </c>
      <c r="GHO24">
        <v>299.75</v>
      </c>
      <c r="GHP24">
        <v>705.67</v>
      </c>
      <c r="GHQ24">
        <v>705.89</v>
      </c>
      <c r="GHR24">
        <v>230.14</v>
      </c>
      <c r="GHS24">
        <v>361.66</v>
      </c>
      <c r="GHT24">
        <v>457.61</v>
      </c>
      <c r="GHU24">
        <v>576.75</v>
      </c>
      <c r="GHV24">
        <v>713.1</v>
      </c>
      <c r="GHW24">
        <v>431.5</v>
      </c>
      <c r="GHX24">
        <v>420.05</v>
      </c>
      <c r="GHY24">
        <v>721.82</v>
      </c>
      <c r="GHZ24">
        <v>478.68</v>
      </c>
      <c r="GIA24">
        <v>259.56</v>
      </c>
      <c r="GIB24">
        <v>369.21</v>
      </c>
      <c r="GIC24">
        <v>336.05</v>
      </c>
      <c r="GID24">
        <v>604.07000000000005</v>
      </c>
      <c r="GIE24">
        <v>735.52</v>
      </c>
      <c r="GIF24">
        <v>307.47000000000003</v>
      </c>
      <c r="GIG24">
        <v>467.33</v>
      </c>
      <c r="GIH24">
        <v>154.81</v>
      </c>
      <c r="GII24">
        <v>753.87</v>
      </c>
      <c r="GIJ24">
        <v>502.02</v>
      </c>
      <c r="GIK24">
        <v>309.76</v>
      </c>
      <c r="GIL24">
        <v>313.54000000000002</v>
      </c>
      <c r="GIM24">
        <v>164.76</v>
      </c>
      <c r="GIN24">
        <v>775.43</v>
      </c>
      <c r="GIO24">
        <v>378.85</v>
      </c>
      <c r="GIP24">
        <v>576.76</v>
      </c>
      <c r="GIQ24">
        <v>325.64999999999998</v>
      </c>
      <c r="GIR24">
        <v>509.07</v>
      </c>
      <c r="GIS24">
        <v>318.56</v>
      </c>
      <c r="GIT24">
        <v>449.14</v>
      </c>
      <c r="GIU24">
        <v>456.92</v>
      </c>
      <c r="GIV24">
        <v>610.85</v>
      </c>
      <c r="GIW24">
        <v>802.66</v>
      </c>
      <c r="GIX24">
        <v>750.95</v>
      </c>
      <c r="GIY24">
        <v>474.66</v>
      </c>
      <c r="GIZ24">
        <v>808.95</v>
      </c>
      <c r="GJA24">
        <v>571.99</v>
      </c>
      <c r="GJB24">
        <v>665.16</v>
      </c>
      <c r="GJC24">
        <v>537.45000000000005</v>
      </c>
      <c r="GJD24">
        <v>775.43</v>
      </c>
      <c r="GJE24">
        <v>815.03</v>
      </c>
      <c r="GJF24">
        <v>840.36</v>
      </c>
      <c r="GJG24">
        <v>555.53</v>
      </c>
      <c r="GJH24">
        <v>560.16</v>
      </c>
      <c r="GJI24">
        <v>687.49</v>
      </c>
      <c r="GJJ24">
        <v>861.29</v>
      </c>
      <c r="GJK24">
        <v>585.83000000000004</v>
      </c>
      <c r="GJL24">
        <v>608.03</v>
      </c>
      <c r="GJM24">
        <v>868.03</v>
      </c>
      <c r="GJN24">
        <v>536.32000000000005</v>
      </c>
      <c r="GJO24">
        <v>889.4</v>
      </c>
      <c r="GJP24">
        <v>260.67</v>
      </c>
      <c r="GJQ24">
        <v>451.27</v>
      </c>
      <c r="GJR24">
        <v>447.82</v>
      </c>
      <c r="GJS24">
        <v>680.3</v>
      </c>
      <c r="GJT24">
        <v>384.34</v>
      </c>
      <c r="GJU24">
        <v>648.94000000000005</v>
      </c>
      <c r="GJV24">
        <v>911.66</v>
      </c>
      <c r="GJW24">
        <v>946.91</v>
      </c>
      <c r="GJX24">
        <v>651.4</v>
      </c>
      <c r="GJY24">
        <v>898.41</v>
      </c>
      <c r="GJZ24">
        <v>745.54</v>
      </c>
      <c r="GKA24">
        <v>952.67</v>
      </c>
      <c r="GKB24">
        <v>953.79</v>
      </c>
      <c r="GKC24">
        <v>792.87</v>
      </c>
      <c r="GKD24">
        <v>965.44</v>
      </c>
      <c r="GKE24">
        <v>595.29999999999995</v>
      </c>
      <c r="GKF24">
        <v>675.71</v>
      </c>
      <c r="GKG24">
        <v>511.24</v>
      </c>
      <c r="GKH24">
        <v>535.79999999999995</v>
      </c>
      <c r="GKI24">
        <v>933.16</v>
      </c>
      <c r="GKJ24">
        <v>580.11</v>
      </c>
      <c r="GKK24">
        <v>353.26</v>
      </c>
      <c r="GKL24">
        <v>444.63</v>
      </c>
      <c r="GKM24">
        <v>677.88</v>
      </c>
      <c r="GKN24">
        <v>1050.9100000000001</v>
      </c>
      <c r="GKO24">
        <v>644.6</v>
      </c>
      <c r="GKP24">
        <v>427.36</v>
      </c>
      <c r="GKQ24">
        <v>961.23</v>
      </c>
      <c r="GKR24">
        <v>630.94000000000005</v>
      </c>
      <c r="GKS24">
        <v>808.11</v>
      </c>
      <c r="GKT24">
        <v>538.53</v>
      </c>
      <c r="GKU24">
        <v>1099.49</v>
      </c>
      <c r="GKV24">
        <v>475.9</v>
      </c>
      <c r="GKW24">
        <v>1106.48</v>
      </c>
      <c r="GKX24">
        <v>778.02</v>
      </c>
      <c r="GKY24">
        <v>589.99</v>
      </c>
      <c r="GKZ24">
        <v>901</v>
      </c>
      <c r="GLA24">
        <v>388.95</v>
      </c>
      <c r="GLB24">
        <v>752.39</v>
      </c>
      <c r="GLC24">
        <v>849</v>
      </c>
      <c r="GLD24">
        <v>517.27</v>
      </c>
      <c r="GLE24">
        <v>405.77</v>
      </c>
      <c r="GLF24">
        <v>933.89</v>
      </c>
      <c r="GLG24">
        <v>1059.3800000000001</v>
      </c>
      <c r="GLH24">
        <v>765.25</v>
      </c>
      <c r="GLI24">
        <v>1176.2</v>
      </c>
      <c r="GLJ24">
        <v>476.11</v>
      </c>
      <c r="GLK24">
        <v>1181.67</v>
      </c>
      <c r="GLL24">
        <v>965.52</v>
      </c>
      <c r="GLM24">
        <v>1187.0999999999999</v>
      </c>
      <c r="GLN24">
        <v>1007.81</v>
      </c>
      <c r="GLO24">
        <v>873.64</v>
      </c>
      <c r="GLP24">
        <v>1206.94</v>
      </c>
      <c r="GLQ24">
        <v>563.59</v>
      </c>
      <c r="GLR24">
        <v>863.17</v>
      </c>
      <c r="GLS24">
        <v>759.63</v>
      </c>
      <c r="GLT24">
        <v>297.48</v>
      </c>
      <c r="GLU24">
        <v>739.04</v>
      </c>
      <c r="GLV24">
        <v>1090.5</v>
      </c>
      <c r="GLW24">
        <v>599.02</v>
      </c>
      <c r="GLX24">
        <v>1236.3800000000001</v>
      </c>
      <c r="GLY24">
        <v>1243.77</v>
      </c>
      <c r="GLZ24">
        <v>710.5</v>
      </c>
      <c r="GMA24">
        <v>803.93</v>
      </c>
      <c r="GMB24">
        <v>1283.33</v>
      </c>
      <c r="GMC24">
        <v>886.45</v>
      </c>
      <c r="GMD24">
        <v>880.03</v>
      </c>
      <c r="GME24">
        <v>1244.45</v>
      </c>
      <c r="GMF24">
        <v>788.8</v>
      </c>
      <c r="GMG24">
        <v>1298.8</v>
      </c>
      <c r="GMH24">
        <v>1198.46</v>
      </c>
      <c r="GMI24">
        <v>802.76</v>
      </c>
      <c r="GMJ24">
        <v>675.78</v>
      </c>
      <c r="GMK24">
        <v>589.86</v>
      </c>
      <c r="GML24">
        <v>944.69</v>
      </c>
      <c r="GMM24">
        <v>673.87</v>
      </c>
      <c r="GMN24">
        <v>657.67</v>
      </c>
      <c r="GMO24">
        <v>861.38</v>
      </c>
      <c r="GMP24">
        <v>887.17</v>
      </c>
      <c r="GMQ24">
        <v>419.15</v>
      </c>
      <c r="GMR24">
        <v>1270.3399999999999</v>
      </c>
      <c r="GMS24">
        <v>1316.22</v>
      </c>
      <c r="GMT24">
        <v>548.85</v>
      </c>
      <c r="GMU24">
        <v>1183.07</v>
      </c>
      <c r="GMV24">
        <v>335.31</v>
      </c>
      <c r="GMW24">
        <v>1027.02</v>
      </c>
      <c r="GMX24">
        <v>1439.61</v>
      </c>
      <c r="GMY24">
        <v>1355.4</v>
      </c>
      <c r="GMZ24">
        <v>1070.32</v>
      </c>
      <c r="GNA24">
        <v>994.17</v>
      </c>
      <c r="GNB24">
        <v>1172.69</v>
      </c>
      <c r="GNC24">
        <v>570.9</v>
      </c>
      <c r="GND24">
        <v>688.09</v>
      </c>
      <c r="GNE24">
        <v>604.16999999999996</v>
      </c>
      <c r="GNF24">
        <v>1403.32</v>
      </c>
      <c r="GNG24">
        <v>618.98</v>
      </c>
      <c r="GNH24">
        <v>530.36</v>
      </c>
      <c r="GNI24">
        <v>1383.56</v>
      </c>
      <c r="GNJ24">
        <v>846.13</v>
      </c>
      <c r="GNK24">
        <v>1580.85</v>
      </c>
      <c r="GNL24">
        <v>709.96</v>
      </c>
      <c r="GNM24">
        <v>698.89</v>
      </c>
      <c r="GNN24">
        <v>1220.26</v>
      </c>
      <c r="GNO24">
        <v>431.22</v>
      </c>
      <c r="GNP24">
        <v>369.32</v>
      </c>
      <c r="GNQ24">
        <v>904.19</v>
      </c>
      <c r="GNR24">
        <v>683.86</v>
      </c>
      <c r="GNS24">
        <v>696.83</v>
      </c>
      <c r="GNT24">
        <v>430.09</v>
      </c>
      <c r="GNU24">
        <v>1333.89</v>
      </c>
      <c r="GNV24">
        <v>1079.8399999999999</v>
      </c>
      <c r="GNW24">
        <v>783.84</v>
      </c>
      <c r="GNX24">
        <v>666.35</v>
      </c>
      <c r="GNY24">
        <v>658.53</v>
      </c>
      <c r="GNZ24">
        <v>855.38</v>
      </c>
      <c r="GOA24">
        <v>1042.46</v>
      </c>
      <c r="GOB24">
        <v>611.91</v>
      </c>
      <c r="GOC24">
        <v>412.79</v>
      </c>
      <c r="GOD24">
        <v>1829.87</v>
      </c>
      <c r="GOE24">
        <v>1835.39</v>
      </c>
      <c r="GOF24">
        <v>1850.53</v>
      </c>
      <c r="GOG24">
        <v>593.29</v>
      </c>
      <c r="GOH24">
        <v>671.34</v>
      </c>
      <c r="GOI24">
        <v>479.77</v>
      </c>
      <c r="GOJ24">
        <v>1938.99</v>
      </c>
      <c r="GOK24">
        <v>1985.11</v>
      </c>
      <c r="GOL24">
        <v>773.1</v>
      </c>
      <c r="GOM24">
        <v>835.46</v>
      </c>
      <c r="GON24">
        <v>1136.27</v>
      </c>
      <c r="GOO24">
        <v>333.83</v>
      </c>
      <c r="GOP24">
        <v>1936.58</v>
      </c>
      <c r="GOQ24">
        <v>1749.6</v>
      </c>
      <c r="GOR24">
        <v>1396.33</v>
      </c>
      <c r="GOS24">
        <v>514.35</v>
      </c>
      <c r="GOT24">
        <v>1137.49</v>
      </c>
      <c r="GOU24">
        <v>893.33</v>
      </c>
      <c r="GOV24">
        <v>1115.3800000000001</v>
      </c>
      <c r="GOW24">
        <v>664.72</v>
      </c>
      <c r="GOX24">
        <v>2066.44</v>
      </c>
      <c r="GOY24">
        <v>517.09</v>
      </c>
      <c r="GOZ24">
        <v>1350.61</v>
      </c>
      <c r="GPA24">
        <v>878.25</v>
      </c>
      <c r="GPB24">
        <v>881.24</v>
      </c>
      <c r="GPC24">
        <v>1541.88</v>
      </c>
      <c r="GPD24">
        <v>1014.22</v>
      </c>
      <c r="GPE24">
        <v>1410.92</v>
      </c>
      <c r="GPF24">
        <v>2458.79</v>
      </c>
      <c r="GPG24">
        <v>1149.94</v>
      </c>
      <c r="GPH24">
        <v>667.7</v>
      </c>
      <c r="GPI24">
        <v>978.42</v>
      </c>
      <c r="GPJ24">
        <v>925.76</v>
      </c>
      <c r="GPK24">
        <v>2090.41</v>
      </c>
      <c r="GPL24">
        <v>1341.7</v>
      </c>
      <c r="GPM24">
        <v>1638.81</v>
      </c>
      <c r="GPN24">
        <v>745.64</v>
      </c>
      <c r="GPO24">
        <v>1087.6300000000001</v>
      </c>
      <c r="GPP24">
        <v>1686</v>
      </c>
      <c r="GPQ24">
        <v>2300.9</v>
      </c>
      <c r="GPR24">
        <v>1407.58</v>
      </c>
      <c r="GPS24">
        <v>1933.64</v>
      </c>
      <c r="GPT24">
        <v>2630.43</v>
      </c>
      <c r="GPU24">
        <v>1075.46</v>
      </c>
      <c r="GPV24">
        <v>1914.66</v>
      </c>
      <c r="GPW24">
        <v>1982.94</v>
      </c>
      <c r="GPX24">
        <v>645.70000000000005</v>
      </c>
      <c r="GPY24">
        <v>712.09</v>
      </c>
      <c r="GPZ24">
        <v>1154.83</v>
      </c>
      <c r="GQA24">
        <v>1055.28</v>
      </c>
      <c r="GQB24">
        <v>1909.97</v>
      </c>
      <c r="GQC24">
        <v>1702.79</v>
      </c>
      <c r="GQD24">
        <v>1096.8800000000001</v>
      </c>
      <c r="GQE24">
        <v>1244.77</v>
      </c>
      <c r="GQF24">
        <v>437.88</v>
      </c>
      <c r="GQG24">
        <v>2695.45</v>
      </c>
      <c r="GQH24">
        <v>2950.24</v>
      </c>
      <c r="GQI24">
        <v>609.4</v>
      </c>
      <c r="GQJ24">
        <v>1887.75</v>
      </c>
      <c r="GQK24">
        <v>2436.75</v>
      </c>
      <c r="GQL24">
        <v>2764.64</v>
      </c>
      <c r="GQM24">
        <v>889.46</v>
      </c>
      <c r="GQN24">
        <v>3210.6</v>
      </c>
      <c r="GQO24">
        <v>3910.78</v>
      </c>
      <c r="GQP24">
        <v>3896.43</v>
      </c>
      <c r="GQQ24">
        <v>2013.64</v>
      </c>
      <c r="GQR24">
        <v>1204.94</v>
      </c>
      <c r="GQS24">
        <v>2067.8200000000002</v>
      </c>
      <c r="GQT24">
        <v>1205.7</v>
      </c>
      <c r="GQU24">
        <v>3314.23</v>
      </c>
      <c r="GQV24">
        <v>1144.74</v>
      </c>
      <c r="GQW24">
        <v>2816.1</v>
      </c>
      <c r="GQX24">
        <v>1994.25</v>
      </c>
      <c r="GQY24">
        <v>961.01</v>
      </c>
      <c r="GQZ24">
        <v>1694.69</v>
      </c>
      <c r="GRA24">
        <v>1645.09</v>
      </c>
      <c r="GRB24">
        <v>4207.7</v>
      </c>
      <c r="GRC24">
        <v>2087.66</v>
      </c>
      <c r="GRD24">
        <v>2435.1</v>
      </c>
      <c r="GRE24">
        <v>4028.61</v>
      </c>
      <c r="GRF24">
        <v>2414.1799999999998</v>
      </c>
      <c r="GRG24">
        <v>1566.83</v>
      </c>
      <c r="GRH24">
        <v>1900.05</v>
      </c>
      <c r="GRI24">
        <v>1533.57</v>
      </c>
      <c r="GRJ24">
        <v>3129.74</v>
      </c>
      <c r="GRK24">
        <v>1804.6</v>
      </c>
      <c r="GRL24">
        <v>1455.43</v>
      </c>
      <c r="GRM24">
        <v>704.58</v>
      </c>
      <c r="GRN24">
        <v>2211.37</v>
      </c>
      <c r="GRO24">
        <v>3745.14</v>
      </c>
      <c r="GRP24">
        <v>1948.83</v>
      </c>
      <c r="GRQ24">
        <v>2210.79</v>
      </c>
      <c r="GRR24">
        <v>1858.14</v>
      </c>
      <c r="GRS24">
        <v>1104.6500000000001</v>
      </c>
      <c r="GRT24">
        <v>3427.62</v>
      </c>
      <c r="GRU24">
        <v>2090.4699999999998</v>
      </c>
      <c r="GRV24">
        <v>3240.49</v>
      </c>
      <c r="GRW24">
        <v>1289.24</v>
      </c>
      <c r="GRX24">
        <v>1700.52</v>
      </c>
      <c r="GRY24">
        <v>4071.31</v>
      </c>
      <c r="GRZ24">
        <v>4202.1499999999996</v>
      </c>
      <c r="GSA24">
        <v>4100.3100000000004</v>
      </c>
      <c r="GSB24">
        <v>2171.65</v>
      </c>
      <c r="GSC24">
        <v>2174.2600000000002</v>
      </c>
      <c r="GSD24">
        <v>4151.1099999999997</v>
      </c>
      <c r="GSE24">
        <v>2654.8</v>
      </c>
      <c r="GSF24">
        <v>3714.53</v>
      </c>
      <c r="GSG24">
        <v>1710.25</v>
      </c>
      <c r="GSH24">
        <v>3646.68</v>
      </c>
      <c r="GSI24">
        <v>2576.5300000000002</v>
      </c>
      <c r="GSJ24">
        <v>2727.27</v>
      </c>
      <c r="GSK24">
        <v>4071.84</v>
      </c>
      <c r="GSL24">
        <v>4429.57</v>
      </c>
      <c r="GSM24">
        <v>7628.44</v>
      </c>
      <c r="GSN24">
        <v>9036.86</v>
      </c>
      <c r="GSO24">
        <v>4244.55</v>
      </c>
      <c r="GSP24">
        <v>8523.1200000000008</v>
      </c>
      <c r="GSQ24">
        <v>14630.09</v>
      </c>
      <c r="GSR24">
        <f>STDEV(GSR2:GSR21)</f>
        <v>41372.768572544883</v>
      </c>
    </row>
    <row r="25" spans="1:5244" x14ac:dyDescent="0.2">
      <c r="A25" s="29" t="s">
        <v>5296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2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2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2</v>
      </c>
      <c r="KF25">
        <v>1</v>
      </c>
      <c r="KG25">
        <v>1</v>
      </c>
      <c r="KH25">
        <v>1</v>
      </c>
      <c r="KI25">
        <v>1</v>
      </c>
      <c r="KJ25">
        <v>2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2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2</v>
      </c>
      <c r="UM25">
        <v>1</v>
      </c>
      <c r="UN25">
        <v>1</v>
      </c>
      <c r="UO25">
        <v>1</v>
      </c>
      <c r="UP25">
        <v>1</v>
      </c>
      <c r="UQ25">
        <v>2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2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2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2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2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2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2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2</v>
      </c>
      <c r="ACM25">
        <v>1</v>
      </c>
      <c r="ACN25">
        <v>1</v>
      </c>
      <c r="ACO25">
        <v>1</v>
      </c>
      <c r="ACP25">
        <v>2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2</v>
      </c>
      <c r="AES25">
        <v>1</v>
      </c>
      <c r="AET25">
        <v>1</v>
      </c>
      <c r="AEU25">
        <v>1</v>
      </c>
      <c r="AEV25">
        <v>2</v>
      </c>
      <c r="AEW25">
        <v>1</v>
      </c>
      <c r="AEX25">
        <v>1</v>
      </c>
      <c r="AEY25">
        <v>1</v>
      </c>
      <c r="AEZ25">
        <v>1</v>
      </c>
      <c r="AFA25">
        <v>3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2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2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2</v>
      </c>
      <c r="AHN25">
        <v>1</v>
      </c>
      <c r="AHO25">
        <v>1</v>
      </c>
      <c r="AHP25">
        <v>1</v>
      </c>
      <c r="AHQ25">
        <v>1</v>
      </c>
      <c r="AHR25">
        <v>2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2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2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  <c r="ALO25">
        <v>1</v>
      </c>
      <c r="ALP25">
        <v>1</v>
      </c>
      <c r="ALQ25">
        <v>1</v>
      </c>
      <c r="ALR25">
        <v>1</v>
      </c>
      <c r="ALS25">
        <v>1</v>
      </c>
      <c r="ALT25">
        <v>1</v>
      </c>
      <c r="ALU25">
        <v>1</v>
      </c>
      <c r="ALV25">
        <v>1</v>
      </c>
      <c r="ALW25">
        <v>1</v>
      </c>
      <c r="ALX25">
        <v>1</v>
      </c>
      <c r="ALY25">
        <v>1</v>
      </c>
      <c r="ALZ25">
        <v>1</v>
      </c>
      <c r="AMA25">
        <v>1</v>
      </c>
      <c r="AMB25">
        <v>1</v>
      </c>
      <c r="AMC25">
        <v>1</v>
      </c>
      <c r="AMD25">
        <v>1</v>
      </c>
      <c r="AME25">
        <v>1</v>
      </c>
      <c r="AMF25">
        <v>1</v>
      </c>
      <c r="AMG25">
        <v>1</v>
      </c>
      <c r="AMH25">
        <v>1</v>
      </c>
      <c r="AMI25">
        <v>1</v>
      </c>
      <c r="AMJ25">
        <v>1</v>
      </c>
      <c r="AMK25">
        <v>1</v>
      </c>
      <c r="AML25">
        <v>1</v>
      </c>
      <c r="AMM25">
        <v>1</v>
      </c>
      <c r="AMN25">
        <v>1</v>
      </c>
      <c r="AMO25">
        <v>1</v>
      </c>
      <c r="AMP25">
        <v>1</v>
      </c>
      <c r="AMQ25">
        <v>2</v>
      </c>
      <c r="AMR25">
        <v>1</v>
      </c>
      <c r="AMS25">
        <v>1</v>
      </c>
      <c r="AMT25">
        <v>1</v>
      </c>
      <c r="AMU25">
        <v>1</v>
      </c>
      <c r="AMV25">
        <v>1</v>
      </c>
      <c r="AMW25">
        <v>1</v>
      </c>
      <c r="AMX25">
        <v>1</v>
      </c>
      <c r="AMY25">
        <v>1</v>
      </c>
      <c r="AMZ25">
        <v>1</v>
      </c>
      <c r="ANA25">
        <v>1</v>
      </c>
      <c r="ANB25">
        <v>1</v>
      </c>
      <c r="ANC25">
        <v>1</v>
      </c>
      <c r="AND25">
        <v>1</v>
      </c>
      <c r="ANE25">
        <v>1</v>
      </c>
      <c r="ANF25">
        <v>1</v>
      </c>
      <c r="ANG25">
        <v>1</v>
      </c>
      <c r="ANH25">
        <v>1</v>
      </c>
      <c r="ANI25">
        <v>1</v>
      </c>
      <c r="ANJ25">
        <v>1</v>
      </c>
      <c r="ANK25">
        <v>1</v>
      </c>
      <c r="ANL25">
        <v>1</v>
      </c>
      <c r="ANM25">
        <v>1</v>
      </c>
      <c r="ANN25">
        <v>1</v>
      </c>
      <c r="ANO25">
        <v>1</v>
      </c>
      <c r="ANP25">
        <v>1</v>
      </c>
      <c r="ANQ25">
        <v>1</v>
      </c>
      <c r="ANR25">
        <v>1</v>
      </c>
      <c r="ANS25">
        <v>1</v>
      </c>
      <c r="ANT25">
        <v>1</v>
      </c>
      <c r="ANU25">
        <v>2</v>
      </c>
      <c r="ANV25">
        <v>2</v>
      </c>
      <c r="ANW25">
        <v>1</v>
      </c>
      <c r="ANX25">
        <v>1</v>
      </c>
      <c r="ANY25">
        <v>1</v>
      </c>
      <c r="ANZ25">
        <v>2</v>
      </c>
      <c r="AOA25">
        <v>1</v>
      </c>
      <c r="AOB25">
        <v>1</v>
      </c>
      <c r="AOC25">
        <v>1</v>
      </c>
      <c r="AOD25">
        <v>1</v>
      </c>
      <c r="AOE25">
        <v>1</v>
      </c>
      <c r="AOF25">
        <v>1</v>
      </c>
      <c r="AOG25">
        <v>1</v>
      </c>
      <c r="AOH25">
        <v>1</v>
      </c>
      <c r="AOI25">
        <v>1</v>
      </c>
      <c r="AOJ25">
        <v>1</v>
      </c>
      <c r="AOK25">
        <v>1</v>
      </c>
      <c r="AOL25">
        <v>1</v>
      </c>
      <c r="AOM25">
        <v>1</v>
      </c>
      <c r="AON25">
        <v>1</v>
      </c>
      <c r="AOO25">
        <v>1</v>
      </c>
      <c r="AOP25">
        <v>2</v>
      </c>
      <c r="AOQ25">
        <v>1</v>
      </c>
      <c r="AOR25">
        <v>1</v>
      </c>
      <c r="AOS25">
        <v>1</v>
      </c>
      <c r="AOT25">
        <v>1</v>
      </c>
      <c r="AOU25">
        <v>1</v>
      </c>
      <c r="AOV25">
        <v>1</v>
      </c>
      <c r="AOW25">
        <v>1</v>
      </c>
      <c r="AOX25">
        <v>1</v>
      </c>
      <c r="AOY25">
        <v>1</v>
      </c>
      <c r="AOZ25">
        <v>1</v>
      </c>
      <c r="APA25">
        <v>1</v>
      </c>
      <c r="APB25">
        <v>1</v>
      </c>
      <c r="APC25">
        <v>1</v>
      </c>
      <c r="APD25">
        <v>2</v>
      </c>
      <c r="APE25">
        <v>2</v>
      </c>
      <c r="APF25">
        <v>1</v>
      </c>
      <c r="APG25">
        <v>1</v>
      </c>
      <c r="APH25">
        <v>1</v>
      </c>
      <c r="API25">
        <v>1</v>
      </c>
      <c r="APJ25">
        <v>1</v>
      </c>
      <c r="APK25">
        <v>1</v>
      </c>
      <c r="APL25">
        <v>1</v>
      </c>
      <c r="APM25">
        <v>1</v>
      </c>
      <c r="APN25">
        <v>1</v>
      </c>
      <c r="APO25">
        <v>1</v>
      </c>
      <c r="APP25">
        <v>1</v>
      </c>
      <c r="APQ25">
        <v>1</v>
      </c>
      <c r="APR25">
        <v>1</v>
      </c>
      <c r="APS25">
        <v>1</v>
      </c>
      <c r="APT25">
        <v>1</v>
      </c>
      <c r="APU25">
        <v>1</v>
      </c>
      <c r="APV25">
        <v>1</v>
      </c>
      <c r="APW25">
        <v>2</v>
      </c>
      <c r="APX25">
        <v>3</v>
      </c>
      <c r="APY25">
        <v>1</v>
      </c>
      <c r="APZ25">
        <v>1</v>
      </c>
      <c r="AQA25">
        <v>1</v>
      </c>
      <c r="AQB25">
        <v>2</v>
      </c>
      <c r="AQC25">
        <v>1</v>
      </c>
      <c r="AQD25">
        <v>1</v>
      </c>
      <c r="AQE25">
        <v>1</v>
      </c>
      <c r="AQF25">
        <v>1</v>
      </c>
      <c r="AQG25">
        <v>1</v>
      </c>
      <c r="AQH25">
        <v>1</v>
      </c>
      <c r="AQI25">
        <v>1</v>
      </c>
      <c r="AQJ25">
        <v>1</v>
      </c>
      <c r="AQK25">
        <v>1</v>
      </c>
      <c r="AQL25">
        <v>1</v>
      </c>
      <c r="AQM25">
        <v>1</v>
      </c>
      <c r="AQN25">
        <v>1</v>
      </c>
      <c r="AQO25">
        <v>1</v>
      </c>
      <c r="AQP25">
        <v>1</v>
      </c>
      <c r="AQQ25">
        <v>1</v>
      </c>
      <c r="AQR25">
        <v>1</v>
      </c>
      <c r="AQS25">
        <v>1</v>
      </c>
      <c r="AQT25">
        <v>1</v>
      </c>
      <c r="AQU25">
        <v>1</v>
      </c>
      <c r="AQV25">
        <v>1</v>
      </c>
      <c r="AQW25">
        <v>1</v>
      </c>
      <c r="AQX25">
        <v>1</v>
      </c>
      <c r="AQY25">
        <v>1</v>
      </c>
      <c r="AQZ25">
        <v>1</v>
      </c>
      <c r="ARA25">
        <v>1</v>
      </c>
      <c r="ARB25">
        <v>1</v>
      </c>
      <c r="ARC25">
        <v>1</v>
      </c>
      <c r="ARD25">
        <v>1</v>
      </c>
      <c r="ARE25">
        <v>1</v>
      </c>
      <c r="ARF25">
        <v>1</v>
      </c>
      <c r="ARG25">
        <v>1</v>
      </c>
      <c r="ARH25">
        <v>1</v>
      </c>
      <c r="ARI25">
        <v>1</v>
      </c>
      <c r="ARJ25">
        <v>1</v>
      </c>
      <c r="ARK25">
        <v>1</v>
      </c>
      <c r="ARL25">
        <v>1</v>
      </c>
      <c r="ARM25">
        <v>1</v>
      </c>
      <c r="ARN25">
        <v>1</v>
      </c>
      <c r="ARO25">
        <v>1</v>
      </c>
      <c r="ARP25">
        <v>1</v>
      </c>
      <c r="ARQ25">
        <v>1</v>
      </c>
      <c r="ARR25">
        <v>1</v>
      </c>
      <c r="ARS25">
        <v>1</v>
      </c>
      <c r="ART25">
        <v>1</v>
      </c>
      <c r="ARU25">
        <v>2</v>
      </c>
      <c r="ARV25">
        <v>1</v>
      </c>
      <c r="ARW25">
        <v>1</v>
      </c>
      <c r="ARX25">
        <v>1</v>
      </c>
      <c r="ARY25">
        <v>1</v>
      </c>
      <c r="ARZ25">
        <v>1</v>
      </c>
      <c r="ASA25">
        <v>1</v>
      </c>
      <c r="ASB25">
        <v>1</v>
      </c>
      <c r="ASC25">
        <v>1</v>
      </c>
      <c r="ASD25">
        <v>1</v>
      </c>
      <c r="ASE25">
        <v>1</v>
      </c>
      <c r="ASF25">
        <v>1</v>
      </c>
      <c r="ASG25">
        <v>1</v>
      </c>
      <c r="ASH25">
        <v>1</v>
      </c>
      <c r="ASI25">
        <v>1</v>
      </c>
      <c r="ASJ25">
        <v>1</v>
      </c>
      <c r="ASK25">
        <v>1</v>
      </c>
      <c r="ASL25">
        <v>1</v>
      </c>
      <c r="ASM25">
        <v>1</v>
      </c>
      <c r="ASN25">
        <v>2</v>
      </c>
      <c r="ASO25">
        <v>1</v>
      </c>
      <c r="ASP25">
        <v>1</v>
      </c>
      <c r="ASQ25">
        <v>1</v>
      </c>
      <c r="ASR25">
        <v>1</v>
      </c>
      <c r="ASS25">
        <v>1</v>
      </c>
      <c r="AST25">
        <v>1</v>
      </c>
      <c r="ASU25">
        <v>1</v>
      </c>
      <c r="ASV25">
        <v>1</v>
      </c>
      <c r="ASW25">
        <v>1</v>
      </c>
      <c r="ASX25">
        <v>1</v>
      </c>
      <c r="ASY25">
        <v>1</v>
      </c>
      <c r="ASZ25">
        <v>1</v>
      </c>
      <c r="ATA25">
        <v>1</v>
      </c>
      <c r="ATB25">
        <v>1</v>
      </c>
      <c r="ATC25">
        <v>1</v>
      </c>
      <c r="ATD25">
        <v>1</v>
      </c>
      <c r="ATE25">
        <v>1</v>
      </c>
      <c r="ATF25">
        <v>3</v>
      </c>
      <c r="ATG25">
        <v>1</v>
      </c>
      <c r="ATH25">
        <v>1</v>
      </c>
      <c r="ATI25">
        <v>1</v>
      </c>
      <c r="ATJ25">
        <v>2</v>
      </c>
      <c r="ATK25">
        <v>1</v>
      </c>
      <c r="ATL25">
        <v>2</v>
      </c>
      <c r="ATM25">
        <v>1</v>
      </c>
      <c r="ATN25">
        <v>1</v>
      </c>
      <c r="ATO25">
        <v>1</v>
      </c>
      <c r="ATP25">
        <v>1</v>
      </c>
      <c r="ATQ25">
        <v>1</v>
      </c>
      <c r="ATR25">
        <v>1</v>
      </c>
      <c r="ATS25">
        <v>1</v>
      </c>
      <c r="ATT25">
        <v>2</v>
      </c>
      <c r="ATU25">
        <v>1</v>
      </c>
      <c r="ATV25">
        <v>1</v>
      </c>
      <c r="ATW25">
        <v>1</v>
      </c>
      <c r="ATX25">
        <v>1</v>
      </c>
      <c r="ATY25">
        <v>1</v>
      </c>
      <c r="ATZ25">
        <v>1</v>
      </c>
      <c r="AUA25">
        <v>1</v>
      </c>
      <c r="AUB25">
        <v>1</v>
      </c>
      <c r="AUC25">
        <v>1</v>
      </c>
      <c r="AUD25">
        <v>1</v>
      </c>
      <c r="AUE25">
        <v>1</v>
      </c>
      <c r="AUF25">
        <v>1</v>
      </c>
      <c r="AUG25">
        <v>1</v>
      </c>
      <c r="AUH25">
        <v>1</v>
      </c>
      <c r="AUI25">
        <v>1</v>
      </c>
      <c r="AUJ25">
        <v>1</v>
      </c>
      <c r="AUK25">
        <v>1</v>
      </c>
      <c r="AUL25">
        <v>1</v>
      </c>
      <c r="AUM25">
        <v>1</v>
      </c>
      <c r="AUN25">
        <v>1</v>
      </c>
      <c r="AUO25">
        <v>1</v>
      </c>
      <c r="AUP25">
        <v>1</v>
      </c>
      <c r="AUQ25">
        <v>1</v>
      </c>
      <c r="AUR25">
        <v>1</v>
      </c>
      <c r="AUS25">
        <v>1</v>
      </c>
      <c r="AUT25">
        <v>1</v>
      </c>
      <c r="AUU25">
        <v>1</v>
      </c>
      <c r="AUV25">
        <v>1</v>
      </c>
      <c r="AUW25">
        <v>1</v>
      </c>
      <c r="AUX25">
        <v>1</v>
      </c>
      <c r="AUY25">
        <v>1</v>
      </c>
      <c r="AUZ25">
        <v>1</v>
      </c>
      <c r="AVA25">
        <v>1</v>
      </c>
      <c r="AVB25">
        <v>1</v>
      </c>
      <c r="AVC25">
        <v>1</v>
      </c>
      <c r="AVD25">
        <v>1</v>
      </c>
      <c r="AVE25">
        <v>1</v>
      </c>
      <c r="AVF25">
        <v>1</v>
      </c>
      <c r="AVG25">
        <v>1</v>
      </c>
      <c r="AVH25">
        <v>1</v>
      </c>
      <c r="AVI25">
        <v>1</v>
      </c>
      <c r="AVJ25">
        <v>1</v>
      </c>
      <c r="AVK25">
        <v>2</v>
      </c>
      <c r="AVL25">
        <v>1</v>
      </c>
      <c r="AVM25">
        <v>2</v>
      </c>
      <c r="AVN25">
        <v>1</v>
      </c>
      <c r="AVO25">
        <v>1</v>
      </c>
      <c r="AVP25">
        <v>1</v>
      </c>
      <c r="AVQ25">
        <v>1</v>
      </c>
      <c r="AVR25">
        <v>1</v>
      </c>
      <c r="AVS25">
        <v>1</v>
      </c>
      <c r="AVT25">
        <v>1</v>
      </c>
      <c r="AVU25">
        <v>1</v>
      </c>
      <c r="AVV25">
        <v>2</v>
      </c>
      <c r="AVW25">
        <v>1</v>
      </c>
      <c r="AVX25">
        <v>1</v>
      </c>
      <c r="AVY25">
        <v>1</v>
      </c>
      <c r="AVZ25">
        <v>1</v>
      </c>
      <c r="AWA25">
        <v>1</v>
      </c>
      <c r="AWB25">
        <v>1</v>
      </c>
      <c r="AWC25">
        <v>1</v>
      </c>
      <c r="AWD25">
        <v>1</v>
      </c>
      <c r="AWE25">
        <v>1</v>
      </c>
      <c r="AWF25">
        <v>1</v>
      </c>
      <c r="AWG25">
        <v>1</v>
      </c>
      <c r="AWH25">
        <v>1</v>
      </c>
      <c r="AWI25">
        <v>1</v>
      </c>
      <c r="AWJ25">
        <v>1</v>
      </c>
      <c r="AWK25">
        <v>2</v>
      </c>
      <c r="AWL25">
        <v>1</v>
      </c>
      <c r="AWM25">
        <v>1</v>
      </c>
      <c r="AWN25">
        <v>1</v>
      </c>
      <c r="AWO25">
        <v>1</v>
      </c>
      <c r="AWP25">
        <v>1</v>
      </c>
      <c r="AWQ25">
        <v>1</v>
      </c>
      <c r="AWR25">
        <v>1</v>
      </c>
      <c r="AWS25">
        <v>1</v>
      </c>
      <c r="AWT25">
        <v>1</v>
      </c>
      <c r="AWU25">
        <v>1</v>
      </c>
      <c r="AWV25">
        <v>1</v>
      </c>
      <c r="AWW25">
        <v>1</v>
      </c>
      <c r="AWX25">
        <v>1</v>
      </c>
      <c r="AWY25">
        <v>1</v>
      </c>
      <c r="AWZ25">
        <v>1</v>
      </c>
      <c r="AXA25">
        <v>1</v>
      </c>
      <c r="AXB25">
        <v>1</v>
      </c>
      <c r="AXC25">
        <v>1</v>
      </c>
      <c r="AXD25">
        <v>1</v>
      </c>
      <c r="AXE25">
        <v>1</v>
      </c>
      <c r="AXF25">
        <v>1</v>
      </c>
      <c r="AXG25">
        <v>1</v>
      </c>
      <c r="AXH25">
        <v>1</v>
      </c>
      <c r="AXI25">
        <v>1</v>
      </c>
      <c r="AXJ25">
        <v>1</v>
      </c>
      <c r="AXK25">
        <v>1</v>
      </c>
      <c r="AXL25">
        <v>1</v>
      </c>
      <c r="AXM25">
        <v>1</v>
      </c>
      <c r="AXN25">
        <v>1</v>
      </c>
      <c r="AXO25">
        <v>1</v>
      </c>
      <c r="AXP25">
        <v>3</v>
      </c>
      <c r="AXQ25">
        <v>1</v>
      </c>
      <c r="AXR25">
        <v>3</v>
      </c>
      <c r="AXS25">
        <v>1</v>
      </c>
      <c r="AXT25">
        <v>1</v>
      </c>
      <c r="AXU25">
        <v>2</v>
      </c>
      <c r="AXV25">
        <v>1</v>
      </c>
      <c r="AXW25">
        <v>2</v>
      </c>
      <c r="AXX25">
        <v>1</v>
      </c>
      <c r="AXY25">
        <v>1</v>
      </c>
      <c r="AXZ25">
        <v>1</v>
      </c>
      <c r="AYA25">
        <v>1</v>
      </c>
      <c r="AYB25">
        <v>1</v>
      </c>
      <c r="AYC25">
        <v>2</v>
      </c>
      <c r="AYD25">
        <v>1</v>
      </c>
      <c r="AYE25">
        <v>1</v>
      </c>
      <c r="AYF25">
        <v>1</v>
      </c>
      <c r="AYG25">
        <v>1</v>
      </c>
      <c r="AYH25">
        <v>1</v>
      </c>
      <c r="AYI25">
        <v>1</v>
      </c>
      <c r="AYJ25">
        <v>1</v>
      </c>
      <c r="AYK25">
        <v>1</v>
      </c>
      <c r="AYL25">
        <v>1</v>
      </c>
      <c r="AYM25">
        <v>1</v>
      </c>
      <c r="AYN25">
        <v>1</v>
      </c>
      <c r="AYO25">
        <v>1</v>
      </c>
      <c r="AYP25">
        <v>1</v>
      </c>
      <c r="AYQ25">
        <v>1</v>
      </c>
      <c r="AYR25">
        <v>1</v>
      </c>
      <c r="AYS25">
        <v>1</v>
      </c>
      <c r="AYT25">
        <v>1</v>
      </c>
      <c r="AYU25">
        <v>1</v>
      </c>
      <c r="AYV25">
        <v>2</v>
      </c>
      <c r="AYW25">
        <v>1</v>
      </c>
      <c r="AYX25">
        <v>1</v>
      </c>
      <c r="AYY25">
        <v>2</v>
      </c>
      <c r="AYZ25">
        <v>1</v>
      </c>
      <c r="AZA25">
        <v>1</v>
      </c>
      <c r="AZB25">
        <v>1</v>
      </c>
      <c r="AZC25">
        <v>1</v>
      </c>
      <c r="AZD25">
        <v>2</v>
      </c>
      <c r="AZE25">
        <v>1</v>
      </c>
      <c r="AZF25">
        <v>1</v>
      </c>
      <c r="AZG25">
        <v>1</v>
      </c>
      <c r="AZH25">
        <v>1</v>
      </c>
      <c r="AZI25">
        <v>1</v>
      </c>
      <c r="AZJ25">
        <v>1</v>
      </c>
      <c r="AZK25">
        <v>1</v>
      </c>
      <c r="AZL25">
        <v>1</v>
      </c>
      <c r="AZM25">
        <v>1</v>
      </c>
      <c r="AZN25">
        <v>1</v>
      </c>
      <c r="AZO25">
        <v>1</v>
      </c>
      <c r="AZP25">
        <v>1</v>
      </c>
      <c r="AZQ25">
        <v>1</v>
      </c>
      <c r="AZR25">
        <v>1</v>
      </c>
      <c r="AZS25">
        <v>1</v>
      </c>
      <c r="AZT25">
        <v>1</v>
      </c>
      <c r="AZU25">
        <v>1</v>
      </c>
      <c r="AZV25">
        <v>1</v>
      </c>
      <c r="AZW25">
        <v>1</v>
      </c>
      <c r="AZX25">
        <v>1</v>
      </c>
      <c r="AZY25">
        <v>1</v>
      </c>
      <c r="AZZ25">
        <v>1</v>
      </c>
      <c r="BAA25">
        <v>1</v>
      </c>
      <c r="BAB25">
        <v>1</v>
      </c>
      <c r="BAC25">
        <v>1</v>
      </c>
      <c r="BAD25">
        <v>2</v>
      </c>
      <c r="BAE25">
        <v>2</v>
      </c>
      <c r="BAF25">
        <v>1</v>
      </c>
      <c r="BAG25">
        <v>2</v>
      </c>
      <c r="BAH25">
        <v>1</v>
      </c>
      <c r="BAI25">
        <v>1</v>
      </c>
      <c r="BAJ25">
        <v>1</v>
      </c>
      <c r="BAK25">
        <v>1</v>
      </c>
      <c r="BAL25">
        <v>2</v>
      </c>
      <c r="BAM25">
        <v>1</v>
      </c>
      <c r="BAN25">
        <v>1</v>
      </c>
      <c r="BAO25">
        <v>1</v>
      </c>
      <c r="BAP25">
        <v>3</v>
      </c>
      <c r="BAQ25">
        <v>1</v>
      </c>
      <c r="BAR25">
        <v>1</v>
      </c>
      <c r="BAS25">
        <v>1</v>
      </c>
      <c r="BAT25">
        <v>1</v>
      </c>
      <c r="BAU25">
        <v>1</v>
      </c>
      <c r="BAV25">
        <v>2</v>
      </c>
      <c r="BAW25">
        <v>1</v>
      </c>
      <c r="BAX25">
        <v>1</v>
      </c>
      <c r="BAY25">
        <v>1</v>
      </c>
      <c r="BAZ25">
        <v>1</v>
      </c>
      <c r="BBA25">
        <v>1</v>
      </c>
      <c r="BBB25">
        <v>1</v>
      </c>
      <c r="BBC25">
        <v>1</v>
      </c>
      <c r="BBD25">
        <v>1</v>
      </c>
      <c r="BBE25">
        <v>1</v>
      </c>
      <c r="BBF25">
        <v>1</v>
      </c>
      <c r="BBG25">
        <v>1</v>
      </c>
      <c r="BBH25">
        <v>1</v>
      </c>
      <c r="BBI25">
        <v>1</v>
      </c>
      <c r="BBJ25">
        <v>1</v>
      </c>
      <c r="BBK25">
        <v>1</v>
      </c>
      <c r="BBL25">
        <v>1</v>
      </c>
      <c r="BBM25">
        <v>1</v>
      </c>
      <c r="BBN25">
        <v>1</v>
      </c>
      <c r="BBO25">
        <v>1</v>
      </c>
      <c r="BBP25">
        <v>2</v>
      </c>
      <c r="BBQ25">
        <v>1</v>
      </c>
      <c r="BBR25">
        <v>1</v>
      </c>
      <c r="BBS25">
        <v>2</v>
      </c>
      <c r="BBT25">
        <v>1</v>
      </c>
      <c r="BBU25">
        <v>1</v>
      </c>
      <c r="BBV25">
        <v>2</v>
      </c>
      <c r="BBW25">
        <v>1</v>
      </c>
      <c r="BBX25">
        <v>1</v>
      </c>
      <c r="BBY25">
        <v>2</v>
      </c>
      <c r="BBZ25">
        <v>1</v>
      </c>
      <c r="BCA25">
        <v>1</v>
      </c>
      <c r="BCB25">
        <v>1</v>
      </c>
      <c r="BCC25">
        <v>1</v>
      </c>
      <c r="BCD25">
        <v>1</v>
      </c>
      <c r="BCE25">
        <v>1</v>
      </c>
      <c r="BCF25">
        <v>2</v>
      </c>
      <c r="BCG25">
        <v>1</v>
      </c>
      <c r="BCH25">
        <v>1</v>
      </c>
      <c r="BCI25">
        <v>1</v>
      </c>
      <c r="BCJ25">
        <v>1</v>
      </c>
      <c r="BCK25">
        <v>1</v>
      </c>
      <c r="BCL25">
        <v>1</v>
      </c>
      <c r="BCM25">
        <v>1</v>
      </c>
      <c r="BCN25">
        <v>1</v>
      </c>
      <c r="BCO25">
        <v>1</v>
      </c>
      <c r="BCP25">
        <v>1</v>
      </c>
      <c r="BCQ25">
        <v>1</v>
      </c>
      <c r="BCR25">
        <v>1</v>
      </c>
      <c r="BCS25">
        <v>1</v>
      </c>
      <c r="BCT25">
        <v>1</v>
      </c>
      <c r="BCU25">
        <v>1</v>
      </c>
      <c r="BCV25">
        <v>1</v>
      </c>
      <c r="BCW25">
        <v>1</v>
      </c>
      <c r="BCX25">
        <v>1</v>
      </c>
      <c r="BCY25">
        <v>1</v>
      </c>
      <c r="BCZ25">
        <v>1</v>
      </c>
      <c r="BDA25">
        <v>1</v>
      </c>
      <c r="BDB25">
        <v>1</v>
      </c>
      <c r="BDC25">
        <v>1</v>
      </c>
      <c r="BDD25">
        <v>1</v>
      </c>
      <c r="BDE25">
        <v>1</v>
      </c>
      <c r="BDF25">
        <v>1</v>
      </c>
      <c r="BDG25">
        <v>1</v>
      </c>
      <c r="BDH25">
        <v>1</v>
      </c>
      <c r="BDI25">
        <v>1</v>
      </c>
      <c r="BDJ25">
        <v>1</v>
      </c>
      <c r="BDK25">
        <v>1</v>
      </c>
      <c r="BDL25">
        <v>1</v>
      </c>
      <c r="BDM25">
        <v>1</v>
      </c>
      <c r="BDN25">
        <v>1</v>
      </c>
      <c r="BDO25">
        <v>1</v>
      </c>
      <c r="BDP25">
        <v>1</v>
      </c>
      <c r="BDQ25">
        <v>1</v>
      </c>
      <c r="BDR25">
        <v>1</v>
      </c>
      <c r="BDS25">
        <v>1</v>
      </c>
      <c r="BDT25">
        <v>1</v>
      </c>
      <c r="BDU25">
        <v>1</v>
      </c>
      <c r="BDV25">
        <v>1</v>
      </c>
      <c r="BDW25">
        <v>1</v>
      </c>
      <c r="BDX25">
        <v>2</v>
      </c>
      <c r="BDY25">
        <v>1</v>
      </c>
      <c r="BDZ25">
        <v>1</v>
      </c>
      <c r="BEA25">
        <v>1</v>
      </c>
      <c r="BEB25">
        <v>1</v>
      </c>
      <c r="BEC25">
        <v>1</v>
      </c>
      <c r="BED25">
        <v>1</v>
      </c>
      <c r="BEE25">
        <v>1</v>
      </c>
      <c r="BEF25">
        <v>1</v>
      </c>
      <c r="BEG25">
        <v>1</v>
      </c>
      <c r="BEH25">
        <v>1</v>
      </c>
      <c r="BEI25">
        <v>1</v>
      </c>
      <c r="BEJ25">
        <v>1</v>
      </c>
      <c r="BEK25">
        <v>1</v>
      </c>
      <c r="BEL25">
        <v>1</v>
      </c>
      <c r="BEM25">
        <v>1</v>
      </c>
      <c r="BEN25">
        <v>1</v>
      </c>
      <c r="BEO25">
        <v>1</v>
      </c>
      <c r="BEP25">
        <v>1</v>
      </c>
      <c r="BEQ25">
        <v>1</v>
      </c>
      <c r="BER25">
        <v>1</v>
      </c>
      <c r="BES25">
        <v>1</v>
      </c>
      <c r="BET25">
        <v>1</v>
      </c>
      <c r="BEU25">
        <v>1</v>
      </c>
      <c r="BEV25">
        <v>2</v>
      </c>
      <c r="BEW25">
        <v>1</v>
      </c>
      <c r="BEX25">
        <v>1</v>
      </c>
      <c r="BEY25">
        <v>2</v>
      </c>
      <c r="BEZ25">
        <v>1</v>
      </c>
      <c r="BFA25">
        <v>3</v>
      </c>
      <c r="BFB25">
        <v>1</v>
      </c>
      <c r="BFC25">
        <v>1</v>
      </c>
      <c r="BFD25">
        <v>1</v>
      </c>
      <c r="BFE25">
        <v>2</v>
      </c>
      <c r="BFF25">
        <v>1</v>
      </c>
      <c r="BFG25">
        <v>1</v>
      </c>
      <c r="BFH25">
        <v>1</v>
      </c>
      <c r="BFI25">
        <v>1</v>
      </c>
      <c r="BFJ25">
        <v>1</v>
      </c>
      <c r="BFK25">
        <v>1</v>
      </c>
      <c r="BFL25">
        <v>1</v>
      </c>
      <c r="BFM25">
        <v>1</v>
      </c>
      <c r="BFN25">
        <v>1</v>
      </c>
      <c r="BFO25">
        <v>2</v>
      </c>
      <c r="BFP25">
        <v>1</v>
      </c>
      <c r="BFQ25">
        <v>1</v>
      </c>
      <c r="BFR25">
        <v>1</v>
      </c>
      <c r="BFS25">
        <v>1</v>
      </c>
      <c r="BFT25">
        <v>1</v>
      </c>
      <c r="BFU25">
        <v>1</v>
      </c>
      <c r="BFV25">
        <v>1</v>
      </c>
      <c r="BFW25">
        <v>1</v>
      </c>
      <c r="BFX25">
        <v>4</v>
      </c>
      <c r="BFY25">
        <v>1</v>
      </c>
      <c r="BFZ25">
        <v>1</v>
      </c>
      <c r="BGA25">
        <v>1</v>
      </c>
      <c r="BGB25">
        <v>1</v>
      </c>
      <c r="BGC25">
        <v>1</v>
      </c>
      <c r="BGD25">
        <v>1</v>
      </c>
      <c r="BGE25">
        <v>1</v>
      </c>
      <c r="BGF25">
        <v>1</v>
      </c>
      <c r="BGG25">
        <v>2</v>
      </c>
      <c r="BGH25">
        <v>1</v>
      </c>
      <c r="BGI25">
        <v>2</v>
      </c>
      <c r="BGJ25">
        <v>1</v>
      </c>
      <c r="BGK25">
        <v>1</v>
      </c>
      <c r="BGL25">
        <v>1</v>
      </c>
      <c r="BGM25">
        <v>1</v>
      </c>
      <c r="BGN25">
        <v>1</v>
      </c>
      <c r="BGO25">
        <v>1</v>
      </c>
      <c r="BGP25">
        <v>1</v>
      </c>
      <c r="BGQ25">
        <v>1</v>
      </c>
      <c r="BGR25">
        <v>3</v>
      </c>
      <c r="BGS25">
        <v>1</v>
      </c>
      <c r="BGT25">
        <v>1</v>
      </c>
      <c r="BGU25">
        <v>2</v>
      </c>
      <c r="BGV25">
        <v>1</v>
      </c>
      <c r="BGW25">
        <v>2</v>
      </c>
      <c r="BGX25">
        <v>1</v>
      </c>
      <c r="BGY25">
        <v>1</v>
      </c>
      <c r="BGZ25">
        <v>1</v>
      </c>
      <c r="BHA25">
        <v>1</v>
      </c>
      <c r="BHB25">
        <v>1</v>
      </c>
      <c r="BHC25">
        <v>1</v>
      </c>
      <c r="BHD25">
        <v>1</v>
      </c>
      <c r="BHE25">
        <v>1</v>
      </c>
      <c r="BHF25">
        <v>1</v>
      </c>
      <c r="BHG25">
        <v>1</v>
      </c>
      <c r="BHH25">
        <v>1</v>
      </c>
      <c r="BHI25">
        <v>1</v>
      </c>
      <c r="BHJ25">
        <v>1</v>
      </c>
      <c r="BHK25">
        <v>1</v>
      </c>
      <c r="BHL25">
        <v>1</v>
      </c>
      <c r="BHM25">
        <v>1</v>
      </c>
      <c r="BHN25">
        <v>1</v>
      </c>
      <c r="BHO25">
        <v>2</v>
      </c>
      <c r="BHP25">
        <v>1</v>
      </c>
      <c r="BHQ25">
        <v>1</v>
      </c>
      <c r="BHR25">
        <v>1</v>
      </c>
      <c r="BHS25">
        <v>2</v>
      </c>
      <c r="BHT25">
        <v>1</v>
      </c>
      <c r="BHU25">
        <v>1</v>
      </c>
      <c r="BHV25">
        <v>1</v>
      </c>
      <c r="BHW25">
        <v>1</v>
      </c>
      <c r="BHX25">
        <v>1</v>
      </c>
      <c r="BHY25">
        <v>1</v>
      </c>
      <c r="BHZ25">
        <v>1</v>
      </c>
      <c r="BIA25">
        <v>2</v>
      </c>
      <c r="BIB25">
        <v>1</v>
      </c>
      <c r="BIC25">
        <v>1</v>
      </c>
      <c r="BID25">
        <v>1</v>
      </c>
      <c r="BIE25">
        <v>1</v>
      </c>
      <c r="BIF25">
        <v>1</v>
      </c>
      <c r="BIG25">
        <v>1</v>
      </c>
      <c r="BIH25">
        <v>2</v>
      </c>
      <c r="BII25">
        <v>1</v>
      </c>
      <c r="BIJ25">
        <v>1</v>
      </c>
      <c r="BIK25">
        <v>1</v>
      </c>
      <c r="BIL25">
        <v>1</v>
      </c>
      <c r="BIM25">
        <v>1</v>
      </c>
      <c r="BIN25">
        <v>1</v>
      </c>
      <c r="BIO25">
        <v>1</v>
      </c>
      <c r="BIP25">
        <v>1</v>
      </c>
      <c r="BIQ25">
        <v>1</v>
      </c>
      <c r="BIR25">
        <v>1</v>
      </c>
      <c r="BIS25">
        <v>1</v>
      </c>
      <c r="BIT25">
        <v>2</v>
      </c>
      <c r="BIU25">
        <v>2</v>
      </c>
      <c r="BIV25">
        <v>2</v>
      </c>
      <c r="BIW25">
        <v>1</v>
      </c>
      <c r="BIX25">
        <v>1</v>
      </c>
      <c r="BIY25">
        <v>1</v>
      </c>
      <c r="BIZ25">
        <v>1</v>
      </c>
      <c r="BJA25">
        <v>1</v>
      </c>
      <c r="BJB25">
        <v>1</v>
      </c>
      <c r="BJC25">
        <v>2</v>
      </c>
      <c r="BJD25">
        <v>1</v>
      </c>
      <c r="BJE25">
        <v>1</v>
      </c>
      <c r="BJF25">
        <v>1</v>
      </c>
      <c r="BJG25">
        <v>1</v>
      </c>
      <c r="BJH25">
        <v>1</v>
      </c>
      <c r="BJI25">
        <v>1</v>
      </c>
      <c r="BJJ25">
        <v>1</v>
      </c>
      <c r="BJK25">
        <v>1</v>
      </c>
      <c r="BJL25">
        <v>1</v>
      </c>
      <c r="BJM25">
        <v>1</v>
      </c>
      <c r="BJN25">
        <v>1</v>
      </c>
      <c r="BJO25">
        <v>1</v>
      </c>
      <c r="BJP25">
        <v>1</v>
      </c>
      <c r="BJQ25">
        <v>1</v>
      </c>
      <c r="BJR25">
        <v>2</v>
      </c>
      <c r="BJS25">
        <v>1</v>
      </c>
      <c r="BJT25">
        <v>1</v>
      </c>
      <c r="BJU25">
        <v>1</v>
      </c>
      <c r="BJV25">
        <v>1</v>
      </c>
      <c r="BJW25">
        <v>1</v>
      </c>
      <c r="BJX25">
        <v>1</v>
      </c>
      <c r="BJY25">
        <v>1</v>
      </c>
      <c r="BJZ25">
        <v>3</v>
      </c>
      <c r="BKA25">
        <v>1</v>
      </c>
      <c r="BKB25">
        <v>1</v>
      </c>
      <c r="BKC25">
        <v>1</v>
      </c>
      <c r="BKD25">
        <v>1</v>
      </c>
      <c r="BKE25">
        <v>1</v>
      </c>
      <c r="BKF25">
        <v>1</v>
      </c>
      <c r="BKG25">
        <v>2</v>
      </c>
      <c r="BKH25">
        <v>1</v>
      </c>
      <c r="BKI25">
        <v>1</v>
      </c>
      <c r="BKJ25">
        <v>1</v>
      </c>
      <c r="BKK25">
        <v>1</v>
      </c>
      <c r="BKL25">
        <v>1</v>
      </c>
      <c r="BKM25">
        <v>1</v>
      </c>
      <c r="BKN25">
        <v>1</v>
      </c>
      <c r="BKO25">
        <v>1</v>
      </c>
      <c r="BKP25">
        <v>1</v>
      </c>
      <c r="BKQ25">
        <v>1</v>
      </c>
      <c r="BKR25">
        <v>1</v>
      </c>
      <c r="BKS25">
        <v>1</v>
      </c>
      <c r="BKT25">
        <v>1</v>
      </c>
      <c r="BKU25">
        <v>1</v>
      </c>
      <c r="BKV25">
        <v>1</v>
      </c>
      <c r="BKW25">
        <v>1</v>
      </c>
      <c r="BKX25">
        <v>1</v>
      </c>
      <c r="BKY25">
        <v>1</v>
      </c>
      <c r="BKZ25">
        <v>1</v>
      </c>
      <c r="BLA25">
        <v>1</v>
      </c>
      <c r="BLB25">
        <v>1</v>
      </c>
      <c r="BLC25">
        <v>1</v>
      </c>
      <c r="BLD25">
        <v>1</v>
      </c>
      <c r="BLE25">
        <v>2</v>
      </c>
      <c r="BLF25">
        <v>1</v>
      </c>
      <c r="BLG25">
        <v>2</v>
      </c>
      <c r="BLH25">
        <v>1</v>
      </c>
      <c r="BLI25">
        <v>3</v>
      </c>
      <c r="BLJ25">
        <v>1</v>
      </c>
      <c r="BLK25">
        <v>2</v>
      </c>
      <c r="BLL25">
        <v>1</v>
      </c>
      <c r="BLM25">
        <v>1</v>
      </c>
      <c r="BLN25">
        <v>1</v>
      </c>
      <c r="BLO25">
        <v>1</v>
      </c>
      <c r="BLP25">
        <v>1</v>
      </c>
      <c r="BLQ25">
        <v>1</v>
      </c>
      <c r="BLR25">
        <v>2</v>
      </c>
      <c r="BLS25">
        <v>1</v>
      </c>
      <c r="BLT25">
        <v>1</v>
      </c>
      <c r="BLU25">
        <v>1</v>
      </c>
      <c r="BLV25">
        <v>1</v>
      </c>
      <c r="BLW25">
        <v>1</v>
      </c>
      <c r="BLX25">
        <v>1</v>
      </c>
      <c r="BLY25">
        <v>1</v>
      </c>
      <c r="BLZ25">
        <v>1</v>
      </c>
      <c r="BMA25">
        <v>1</v>
      </c>
      <c r="BMB25">
        <v>1</v>
      </c>
      <c r="BMC25">
        <v>1</v>
      </c>
      <c r="BMD25">
        <v>1</v>
      </c>
      <c r="BME25">
        <v>1</v>
      </c>
      <c r="BMF25">
        <v>3</v>
      </c>
      <c r="BMG25">
        <v>1</v>
      </c>
      <c r="BMH25">
        <v>2</v>
      </c>
      <c r="BMI25">
        <v>1</v>
      </c>
      <c r="BMJ25">
        <v>1</v>
      </c>
      <c r="BMK25">
        <v>1</v>
      </c>
      <c r="BML25">
        <v>1</v>
      </c>
      <c r="BMM25">
        <v>1</v>
      </c>
      <c r="BMN25">
        <v>1</v>
      </c>
      <c r="BMO25">
        <v>1</v>
      </c>
      <c r="BMP25">
        <v>2</v>
      </c>
      <c r="BMQ25">
        <v>1</v>
      </c>
      <c r="BMR25">
        <v>1</v>
      </c>
      <c r="BMS25">
        <v>1</v>
      </c>
      <c r="BMT25">
        <v>1</v>
      </c>
      <c r="BMU25">
        <v>1</v>
      </c>
      <c r="BMV25">
        <v>1</v>
      </c>
      <c r="BMW25">
        <v>2</v>
      </c>
      <c r="BMX25">
        <v>1</v>
      </c>
      <c r="BMY25">
        <v>1</v>
      </c>
      <c r="BMZ25">
        <v>1</v>
      </c>
      <c r="BNA25">
        <v>2</v>
      </c>
      <c r="BNB25">
        <v>1</v>
      </c>
      <c r="BNC25">
        <v>1</v>
      </c>
      <c r="BND25">
        <v>1</v>
      </c>
      <c r="BNE25">
        <v>3</v>
      </c>
      <c r="BNF25">
        <v>1</v>
      </c>
      <c r="BNG25">
        <v>1</v>
      </c>
      <c r="BNH25">
        <v>1</v>
      </c>
      <c r="BNI25">
        <v>1</v>
      </c>
      <c r="BNJ25">
        <v>1</v>
      </c>
      <c r="BNK25">
        <v>2</v>
      </c>
      <c r="BNL25">
        <v>2</v>
      </c>
      <c r="BNM25">
        <v>1</v>
      </c>
      <c r="BNN25">
        <v>1</v>
      </c>
      <c r="BNO25">
        <v>1</v>
      </c>
      <c r="BNP25">
        <v>2</v>
      </c>
      <c r="BNQ25">
        <v>1</v>
      </c>
      <c r="BNR25">
        <v>1</v>
      </c>
      <c r="BNS25">
        <v>1</v>
      </c>
      <c r="BNT25">
        <v>1</v>
      </c>
      <c r="BNU25">
        <v>2</v>
      </c>
      <c r="BNV25">
        <v>1</v>
      </c>
      <c r="BNW25">
        <v>1</v>
      </c>
      <c r="BNX25">
        <v>1</v>
      </c>
      <c r="BNY25">
        <v>1</v>
      </c>
      <c r="BNZ25">
        <v>1</v>
      </c>
      <c r="BOA25">
        <v>1</v>
      </c>
      <c r="BOB25">
        <v>1</v>
      </c>
      <c r="BOC25">
        <v>2</v>
      </c>
      <c r="BOD25">
        <v>1</v>
      </c>
      <c r="BOE25">
        <v>1</v>
      </c>
      <c r="BOF25">
        <v>1</v>
      </c>
      <c r="BOG25">
        <v>1</v>
      </c>
      <c r="BOH25">
        <v>2</v>
      </c>
      <c r="BOI25">
        <v>1</v>
      </c>
      <c r="BOJ25">
        <v>2</v>
      </c>
      <c r="BOK25">
        <v>2</v>
      </c>
      <c r="BOL25">
        <v>1</v>
      </c>
      <c r="BOM25">
        <v>1</v>
      </c>
      <c r="BON25">
        <v>1</v>
      </c>
      <c r="BOO25">
        <v>2</v>
      </c>
      <c r="BOP25">
        <v>1</v>
      </c>
      <c r="BOQ25">
        <v>1</v>
      </c>
      <c r="BOR25">
        <v>1</v>
      </c>
      <c r="BOS25">
        <v>1</v>
      </c>
      <c r="BOT25">
        <v>1</v>
      </c>
      <c r="BOU25">
        <v>1</v>
      </c>
      <c r="BOV25">
        <v>2</v>
      </c>
      <c r="BOW25">
        <v>1</v>
      </c>
      <c r="BOX25">
        <v>1</v>
      </c>
      <c r="BOY25">
        <v>1</v>
      </c>
      <c r="BOZ25">
        <v>1</v>
      </c>
      <c r="BPA25">
        <v>1</v>
      </c>
      <c r="BPB25">
        <v>1</v>
      </c>
      <c r="BPC25">
        <v>1</v>
      </c>
      <c r="BPD25">
        <v>1</v>
      </c>
      <c r="BPE25">
        <v>1</v>
      </c>
      <c r="BPF25">
        <v>3</v>
      </c>
      <c r="BPG25">
        <v>1</v>
      </c>
      <c r="BPH25">
        <v>1</v>
      </c>
      <c r="BPI25">
        <v>1</v>
      </c>
      <c r="BPJ25">
        <v>2</v>
      </c>
      <c r="BPK25">
        <v>1</v>
      </c>
      <c r="BPL25">
        <v>1</v>
      </c>
      <c r="BPM25">
        <v>1</v>
      </c>
      <c r="BPN25">
        <v>1</v>
      </c>
      <c r="BPO25">
        <v>1</v>
      </c>
      <c r="BPP25">
        <v>1</v>
      </c>
      <c r="BPQ25">
        <v>1</v>
      </c>
      <c r="BPR25">
        <v>1</v>
      </c>
      <c r="BPS25">
        <v>2</v>
      </c>
      <c r="BPT25">
        <v>1</v>
      </c>
      <c r="BPU25">
        <v>1</v>
      </c>
      <c r="BPV25">
        <v>1</v>
      </c>
      <c r="BPW25">
        <v>1</v>
      </c>
      <c r="BPX25">
        <v>1</v>
      </c>
      <c r="BPY25">
        <v>1</v>
      </c>
      <c r="BPZ25">
        <v>2</v>
      </c>
      <c r="BQA25">
        <v>1</v>
      </c>
      <c r="BQB25">
        <v>2</v>
      </c>
      <c r="BQC25">
        <v>1</v>
      </c>
      <c r="BQD25">
        <v>4</v>
      </c>
      <c r="BQE25">
        <v>1</v>
      </c>
      <c r="BQF25">
        <v>1</v>
      </c>
      <c r="BQG25">
        <v>1</v>
      </c>
      <c r="BQH25">
        <v>1</v>
      </c>
      <c r="BQI25">
        <v>1</v>
      </c>
      <c r="BQJ25">
        <v>1</v>
      </c>
      <c r="BQK25">
        <v>1</v>
      </c>
      <c r="BQL25">
        <v>1</v>
      </c>
      <c r="BQM25">
        <v>1</v>
      </c>
      <c r="BQN25">
        <v>1</v>
      </c>
      <c r="BQO25">
        <v>1</v>
      </c>
      <c r="BQP25">
        <v>3</v>
      </c>
      <c r="BQQ25">
        <v>1</v>
      </c>
      <c r="BQR25">
        <v>1</v>
      </c>
      <c r="BQS25">
        <v>1</v>
      </c>
      <c r="BQT25">
        <v>4</v>
      </c>
      <c r="BQU25">
        <v>1</v>
      </c>
      <c r="BQV25">
        <v>1</v>
      </c>
      <c r="BQW25">
        <v>1</v>
      </c>
      <c r="BQX25">
        <v>1</v>
      </c>
      <c r="BQY25">
        <v>1</v>
      </c>
      <c r="BQZ25">
        <v>1</v>
      </c>
      <c r="BRA25">
        <v>1</v>
      </c>
      <c r="BRB25">
        <v>1</v>
      </c>
      <c r="BRC25">
        <v>1</v>
      </c>
      <c r="BRD25">
        <v>1</v>
      </c>
      <c r="BRE25">
        <v>3</v>
      </c>
      <c r="BRF25">
        <v>1</v>
      </c>
      <c r="BRG25">
        <v>1</v>
      </c>
      <c r="BRH25">
        <v>1</v>
      </c>
      <c r="BRI25">
        <v>3</v>
      </c>
      <c r="BRJ25">
        <v>1</v>
      </c>
      <c r="BRK25">
        <v>1</v>
      </c>
      <c r="BRL25">
        <v>1</v>
      </c>
      <c r="BRM25">
        <v>1</v>
      </c>
      <c r="BRN25">
        <v>2</v>
      </c>
      <c r="BRO25">
        <v>1</v>
      </c>
      <c r="BRP25">
        <v>1</v>
      </c>
      <c r="BRQ25">
        <v>1</v>
      </c>
      <c r="BRR25">
        <v>1</v>
      </c>
      <c r="BRS25">
        <v>1</v>
      </c>
      <c r="BRT25">
        <v>1</v>
      </c>
      <c r="BRU25">
        <v>1</v>
      </c>
      <c r="BRV25">
        <v>1</v>
      </c>
      <c r="BRW25">
        <v>1</v>
      </c>
      <c r="BRX25">
        <v>1</v>
      </c>
      <c r="BRY25">
        <v>2</v>
      </c>
      <c r="BRZ25">
        <v>2</v>
      </c>
      <c r="BSA25">
        <v>1</v>
      </c>
      <c r="BSB25">
        <v>3</v>
      </c>
      <c r="BSC25">
        <v>1</v>
      </c>
      <c r="BSD25">
        <v>1</v>
      </c>
      <c r="BSE25">
        <v>2</v>
      </c>
      <c r="BSF25">
        <v>1</v>
      </c>
      <c r="BSG25">
        <v>2</v>
      </c>
      <c r="BSH25">
        <v>1</v>
      </c>
      <c r="BSI25">
        <v>2</v>
      </c>
      <c r="BSJ25">
        <v>1</v>
      </c>
      <c r="BSK25">
        <v>1</v>
      </c>
      <c r="BSL25">
        <v>1</v>
      </c>
      <c r="BSM25">
        <v>1</v>
      </c>
      <c r="BSN25">
        <v>1</v>
      </c>
      <c r="BSO25">
        <v>1</v>
      </c>
      <c r="BSP25">
        <v>1</v>
      </c>
      <c r="BSQ25">
        <v>1</v>
      </c>
      <c r="BSR25">
        <v>1</v>
      </c>
      <c r="BSS25">
        <v>1</v>
      </c>
      <c r="BST25">
        <v>1</v>
      </c>
      <c r="BSU25">
        <v>1</v>
      </c>
      <c r="BSV25">
        <v>1</v>
      </c>
      <c r="BSW25">
        <v>1</v>
      </c>
      <c r="BSX25">
        <v>1</v>
      </c>
      <c r="BSY25">
        <v>1</v>
      </c>
      <c r="BSZ25">
        <v>1</v>
      </c>
      <c r="BTA25">
        <v>1</v>
      </c>
      <c r="BTB25">
        <v>1</v>
      </c>
      <c r="BTC25">
        <v>1</v>
      </c>
      <c r="BTD25">
        <v>1</v>
      </c>
      <c r="BTE25">
        <v>2</v>
      </c>
      <c r="BTF25">
        <v>1</v>
      </c>
      <c r="BTG25">
        <v>1</v>
      </c>
      <c r="BTH25">
        <v>2</v>
      </c>
      <c r="BTI25">
        <v>1</v>
      </c>
      <c r="BTJ25">
        <v>1</v>
      </c>
      <c r="BTK25">
        <v>1</v>
      </c>
      <c r="BTL25">
        <v>1</v>
      </c>
      <c r="BTM25">
        <v>1</v>
      </c>
      <c r="BTN25">
        <v>1</v>
      </c>
      <c r="BTO25">
        <v>1</v>
      </c>
      <c r="BTP25">
        <v>1</v>
      </c>
      <c r="BTQ25">
        <v>1</v>
      </c>
      <c r="BTR25">
        <v>3</v>
      </c>
      <c r="BTS25">
        <v>2</v>
      </c>
      <c r="BTT25">
        <v>1</v>
      </c>
      <c r="BTU25">
        <v>1</v>
      </c>
      <c r="BTV25">
        <v>1</v>
      </c>
      <c r="BTW25">
        <v>1</v>
      </c>
      <c r="BTX25">
        <v>1</v>
      </c>
      <c r="BTY25">
        <v>1</v>
      </c>
      <c r="BTZ25">
        <v>1</v>
      </c>
      <c r="BUA25">
        <v>1</v>
      </c>
      <c r="BUB25">
        <v>1</v>
      </c>
      <c r="BUC25">
        <v>1</v>
      </c>
      <c r="BUD25">
        <v>1</v>
      </c>
      <c r="BUE25">
        <v>1</v>
      </c>
      <c r="BUF25">
        <v>1</v>
      </c>
      <c r="BUG25">
        <v>1</v>
      </c>
      <c r="BUH25">
        <v>1</v>
      </c>
      <c r="BUI25">
        <v>1</v>
      </c>
      <c r="BUJ25">
        <v>2</v>
      </c>
      <c r="BUK25">
        <v>1</v>
      </c>
      <c r="BUL25">
        <v>1</v>
      </c>
      <c r="BUM25">
        <v>1</v>
      </c>
      <c r="BUN25">
        <v>1</v>
      </c>
      <c r="BUO25">
        <v>1</v>
      </c>
      <c r="BUP25">
        <v>1</v>
      </c>
      <c r="BUQ25">
        <v>2</v>
      </c>
      <c r="BUR25">
        <v>2</v>
      </c>
      <c r="BUS25">
        <v>1</v>
      </c>
      <c r="BUT25">
        <v>1</v>
      </c>
      <c r="BUU25">
        <v>1</v>
      </c>
      <c r="BUV25">
        <v>1</v>
      </c>
      <c r="BUW25">
        <v>1</v>
      </c>
      <c r="BUX25">
        <v>1</v>
      </c>
      <c r="BUY25">
        <v>2</v>
      </c>
      <c r="BUZ25">
        <v>2</v>
      </c>
      <c r="BVA25">
        <v>2</v>
      </c>
      <c r="BVB25">
        <v>1</v>
      </c>
      <c r="BVC25">
        <v>1</v>
      </c>
      <c r="BVD25">
        <v>2</v>
      </c>
      <c r="BVE25">
        <v>1</v>
      </c>
      <c r="BVF25">
        <v>1</v>
      </c>
      <c r="BVG25">
        <v>1</v>
      </c>
      <c r="BVH25">
        <v>1</v>
      </c>
      <c r="BVI25">
        <v>1</v>
      </c>
      <c r="BVJ25">
        <v>1</v>
      </c>
      <c r="BVK25">
        <v>1</v>
      </c>
      <c r="BVL25">
        <v>1</v>
      </c>
      <c r="BVM25">
        <v>1</v>
      </c>
      <c r="BVN25">
        <v>1</v>
      </c>
      <c r="BVO25">
        <v>2</v>
      </c>
      <c r="BVP25">
        <v>1</v>
      </c>
      <c r="BVQ25">
        <v>1</v>
      </c>
      <c r="BVR25">
        <v>1</v>
      </c>
      <c r="BVS25">
        <v>2</v>
      </c>
      <c r="BVT25">
        <v>1</v>
      </c>
      <c r="BVU25">
        <v>1</v>
      </c>
      <c r="BVV25">
        <v>1</v>
      </c>
      <c r="BVW25">
        <v>1</v>
      </c>
      <c r="BVX25">
        <v>1</v>
      </c>
      <c r="BVY25">
        <v>2</v>
      </c>
      <c r="BVZ25">
        <v>2</v>
      </c>
      <c r="BWA25">
        <v>2</v>
      </c>
      <c r="BWB25">
        <v>1</v>
      </c>
      <c r="BWC25">
        <v>1</v>
      </c>
      <c r="BWD25">
        <v>1</v>
      </c>
      <c r="BWE25">
        <v>1</v>
      </c>
      <c r="BWF25">
        <v>1</v>
      </c>
      <c r="BWG25">
        <v>1</v>
      </c>
      <c r="BWH25">
        <v>1</v>
      </c>
      <c r="BWI25">
        <v>1</v>
      </c>
      <c r="BWJ25">
        <v>1</v>
      </c>
      <c r="BWK25">
        <v>1</v>
      </c>
      <c r="BWL25">
        <v>1</v>
      </c>
      <c r="BWM25">
        <v>1</v>
      </c>
      <c r="BWN25">
        <v>1</v>
      </c>
      <c r="BWO25">
        <v>1</v>
      </c>
      <c r="BWP25">
        <v>2</v>
      </c>
      <c r="BWQ25">
        <v>1</v>
      </c>
      <c r="BWR25">
        <v>1</v>
      </c>
      <c r="BWS25">
        <v>2</v>
      </c>
      <c r="BWT25">
        <v>1</v>
      </c>
      <c r="BWU25">
        <v>1</v>
      </c>
      <c r="BWV25">
        <v>1</v>
      </c>
      <c r="BWW25">
        <v>1</v>
      </c>
      <c r="BWX25">
        <v>2</v>
      </c>
      <c r="BWY25">
        <v>1</v>
      </c>
      <c r="BWZ25">
        <v>1</v>
      </c>
      <c r="BXA25">
        <v>3</v>
      </c>
      <c r="BXB25">
        <v>1</v>
      </c>
      <c r="BXC25">
        <v>1</v>
      </c>
      <c r="BXD25">
        <v>1</v>
      </c>
      <c r="BXE25">
        <v>1</v>
      </c>
      <c r="BXF25">
        <v>1</v>
      </c>
      <c r="BXG25">
        <v>1</v>
      </c>
      <c r="BXH25">
        <v>1</v>
      </c>
      <c r="BXI25">
        <v>1</v>
      </c>
      <c r="BXJ25">
        <v>1</v>
      </c>
      <c r="BXK25">
        <v>1</v>
      </c>
      <c r="BXL25">
        <v>1</v>
      </c>
      <c r="BXM25">
        <v>3</v>
      </c>
      <c r="BXN25">
        <v>2</v>
      </c>
      <c r="BXO25">
        <v>1</v>
      </c>
      <c r="BXP25">
        <v>1</v>
      </c>
      <c r="BXQ25">
        <v>1</v>
      </c>
      <c r="BXR25">
        <v>1</v>
      </c>
      <c r="BXS25">
        <v>1</v>
      </c>
      <c r="BXT25">
        <v>1</v>
      </c>
      <c r="BXU25">
        <v>2</v>
      </c>
      <c r="BXV25">
        <v>1</v>
      </c>
      <c r="BXW25">
        <v>3</v>
      </c>
      <c r="BXX25">
        <v>1</v>
      </c>
      <c r="BXY25">
        <v>1</v>
      </c>
      <c r="BXZ25">
        <v>1</v>
      </c>
      <c r="BYA25">
        <v>3</v>
      </c>
      <c r="BYB25">
        <v>4</v>
      </c>
      <c r="BYC25">
        <v>2</v>
      </c>
      <c r="BYD25">
        <v>1</v>
      </c>
      <c r="BYE25">
        <v>2</v>
      </c>
      <c r="BYF25">
        <v>1</v>
      </c>
      <c r="BYG25">
        <v>1</v>
      </c>
      <c r="BYH25">
        <v>1</v>
      </c>
      <c r="BYI25">
        <v>3</v>
      </c>
      <c r="BYJ25">
        <v>1</v>
      </c>
      <c r="BYK25">
        <v>1</v>
      </c>
      <c r="BYL25">
        <v>1</v>
      </c>
      <c r="BYM25">
        <v>1</v>
      </c>
      <c r="BYN25">
        <v>2</v>
      </c>
      <c r="BYO25">
        <v>1</v>
      </c>
      <c r="BYP25">
        <v>1</v>
      </c>
      <c r="BYQ25">
        <v>2</v>
      </c>
      <c r="BYR25">
        <v>2</v>
      </c>
      <c r="BYS25">
        <v>1</v>
      </c>
      <c r="BYT25">
        <v>1</v>
      </c>
      <c r="BYU25">
        <v>1</v>
      </c>
      <c r="BYV25">
        <v>1</v>
      </c>
      <c r="BYW25">
        <v>2</v>
      </c>
      <c r="BYX25">
        <v>2</v>
      </c>
      <c r="BYY25">
        <v>2</v>
      </c>
      <c r="BYZ25">
        <v>2</v>
      </c>
      <c r="BZA25">
        <v>2</v>
      </c>
      <c r="BZB25">
        <v>2</v>
      </c>
      <c r="BZC25">
        <v>1</v>
      </c>
      <c r="BZD25">
        <v>1</v>
      </c>
      <c r="BZE25">
        <v>1</v>
      </c>
      <c r="BZF25">
        <v>1</v>
      </c>
      <c r="BZG25">
        <v>1</v>
      </c>
      <c r="BZH25">
        <v>2</v>
      </c>
      <c r="BZI25">
        <v>1</v>
      </c>
      <c r="BZJ25">
        <v>1</v>
      </c>
      <c r="BZK25">
        <v>1</v>
      </c>
      <c r="BZL25">
        <v>1</v>
      </c>
      <c r="BZM25">
        <v>1</v>
      </c>
      <c r="BZN25">
        <v>1</v>
      </c>
      <c r="BZO25">
        <v>1</v>
      </c>
      <c r="BZP25">
        <v>1</v>
      </c>
      <c r="BZQ25">
        <v>1</v>
      </c>
      <c r="BZR25">
        <v>1</v>
      </c>
      <c r="BZS25">
        <v>1</v>
      </c>
      <c r="BZT25">
        <v>3</v>
      </c>
      <c r="BZU25">
        <v>2</v>
      </c>
      <c r="BZV25">
        <v>1</v>
      </c>
      <c r="BZW25">
        <v>1</v>
      </c>
      <c r="BZX25">
        <v>1</v>
      </c>
      <c r="BZY25">
        <v>1</v>
      </c>
      <c r="BZZ25">
        <v>2</v>
      </c>
      <c r="CAA25">
        <v>1</v>
      </c>
      <c r="CAB25">
        <v>1</v>
      </c>
      <c r="CAC25">
        <v>1</v>
      </c>
      <c r="CAD25">
        <v>2</v>
      </c>
      <c r="CAE25">
        <v>1</v>
      </c>
      <c r="CAF25">
        <v>4</v>
      </c>
      <c r="CAG25">
        <v>1</v>
      </c>
      <c r="CAH25">
        <v>2</v>
      </c>
      <c r="CAI25">
        <v>1</v>
      </c>
      <c r="CAJ25">
        <v>2</v>
      </c>
      <c r="CAK25">
        <v>1</v>
      </c>
      <c r="CAL25">
        <v>1</v>
      </c>
      <c r="CAM25">
        <v>1</v>
      </c>
      <c r="CAN25">
        <v>2</v>
      </c>
      <c r="CAO25">
        <v>2</v>
      </c>
      <c r="CAP25">
        <v>1</v>
      </c>
      <c r="CAQ25">
        <v>1</v>
      </c>
      <c r="CAR25">
        <v>1</v>
      </c>
      <c r="CAS25">
        <v>1</v>
      </c>
      <c r="CAT25">
        <v>1</v>
      </c>
      <c r="CAU25">
        <v>1</v>
      </c>
      <c r="CAV25">
        <v>3</v>
      </c>
      <c r="CAW25">
        <v>1</v>
      </c>
      <c r="CAX25">
        <v>1</v>
      </c>
      <c r="CAY25">
        <v>2</v>
      </c>
      <c r="CAZ25">
        <v>1</v>
      </c>
      <c r="CBA25">
        <v>2</v>
      </c>
      <c r="CBB25">
        <v>1</v>
      </c>
      <c r="CBC25">
        <v>1</v>
      </c>
      <c r="CBD25">
        <v>3</v>
      </c>
      <c r="CBE25">
        <v>1</v>
      </c>
      <c r="CBF25">
        <v>1</v>
      </c>
      <c r="CBG25">
        <v>1</v>
      </c>
      <c r="CBH25">
        <v>1</v>
      </c>
      <c r="CBI25">
        <v>2</v>
      </c>
      <c r="CBJ25">
        <v>1</v>
      </c>
      <c r="CBK25">
        <v>1</v>
      </c>
      <c r="CBL25">
        <v>1</v>
      </c>
      <c r="CBM25">
        <v>1</v>
      </c>
      <c r="CBN25">
        <v>1</v>
      </c>
      <c r="CBO25">
        <v>3</v>
      </c>
      <c r="CBP25">
        <v>2</v>
      </c>
      <c r="CBQ25">
        <v>1</v>
      </c>
      <c r="CBR25">
        <v>1</v>
      </c>
      <c r="CBS25">
        <v>1</v>
      </c>
      <c r="CBT25">
        <v>1</v>
      </c>
      <c r="CBU25">
        <v>1</v>
      </c>
      <c r="CBV25">
        <v>3</v>
      </c>
      <c r="CBW25">
        <v>1</v>
      </c>
      <c r="CBX25">
        <v>2</v>
      </c>
      <c r="CBY25">
        <v>1</v>
      </c>
      <c r="CBZ25">
        <v>1</v>
      </c>
      <c r="CCA25">
        <v>1</v>
      </c>
      <c r="CCB25">
        <v>1</v>
      </c>
      <c r="CCC25">
        <v>1</v>
      </c>
      <c r="CCD25">
        <v>1</v>
      </c>
      <c r="CCE25">
        <v>1</v>
      </c>
      <c r="CCF25">
        <v>1</v>
      </c>
      <c r="CCG25">
        <v>1</v>
      </c>
      <c r="CCH25">
        <v>2</v>
      </c>
      <c r="CCI25">
        <v>1</v>
      </c>
      <c r="CCJ25">
        <v>1</v>
      </c>
      <c r="CCK25">
        <v>1</v>
      </c>
      <c r="CCL25">
        <v>1</v>
      </c>
      <c r="CCM25">
        <v>1</v>
      </c>
      <c r="CCN25">
        <v>1</v>
      </c>
      <c r="CCO25">
        <v>3</v>
      </c>
      <c r="CCP25">
        <v>1</v>
      </c>
      <c r="CCQ25">
        <v>1</v>
      </c>
      <c r="CCR25">
        <v>1</v>
      </c>
      <c r="CCS25">
        <v>1</v>
      </c>
      <c r="CCT25">
        <v>1</v>
      </c>
      <c r="CCU25">
        <v>1</v>
      </c>
      <c r="CCV25">
        <v>3</v>
      </c>
      <c r="CCW25">
        <v>1</v>
      </c>
      <c r="CCX25">
        <v>1</v>
      </c>
      <c r="CCY25">
        <v>1</v>
      </c>
      <c r="CCZ25">
        <v>1</v>
      </c>
      <c r="CDA25">
        <v>3</v>
      </c>
      <c r="CDB25">
        <v>3</v>
      </c>
      <c r="CDC25">
        <v>1</v>
      </c>
      <c r="CDD25">
        <v>4</v>
      </c>
      <c r="CDE25">
        <v>1</v>
      </c>
      <c r="CDF25">
        <v>2</v>
      </c>
      <c r="CDG25">
        <v>1</v>
      </c>
      <c r="CDH25">
        <v>1</v>
      </c>
      <c r="CDI25">
        <v>2</v>
      </c>
      <c r="CDJ25">
        <v>1</v>
      </c>
      <c r="CDK25">
        <v>1</v>
      </c>
      <c r="CDL25">
        <v>1</v>
      </c>
      <c r="CDM25">
        <v>1</v>
      </c>
      <c r="CDN25">
        <v>1</v>
      </c>
      <c r="CDO25">
        <v>1</v>
      </c>
      <c r="CDP25">
        <v>2</v>
      </c>
      <c r="CDQ25">
        <v>1</v>
      </c>
      <c r="CDR25">
        <v>2</v>
      </c>
      <c r="CDS25">
        <v>1</v>
      </c>
      <c r="CDT25">
        <v>1</v>
      </c>
      <c r="CDU25">
        <v>2</v>
      </c>
      <c r="CDV25">
        <v>1</v>
      </c>
      <c r="CDW25">
        <v>1</v>
      </c>
      <c r="CDX25">
        <v>1</v>
      </c>
      <c r="CDY25">
        <v>1</v>
      </c>
      <c r="CDZ25">
        <v>1</v>
      </c>
      <c r="CEA25">
        <v>1</v>
      </c>
      <c r="CEB25">
        <v>1</v>
      </c>
      <c r="CEC25">
        <v>2</v>
      </c>
      <c r="CED25">
        <v>1</v>
      </c>
      <c r="CEE25">
        <v>1</v>
      </c>
      <c r="CEF25">
        <v>1</v>
      </c>
      <c r="CEG25">
        <v>1</v>
      </c>
      <c r="CEH25">
        <v>1</v>
      </c>
      <c r="CEI25">
        <v>1</v>
      </c>
      <c r="CEJ25">
        <v>2</v>
      </c>
      <c r="CEK25">
        <v>1</v>
      </c>
      <c r="CEL25">
        <v>1</v>
      </c>
      <c r="CEM25">
        <v>1</v>
      </c>
      <c r="CEN25">
        <v>1</v>
      </c>
      <c r="CEO25">
        <v>1</v>
      </c>
      <c r="CEP25">
        <v>1</v>
      </c>
      <c r="CEQ25">
        <v>1</v>
      </c>
      <c r="CER25">
        <v>2</v>
      </c>
      <c r="CES25">
        <v>1</v>
      </c>
      <c r="CET25">
        <v>1</v>
      </c>
      <c r="CEU25">
        <v>1</v>
      </c>
      <c r="CEV25">
        <v>4</v>
      </c>
      <c r="CEW25">
        <v>1</v>
      </c>
      <c r="CEX25">
        <v>1</v>
      </c>
      <c r="CEY25">
        <v>1</v>
      </c>
      <c r="CEZ25">
        <v>1</v>
      </c>
      <c r="CFA25">
        <v>1</v>
      </c>
      <c r="CFB25">
        <v>1</v>
      </c>
      <c r="CFC25">
        <v>1</v>
      </c>
      <c r="CFD25">
        <v>2</v>
      </c>
      <c r="CFE25">
        <v>1</v>
      </c>
      <c r="CFF25">
        <v>4</v>
      </c>
      <c r="CFG25">
        <v>1</v>
      </c>
      <c r="CFH25">
        <v>1</v>
      </c>
      <c r="CFI25">
        <v>1</v>
      </c>
      <c r="CFJ25">
        <v>2</v>
      </c>
      <c r="CFK25">
        <v>1</v>
      </c>
      <c r="CFL25">
        <v>1</v>
      </c>
      <c r="CFM25">
        <v>1</v>
      </c>
      <c r="CFN25">
        <v>1</v>
      </c>
      <c r="CFO25">
        <v>1</v>
      </c>
      <c r="CFP25">
        <v>1</v>
      </c>
      <c r="CFQ25">
        <v>2</v>
      </c>
      <c r="CFR25">
        <v>1</v>
      </c>
      <c r="CFS25">
        <v>2</v>
      </c>
      <c r="CFT25">
        <v>2</v>
      </c>
      <c r="CFU25">
        <v>2</v>
      </c>
      <c r="CFV25">
        <v>2</v>
      </c>
      <c r="CFW25">
        <v>1</v>
      </c>
      <c r="CFX25">
        <v>2</v>
      </c>
      <c r="CFY25">
        <v>2</v>
      </c>
      <c r="CFZ25">
        <v>1</v>
      </c>
      <c r="CGA25">
        <v>2</v>
      </c>
      <c r="CGB25">
        <v>3</v>
      </c>
      <c r="CGC25">
        <v>1</v>
      </c>
      <c r="CGD25">
        <v>2</v>
      </c>
      <c r="CGE25">
        <v>1</v>
      </c>
      <c r="CGF25">
        <v>3</v>
      </c>
      <c r="CGG25">
        <v>1</v>
      </c>
      <c r="CGH25">
        <v>1</v>
      </c>
      <c r="CGI25">
        <v>1</v>
      </c>
      <c r="CGJ25">
        <v>1</v>
      </c>
      <c r="CGK25">
        <v>2</v>
      </c>
      <c r="CGL25">
        <v>1</v>
      </c>
      <c r="CGM25">
        <v>1</v>
      </c>
      <c r="CGN25">
        <v>1</v>
      </c>
      <c r="CGO25">
        <v>1</v>
      </c>
      <c r="CGP25">
        <v>2</v>
      </c>
      <c r="CGQ25">
        <v>1</v>
      </c>
      <c r="CGR25">
        <v>1</v>
      </c>
      <c r="CGS25">
        <v>2</v>
      </c>
      <c r="CGT25">
        <v>2</v>
      </c>
      <c r="CGU25">
        <v>3</v>
      </c>
      <c r="CGV25">
        <v>1</v>
      </c>
      <c r="CGW25">
        <v>1</v>
      </c>
      <c r="CGX25">
        <v>1</v>
      </c>
      <c r="CGY25">
        <v>1</v>
      </c>
      <c r="CGZ25">
        <v>1</v>
      </c>
      <c r="CHA25">
        <v>1</v>
      </c>
      <c r="CHB25">
        <v>2</v>
      </c>
      <c r="CHC25">
        <v>2</v>
      </c>
      <c r="CHD25">
        <v>2</v>
      </c>
      <c r="CHE25">
        <v>2</v>
      </c>
      <c r="CHF25">
        <v>1</v>
      </c>
      <c r="CHG25">
        <v>1</v>
      </c>
      <c r="CHH25">
        <v>1</v>
      </c>
      <c r="CHI25">
        <v>3</v>
      </c>
      <c r="CHJ25">
        <v>1</v>
      </c>
      <c r="CHK25">
        <v>1</v>
      </c>
      <c r="CHL25">
        <v>1</v>
      </c>
      <c r="CHM25">
        <v>1</v>
      </c>
      <c r="CHN25">
        <v>2</v>
      </c>
      <c r="CHO25">
        <v>1</v>
      </c>
      <c r="CHP25">
        <v>1</v>
      </c>
      <c r="CHQ25">
        <v>1</v>
      </c>
      <c r="CHR25">
        <v>1</v>
      </c>
      <c r="CHS25">
        <v>1</v>
      </c>
      <c r="CHT25">
        <v>1</v>
      </c>
      <c r="CHU25">
        <v>1</v>
      </c>
      <c r="CHV25">
        <v>1</v>
      </c>
      <c r="CHW25">
        <v>1</v>
      </c>
      <c r="CHX25">
        <v>1</v>
      </c>
      <c r="CHY25">
        <v>1</v>
      </c>
      <c r="CHZ25">
        <v>1</v>
      </c>
      <c r="CIA25">
        <v>1</v>
      </c>
      <c r="CIB25">
        <v>2</v>
      </c>
      <c r="CIC25">
        <v>2</v>
      </c>
      <c r="CID25">
        <v>2</v>
      </c>
      <c r="CIE25">
        <v>1</v>
      </c>
      <c r="CIF25">
        <v>3</v>
      </c>
      <c r="CIG25">
        <v>1</v>
      </c>
      <c r="CIH25">
        <v>1</v>
      </c>
      <c r="CII25">
        <v>1</v>
      </c>
      <c r="CIJ25">
        <v>2</v>
      </c>
      <c r="CIK25">
        <v>1</v>
      </c>
      <c r="CIL25">
        <v>1</v>
      </c>
      <c r="CIM25">
        <v>1</v>
      </c>
      <c r="CIN25">
        <v>1</v>
      </c>
      <c r="CIO25">
        <v>1</v>
      </c>
      <c r="CIP25">
        <v>1</v>
      </c>
      <c r="CIQ25">
        <v>2</v>
      </c>
      <c r="CIR25">
        <v>2</v>
      </c>
      <c r="CIS25">
        <v>1</v>
      </c>
      <c r="CIT25">
        <v>1</v>
      </c>
      <c r="CIU25">
        <v>1</v>
      </c>
      <c r="CIV25">
        <v>1</v>
      </c>
      <c r="CIW25">
        <v>2</v>
      </c>
      <c r="CIX25">
        <v>1</v>
      </c>
      <c r="CIY25">
        <v>2</v>
      </c>
      <c r="CIZ25">
        <v>1</v>
      </c>
      <c r="CJA25">
        <v>1</v>
      </c>
      <c r="CJB25">
        <v>2</v>
      </c>
      <c r="CJC25">
        <v>2</v>
      </c>
      <c r="CJD25">
        <v>1</v>
      </c>
      <c r="CJE25">
        <v>1</v>
      </c>
      <c r="CJF25">
        <v>2</v>
      </c>
      <c r="CJG25">
        <v>1</v>
      </c>
      <c r="CJH25">
        <v>1</v>
      </c>
      <c r="CJI25">
        <v>1</v>
      </c>
      <c r="CJJ25">
        <v>2</v>
      </c>
      <c r="CJK25">
        <v>1</v>
      </c>
      <c r="CJL25">
        <v>1</v>
      </c>
      <c r="CJM25">
        <v>1</v>
      </c>
      <c r="CJN25">
        <v>1</v>
      </c>
      <c r="CJO25">
        <v>1</v>
      </c>
      <c r="CJP25">
        <v>1</v>
      </c>
      <c r="CJQ25">
        <v>2</v>
      </c>
      <c r="CJR25">
        <v>2</v>
      </c>
      <c r="CJS25">
        <v>1</v>
      </c>
      <c r="CJT25">
        <v>1</v>
      </c>
      <c r="CJU25">
        <v>1</v>
      </c>
      <c r="CJV25">
        <v>2</v>
      </c>
      <c r="CJW25">
        <v>2</v>
      </c>
      <c r="CJX25">
        <v>1</v>
      </c>
      <c r="CJY25">
        <v>1</v>
      </c>
      <c r="CJZ25">
        <v>1</v>
      </c>
      <c r="CKA25">
        <v>1</v>
      </c>
      <c r="CKB25">
        <v>1</v>
      </c>
      <c r="CKC25">
        <v>1</v>
      </c>
      <c r="CKD25">
        <v>2</v>
      </c>
      <c r="CKE25">
        <v>2</v>
      </c>
      <c r="CKF25">
        <v>1</v>
      </c>
      <c r="CKG25">
        <v>2</v>
      </c>
      <c r="CKH25">
        <v>4</v>
      </c>
      <c r="CKI25">
        <v>1</v>
      </c>
      <c r="CKJ25">
        <v>1</v>
      </c>
      <c r="CKK25">
        <v>1</v>
      </c>
      <c r="CKL25">
        <v>1</v>
      </c>
      <c r="CKM25">
        <v>2</v>
      </c>
      <c r="CKN25">
        <v>1</v>
      </c>
      <c r="CKO25">
        <v>1</v>
      </c>
      <c r="CKP25">
        <v>2</v>
      </c>
      <c r="CKQ25">
        <v>1</v>
      </c>
      <c r="CKR25">
        <v>1</v>
      </c>
      <c r="CKS25">
        <v>1</v>
      </c>
      <c r="CKT25">
        <v>1</v>
      </c>
      <c r="CKU25">
        <v>1</v>
      </c>
      <c r="CKV25">
        <v>1</v>
      </c>
      <c r="CKW25">
        <v>1</v>
      </c>
      <c r="CKX25">
        <v>1</v>
      </c>
      <c r="CKY25">
        <v>1</v>
      </c>
      <c r="CKZ25">
        <v>1</v>
      </c>
      <c r="CLA25">
        <v>2</v>
      </c>
      <c r="CLB25">
        <v>3</v>
      </c>
      <c r="CLC25">
        <v>1</v>
      </c>
      <c r="CLD25">
        <v>3</v>
      </c>
      <c r="CLE25">
        <v>1</v>
      </c>
      <c r="CLF25">
        <v>1</v>
      </c>
      <c r="CLG25">
        <v>1</v>
      </c>
      <c r="CLH25">
        <v>1</v>
      </c>
      <c r="CLI25">
        <v>1</v>
      </c>
      <c r="CLJ25">
        <v>1</v>
      </c>
      <c r="CLK25">
        <v>1</v>
      </c>
      <c r="CLL25">
        <v>1</v>
      </c>
      <c r="CLM25">
        <v>1</v>
      </c>
      <c r="CLN25">
        <v>2</v>
      </c>
      <c r="CLO25">
        <v>1</v>
      </c>
      <c r="CLP25">
        <v>1</v>
      </c>
      <c r="CLQ25">
        <v>1</v>
      </c>
      <c r="CLR25">
        <v>2</v>
      </c>
      <c r="CLS25">
        <v>2</v>
      </c>
      <c r="CLT25">
        <v>3</v>
      </c>
      <c r="CLU25">
        <v>1</v>
      </c>
      <c r="CLV25">
        <v>1</v>
      </c>
      <c r="CLW25">
        <v>3</v>
      </c>
      <c r="CLX25">
        <v>1</v>
      </c>
      <c r="CLY25">
        <v>1</v>
      </c>
      <c r="CLZ25">
        <v>3</v>
      </c>
      <c r="CMA25">
        <v>2</v>
      </c>
      <c r="CMB25">
        <v>1</v>
      </c>
      <c r="CMC25">
        <v>1</v>
      </c>
      <c r="CMD25">
        <v>1</v>
      </c>
      <c r="CME25">
        <v>1</v>
      </c>
      <c r="CMF25">
        <v>1</v>
      </c>
      <c r="CMG25">
        <v>1</v>
      </c>
      <c r="CMH25">
        <v>1</v>
      </c>
      <c r="CMI25">
        <v>1</v>
      </c>
      <c r="CMJ25">
        <v>1</v>
      </c>
      <c r="CMK25">
        <v>1</v>
      </c>
      <c r="CML25">
        <v>1</v>
      </c>
      <c r="CMM25">
        <v>2</v>
      </c>
      <c r="CMN25">
        <v>1</v>
      </c>
      <c r="CMO25">
        <v>1</v>
      </c>
      <c r="CMP25">
        <v>1</v>
      </c>
      <c r="CMQ25">
        <v>1</v>
      </c>
      <c r="CMR25">
        <v>1</v>
      </c>
      <c r="CMS25">
        <v>1</v>
      </c>
      <c r="CMT25">
        <v>2</v>
      </c>
      <c r="CMU25">
        <v>1</v>
      </c>
      <c r="CMV25">
        <v>2</v>
      </c>
      <c r="CMW25">
        <v>1</v>
      </c>
      <c r="CMX25">
        <v>2</v>
      </c>
      <c r="CMY25">
        <v>1</v>
      </c>
      <c r="CMZ25">
        <v>1</v>
      </c>
      <c r="CNA25">
        <v>1</v>
      </c>
      <c r="CNB25">
        <v>1</v>
      </c>
      <c r="CNC25">
        <v>1</v>
      </c>
      <c r="CND25">
        <v>1</v>
      </c>
      <c r="CNE25">
        <v>3</v>
      </c>
      <c r="CNF25">
        <v>2</v>
      </c>
      <c r="CNG25">
        <v>1</v>
      </c>
      <c r="CNH25">
        <v>1</v>
      </c>
      <c r="CNI25">
        <v>1</v>
      </c>
      <c r="CNJ25">
        <v>1</v>
      </c>
      <c r="CNK25">
        <v>1</v>
      </c>
      <c r="CNL25">
        <v>1</v>
      </c>
      <c r="CNM25">
        <v>1</v>
      </c>
      <c r="CNN25">
        <v>1</v>
      </c>
      <c r="CNO25">
        <v>1</v>
      </c>
      <c r="CNP25">
        <v>1</v>
      </c>
      <c r="CNQ25">
        <v>3</v>
      </c>
      <c r="CNR25">
        <v>4</v>
      </c>
      <c r="CNS25">
        <v>1</v>
      </c>
      <c r="CNT25">
        <v>1</v>
      </c>
      <c r="CNU25">
        <v>1</v>
      </c>
      <c r="CNV25">
        <v>1</v>
      </c>
      <c r="CNW25">
        <v>1</v>
      </c>
      <c r="CNX25">
        <v>2</v>
      </c>
      <c r="CNY25">
        <v>1</v>
      </c>
      <c r="CNZ25">
        <v>1</v>
      </c>
      <c r="COA25">
        <v>3</v>
      </c>
      <c r="COB25">
        <v>1</v>
      </c>
      <c r="COC25">
        <v>4</v>
      </c>
      <c r="COD25">
        <v>1</v>
      </c>
      <c r="COE25">
        <v>1</v>
      </c>
      <c r="COF25">
        <v>1</v>
      </c>
      <c r="COG25">
        <v>1</v>
      </c>
      <c r="COH25">
        <v>2</v>
      </c>
      <c r="COI25">
        <v>1</v>
      </c>
      <c r="COJ25">
        <v>1</v>
      </c>
      <c r="COK25">
        <v>1</v>
      </c>
      <c r="COL25">
        <v>1</v>
      </c>
      <c r="COM25">
        <v>2</v>
      </c>
      <c r="CON25">
        <v>1</v>
      </c>
      <c r="COO25">
        <v>2</v>
      </c>
      <c r="COP25">
        <v>1</v>
      </c>
      <c r="COQ25">
        <v>2</v>
      </c>
      <c r="COR25">
        <v>3</v>
      </c>
      <c r="COS25">
        <v>1</v>
      </c>
      <c r="COT25">
        <v>1</v>
      </c>
      <c r="COU25">
        <v>1</v>
      </c>
      <c r="COV25">
        <v>2</v>
      </c>
      <c r="COW25">
        <v>1</v>
      </c>
      <c r="COX25">
        <v>2</v>
      </c>
      <c r="COY25">
        <v>1</v>
      </c>
      <c r="COZ25">
        <v>1</v>
      </c>
      <c r="CPA25">
        <v>2</v>
      </c>
      <c r="CPB25">
        <v>1</v>
      </c>
      <c r="CPC25">
        <v>3</v>
      </c>
      <c r="CPD25">
        <v>1</v>
      </c>
      <c r="CPE25">
        <v>2</v>
      </c>
      <c r="CPF25">
        <v>2</v>
      </c>
      <c r="CPG25">
        <v>1</v>
      </c>
      <c r="CPH25">
        <v>1</v>
      </c>
      <c r="CPI25">
        <v>1</v>
      </c>
      <c r="CPJ25">
        <v>1</v>
      </c>
      <c r="CPK25">
        <v>1</v>
      </c>
      <c r="CPL25">
        <v>2</v>
      </c>
      <c r="CPM25">
        <v>2</v>
      </c>
      <c r="CPN25">
        <v>1</v>
      </c>
      <c r="CPO25">
        <v>1</v>
      </c>
      <c r="CPP25">
        <v>1</v>
      </c>
      <c r="CPQ25">
        <v>1</v>
      </c>
      <c r="CPR25">
        <v>1</v>
      </c>
      <c r="CPS25">
        <v>1</v>
      </c>
      <c r="CPT25">
        <v>1</v>
      </c>
      <c r="CPU25">
        <v>1</v>
      </c>
      <c r="CPV25">
        <v>1</v>
      </c>
      <c r="CPW25">
        <v>2</v>
      </c>
      <c r="CPX25">
        <v>1</v>
      </c>
      <c r="CPY25">
        <v>2</v>
      </c>
      <c r="CPZ25">
        <v>1</v>
      </c>
      <c r="CQA25">
        <v>1</v>
      </c>
      <c r="CQB25">
        <v>1</v>
      </c>
      <c r="CQC25">
        <v>1</v>
      </c>
      <c r="CQD25">
        <v>1</v>
      </c>
      <c r="CQE25">
        <v>2</v>
      </c>
      <c r="CQF25">
        <v>2</v>
      </c>
      <c r="CQG25">
        <v>1</v>
      </c>
      <c r="CQH25">
        <v>1</v>
      </c>
      <c r="CQI25">
        <v>1</v>
      </c>
      <c r="CQJ25">
        <v>1</v>
      </c>
      <c r="CQK25">
        <v>2</v>
      </c>
      <c r="CQL25">
        <v>1</v>
      </c>
      <c r="CQM25">
        <v>1</v>
      </c>
      <c r="CQN25">
        <v>1</v>
      </c>
      <c r="CQO25">
        <v>1</v>
      </c>
      <c r="CQP25">
        <v>1</v>
      </c>
      <c r="CQQ25">
        <v>1</v>
      </c>
      <c r="CQR25">
        <v>1</v>
      </c>
      <c r="CQS25">
        <v>1</v>
      </c>
      <c r="CQT25">
        <v>2</v>
      </c>
      <c r="CQU25">
        <v>1</v>
      </c>
      <c r="CQV25">
        <v>2</v>
      </c>
      <c r="CQW25">
        <v>1</v>
      </c>
      <c r="CQX25">
        <v>3</v>
      </c>
      <c r="CQY25">
        <v>1</v>
      </c>
      <c r="CQZ25">
        <v>2</v>
      </c>
      <c r="CRA25">
        <v>4</v>
      </c>
      <c r="CRB25">
        <v>2</v>
      </c>
      <c r="CRC25">
        <v>2</v>
      </c>
      <c r="CRD25">
        <v>2</v>
      </c>
      <c r="CRE25">
        <v>1</v>
      </c>
      <c r="CRF25">
        <v>1</v>
      </c>
      <c r="CRG25">
        <v>2</v>
      </c>
      <c r="CRH25">
        <v>3</v>
      </c>
      <c r="CRI25">
        <v>2</v>
      </c>
      <c r="CRJ25">
        <v>2</v>
      </c>
      <c r="CRK25">
        <v>2</v>
      </c>
      <c r="CRL25">
        <v>2</v>
      </c>
      <c r="CRM25">
        <v>1</v>
      </c>
      <c r="CRN25">
        <v>1</v>
      </c>
      <c r="CRO25">
        <v>1</v>
      </c>
      <c r="CRP25">
        <v>1</v>
      </c>
      <c r="CRQ25">
        <v>1</v>
      </c>
      <c r="CRR25">
        <v>3</v>
      </c>
      <c r="CRS25">
        <v>1</v>
      </c>
      <c r="CRT25">
        <v>3</v>
      </c>
      <c r="CRU25">
        <v>2</v>
      </c>
      <c r="CRV25">
        <v>1</v>
      </c>
      <c r="CRW25">
        <v>1</v>
      </c>
      <c r="CRX25">
        <v>4</v>
      </c>
      <c r="CRY25">
        <v>1</v>
      </c>
      <c r="CRZ25">
        <v>1</v>
      </c>
      <c r="CSA25">
        <v>3</v>
      </c>
      <c r="CSB25">
        <v>1</v>
      </c>
      <c r="CSC25">
        <v>3</v>
      </c>
      <c r="CSD25">
        <v>1</v>
      </c>
      <c r="CSE25">
        <v>1</v>
      </c>
      <c r="CSF25">
        <v>2</v>
      </c>
      <c r="CSG25">
        <v>2</v>
      </c>
      <c r="CSH25">
        <v>2</v>
      </c>
      <c r="CSI25">
        <v>1</v>
      </c>
      <c r="CSJ25">
        <v>3</v>
      </c>
      <c r="CSK25">
        <v>3</v>
      </c>
      <c r="CSL25">
        <v>1</v>
      </c>
      <c r="CSM25">
        <v>3</v>
      </c>
      <c r="CSN25">
        <v>3</v>
      </c>
      <c r="CSO25">
        <v>2</v>
      </c>
      <c r="CSP25">
        <v>1</v>
      </c>
      <c r="CSQ25">
        <v>2</v>
      </c>
      <c r="CSR25">
        <v>1</v>
      </c>
      <c r="CSS25">
        <v>1</v>
      </c>
      <c r="CST25">
        <v>1</v>
      </c>
      <c r="CSU25">
        <v>3</v>
      </c>
      <c r="CSV25">
        <v>1</v>
      </c>
      <c r="CSW25">
        <v>2</v>
      </c>
      <c r="CSX25">
        <v>1</v>
      </c>
      <c r="CSY25">
        <v>2</v>
      </c>
      <c r="CSZ25">
        <v>3</v>
      </c>
      <c r="CTA25">
        <v>2</v>
      </c>
      <c r="CTB25">
        <v>1</v>
      </c>
      <c r="CTC25">
        <v>3</v>
      </c>
      <c r="CTD25">
        <v>2</v>
      </c>
      <c r="CTE25">
        <v>1</v>
      </c>
      <c r="CTF25">
        <v>2</v>
      </c>
      <c r="CTG25">
        <v>1</v>
      </c>
      <c r="CTH25">
        <v>1</v>
      </c>
      <c r="CTI25">
        <v>1</v>
      </c>
      <c r="CTJ25">
        <v>1</v>
      </c>
      <c r="CTK25">
        <v>1</v>
      </c>
      <c r="CTL25">
        <v>3</v>
      </c>
      <c r="CTM25">
        <v>2</v>
      </c>
      <c r="CTN25">
        <v>1</v>
      </c>
      <c r="CTO25">
        <v>1</v>
      </c>
      <c r="CTP25">
        <v>1</v>
      </c>
      <c r="CTQ25">
        <v>1</v>
      </c>
      <c r="CTR25">
        <v>1</v>
      </c>
      <c r="CTS25">
        <v>2</v>
      </c>
      <c r="CTT25">
        <v>1</v>
      </c>
      <c r="CTU25">
        <v>2</v>
      </c>
      <c r="CTV25">
        <v>3</v>
      </c>
      <c r="CTW25">
        <v>2</v>
      </c>
      <c r="CTX25">
        <v>1</v>
      </c>
      <c r="CTY25">
        <v>2</v>
      </c>
      <c r="CTZ25">
        <v>1</v>
      </c>
      <c r="CUA25">
        <v>1</v>
      </c>
      <c r="CUB25">
        <v>1</v>
      </c>
      <c r="CUC25">
        <v>3</v>
      </c>
      <c r="CUD25">
        <v>1</v>
      </c>
      <c r="CUE25">
        <v>2</v>
      </c>
      <c r="CUF25">
        <v>1</v>
      </c>
      <c r="CUG25">
        <v>1</v>
      </c>
      <c r="CUH25">
        <v>1</v>
      </c>
      <c r="CUI25">
        <v>3</v>
      </c>
      <c r="CUJ25">
        <v>1</v>
      </c>
      <c r="CUK25">
        <v>1</v>
      </c>
      <c r="CUL25">
        <v>1</v>
      </c>
      <c r="CUM25">
        <v>3</v>
      </c>
      <c r="CUN25">
        <v>1</v>
      </c>
      <c r="CUO25">
        <v>1</v>
      </c>
      <c r="CUP25">
        <v>1</v>
      </c>
      <c r="CUQ25">
        <v>1</v>
      </c>
      <c r="CUR25">
        <v>2</v>
      </c>
      <c r="CUS25">
        <v>1</v>
      </c>
      <c r="CUT25">
        <v>3</v>
      </c>
      <c r="CUU25">
        <v>5</v>
      </c>
      <c r="CUV25">
        <v>1</v>
      </c>
      <c r="CUW25">
        <v>1</v>
      </c>
      <c r="CUX25">
        <v>1</v>
      </c>
      <c r="CUY25">
        <v>1</v>
      </c>
      <c r="CUZ25">
        <v>1</v>
      </c>
      <c r="CVA25">
        <v>1</v>
      </c>
      <c r="CVB25">
        <v>1</v>
      </c>
      <c r="CVC25">
        <v>2</v>
      </c>
      <c r="CVD25">
        <v>1</v>
      </c>
      <c r="CVE25">
        <v>1</v>
      </c>
      <c r="CVF25">
        <v>2</v>
      </c>
      <c r="CVG25">
        <v>1</v>
      </c>
      <c r="CVH25">
        <v>2</v>
      </c>
      <c r="CVI25">
        <v>1</v>
      </c>
      <c r="CVJ25">
        <v>1</v>
      </c>
      <c r="CVK25">
        <v>1</v>
      </c>
      <c r="CVL25">
        <v>3</v>
      </c>
      <c r="CVM25">
        <v>1</v>
      </c>
      <c r="CVN25">
        <v>1</v>
      </c>
      <c r="CVO25">
        <v>1</v>
      </c>
      <c r="CVP25">
        <v>2</v>
      </c>
      <c r="CVQ25">
        <v>1</v>
      </c>
      <c r="CVR25">
        <v>1</v>
      </c>
      <c r="CVS25">
        <v>2</v>
      </c>
      <c r="CVT25">
        <v>1</v>
      </c>
      <c r="CVU25">
        <v>1</v>
      </c>
      <c r="CVV25">
        <v>4</v>
      </c>
      <c r="CVW25">
        <v>2</v>
      </c>
      <c r="CVX25">
        <v>2</v>
      </c>
      <c r="CVY25">
        <v>1</v>
      </c>
      <c r="CVZ25">
        <v>1</v>
      </c>
      <c r="CWA25">
        <v>1</v>
      </c>
      <c r="CWB25">
        <v>1</v>
      </c>
      <c r="CWC25">
        <v>2</v>
      </c>
      <c r="CWD25">
        <v>2</v>
      </c>
      <c r="CWE25">
        <v>1</v>
      </c>
      <c r="CWF25">
        <v>3</v>
      </c>
      <c r="CWG25">
        <v>1</v>
      </c>
      <c r="CWH25">
        <v>1</v>
      </c>
      <c r="CWI25">
        <v>1</v>
      </c>
      <c r="CWJ25">
        <v>1</v>
      </c>
      <c r="CWK25">
        <v>1</v>
      </c>
      <c r="CWL25">
        <v>1</v>
      </c>
      <c r="CWM25">
        <v>1</v>
      </c>
      <c r="CWN25">
        <v>1</v>
      </c>
      <c r="CWO25">
        <v>2</v>
      </c>
      <c r="CWP25">
        <v>1</v>
      </c>
      <c r="CWQ25">
        <v>1</v>
      </c>
      <c r="CWR25">
        <v>2</v>
      </c>
      <c r="CWS25">
        <v>1</v>
      </c>
      <c r="CWT25">
        <v>1</v>
      </c>
      <c r="CWU25">
        <v>1</v>
      </c>
      <c r="CWV25">
        <v>1</v>
      </c>
      <c r="CWW25">
        <v>2</v>
      </c>
      <c r="CWX25">
        <v>2</v>
      </c>
      <c r="CWY25">
        <v>1</v>
      </c>
      <c r="CWZ25">
        <v>2</v>
      </c>
      <c r="CXA25">
        <v>1</v>
      </c>
      <c r="CXB25">
        <v>2</v>
      </c>
      <c r="CXC25">
        <v>1</v>
      </c>
      <c r="CXD25">
        <v>1</v>
      </c>
      <c r="CXE25">
        <v>4</v>
      </c>
      <c r="CXF25">
        <v>2</v>
      </c>
      <c r="CXG25">
        <v>1</v>
      </c>
      <c r="CXH25">
        <v>2</v>
      </c>
      <c r="CXI25">
        <v>1</v>
      </c>
      <c r="CXJ25">
        <v>1</v>
      </c>
      <c r="CXK25">
        <v>1</v>
      </c>
      <c r="CXL25">
        <v>1</v>
      </c>
      <c r="CXM25">
        <v>2</v>
      </c>
      <c r="CXN25">
        <v>1</v>
      </c>
      <c r="CXO25">
        <v>2</v>
      </c>
      <c r="CXP25">
        <v>1</v>
      </c>
      <c r="CXQ25">
        <v>1</v>
      </c>
      <c r="CXR25">
        <v>1</v>
      </c>
      <c r="CXS25">
        <v>1</v>
      </c>
      <c r="CXT25">
        <v>2</v>
      </c>
      <c r="CXU25">
        <v>2</v>
      </c>
      <c r="CXV25">
        <v>1</v>
      </c>
      <c r="CXW25">
        <v>1</v>
      </c>
      <c r="CXX25">
        <v>1</v>
      </c>
      <c r="CXY25">
        <v>4</v>
      </c>
      <c r="CXZ25">
        <v>3</v>
      </c>
      <c r="CYA25">
        <v>4</v>
      </c>
      <c r="CYB25">
        <v>2</v>
      </c>
      <c r="CYC25">
        <v>1</v>
      </c>
      <c r="CYD25">
        <v>1</v>
      </c>
      <c r="CYE25">
        <v>4</v>
      </c>
      <c r="CYF25">
        <v>1</v>
      </c>
      <c r="CYG25">
        <v>1</v>
      </c>
      <c r="CYH25">
        <v>1</v>
      </c>
      <c r="CYI25">
        <v>2</v>
      </c>
      <c r="CYJ25">
        <v>2</v>
      </c>
      <c r="CYK25">
        <v>2</v>
      </c>
      <c r="CYL25">
        <v>1</v>
      </c>
      <c r="CYM25">
        <v>1</v>
      </c>
      <c r="CYN25">
        <v>1</v>
      </c>
      <c r="CYO25">
        <v>1</v>
      </c>
      <c r="CYP25">
        <v>1</v>
      </c>
      <c r="CYQ25">
        <v>3</v>
      </c>
      <c r="CYR25">
        <v>2</v>
      </c>
      <c r="CYS25">
        <v>1</v>
      </c>
      <c r="CYT25">
        <v>1</v>
      </c>
      <c r="CYU25">
        <v>2</v>
      </c>
      <c r="CYV25">
        <v>4</v>
      </c>
      <c r="CYW25">
        <v>2</v>
      </c>
      <c r="CYX25">
        <v>1</v>
      </c>
      <c r="CYY25">
        <v>2</v>
      </c>
      <c r="CYZ25">
        <v>1</v>
      </c>
      <c r="CZA25">
        <v>1</v>
      </c>
      <c r="CZB25">
        <v>1</v>
      </c>
      <c r="CZC25">
        <v>1</v>
      </c>
      <c r="CZD25">
        <v>1</v>
      </c>
      <c r="CZE25">
        <v>1</v>
      </c>
      <c r="CZF25">
        <v>4</v>
      </c>
      <c r="CZG25">
        <v>2</v>
      </c>
      <c r="CZH25">
        <v>2</v>
      </c>
      <c r="CZI25">
        <v>2</v>
      </c>
      <c r="CZJ25">
        <v>1</v>
      </c>
      <c r="CZK25">
        <v>1</v>
      </c>
      <c r="CZL25">
        <v>1</v>
      </c>
      <c r="CZM25">
        <v>1</v>
      </c>
      <c r="CZN25">
        <v>1</v>
      </c>
      <c r="CZO25">
        <v>1</v>
      </c>
      <c r="CZP25">
        <v>3</v>
      </c>
      <c r="CZQ25">
        <v>1</v>
      </c>
      <c r="CZR25">
        <v>2</v>
      </c>
      <c r="CZS25">
        <v>1</v>
      </c>
      <c r="CZT25">
        <v>1</v>
      </c>
      <c r="CZU25">
        <v>1</v>
      </c>
      <c r="CZV25">
        <v>1</v>
      </c>
      <c r="CZW25">
        <v>1</v>
      </c>
      <c r="CZX25">
        <v>1</v>
      </c>
      <c r="CZY25">
        <v>1</v>
      </c>
      <c r="CZZ25">
        <v>1</v>
      </c>
      <c r="DAA25">
        <v>1</v>
      </c>
      <c r="DAB25">
        <v>1</v>
      </c>
      <c r="DAC25">
        <v>4</v>
      </c>
      <c r="DAD25">
        <v>1</v>
      </c>
      <c r="DAE25">
        <v>1</v>
      </c>
      <c r="DAF25">
        <v>1</v>
      </c>
      <c r="DAG25">
        <v>1</v>
      </c>
      <c r="DAH25">
        <v>2</v>
      </c>
      <c r="DAI25">
        <v>1</v>
      </c>
      <c r="DAJ25">
        <v>1</v>
      </c>
      <c r="DAK25">
        <v>3</v>
      </c>
      <c r="DAL25">
        <v>3</v>
      </c>
      <c r="DAM25">
        <v>1</v>
      </c>
      <c r="DAN25">
        <v>1</v>
      </c>
      <c r="DAO25">
        <v>2</v>
      </c>
      <c r="DAP25">
        <v>1</v>
      </c>
      <c r="DAQ25">
        <v>1</v>
      </c>
      <c r="DAR25">
        <v>1</v>
      </c>
      <c r="DAS25">
        <v>1</v>
      </c>
      <c r="DAT25">
        <v>1</v>
      </c>
      <c r="DAU25">
        <v>2</v>
      </c>
      <c r="DAV25">
        <v>1</v>
      </c>
      <c r="DAW25">
        <v>1</v>
      </c>
      <c r="DAX25">
        <v>4</v>
      </c>
      <c r="DAY25">
        <v>1</v>
      </c>
      <c r="DAZ25">
        <v>4</v>
      </c>
      <c r="DBA25">
        <v>1</v>
      </c>
      <c r="DBB25">
        <v>2</v>
      </c>
      <c r="DBC25">
        <v>1</v>
      </c>
      <c r="DBD25">
        <v>1</v>
      </c>
      <c r="DBE25">
        <v>1</v>
      </c>
      <c r="DBF25">
        <v>3</v>
      </c>
      <c r="DBG25">
        <v>4</v>
      </c>
      <c r="DBH25">
        <v>1</v>
      </c>
      <c r="DBI25">
        <v>1</v>
      </c>
      <c r="DBJ25">
        <v>3</v>
      </c>
      <c r="DBK25">
        <v>1</v>
      </c>
      <c r="DBL25">
        <v>2</v>
      </c>
      <c r="DBM25">
        <v>1</v>
      </c>
      <c r="DBN25">
        <v>1</v>
      </c>
      <c r="DBO25">
        <v>1</v>
      </c>
      <c r="DBP25">
        <v>1</v>
      </c>
      <c r="DBQ25">
        <v>2</v>
      </c>
      <c r="DBR25">
        <v>1</v>
      </c>
      <c r="DBS25">
        <v>2</v>
      </c>
      <c r="DBT25">
        <v>1</v>
      </c>
      <c r="DBU25">
        <v>1</v>
      </c>
      <c r="DBV25">
        <v>3</v>
      </c>
      <c r="DBW25">
        <v>3</v>
      </c>
      <c r="DBX25">
        <v>1</v>
      </c>
      <c r="DBY25">
        <v>1</v>
      </c>
      <c r="DBZ25">
        <v>1</v>
      </c>
      <c r="DCA25">
        <v>5</v>
      </c>
      <c r="DCB25">
        <v>1</v>
      </c>
      <c r="DCC25">
        <v>2</v>
      </c>
      <c r="DCD25">
        <v>1</v>
      </c>
      <c r="DCE25">
        <v>1</v>
      </c>
      <c r="DCF25">
        <v>2</v>
      </c>
      <c r="DCG25">
        <v>1</v>
      </c>
      <c r="DCH25">
        <v>1</v>
      </c>
      <c r="DCI25">
        <v>1</v>
      </c>
      <c r="DCJ25">
        <v>1</v>
      </c>
      <c r="DCK25">
        <v>1</v>
      </c>
      <c r="DCL25">
        <v>3</v>
      </c>
      <c r="DCM25">
        <v>1</v>
      </c>
      <c r="DCN25">
        <v>4</v>
      </c>
      <c r="DCO25">
        <v>1</v>
      </c>
      <c r="DCP25">
        <v>1</v>
      </c>
      <c r="DCQ25">
        <v>2</v>
      </c>
      <c r="DCR25">
        <v>1</v>
      </c>
      <c r="DCS25">
        <v>1</v>
      </c>
      <c r="DCT25">
        <v>1</v>
      </c>
      <c r="DCU25">
        <v>1</v>
      </c>
      <c r="DCV25">
        <v>5</v>
      </c>
      <c r="DCW25">
        <v>2</v>
      </c>
      <c r="DCX25">
        <v>1</v>
      </c>
      <c r="DCY25">
        <v>1</v>
      </c>
      <c r="DCZ25">
        <v>7</v>
      </c>
      <c r="DDA25">
        <v>1</v>
      </c>
      <c r="DDB25">
        <v>1</v>
      </c>
      <c r="DDC25">
        <v>3</v>
      </c>
      <c r="DDD25">
        <v>1</v>
      </c>
      <c r="DDE25">
        <v>1</v>
      </c>
      <c r="DDF25">
        <v>6</v>
      </c>
      <c r="DDG25">
        <v>1</v>
      </c>
      <c r="DDH25">
        <v>1</v>
      </c>
      <c r="DDI25">
        <v>1</v>
      </c>
      <c r="DDJ25">
        <v>1</v>
      </c>
      <c r="DDK25">
        <v>2</v>
      </c>
      <c r="DDL25">
        <v>1</v>
      </c>
      <c r="DDM25">
        <v>1</v>
      </c>
      <c r="DDN25">
        <v>1</v>
      </c>
      <c r="DDO25">
        <v>1</v>
      </c>
      <c r="DDP25">
        <v>1</v>
      </c>
      <c r="DDQ25">
        <v>1</v>
      </c>
      <c r="DDR25">
        <v>1</v>
      </c>
      <c r="DDS25">
        <v>5</v>
      </c>
      <c r="DDT25">
        <v>1</v>
      </c>
      <c r="DDU25">
        <v>1</v>
      </c>
      <c r="DDV25">
        <v>1</v>
      </c>
      <c r="DDW25">
        <v>1</v>
      </c>
      <c r="DDX25">
        <v>1</v>
      </c>
      <c r="DDY25">
        <v>3</v>
      </c>
      <c r="DDZ25">
        <v>1</v>
      </c>
      <c r="DEA25">
        <v>1</v>
      </c>
      <c r="DEB25">
        <v>3</v>
      </c>
      <c r="DEC25">
        <v>3</v>
      </c>
      <c r="DED25">
        <v>1</v>
      </c>
      <c r="DEE25">
        <v>1</v>
      </c>
      <c r="DEF25">
        <v>3</v>
      </c>
      <c r="DEG25">
        <v>1</v>
      </c>
      <c r="DEH25">
        <v>1</v>
      </c>
      <c r="DEI25">
        <v>2</v>
      </c>
      <c r="DEJ25">
        <v>1</v>
      </c>
      <c r="DEK25">
        <v>1</v>
      </c>
      <c r="DEL25">
        <v>1</v>
      </c>
      <c r="DEM25">
        <v>3</v>
      </c>
      <c r="DEN25">
        <v>1</v>
      </c>
      <c r="DEO25">
        <v>3</v>
      </c>
      <c r="DEP25">
        <v>2</v>
      </c>
      <c r="DEQ25">
        <v>3</v>
      </c>
      <c r="DER25">
        <v>1</v>
      </c>
      <c r="DES25">
        <v>2</v>
      </c>
      <c r="DET25">
        <v>1</v>
      </c>
      <c r="DEU25">
        <v>1</v>
      </c>
      <c r="DEV25">
        <v>1</v>
      </c>
      <c r="DEW25">
        <v>4</v>
      </c>
      <c r="DEX25">
        <v>2</v>
      </c>
      <c r="DEY25">
        <v>2</v>
      </c>
      <c r="DEZ25">
        <v>1</v>
      </c>
      <c r="DFA25">
        <v>3</v>
      </c>
      <c r="DFB25">
        <v>1</v>
      </c>
      <c r="DFC25">
        <v>4</v>
      </c>
      <c r="DFD25">
        <v>1</v>
      </c>
      <c r="DFE25">
        <v>1</v>
      </c>
      <c r="DFF25">
        <v>4</v>
      </c>
      <c r="DFG25">
        <v>1</v>
      </c>
      <c r="DFH25">
        <v>1</v>
      </c>
      <c r="DFI25">
        <v>2</v>
      </c>
      <c r="DFJ25">
        <v>1</v>
      </c>
      <c r="DFK25">
        <v>1</v>
      </c>
      <c r="DFL25">
        <v>5</v>
      </c>
      <c r="DFM25">
        <v>1</v>
      </c>
      <c r="DFN25">
        <v>1</v>
      </c>
      <c r="DFO25">
        <v>2</v>
      </c>
      <c r="DFP25">
        <v>2</v>
      </c>
      <c r="DFQ25">
        <v>2</v>
      </c>
      <c r="DFR25">
        <v>1</v>
      </c>
      <c r="DFS25">
        <v>1</v>
      </c>
      <c r="DFT25">
        <v>4</v>
      </c>
      <c r="DFU25">
        <v>1</v>
      </c>
      <c r="DFV25">
        <v>1</v>
      </c>
      <c r="DFW25">
        <v>3</v>
      </c>
      <c r="DFX25">
        <v>1</v>
      </c>
      <c r="DFY25">
        <v>2</v>
      </c>
      <c r="DFZ25">
        <v>4</v>
      </c>
      <c r="DGA25">
        <v>3</v>
      </c>
      <c r="DGB25">
        <v>1</v>
      </c>
      <c r="DGC25">
        <v>5</v>
      </c>
      <c r="DGD25">
        <v>1</v>
      </c>
      <c r="DGE25">
        <v>2</v>
      </c>
      <c r="DGF25">
        <v>3</v>
      </c>
      <c r="DGG25">
        <v>1</v>
      </c>
      <c r="DGH25">
        <v>1</v>
      </c>
      <c r="DGI25">
        <v>1</v>
      </c>
      <c r="DGJ25">
        <v>1</v>
      </c>
      <c r="DGK25">
        <v>1</v>
      </c>
      <c r="DGL25">
        <v>3</v>
      </c>
      <c r="DGM25">
        <v>2</v>
      </c>
      <c r="DGN25">
        <v>1</v>
      </c>
      <c r="DGO25">
        <v>1</v>
      </c>
      <c r="DGP25">
        <v>1</v>
      </c>
      <c r="DGQ25">
        <v>1</v>
      </c>
      <c r="DGR25">
        <v>2</v>
      </c>
      <c r="DGS25">
        <v>1</v>
      </c>
      <c r="DGT25">
        <v>1</v>
      </c>
      <c r="DGU25">
        <v>3</v>
      </c>
      <c r="DGV25">
        <v>2</v>
      </c>
      <c r="DGW25">
        <v>1</v>
      </c>
      <c r="DGX25">
        <v>2</v>
      </c>
      <c r="DGY25">
        <v>2</v>
      </c>
      <c r="DGZ25">
        <v>1</v>
      </c>
      <c r="DHA25">
        <v>1</v>
      </c>
      <c r="DHB25">
        <v>5</v>
      </c>
      <c r="DHC25">
        <v>1</v>
      </c>
      <c r="DHD25">
        <v>1</v>
      </c>
      <c r="DHE25">
        <v>1</v>
      </c>
      <c r="DHF25">
        <v>1</v>
      </c>
      <c r="DHG25">
        <v>1</v>
      </c>
      <c r="DHH25">
        <v>1</v>
      </c>
      <c r="DHI25">
        <v>2</v>
      </c>
      <c r="DHJ25">
        <v>4</v>
      </c>
      <c r="DHK25">
        <v>2</v>
      </c>
      <c r="DHL25">
        <v>1</v>
      </c>
      <c r="DHM25">
        <v>2</v>
      </c>
      <c r="DHN25">
        <v>3</v>
      </c>
      <c r="DHO25">
        <v>3</v>
      </c>
      <c r="DHP25">
        <v>2</v>
      </c>
      <c r="DHQ25">
        <v>1</v>
      </c>
      <c r="DHR25">
        <v>1</v>
      </c>
      <c r="DHS25">
        <v>1</v>
      </c>
      <c r="DHT25">
        <v>3</v>
      </c>
      <c r="DHU25">
        <v>1</v>
      </c>
      <c r="DHV25">
        <v>1</v>
      </c>
      <c r="DHW25">
        <v>2</v>
      </c>
      <c r="DHX25">
        <v>8</v>
      </c>
      <c r="DHY25">
        <v>2</v>
      </c>
      <c r="DHZ25">
        <v>1</v>
      </c>
      <c r="DIA25">
        <v>3</v>
      </c>
      <c r="DIB25">
        <v>1</v>
      </c>
      <c r="DIC25">
        <v>1</v>
      </c>
      <c r="DID25">
        <v>1</v>
      </c>
      <c r="DIE25">
        <v>1</v>
      </c>
      <c r="DIF25">
        <v>1</v>
      </c>
      <c r="DIG25">
        <v>2</v>
      </c>
      <c r="DIH25">
        <v>1</v>
      </c>
      <c r="DII25">
        <v>1</v>
      </c>
      <c r="DIJ25">
        <v>5</v>
      </c>
      <c r="DIK25">
        <v>1</v>
      </c>
      <c r="DIL25">
        <v>1</v>
      </c>
      <c r="DIM25">
        <v>1</v>
      </c>
      <c r="DIN25">
        <v>1</v>
      </c>
      <c r="DIO25">
        <v>1</v>
      </c>
      <c r="DIP25">
        <v>2</v>
      </c>
      <c r="DIQ25">
        <v>1</v>
      </c>
      <c r="DIR25">
        <v>2</v>
      </c>
      <c r="DIS25">
        <v>1</v>
      </c>
      <c r="DIT25">
        <v>1</v>
      </c>
      <c r="DIU25">
        <v>1</v>
      </c>
      <c r="DIV25">
        <v>1</v>
      </c>
      <c r="DIW25">
        <v>1</v>
      </c>
      <c r="DIX25">
        <v>1</v>
      </c>
      <c r="DIY25">
        <v>1</v>
      </c>
      <c r="DIZ25">
        <v>1</v>
      </c>
      <c r="DJA25">
        <v>1</v>
      </c>
      <c r="DJB25">
        <v>1</v>
      </c>
      <c r="DJC25">
        <v>1</v>
      </c>
      <c r="DJD25">
        <v>1</v>
      </c>
      <c r="DJE25">
        <v>1</v>
      </c>
      <c r="DJF25">
        <v>1</v>
      </c>
      <c r="DJG25">
        <v>2</v>
      </c>
      <c r="DJH25">
        <v>1</v>
      </c>
      <c r="DJI25">
        <v>1</v>
      </c>
      <c r="DJJ25">
        <v>2</v>
      </c>
      <c r="DJK25">
        <v>2</v>
      </c>
      <c r="DJL25">
        <v>1</v>
      </c>
      <c r="DJM25">
        <v>2</v>
      </c>
      <c r="DJN25">
        <v>2</v>
      </c>
      <c r="DJO25">
        <v>1</v>
      </c>
      <c r="DJP25">
        <v>1</v>
      </c>
      <c r="DJQ25">
        <v>1</v>
      </c>
      <c r="DJR25">
        <v>6</v>
      </c>
      <c r="DJS25">
        <v>1</v>
      </c>
      <c r="DJT25">
        <v>1</v>
      </c>
      <c r="DJU25">
        <v>4</v>
      </c>
      <c r="DJV25">
        <v>1</v>
      </c>
      <c r="DJW25">
        <v>3</v>
      </c>
      <c r="DJX25">
        <v>1</v>
      </c>
      <c r="DJY25">
        <v>2</v>
      </c>
      <c r="DJZ25">
        <v>1</v>
      </c>
      <c r="DKA25">
        <v>1</v>
      </c>
      <c r="DKB25">
        <v>2</v>
      </c>
      <c r="DKC25">
        <v>1</v>
      </c>
      <c r="DKD25">
        <v>1</v>
      </c>
      <c r="DKE25">
        <v>1</v>
      </c>
      <c r="DKF25">
        <v>1</v>
      </c>
      <c r="DKG25">
        <v>1</v>
      </c>
      <c r="DKH25">
        <v>1</v>
      </c>
      <c r="DKI25">
        <v>1</v>
      </c>
      <c r="DKJ25">
        <v>2</v>
      </c>
      <c r="DKK25">
        <v>1</v>
      </c>
      <c r="DKL25">
        <v>1</v>
      </c>
      <c r="DKM25">
        <v>2</v>
      </c>
      <c r="DKN25">
        <v>1</v>
      </c>
      <c r="DKO25">
        <v>1</v>
      </c>
      <c r="DKP25">
        <v>1</v>
      </c>
      <c r="DKQ25">
        <v>1</v>
      </c>
      <c r="DKR25">
        <v>2</v>
      </c>
      <c r="DKS25">
        <v>1</v>
      </c>
      <c r="DKT25">
        <v>5</v>
      </c>
      <c r="DKU25">
        <v>1</v>
      </c>
      <c r="DKV25">
        <v>1</v>
      </c>
      <c r="DKW25">
        <v>1</v>
      </c>
      <c r="DKX25">
        <v>1</v>
      </c>
      <c r="DKY25">
        <v>1</v>
      </c>
      <c r="DKZ25">
        <v>1</v>
      </c>
      <c r="DLA25">
        <v>1</v>
      </c>
      <c r="DLB25">
        <v>1</v>
      </c>
      <c r="DLC25">
        <v>1</v>
      </c>
      <c r="DLD25">
        <v>1</v>
      </c>
      <c r="DLE25">
        <v>1</v>
      </c>
      <c r="DLF25">
        <v>1</v>
      </c>
      <c r="DLG25">
        <v>5</v>
      </c>
      <c r="DLH25">
        <v>1</v>
      </c>
      <c r="DLI25">
        <v>1</v>
      </c>
      <c r="DLJ25">
        <v>2</v>
      </c>
      <c r="DLK25">
        <v>1</v>
      </c>
      <c r="DLL25">
        <v>1</v>
      </c>
      <c r="DLM25">
        <v>1</v>
      </c>
      <c r="DLN25">
        <v>2</v>
      </c>
      <c r="DLO25">
        <v>5</v>
      </c>
      <c r="DLP25">
        <v>2</v>
      </c>
      <c r="DLQ25">
        <v>2</v>
      </c>
      <c r="DLR25">
        <v>1</v>
      </c>
      <c r="DLS25">
        <v>1</v>
      </c>
      <c r="DLT25">
        <v>1</v>
      </c>
      <c r="DLU25">
        <v>3</v>
      </c>
      <c r="DLV25">
        <v>1</v>
      </c>
      <c r="DLW25">
        <v>4</v>
      </c>
      <c r="DLX25">
        <v>3</v>
      </c>
      <c r="DLY25">
        <v>2</v>
      </c>
      <c r="DLZ25">
        <v>1</v>
      </c>
      <c r="DMA25">
        <v>1</v>
      </c>
      <c r="DMB25">
        <v>1</v>
      </c>
      <c r="DMC25">
        <v>3</v>
      </c>
      <c r="DMD25">
        <v>1</v>
      </c>
      <c r="DME25">
        <v>1</v>
      </c>
      <c r="DMF25">
        <v>1</v>
      </c>
      <c r="DMG25">
        <v>1</v>
      </c>
      <c r="DMH25">
        <v>1</v>
      </c>
      <c r="DMI25">
        <v>3</v>
      </c>
      <c r="DMJ25">
        <v>2</v>
      </c>
      <c r="DMK25">
        <v>1</v>
      </c>
      <c r="DML25">
        <v>1</v>
      </c>
      <c r="DMM25">
        <v>1</v>
      </c>
      <c r="DMN25">
        <v>3</v>
      </c>
      <c r="DMO25">
        <v>3</v>
      </c>
      <c r="DMP25">
        <v>1</v>
      </c>
      <c r="DMQ25">
        <v>1</v>
      </c>
      <c r="DMR25">
        <v>1</v>
      </c>
      <c r="DMS25">
        <v>2</v>
      </c>
      <c r="DMT25">
        <v>1</v>
      </c>
      <c r="DMU25">
        <v>1</v>
      </c>
      <c r="DMV25">
        <v>2</v>
      </c>
      <c r="DMW25">
        <v>1</v>
      </c>
      <c r="DMX25">
        <v>2</v>
      </c>
      <c r="DMY25">
        <v>4</v>
      </c>
      <c r="DMZ25">
        <v>1</v>
      </c>
      <c r="DNA25">
        <v>1</v>
      </c>
      <c r="DNB25">
        <v>1</v>
      </c>
      <c r="DNC25">
        <v>1</v>
      </c>
      <c r="DND25">
        <v>1</v>
      </c>
      <c r="DNE25">
        <v>1</v>
      </c>
      <c r="DNF25">
        <v>1</v>
      </c>
      <c r="DNG25">
        <v>1</v>
      </c>
      <c r="DNH25">
        <v>5</v>
      </c>
      <c r="DNI25">
        <v>1</v>
      </c>
      <c r="DNJ25">
        <v>2</v>
      </c>
      <c r="DNK25">
        <v>1</v>
      </c>
      <c r="DNL25">
        <v>2</v>
      </c>
      <c r="DNM25">
        <v>2</v>
      </c>
      <c r="DNN25">
        <v>1</v>
      </c>
      <c r="DNO25">
        <v>1</v>
      </c>
      <c r="DNP25">
        <v>1</v>
      </c>
      <c r="DNQ25">
        <v>2</v>
      </c>
      <c r="DNR25">
        <v>1</v>
      </c>
      <c r="DNS25">
        <v>2</v>
      </c>
      <c r="DNT25">
        <v>1</v>
      </c>
      <c r="DNU25">
        <v>1</v>
      </c>
      <c r="DNV25">
        <v>2</v>
      </c>
      <c r="DNW25">
        <v>1</v>
      </c>
      <c r="DNX25">
        <v>1</v>
      </c>
      <c r="DNY25">
        <v>4</v>
      </c>
      <c r="DNZ25">
        <v>1</v>
      </c>
      <c r="DOA25">
        <v>1</v>
      </c>
      <c r="DOB25">
        <v>3</v>
      </c>
      <c r="DOC25">
        <v>3</v>
      </c>
      <c r="DOD25">
        <v>3</v>
      </c>
      <c r="DOE25">
        <v>2</v>
      </c>
      <c r="DOF25">
        <v>2</v>
      </c>
      <c r="DOG25">
        <v>1</v>
      </c>
      <c r="DOH25">
        <v>1</v>
      </c>
      <c r="DOI25">
        <v>1</v>
      </c>
      <c r="DOJ25">
        <v>1</v>
      </c>
      <c r="DOK25">
        <v>1</v>
      </c>
      <c r="DOL25">
        <v>3</v>
      </c>
      <c r="DOM25">
        <v>1</v>
      </c>
      <c r="DON25">
        <v>2</v>
      </c>
      <c r="DOO25">
        <v>1</v>
      </c>
      <c r="DOP25">
        <v>1</v>
      </c>
      <c r="DOQ25">
        <v>2</v>
      </c>
      <c r="DOR25">
        <v>1</v>
      </c>
      <c r="DOS25">
        <v>1</v>
      </c>
      <c r="DOT25">
        <v>3</v>
      </c>
      <c r="DOU25">
        <v>1</v>
      </c>
      <c r="DOV25">
        <v>1</v>
      </c>
      <c r="DOW25">
        <v>2</v>
      </c>
      <c r="DOX25">
        <v>1</v>
      </c>
      <c r="DOY25">
        <v>1</v>
      </c>
      <c r="DOZ25">
        <v>1</v>
      </c>
      <c r="DPA25">
        <v>1</v>
      </c>
      <c r="DPB25">
        <v>1</v>
      </c>
      <c r="DPC25">
        <v>2</v>
      </c>
      <c r="DPD25">
        <v>5</v>
      </c>
      <c r="DPE25">
        <v>2</v>
      </c>
      <c r="DPF25">
        <v>1</v>
      </c>
      <c r="DPG25">
        <v>1</v>
      </c>
      <c r="DPH25">
        <v>1</v>
      </c>
      <c r="DPI25">
        <v>1</v>
      </c>
      <c r="DPJ25">
        <v>1</v>
      </c>
      <c r="DPK25">
        <v>3</v>
      </c>
      <c r="DPL25">
        <v>1</v>
      </c>
      <c r="DPM25">
        <v>3</v>
      </c>
      <c r="DPN25">
        <v>1</v>
      </c>
      <c r="DPO25">
        <v>2</v>
      </c>
      <c r="DPP25">
        <v>1</v>
      </c>
      <c r="DPQ25">
        <v>1</v>
      </c>
      <c r="DPR25">
        <v>4</v>
      </c>
      <c r="DPS25">
        <v>1</v>
      </c>
      <c r="DPT25">
        <v>3</v>
      </c>
      <c r="DPU25">
        <v>1</v>
      </c>
      <c r="DPV25">
        <v>2</v>
      </c>
      <c r="DPW25">
        <v>1</v>
      </c>
      <c r="DPX25">
        <v>1</v>
      </c>
      <c r="DPY25">
        <v>1</v>
      </c>
      <c r="DPZ25">
        <v>1</v>
      </c>
      <c r="DQA25">
        <v>1</v>
      </c>
      <c r="DQB25">
        <v>1</v>
      </c>
      <c r="DQC25">
        <v>1</v>
      </c>
      <c r="DQD25">
        <v>1</v>
      </c>
      <c r="DQE25">
        <v>1</v>
      </c>
      <c r="DQF25">
        <v>5</v>
      </c>
      <c r="DQG25">
        <v>1</v>
      </c>
      <c r="DQH25">
        <v>2</v>
      </c>
      <c r="DQI25">
        <v>1</v>
      </c>
      <c r="DQJ25">
        <v>1</v>
      </c>
      <c r="DQK25">
        <v>1</v>
      </c>
      <c r="DQL25">
        <v>1</v>
      </c>
      <c r="DQM25">
        <v>4</v>
      </c>
      <c r="DQN25">
        <v>2</v>
      </c>
      <c r="DQO25">
        <v>1</v>
      </c>
      <c r="DQP25">
        <v>4</v>
      </c>
      <c r="DQQ25">
        <v>2</v>
      </c>
      <c r="DQR25">
        <v>2</v>
      </c>
      <c r="DQS25">
        <v>1</v>
      </c>
      <c r="DQT25">
        <v>2</v>
      </c>
      <c r="DQU25">
        <v>1</v>
      </c>
      <c r="DQV25">
        <v>1</v>
      </c>
      <c r="DQW25">
        <v>2</v>
      </c>
      <c r="DQX25">
        <v>5</v>
      </c>
      <c r="DQY25">
        <v>1</v>
      </c>
      <c r="DQZ25">
        <v>1</v>
      </c>
      <c r="DRA25">
        <v>1</v>
      </c>
      <c r="DRB25">
        <v>1</v>
      </c>
      <c r="DRC25">
        <v>4</v>
      </c>
      <c r="DRD25">
        <v>1</v>
      </c>
      <c r="DRE25">
        <v>1</v>
      </c>
      <c r="DRF25">
        <v>2</v>
      </c>
      <c r="DRG25">
        <v>1</v>
      </c>
      <c r="DRH25">
        <v>4</v>
      </c>
      <c r="DRI25">
        <v>1</v>
      </c>
      <c r="DRJ25">
        <v>2</v>
      </c>
      <c r="DRK25">
        <v>2</v>
      </c>
      <c r="DRL25">
        <v>3</v>
      </c>
      <c r="DRM25">
        <v>2</v>
      </c>
      <c r="DRN25">
        <v>2</v>
      </c>
      <c r="DRO25">
        <v>1</v>
      </c>
      <c r="DRP25">
        <v>1</v>
      </c>
      <c r="DRQ25">
        <v>3</v>
      </c>
      <c r="DRR25">
        <v>1</v>
      </c>
      <c r="DRS25">
        <v>1</v>
      </c>
      <c r="DRT25">
        <v>1</v>
      </c>
      <c r="DRU25">
        <v>1</v>
      </c>
      <c r="DRV25">
        <v>1</v>
      </c>
      <c r="DRW25">
        <v>9</v>
      </c>
      <c r="DRX25">
        <v>7</v>
      </c>
      <c r="DRY25">
        <v>1</v>
      </c>
      <c r="DRZ25">
        <v>3</v>
      </c>
      <c r="DSA25">
        <v>2</v>
      </c>
      <c r="DSB25">
        <v>1</v>
      </c>
      <c r="DSC25">
        <v>1</v>
      </c>
      <c r="DSD25">
        <v>1</v>
      </c>
      <c r="DSE25">
        <v>1</v>
      </c>
      <c r="DSF25">
        <v>1</v>
      </c>
      <c r="DSG25">
        <v>1</v>
      </c>
      <c r="DSH25">
        <v>1</v>
      </c>
      <c r="DSI25">
        <v>1</v>
      </c>
      <c r="DSJ25">
        <v>1</v>
      </c>
      <c r="DSK25">
        <v>1</v>
      </c>
      <c r="DSL25">
        <v>2</v>
      </c>
      <c r="DSM25">
        <v>1</v>
      </c>
      <c r="DSN25">
        <v>1</v>
      </c>
      <c r="DSO25">
        <v>2</v>
      </c>
      <c r="DSP25">
        <v>2</v>
      </c>
      <c r="DSQ25">
        <v>3</v>
      </c>
      <c r="DSR25">
        <v>1</v>
      </c>
      <c r="DSS25">
        <v>2</v>
      </c>
      <c r="DST25">
        <v>1</v>
      </c>
      <c r="DSU25">
        <v>1</v>
      </c>
      <c r="DSV25">
        <v>1</v>
      </c>
      <c r="DSW25">
        <v>2</v>
      </c>
      <c r="DSX25">
        <v>1</v>
      </c>
      <c r="DSY25">
        <v>1</v>
      </c>
      <c r="DSZ25">
        <v>1</v>
      </c>
      <c r="DTA25">
        <v>1</v>
      </c>
      <c r="DTB25">
        <v>6</v>
      </c>
      <c r="DTC25">
        <v>1</v>
      </c>
      <c r="DTD25">
        <v>1</v>
      </c>
      <c r="DTE25">
        <v>1</v>
      </c>
      <c r="DTF25">
        <v>5</v>
      </c>
      <c r="DTG25">
        <v>1</v>
      </c>
      <c r="DTH25">
        <v>1</v>
      </c>
      <c r="DTI25">
        <v>1</v>
      </c>
      <c r="DTJ25">
        <v>1</v>
      </c>
      <c r="DTK25">
        <v>1</v>
      </c>
      <c r="DTL25">
        <v>7</v>
      </c>
      <c r="DTM25">
        <v>5</v>
      </c>
      <c r="DTN25">
        <v>1</v>
      </c>
      <c r="DTO25">
        <v>2</v>
      </c>
      <c r="DTP25">
        <v>6</v>
      </c>
      <c r="DTQ25">
        <v>1</v>
      </c>
      <c r="DTR25">
        <v>1</v>
      </c>
      <c r="DTS25">
        <v>1</v>
      </c>
      <c r="DTT25">
        <v>7</v>
      </c>
      <c r="DTU25">
        <v>3</v>
      </c>
      <c r="DTV25">
        <v>1</v>
      </c>
      <c r="DTW25">
        <v>1</v>
      </c>
      <c r="DTX25">
        <v>6</v>
      </c>
      <c r="DTY25">
        <v>1</v>
      </c>
      <c r="DTZ25">
        <v>2</v>
      </c>
      <c r="DUA25">
        <v>1</v>
      </c>
      <c r="DUB25">
        <v>1</v>
      </c>
      <c r="DUC25">
        <v>1</v>
      </c>
      <c r="DUD25">
        <v>1</v>
      </c>
      <c r="DUE25">
        <v>4</v>
      </c>
      <c r="DUF25">
        <v>2</v>
      </c>
      <c r="DUG25">
        <v>1</v>
      </c>
      <c r="DUH25">
        <v>2</v>
      </c>
      <c r="DUI25">
        <v>2</v>
      </c>
      <c r="DUJ25">
        <v>1</v>
      </c>
      <c r="DUK25">
        <v>2</v>
      </c>
      <c r="DUL25">
        <v>1</v>
      </c>
      <c r="DUM25">
        <v>2</v>
      </c>
      <c r="DUN25">
        <v>1</v>
      </c>
      <c r="DUO25">
        <v>4</v>
      </c>
      <c r="DUP25">
        <v>1</v>
      </c>
      <c r="DUQ25">
        <v>2</v>
      </c>
      <c r="DUR25">
        <v>1</v>
      </c>
      <c r="DUS25">
        <v>2</v>
      </c>
      <c r="DUT25">
        <v>4</v>
      </c>
      <c r="DUU25">
        <v>4</v>
      </c>
      <c r="DUV25">
        <v>5</v>
      </c>
      <c r="DUW25">
        <v>2</v>
      </c>
      <c r="DUX25">
        <v>1</v>
      </c>
      <c r="DUY25">
        <v>1</v>
      </c>
      <c r="DUZ25">
        <v>6</v>
      </c>
      <c r="DVA25">
        <v>2</v>
      </c>
      <c r="DVB25">
        <v>1</v>
      </c>
      <c r="DVC25">
        <v>1</v>
      </c>
      <c r="DVD25">
        <v>1</v>
      </c>
      <c r="DVE25">
        <v>1</v>
      </c>
      <c r="DVF25">
        <v>1</v>
      </c>
      <c r="DVG25">
        <v>1</v>
      </c>
      <c r="DVH25">
        <v>2</v>
      </c>
      <c r="DVI25">
        <v>2</v>
      </c>
      <c r="DVJ25">
        <v>1</v>
      </c>
      <c r="DVK25">
        <v>2</v>
      </c>
      <c r="DVL25">
        <v>4</v>
      </c>
      <c r="DVM25">
        <v>1</v>
      </c>
      <c r="DVN25">
        <v>1</v>
      </c>
      <c r="DVO25">
        <v>1</v>
      </c>
      <c r="DVP25">
        <v>2</v>
      </c>
      <c r="DVQ25">
        <v>1</v>
      </c>
      <c r="DVR25">
        <v>5</v>
      </c>
      <c r="DVS25">
        <v>1</v>
      </c>
      <c r="DVT25">
        <v>1</v>
      </c>
      <c r="DVU25">
        <v>1</v>
      </c>
      <c r="DVV25">
        <v>2</v>
      </c>
      <c r="DVW25">
        <v>1</v>
      </c>
      <c r="DVX25">
        <v>1</v>
      </c>
      <c r="DVY25">
        <v>1</v>
      </c>
      <c r="DVZ25">
        <v>2</v>
      </c>
      <c r="DWA25">
        <v>2</v>
      </c>
      <c r="DWB25">
        <v>1</v>
      </c>
      <c r="DWC25">
        <v>1</v>
      </c>
      <c r="DWD25">
        <v>6</v>
      </c>
      <c r="DWE25">
        <v>2</v>
      </c>
      <c r="DWF25">
        <v>1</v>
      </c>
      <c r="DWG25">
        <v>2</v>
      </c>
      <c r="DWH25">
        <v>1</v>
      </c>
      <c r="DWI25">
        <v>1</v>
      </c>
      <c r="DWJ25">
        <v>1</v>
      </c>
      <c r="DWK25">
        <v>1</v>
      </c>
      <c r="DWL25">
        <v>3</v>
      </c>
      <c r="DWM25">
        <v>1</v>
      </c>
      <c r="DWN25">
        <v>4</v>
      </c>
      <c r="DWO25">
        <v>1</v>
      </c>
      <c r="DWP25">
        <v>1</v>
      </c>
      <c r="DWQ25">
        <v>2</v>
      </c>
      <c r="DWR25">
        <v>1</v>
      </c>
      <c r="DWS25">
        <v>1</v>
      </c>
      <c r="DWT25">
        <v>4</v>
      </c>
      <c r="DWU25">
        <v>7</v>
      </c>
      <c r="DWV25">
        <v>1</v>
      </c>
      <c r="DWW25">
        <v>1</v>
      </c>
      <c r="DWX25">
        <v>2</v>
      </c>
      <c r="DWY25">
        <v>1</v>
      </c>
      <c r="DWZ25">
        <v>1</v>
      </c>
      <c r="DXA25">
        <v>1</v>
      </c>
      <c r="DXB25">
        <v>1</v>
      </c>
      <c r="DXC25">
        <v>1</v>
      </c>
      <c r="DXD25">
        <v>1</v>
      </c>
      <c r="DXE25">
        <v>1</v>
      </c>
      <c r="DXF25">
        <v>1</v>
      </c>
      <c r="DXG25">
        <v>2</v>
      </c>
      <c r="DXH25">
        <v>3</v>
      </c>
      <c r="DXI25">
        <v>1</v>
      </c>
      <c r="DXJ25">
        <v>1</v>
      </c>
      <c r="DXK25">
        <v>2</v>
      </c>
      <c r="DXL25">
        <v>1</v>
      </c>
      <c r="DXM25">
        <v>3</v>
      </c>
      <c r="DXN25">
        <v>1</v>
      </c>
      <c r="DXO25">
        <v>1</v>
      </c>
      <c r="DXP25">
        <v>2</v>
      </c>
      <c r="DXQ25">
        <v>3</v>
      </c>
      <c r="DXR25">
        <v>5</v>
      </c>
      <c r="DXS25">
        <v>1</v>
      </c>
      <c r="DXT25">
        <v>1</v>
      </c>
      <c r="DXU25">
        <v>1</v>
      </c>
      <c r="DXV25">
        <v>1</v>
      </c>
      <c r="DXW25">
        <v>1</v>
      </c>
      <c r="DXX25">
        <v>2</v>
      </c>
      <c r="DXY25">
        <v>1</v>
      </c>
      <c r="DXZ25">
        <v>3</v>
      </c>
      <c r="DYA25">
        <v>3</v>
      </c>
      <c r="DYB25">
        <v>1</v>
      </c>
      <c r="DYC25">
        <v>1</v>
      </c>
      <c r="DYD25">
        <v>2</v>
      </c>
      <c r="DYE25">
        <v>1</v>
      </c>
      <c r="DYF25">
        <v>1</v>
      </c>
      <c r="DYG25">
        <v>2</v>
      </c>
      <c r="DYH25">
        <v>1</v>
      </c>
      <c r="DYI25">
        <v>1</v>
      </c>
      <c r="DYJ25">
        <v>2</v>
      </c>
      <c r="DYK25">
        <v>6</v>
      </c>
      <c r="DYL25">
        <v>1</v>
      </c>
      <c r="DYM25">
        <v>1</v>
      </c>
      <c r="DYN25">
        <v>2</v>
      </c>
      <c r="DYO25">
        <v>3</v>
      </c>
      <c r="DYP25">
        <v>1</v>
      </c>
      <c r="DYQ25">
        <v>1</v>
      </c>
      <c r="DYR25">
        <v>1</v>
      </c>
      <c r="DYS25">
        <v>5</v>
      </c>
      <c r="DYT25">
        <v>2</v>
      </c>
      <c r="DYU25">
        <v>1</v>
      </c>
      <c r="DYV25">
        <v>3</v>
      </c>
      <c r="DYW25">
        <v>1</v>
      </c>
      <c r="DYX25">
        <v>1</v>
      </c>
      <c r="DYY25">
        <v>1</v>
      </c>
      <c r="DYZ25">
        <v>3</v>
      </c>
      <c r="DZA25">
        <v>1</v>
      </c>
      <c r="DZB25">
        <v>2</v>
      </c>
      <c r="DZC25">
        <v>1</v>
      </c>
      <c r="DZD25">
        <v>1</v>
      </c>
      <c r="DZE25">
        <v>1</v>
      </c>
      <c r="DZF25">
        <v>2</v>
      </c>
      <c r="DZG25">
        <v>1</v>
      </c>
      <c r="DZH25">
        <v>2</v>
      </c>
      <c r="DZI25">
        <v>5</v>
      </c>
      <c r="DZJ25">
        <v>3</v>
      </c>
      <c r="DZK25">
        <v>2</v>
      </c>
      <c r="DZL25">
        <v>1</v>
      </c>
      <c r="DZM25">
        <v>2</v>
      </c>
      <c r="DZN25">
        <v>1</v>
      </c>
      <c r="DZO25">
        <v>1</v>
      </c>
      <c r="DZP25">
        <v>1</v>
      </c>
      <c r="DZQ25">
        <v>1</v>
      </c>
      <c r="DZR25">
        <v>1</v>
      </c>
      <c r="DZS25">
        <v>1</v>
      </c>
      <c r="DZT25">
        <v>3</v>
      </c>
      <c r="DZU25">
        <v>2</v>
      </c>
      <c r="DZV25">
        <v>4</v>
      </c>
      <c r="DZW25">
        <v>1</v>
      </c>
      <c r="DZX25">
        <v>3</v>
      </c>
      <c r="DZY25">
        <v>1</v>
      </c>
      <c r="DZZ25">
        <v>1</v>
      </c>
      <c r="EAA25">
        <v>1</v>
      </c>
      <c r="EAB25">
        <v>3</v>
      </c>
      <c r="EAC25">
        <v>1</v>
      </c>
      <c r="EAD25">
        <v>2</v>
      </c>
      <c r="EAE25">
        <v>2</v>
      </c>
      <c r="EAF25">
        <v>2</v>
      </c>
      <c r="EAG25">
        <v>1</v>
      </c>
      <c r="EAH25">
        <v>4</v>
      </c>
      <c r="EAI25">
        <v>6</v>
      </c>
      <c r="EAJ25">
        <v>1</v>
      </c>
      <c r="EAK25">
        <v>2</v>
      </c>
      <c r="EAL25">
        <v>3</v>
      </c>
      <c r="EAM25">
        <v>1</v>
      </c>
      <c r="EAN25">
        <v>5</v>
      </c>
      <c r="EAO25">
        <v>3</v>
      </c>
      <c r="EAP25">
        <v>2</v>
      </c>
      <c r="EAQ25">
        <v>2</v>
      </c>
      <c r="EAR25">
        <v>5</v>
      </c>
      <c r="EAS25">
        <v>2</v>
      </c>
      <c r="EAT25">
        <v>2</v>
      </c>
      <c r="EAU25">
        <v>3</v>
      </c>
      <c r="EAV25">
        <v>1</v>
      </c>
      <c r="EAW25">
        <v>5</v>
      </c>
      <c r="EAX25">
        <v>1</v>
      </c>
      <c r="EAY25">
        <v>3</v>
      </c>
      <c r="EAZ25">
        <v>3</v>
      </c>
      <c r="EBA25">
        <v>2</v>
      </c>
      <c r="EBB25">
        <v>2</v>
      </c>
      <c r="EBC25">
        <v>3</v>
      </c>
      <c r="EBD25">
        <v>1</v>
      </c>
      <c r="EBE25">
        <v>6</v>
      </c>
      <c r="EBF25">
        <v>2</v>
      </c>
      <c r="EBG25">
        <v>1</v>
      </c>
      <c r="EBH25">
        <v>1</v>
      </c>
      <c r="EBI25">
        <v>3</v>
      </c>
      <c r="EBJ25">
        <v>1</v>
      </c>
      <c r="EBK25">
        <v>4</v>
      </c>
      <c r="EBL25">
        <v>2</v>
      </c>
      <c r="EBM25">
        <v>1</v>
      </c>
      <c r="EBN25">
        <v>2</v>
      </c>
      <c r="EBO25">
        <v>1</v>
      </c>
      <c r="EBP25">
        <v>1</v>
      </c>
      <c r="EBQ25">
        <v>1</v>
      </c>
      <c r="EBR25">
        <v>2</v>
      </c>
      <c r="EBS25">
        <v>1</v>
      </c>
      <c r="EBT25">
        <v>2</v>
      </c>
      <c r="EBU25">
        <v>1</v>
      </c>
      <c r="EBV25">
        <v>1</v>
      </c>
      <c r="EBW25">
        <v>1</v>
      </c>
      <c r="EBX25">
        <v>1</v>
      </c>
      <c r="EBY25">
        <v>6</v>
      </c>
      <c r="EBZ25">
        <v>6</v>
      </c>
      <c r="ECA25">
        <v>1</v>
      </c>
      <c r="ECB25">
        <v>2</v>
      </c>
      <c r="ECC25">
        <v>1</v>
      </c>
      <c r="ECD25">
        <v>4</v>
      </c>
      <c r="ECE25">
        <v>2</v>
      </c>
      <c r="ECF25">
        <v>4</v>
      </c>
      <c r="ECG25">
        <v>5</v>
      </c>
      <c r="ECH25">
        <v>1</v>
      </c>
      <c r="ECI25">
        <v>3</v>
      </c>
      <c r="ECJ25">
        <v>4</v>
      </c>
      <c r="ECK25">
        <v>2</v>
      </c>
      <c r="ECL25">
        <v>2</v>
      </c>
      <c r="ECM25">
        <v>1</v>
      </c>
      <c r="ECN25">
        <v>3</v>
      </c>
      <c r="ECO25">
        <v>1</v>
      </c>
      <c r="ECP25">
        <v>1</v>
      </c>
      <c r="ECQ25">
        <v>1</v>
      </c>
      <c r="ECR25">
        <v>2</v>
      </c>
      <c r="ECS25">
        <v>2</v>
      </c>
      <c r="ECT25">
        <v>1</v>
      </c>
      <c r="ECU25">
        <v>1</v>
      </c>
      <c r="ECV25">
        <v>1</v>
      </c>
      <c r="ECW25">
        <v>1</v>
      </c>
      <c r="ECX25">
        <v>4</v>
      </c>
      <c r="ECY25">
        <v>2</v>
      </c>
      <c r="ECZ25">
        <v>2</v>
      </c>
      <c r="EDA25">
        <v>3</v>
      </c>
      <c r="EDB25">
        <v>2</v>
      </c>
      <c r="EDC25">
        <v>2</v>
      </c>
      <c r="EDD25">
        <v>1</v>
      </c>
      <c r="EDE25">
        <v>2</v>
      </c>
      <c r="EDF25">
        <v>1</v>
      </c>
      <c r="EDG25">
        <v>3</v>
      </c>
      <c r="EDH25">
        <v>1</v>
      </c>
      <c r="EDI25">
        <v>1</v>
      </c>
      <c r="EDJ25">
        <v>1</v>
      </c>
      <c r="EDK25">
        <v>2</v>
      </c>
      <c r="EDL25">
        <v>5</v>
      </c>
      <c r="EDM25">
        <v>6</v>
      </c>
      <c r="EDN25">
        <v>5</v>
      </c>
      <c r="EDO25">
        <v>1</v>
      </c>
      <c r="EDP25">
        <v>5</v>
      </c>
      <c r="EDQ25">
        <v>1</v>
      </c>
      <c r="EDR25">
        <v>5</v>
      </c>
      <c r="EDS25">
        <v>1</v>
      </c>
      <c r="EDT25">
        <v>1</v>
      </c>
      <c r="EDU25">
        <v>1</v>
      </c>
      <c r="EDV25">
        <v>2</v>
      </c>
      <c r="EDW25">
        <v>5</v>
      </c>
      <c r="EDX25">
        <v>3</v>
      </c>
      <c r="EDY25">
        <v>1</v>
      </c>
      <c r="EDZ25">
        <v>2</v>
      </c>
      <c r="EEA25">
        <v>3</v>
      </c>
      <c r="EEB25">
        <v>1</v>
      </c>
      <c r="EEC25">
        <v>1</v>
      </c>
      <c r="EED25">
        <v>1</v>
      </c>
      <c r="EEE25">
        <v>2</v>
      </c>
      <c r="EEF25">
        <v>1</v>
      </c>
      <c r="EEG25">
        <v>2</v>
      </c>
      <c r="EEH25">
        <v>3</v>
      </c>
      <c r="EEI25">
        <v>1</v>
      </c>
      <c r="EEJ25">
        <v>2</v>
      </c>
      <c r="EEK25">
        <v>1</v>
      </c>
      <c r="EEL25">
        <v>1</v>
      </c>
      <c r="EEM25">
        <v>1</v>
      </c>
      <c r="EEN25">
        <v>1</v>
      </c>
      <c r="EEO25">
        <v>2</v>
      </c>
      <c r="EEP25">
        <v>2</v>
      </c>
      <c r="EEQ25">
        <v>4</v>
      </c>
      <c r="EER25">
        <v>1</v>
      </c>
      <c r="EES25">
        <v>3</v>
      </c>
      <c r="EET25">
        <v>1</v>
      </c>
      <c r="EEU25">
        <v>2</v>
      </c>
      <c r="EEV25">
        <v>1</v>
      </c>
      <c r="EEW25">
        <v>2</v>
      </c>
      <c r="EEX25">
        <v>1</v>
      </c>
      <c r="EEY25">
        <v>2</v>
      </c>
      <c r="EEZ25">
        <v>1</v>
      </c>
      <c r="EFA25">
        <v>1</v>
      </c>
      <c r="EFB25">
        <v>1</v>
      </c>
      <c r="EFC25">
        <v>1</v>
      </c>
      <c r="EFD25">
        <v>1</v>
      </c>
      <c r="EFE25">
        <v>2</v>
      </c>
      <c r="EFF25">
        <v>1</v>
      </c>
      <c r="EFG25">
        <v>1</v>
      </c>
      <c r="EFH25">
        <v>1</v>
      </c>
      <c r="EFI25">
        <v>1</v>
      </c>
      <c r="EFJ25">
        <v>2</v>
      </c>
      <c r="EFK25">
        <v>1</v>
      </c>
      <c r="EFL25">
        <v>3</v>
      </c>
      <c r="EFM25">
        <v>1</v>
      </c>
      <c r="EFN25">
        <v>3</v>
      </c>
      <c r="EFO25">
        <v>2</v>
      </c>
      <c r="EFP25">
        <v>6</v>
      </c>
      <c r="EFQ25">
        <v>1</v>
      </c>
      <c r="EFR25">
        <v>3</v>
      </c>
      <c r="EFS25">
        <v>1</v>
      </c>
      <c r="EFT25">
        <v>1</v>
      </c>
      <c r="EFU25">
        <v>1</v>
      </c>
      <c r="EFV25">
        <v>3</v>
      </c>
      <c r="EFW25">
        <v>2</v>
      </c>
      <c r="EFX25">
        <v>1</v>
      </c>
      <c r="EFY25">
        <v>6</v>
      </c>
      <c r="EFZ25">
        <v>1</v>
      </c>
      <c r="EGA25">
        <v>1</v>
      </c>
      <c r="EGB25">
        <v>1</v>
      </c>
      <c r="EGC25">
        <v>2</v>
      </c>
      <c r="EGD25">
        <v>4</v>
      </c>
      <c r="EGE25">
        <v>2</v>
      </c>
      <c r="EGF25">
        <v>2</v>
      </c>
      <c r="EGG25">
        <v>1</v>
      </c>
      <c r="EGH25">
        <v>2</v>
      </c>
      <c r="EGI25">
        <v>5</v>
      </c>
      <c r="EGJ25">
        <v>1</v>
      </c>
      <c r="EGK25">
        <v>1</v>
      </c>
      <c r="EGL25">
        <v>1</v>
      </c>
      <c r="EGM25">
        <v>1</v>
      </c>
      <c r="EGN25">
        <v>4</v>
      </c>
      <c r="EGO25">
        <v>1</v>
      </c>
      <c r="EGP25">
        <v>1</v>
      </c>
      <c r="EGQ25">
        <v>1</v>
      </c>
      <c r="EGR25">
        <v>2</v>
      </c>
      <c r="EGS25">
        <v>9</v>
      </c>
      <c r="EGT25">
        <v>1</v>
      </c>
      <c r="EGU25">
        <v>6</v>
      </c>
      <c r="EGV25">
        <v>1</v>
      </c>
      <c r="EGW25">
        <v>7</v>
      </c>
      <c r="EGX25">
        <v>2</v>
      </c>
      <c r="EGY25">
        <v>1</v>
      </c>
      <c r="EGZ25">
        <v>1</v>
      </c>
      <c r="EHA25">
        <v>2</v>
      </c>
      <c r="EHB25">
        <v>7</v>
      </c>
      <c r="EHC25">
        <v>1</v>
      </c>
      <c r="EHD25">
        <v>2</v>
      </c>
      <c r="EHE25">
        <v>1</v>
      </c>
      <c r="EHF25">
        <v>1</v>
      </c>
      <c r="EHG25">
        <v>2</v>
      </c>
      <c r="EHH25">
        <v>2</v>
      </c>
      <c r="EHI25">
        <v>2</v>
      </c>
      <c r="EHJ25">
        <v>7</v>
      </c>
      <c r="EHK25">
        <v>1</v>
      </c>
      <c r="EHL25">
        <v>6</v>
      </c>
      <c r="EHM25">
        <v>1</v>
      </c>
      <c r="EHN25">
        <v>1</v>
      </c>
      <c r="EHO25">
        <v>1</v>
      </c>
      <c r="EHP25">
        <v>1</v>
      </c>
      <c r="EHQ25">
        <v>2</v>
      </c>
      <c r="EHR25">
        <v>1</v>
      </c>
      <c r="EHS25">
        <v>1</v>
      </c>
      <c r="EHT25">
        <v>1</v>
      </c>
      <c r="EHU25">
        <v>1</v>
      </c>
      <c r="EHV25">
        <v>1</v>
      </c>
      <c r="EHW25">
        <v>1</v>
      </c>
      <c r="EHX25">
        <v>4</v>
      </c>
      <c r="EHY25">
        <v>1</v>
      </c>
      <c r="EHZ25">
        <v>3</v>
      </c>
      <c r="EIA25">
        <v>1</v>
      </c>
      <c r="EIB25">
        <v>1</v>
      </c>
      <c r="EIC25">
        <v>7</v>
      </c>
      <c r="EID25">
        <v>3</v>
      </c>
      <c r="EIE25">
        <v>6</v>
      </c>
      <c r="EIF25">
        <v>1</v>
      </c>
      <c r="EIG25">
        <v>3</v>
      </c>
      <c r="EIH25">
        <v>2</v>
      </c>
      <c r="EII25">
        <v>9</v>
      </c>
      <c r="EIJ25">
        <v>1</v>
      </c>
      <c r="EIK25">
        <v>2</v>
      </c>
      <c r="EIL25">
        <v>1</v>
      </c>
      <c r="EIM25">
        <v>1</v>
      </c>
      <c r="EIN25">
        <v>2</v>
      </c>
      <c r="EIO25">
        <v>1</v>
      </c>
      <c r="EIP25">
        <v>1</v>
      </c>
      <c r="EIQ25">
        <v>2</v>
      </c>
      <c r="EIR25">
        <v>2</v>
      </c>
      <c r="EIS25">
        <v>1</v>
      </c>
      <c r="EIT25">
        <v>11</v>
      </c>
      <c r="EIU25">
        <v>4</v>
      </c>
      <c r="EIV25">
        <v>7</v>
      </c>
      <c r="EIW25">
        <v>1</v>
      </c>
      <c r="EIX25">
        <v>5</v>
      </c>
      <c r="EIY25">
        <v>1</v>
      </c>
      <c r="EIZ25">
        <v>1</v>
      </c>
      <c r="EJA25">
        <v>6</v>
      </c>
      <c r="EJB25">
        <v>7</v>
      </c>
      <c r="EJC25">
        <v>1</v>
      </c>
      <c r="EJD25">
        <v>1</v>
      </c>
      <c r="EJE25">
        <v>4</v>
      </c>
      <c r="EJF25">
        <v>1</v>
      </c>
      <c r="EJG25">
        <v>1</v>
      </c>
      <c r="EJH25">
        <v>2</v>
      </c>
      <c r="EJI25">
        <v>1</v>
      </c>
      <c r="EJJ25">
        <v>1</v>
      </c>
      <c r="EJK25">
        <v>1</v>
      </c>
      <c r="EJL25">
        <v>1</v>
      </c>
      <c r="EJM25">
        <v>1</v>
      </c>
      <c r="EJN25">
        <v>1</v>
      </c>
      <c r="EJO25">
        <v>1</v>
      </c>
      <c r="EJP25">
        <v>1</v>
      </c>
      <c r="EJQ25">
        <v>1</v>
      </c>
      <c r="EJR25">
        <v>1</v>
      </c>
      <c r="EJS25">
        <v>3</v>
      </c>
      <c r="EJT25">
        <v>2</v>
      </c>
      <c r="EJU25">
        <v>1</v>
      </c>
      <c r="EJV25">
        <v>1</v>
      </c>
      <c r="EJW25">
        <v>1</v>
      </c>
      <c r="EJX25">
        <v>3</v>
      </c>
      <c r="EJY25">
        <v>1</v>
      </c>
      <c r="EJZ25">
        <v>1</v>
      </c>
      <c r="EKA25">
        <v>2</v>
      </c>
      <c r="EKB25">
        <v>1</v>
      </c>
      <c r="EKC25">
        <v>5</v>
      </c>
      <c r="EKD25">
        <v>1</v>
      </c>
      <c r="EKE25">
        <v>1</v>
      </c>
      <c r="EKF25">
        <v>1</v>
      </c>
      <c r="EKG25">
        <v>7</v>
      </c>
      <c r="EKH25">
        <v>1</v>
      </c>
      <c r="EKI25">
        <v>1</v>
      </c>
      <c r="EKJ25">
        <v>1</v>
      </c>
      <c r="EKK25">
        <v>1</v>
      </c>
      <c r="EKL25">
        <v>1</v>
      </c>
      <c r="EKM25">
        <v>1</v>
      </c>
      <c r="EKN25">
        <v>1</v>
      </c>
      <c r="EKO25">
        <v>2</v>
      </c>
      <c r="EKP25">
        <v>5</v>
      </c>
      <c r="EKQ25">
        <v>3</v>
      </c>
      <c r="EKR25">
        <v>2</v>
      </c>
      <c r="EKS25">
        <v>5</v>
      </c>
      <c r="EKT25">
        <v>1</v>
      </c>
      <c r="EKU25">
        <v>1</v>
      </c>
      <c r="EKV25">
        <v>1</v>
      </c>
      <c r="EKW25">
        <v>3</v>
      </c>
      <c r="EKX25">
        <v>3</v>
      </c>
      <c r="EKY25">
        <v>1</v>
      </c>
      <c r="EKZ25">
        <v>2</v>
      </c>
      <c r="ELA25">
        <v>1</v>
      </c>
      <c r="ELB25">
        <v>2</v>
      </c>
      <c r="ELC25">
        <v>1</v>
      </c>
      <c r="ELD25">
        <v>1</v>
      </c>
      <c r="ELE25">
        <v>1</v>
      </c>
      <c r="ELF25">
        <v>2</v>
      </c>
      <c r="ELG25">
        <v>1</v>
      </c>
      <c r="ELH25">
        <v>6</v>
      </c>
      <c r="ELI25">
        <v>1</v>
      </c>
      <c r="ELJ25">
        <v>1</v>
      </c>
      <c r="ELK25">
        <v>1</v>
      </c>
      <c r="ELL25">
        <v>2</v>
      </c>
      <c r="ELM25">
        <v>1</v>
      </c>
      <c r="ELN25">
        <v>2</v>
      </c>
      <c r="ELO25">
        <v>1</v>
      </c>
      <c r="ELP25">
        <v>1</v>
      </c>
      <c r="ELQ25">
        <v>3</v>
      </c>
      <c r="ELR25">
        <v>1</v>
      </c>
      <c r="ELS25">
        <v>2</v>
      </c>
      <c r="ELT25">
        <v>4</v>
      </c>
      <c r="ELU25">
        <v>2</v>
      </c>
      <c r="ELV25">
        <v>4</v>
      </c>
      <c r="ELW25">
        <v>2</v>
      </c>
      <c r="ELX25">
        <v>2</v>
      </c>
      <c r="ELY25">
        <v>1</v>
      </c>
      <c r="ELZ25">
        <v>1</v>
      </c>
      <c r="EMA25">
        <v>1</v>
      </c>
      <c r="EMB25">
        <v>4</v>
      </c>
      <c r="EMC25">
        <v>1</v>
      </c>
      <c r="EMD25">
        <v>1</v>
      </c>
      <c r="EME25">
        <v>3</v>
      </c>
      <c r="EMF25">
        <v>1</v>
      </c>
      <c r="EMG25">
        <v>6</v>
      </c>
      <c r="EMH25">
        <v>4</v>
      </c>
      <c r="EMI25">
        <v>5</v>
      </c>
      <c r="EMJ25">
        <v>1</v>
      </c>
      <c r="EMK25">
        <v>8</v>
      </c>
      <c r="EML25">
        <v>1</v>
      </c>
      <c r="EMM25">
        <v>8</v>
      </c>
      <c r="EMN25">
        <v>2</v>
      </c>
      <c r="EMO25">
        <v>1</v>
      </c>
      <c r="EMP25">
        <v>1</v>
      </c>
      <c r="EMQ25">
        <v>1</v>
      </c>
      <c r="EMR25">
        <v>1</v>
      </c>
      <c r="EMS25">
        <v>4</v>
      </c>
      <c r="EMT25">
        <v>9</v>
      </c>
      <c r="EMU25">
        <v>1</v>
      </c>
      <c r="EMV25">
        <v>1</v>
      </c>
      <c r="EMW25">
        <v>2</v>
      </c>
      <c r="EMX25">
        <v>1</v>
      </c>
      <c r="EMY25">
        <v>1</v>
      </c>
      <c r="EMZ25">
        <v>1</v>
      </c>
      <c r="ENA25">
        <v>1</v>
      </c>
      <c r="ENB25">
        <v>1</v>
      </c>
      <c r="ENC25">
        <v>1</v>
      </c>
      <c r="END25">
        <v>2</v>
      </c>
      <c r="ENE25">
        <v>3</v>
      </c>
      <c r="ENF25">
        <v>1</v>
      </c>
      <c r="ENG25">
        <v>1</v>
      </c>
      <c r="ENH25">
        <v>4</v>
      </c>
      <c r="ENI25">
        <v>2</v>
      </c>
      <c r="ENJ25">
        <v>1</v>
      </c>
      <c r="ENK25">
        <v>1</v>
      </c>
      <c r="ENL25">
        <v>2</v>
      </c>
      <c r="ENM25">
        <v>1</v>
      </c>
      <c r="ENN25">
        <v>1</v>
      </c>
      <c r="ENO25">
        <v>1</v>
      </c>
      <c r="ENP25">
        <v>2</v>
      </c>
      <c r="ENQ25">
        <v>1</v>
      </c>
      <c r="ENR25">
        <v>3</v>
      </c>
      <c r="ENS25">
        <v>1</v>
      </c>
      <c r="ENT25">
        <v>1</v>
      </c>
      <c r="ENU25">
        <v>4</v>
      </c>
      <c r="ENV25">
        <v>1</v>
      </c>
      <c r="ENW25">
        <v>3</v>
      </c>
      <c r="ENX25">
        <v>1</v>
      </c>
      <c r="ENY25">
        <v>9</v>
      </c>
      <c r="ENZ25">
        <v>4</v>
      </c>
      <c r="EOA25">
        <v>1</v>
      </c>
      <c r="EOB25">
        <v>1</v>
      </c>
      <c r="EOC25">
        <v>1</v>
      </c>
      <c r="EOD25">
        <v>1</v>
      </c>
      <c r="EOE25">
        <v>2</v>
      </c>
      <c r="EOF25">
        <v>1</v>
      </c>
      <c r="EOG25">
        <v>1</v>
      </c>
      <c r="EOH25">
        <v>3</v>
      </c>
      <c r="EOI25">
        <v>2</v>
      </c>
      <c r="EOJ25">
        <v>2</v>
      </c>
      <c r="EOK25">
        <v>1</v>
      </c>
      <c r="EOL25">
        <v>1</v>
      </c>
      <c r="EOM25">
        <v>1</v>
      </c>
      <c r="EON25">
        <v>5</v>
      </c>
      <c r="EOO25">
        <v>4</v>
      </c>
      <c r="EOP25">
        <v>1</v>
      </c>
      <c r="EOQ25">
        <v>1</v>
      </c>
      <c r="EOR25">
        <v>1</v>
      </c>
      <c r="EOS25">
        <v>1</v>
      </c>
      <c r="EOT25">
        <v>2</v>
      </c>
      <c r="EOU25">
        <v>1</v>
      </c>
      <c r="EOV25">
        <v>1</v>
      </c>
      <c r="EOW25">
        <v>9</v>
      </c>
      <c r="EOX25">
        <v>3</v>
      </c>
      <c r="EOY25">
        <v>3</v>
      </c>
      <c r="EOZ25">
        <v>1</v>
      </c>
      <c r="EPA25">
        <v>1</v>
      </c>
      <c r="EPB25">
        <v>1</v>
      </c>
      <c r="EPC25">
        <v>1</v>
      </c>
      <c r="EPD25">
        <v>1</v>
      </c>
      <c r="EPE25">
        <v>4</v>
      </c>
      <c r="EPF25">
        <v>2</v>
      </c>
      <c r="EPG25">
        <v>1</v>
      </c>
      <c r="EPH25">
        <v>4</v>
      </c>
      <c r="EPI25">
        <v>3</v>
      </c>
      <c r="EPJ25">
        <v>2</v>
      </c>
      <c r="EPK25">
        <v>5</v>
      </c>
      <c r="EPL25">
        <v>7</v>
      </c>
      <c r="EPM25">
        <v>1</v>
      </c>
      <c r="EPN25">
        <v>2</v>
      </c>
      <c r="EPO25">
        <v>1</v>
      </c>
      <c r="EPP25">
        <v>3</v>
      </c>
      <c r="EPQ25">
        <v>1</v>
      </c>
      <c r="EPR25">
        <v>6</v>
      </c>
      <c r="EPS25">
        <v>5</v>
      </c>
      <c r="EPT25">
        <v>1</v>
      </c>
      <c r="EPU25">
        <v>1</v>
      </c>
      <c r="EPV25">
        <v>1</v>
      </c>
      <c r="EPW25">
        <v>1</v>
      </c>
      <c r="EPX25">
        <v>2</v>
      </c>
      <c r="EPY25">
        <v>1</v>
      </c>
      <c r="EPZ25">
        <v>2</v>
      </c>
      <c r="EQA25">
        <v>2</v>
      </c>
      <c r="EQB25">
        <v>1</v>
      </c>
      <c r="EQC25">
        <v>1</v>
      </c>
      <c r="EQD25">
        <v>1</v>
      </c>
      <c r="EQE25">
        <v>1</v>
      </c>
      <c r="EQF25">
        <v>2</v>
      </c>
      <c r="EQG25">
        <v>3</v>
      </c>
      <c r="EQH25">
        <v>2</v>
      </c>
      <c r="EQI25">
        <v>2</v>
      </c>
      <c r="EQJ25">
        <v>1</v>
      </c>
      <c r="EQK25">
        <v>14</v>
      </c>
      <c r="EQL25">
        <v>1</v>
      </c>
      <c r="EQM25">
        <v>1</v>
      </c>
      <c r="EQN25">
        <v>6</v>
      </c>
      <c r="EQO25">
        <v>5</v>
      </c>
      <c r="EQP25">
        <v>8</v>
      </c>
      <c r="EQQ25">
        <v>4</v>
      </c>
      <c r="EQR25">
        <v>1</v>
      </c>
      <c r="EQS25">
        <v>1</v>
      </c>
      <c r="EQT25">
        <v>1</v>
      </c>
      <c r="EQU25">
        <v>3</v>
      </c>
      <c r="EQV25">
        <v>2</v>
      </c>
      <c r="EQW25">
        <v>2</v>
      </c>
      <c r="EQX25">
        <v>1</v>
      </c>
      <c r="EQY25">
        <v>3</v>
      </c>
      <c r="EQZ25">
        <v>1</v>
      </c>
      <c r="ERA25">
        <v>3</v>
      </c>
      <c r="ERB25">
        <v>2</v>
      </c>
      <c r="ERC25">
        <v>5</v>
      </c>
      <c r="ERD25">
        <v>1</v>
      </c>
      <c r="ERE25">
        <v>1</v>
      </c>
      <c r="ERF25">
        <v>4</v>
      </c>
      <c r="ERG25">
        <v>7</v>
      </c>
      <c r="ERH25">
        <v>4</v>
      </c>
      <c r="ERI25">
        <v>1</v>
      </c>
      <c r="ERJ25">
        <v>3</v>
      </c>
      <c r="ERK25">
        <v>3</v>
      </c>
      <c r="ERL25">
        <v>1</v>
      </c>
      <c r="ERM25">
        <v>4</v>
      </c>
      <c r="ERN25">
        <v>1</v>
      </c>
      <c r="ERO25">
        <v>1</v>
      </c>
      <c r="ERP25">
        <v>1</v>
      </c>
      <c r="ERQ25">
        <v>4</v>
      </c>
      <c r="ERR25">
        <v>2</v>
      </c>
      <c r="ERS25">
        <v>1</v>
      </c>
      <c r="ERT25">
        <v>4</v>
      </c>
      <c r="ERU25">
        <v>3</v>
      </c>
      <c r="ERV25">
        <v>3</v>
      </c>
      <c r="ERW25">
        <v>2</v>
      </c>
      <c r="ERX25">
        <v>2</v>
      </c>
      <c r="ERY25">
        <v>4</v>
      </c>
      <c r="ERZ25">
        <v>1</v>
      </c>
      <c r="ESA25">
        <v>6</v>
      </c>
      <c r="ESB25">
        <v>3</v>
      </c>
      <c r="ESC25">
        <v>1</v>
      </c>
      <c r="ESD25">
        <v>1</v>
      </c>
      <c r="ESE25">
        <v>1</v>
      </c>
      <c r="ESF25">
        <v>3</v>
      </c>
      <c r="ESG25">
        <v>1</v>
      </c>
      <c r="ESH25">
        <v>1</v>
      </c>
      <c r="ESI25">
        <v>1</v>
      </c>
      <c r="ESJ25">
        <v>1</v>
      </c>
      <c r="ESK25">
        <v>1</v>
      </c>
      <c r="ESL25">
        <v>2</v>
      </c>
      <c r="ESM25">
        <v>1</v>
      </c>
      <c r="ESN25">
        <v>1</v>
      </c>
      <c r="ESO25">
        <v>2</v>
      </c>
      <c r="ESP25">
        <v>13</v>
      </c>
      <c r="ESQ25">
        <v>1</v>
      </c>
      <c r="ESR25">
        <v>2</v>
      </c>
      <c r="ESS25">
        <v>1</v>
      </c>
      <c r="EST25">
        <v>2</v>
      </c>
      <c r="ESU25">
        <v>2</v>
      </c>
      <c r="ESV25">
        <v>3</v>
      </c>
      <c r="ESW25">
        <v>6</v>
      </c>
      <c r="ESX25">
        <v>5</v>
      </c>
      <c r="ESY25">
        <v>1</v>
      </c>
      <c r="ESZ25">
        <v>14</v>
      </c>
      <c r="ETA25">
        <v>1</v>
      </c>
      <c r="ETB25">
        <v>5</v>
      </c>
      <c r="ETC25">
        <v>1</v>
      </c>
      <c r="ETD25">
        <v>2</v>
      </c>
      <c r="ETE25">
        <v>4</v>
      </c>
      <c r="ETF25">
        <v>1</v>
      </c>
      <c r="ETG25">
        <v>2</v>
      </c>
      <c r="ETH25">
        <v>5</v>
      </c>
      <c r="ETI25">
        <v>1</v>
      </c>
      <c r="ETJ25">
        <v>3</v>
      </c>
      <c r="ETK25">
        <v>1</v>
      </c>
      <c r="ETL25">
        <v>3</v>
      </c>
      <c r="ETM25">
        <v>1</v>
      </c>
      <c r="ETN25">
        <v>1</v>
      </c>
      <c r="ETO25">
        <v>7</v>
      </c>
      <c r="ETP25">
        <v>2</v>
      </c>
      <c r="ETQ25">
        <v>6</v>
      </c>
      <c r="ETR25">
        <v>8</v>
      </c>
      <c r="ETS25">
        <v>5</v>
      </c>
      <c r="ETT25">
        <v>1</v>
      </c>
      <c r="ETU25">
        <v>2</v>
      </c>
      <c r="ETV25">
        <v>1</v>
      </c>
      <c r="ETW25">
        <v>2</v>
      </c>
      <c r="ETX25">
        <v>2</v>
      </c>
      <c r="ETY25">
        <v>1</v>
      </c>
      <c r="ETZ25">
        <v>2</v>
      </c>
      <c r="EUA25">
        <v>2</v>
      </c>
      <c r="EUB25">
        <v>3</v>
      </c>
      <c r="EUC25">
        <v>1</v>
      </c>
      <c r="EUD25">
        <v>1</v>
      </c>
      <c r="EUE25">
        <v>2</v>
      </c>
      <c r="EUF25">
        <v>6</v>
      </c>
      <c r="EUG25">
        <v>2</v>
      </c>
      <c r="EUH25">
        <v>1</v>
      </c>
      <c r="EUI25">
        <v>1</v>
      </c>
      <c r="EUJ25">
        <v>2</v>
      </c>
      <c r="EUK25">
        <v>1</v>
      </c>
      <c r="EUL25">
        <v>8</v>
      </c>
      <c r="EUM25">
        <v>1</v>
      </c>
      <c r="EUN25">
        <v>1</v>
      </c>
      <c r="EUO25">
        <v>1</v>
      </c>
      <c r="EUP25">
        <v>2</v>
      </c>
      <c r="EUQ25">
        <v>2</v>
      </c>
      <c r="EUR25">
        <v>1</v>
      </c>
      <c r="EUS25">
        <v>2</v>
      </c>
      <c r="EUT25">
        <v>1</v>
      </c>
      <c r="EUU25">
        <v>1</v>
      </c>
      <c r="EUV25">
        <v>1</v>
      </c>
      <c r="EUW25">
        <v>7</v>
      </c>
      <c r="EUX25">
        <v>6</v>
      </c>
      <c r="EUY25">
        <v>7</v>
      </c>
      <c r="EUZ25">
        <v>1</v>
      </c>
      <c r="EVA25">
        <v>1</v>
      </c>
      <c r="EVB25">
        <v>6</v>
      </c>
      <c r="EVC25">
        <v>2</v>
      </c>
      <c r="EVD25">
        <v>2</v>
      </c>
      <c r="EVE25">
        <v>4</v>
      </c>
      <c r="EVF25">
        <v>2</v>
      </c>
      <c r="EVG25">
        <v>1</v>
      </c>
      <c r="EVH25">
        <v>1</v>
      </c>
      <c r="EVI25">
        <v>2</v>
      </c>
      <c r="EVJ25">
        <v>3</v>
      </c>
      <c r="EVK25">
        <v>1</v>
      </c>
      <c r="EVL25">
        <v>3</v>
      </c>
      <c r="EVM25">
        <v>4</v>
      </c>
      <c r="EVN25">
        <v>1</v>
      </c>
      <c r="EVO25">
        <v>1</v>
      </c>
      <c r="EVP25">
        <v>2</v>
      </c>
      <c r="EVQ25">
        <v>2</v>
      </c>
      <c r="EVR25">
        <v>5</v>
      </c>
      <c r="EVS25">
        <v>1</v>
      </c>
      <c r="EVT25">
        <v>1</v>
      </c>
      <c r="EVU25">
        <v>1</v>
      </c>
      <c r="EVV25">
        <v>1</v>
      </c>
      <c r="EVW25">
        <v>2</v>
      </c>
      <c r="EVX25">
        <v>1</v>
      </c>
      <c r="EVY25">
        <v>10</v>
      </c>
      <c r="EVZ25">
        <v>1</v>
      </c>
      <c r="EWA25">
        <v>4</v>
      </c>
      <c r="EWB25">
        <v>2</v>
      </c>
      <c r="EWC25">
        <v>2</v>
      </c>
      <c r="EWD25">
        <v>3</v>
      </c>
      <c r="EWE25">
        <v>3</v>
      </c>
      <c r="EWF25">
        <v>1</v>
      </c>
      <c r="EWG25">
        <v>1</v>
      </c>
      <c r="EWH25">
        <v>1</v>
      </c>
      <c r="EWI25">
        <v>1</v>
      </c>
      <c r="EWJ25">
        <v>1</v>
      </c>
      <c r="EWK25">
        <v>7</v>
      </c>
      <c r="EWL25">
        <v>1</v>
      </c>
      <c r="EWM25">
        <v>1</v>
      </c>
      <c r="EWN25">
        <v>3</v>
      </c>
      <c r="EWO25">
        <v>3</v>
      </c>
      <c r="EWP25">
        <v>2</v>
      </c>
      <c r="EWQ25">
        <v>4</v>
      </c>
      <c r="EWR25">
        <v>2</v>
      </c>
      <c r="EWS25">
        <v>9</v>
      </c>
      <c r="EWT25">
        <v>2</v>
      </c>
      <c r="EWU25">
        <v>1</v>
      </c>
      <c r="EWV25">
        <v>2</v>
      </c>
      <c r="EWW25">
        <v>1</v>
      </c>
      <c r="EWX25">
        <v>1</v>
      </c>
      <c r="EWY25">
        <v>3</v>
      </c>
      <c r="EWZ25">
        <v>4</v>
      </c>
      <c r="EXA25">
        <v>1</v>
      </c>
      <c r="EXB25">
        <v>1</v>
      </c>
      <c r="EXC25">
        <v>7</v>
      </c>
      <c r="EXD25">
        <v>1</v>
      </c>
      <c r="EXE25">
        <v>2</v>
      </c>
      <c r="EXF25">
        <v>2</v>
      </c>
      <c r="EXG25">
        <v>1</v>
      </c>
      <c r="EXH25">
        <v>11</v>
      </c>
      <c r="EXI25">
        <v>1</v>
      </c>
      <c r="EXJ25">
        <v>1</v>
      </c>
      <c r="EXK25">
        <v>1</v>
      </c>
      <c r="EXL25">
        <v>1</v>
      </c>
      <c r="EXM25">
        <v>3</v>
      </c>
      <c r="EXN25">
        <v>2</v>
      </c>
      <c r="EXO25">
        <v>1</v>
      </c>
      <c r="EXP25">
        <v>1</v>
      </c>
      <c r="EXQ25">
        <v>2</v>
      </c>
      <c r="EXR25">
        <v>1</v>
      </c>
      <c r="EXS25">
        <v>2</v>
      </c>
      <c r="EXT25">
        <v>1</v>
      </c>
      <c r="EXU25">
        <v>1</v>
      </c>
      <c r="EXV25">
        <v>1</v>
      </c>
      <c r="EXW25">
        <v>8</v>
      </c>
      <c r="EXX25">
        <v>1</v>
      </c>
      <c r="EXY25">
        <v>6</v>
      </c>
      <c r="EXZ25">
        <v>4</v>
      </c>
      <c r="EYA25">
        <v>4</v>
      </c>
      <c r="EYB25">
        <v>1</v>
      </c>
      <c r="EYC25">
        <v>1</v>
      </c>
      <c r="EYD25">
        <v>1</v>
      </c>
      <c r="EYE25">
        <v>3</v>
      </c>
      <c r="EYF25">
        <v>1</v>
      </c>
      <c r="EYG25">
        <v>1</v>
      </c>
      <c r="EYH25">
        <v>1</v>
      </c>
      <c r="EYI25">
        <v>1</v>
      </c>
      <c r="EYJ25">
        <v>2</v>
      </c>
      <c r="EYK25">
        <v>1</v>
      </c>
      <c r="EYL25">
        <v>2</v>
      </c>
      <c r="EYM25">
        <v>2</v>
      </c>
      <c r="EYN25">
        <v>1</v>
      </c>
      <c r="EYO25">
        <v>1</v>
      </c>
      <c r="EYP25">
        <v>7</v>
      </c>
      <c r="EYQ25">
        <v>1</v>
      </c>
      <c r="EYR25">
        <v>5</v>
      </c>
      <c r="EYS25">
        <v>1</v>
      </c>
      <c r="EYT25">
        <v>1</v>
      </c>
      <c r="EYU25">
        <v>5</v>
      </c>
      <c r="EYV25">
        <v>1</v>
      </c>
      <c r="EYW25">
        <v>7</v>
      </c>
      <c r="EYX25">
        <v>1</v>
      </c>
      <c r="EYY25">
        <v>1</v>
      </c>
      <c r="EYZ25">
        <v>1</v>
      </c>
      <c r="EZA25">
        <v>2</v>
      </c>
      <c r="EZB25">
        <v>1</v>
      </c>
      <c r="EZC25">
        <v>2</v>
      </c>
      <c r="EZD25">
        <v>1</v>
      </c>
      <c r="EZE25">
        <v>1</v>
      </c>
      <c r="EZF25">
        <v>2</v>
      </c>
      <c r="EZG25">
        <v>1</v>
      </c>
      <c r="EZH25">
        <v>1</v>
      </c>
      <c r="EZI25">
        <v>4</v>
      </c>
      <c r="EZJ25">
        <v>2</v>
      </c>
      <c r="EZK25">
        <v>8</v>
      </c>
      <c r="EZL25">
        <v>1</v>
      </c>
      <c r="EZM25">
        <v>2</v>
      </c>
      <c r="EZN25">
        <v>1</v>
      </c>
      <c r="EZO25">
        <v>3</v>
      </c>
      <c r="EZP25">
        <v>1</v>
      </c>
      <c r="EZQ25">
        <v>2</v>
      </c>
      <c r="EZR25">
        <v>1</v>
      </c>
      <c r="EZS25">
        <v>2</v>
      </c>
      <c r="EZT25">
        <v>3</v>
      </c>
      <c r="EZU25">
        <v>3</v>
      </c>
      <c r="EZV25">
        <v>1</v>
      </c>
      <c r="EZW25">
        <v>4</v>
      </c>
      <c r="EZX25">
        <v>1</v>
      </c>
      <c r="EZY25">
        <v>1</v>
      </c>
      <c r="EZZ25">
        <v>1</v>
      </c>
      <c r="FAA25">
        <v>1</v>
      </c>
      <c r="FAB25">
        <v>4</v>
      </c>
      <c r="FAC25">
        <v>1</v>
      </c>
      <c r="FAD25">
        <v>1</v>
      </c>
      <c r="FAE25">
        <v>1</v>
      </c>
      <c r="FAF25">
        <v>1</v>
      </c>
      <c r="FAG25">
        <v>1</v>
      </c>
      <c r="FAH25">
        <v>2</v>
      </c>
      <c r="FAI25">
        <v>1</v>
      </c>
      <c r="FAJ25">
        <v>2</v>
      </c>
      <c r="FAK25">
        <v>1</v>
      </c>
      <c r="FAL25">
        <v>2</v>
      </c>
      <c r="FAM25">
        <v>2</v>
      </c>
      <c r="FAN25">
        <v>1</v>
      </c>
      <c r="FAO25">
        <v>2</v>
      </c>
      <c r="FAP25">
        <v>1</v>
      </c>
      <c r="FAQ25">
        <v>2</v>
      </c>
      <c r="FAR25">
        <v>1</v>
      </c>
      <c r="FAS25">
        <v>3</v>
      </c>
      <c r="FAT25">
        <v>1</v>
      </c>
      <c r="FAU25">
        <v>3</v>
      </c>
      <c r="FAV25">
        <v>3</v>
      </c>
      <c r="FAW25">
        <v>1</v>
      </c>
      <c r="FAX25">
        <v>9</v>
      </c>
      <c r="FAY25">
        <v>3</v>
      </c>
      <c r="FAZ25">
        <v>1</v>
      </c>
      <c r="FBA25">
        <v>4</v>
      </c>
      <c r="FBB25">
        <v>1</v>
      </c>
      <c r="FBC25">
        <v>1</v>
      </c>
      <c r="FBD25">
        <v>1</v>
      </c>
      <c r="FBE25">
        <v>1</v>
      </c>
      <c r="FBF25">
        <v>1</v>
      </c>
      <c r="FBG25">
        <v>1</v>
      </c>
      <c r="FBH25">
        <v>2</v>
      </c>
      <c r="FBI25">
        <v>2</v>
      </c>
      <c r="FBJ25">
        <v>1</v>
      </c>
      <c r="FBK25">
        <v>1</v>
      </c>
      <c r="FBL25">
        <v>1</v>
      </c>
      <c r="FBM25">
        <v>1</v>
      </c>
      <c r="FBN25">
        <v>5</v>
      </c>
      <c r="FBO25">
        <v>1</v>
      </c>
      <c r="FBP25">
        <v>2</v>
      </c>
      <c r="FBQ25">
        <v>1</v>
      </c>
      <c r="FBR25">
        <v>3</v>
      </c>
      <c r="FBS25">
        <v>1</v>
      </c>
      <c r="FBT25">
        <v>2</v>
      </c>
      <c r="FBU25">
        <v>2</v>
      </c>
      <c r="FBV25">
        <v>2</v>
      </c>
      <c r="FBW25">
        <v>1</v>
      </c>
      <c r="FBX25">
        <v>1</v>
      </c>
      <c r="FBY25">
        <v>7</v>
      </c>
      <c r="FBZ25">
        <v>1</v>
      </c>
      <c r="FCA25">
        <v>2</v>
      </c>
      <c r="FCB25">
        <v>1</v>
      </c>
      <c r="FCC25">
        <v>2</v>
      </c>
      <c r="FCD25">
        <v>1</v>
      </c>
      <c r="FCE25">
        <v>2</v>
      </c>
      <c r="FCF25">
        <v>1</v>
      </c>
      <c r="FCG25">
        <v>2</v>
      </c>
      <c r="FCH25">
        <v>5</v>
      </c>
      <c r="FCI25">
        <v>4</v>
      </c>
      <c r="FCJ25">
        <v>1</v>
      </c>
      <c r="FCK25">
        <v>1</v>
      </c>
      <c r="FCL25">
        <v>7</v>
      </c>
      <c r="FCM25">
        <v>3</v>
      </c>
      <c r="FCN25">
        <v>5</v>
      </c>
      <c r="FCO25">
        <v>10</v>
      </c>
      <c r="FCP25">
        <v>1</v>
      </c>
      <c r="FCQ25">
        <v>2</v>
      </c>
      <c r="FCR25">
        <v>1</v>
      </c>
      <c r="FCS25">
        <v>1</v>
      </c>
      <c r="FCT25">
        <v>1</v>
      </c>
      <c r="FCU25">
        <v>2</v>
      </c>
      <c r="FCV25">
        <v>2</v>
      </c>
      <c r="FCW25">
        <v>1</v>
      </c>
      <c r="FCX25">
        <v>1</v>
      </c>
      <c r="FCY25">
        <v>1</v>
      </c>
      <c r="FCZ25">
        <v>1</v>
      </c>
      <c r="FDA25">
        <v>1</v>
      </c>
      <c r="FDB25">
        <v>2</v>
      </c>
      <c r="FDC25">
        <v>1</v>
      </c>
      <c r="FDD25">
        <v>3</v>
      </c>
      <c r="FDE25">
        <v>1</v>
      </c>
      <c r="FDF25">
        <v>13</v>
      </c>
      <c r="FDG25">
        <v>2</v>
      </c>
      <c r="FDH25">
        <v>3</v>
      </c>
      <c r="FDI25">
        <v>2</v>
      </c>
      <c r="FDJ25">
        <v>5</v>
      </c>
      <c r="FDK25">
        <v>4</v>
      </c>
      <c r="FDL25">
        <v>6</v>
      </c>
      <c r="FDM25">
        <v>1</v>
      </c>
      <c r="FDN25">
        <v>1</v>
      </c>
      <c r="FDO25">
        <v>1</v>
      </c>
      <c r="FDP25">
        <v>1</v>
      </c>
      <c r="FDQ25">
        <v>1</v>
      </c>
      <c r="FDR25">
        <v>4</v>
      </c>
      <c r="FDS25">
        <v>3</v>
      </c>
      <c r="FDT25">
        <v>1</v>
      </c>
      <c r="FDU25">
        <v>6</v>
      </c>
      <c r="FDV25">
        <v>1</v>
      </c>
      <c r="FDW25">
        <v>2</v>
      </c>
      <c r="FDX25">
        <v>6</v>
      </c>
      <c r="FDY25">
        <v>1</v>
      </c>
      <c r="FDZ25">
        <v>1</v>
      </c>
      <c r="FEA25">
        <v>3</v>
      </c>
      <c r="FEB25">
        <v>1</v>
      </c>
      <c r="FEC25">
        <v>5</v>
      </c>
      <c r="FED25">
        <v>6</v>
      </c>
      <c r="FEE25">
        <v>1</v>
      </c>
      <c r="FEF25">
        <v>1</v>
      </c>
      <c r="FEG25">
        <v>2</v>
      </c>
      <c r="FEH25">
        <v>1</v>
      </c>
      <c r="FEI25">
        <v>4</v>
      </c>
      <c r="FEJ25">
        <v>3</v>
      </c>
      <c r="FEK25">
        <v>3</v>
      </c>
      <c r="FEL25">
        <v>1</v>
      </c>
      <c r="FEM25">
        <v>13</v>
      </c>
      <c r="FEN25">
        <v>3</v>
      </c>
      <c r="FEO25">
        <v>3</v>
      </c>
      <c r="FEP25">
        <v>2</v>
      </c>
      <c r="FEQ25">
        <v>3</v>
      </c>
      <c r="FER25">
        <v>1</v>
      </c>
      <c r="FES25">
        <v>2</v>
      </c>
      <c r="FET25">
        <v>1</v>
      </c>
      <c r="FEU25">
        <v>3</v>
      </c>
      <c r="FEV25">
        <v>2</v>
      </c>
      <c r="FEW25">
        <v>1</v>
      </c>
      <c r="FEX25">
        <v>2</v>
      </c>
      <c r="FEY25">
        <v>1</v>
      </c>
      <c r="FEZ25">
        <v>1</v>
      </c>
      <c r="FFA25">
        <v>1</v>
      </c>
      <c r="FFB25">
        <v>1</v>
      </c>
      <c r="FFC25">
        <v>1</v>
      </c>
      <c r="FFD25">
        <v>1</v>
      </c>
      <c r="FFE25">
        <v>1</v>
      </c>
      <c r="FFF25">
        <v>1</v>
      </c>
      <c r="FFG25">
        <v>1</v>
      </c>
      <c r="FFH25">
        <v>2</v>
      </c>
      <c r="FFI25">
        <v>1</v>
      </c>
      <c r="FFJ25">
        <v>1</v>
      </c>
      <c r="FFK25">
        <v>3</v>
      </c>
      <c r="FFL25">
        <v>4</v>
      </c>
      <c r="FFM25">
        <v>1</v>
      </c>
      <c r="FFN25">
        <v>4</v>
      </c>
      <c r="FFO25">
        <v>4</v>
      </c>
      <c r="FFP25">
        <v>4</v>
      </c>
      <c r="FFQ25">
        <v>4</v>
      </c>
      <c r="FFR25">
        <v>2</v>
      </c>
      <c r="FFS25">
        <v>9</v>
      </c>
      <c r="FFT25">
        <v>6</v>
      </c>
      <c r="FFU25">
        <v>2</v>
      </c>
      <c r="FFV25">
        <v>1</v>
      </c>
      <c r="FFW25">
        <v>1</v>
      </c>
      <c r="FFX25">
        <v>1</v>
      </c>
      <c r="FFY25">
        <v>1</v>
      </c>
      <c r="FFZ25">
        <v>1</v>
      </c>
      <c r="FGA25">
        <v>1</v>
      </c>
      <c r="FGB25">
        <v>1</v>
      </c>
      <c r="FGC25">
        <v>1</v>
      </c>
      <c r="FGD25">
        <v>2</v>
      </c>
      <c r="FGE25">
        <v>8</v>
      </c>
      <c r="FGF25">
        <v>1</v>
      </c>
      <c r="FGG25">
        <v>5</v>
      </c>
      <c r="FGH25">
        <v>12</v>
      </c>
      <c r="FGI25">
        <v>1</v>
      </c>
      <c r="FGJ25">
        <v>1</v>
      </c>
      <c r="FGK25">
        <v>16</v>
      </c>
      <c r="FGL25">
        <v>3</v>
      </c>
      <c r="FGM25">
        <v>1</v>
      </c>
      <c r="FGN25">
        <v>1</v>
      </c>
      <c r="FGO25">
        <v>2</v>
      </c>
      <c r="FGP25">
        <v>2</v>
      </c>
      <c r="FGQ25">
        <v>2</v>
      </c>
      <c r="FGR25">
        <v>5</v>
      </c>
      <c r="FGS25">
        <v>4</v>
      </c>
      <c r="FGT25">
        <v>10</v>
      </c>
      <c r="FGU25">
        <v>6</v>
      </c>
      <c r="FGV25">
        <v>6</v>
      </c>
      <c r="FGW25">
        <v>3</v>
      </c>
      <c r="FGX25">
        <v>5</v>
      </c>
      <c r="FGY25">
        <v>1</v>
      </c>
      <c r="FGZ25">
        <v>1</v>
      </c>
      <c r="FHA25">
        <v>2</v>
      </c>
      <c r="FHB25">
        <v>1</v>
      </c>
      <c r="FHC25">
        <v>2</v>
      </c>
      <c r="FHD25">
        <v>2</v>
      </c>
      <c r="FHE25">
        <v>1</v>
      </c>
      <c r="FHF25">
        <v>2</v>
      </c>
      <c r="FHG25">
        <v>1</v>
      </c>
      <c r="FHH25">
        <v>1</v>
      </c>
      <c r="FHI25">
        <v>6</v>
      </c>
      <c r="FHJ25">
        <v>10</v>
      </c>
      <c r="FHK25">
        <v>1</v>
      </c>
      <c r="FHL25">
        <v>1</v>
      </c>
      <c r="FHM25">
        <v>1</v>
      </c>
      <c r="FHN25">
        <v>1</v>
      </c>
      <c r="FHO25">
        <v>8</v>
      </c>
      <c r="FHP25">
        <v>1</v>
      </c>
      <c r="FHQ25">
        <v>2</v>
      </c>
      <c r="FHR25">
        <v>1</v>
      </c>
      <c r="FHS25">
        <v>1</v>
      </c>
      <c r="FHT25">
        <v>2</v>
      </c>
      <c r="FHU25">
        <v>5</v>
      </c>
      <c r="FHV25">
        <v>5</v>
      </c>
      <c r="FHW25">
        <v>2</v>
      </c>
      <c r="FHX25">
        <v>4</v>
      </c>
      <c r="FHY25">
        <v>1</v>
      </c>
      <c r="FHZ25">
        <v>3</v>
      </c>
      <c r="FIA25">
        <v>1</v>
      </c>
      <c r="FIB25">
        <v>7</v>
      </c>
      <c r="FIC25">
        <v>2</v>
      </c>
      <c r="FID25">
        <v>2</v>
      </c>
      <c r="FIE25">
        <v>1</v>
      </c>
      <c r="FIF25">
        <v>2</v>
      </c>
      <c r="FIG25">
        <v>2</v>
      </c>
      <c r="FIH25">
        <v>1</v>
      </c>
      <c r="FII25">
        <v>1</v>
      </c>
      <c r="FIJ25">
        <v>2</v>
      </c>
      <c r="FIK25">
        <v>5</v>
      </c>
      <c r="FIL25">
        <v>3</v>
      </c>
      <c r="FIM25">
        <v>5</v>
      </c>
      <c r="FIN25">
        <v>4</v>
      </c>
      <c r="FIO25">
        <v>11</v>
      </c>
      <c r="FIP25">
        <v>6</v>
      </c>
      <c r="FIQ25">
        <v>3</v>
      </c>
      <c r="FIR25">
        <v>1</v>
      </c>
      <c r="FIS25">
        <v>1</v>
      </c>
      <c r="FIT25">
        <v>7</v>
      </c>
      <c r="FIU25">
        <v>2</v>
      </c>
      <c r="FIV25">
        <v>4</v>
      </c>
      <c r="FIW25">
        <v>2</v>
      </c>
      <c r="FIX25">
        <v>1</v>
      </c>
      <c r="FIY25">
        <v>3</v>
      </c>
      <c r="FIZ25">
        <v>1</v>
      </c>
      <c r="FJA25">
        <v>1</v>
      </c>
      <c r="FJB25">
        <v>3</v>
      </c>
      <c r="FJC25">
        <v>1</v>
      </c>
      <c r="FJD25">
        <v>10</v>
      </c>
      <c r="FJE25">
        <v>1</v>
      </c>
      <c r="FJF25">
        <v>1</v>
      </c>
      <c r="FJG25">
        <v>2</v>
      </c>
      <c r="FJH25">
        <v>1</v>
      </c>
      <c r="FJI25">
        <v>4</v>
      </c>
      <c r="FJJ25">
        <v>1</v>
      </c>
      <c r="FJK25">
        <v>1</v>
      </c>
      <c r="FJL25">
        <v>2</v>
      </c>
      <c r="FJM25">
        <v>1</v>
      </c>
      <c r="FJN25">
        <v>4</v>
      </c>
      <c r="FJO25">
        <v>2</v>
      </c>
      <c r="FJP25">
        <v>9</v>
      </c>
      <c r="FJQ25">
        <v>1</v>
      </c>
      <c r="FJR25">
        <v>1</v>
      </c>
      <c r="FJS25">
        <v>1</v>
      </c>
      <c r="FJT25">
        <v>14</v>
      </c>
      <c r="FJU25">
        <v>4</v>
      </c>
      <c r="FJV25">
        <v>3</v>
      </c>
      <c r="FJW25">
        <v>3</v>
      </c>
      <c r="FJX25">
        <v>7</v>
      </c>
      <c r="FJY25">
        <v>1</v>
      </c>
      <c r="FJZ25">
        <v>3</v>
      </c>
      <c r="FKA25">
        <v>11</v>
      </c>
      <c r="FKB25">
        <v>1</v>
      </c>
      <c r="FKC25">
        <v>2</v>
      </c>
      <c r="FKD25">
        <v>2</v>
      </c>
      <c r="FKE25">
        <v>6</v>
      </c>
      <c r="FKF25">
        <v>1</v>
      </c>
      <c r="FKG25">
        <v>2</v>
      </c>
      <c r="FKH25">
        <v>1</v>
      </c>
      <c r="FKI25">
        <v>1</v>
      </c>
      <c r="FKJ25">
        <v>3</v>
      </c>
      <c r="FKK25">
        <v>1</v>
      </c>
      <c r="FKL25">
        <v>1</v>
      </c>
      <c r="FKM25">
        <v>6</v>
      </c>
      <c r="FKN25">
        <v>2</v>
      </c>
      <c r="FKO25">
        <v>2</v>
      </c>
      <c r="FKP25">
        <v>1</v>
      </c>
      <c r="FKQ25">
        <v>1</v>
      </c>
      <c r="FKR25">
        <v>1</v>
      </c>
      <c r="FKS25">
        <v>1</v>
      </c>
      <c r="FKT25">
        <v>4</v>
      </c>
      <c r="FKU25">
        <v>6</v>
      </c>
      <c r="FKV25">
        <v>2</v>
      </c>
      <c r="FKW25">
        <v>10</v>
      </c>
      <c r="FKX25">
        <v>3</v>
      </c>
      <c r="FKY25">
        <v>1</v>
      </c>
      <c r="FKZ25">
        <v>3</v>
      </c>
      <c r="FLA25">
        <v>3</v>
      </c>
      <c r="FLB25">
        <v>2</v>
      </c>
      <c r="FLC25">
        <v>3</v>
      </c>
      <c r="FLD25">
        <v>1</v>
      </c>
      <c r="FLE25">
        <v>5</v>
      </c>
      <c r="FLF25">
        <v>5</v>
      </c>
      <c r="FLG25">
        <v>2</v>
      </c>
      <c r="FLH25">
        <v>1</v>
      </c>
      <c r="FLI25">
        <v>1</v>
      </c>
      <c r="FLJ25">
        <v>1</v>
      </c>
      <c r="FLK25">
        <v>1</v>
      </c>
      <c r="FLL25">
        <v>1</v>
      </c>
      <c r="FLM25">
        <v>5</v>
      </c>
      <c r="FLN25">
        <v>1</v>
      </c>
      <c r="FLO25">
        <v>2</v>
      </c>
      <c r="FLP25">
        <v>3</v>
      </c>
      <c r="FLQ25">
        <v>4</v>
      </c>
      <c r="FLR25">
        <v>2</v>
      </c>
      <c r="FLS25">
        <v>4</v>
      </c>
      <c r="FLT25">
        <v>3</v>
      </c>
      <c r="FLU25">
        <v>2</v>
      </c>
      <c r="FLV25">
        <v>1</v>
      </c>
      <c r="FLW25">
        <v>2</v>
      </c>
      <c r="FLX25">
        <v>1</v>
      </c>
      <c r="FLY25">
        <v>1</v>
      </c>
      <c r="FLZ25">
        <v>2</v>
      </c>
      <c r="FMA25">
        <v>3</v>
      </c>
      <c r="FMB25">
        <v>1</v>
      </c>
      <c r="FMC25">
        <v>1</v>
      </c>
      <c r="FMD25">
        <v>2</v>
      </c>
      <c r="FME25">
        <v>1</v>
      </c>
      <c r="FMF25">
        <v>1</v>
      </c>
      <c r="FMG25">
        <v>1</v>
      </c>
      <c r="FMH25">
        <v>1</v>
      </c>
      <c r="FMI25">
        <v>2</v>
      </c>
      <c r="FMJ25">
        <v>2</v>
      </c>
      <c r="FMK25">
        <v>6</v>
      </c>
      <c r="FML25">
        <v>3</v>
      </c>
      <c r="FMM25">
        <v>1</v>
      </c>
      <c r="FMN25">
        <v>2</v>
      </c>
      <c r="FMO25">
        <v>8</v>
      </c>
      <c r="FMP25">
        <v>2</v>
      </c>
      <c r="FMQ25">
        <v>1</v>
      </c>
      <c r="FMR25">
        <v>1</v>
      </c>
      <c r="FMS25">
        <v>3</v>
      </c>
      <c r="FMT25">
        <v>8</v>
      </c>
      <c r="FMU25">
        <v>2</v>
      </c>
      <c r="FMV25">
        <v>3</v>
      </c>
      <c r="FMW25">
        <v>12</v>
      </c>
      <c r="FMX25">
        <v>12</v>
      </c>
      <c r="FMY25">
        <v>1</v>
      </c>
      <c r="FMZ25">
        <v>1</v>
      </c>
      <c r="FNA25">
        <v>1</v>
      </c>
      <c r="FNB25">
        <v>1</v>
      </c>
      <c r="FNC25">
        <v>2</v>
      </c>
      <c r="FND25">
        <v>3</v>
      </c>
      <c r="FNE25">
        <v>2</v>
      </c>
      <c r="FNF25">
        <v>3</v>
      </c>
      <c r="FNG25">
        <v>2</v>
      </c>
      <c r="FNH25">
        <v>1</v>
      </c>
      <c r="FNI25">
        <v>1</v>
      </c>
      <c r="FNJ25">
        <v>1</v>
      </c>
      <c r="FNK25">
        <v>1</v>
      </c>
      <c r="FNL25">
        <v>1</v>
      </c>
      <c r="FNM25">
        <v>1</v>
      </c>
      <c r="FNN25">
        <v>2</v>
      </c>
      <c r="FNO25">
        <v>3</v>
      </c>
      <c r="FNP25">
        <v>1</v>
      </c>
      <c r="FNQ25">
        <v>6</v>
      </c>
      <c r="FNR25">
        <v>1</v>
      </c>
      <c r="FNS25">
        <v>1</v>
      </c>
      <c r="FNT25">
        <v>1</v>
      </c>
      <c r="FNU25">
        <v>2</v>
      </c>
      <c r="FNV25">
        <v>3</v>
      </c>
      <c r="FNW25">
        <v>2</v>
      </c>
      <c r="FNX25">
        <v>1</v>
      </c>
      <c r="FNY25">
        <v>1</v>
      </c>
      <c r="FNZ25">
        <v>2</v>
      </c>
      <c r="FOA25">
        <v>4</v>
      </c>
      <c r="FOB25">
        <v>1</v>
      </c>
      <c r="FOC25">
        <v>2</v>
      </c>
      <c r="FOD25">
        <v>3</v>
      </c>
      <c r="FOE25">
        <v>14</v>
      </c>
      <c r="FOF25">
        <v>1</v>
      </c>
      <c r="FOG25">
        <v>10</v>
      </c>
      <c r="FOH25">
        <v>2</v>
      </c>
      <c r="FOI25">
        <v>2</v>
      </c>
      <c r="FOJ25">
        <v>1</v>
      </c>
      <c r="FOK25">
        <v>1</v>
      </c>
      <c r="FOL25">
        <v>12</v>
      </c>
      <c r="FOM25">
        <v>2</v>
      </c>
      <c r="FON25">
        <v>1</v>
      </c>
      <c r="FOO25">
        <v>3</v>
      </c>
      <c r="FOP25">
        <v>1</v>
      </c>
      <c r="FOQ25">
        <v>4</v>
      </c>
      <c r="FOR25">
        <v>1</v>
      </c>
      <c r="FOS25">
        <v>10</v>
      </c>
      <c r="FOT25">
        <v>6</v>
      </c>
      <c r="FOU25">
        <v>2</v>
      </c>
      <c r="FOV25">
        <v>1</v>
      </c>
      <c r="FOW25">
        <v>1</v>
      </c>
      <c r="FOX25">
        <v>8</v>
      </c>
      <c r="FOY25">
        <v>1</v>
      </c>
      <c r="FOZ25">
        <v>1</v>
      </c>
      <c r="FPA25">
        <v>4</v>
      </c>
      <c r="FPB25">
        <v>16</v>
      </c>
      <c r="FPC25">
        <v>13</v>
      </c>
      <c r="FPD25">
        <v>1</v>
      </c>
      <c r="FPE25">
        <v>7</v>
      </c>
      <c r="FPF25">
        <v>8</v>
      </c>
      <c r="FPG25">
        <v>14</v>
      </c>
      <c r="FPH25">
        <v>8</v>
      </c>
      <c r="FPI25">
        <v>6</v>
      </c>
      <c r="FPJ25">
        <v>1</v>
      </c>
      <c r="FPK25">
        <v>1</v>
      </c>
      <c r="FPL25">
        <v>1</v>
      </c>
      <c r="FPM25">
        <v>3</v>
      </c>
      <c r="FPN25">
        <v>1</v>
      </c>
      <c r="FPO25">
        <v>1</v>
      </c>
      <c r="FPP25">
        <v>2</v>
      </c>
      <c r="FPQ25">
        <v>16</v>
      </c>
      <c r="FPR25">
        <v>1</v>
      </c>
      <c r="FPS25">
        <v>15</v>
      </c>
      <c r="FPT25">
        <v>4</v>
      </c>
      <c r="FPU25">
        <v>4</v>
      </c>
      <c r="FPV25">
        <v>1</v>
      </c>
      <c r="FPW25">
        <v>7</v>
      </c>
      <c r="FPX25">
        <v>3</v>
      </c>
      <c r="FPY25">
        <v>1</v>
      </c>
      <c r="FPZ25">
        <v>1</v>
      </c>
      <c r="FQA25">
        <v>2</v>
      </c>
      <c r="FQB25">
        <v>5</v>
      </c>
      <c r="FQC25">
        <v>1</v>
      </c>
      <c r="FQD25">
        <v>15</v>
      </c>
      <c r="FQE25">
        <v>9</v>
      </c>
      <c r="FQF25">
        <v>11</v>
      </c>
      <c r="FQG25">
        <v>1</v>
      </c>
      <c r="FQH25">
        <v>1</v>
      </c>
      <c r="FQI25">
        <v>1</v>
      </c>
      <c r="FQJ25">
        <v>2</v>
      </c>
      <c r="FQK25">
        <v>1</v>
      </c>
      <c r="FQL25">
        <v>1</v>
      </c>
      <c r="FQM25">
        <v>1</v>
      </c>
      <c r="FQN25">
        <v>1</v>
      </c>
      <c r="FQO25">
        <v>1</v>
      </c>
      <c r="FQP25">
        <v>5</v>
      </c>
      <c r="FQQ25">
        <v>3</v>
      </c>
      <c r="FQR25">
        <v>1</v>
      </c>
      <c r="FQS25">
        <v>2</v>
      </c>
      <c r="FQT25">
        <v>1</v>
      </c>
      <c r="FQU25">
        <v>1</v>
      </c>
      <c r="FQV25">
        <v>1</v>
      </c>
      <c r="FQW25">
        <v>1</v>
      </c>
      <c r="FQX25">
        <v>2</v>
      </c>
      <c r="FQY25">
        <v>1</v>
      </c>
      <c r="FQZ25">
        <v>5</v>
      </c>
      <c r="FRA25">
        <v>2</v>
      </c>
      <c r="FRB25">
        <v>2</v>
      </c>
      <c r="FRC25">
        <v>3</v>
      </c>
      <c r="FRD25">
        <v>1</v>
      </c>
      <c r="FRE25">
        <v>5</v>
      </c>
      <c r="FRF25">
        <v>1</v>
      </c>
      <c r="FRG25">
        <v>2</v>
      </c>
      <c r="FRH25">
        <v>10</v>
      </c>
      <c r="FRI25">
        <v>10</v>
      </c>
      <c r="FRJ25">
        <v>2</v>
      </c>
      <c r="FRK25">
        <v>11</v>
      </c>
      <c r="FRL25">
        <v>1</v>
      </c>
      <c r="FRM25">
        <v>4</v>
      </c>
      <c r="FRN25">
        <v>11</v>
      </c>
      <c r="FRO25">
        <v>4</v>
      </c>
      <c r="FRP25">
        <v>4</v>
      </c>
      <c r="FRQ25">
        <v>8</v>
      </c>
      <c r="FRR25">
        <v>5</v>
      </c>
      <c r="FRS25">
        <v>2</v>
      </c>
      <c r="FRT25">
        <v>1</v>
      </c>
      <c r="FRU25">
        <v>2</v>
      </c>
      <c r="FRV25">
        <v>1</v>
      </c>
      <c r="FRW25">
        <v>1</v>
      </c>
      <c r="FRX25">
        <v>2</v>
      </c>
      <c r="FRY25">
        <v>1</v>
      </c>
      <c r="FRZ25">
        <v>8</v>
      </c>
      <c r="FSA25">
        <v>1</v>
      </c>
      <c r="FSB25">
        <v>1</v>
      </c>
      <c r="FSC25">
        <v>2</v>
      </c>
      <c r="FSD25">
        <v>1</v>
      </c>
      <c r="FSE25">
        <v>1</v>
      </c>
      <c r="FSF25">
        <v>1</v>
      </c>
      <c r="FSG25">
        <v>7</v>
      </c>
      <c r="FSH25">
        <v>1</v>
      </c>
      <c r="FSI25">
        <v>3</v>
      </c>
      <c r="FSJ25">
        <v>3</v>
      </c>
      <c r="FSK25">
        <v>9</v>
      </c>
      <c r="FSL25">
        <v>2</v>
      </c>
      <c r="FSM25">
        <v>5</v>
      </c>
      <c r="FSN25">
        <v>1</v>
      </c>
      <c r="FSO25">
        <v>11</v>
      </c>
      <c r="FSP25">
        <v>4</v>
      </c>
      <c r="FSQ25">
        <v>1</v>
      </c>
      <c r="FSR25">
        <v>12</v>
      </c>
      <c r="FSS25">
        <v>1</v>
      </c>
      <c r="FST25">
        <v>1</v>
      </c>
      <c r="FSU25">
        <v>2</v>
      </c>
      <c r="FSV25">
        <v>3</v>
      </c>
      <c r="FSW25">
        <v>3</v>
      </c>
      <c r="FSX25">
        <v>1</v>
      </c>
      <c r="FSY25">
        <v>1</v>
      </c>
      <c r="FSZ25">
        <v>3</v>
      </c>
      <c r="FTA25">
        <v>2</v>
      </c>
      <c r="FTB25">
        <v>1</v>
      </c>
      <c r="FTC25">
        <v>1</v>
      </c>
      <c r="FTD25">
        <v>1</v>
      </c>
      <c r="FTE25">
        <v>2</v>
      </c>
      <c r="FTF25">
        <v>9</v>
      </c>
      <c r="FTG25">
        <v>13</v>
      </c>
      <c r="FTH25">
        <v>2</v>
      </c>
      <c r="FTI25">
        <v>3</v>
      </c>
      <c r="FTJ25">
        <v>1</v>
      </c>
      <c r="FTK25">
        <v>1</v>
      </c>
      <c r="FTL25">
        <v>4</v>
      </c>
      <c r="FTM25">
        <v>1</v>
      </c>
      <c r="FTN25">
        <v>5</v>
      </c>
      <c r="FTO25">
        <v>3</v>
      </c>
      <c r="FTP25">
        <v>1</v>
      </c>
      <c r="FTQ25">
        <v>3</v>
      </c>
      <c r="FTR25">
        <v>1</v>
      </c>
      <c r="FTS25">
        <v>1</v>
      </c>
      <c r="FTT25">
        <v>1</v>
      </c>
      <c r="FTU25">
        <v>9</v>
      </c>
      <c r="FTV25">
        <v>2</v>
      </c>
      <c r="FTW25">
        <v>2</v>
      </c>
      <c r="FTX25">
        <v>2</v>
      </c>
      <c r="FTY25">
        <v>3</v>
      </c>
      <c r="FTZ25">
        <v>4</v>
      </c>
      <c r="FUA25">
        <v>2</v>
      </c>
      <c r="FUB25">
        <v>3</v>
      </c>
      <c r="FUC25">
        <v>3</v>
      </c>
      <c r="FUD25">
        <v>1</v>
      </c>
      <c r="FUE25">
        <v>1</v>
      </c>
      <c r="FUF25">
        <v>1</v>
      </c>
      <c r="FUG25">
        <v>5</v>
      </c>
      <c r="FUH25">
        <v>2</v>
      </c>
      <c r="FUI25">
        <v>4</v>
      </c>
      <c r="FUJ25">
        <v>3</v>
      </c>
      <c r="FUK25">
        <v>1</v>
      </c>
      <c r="FUL25">
        <v>5</v>
      </c>
      <c r="FUM25">
        <v>1</v>
      </c>
      <c r="FUN25">
        <v>2</v>
      </c>
      <c r="FUO25">
        <v>1</v>
      </c>
      <c r="FUP25">
        <v>9</v>
      </c>
      <c r="FUQ25">
        <v>1</v>
      </c>
      <c r="FUR25">
        <v>15</v>
      </c>
      <c r="FUS25">
        <v>3</v>
      </c>
      <c r="FUT25">
        <v>3</v>
      </c>
      <c r="FUU25">
        <v>1</v>
      </c>
      <c r="FUV25">
        <v>7</v>
      </c>
      <c r="FUW25">
        <v>1</v>
      </c>
      <c r="FUX25">
        <v>1</v>
      </c>
      <c r="FUY25">
        <v>7</v>
      </c>
      <c r="FUZ25">
        <v>3</v>
      </c>
      <c r="FVA25">
        <v>1</v>
      </c>
      <c r="FVB25">
        <v>2</v>
      </c>
      <c r="FVC25">
        <v>10</v>
      </c>
      <c r="FVD25">
        <v>5</v>
      </c>
      <c r="FVE25">
        <v>1</v>
      </c>
      <c r="FVF25">
        <v>3</v>
      </c>
      <c r="FVG25">
        <v>5</v>
      </c>
      <c r="FVH25">
        <v>2</v>
      </c>
      <c r="FVI25">
        <v>1</v>
      </c>
      <c r="FVJ25">
        <v>6</v>
      </c>
      <c r="FVK25">
        <v>4</v>
      </c>
      <c r="FVL25">
        <v>1</v>
      </c>
      <c r="FVM25">
        <v>2</v>
      </c>
      <c r="FVN25">
        <v>9</v>
      </c>
      <c r="FVO25">
        <v>13</v>
      </c>
      <c r="FVP25">
        <v>8</v>
      </c>
      <c r="FVQ25">
        <v>3</v>
      </c>
      <c r="FVR25">
        <v>4</v>
      </c>
      <c r="FVS25">
        <v>1</v>
      </c>
      <c r="FVT25">
        <v>11</v>
      </c>
      <c r="FVU25">
        <v>1</v>
      </c>
      <c r="FVV25">
        <v>9</v>
      </c>
      <c r="FVW25">
        <v>6</v>
      </c>
      <c r="FVX25">
        <v>4</v>
      </c>
      <c r="FVY25">
        <v>6</v>
      </c>
      <c r="FVZ25">
        <v>4</v>
      </c>
      <c r="FWB25">
        <v>4</v>
      </c>
      <c r="FWC25">
        <v>8</v>
      </c>
      <c r="FWD25">
        <v>2</v>
      </c>
      <c r="FWE25">
        <v>1</v>
      </c>
      <c r="FWF25">
        <v>14</v>
      </c>
      <c r="FWG25">
        <v>1</v>
      </c>
      <c r="FWH25">
        <v>2</v>
      </c>
      <c r="FWI25">
        <v>1</v>
      </c>
      <c r="FWJ25">
        <v>12</v>
      </c>
      <c r="FWK25">
        <v>1</v>
      </c>
      <c r="FWL25">
        <v>1</v>
      </c>
      <c r="FWM25">
        <v>17</v>
      </c>
      <c r="FWN25">
        <v>3</v>
      </c>
      <c r="FWO25">
        <v>2</v>
      </c>
      <c r="FWP25">
        <v>1</v>
      </c>
      <c r="FWQ25">
        <v>2</v>
      </c>
      <c r="FWR25">
        <v>7</v>
      </c>
      <c r="FWS25">
        <v>3</v>
      </c>
      <c r="FWT25">
        <v>5</v>
      </c>
      <c r="FWU25">
        <v>12</v>
      </c>
      <c r="FWV25">
        <v>13</v>
      </c>
      <c r="FWW25">
        <v>4</v>
      </c>
      <c r="FWX25">
        <v>7</v>
      </c>
      <c r="FWY25">
        <v>1</v>
      </c>
      <c r="FWZ25">
        <v>1</v>
      </c>
      <c r="FXA25">
        <v>2</v>
      </c>
      <c r="FXB25">
        <v>13</v>
      </c>
      <c r="FXC25">
        <v>12</v>
      </c>
      <c r="FXD25">
        <v>4</v>
      </c>
      <c r="FXE25">
        <v>1</v>
      </c>
      <c r="FXF25">
        <v>4</v>
      </c>
      <c r="FXG25">
        <v>5</v>
      </c>
      <c r="FXH25">
        <v>13</v>
      </c>
      <c r="FXI25">
        <v>1</v>
      </c>
      <c r="FXJ25">
        <v>4</v>
      </c>
      <c r="FXK25">
        <v>5</v>
      </c>
      <c r="FXL25">
        <v>5</v>
      </c>
      <c r="FXM25">
        <v>1</v>
      </c>
      <c r="FXN25">
        <v>9</v>
      </c>
      <c r="FXO25">
        <v>2</v>
      </c>
      <c r="FXP25">
        <v>1</v>
      </c>
      <c r="FXQ25">
        <v>4</v>
      </c>
      <c r="FXR25">
        <v>2</v>
      </c>
      <c r="FXS25">
        <v>4</v>
      </c>
      <c r="FXT25">
        <v>6</v>
      </c>
      <c r="FXU25">
        <v>2</v>
      </c>
      <c r="FXV25">
        <v>2</v>
      </c>
      <c r="FXW25">
        <v>3</v>
      </c>
      <c r="FXX25">
        <v>5</v>
      </c>
      <c r="FXY25">
        <v>6</v>
      </c>
      <c r="FXZ25">
        <v>1</v>
      </c>
      <c r="FYA25">
        <v>1</v>
      </c>
      <c r="FYB25">
        <v>6</v>
      </c>
      <c r="FYC25">
        <v>2</v>
      </c>
      <c r="FYD25">
        <v>11</v>
      </c>
      <c r="FYE25">
        <v>1</v>
      </c>
      <c r="FYF25">
        <v>2</v>
      </c>
      <c r="FYG25">
        <v>2</v>
      </c>
      <c r="FYH25">
        <v>15</v>
      </c>
      <c r="FYI25">
        <v>3</v>
      </c>
      <c r="FYJ25">
        <v>5</v>
      </c>
      <c r="FYK25">
        <v>1</v>
      </c>
      <c r="FYL25">
        <v>12</v>
      </c>
      <c r="FYM25">
        <v>9</v>
      </c>
      <c r="FYN25">
        <v>17</v>
      </c>
      <c r="FYO25">
        <v>1</v>
      </c>
      <c r="FYP25">
        <v>7</v>
      </c>
      <c r="FYQ25">
        <v>4</v>
      </c>
      <c r="FYR25">
        <v>3</v>
      </c>
      <c r="FYS25">
        <v>8</v>
      </c>
      <c r="FYT25">
        <v>2</v>
      </c>
      <c r="FYU25">
        <v>2</v>
      </c>
      <c r="FYV25">
        <v>4</v>
      </c>
      <c r="FYW25">
        <v>1</v>
      </c>
      <c r="FYX25">
        <v>2</v>
      </c>
      <c r="FYY25">
        <v>11</v>
      </c>
      <c r="FYZ25">
        <v>4</v>
      </c>
      <c r="FZA25">
        <v>9</v>
      </c>
      <c r="FZB25">
        <v>2</v>
      </c>
      <c r="FZC25">
        <v>8</v>
      </c>
      <c r="FZD25">
        <v>1</v>
      </c>
      <c r="FZE25">
        <v>5</v>
      </c>
      <c r="FZF25">
        <v>1</v>
      </c>
      <c r="FZG25">
        <v>1</v>
      </c>
      <c r="FZH25">
        <v>4</v>
      </c>
      <c r="FZI25">
        <v>3</v>
      </c>
      <c r="FZJ25">
        <v>3</v>
      </c>
      <c r="FZK25">
        <v>12</v>
      </c>
      <c r="FZL25">
        <v>3</v>
      </c>
      <c r="FZM25">
        <v>9</v>
      </c>
      <c r="FZN25">
        <v>2</v>
      </c>
      <c r="FZO25">
        <v>2</v>
      </c>
      <c r="FZP25">
        <v>13</v>
      </c>
      <c r="FZQ25">
        <v>2</v>
      </c>
      <c r="FZR25">
        <v>1</v>
      </c>
      <c r="FZS25">
        <v>9</v>
      </c>
      <c r="FZT25">
        <v>3</v>
      </c>
      <c r="FZU25">
        <v>1</v>
      </c>
      <c r="FZV25">
        <v>1</v>
      </c>
      <c r="FZW25">
        <v>3</v>
      </c>
      <c r="FZX25">
        <v>1</v>
      </c>
      <c r="FZY25">
        <v>2</v>
      </c>
      <c r="FZZ25">
        <v>2</v>
      </c>
      <c r="GAA25">
        <v>2</v>
      </c>
      <c r="GAB25">
        <v>2</v>
      </c>
      <c r="GAC25">
        <v>2</v>
      </c>
      <c r="GAD25">
        <v>13</v>
      </c>
      <c r="GAE25">
        <v>1</v>
      </c>
      <c r="GAF25">
        <v>1</v>
      </c>
      <c r="GAG25">
        <v>1</v>
      </c>
      <c r="GAH25">
        <v>13</v>
      </c>
      <c r="GAI25">
        <v>3</v>
      </c>
      <c r="GAJ25">
        <v>1</v>
      </c>
      <c r="GAK25">
        <v>2</v>
      </c>
      <c r="GAL25">
        <v>17</v>
      </c>
      <c r="GAM25">
        <v>1</v>
      </c>
      <c r="GAN25">
        <v>2</v>
      </c>
      <c r="GAO25">
        <v>2</v>
      </c>
      <c r="GAP25">
        <v>9</v>
      </c>
      <c r="GAQ25">
        <v>2</v>
      </c>
      <c r="GAR25">
        <v>1</v>
      </c>
      <c r="GAS25">
        <v>2</v>
      </c>
      <c r="GAT25">
        <v>8</v>
      </c>
      <c r="GAU25">
        <v>4</v>
      </c>
      <c r="GAV25">
        <v>11</v>
      </c>
      <c r="GAW25">
        <v>2</v>
      </c>
      <c r="GAX25">
        <v>14</v>
      </c>
      <c r="GAY25">
        <v>2</v>
      </c>
      <c r="GAZ25">
        <v>1</v>
      </c>
      <c r="GBA25">
        <v>3</v>
      </c>
      <c r="GBB25">
        <v>4</v>
      </c>
      <c r="GBC25">
        <v>1</v>
      </c>
      <c r="GBD25">
        <v>2</v>
      </c>
      <c r="GBE25">
        <v>9</v>
      </c>
      <c r="GBF25">
        <v>3</v>
      </c>
      <c r="GBG25">
        <v>4</v>
      </c>
      <c r="GBH25">
        <v>1</v>
      </c>
      <c r="GBI25">
        <v>2</v>
      </c>
      <c r="GBJ25">
        <v>1</v>
      </c>
      <c r="GBK25">
        <v>4</v>
      </c>
      <c r="GBL25">
        <v>3</v>
      </c>
      <c r="GBM25">
        <v>2</v>
      </c>
      <c r="GBN25">
        <v>3</v>
      </c>
      <c r="GBO25">
        <v>11</v>
      </c>
      <c r="GBP25">
        <v>4</v>
      </c>
      <c r="GBQ25">
        <v>7</v>
      </c>
      <c r="GBR25">
        <v>8</v>
      </c>
      <c r="GBS25">
        <v>13</v>
      </c>
      <c r="GBT25">
        <v>4</v>
      </c>
      <c r="GBU25">
        <v>1</v>
      </c>
      <c r="GBV25">
        <v>2</v>
      </c>
      <c r="GBW25">
        <v>7</v>
      </c>
      <c r="GBX25">
        <v>10</v>
      </c>
      <c r="GBY25">
        <v>6</v>
      </c>
      <c r="GBZ25">
        <v>1</v>
      </c>
      <c r="GCA25">
        <v>4</v>
      </c>
      <c r="GCB25">
        <v>4</v>
      </c>
      <c r="GCC25">
        <v>6</v>
      </c>
      <c r="GCD25">
        <v>8</v>
      </c>
      <c r="GCE25">
        <v>1</v>
      </c>
      <c r="GCF25">
        <v>3</v>
      </c>
      <c r="GCG25">
        <v>13</v>
      </c>
      <c r="GCH25">
        <v>9</v>
      </c>
      <c r="GCI25">
        <v>6</v>
      </c>
      <c r="GCJ25">
        <v>1</v>
      </c>
      <c r="GCK25">
        <v>1</v>
      </c>
      <c r="GCL25">
        <v>1</v>
      </c>
      <c r="GCM25">
        <v>1</v>
      </c>
      <c r="GCN25">
        <v>19</v>
      </c>
      <c r="GCO25">
        <v>2</v>
      </c>
      <c r="GCP25">
        <v>5</v>
      </c>
      <c r="GCQ25">
        <v>2</v>
      </c>
      <c r="GCR25">
        <v>1</v>
      </c>
      <c r="GCS25">
        <v>4</v>
      </c>
      <c r="GCT25">
        <v>3</v>
      </c>
      <c r="GCU25">
        <v>3</v>
      </c>
      <c r="GCV25">
        <v>4</v>
      </c>
      <c r="GCW25">
        <v>1</v>
      </c>
      <c r="GCX25">
        <v>4</v>
      </c>
      <c r="GCY25">
        <v>1</v>
      </c>
      <c r="GCZ25">
        <v>1</v>
      </c>
      <c r="GDA25">
        <v>5</v>
      </c>
      <c r="GDB25">
        <v>10</v>
      </c>
      <c r="GDC25">
        <v>9</v>
      </c>
      <c r="GDD25">
        <v>2</v>
      </c>
      <c r="GDE25">
        <v>5</v>
      </c>
      <c r="GDF25">
        <v>15</v>
      </c>
      <c r="GDG25">
        <v>6</v>
      </c>
      <c r="GDH25">
        <v>4</v>
      </c>
      <c r="GDI25">
        <v>2</v>
      </c>
      <c r="GDJ25">
        <v>4</v>
      </c>
      <c r="GDK25">
        <v>2</v>
      </c>
      <c r="GDL25">
        <v>5</v>
      </c>
      <c r="GDM25">
        <v>15</v>
      </c>
      <c r="GDN25">
        <v>3</v>
      </c>
      <c r="GDO25">
        <v>1</v>
      </c>
      <c r="GDP25">
        <v>2</v>
      </c>
      <c r="GDQ25">
        <v>14</v>
      </c>
      <c r="GDR25">
        <v>6</v>
      </c>
      <c r="GDS25">
        <v>3</v>
      </c>
      <c r="GDT25">
        <v>4</v>
      </c>
      <c r="GDU25">
        <v>5</v>
      </c>
      <c r="GDV25">
        <v>1</v>
      </c>
      <c r="GDW25">
        <v>9</v>
      </c>
      <c r="GDX25">
        <v>6</v>
      </c>
      <c r="GDY25">
        <v>1</v>
      </c>
      <c r="GDZ25">
        <v>1</v>
      </c>
      <c r="GEA25">
        <v>3</v>
      </c>
      <c r="GEB25">
        <v>18</v>
      </c>
      <c r="GEC25">
        <v>6</v>
      </c>
      <c r="GED25">
        <v>7</v>
      </c>
      <c r="GEE25">
        <v>4</v>
      </c>
      <c r="GEF25">
        <v>2</v>
      </c>
      <c r="GEG25">
        <v>2</v>
      </c>
      <c r="GEH25">
        <v>11</v>
      </c>
      <c r="GEI25">
        <v>16</v>
      </c>
      <c r="GEJ25">
        <v>1</v>
      </c>
      <c r="GEK25">
        <v>4</v>
      </c>
      <c r="GEL25">
        <v>2</v>
      </c>
      <c r="GEM25">
        <v>1</v>
      </c>
      <c r="GEN25">
        <v>10</v>
      </c>
      <c r="GEO25">
        <v>18</v>
      </c>
      <c r="GEP25">
        <v>3</v>
      </c>
      <c r="GEQ25">
        <v>10</v>
      </c>
      <c r="GER25">
        <v>3</v>
      </c>
      <c r="GES25">
        <v>1</v>
      </c>
      <c r="GET25">
        <v>3</v>
      </c>
      <c r="GEU25">
        <v>4</v>
      </c>
      <c r="GEV25">
        <v>6</v>
      </c>
      <c r="GEW25">
        <v>4</v>
      </c>
      <c r="GEX25">
        <v>6</v>
      </c>
      <c r="GEY25">
        <v>2</v>
      </c>
      <c r="GEZ25">
        <v>2</v>
      </c>
      <c r="GFA25">
        <v>5</v>
      </c>
      <c r="GFB25">
        <v>5</v>
      </c>
      <c r="GFC25">
        <v>1</v>
      </c>
      <c r="GFD25">
        <v>4</v>
      </c>
      <c r="GFE25">
        <v>1</v>
      </c>
      <c r="GFF25">
        <v>7</v>
      </c>
      <c r="GFG25">
        <v>1</v>
      </c>
      <c r="GFH25">
        <v>3</v>
      </c>
      <c r="GFI25">
        <v>2</v>
      </c>
      <c r="GFJ25">
        <v>4</v>
      </c>
      <c r="GFK25">
        <v>9</v>
      </c>
      <c r="GFL25">
        <v>4</v>
      </c>
      <c r="GFM25">
        <v>2</v>
      </c>
      <c r="GFN25">
        <v>1</v>
      </c>
      <c r="GFO25">
        <v>2</v>
      </c>
      <c r="GFP25">
        <v>1</v>
      </c>
      <c r="GFQ25">
        <v>1</v>
      </c>
      <c r="GFR25">
        <v>5</v>
      </c>
      <c r="GFS25">
        <v>2</v>
      </c>
      <c r="GFT25">
        <v>2</v>
      </c>
      <c r="GFU25">
        <v>12</v>
      </c>
      <c r="GFV25">
        <v>4</v>
      </c>
      <c r="GFW25">
        <v>5</v>
      </c>
      <c r="GFX25">
        <v>2</v>
      </c>
      <c r="GFY25">
        <v>2</v>
      </c>
      <c r="GFZ25">
        <v>1</v>
      </c>
      <c r="GGA25">
        <v>5</v>
      </c>
      <c r="GGB25">
        <v>5</v>
      </c>
      <c r="GGC25">
        <v>1</v>
      </c>
      <c r="GGD25">
        <v>4</v>
      </c>
      <c r="GGE25">
        <v>1</v>
      </c>
      <c r="GGF25">
        <v>3</v>
      </c>
      <c r="GGG25">
        <v>7</v>
      </c>
      <c r="GGH25">
        <v>2</v>
      </c>
      <c r="GGI25">
        <v>1</v>
      </c>
      <c r="GGJ25">
        <v>3</v>
      </c>
      <c r="GGK25">
        <v>1</v>
      </c>
      <c r="GGL25">
        <v>4</v>
      </c>
      <c r="GGM25">
        <v>11</v>
      </c>
      <c r="GGN25">
        <v>7</v>
      </c>
      <c r="GGO25">
        <v>8</v>
      </c>
      <c r="GGP25">
        <v>12</v>
      </c>
      <c r="GGQ25">
        <v>2</v>
      </c>
      <c r="GGR25">
        <v>4</v>
      </c>
      <c r="GGS25">
        <v>1</v>
      </c>
      <c r="GGT25">
        <v>2</v>
      </c>
      <c r="GGU25">
        <v>1</v>
      </c>
      <c r="GGV25">
        <v>10</v>
      </c>
      <c r="GGW25">
        <v>4</v>
      </c>
      <c r="GGX25">
        <v>2</v>
      </c>
      <c r="GGY25">
        <v>1</v>
      </c>
      <c r="GGZ25">
        <v>1</v>
      </c>
      <c r="GHA25">
        <v>16</v>
      </c>
      <c r="GHB25">
        <v>4</v>
      </c>
      <c r="GHC25">
        <v>11</v>
      </c>
      <c r="GHD25">
        <v>1</v>
      </c>
      <c r="GHE25">
        <v>9</v>
      </c>
      <c r="GHF25">
        <v>1</v>
      </c>
      <c r="GHG25">
        <v>4</v>
      </c>
      <c r="GHH25">
        <v>13</v>
      </c>
      <c r="GHI25">
        <v>6</v>
      </c>
      <c r="GHJ25">
        <v>4</v>
      </c>
      <c r="GHK25">
        <v>1</v>
      </c>
      <c r="GHL25">
        <v>14</v>
      </c>
      <c r="GHM25">
        <v>7</v>
      </c>
      <c r="GHN25">
        <v>14</v>
      </c>
      <c r="GHO25">
        <v>12</v>
      </c>
      <c r="GHP25">
        <v>1</v>
      </c>
      <c r="GHQ25">
        <v>1</v>
      </c>
      <c r="GHR25">
        <v>15</v>
      </c>
      <c r="GHS25">
        <v>6</v>
      </c>
      <c r="GHT25">
        <v>4</v>
      </c>
      <c r="GHU25">
        <v>2</v>
      </c>
      <c r="GHV25">
        <v>1</v>
      </c>
      <c r="GHW25">
        <v>6</v>
      </c>
      <c r="GHX25">
        <v>7</v>
      </c>
      <c r="GHY25">
        <v>1</v>
      </c>
      <c r="GHZ25">
        <v>3</v>
      </c>
      <c r="GIA25">
        <v>10</v>
      </c>
      <c r="GIB25">
        <v>7</v>
      </c>
      <c r="GIC25">
        <v>11</v>
      </c>
      <c r="GID25">
        <v>5</v>
      </c>
      <c r="GIE25">
        <v>1</v>
      </c>
      <c r="GIF25">
        <v>9</v>
      </c>
      <c r="GIG25">
        <v>6</v>
      </c>
      <c r="GIH25">
        <v>16</v>
      </c>
      <c r="GII25">
        <v>1</v>
      </c>
      <c r="GIJ25">
        <v>5</v>
      </c>
      <c r="GIK25">
        <v>9</v>
      </c>
      <c r="GIL25">
        <v>10</v>
      </c>
      <c r="GIM25">
        <v>19</v>
      </c>
      <c r="GIN25">
        <v>1</v>
      </c>
      <c r="GIO25">
        <v>7</v>
      </c>
      <c r="GIP25">
        <v>11</v>
      </c>
      <c r="GIQ25">
        <v>12</v>
      </c>
      <c r="GIR25">
        <v>3</v>
      </c>
      <c r="GIS25">
        <v>7</v>
      </c>
      <c r="GIT25">
        <v>9</v>
      </c>
      <c r="GIU25">
        <v>5</v>
      </c>
      <c r="GIV25">
        <v>2</v>
      </c>
      <c r="GIW25">
        <v>1</v>
      </c>
      <c r="GIX25">
        <v>2</v>
      </c>
      <c r="GIY25">
        <v>16</v>
      </c>
      <c r="GIZ25">
        <v>1</v>
      </c>
      <c r="GJA25">
        <v>9</v>
      </c>
      <c r="GJB25">
        <v>3</v>
      </c>
      <c r="GJC25">
        <v>3</v>
      </c>
      <c r="GJD25">
        <v>2</v>
      </c>
      <c r="GJE25">
        <v>2</v>
      </c>
      <c r="GJF25">
        <v>1</v>
      </c>
      <c r="GJG25">
        <v>8</v>
      </c>
      <c r="GJH25">
        <v>3</v>
      </c>
      <c r="GJI25">
        <v>2</v>
      </c>
      <c r="GJJ25">
        <v>1</v>
      </c>
      <c r="GJK25">
        <v>3</v>
      </c>
      <c r="GJL25">
        <v>8</v>
      </c>
      <c r="GJM25">
        <v>1</v>
      </c>
      <c r="GJN25">
        <v>3</v>
      </c>
      <c r="GJO25">
        <v>1</v>
      </c>
      <c r="GJP25">
        <v>17</v>
      </c>
      <c r="GJQ25">
        <v>7</v>
      </c>
      <c r="GJR25">
        <v>11</v>
      </c>
      <c r="GJS25">
        <v>2</v>
      </c>
      <c r="GJT25">
        <v>11</v>
      </c>
      <c r="GJU25">
        <v>3</v>
      </c>
      <c r="GJV25">
        <v>2</v>
      </c>
      <c r="GJW25">
        <v>1</v>
      </c>
      <c r="GJX25">
        <v>7</v>
      </c>
      <c r="GJY25">
        <v>4</v>
      </c>
      <c r="GJZ25">
        <v>2</v>
      </c>
      <c r="GKA25">
        <v>1</v>
      </c>
      <c r="GKB25">
        <v>1</v>
      </c>
      <c r="GKC25">
        <v>3</v>
      </c>
      <c r="GKD25">
        <v>1</v>
      </c>
      <c r="GKE25">
        <v>4</v>
      </c>
      <c r="GKF25">
        <v>2</v>
      </c>
      <c r="GKG25">
        <v>6</v>
      </c>
      <c r="GKH25">
        <v>4</v>
      </c>
      <c r="GKI25">
        <v>3</v>
      </c>
      <c r="GKJ25">
        <v>7</v>
      </c>
      <c r="GKK25">
        <v>13</v>
      </c>
      <c r="GKL25">
        <v>10</v>
      </c>
      <c r="GKM25">
        <v>7</v>
      </c>
      <c r="GKN25">
        <v>1</v>
      </c>
      <c r="GKO25">
        <v>3</v>
      </c>
      <c r="GKP25">
        <v>15</v>
      </c>
      <c r="GKQ25">
        <v>2</v>
      </c>
      <c r="GKR25">
        <v>6</v>
      </c>
      <c r="GKS25">
        <v>5</v>
      </c>
      <c r="GKT25">
        <v>16</v>
      </c>
      <c r="GKU25">
        <v>1</v>
      </c>
      <c r="GKV25">
        <v>9</v>
      </c>
      <c r="GKW25">
        <v>1</v>
      </c>
      <c r="GKX25">
        <v>4</v>
      </c>
      <c r="GKY25">
        <v>15</v>
      </c>
      <c r="GKZ25">
        <v>3</v>
      </c>
      <c r="GLA25">
        <v>11</v>
      </c>
      <c r="GLB25">
        <v>3</v>
      </c>
      <c r="GLC25">
        <v>4</v>
      </c>
      <c r="GLD25">
        <v>10</v>
      </c>
      <c r="GLE25">
        <v>11</v>
      </c>
      <c r="GLF25">
        <v>6</v>
      </c>
      <c r="GLG25">
        <v>2</v>
      </c>
      <c r="GLH25">
        <v>5</v>
      </c>
      <c r="GLI25">
        <v>1</v>
      </c>
      <c r="GLJ25">
        <v>11</v>
      </c>
      <c r="GLK25">
        <v>1</v>
      </c>
      <c r="GLL25">
        <v>4</v>
      </c>
      <c r="GLM25">
        <v>1</v>
      </c>
      <c r="GLN25">
        <v>9</v>
      </c>
      <c r="GLO25">
        <v>4</v>
      </c>
      <c r="GLP25">
        <v>1</v>
      </c>
      <c r="GLQ25">
        <v>8</v>
      </c>
      <c r="GLR25">
        <v>2</v>
      </c>
      <c r="GLS25">
        <v>4</v>
      </c>
      <c r="GLT25">
        <v>15</v>
      </c>
      <c r="GLU25">
        <v>6</v>
      </c>
      <c r="GLV25">
        <v>2</v>
      </c>
      <c r="GLW25">
        <v>9</v>
      </c>
      <c r="GLX25">
        <v>1</v>
      </c>
      <c r="GLY25">
        <v>1</v>
      </c>
      <c r="GLZ25">
        <v>4</v>
      </c>
      <c r="GMA25">
        <v>3</v>
      </c>
      <c r="GMB25">
        <v>2</v>
      </c>
      <c r="GMC25">
        <v>2</v>
      </c>
      <c r="GMD25">
        <v>3</v>
      </c>
      <c r="GME25">
        <v>2</v>
      </c>
      <c r="GMF25">
        <v>5</v>
      </c>
      <c r="GMG25">
        <v>2</v>
      </c>
      <c r="GMH25">
        <v>3</v>
      </c>
      <c r="GMI25">
        <v>6</v>
      </c>
      <c r="GMJ25">
        <v>6</v>
      </c>
      <c r="GMK25">
        <v>9</v>
      </c>
      <c r="GML25">
        <v>2</v>
      </c>
      <c r="GMM25">
        <v>7</v>
      </c>
      <c r="GMN25">
        <v>6</v>
      </c>
      <c r="GMO25">
        <v>8</v>
      </c>
      <c r="GMP25">
        <v>4</v>
      </c>
      <c r="GMQ25">
        <v>10</v>
      </c>
      <c r="GMR25">
        <v>2</v>
      </c>
      <c r="GMS25">
        <v>6</v>
      </c>
      <c r="GMT25">
        <v>13</v>
      </c>
      <c r="GMU25">
        <v>3</v>
      </c>
      <c r="GMV25">
        <v>15</v>
      </c>
      <c r="GMW25">
        <v>4</v>
      </c>
      <c r="GMX25">
        <v>1</v>
      </c>
      <c r="GMY25">
        <v>4</v>
      </c>
      <c r="GMZ25">
        <v>3</v>
      </c>
      <c r="GNA25">
        <v>5</v>
      </c>
      <c r="GNB25">
        <v>4</v>
      </c>
      <c r="GNC25">
        <v>20</v>
      </c>
      <c r="GND25">
        <v>13</v>
      </c>
      <c r="GNE25">
        <v>10</v>
      </c>
      <c r="GNF25">
        <v>4</v>
      </c>
      <c r="GNG25">
        <v>9</v>
      </c>
      <c r="GNH25">
        <v>13</v>
      </c>
      <c r="GNI25">
        <v>2</v>
      </c>
      <c r="GNJ25">
        <v>8</v>
      </c>
      <c r="GNK25">
        <v>1</v>
      </c>
      <c r="GNL25">
        <v>5</v>
      </c>
      <c r="GNM25">
        <v>14</v>
      </c>
      <c r="GNN25">
        <v>4</v>
      </c>
      <c r="GNO25">
        <v>12</v>
      </c>
      <c r="GNP25">
        <v>14</v>
      </c>
      <c r="GNQ25">
        <v>5</v>
      </c>
      <c r="GNR25">
        <v>13</v>
      </c>
      <c r="GNS25">
        <v>9</v>
      </c>
      <c r="GNT25">
        <v>14</v>
      </c>
      <c r="GNU25">
        <v>5</v>
      </c>
      <c r="GNV25">
        <v>5</v>
      </c>
      <c r="GNW25">
        <v>6</v>
      </c>
      <c r="GNX25">
        <v>8</v>
      </c>
      <c r="GNY25">
        <v>10</v>
      </c>
      <c r="GNZ25">
        <v>9</v>
      </c>
      <c r="GOA25">
        <v>8</v>
      </c>
      <c r="GOB25">
        <v>15</v>
      </c>
      <c r="GOC25">
        <v>18</v>
      </c>
      <c r="GOD25">
        <v>2</v>
      </c>
      <c r="GOE25">
        <v>2</v>
      </c>
      <c r="GOF25">
        <v>1</v>
      </c>
      <c r="GOG25">
        <v>11</v>
      </c>
      <c r="GOH25">
        <v>11</v>
      </c>
      <c r="GOI25">
        <v>16</v>
      </c>
      <c r="GOJ25">
        <v>1</v>
      </c>
      <c r="GOK25">
        <v>1</v>
      </c>
      <c r="GOL25">
        <v>9</v>
      </c>
      <c r="GOM25">
        <v>6</v>
      </c>
      <c r="GON25">
        <v>4</v>
      </c>
      <c r="GOO25">
        <v>20</v>
      </c>
      <c r="GOP25">
        <v>3</v>
      </c>
      <c r="GOQ25">
        <v>2</v>
      </c>
      <c r="GOR25">
        <v>3</v>
      </c>
      <c r="GOS25">
        <v>17</v>
      </c>
      <c r="GOT25">
        <v>4</v>
      </c>
      <c r="GOU25">
        <v>13</v>
      </c>
      <c r="GOV25">
        <v>8</v>
      </c>
      <c r="GOW25">
        <v>17</v>
      </c>
      <c r="GOX25">
        <v>2</v>
      </c>
      <c r="GOY25">
        <v>17</v>
      </c>
      <c r="GOZ25">
        <v>8</v>
      </c>
      <c r="GPA25">
        <v>8</v>
      </c>
      <c r="GPB25">
        <v>15</v>
      </c>
      <c r="GPC25">
        <v>6</v>
      </c>
      <c r="GPD25">
        <v>7</v>
      </c>
      <c r="GPE25">
        <v>6</v>
      </c>
      <c r="GPF25">
        <v>1</v>
      </c>
      <c r="GPG25">
        <v>7</v>
      </c>
      <c r="GPH25">
        <v>20</v>
      </c>
      <c r="GPI25">
        <v>11</v>
      </c>
      <c r="GPJ25">
        <v>10</v>
      </c>
      <c r="GPK25">
        <v>4</v>
      </c>
      <c r="GPL25">
        <v>5</v>
      </c>
      <c r="GPM25">
        <v>5</v>
      </c>
      <c r="GPN25">
        <v>14</v>
      </c>
      <c r="GPO25">
        <v>6</v>
      </c>
      <c r="GPP25">
        <v>15</v>
      </c>
      <c r="GPQ25">
        <v>3</v>
      </c>
      <c r="GPR25">
        <v>10</v>
      </c>
      <c r="GPS25">
        <v>7</v>
      </c>
      <c r="GPT25">
        <v>2</v>
      </c>
      <c r="GPU25">
        <v>9</v>
      </c>
      <c r="GPV25">
        <v>2</v>
      </c>
      <c r="GPW25">
        <v>5</v>
      </c>
      <c r="GPX25">
        <v>14</v>
      </c>
      <c r="GPY25">
        <v>17</v>
      </c>
      <c r="GPZ25">
        <v>7</v>
      </c>
      <c r="GQA25">
        <v>12</v>
      </c>
      <c r="GQB25">
        <v>5</v>
      </c>
      <c r="GQC25">
        <v>3</v>
      </c>
      <c r="GQD25">
        <v>17</v>
      </c>
      <c r="GQE25">
        <v>9</v>
      </c>
      <c r="GQF25">
        <v>20</v>
      </c>
      <c r="GQG25">
        <v>6</v>
      </c>
      <c r="GQH25">
        <v>5</v>
      </c>
      <c r="GQI25">
        <v>19</v>
      </c>
      <c r="GQJ25">
        <v>4</v>
      </c>
      <c r="GQK25">
        <v>4</v>
      </c>
      <c r="GQL25">
        <v>2</v>
      </c>
      <c r="GQM25">
        <v>20</v>
      </c>
      <c r="GQN25">
        <v>4</v>
      </c>
      <c r="GQO25">
        <v>1</v>
      </c>
      <c r="GQP25">
        <v>2</v>
      </c>
      <c r="GQQ25">
        <v>6</v>
      </c>
      <c r="GQR25">
        <v>10</v>
      </c>
      <c r="GQS25">
        <v>6</v>
      </c>
      <c r="GQT25">
        <v>16</v>
      </c>
      <c r="GQU25">
        <v>3</v>
      </c>
      <c r="GQV25">
        <v>19</v>
      </c>
      <c r="GQW25">
        <v>3</v>
      </c>
      <c r="GQX25">
        <v>10</v>
      </c>
      <c r="GQY25">
        <v>19</v>
      </c>
      <c r="GQZ25">
        <v>17</v>
      </c>
      <c r="GRA25">
        <v>16</v>
      </c>
      <c r="GRB25">
        <v>4</v>
      </c>
      <c r="GRC25">
        <v>10</v>
      </c>
      <c r="GRD25">
        <v>12</v>
      </c>
      <c r="GRE25">
        <v>4</v>
      </c>
      <c r="GRF25">
        <v>8</v>
      </c>
      <c r="GRG25">
        <v>18</v>
      </c>
      <c r="GRH25">
        <v>10</v>
      </c>
      <c r="GRI25">
        <v>15</v>
      </c>
      <c r="GRJ25">
        <v>5</v>
      </c>
      <c r="GRK25">
        <v>14</v>
      </c>
      <c r="GRL25">
        <v>19</v>
      </c>
      <c r="GRM25">
        <v>20</v>
      </c>
      <c r="GRN25">
        <v>10</v>
      </c>
      <c r="GRO25">
        <v>4</v>
      </c>
      <c r="GRP25">
        <v>12</v>
      </c>
      <c r="GRQ25">
        <v>11</v>
      </c>
      <c r="GRR25">
        <v>18</v>
      </c>
      <c r="GRS25">
        <v>20</v>
      </c>
      <c r="GRT25">
        <v>9</v>
      </c>
      <c r="GRU25">
        <v>17</v>
      </c>
      <c r="GRV25">
        <v>11</v>
      </c>
      <c r="GRW25">
        <v>20</v>
      </c>
      <c r="GRX25">
        <v>19</v>
      </c>
      <c r="GRY25">
        <v>15</v>
      </c>
      <c r="GRZ25">
        <v>11</v>
      </c>
      <c r="GSA25">
        <v>15</v>
      </c>
      <c r="GSB25">
        <v>20</v>
      </c>
      <c r="GSC25">
        <v>17</v>
      </c>
      <c r="GSD25">
        <v>15</v>
      </c>
      <c r="GSE25">
        <v>18</v>
      </c>
      <c r="GSF25">
        <v>15</v>
      </c>
      <c r="GSG25">
        <v>20</v>
      </c>
      <c r="GSH25">
        <v>19</v>
      </c>
      <c r="GSI25">
        <v>20</v>
      </c>
      <c r="GSJ25">
        <v>20</v>
      </c>
      <c r="GSK25">
        <v>20</v>
      </c>
      <c r="GSL25">
        <v>20</v>
      </c>
      <c r="GSM25">
        <v>19</v>
      </c>
      <c r="GSN25">
        <v>7</v>
      </c>
      <c r="GSO25">
        <v>20</v>
      </c>
      <c r="GSP25">
        <v>20</v>
      </c>
      <c r="GSQ25">
        <v>18</v>
      </c>
    </row>
    <row r="26" spans="1:5244" x14ac:dyDescent="0.2"/>
    <row r="27" spans="1:5244" x14ac:dyDescent="0.2"/>
  </sheetData>
  <sortState xmlns:xlrd2="http://schemas.microsoft.com/office/spreadsheetml/2017/richdata2" columnSort="1" ref="B1:GSR25">
    <sortCondition ref="B22:GSR2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6E91-9AA5-44DC-983F-3AE6549A8F31}">
  <dimension ref="A1:AD34"/>
  <sheetViews>
    <sheetView workbookViewId="0">
      <selection activeCell="E34" sqref="E34"/>
    </sheetView>
  </sheetViews>
  <sheetFormatPr baseColWidth="10" defaultColWidth="8.83203125" defaultRowHeight="16" x14ac:dyDescent="0.2"/>
  <cols>
    <col min="1" max="1" width="15.83203125" style="5" customWidth="1"/>
    <col min="2" max="2" width="8.83203125" customWidth="1"/>
    <col min="3" max="3" width="8.83203125" style="7" customWidth="1"/>
    <col min="5" max="5" width="8.83203125" style="7" customWidth="1"/>
    <col min="6" max="6" width="8.83203125" customWidth="1"/>
    <col min="7" max="7" width="8.83203125" style="7"/>
    <col min="9" max="9" width="8.83203125" style="7"/>
    <col min="11" max="11" width="8.83203125" style="7"/>
    <col min="14" max="14" width="8.83203125" style="1"/>
    <col min="16" max="16" width="8.83203125" style="7"/>
    <col min="18" max="18" width="8.83203125" style="7"/>
    <col min="20" max="20" width="8.83203125" style="7"/>
    <col min="22" max="22" width="8.83203125" style="7"/>
    <col min="24" max="24" width="8.83203125" style="7"/>
    <col min="26" max="26" width="8.83203125" style="7"/>
    <col min="28" max="28" width="8.83203125" style="7"/>
  </cols>
  <sheetData>
    <row r="1" spans="1:30" s="5" customFormat="1" x14ac:dyDescent="0.2">
      <c r="B1" s="34" t="s">
        <v>5247</v>
      </c>
      <c r="C1" s="34"/>
      <c r="D1" s="34" t="s">
        <v>5248</v>
      </c>
      <c r="E1" s="34"/>
      <c r="F1" s="34" t="s">
        <v>5249</v>
      </c>
      <c r="G1" s="34"/>
      <c r="H1" s="34" t="s">
        <v>5250</v>
      </c>
      <c r="I1" s="34"/>
      <c r="J1" s="34" t="s">
        <v>5251</v>
      </c>
      <c r="K1" s="34"/>
      <c r="L1" s="34" t="s">
        <v>5252</v>
      </c>
      <c r="M1" s="34"/>
      <c r="N1" s="6"/>
      <c r="O1" s="34" t="s">
        <v>5253</v>
      </c>
      <c r="P1" s="34"/>
      <c r="Q1" s="34" t="s">
        <v>5254</v>
      </c>
      <c r="R1" s="34"/>
      <c r="S1" s="34" t="s">
        <v>5255</v>
      </c>
      <c r="T1" s="34"/>
      <c r="U1" s="34" t="s">
        <v>5256</v>
      </c>
      <c r="V1" s="34"/>
      <c r="W1" s="34" t="s">
        <v>5257</v>
      </c>
      <c r="X1" s="34"/>
      <c r="Y1" s="34" t="s">
        <v>5258</v>
      </c>
      <c r="Z1" s="34"/>
      <c r="AA1" s="34" t="s">
        <v>5259</v>
      </c>
      <c r="AB1" s="34"/>
      <c r="AC1" s="34" t="s">
        <v>5260</v>
      </c>
      <c r="AD1" s="34"/>
    </row>
    <row r="2" spans="1:30" s="9" customFormat="1" ht="97" customHeight="1" x14ac:dyDescent="0.2">
      <c r="B2" s="32" t="s">
        <v>4988</v>
      </c>
      <c r="C2" s="32"/>
      <c r="D2" s="35" t="s">
        <v>5005</v>
      </c>
      <c r="E2" s="35"/>
      <c r="F2" s="35" t="s">
        <v>5031</v>
      </c>
      <c r="G2" s="35"/>
      <c r="H2" s="35" t="s">
        <v>5040</v>
      </c>
      <c r="I2" s="35"/>
      <c r="J2" s="35" t="s">
        <v>5064</v>
      </c>
      <c r="K2" s="35"/>
      <c r="L2" s="35" t="s">
        <v>5067</v>
      </c>
      <c r="M2" s="35"/>
      <c r="N2" s="11"/>
      <c r="O2" s="35" t="s">
        <v>5238</v>
      </c>
      <c r="P2" s="35"/>
      <c r="Q2" s="35" t="s">
        <v>5239</v>
      </c>
      <c r="R2" s="35"/>
      <c r="S2" s="35" t="s">
        <v>5240</v>
      </c>
      <c r="T2" s="35"/>
      <c r="U2" s="35" t="s">
        <v>5237</v>
      </c>
      <c r="V2" s="35"/>
      <c r="W2" s="35" t="s">
        <v>5233</v>
      </c>
      <c r="X2" s="35"/>
      <c r="Y2" s="35" t="s">
        <v>5231</v>
      </c>
      <c r="Z2" s="35"/>
      <c r="AA2" s="35" t="s">
        <v>5229</v>
      </c>
      <c r="AB2" s="35"/>
      <c r="AC2" s="35" t="s">
        <v>5225</v>
      </c>
      <c r="AD2" s="35"/>
    </row>
    <row r="3" spans="1:30" x14ac:dyDescent="0.2">
      <c r="A3" s="5" t="s">
        <v>5242</v>
      </c>
      <c r="B3" t="s">
        <v>5283</v>
      </c>
      <c r="C3" s="7" t="s">
        <v>5262</v>
      </c>
      <c r="D3" t="s">
        <v>5283</v>
      </c>
      <c r="E3" s="7" t="s">
        <v>5262</v>
      </c>
      <c r="F3" t="s">
        <v>5283</v>
      </c>
      <c r="G3" s="7" t="s">
        <v>5262</v>
      </c>
      <c r="H3" t="s">
        <v>5283</v>
      </c>
      <c r="I3" s="7" t="s">
        <v>5262</v>
      </c>
      <c r="J3" t="s">
        <v>5283</v>
      </c>
      <c r="K3" s="7" t="s">
        <v>5262</v>
      </c>
      <c r="L3" t="s">
        <v>5283</v>
      </c>
      <c r="M3" s="7" t="s">
        <v>5262</v>
      </c>
      <c r="O3" t="s">
        <v>5283</v>
      </c>
      <c r="P3" s="7" t="s">
        <v>5262</v>
      </c>
      <c r="Q3" t="s">
        <v>5283</v>
      </c>
      <c r="R3" s="7" t="s">
        <v>5262</v>
      </c>
      <c r="S3" t="s">
        <v>5283</v>
      </c>
      <c r="T3" s="7" t="s">
        <v>5262</v>
      </c>
      <c r="U3" t="s">
        <v>5283</v>
      </c>
      <c r="V3" s="7" t="s">
        <v>5262</v>
      </c>
      <c r="W3" t="s">
        <v>5283</v>
      </c>
      <c r="X3" s="7" t="s">
        <v>5262</v>
      </c>
      <c r="Y3" t="s">
        <v>5283</v>
      </c>
      <c r="Z3" s="7" t="s">
        <v>5262</v>
      </c>
      <c r="AA3" t="s">
        <v>5283</v>
      </c>
      <c r="AB3" s="7" t="s">
        <v>5262</v>
      </c>
      <c r="AC3" t="s">
        <v>5283</v>
      </c>
      <c r="AD3" s="7" t="s">
        <v>5262</v>
      </c>
    </row>
    <row r="4" spans="1:30" x14ac:dyDescent="0.2">
      <c r="A4" s="5">
        <v>10</v>
      </c>
      <c r="C4" s="7" t="str">
        <f>IF(B4&gt;0, B4/60, "")</f>
        <v/>
      </c>
      <c r="E4" s="7" t="str">
        <f>IF(D4&gt;0, D4/60, "")</f>
        <v/>
      </c>
      <c r="F4">
        <v>310.99</v>
      </c>
      <c r="G4" s="7">
        <f>IF(F4&gt;0, F4/60, "")</f>
        <v>5.1831666666666667</v>
      </c>
      <c r="H4">
        <v>39</v>
      </c>
      <c r="I4" s="7">
        <f>IF(H4&gt;0, H4/60, "")</f>
        <v>0.65</v>
      </c>
      <c r="K4" s="7" t="str">
        <f>IF(J4&gt;0, J4/60, "")</f>
        <v/>
      </c>
      <c r="M4" t="str">
        <f>IF(L4&gt;0, L4/60, "")</f>
        <v/>
      </c>
      <c r="O4">
        <v>1800.96</v>
      </c>
      <c r="P4" s="7">
        <f>IF(O4&gt;0, O4/60, "")</f>
        <v>30.016000000000002</v>
      </c>
      <c r="Q4">
        <v>88</v>
      </c>
      <c r="R4" s="7">
        <f>IF(Q4&gt;0, Q4/60, "")</f>
        <v>1.4666666666666666</v>
      </c>
      <c r="S4">
        <v>50942.26</v>
      </c>
      <c r="T4" s="7">
        <f>IF(S4&gt;0, S4/60, "")</f>
        <v>849.03766666666672</v>
      </c>
      <c r="U4">
        <v>3487.84</v>
      </c>
      <c r="V4" s="7">
        <f>IF(U4&gt;0, U4/60, "")</f>
        <v>58.13066666666667</v>
      </c>
      <c r="W4">
        <v>1144.96</v>
      </c>
      <c r="X4" s="7">
        <f>IF(W4&gt;0, W4/60, "")</f>
        <v>19.082666666666668</v>
      </c>
      <c r="Y4">
        <v>15496.34</v>
      </c>
      <c r="Z4" s="7">
        <f>IF(Y4&gt;0, Y4/60, "")</f>
        <v>258.27233333333334</v>
      </c>
      <c r="AA4">
        <v>244.99</v>
      </c>
      <c r="AB4" s="7">
        <f>IF(AA4&gt;0, AA4/60, "")</f>
        <v>4.0831666666666671</v>
      </c>
      <c r="AC4">
        <v>2656.94</v>
      </c>
      <c r="AD4">
        <f>IF(AC4&gt;0, AC4/60, "")</f>
        <v>44.282333333333334</v>
      </c>
    </row>
    <row r="5" spans="1:30" x14ac:dyDescent="0.2">
      <c r="A5" s="5">
        <v>36</v>
      </c>
      <c r="B5">
        <v>130</v>
      </c>
      <c r="C5" s="7">
        <f t="shared" ref="C5:E23" si="0">IF(B5&gt;0, B5/60, "")</f>
        <v>2.1666666666666665</v>
      </c>
      <c r="D5">
        <v>253.99</v>
      </c>
      <c r="E5" s="7">
        <f t="shared" si="0"/>
        <v>4.2331666666666665</v>
      </c>
      <c r="F5">
        <v>104</v>
      </c>
      <c r="G5" s="7">
        <f t="shared" ref="G5:G23" si="1">IF(F5&gt;0, F5/60, "")</f>
        <v>1.7333333333333334</v>
      </c>
      <c r="H5">
        <v>220</v>
      </c>
      <c r="I5" s="7">
        <f t="shared" ref="I5:I23" si="2">IF(H5&gt;0, H5/60, "")</f>
        <v>3.6666666666666665</v>
      </c>
      <c r="K5" s="7" t="str">
        <f t="shared" ref="K5:M20" si="3">IF(J5&gt;0, J5/60, "")</f>
        <v/>
      </c>
      <c r="M5" t="str">
        <f t="shared" si="3"/>
        <v/>
      </c>
      <c r="O5">
        <v>7429.94</v>
      </c>
      <c r="P5" s="7">
        <f t="shared" ref="P5:P23" si="4">IF(O5&gt;0, O5/60, "")</f>
        <v>123.83233333333332</v>
      </c>
      <c r="Q5">
        <v>9329.6</v>
      </c>
      <c r="R5" s="7">
        <f t="shared" ref="R5:R23" si="5">IF(Q5&gt;0, Q5/60, "")</f>
        <v>155.49333333333334</v>
      </c>
      <c r="S5">
        <v>15553.61</v>
      </c>
      <c r="T5" s="7">
        <f t="shared" ref="T5:T23" si="6">IF(S5&gt;0, S5/60, "")</f>
        <v>259.22683333333333</v>
      </c>
      <c r="V5" s="7" t="str">
        <f t="shared" ref="V5:V23" si="7">IF(U5&gt;0, U5/60, "")</f>
        <v/>
      </c>
      <c r="W5">
        <v>4188.87</v>
      </c>
      <c r="X5" s="7">
        <f t="shared" ref="X5:X23" si="8">IF(W5&gt;0, W5/60, "")</f>
        <v>69.814499999999995</v>
      </c>
      <c r="Y5">
        <v>712.96</v>
      </c>
      <c r="Z5" s="7">
        <f t="shared" ref="Z5:Z23" si="9">IF(Y5&gt;0, Y5/60, "")</f>
        <v>11.882666666666667</v>
      </c>
      <c r="AB5" s="7" t="str">
        <f t="shared" ref="AB5:AB23" si="10">IF(AA5&gt;0, AA5/60, "")</f>
        <v/>
      </c>
      <c r="AC5">
        <v>575</v>
      </c>
      <c r="AD5">
        <f t="shared" ref="AD5:AD23" si="11">IF(AC5&gt;0, AC5/60, "")</f>
        <v>9.5833333333333339</v>
      </c>
    </row>
    <row r="6" spans="1:30" x14ac:dyDescent="0.2">
      <c r="A6" s="5">
        <v>37</v>
      </c>
      <c r="B6">
        <v>96</v>
      </c>
      <c r="C6" s="7">
        <f t="shared" si="0"/>
        <v>1.6</v>
      </c>
      <c r="D6">
        <v>43</v>
      </c>
      <c r="E6" s="7">
        <f t="shared" si="0"/>
        <v>0.71666666666666667</v>
      </c>
      <c r="F6">
        <v>323.99</v>
      </c>
      <c r="G6" s="7">
        <f t="shared" si="1"/>
        <v>5.3998333333333335</v>
      </c>
      <c r="H6">
        <v>37</v>
      </c>
      <c r="I6" s="7">
        <f t="shared" si="2"/>
        <v>0.6166666666666667</v>
      </c>
      <c r="J6">
        <v>212.98</v>
      </c>
      <c r="K6" s="7">
        <f t="shared" si="3"/>
        <v>3.5496666666666665</v>
      </c>
      <c r="M6" t="str">
        <f t="shared" si="3"/>
        <v/>
      </c>
      <c r="O6">
        <v>6080.7</v>
      </c>
      <c r="P6" s="7">
        <f t="shared" si="4"/>
        <v>101.345</v>
      </c>
      <c r="Q6">
        <v>5321.83</v>
      </c>
      <c r="R6" s="7">
        <f t="shared" si="5"/>
        <v>88.697166666666661</v>
      </c>
      <c r="S6">
        <v>4807.74</v>
      </c>
      <c r="T6" s="7">
        <f t="shared" si="6"/>
        <v>80.128999999999991</v>
      </c>
      <c r="V6" s="7" t="str">
        <f t="shared" si="7"/>
        <v/>
      </c>
      <c r="W6">
        <v>5579.79</v>
      </c>
      <c r="X6" s="7">
        <f t="shared" si="8"/>
        <v>92.996499999999997</v>
      </c>
      <c r="Z6" s="7" t="str">
        <f t="shared" si="9"/>
        <v/>
      </c>
      <c r="AA6">
        <v>1169.96</v>
      </c>
      <c r="AB6" s="7">
        <f t="shared" si="10"/>
        <v>19.499333333333333</v>
      </c>
      <c r="AC6">
        <v>1112.96</v>
      </c>
      <c r="AD6">
        <f t="shared" si="11"/>
        <v>18.549333333333333</v>
      </c>
    </row>
    <row r="7" spans="1:30" x14ac:dyDescent="0.2">
      <c r="A7" s="5">
        <v>38</v>
      </c>
      <c r="C7" s="7" t="str">
        <f t="shared" si="0"/>
        <v/>
      </c>
      <c r="D7">
        <v>140.97999999999999</v>
      </c>
      <c r="E7" s="7">
        <f t="shared" si="0"/>
        <v>2.3496666666666663</v>
      </c>
      <c r="F7">
        <v>60.99</v>
      </c>
      <c r="G7" s="7">
        <f t="shared" si="1"/>
        <v>1.0165</v>
      </c>
      <c r="H7">
        <v>28</v>
      </c>
      <c r="I7" s="7">
        <f t="shared" si="2"/>
        <v>0.46666666666666667</v>
      </c>
      <c r="K7" s="7" t="str">
        <f t="shared" si="3"/>
        <v/>
      </c>
      <c r="M7" t="str">
        <f t="shared" si="3"/>
        <v/>
      </c>
      <c r="O7">
        <v>3234.95</v>
      </c>
      <c r="P7" s="7">
        <f t="shared" si="4"/>
        <v>53.915833333333332</v>
      </c>
      <c r="Q7">
        <v>4739.8599999999997</v>
      </c>
      <c r="R7" s="7">
        <f t="shared" si="5"/>
        <v>78.99766666666666</v>
      </c>
      <c r="S7">
        <v>40258.11</v>
      </c>
      <c r="T7" s="7">
        <f t="shared" si="6"/>
        <v>670.96850000000006</v>
      </c>
      <c r="V7" s="7" t="str">
        <f t="shared" si="7"/>
        <v/>
      </c>
      <c r="W7">
        <v>3896.92</v>
      </c>
      <c r="X7" s="7">
        <f t="shared" si="8"/>
        <v>64.948666666666668</v>
      </c>
      <c r="Y7">
        <v>22</v>
      </c>
      <c r="Z7" s="7">
        <f t="shared" si="9"/>
        <v>0.36666666666666664</v>
      </c>
      <c r="AA7">
        <v>30</v>
      </c>
      <c r="AB7" s="7">
        <f t="shared" si="10"/>
        <v>0.5</v>
      </c>
      <c r="AC7">
        <v>710.98</v>
      </c>
      <c r="AD7">
        <f t="shared" si="11"/>
        <v>11.849666666666668</v>
      </c>
    </row>
    <row r="8" spans="1:30" x14ac:dyDescent="0.2">
      <c r="A8" s="5">
        <v>39</v>
      </c>
      <c r="B8">
        <v>144</v>
      </c>
      <c r="C8" s="7">
        <f t="shared" si="0"/>
        <v>2.4</v>
      </c>
      <c r="D8">
        <v>166</v>
      </c>
      <c r="E8" s="7">
        <f t="shared" si="0"/>
        <v>2.7666666666666666</v>
      </c>
      <c r="F8">
        <v>96.99</v>
      </c>
      <c r="G8" s="7">
        <f t="shared" si="1"/>
        <v>1.6164999999999998</v>
      </c>
      <c r="H8">
        <v>210</v>
      </c>
      <c r="I8" s="7">
        <f t="shared" si="2"/>
        <v>3.5</v>
      </c>
      <c r="J8">
        <v>150.99</v>
      </c>
      <c r="K8" s="7">
        <f t="shared" si="3"/>
        <v>2.5165000000000002</v>
      </c>
      <c r="L8">
        <v>118</v>
      </c>
      <c r="M8">
        <f t="shared" si="3"/>
        <v>1.9666666666666666</v>
      </c>
      <c r="O8">
        <v>1023.97</v>
      </c>
      <c r="P8" s="7">
        <f t="shared" si="4"/>
        <v>17.066166666666668</v>
      </c>
      <c r="Q8">
        <v>4731.8999999999996</v>
      </c>
      <c r="R8" s="7">
        <f t="shared" si="5"/>
        <v>78.864999999999995</v>
      </c>
      <c r="S8">
        <v>5816.77</v>
      </c>
      <c r="T8" s="7">
        <f t="shared" si="6"/>
        <v>96.94616666666667</v>
      </c>
      <c r="U8">
        <v>6393.85</v>
      </c>
      <c r="V8" s="7">
        <f t="shared" si="7"/>
        <v>106.56416666666668</v>
      </c>
      <c r="W8">
        <v>5439.82</v>
      </c>
      <c r="X8" s="7">
        <f t="shared" si="8"/>
        <v>90.663666666666657</v>
      </c>
      <c r="Y8">
        <v>254</v>
      </c>
      <c r="Z8" s="7">
        <f t="shared" si="9"/>
        <v>4.2333333333333334</v>
      </c>
      <c r="AA8">
        <v>4514.9799999999996</v>
      </c>
      <c r="AB8" s="7">
        <f t="shared" si="10"/>
        <v>75.249666666666656</v>
      </c>
      <c r="AC8">
        <v>8330.7199999999993</v>
      </c>
      <c r="AD8">
        <f t="shared" si="11"/>
        <v>138.84533333333331</v>
      </c>
    </row>
    <row r="9" spans="1:30" x14ac:dyDescent="0.2">
      <c r="A9" s="5">
        <v>42</v>
      </c>
      <c r="B9">
        <v>209.98</v>
      </c>
      <c r="C9" s="7">
        <f t="shared" si="0"/>
        <v>3.4996666666666667</v>
      </c>
      <c r="D9">
        <v>387.98</v>
      </c>
      <c r="E9" s="7">
        <f t="shared" si="0"/>
        <v>6.4663333333333339</v>
      </c>
      <c r="F9">
        <v>195.96</v>
      </c>
      <c r="G9" s="7">
        <f t="shared" si="1"/>
        <v>3.266</v>
      </c>
      <c r="H9">
        <v>1034.9100000000001</v>
      </c>
      <c r="I9" s="7">
        <f t="shared" si="2"/>
        <v>17.2485</v>
      </c>
      <c r="J9">
        <v>2392.85</v>
      </c>
      <c r="K9" s="7">
        <f t="shared" si="3"/>
        <v>39.880833333333335</v>
      </c>
      <c r="L9">
        <v>1109.9100000000001</v>
      </c>
      <c r="M9">
        <f t="shared" si="3"/>
        <v>18.4985</v>
      </c>
      <c r="O9">
        <v>4038.8</v>
      </c>
      <c r="P9" s="7">
        <f t="shared" si="4"/>
        <v>67.313333333333333</v>
      </c>
      <c r="Q9">
        <v>4355.66</v>
      </c>
      <c r="R9" s="7">
        <f t="shared" si="5"/>
        <v>72.594333333333324</v>
      </c>
      <c r="S9">
        <v>6200.51</v>
      </c>
      <c r="T9" s="7">
        <f t="shared" si="6"/>
        <v>103.34183333333334</v>
      </c>
      <c r="V9" s="7" t="str">
        <f t="shared" si="7"/>
        <v/>
      </c>
      <c r="W9">
        <v>4713.7299999999996</v>
      </c>
      <c r="X9" s="7">
        <f t="shared" si="8"/>
        <v>78.562166666666656</v>
      </c>
      <c r="Y9">
        <v>719.95</v>
      </c>
      <c r="Z9" s="7">
        <f t="shared" si="9"/>
        <v>11.999166666666667</v>
      </c>
      <c r="AA9">
        <v>12555.29</v>
      </c>
      <c r="AB9" s="7">
        <f t="shared" si="10"/>
        <v>209.25483333333335</v>
      </c>
      <c r="AC9">
        <v>2984.75</v>
      </c>
      <c r="AD9">
        <f t="shared" si="11"/>
        <v>49.74583333333333</v>
      </c>
    </row>
    <row r="10" spans="1:30" x14ac:dyDescent="0.2">
      <c r="A10" s="5">
        <v>44</v>
      </c>
      <c r="B10">
        <v>163</v>
      </c>
      <c r="C10" s="7">
        <f t="shared" si="0"/>
        <v>2.7166666666666668</v>
      </c>
      <c r="E10" s="7" t="str">
        <f t="shared" si="0"/>
        <v/>
      </c>
      <c r="G10" s="7" t="str">
        <f t="shared" si="1"/>
        <v/>
      </c>
      <c r="I10" s="7" t="str">
        <f t="shared" si="2"/>
        <v/>
      </c>
      <c r="K10" s="7" t="str">
        <f t="shared" si="3"/>
        <v/>
      </c>
      <c r="L10">
        <v>2270.9899999999998</v>
      </c>
      <c r="M10">
        <f t="shared" si="3"/>
        <v>37.849833333333329</v>
      </c>
      <c r="O10">
        <v>1931.95</v>
      </c>
      <c r="P10" s="7">
        <f t="shared" si="4"/>
        <v>32.19916666666667</v>
      </c>
      <c r="Q10">
        <v>2418.91</v>
      </c>
      <c r="R10" s="7">
        <f t="shared" si="5"/>
        <v>40.315166666666663</v>
      </c>
      <c r="S10">
        <v>23374.46</v>
      </c>
      <c r="T10" s="7">
        <f t="shared" si="6"/>
        <v>389.5743333333333</v>
      </c>
      <c r="V10" s="7" t="str">
        <f t="shared" si="7"/>
        <v/>
      </c>
      <c r="W10">
        <v>29</v>
      </c>
      <c r="X10" s="7">
        <f t="shared" si="8"/>
        <v>0.48333333333333334</v>
      </c>
      <c r="Y10">
        <v>632.01</v>
      </c>
      <c r="Z10" s="7">
        <f t="shared" si="9"/>
        <v>10.5335</v>
      </c>
      <c r="AA10">
        <v>4606.95</v>
      </c>
      <c r="AB10" s="7">
        <f t="shared" si="10"/>
        <v>76.782499999999999</v>
      </c>
      <c r="AC10">
        <v>1029.1199999999999</v>
      </c>
      <c r="AD10">
        <f t="shared" si="11"/>
        <v>17.151999999999997</v>
      </c>
    </row>
    <row r="11" spans="1:30" x14ac:dyDescent="0.2">
      <c r="A11" s="5">
        <v>48</v>
      </c>
      <c r="B11">
        <v>79</v>
      </c>
      <c r="C11" s="7">
        <f t="shared" si="0"/>
        <v>1.3166666666666667</v>
      </c>
      <c r="D11">
        <v>247.98</v>
      </c>
      <c r="E11" s="7">
        <f t="shared" si="0"/>
        <v>4.133</v>
      </c>
      <c r="G11" s="7" t="str">
        <f t="shared" si="1"/>
        <v/>
      </c>
      <c r="H11">
        <v>7</v>
      </c>
      <c r="I11" s="7">
        <f t="shared" si="2"/>
        <v>0.11666666666666667</v>
      </c>
      <c r="J11">
        <v>423.99</v>
      </c>
      <c r="K11" s="7">
        <f t="shared" si="3"/>
        <v>7.0665000000000004</v>
      </c>
      <c r="M11" t="str">
        <f t="shared" si="3"/>
        <v/>
      </c>
      <c r="O11">
        <v>19431.2</v>
      </c>
      <c r="P11" s="7">
        <f t="shared" si="4"/>
        <v>323.85333333333335</v>
      </c>
      <c r="Q11">
        <v>1128.99</v>
      </c>
      <c r="R11" s="7">
        <f t="shared" si="5"/>
        <v>18.816500000000001</v>
      </c>
      <c r="S11">
        <v>16323.5</v>
      </c>
      <c r="T11" s="7">
        <f t="shared" si="6"/>
        <v>272.05833333333334</v>
      </c>
      <c r="V11" s="7" t="str">
        <f t="shared" si="7"/>
        <v/>
      </c>
      <c r="W11">
        <v>1308.95</v>
      </c>
      <c r="X11" s="7">
        <f t="shared" si="8"/>
        <v>21.815833333333334</v>
      </c>
      <c r="Y11">
        <v>17</v>
      </c>
      <c r="Z11" s="7">
        <f t="shared" si="9"/>
        <v>0.28333333333333333</v>
      </c>
      <c r="AA11">
        <v>2180.9</v>
      </c>
      <c r="AB11" s="7">
        <f t="shared" si="10"/>
        <v>36.348333333333336</v>
      </c>
      <c r="AC11">
        <v>1777.98</v>
      </c>
      <c r="AD11">
        <f t="shared" si="11"/>
        <v>29.632999999999999</v>
      </c>
    </row>
    <row r="12" spans="1:30" x14ac:dyDescent="0.2">
      <c r="A12" s="5">
        <v>49</v>
      </c>
      <c r="B12">
        <v>92.98</v>
      </c>
      <c r="C12" s="7">
        <f t="shared" si="0"/>
        <v>1.5496666666666667</v>
      </c>
      <c r="D12">
        <v>69</v>
      </c>
      <c r="E12" s="7">
        <f t="shared" si="0"/>
        <v>1.1499999999999999</v>
      </c>
      <c r="F12">
        <v>16</v>
      </c>
      <c r="G12" s="7">
        <f t="shared" si="1"/>
        <v>0.26666666666666666</v>
      </c>
      <c r="H12">
        <v>2603.8200000000002</v>
      </c>
      <c r="I12" s="7">
        <f t="shared" si="2"/>
        <v>43.397000000000006</v>
      </c>
      <c r="J12">
        <v>1502.94</v>
      </c>
      <c r="K12" s="7">
        <f t="shared" si="3"/>
        <v>25.048999999999999</v>
      </c>
      <c r="M12" t="str">
        <f t="shared" si="3"/>
        <v/>
      </c>
      <c r="O12">
        <v>696.94</v>
      </c>
      <c r="P12" s="7">
        <f t="shared" si="4"/>
        <v>11.615666666666668</v>
      </c>
      <c r="Q12">
        <v>5083.38</v>
      </c>
      <c r="R12" s="7">
        <f t="shared" si="5"/>
        <v>84.722999999999999</v>
      </c>
      <c r="S12">
        <v>22542.29</v>
      </c>
      <c r="T12" s="7">
        <f t="shared" si="6"/>
        <v>375.70483333333334</v>
      </c>
      <c r="V12" s="7" t="str">
        <f t="shared" si="7"/>
        <v/>
      </c>
      <c r="W12">
        <v>782.91</v>
      </c>
      <c r="X12" s="7">
        <f t="shared" si="8"/>
        <v>13.048499999999999</v>
      </c>
      <c r="Y12">
        <v>136.99</v>
      </c>
      <c r="Z12" s="7">
        <f t="shared" si="9"/>
        <v>2.2831666666666668</v>
      </c>
      <c r="AA12">
        <v>88</v>
      </c>
      <c r="AB12" s="7">
        <f t="shared" si="10"/>
        <v>1.4666666666666666</v>
      </c>
      <c r="AC12">
        <v>124.02</v>
      </c>
      <c r="AD12">
        <f t="shared" si="11"/>
        <v>2.0669999999999997</v>
      </c>
    </row>
    <row r="13" spans="1:30" x14ac:dyDescent="0.2">
      <c r="A13" s="5">
        <v>51</v>
      </c>
      <c r="B13">
        <v>60.94</v>
      </c>
      <c r="C13" s="7">
        <f t="shared" si="0"/>
        <v>1.0156666666666667</v>
      </c>
      <c r="D13">
        <v>106</v>
      </c>
      <c r="E13" s="7">
        <f t="shared" si="0"/>
        <v>1.7666666666666666</v>
      </c>
      <c r="G13" s="7" t="str">
        <f t="shared" si="1"/>
        <v/>
      </c>
      <c r="H13">
        <v>6</v>
      </c>
      <c r="I13" s="7">
        <f t="shared" si="2"/>
        <v>0.1</v>
      </c>
      <c r="J13">
        <v>27</v>
      </c>
      <c r="K13" s="7">
        <f t="shared" si="3"/>
        <v>0.45</v>
      </c>
      <c r="M13" t="str">
        <f t="shared" si="3"/>
        <v/>
      </c>
      <c r="O13">
        <v>349.05</v>
      </c>
      <c r="P13" s="7">
        <f t="shared" si="4"/>
        <v>5.8174999999999999</v>
      </c>
      <c r="Q13">
        <v>43</v>
      </c>
      <c r="R13" s="7">
        <f t="shared" si="5"/>
        <v>0.71666666666666667</v>
      </c>
      <c r="S13">
        <v>60</v>
      </c>
      <c r="T13" s="7">
        <f t="shared" si="6"/>
        <v>1</v>
      </c>
      <c r="V13" s="7" t="str">
        <f t="shared" si="7"/>
        <v/>
      </c>
      <c r="W13">
        <v>5927.95</v>
      </c>
      <c r="X13" s="7">
        <f t="shared" si="8"/>
        <v>98.799166666666665</v>
      </c>
      <c r="Y13">
        <v>230.99</v>
      </c>
      <c r="Z13" s="7">
        <f t="shared" si="9"/>
        <v>3.8498333333333337</v>
      </c>
      <c r="AA13">
        <v>5286.44</v>
      </c>
      <c r="AB13" s="7">
        <f t="shared" si="10"/>
        <v>88.10733333333333</v>
      </c>
      <c r="AC13">
        <v>1907.9</v>
      </c>
      <c r="AD13">
        <f t="shared" si="11"/>
        <v>31.798333333333336</v>
      </c>
    </row>
    <row r="14" spans="1:30" x14ac:dyDescent="0.2">
      <c r="A14" s="5">
        <v>58</v>
      </c>
      <c r="B14">
        <v>258.99</v>
      </c>
      <c r="C14" s="7">
        <f t="shared" si="0"/>
        <v>4.3165000000000004</v>
      </c>
      <c r="E14" s="7" t="str">
        <f t="shared" si="0"/>
        <v/>
      </c>
      <c r="G14" s="7" t="str">
        <f t="shared" si="1"/>
        <v/>
      </c>
      <c r="I14" s="7" t="str">
        <f t="shared" si="2"/>
        <v/>
      </c>
      <c r="K14" s="7" t="str">
        <f t="shared" si="3"/>
        <v/>
      </c>
      <c r="M14" t="str">
        <f t="shared" si="3"/>
        <v/>
      </c>
      <c r="O14">
        <v>2029.92</v>
      </c>
      <c r="P14" s="7">
        <f t="shared" si="4"/>
        <v>33.832000000000001</v>
      </c>
      <c r="Q14">
        <v>4631.71</v>
      </c>
      <c r="R14" s="7">
        <f t="shared" si="5"/>
        <v>77.195166666666665</v>
      </c>
      <c r="S14">
        <v>21392.37</v>
      </c>
      <c r="T14" s="7">
        <f t="shared" si="6"/>
        <v>356.53949999999998</v>
      </c>
      <c r="U14">
        <v>6796.55</v>
      </c>
      <c r="V14" s="7">
        <f t="shared" si="7"/>
        <v>113.27583333333334</v>
      </c>
      <c r="W14">
        <v>2810.79</v>
      </c>
      <c r="X14" s="7">
        <f t="shared" si="8"/>
        <v>46.846499999999999</v>
      </c>
      <c r="Y14">
        <v>3035.81</v>
      </c>
      <c r="Z14" s="7">
        <f t="shared" si="9"/>
        <v>50.596833333333329</v>
      </c>
      <c r="AA14">
        <v>1431.84</v>
      </c>
      <c r="AB14" s="7">
        <f t="shared" si="10"/>
        <v>23.863999999999997</v>
      </c>
      <c r="AC14">
        <v>3586.59</v>
      </c>
      <c r="AD14">
        <f t="shared" si="11"/>
        <v>59.776500000000006</v>
      </c>
    </row>
    <row r="15" spans="1:30" x14ac:dyDescent="0.2">
      <c r="A15" s="5">
        <v>59</v>
      </c>
      <c r="B15">
        <v>2230.6</v>
      </c>
      <c r="C15" s="7">
        <f t="shared" si="0"/>
        <v>37.176666666666662</v>
      </c>
      <c r="D15">
        <v>161</v>
      </c>
      <c r="E15" s="7">
        <f t="shared" si="0"/>
        <v>2.6833333333333331</v>
      </c>
      <c r="F15">
        <v>251.98</v>
      </c>
      <c r="G15" s="7">
        <f t="shared" si="1"/>
        <v>4.1996666666666664</v>
      </c>
      <c r="H15">
        <v>8.99</v>
      </c>
      <c r="I15" s="7">
        <f t="shared" si="2"/>
        <v>0.14983333333333335</v>
      </c>
      <c r="J15">
        <v>135</v>
      </c>
      <c r="K15" s="7">
        <f t="shared" si="3"/>
        <v>2.25</v>
      </c>
      <c r="M15" t="str">
        <f t="shared" si="3"/>
        <v/>
      </c>
      <c r="O15">
        <v>8625.76</v>
      </c>
      <c r="P15" s="7">
        <f t="shared" si="4"/>
        <v>143.76266666666666</v>
      </c>
      <c r="Q15">
        <v>1943.96</v>
      </c>
      <c r="R15" s="7">
        <f t="shared" si="5"/>
        <v>32.399333333333331</v>
      </c>
      <c r="S15">
        <v>14102.58</v>
      </c>
      <c r="T15" s="7">
        <f t="shared" si="6"/>
        <v>235.04300000000001</v>
      </c>
      <c r="V15" s="7" t="str">
        <f t="shared" si="7"/>
        <v/>
      </c>
      <c r="W15">
        <v>3007.89</v>
      </c>
      <c r="X15" s="7">
        <f t="shared" si="8"/>
        <v>50.131499999999996</v>
      </c>
      <c r="Y15">
        <v>4011.75</v>
      </c>
      <c r="Z15" s="7">
        <f t="shared" si="9"/>
        <v>66.862499999999997</v>
      </c>
      <c r="AB15" s="7" t="str">
        <f t="shared" si="10"/>
        <v/>
      </c>
      <c r="AC15">
        <v>3517.88</v>
      </c>
      <c r="AD15">
        <f t="shared" si="11"/>
        <v>58.631333333333338</v>
      </c>
    </row>
    <row r="16" spans="1:30" x14ac:dyDescent="0.2">
      <c r="A16" s="5">
        <v>87</v>
      </c>
      <c r="C16" s="7" t="str">
        <f t="shared" si="0"/>
        <v/>
      </c>
      <c r="D16">
        <v>95</v>
      </c>
      <c r="E16" s="7">
        <f t="shared" si="0"/>
        <v>1.5833333333333333</v>
      </c>
      <c r="F16">
        <v>51</v>
      </c>
      <c r="G16" s="7">
        <f t="shared" si="1"/>
        <v>0.85</v>
      </c>
      <c r="H16">
        <v>160.99</v>
      </c>
      <c r="I16" s="7">
        <f t="shared" si="2"/>
        <v>2.6831666666666667</v>
      </c>
      <c r="K16" s="7" t="str">
        <f t="shared" si="3"/>
        <v/>
      </c>
      <c r="M16" t="str">
        <f t="shared" si="3"/>
        <v/>
      </c>
      <c r="O16">
        <v>6399.85</v>
      </c>
      <c r="P16" s="7">
        <f t="shared" si="4"/>
        <v>106.66416666666667</v>
      </c>
      <c r="Q16">
        <v>15442.32</v>
      </c>
      <c r="R16" s="7">
        <f t="shared" si="5"/>
        <v>257.37200000000001</v>
      </c>
      <c r="S16">
        <v>581.98</v>
      </c>
      <c r="T16" s="7">
        <f t="shared" si="6"/>
        <v>9.6996666666666673</v>
      </c>
      <c r="V16" s="7" t="str">
        <f t="shared" si="7"/>
        <v/>
      </c>
      <c r="W16">
        <v>3198.96</v>
      </c>
      <c r="X16" s="7">
        <f t="shared" si="8"/>
        <v>53.316000000000003</v>
      </c>
      <c r="Y16">
        <v>1930.35</v>
      </c>
      <c r="Z16" s="7">
        <f t="shared" si="9"/>
        <v>32.172499999999999</v>
      </c>
      <c r="AB16" s="7" t="str">
        <f t="shared" si="10"/>
        <v/>
      </c>
      <c r="AC16">
        <v>3182.05</v>
      </c>
      <c r="AD16">
        <f t="shared" si="11"/>
        <v>53.034166666666671</v>
      </c>
    </row>
    <row r="17" spans="1:30" x14ac:dyDescent="0.2">
      <c r="A17" s="5">
        <v>138</v>
      </c>
      <c r="B17">
        <v>56.98</v>
      </c>
      <c r="C17" s="7">
        <f t="shared" si="0"/>
        <v>0.94966666666666666</v>
      </c>
      <c r="D17">
        <v>104.99</v>
      </c>
      <c r="E17" s="7">
        <f t="shared" si="0"/>
        <v>1.7498333333333334</v>
      </c>
      <c r="F17">
        <v>1622.66</v>
      </c>
      <c r="G17" s="7">
        <f t="shared" si="1"/>
        <v>27.044333333333334</v>
      </c>
      <c r="I17" s="7" t="str">
        <f t="shared" si="2"/>
        <v/>
      </c>
      <c r="J17">
        <v>719.86</v>
      </c>
      <c r="K17" s="7">
        <f t="shared" si="3"/>
        <v>11.997666666666667</v>
      </c>
      <c r="M17" t="str">
        <f t="shared" si="3"/>
        <v/>
      </c>
      <c r="O17">
        <v>134.96</v>
      </c>
      <c r="P17" s="7">
        <f t="shared" si="4"/>
        <v>2.2493333333333334</v>
      </c>
      <c r="Q17">
        <v>1577.99</v>
      </c>
      <c r="R17" s="7">
        <f t="shared" si="5"/>
        <v>26.299833333333332</v>
      </c>
      <c r="S17">
        <v>40933.49</v>
      </c>
      <c r="T17" s="7">
        <f t="shared" si="6"/>
        <v>682.22483333333332</v>
      </c>
      <c r="U17">
        <v>33748.29</v>
      </c>
      <c r="V17" s="7">
        <f t="shared" si="7"/>
        <v>562.47149999999999</v>
      </c>
      <c r="W17">
        <v>2727.79</v>
      </c>
      <c r="X17" s="7">
        <f t="shared" si="8"/>
        <v>45.463166666666666</v>
      </c>
      <c r="Y17">
        <v>3896.95</v>
      </c>
      <c r="Z17" s="7">
        <f t="shared" si="9"/>
        <v>64.94916666666667</v>
      </c>
      <c r="AB17" s="7" t="str">
        <f t="shared" si="10"/>
        <v/>
      </c>
      <c r="AC17">
        <v>340.01</v>
      </c>
      <c r="AD17">
        <f t="shared" si="11"/>
        <v>5.6668333333333329</v>
      </c>
    </row>
    <row r="18" spans="1:30" x14ac:dyDescent="0.2">
      <c r="A18" s="5">
        <v>139</v>
      </c>
      <c r="B18">
        <v>14</v>
      </c>
      <c r="C18" s="7">
        <f t="shared" si="0"/>
        <v>0.23333333333333334</v>
      </c>
      <c r="D18">
        <v>1197.02</v>
      </c>
      <c r="E18" s="7">
        <f t="shared" si="0"/>
        <v>19.950333333333333</v>
      </c>
      <c r="F18">
        <v>122.99</v>
      </c>
      <c r="G18" s="7">
        <f t="shared" si="1"/>
        <v>2.0498333333333334</v>
      </c>
      <c r="I18" s="7" t="str">
        <f t="shared" si="2"/>
        <v/>
      </c>
      <c r="J18">
        <v>95</v>
      </c>
      <c r="K18" s="7">
        <f t="shared" si="3"/>
        <v>1.5833333333333333</v>
      </c>
      <c r="L18">
        <v>2320.86</v>
      </c>
      <c r="M18">
        <f t="shared" si="3"/>
        <v>38.681000000000004</v>
      </c>
      <c r="O18">
        <v>5795.62</v>
      </c>
      <c r="P18" s="7">
        <f t="shared" si="4"/>
        <v>96.593666666666664</v>
      </c>
      <c r="Q18">
        <v>3613.75</v>
      </c>
      <c r="R18" s="7">
        <f t="shared" si="5"/>
        <v>60.229166666666664</v>
      </c>
      <c r="S18">
        <v>12010.56</v>
      </c>
      <c r="T18" s="7">
        <f t="shared" si="6"/>
        <v>200.17599999999999</v>
      </c>
      <c r="U18">
        <v>22246.78</v>
      </c>
      <c r="V18" s="7">
        <f t="shared" si="7"/>
        <v>370.77966666666663</v>
      </c>
      <c r="W18">
        <v>1327.92</v>
      </c>
      <c r="X18" s="7">
        <f t="shared" si="8"/>
        <v>22.132000000000001</v>
      </c>
      <c r="Y18">
        <v>7753.45</v>
      </c>
      <c r="Z18" s="7">
        <f t="shared" si="9"/>
        <v>129.22416666666666</v>
      </c>
      <c r="AA18">
        <v>863.92</v>
      </c>
      <c r="AB18" s="7">
        <f t="shared" si="10"/>
        <v>14.398666666666665</v>
      </c>
      <c r="AC18">
        <v>110</v>
      </c>
      <c r="AD18">
        <f t="shared" si="11"/>
        <v>1.8333333333333333</v>
      </c>
    </row>
    <row r="19" spans="1:30" x14ac:dyDescent="0.2">
      <c r="A19" s="5">
        <v>140</v>
      </c>
      <c r="B19">
        <v>26</v>
      </c>
      <c r="C19" s="7">
        <f t="shared" si="0"/>
        <v>0.43333333333333335</v>
      </c>
      <c r="D19">
        <v>77</v>
      </c>
      <c r="E19" s="7">
        <f t="shared" si="0"/>
        <v>1.2833333333333334</v>
      </c>
      <c r="F19">
        <v>183.99</v>
      </c>
      <c r="G19" s="7">
        <f t="shared" si="1"/>
        <v>3.0665</v>
      </c>
      <c r="H19">
        <v>81.03</v>
      </c>
      <c r="I19" s="7">
        <f t="shared" si="2"/>
        <v>1.3505</v>
      </c>
      <c r="K19" s="7" t="str">
        <f t="shared" si="3"/>
        <v/>
      </c>
      <c r="M19" t="str">
        <f t="shared" si="3"/>
        <v/>
      </c>
      <c r="O19">
        <v>5837.85</v>
      </c>
      <c r="P19" s="7">
        <f t="shared" si="4"/>
        <v>97.297499999999999</v>
      </c>
      <c r="Q19">
        <v>449.4</v>
      </c>
      <c r="R19" s="7">
        <f t="shared" si="5"/>
        <v>7.4899999999999993</v>
      </c>
      <c r="S19">
        <v>3610.8</v>
      </c>
      <c r="T19" s="7">
        <f t="shared" si="6"/>
        <v>60.18</v>
      </c>
      <c r="V19" s="7" t="str">
        <f t="shared" si="7"/>
        <v/>
      </c>
      <c r="W19">
        <v>10422.76</v>
      </c>
      <c r="X19" s="7">
        <f t="shared" si="8"/>
        <v>173.71266666666668</v>
      </c>
      <c r="Y19">
        <v>2455.29</v>
      </c>
      <c r="Z19" s="7">
        <f t="shared" si="9"/>
        <v>40.921500000000002</v>
      </c>
      <c r="AB19" s="7" t="str">
        <f t="shared" si="10"/>
        <v/>
      </c>
      <c r="AC19">
        <v>659.19</v>
      </c>
      <c r="AD19">
        <f t="shared" si="11"/>
        <v>10.986500000000001</v>
      </c>
    </row>
    <row r="20" spans="1:30" x14ac:dyDescent="0.2">
      <c r="A20" s="5">
        <v>235</v>
      </c>
      <c r="C20" s="7" t="str">
        <f t="shared" si="0"/>
        <v/>
      </c>
      <c r="D20">
        <v>479</v>
      </c>
      <c r="E20" s="7">
        <f t="shared" si="0"/>
        <v>7.9833333333333334</v>
      </c>
      <c r="F20">
        <v>1342.96</v>
      </c>
      <c r="G20" s="7">
        <f t="shared" si="1"/>
        <v>22.382666666666669</v>
      </c>
      <c r="H20">
        <v>539.98</v>
      </c>
      <c r="I20" s="7">
        <f t="shared" si="2"/>
        <v>8.9996666666666663</v>
      </c>
      <c r="K20" s="7" t="str">
        <f t="shared" si="3"/>
        <v/>
      </c>
      <c r="M20" t="str">
        <f t="shared" si="3"/>
        <v/>
      </c>
      <c r="O20">
        <v>4300.9399999999996</v>
      </c>
      <c r="P20" s="7">
        <f t="shared" si="4"/>
        <v>71.682333333333332</v>
      </c>
      <c r="Q20">
        <v>34393.64</v>
      </c>
      <c r="R20" s="7">
        <f t="shared" si="5"/>
        <v>573.22733333333338</v>
      </c>
      <c r="S20">
        <v>12633.85</v>
      </c>
      <c r="T20" s="7">
        <f t="shared" si="6"/>
        <v>210.56416666666667</v>
      </c>
      <c r="V20" s="7" t="str">
        <f t="shared" si="7"/>
        <v/>
      </c>
      <c r="W20">
        <v>3543.94</v>
      </c>
      <c r="X20" s="7">
        <f t="shared" si="8"/>
        <v>59.065666666666665</v>
      </c>
      <c r="Y20">
        <v>612.98</v>
      </c>
      <c r="Z20" s="7">
        <f t="shared" si="9"/>
        <v>10.216333333333333</v>
      </c>
      <c r="AA20">
        <v>180.99</v>
      </c>
      <c r="AB20" s="7">
        <f t="shared" si="10"/>
        <v>3.0165000000000002</v>
      </c>
      <c r="AC20">
        <v>7046.95</v>
      </c>
      <c r="AD20">
        <f t="shared" si="11"/>
        <v>117.44916666666667</v>
      </c>
    </row>
    <row r="21" spans="1:30" x14ac:dyDescent="0.2">
      <c r="A21" s="5">
        <v>239</v>
      </c>
      <c r="B21">
        <v>7</v>
      </c>
      <c r="C21" s="7">
        <f t="shared" si="0"/>
        <v>0.11666666666666667</v>
      </c>
      <c r="D21">
        <v>37</v>
      </c>
      <c r="E21" s="7">
        <f t="shared" si="0"/>
        <v>0.6166666666666667</v>
      </c>
      <c r="F21">
        <v>72</v>
      </c>
      <c r="G21" s="7">
        <f t="shared" si="1"/>
        <v>1.2</v>
      </c>
      <c r="I21" s="7" t="str">
        <f t="shared" si="2"/>
        <v/>
      </c>
      <c r="K21" s="7" t="str">
        <f t="shared" ref="K21:M23" si="12">IF(J21&gt;0, J21/60, "")</f>
        <v/>
      </c>
      <c r="M21" t="str">
        <f t="shared" si="12"/>
        <v/>
      </c>
      <c r="O21">
        <v>8186</v>
      </c>
      <c r="P21" s="7">
        <f t="shared" si="4"/>
        <v>136.43333333333334</v>
      </c>
      <c r="Q21">
        <v>19724.490000000002</v>
      </c>
      <c r="R21" s="7">
        <f t="shared" si="5"/>
        <v>328.74150000000003</v>
      </c>
      <c r="S21">
        <v>151</v>
      </c>
      <c r="T21" s="7">
        <f t="shared" si="6"/>
        <v>2.5166666666666666</v>
      </c>
      <c r="U21">
        <v>18171.78</v>
      </c>
      <c r="V21" s="7">
        <f t="shared" si="7"/>
        <v>302.863</v>
      </c>
      <c r="W21">
        <v>706.99</v>
      </c>
      <c r="X21" s="7">
        <f t="shared" si="8"/>
        <v>11.783166666666666</v>
      </c>
      <c r="Y21">
        <v>5167.91</v>
      </c>
      <c r="Z21" s="7">
        <f t="shared" si="9"/>
        <v>86.131833333333333</v>
      </c>
      <c r="AA21">
        <v>1792</v>
      </c>
      <c r="AB21" s="7">
        <f t="shared" si="10"/>
        <v>29.866666666666667</v>
      </c>
      <c r="AC21">
        <v>493.98</v>
      </c>
      <c r="AD21">
        <f t="shared" si="11"/>
        <v>8.2330000000000005</v>
      </c>
    </row>
    <row r="22" spans="1:30" x14ac:dyDescent="0.2">
      <c r="A22" s="5">
        <v>240</v>
      </c>
      <c r="B22">
        <v>42</v>
      </c>
      <c r="C22" s="7">
        <f t="shared" si="0"/>
        <v>0.7</v>
      </c>
      <c r="D22">
        <v>267</v>
      </c>
      <c r="E22" s="7">
        <f t="shared" si="0"/>
        <v>4.45</v>
      </c>
      <c r="F22">
        <v>97</v>
      </c>
      <c r="G22" s="7">
        <f t="shared" si="1"/>
        <v>1.6166666666666667</v>
      </c>
      <c r="H22">
        <v>43.99</v>
      </c>
      <c r="I22" s="7">
        <f t="shared" si="2"/>
        <v>0.73316666666666674</v>
      </c>
      <c r="K22" s="7" t="str">
        <f t="shared" si="12"/>
        <v/>
      </c>
      <c r="M22" t="str">
        <f t="shared" si="12"/>
        <v/>
      </c>
      <c r="O22">
        <v>7391.65</v>
      </c>
      <c r="P22" s="7">
        <f t="shared" si="4"/>
        <v>123.19416666666666</v>
      </c>
      <c r="Q22">
        <v>12857.47</v>
      </c>
      <c r="R22" s="7">
        <f t="shared" si="5"/>
        <v>214.29116666666667</v>
      </c>
      <c r="T22" s="7" t="str">
        <f t="shared" si="6"/>
        <v/>
      </c>
      <c r="U22">
        <v>2644.98</v>
      </c>
      <c r="V22" s="7">
        <f t="shared" si="7"/>
        <v>44.082999999999998</v>
      </c>
      <c r="W22">
        <v>1933.92</v>
      </c>
      <c r="X22" s="7">
        <f t="shared" si="8"/>
        <v>32.231999999999999</v>
      </c>
      <c r="Y22">
        <v>5631.83</v>
      </c>
      <c r="Z22" s="7">
        <f t="shared" si="9"/>
        <v>93.863833333333332</v>
      </c>
      <c r="AA22">
        <v>12411.39</v>
      </c>
      <c r="AB22" s="7">
        <f t="shared" si="10"/>
        <v>206.85649999999998</v>
      </c>
      <c r="AC22">
        <v>3287.88</v>
      </c>
      <c r="AD22">
        <f t="shared" si="11"/>
        <v>54.798000000000002</v>
      </c>
    </row>
    <row r="23" spans="1:30" ht="17" customHeight="1" x14ac:dyDescent="0.2">
      <c r="A23" s="5">
        <v>246</v>
      </c>
      <c r="B23">
        <v>99</v>
      </c>
      <c r="C23" s="7">
        <f t="shared" si="0"/>
        <v>1.65</v>
      </c>
      <c r="D23">
        <v>262.99</v>
      </c>
      <c r="E23" s="7">
        <f t="shared" si="0"/>
        <v>4.3831666666666669</v>
      </c>
      <c r="G23" s="7" t="str">
        <f t="shared" si="1"/>
        <v/>
      </c>
      <c r="H23">
        <v>137.99</v>
      </c>
      <c r="I23" s="7">
        <f t="shared" si="2"/>
        <v>2.2998333333333334</v>
      </c>
      <c r="K23" s="7" t="str">
        <f t="shared" si="12"/>
        <v/>
      </c>
      <c r="M23" t="str">
        <f t="shared" si="12"/>
        <v/>
      </c>
      <c r="O23">
        <v>4725.29</v>
      </c>
      <c r="P23" s="7">
        <f t="shared" si="4"/>
        <v>78.754833333333337</v>
      </c>
      <c r="Q23">
        <v>19049.62</v>
      </c>
      <c r="R23" s="7">
        <f t="shared" si="5"/>
        <v>317.49366666666663</v>
      </c>
      <c r="T23" s="7" t="str">
        <f t="shared" si="6"/>
        <v/>
      </c>
      <c r="V23" s="7" t="str">
        <f t="shared" si="7"/>
        <v/>
      </c>
      <c r="W23">
        <v>9735.9500000000007</v>
      </c>
      <c r="X23" s="7">
        <f t="shared" si="8"/>
        <v>162.26583333333335</v>
      </c>
      <c r="Y23">
        <v>1571.99</v>
      </c>
      <c r="Z23" s="7">
        <f t="shared" si="9"/>
        <v>26.199833333333334</v>
      </c>
      <c r="AA23">
        <v>3236.76</v>
      </c>
      <c r="AB23" s="7">
        <f t="shared" si="10"/>
        <v>53.946000000000005</v>
      </c>
      <c r="AC23">
        <v>965.96</v>
      </c>
      <c r="AD23">
        <f t="shared" si="11"/>
        <v>16.099333333333334</v>
      </c>
    </row>
    <row r="24" spans="1:30" s="1" customFormat="1" x14ac:dyDescent="0.2">
      <c r="A24" s="6"/>
      <c r="C24" s="8"/>
      <c r="E24" s="8"/>
      <c r="G24" s="8"/>
      <c r="I24" s="8"/>
      <c r="K24" s="8"/>
      <c r="P24" s="8"/>
      <c r="R24" s="8"/>
      <c r="T24" s="8"/>
      <c r="V24" s="8"/>
      <c r="X24" s="8"/>
      <c r="Z24" s="8"/>
      <c r="AB24" s="8"/>
    </row>
    <row r="25" spans="1:30" x14ac:dyDescent="0.2">
      <c r="A25" s="5" t="s">
        <v>5243</v>
      </c>
      <c r="B25">
        <f>SUM(B4:B23)</f>
        <v>3710.47</v>
      </c>
      <c r="C25" s="7">
        <f t="shared" ref="C25:E25" si="13">SUM(C4:C23)</f>
        <v>61.841166666666666</v>
      </c>
      <c r="D25">
        <f t="shared" si="13"/>
        <v>4095.9300000000003</v>
      </c>
      <c r="E25" s="7">
        <f t="shared" si="13"/>
        <v>68.265500000000003</v>
      </c>
      <c r="F25">
        <f t="shared" ref="F25:AD25" si="14">SUM(F4:F23)</f>
        <v>4853.5</v>
      </c>
      <c r="G25" s="7">
        <f t="shared" si="14"/>
        <v>80.891666666666666</v>
      </c>
      <c r="H25">
        <f t="shared" si="14"/>
        <v>5158.6999999999989</v>
      </c>
      <c r="I25" s="7">
        <f t="shared" si="14"/>
        <v>85.978333333333339</v>
      </c>
      <c r="J25">
        <f t="shared" si="14"/>
        <v>5660.61</v>
      </c>
      <c r="K25" s="7">
        <f t="shared" si="14"/>
        <v>94.343499999999992</v>
      </c>
      <c r="L25">
        <f t="shared" si="14"/>
        <v>5819.76</v>
      </c>
      <c r="M25">
        <f t="shared" si="14"/>
        <v>96.996000000000009</v>
      </c>
      <c r="O25">
        <f t="shared" si="14"/>
        <v>99446.3</v>
      </c>
      <c r="P25" s="7">
        <f t="shared" si="14"/>
        <v>1657.4383333333335</v>
      </c>
      <c r="Q25">
        <f t="shared" si="14"/>
        <v>150925.47999999998</v>
      </c>
      <c r="R25" s="7">
        <f t="shared" si="14"/>
        <v>2515.4246666666672</v>
      </c>
      <c r="S25">
        <f t="shared" si="14"/>
        <v>291295.87999999995</v>
      </c>
      <c r="T25" s="7">
        <f t="shared" si="14"/>
        <v>4854.9313333333348</v>
      </c>
      <c r="U25">
        <f t="shared" si="14"/>
        <v>93490.069999999992</v>
      </c>
      <c r="V25" s="7">
        <f t="shared" si="14"/>
        <v>1558.1678333333334</v>
      </c>
      <c r="W25">
        <f t="shared" si="14"/>
        <v>72429.81</v>
      </c>
      <c r="X25" s="7">
        <f t="shared" si="14"/>
        <v>1207.1634999999999</v>
      </c>
      <c r="Y25">
        <f t="shared" si="14"/>
        <v>54290.55000000001</v>
      </c>
      <c r="Z25" s="7">
        <f t="shared" si="14"/>
        <v>904.84250000000009</v>
      </c>
      <c r="AA25">
        <f t="shared" si="14"/>
        <v>50594.41</v>
      </c>
      <c r="AB25" s="7">
        <f t="shared" si="14"/>
        <v>843.24016666666671</v>
      </c>
      <c r="AC25">
        <f t="shared" si="14"/>
        <v>44400.859999999993</v>
      </c>
      <c r="AD25">
        <f t="shared" si="14"/>
        <v>740.01433333333318</v>
      </c>
    </row>
    <row r="26" spans="1:30" x14ac:dyDescent="0.2">
      <c r="A26" s="5" t="s">
        <v>5262</v>
      </c>
      <c r="B26">
        <f>MIN(B4:B23)</f>
        <v>7</v>
      </c>
      <c r="C26" s="7">
        <f t="shared" ref="C26:E26" si="15">MIN(C4:C23)</f>
        <v>0.11666666666666667</v>
      </c>
      <c r="D26">
        <f t="shared" si="15"/>
        <v>37</v>
      </c>
      <c r="E26" s="7">
        <f t="shared" si="15"/>
        <v>0.6166666666666667</v>
      </c>
      <c r="F26">
        <f t="shared" ref="F26:AD26" si="16">MIN(F4:F23)</f>
        <v>16</v>
      </c>
      <c r="G26" s="7">
        <f t="shared" si="16"/>
        <v>0.26666666666666666</v>
      </c>
      <c r="H26">
        <f t="shared" si="16"/>
        <v>6</v>
      </c>
      <c r="I26" s="7">
        <f t="shared" si="16"/>
        <v>0.1</v>
      </c>
      <c r="J26">
        <f t="shared" si="16"/>
        <v>27</v>
      </c>
      <c r="K26" s="7">
        <f t="shared" si="16"/>
        <v>0.45</v>
      </c>
      <c r="L26">
        <f t="shared" si="16"/>
        <v>118</v>
      </c>
      <c r="M26">
        <f t="shared" si="16"/>
        <v>1.9666666666666666</v>
      </c>
      <c r="O26">
        <f t="shared" si="16"/>
        <v>134.96</v>
      </c>
      <c r="P26" s="7">
        <f t="shared" si="16"/>
        <v>2.2493333333333334</v>
      </c>
      <c r="Q26">
        <f t="shared" si="16"/>
        <v>43</v>
      </c>
      <c r="R26" s="7">
        <f t="shared" si="16"/>
        <v>0.71666666666666667</v>
      </c>
      <c r="S26">
        <f t="shared" si="16"/>
        <v>60</v>
      </c>
      <c r="T26" s="7">
        <f t="shared" si="16"/>
        <v>1</v>
      </c>
      <c r="U26">
        <f t="shared" si="16"/>
        <v>2644.98</v>
      </c>
      <c r="V26" s="7">
        <f t="shared" si="16"/>
        <v>44.082999999999998</v>
      </c>
      <c r="W26">
        <f t="shared" si="16"/>
        <v>29</v>
      </c>
      <c r="X26" s="7">
        <f t="shared" si="16"/>
        <v>0.48333333333333334</v>
      </c>
      <c r="Y26">
        <f t="shared" si="16"/>
        <v>17</v>
      </c>
      <c r="Z26" s="7">
        <f t="shared" si="16"/>
        <v>0.28333333333333333</v>
      </c>
      <c r="AA26">
        <f t="shared" si="16"/>
        <v>30</v>
      </c>
      <c r="AB26" s="7">
        <f t="shared" si="16"/>
        <v>0.5</v>
      </c>
      <c r="AC26">
        <f t="shared" si="16"/>
        <v>110</v>
      </c>
      <c r="AD26">
        <f t="shared" si="16"/>
        <v>1.8333333333333333</v>
      </c>
    </row>
    <row r="27" spans="1:30" x14ac:dyDescent="0.2">
      <c r="A27" s="5" t="s">
        <v>5263</v>
      </c>
      <c r="B27">
        <f>MAX(B4:B23)</f>
        <v>2230.6</v>
      </c>
      <c r="C27" s="7">
        <f t="shared" ref="C27:E27" si="17">MAX(C4:C23)</f>
        <v>37.176666666666662</v>
      </c>
      <c r="D27">
        <f t="shared" si="17"/>
        <v>1197.02</v>
      </c>
      <c r="E27" s="7">
        <f t="shared" si="17"/>
        <v>19.950333333333333</v>
      </c>
      <c r="F27">
        <f t="shared" ref="F27:AD27" si="18">MAX(F4:F23)</f>
        <v>1622.66</v>
      </c>
      <c r="G27" s="7">
        <f t="shared" si="18"/>
        <v>27.044333333333334</v>
      </c>
      <c r="H27">
        <f t="shared" si="18"/>
        <v>2603.8200000000002</v>
      </c>
      <c r="I27" s="7">
        <f t="shared" si="18"/>
        <v>43.397000000000006</v>
      </c>
      <c r="J27">
        <f t="shared" si="18"/>
        <v>2392.85</v>
      </c>
      <c r="K27" s="7">
        <f t="shared" si="18"/>
        <v>39.880833333333335</v>
      </c>
      <c r="L27">
        <f t="shared" si="18"/>
        <v>2320.86</v>
      </c>
      <c r="M27">
        <f t="shared" si="18"/>
        <v>38.681000000000004</v>
      </c>
      <c r="O27">
        <f t="shared" si="18"/>
        <v>19431.2</v>
      </c>
      <c r="P27" s="7">
        <f t="shared" si="18"/>
        <v>323.85333333333335</v>
      </c>
      <c r="Q27">
        <f t="shared" si="18"/>
        <v>34393.64</v>
      </c>
      <c r="R27" s="7">
        <f t="shared" si="18"/>
        <v>573.22733333333338</v>
      </c>
      <c r="S27">
        <f t="shared" si="18"/>
        <v>50942.26</v>
      </c>
      <c r="T27" s="7">
        <f t="shared" si="18"/>
        <v>849.03766666666672</v>
      </c>
      <c r="U27">
        <f t="shared" si="18"/>
        <v>33748.29</v>
      </c>
      <c r="V27" s="7">
        <f t="shared" si="18"/>
        <v>562.47149999999999</v>
      </c>
      <c r="W27">
        <f t="shared" si="18"/>
        <v>10422.76</v>
      </c>
      <c r="X27" s="7">
        <f t="shared" si="18"/>
        <v>173.71266666666668</v>
      </c>
      <c r="Y27">
        <f t="shared" si="18"/>
        <v>15496.34</v>
      </c>
      <c r="Z27" s="7">
        <f t="shared" si="18"/>
        <v>258.27233333333334</v>
      </c>
      <c r="AA27">
        <f t="shared" si="18"/>
        <v>12555.29</v>
      </c>
      <c r="AB27" s="7">
        <f t="shared" si="18"/>
        <v>209.25483333333335</v>
      </c>
      <c r="AC27">
        <f t="shared" si="18"/>
        <v>8330.7199999999993</v>
      </c>
      <c r="AD27">
        <f t="shared" si="18"/>
        <v>138.84533333333331</v>
      </c>
    </row>
    <row r="28" spans="1:30" x14ac:dyDescent="0.2">
      <c r="A28" s="5" t="s">
        <v>5244</v>
      </c>
      <c r="B28">
        <f>ROUND(AVERAGE(B4:B23),2)</f>
        <v>231.9</v>
      </c>
      <c r="C28" s="7">
        <f t="shared" ref="C28:E28" si="19">ROUND(AVERAGE(C4:C23),2)</f>
        <v>3.87</v>
      </c>
      <c r="D28">
        <f t="shared" si="19"/>
        <v>240.94</v>
      </c>
      <c r="E28" s="7">
        <f t="shared" si="19"/>
        <v>4.0199999999999996</v>
      </c>
      <c r="F28">
        <f t="shared" ref="F28:AD28" si="20">ROUND(AVERAGE(F4:F23),2)</f>
        <v>323.57</v>
      </c>
      <c r="G28" s="7">
        <f t="shared" si="20"/>
        <v>5.39</v>
      </c>
      <c r="H28">
        <f t="shared" si="20"/>
        <v>343.91</v>
      </c>
      <c r="I28" s="7">
        <f t="shared" si="20"/>
        <v>5.73</v>
      </c>
      <c r="J28">
        <f t="shared" si="20"/>
        <v>628.96</v>
      </c>
      <c r="K28" s="7">
        <f t="shared" si="20"/>
        <v>10.48</v>
      </c>
      <c r="L28">
        <f t="shared" si="20"/>
        <v>1454.94</v>
      </c>
      <c r="M28">
        <f t="shared" si="20"/>
        <v>24.25</v>
      </c>
      <c r="O28">
        <f t="shared" si="20"/>
        <v>4972.32</v>
      </c>
      <c r="P28" s="7">
        <f t="shared" si="20"/>
        <v>82.87</v>
      </c>
      <c r="Q28">
        <f t="shared" si="20"/>
        <v>7546.27</v>
      </c>
      <c r="R28" s="7">
        <f t="shared" si="20"/>
        <v>125.77</v>
      </c>
      <c r="S28">
        <f t="shared" si="20"/>
        <v>16183.1</v>
      </c>
      <c r="T28" s="7">
        <f t="shared" si="20"/>
        <v>269.72000000000003</v>
      </c>
      <c r="U28">
        <f t="shared" si="20"/>
        <v>13355.72</v>
      </c>
      <c r="V28" s="7">
        <f t="shared" si="20"/>
        <v>222.6</v>
      </c>
      <c r="W28">
        <f t="shared" si="20"/>
        <v>3621.49</v>
      </c>
      <c r="X28" s="7">
        <f t="shared" si="20"/>
        <v>60.36</v>
      </c>
      <c r="Y28">
        <f t="shared" si="20"/>
        <v>2857.4</v>
      </c>
      <c r="Z28" s="7">
        <f t="shared" si="20"/>
        <v>47.62</v>
      </c>
      <c r="AA28">
        <f t="shared" si="20"/>
        <v>3372.96</v>
      </c>
      <c r="AB28" s="7">
        <f t="shared" si="20"/>
        <v>56.22</v>
      </c>
      <c r="AC28">
        <f t="shared" si="20"/>
        <v>2220.04</v>
      </c>
      <c r="AD28">
        <f t="shared" si="20"/>
        <v>37</v>
      </c>
    </row>
    <row r="29" spans="1:30" x14ac:dyDescent="0.2">
      <c r="A29" s="5" t="s">
        <v>5245</v>
      </c>
      <c r="B29">
        <f>ROUND(STDEV(B4:B23),2)</f>
        <v>537.53</v>
      </c>
      <c r="C29" s="7">
        <f t="shared" ref="C29:E29" si="21">ROUND(STDEV(C4:C23),2)</f>
        <v>8.9600000000000009</v>
      </c>
      <c r="D29">
        <f t="shared" si="21"/>
        <v>275.11</v>
      </c>
      <c r="E29" s="7">
        <f t="shared" si="21"/>
        <v>4.59</v>
      </c>
      <c r="F29">
        <f t="shared" ref="F29:AD29" si="22">ROUND(STDEV(F4:F23),2)</f>
        <v>482.56</v>
      </c>
      <c r="G29" s="7">
        <f t="shared" si="22"/>
        <v>8.0399999999999991</v>
      </c>
      <c r="H29">
        <f t="shared" si="22"/>
        <v>682.34</v>
      </c>
      <c r="I29" s="7">
        <f t="shared" si="22"/>
        <v>11.37</v>
      </c>
      <c r="J29">
        <f t="shared" si="22"/>
        <v>807.65</v>
      </c>
      <c r="K29" s="7">
        <f t="shared" si="22"/>
        <v>13.46</v>
      </c>
      <c r="L29">
        <f t="shared" si="22"/>
        <v>1052.33</v>
      </c>
      <c r="M29">
        <f t="shared" si="22"/>
        <v>17.54</v>
      </c>
      <c r="O29">
        <f t="shared" si="22"/>
        <v>4354.82</v>
      </c>
      <c r="P29" s="7">
        <f t="shared" si="22"/>
        <v>72.58</v>
      </c>
      <c r="Q29">
        <f t="shared" si="22"/>
        <v>8744.5400000000009</v>
      </c>
      <c r="R29" s="7">
        <f t="shared" si="22"/>
        <v>145.74</v>
      </c>
      <c r="S29">
        <f t="shared" si="22"/>
        <v>14969.35</v>
      </c>
      <c r="T29" s="7">
        <f t="shared" si="22"/>
        <v>249.49</v>
      </c>
      <c r="U29">
        <f t="shared" si="22"/>
        <v>11702.48</v>
      </c>
      <c r="V29" s="7">
        <f t="shared" si="22"/>
        <v>195.04</v>
      </c>
      <c r="W29">
        <f t="shared" si="22"/>
        <v>2798.12</v>
      </c>
      <c r="X29" s="7">
        <f t="shared" si="22"/>
        <v>46.64</v>
      </c>
      <c r="Y29">
        <f t="shared" si="22"/>
        <v>3787.47</v>
      </c>
      <c r="Z29" s="7">
        <f t="shared" si="22"/>
        <v>63.12</v>
      </c>
      <c r="AA29">
        <f t="shared" si="22"/>
        <v>4082.12</v>
      </c>
      <c r="AB29" s="7">
        <f t="shared" si="22"/>
        <v>68.040000000000006</v>
      </c>
      <c r="AC29">
        <f t="shared" si="22"/>
        <v>2228.0700000000002</v>
      </c>
      <c r="AD29">
        <f t="shared" si="22"/>
        <v>37.130000000000003</v>
      </c>
    </row>
    <row r="30" spans="1:30" x14ac:dyDescent="0.2">
      <c r="A30" s="5" t="s">
        <v>5246</v>
      </c>
      <c r="B30">
        <v>16</v>
      </c>
      <c r="D30">
        <v>17</v>
      </c>
      <c r="F30">
        <v>15</v>
      </c>
      <c r="H30">
        <v>15</v>
      </c>
      <c r="J30">
        <v>9</v>
      </c>
      <c r="L30">
        <v>4</v>
      </c>
      <c r="O30">
        <v>20</v>
      </c>
      <c r="Q30">
        <v>20</v>
      </c>
      <c r="S30">
        <v>18</v>
      </c>
      <c r="U30">
        <v>7</v>
      </c>
      <c r="W30">
        <v>20</v>
      </c>
      <c r="Y30">
        <v>19</v>
      </c>
      <c r="AA30">
        <v>15</v>
      </c>
      <c r="AC30">
        <v>20</v>
      </c>
    </row>
    <row r="31" spans="1:30" s="1" customFormat="1" x14ac:dyDescent="0.2">
      <c r="A31" s="6"/>
      <c r="C31" s="8"/>
      <c r="E31" s="8"/>
      <c r="G31" s="8"/>
      <c r="I31" s="8"/>
      <c r="K31" s="8"/>
      <c r="P31" s="8"/>
      <c r="R31" s="8"/>
      <c r="T31" s="8"/>
      <c r="V31" s="8"/>
      <c r="X31" s="8"/>
      <c r="Z31" s="8"/>
      <c r="AB31" s="8"/>
    </row>
    <row r="34" spans="25:25" x14ac:dyDescent="0.2">
      <c r="Y34">
        <f>Y29/60</f>
        <v>63.124499999999998</v>
      </c>
    </row>
  </sheetData>
  <mergeCells count="28">
    <mergeCell ref="S2:T2"/>
    <mergeCell ref="U2:V2"/>
    <mergeCell ref="W2:X2"/>
    <mergeCell ref="Y2:Z2"/>
    <mergeCell ref="AA2:AB2"/>
    <mergeCell ref="AC2:AD2"/>
    <mergeCell ref="AA1:AB1"/>
    <mergeCell ref="AC1:AD1"/>
    <mergeCell ref="B2:C2"/>
    <mergeCell ref="D2:E2"/>
    <mergeCell ref="F2:G2"/>
    <mergeCell ref="H2:I2"/>
    <mergeCell ref="J2:K2"/>
    <mergeCell ref="L2:M2"/>
    <mergeCell ref="O2:P2"/>
    <mergeCell ref="Q2:R2"/>
    <mergeCell ref="O1:P1"/>
    <mergeCell ref="Q1:R1"/>
    <mergeCell ref="S1:T1"/>
    <mergeCell ref="U1:V1"/>
    <mergeCell ref="W1:X1"/>
    <mergeCell ref="Y1:Z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6751-24AE-8741-A248-67F75099C977}">
  <dimension ref="A1:AB16380"/>
  <sheetViews>
    <sheetView zoomScale="139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RowHeight="16" x14ac:dyDescent="0.2"/>
  <cols>
    <col min="1" max="1" width="27.1640625" style="14" customWidth="1"/>
    <col min="2" max="2" width="32.5" style="14" customWidth="1"/>
    <col min="3" max="3" width="18" style="14" customWidth="1"/>
    <col min="4" max="7" width="10.83203125" style="14"/>
    <col min="8" max="8" width="19.1640625" style="14" customWidth="1"/>
    <col min="9" max="9" width="18.6640625" style="14" customWidth="1"/>
    <col min="10" max="10" width="10.83203125" style="14"/>
    <col min="11" max="12" width="11.1640625" style="14" customWidth="1"/>
    <col min="13" max="16384" width="10.83203125" style="14"/>
  </cols>
  <sheetData>
    <row r="1" spans="1:28" s="12" customFormat="1" ht="17" x14ac:dyDescent="0.2">
      <c r="A1" s="12" t="s">
        <v>5286</v>
      </c>
      <c r="B1" s="20" t="s">
        <v>5287</v>
      </c>
      <c r="C1" s="12" t="s">
        <v>5285</v>
      </c>
      <c r="D1" s="12" t="s">
        <v>5262</v>
      </c>
      <c r="E1" s="12" t="s">
        <v>5288</v>
      </c>
      <c r="F1" s="12" t="s">
        <v>5289</v>
      </c>
      <c r="G1" s="12" t="s">
        <v>5290</v>
      </c>
      <c r="H1" s="21" t="s">
        <v>5246</v>
      </c>
      <c r="I1" s="15" t="s">
        <v>5284</v>
      </c>
      <c r="J1" s="15" t="s">
        <v>5292</v>
      </c>
      <c r="K1" s="12" t="s">
        <v>5291</v>
      </c>
      <c r="L1" s="15" t="s">
        <v>5293</v>
      </c>
      <c r="M1" s="15" t="s">
        <v>5294</v>
      </c>
      <c r="N1" s="15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</row>
    <row r="2" spans="1:28" s="13" customFormat="1" ht="97" customHeight="1" x14ac:dyDescent="0.2">
      <c r="A2" s="15" t="s">
        <v>5255</v>
      </c>
      <c r="B2" s="10" t="s">
        <v>5240</v>
      </c>
      <c r="C2" s="17">
        <v>291295.88</v>
      </c>
      <c r="D2" s="17">
        <v>60</v>
      </c>
      <c r="E2" s="17">
        <v>50942.26</v>
      </c>
      <c r="F2" s="17">
        <v>16183.1</v>
      </c>
      <c r="G2" s="17">
        <v>14969.35</v>
      </c>
      <c r="H2" s="22">
        <v>18</v>
      </c>
      <c r="I2" s="10">
        <f>ROUND(C2/60, 2)</f>
        <v>4854.93</v>
      </c>
      <c r="J2" s="10">
        <f>ROUND(D2/60, 2)</f>
        <v>1</v>
      </c>
      <c r="K2" s="10">
        <f>ROUND(E2/60, 2)</f>
        <v>849.04</v>
      </c>
      <c r="L2" s="10">
        <f t="shared" ref="L2:L15" si="0">ROUND(F2/60, 2)</f>
        <v>269.72000000000003</v>
      </c>
      <c r="M2" s="10">
        <f>ROUND(G2/60, 2)</f>
        <v>249.49</v>
      </c>
      <c r="N2" s="10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ht="68" x14ac:dyDescent="0.2">
      <c r="A3" s="15" t="s">
        <v>5254</v>
      </c>
      <c r="B3" s="10" t="s">
        <v>5239</v>
      </c>
      <c r="C3" s="17">
        <v>150925.47999999998</v>
      </c>
      <c r="D3" s="17">
        <v>43</v>
      </c>
      <c r="E3" s="17">
        <v>34393.64</v>
      </c>
      <c r="F3" s="17">
        <v>7546.27</v>
      </c>
      <c r="G3" s="17">
        <v>8744.5400000000009</v>
      </c>
      <c r="H3" s="22">
        <v>20</v>
      </c>
      <c r="I3" s="10">
        <f t="shared" ref="I3:I14" si="1">ROUND(C3/60, 2)</f>
        <v>2515.42</v>
      </c>
      <c r="J3" s="10">
        <f t="shared" ref="J3:J15" si="2">ROUND(D3/60, 2)</f>
        <v>0.72</v>
      </c>
      <c r="K3" s="10">
        <f t="shared" ref="K3:K15" si="3">ROUND(E3/60, 2)</f>
        <v>573.23</v>
      </c>
      <c r="L3" s="10">
        <f t="shared" si="0"/>
        <v>125.77</v>
      </c>
      <c r="M3" s="10">
        <f t="shared" ref="M3:M14" si="4">ROUND(G3/60, 2)</f>
        <v>145.74</v>
      </c>
    </row>
    <row r="4" spans="1:28" ht="51" x14ac:dyDescent="0.2">
      <c r="A4" s="15" t="s">
        <v>5253</v>
      </c>
      <c r="B4" s="10" t="s">
        <v>5238</v>
      </c>
      <c r="C4" s="17">
        <v>99446.3</v>
      </c>
      <c r="D4" s="17">
        <v>134.96</v>
      </c>
      <c r="E4" s="17">
        <v>19431.2</v>
      </c>
      <c r="F4" s="17">
        <v>4972.32</v>
      </c>
      <c r="G4" s="17">
        <v>4354.82</v>
      </c>
      <c r="H4" s="22">
        <v>20</v>
      </c>
      <c r="I4" s="10">
        <f t="shared" si="1"/>
        <v>1657.44</v>
      </c>
      <c r="J4" s="10">
        <f t="shared" si="2"/>
        <v>2.25</v>
      </c>
      <c r="K4" s="10">
        <f t="shared" si="3"/>
        <v>323.85000000000002</v>
      </c>
      <c r="L4" s="10">
        <f t="shared" si="0"/>
        <v>82.87</v>
      </c>
      <c r="M4" s="10">
        <f t="shared" si="4"/>
        <v>72.58</v>
      </c>
    </row>
    <row r="5" spans="1:28" ht="51" x14ac:dyDescent="0.2">
      <c r="A5" s="15" t="s">
        <v>5256</v>
      </c>
      <c r="B5" s="10" t="s">
        <v>5237</v>
      </c>
      <c r="C5" s="17">
        <v>93490.069999999992</v>
      </c>
      <c r="D5" s="17">
        <v>2644.98</v>
      </c>
      <c r="E5" s="17">
        <v>33748.29</v>
      </c>
      <c r="F5" s="17">
        <v>13355.72</v>
      </c>
      <c r="G5" s="17">
        <v>11702.48</v>
      </c>
      <c r="H5" s="22">
        <v>7</v>
      </c>
      <c r="I5" s="10">
        <f t="shared" si="1"/>
        <v>1558.17</v>
      </c>
      <c r="J5" s="10">
        <f t="shared" si="2"/>
        <v>44.08</v>
      </c>
      <c r="K5" s="10">
        <f t="shared" si="3"/>
        <v>562.47</v>
      </c>
      <c r="L5" s="10">
        <f t="shared" si="0"/>
        <v>222.6</v>
      </c>
      <c r="M5" s="10">
        <f t="shared" si="4"/>
        <v>195.04</v>
      </c>
    </row>
    <row r="6" spans="1:28" ht="16" customHeight="1" x14ac:dyDescent="0.2">
      <c r="A6" s="15" t="s">
        <v>5257</v>
      </c>
      <c r="B6" s="10" t="s">
        <v>5233</v>
      </c>
      <c r="C6" s="17">
        <v>72429.81</v>
      </c>
      <c r="D6" s="17">
        <v>29</v>
      </c>
      <c r="E6" s="17">
        <v>10422.76</v>
      </c>
      <c r="F6" s="17">
        <v>3621.49</v>
      </c>
      <c r="G6" s="17">
        <v>2798.12</v>
      </c>
      <c r="H6" s="22">
        <v>20</v>
      </c>
      <c r="I6" s="10">
        <f t="shared" si="1"/>
        <v>1207.1600000000001</v>
      </c>
      <c r="J6" s="10">
        <f t="shared" si="2"/>
        <v>0.48</v>
      </c>
      <c r="K6" s="10">
        <f t="shared" si="3"/>
        <v>173.71</v>
      </c>
      <c r="L6" s="10">
        <f t="shared" si="0"/>
        <v>60.36</v>
      </c>
      <c r="M6" s="10">
        <f t="shared" si="4"/>
        <v>46.64</v>
      </c>
    </row>
    <row r="7" spans="1:28" ht="51" x14ac:dyDescent="0.2">
      <c r="A7" s="15" t="s">
        <v>5258</v>
      </c>
      <c r="B7" s="10" t="s">
        <v>5231</v>
      </c>
      <c r="C7" s="17">
        <v>54290.55000000001</v>
      </c>
      <c r="D7" s="17">
        <v>17</v>
      </c>
      <c r="E7" s="17">
        <v>15496.34</v>
      </c>
      <c r="F7" s="17">
        <v>2857.4</v>
      </c>
      <c r="G7" s="17">
        <v>3787.47</v>
      </c>
      <c r="H7" s="22">
        <v>19</v>
      </c>
      <c r="I7" s="10">
        <f t="shared" si="1"/>
        <v>904.84</v>
      </c>
      <c r="J7" s="10">
        <f t="shared" si="2"/>
        <v>0.28000000000000003</v>
      </c>
      <c r="K7" s="10">
        <f t="shared" si="3"/>
        <v>258.27</v>
      </c>
      <c r="L7" s="10">
        <f t="shared" si="0"/>
        <v>47.62</v>
      </c>
      <c r="M7" s="10">
        <f t="shared" si="4"/>
        <v>63.12</v>
      </c>
    </row>
    <row r="8" spans="1:28" ht="51" x14ac:dyDescent="0.2">
      <c r="A8" s="15" t="s">
        <v>5259</v>
      </c>
      <c r="B8" s="10" t="s">
        <v>5229</v>
      </c>
      <c r="C8" s="17">
        <v>50594.41</v>
      </c>
      <c r="D8" s="17">
        <v>30</v>
      </c>
      <c r="E8" s="17">
        <v>12555.29</v>
      </c>
      <c r="F8" s="17">
        <v>3372.96</v>
      </c>
      <c r="G8" s="17">
        <v>4082.12</v>
      </c>
      <c r="H8" s="22">
        <v>15</v>
      </c>
      <c r="I8" s="10">
        <f t="shared" si="1"/>
        <v>843.24</v>
      </c>
      <c r="J8" s="10">
        <f t="shared" si="2"/>
        <v>0.5</v>
      </c>
      <c r="K8" s="10">
        <f t="shared" si="3"/>
        <v>209.25</v>
      </c>
      <c r="L8" s="10">
        <f t="shared" si="0"/>
        <v>56.22</v>
      </c>
      <c r="M8" s="10">
        <f t="shared" si="4"/>
        <v>68.040000000000006</v>
      </c>
    </row>
    <row r="9" spans="1:28" ht="16" customHeight="1" x14ac:dyDescent="0.2">
      <c r="A9" s="15" t="s">
        <v>5260</v>
      </c>
      <c r="B9" s="10" t="s">
        <v>5225</v>
      </c>
      <c r="C9" s="17">
        <v>44400.859999999993</v>
      </c>
      <c r="D9" s="17">
        <v>110</v>
      </c>
      <c r="E9" s="17">
        <v>8330.7199999999993</v>
      </c>
      <c r="F9" s="17">
        <v>2220.04</v>
      </c>
      <c r="G9" s="17">
        <v>2228.0700000000002</v>
      </c>
      <c r="H9" s="22">
        <v>20</v>
      </c>
      <c r="I9" s="10">
        <f t="shared" si="1"/>
        <v>740.01</v>
      </c>
      <c r="J9" s="10">
        <f t="shared" si="2"/>
        <v>1.83</v>
      </c>
      <c r="K9" s="10">
        <f t="shared" si="3"/>
        <v>138.85</v>
      </c>
      <c r="L9" s="10">
        <f t="shared" si="0"/>
        <v>37</v>
      </c>
      <c r="M9" s="10">
        <f t="shared" si="4"/>
        <v>37.130000000000003</v>
      </c>
    </row>
    <row r="10" spans="1:28" ht="68" x14ac:dyDescent="0.2">
      <c r="A10" s="23" t="s">
        <v>5252</v>
      </c>
      <c r="B10" s="24" t="s">
        <v>5067</v>
      </c>
      <c r="C10" s="25">
        <v>5819.76</v>
      </c>
      <c r="D10" s="25">
        <v>118</v>
      </c>
      <c r="E10" s="25">
        <v>2320.86</v>
      </c>
      <c r="F10" s="25">
        <v>1454.94</v>
      </c>
      <c r="G10" s="25">
        <v>1052.33</v>
      </c>
      <c r="H10" s="26">
        <v>4</v>
      </c>
      <c r="I10" s="24">
        <f t="shared" si="1"/>
        <v>97</v>
      </c>
      <c r="J10" s="24">
        <f t="shared" si="2"/>
        <v>1.97</v>
      </c>
      <c r="K10" s="24">
        <f t="shared" si="3"/>
        <v>38.68</v>
      </c>
      <c r="L10" s="24">
        <f t="shared" si="0"/>
        <v>24.25</v>
      </c>
      <c r="M10" s="24">
        <f t="shared" si="4"/>
        <v>17.54</v>
      </c>
    </row>
    <row r="11" spans="1:28" ht="16" customHeight="1" x14ac:dyDescent="0.2">
      <c r="A11" s="15" t="s">
        <v>5251</v>
      </c>
      <c r="B11" s="10" t="s">
        <v>5064</v>
      </c>
      <c r="C11" s="17">
        <v>5660.61</v>
      </c>
      <c r="D11" s="17">
        <v>27</v>
      </c>
      <c r="E11" s="17">
        <v>2392.85</v>
      </c>
      <c r="F11" s="17">
        <v>628.96</v>
      </c>
      <c r="G11" s="17">
        <v>807.65</v>
      </c>
      <c r="H11" s="22">
        <v>9</v>
      </c>
      <c r="I11" s="10">
        <f t="shared" si="1"/>
        <v>94.34</v>
      </c>
      <c r="J11" s="10">
        <f t="shared" si="2"/>
        <v>0.45</v>
      </c>
      <c r="K11" s="10">
        <f t="shared" si="3"/>
        <v>39.880000000000003</v>
      </c>
      <c r="L11" s="10">
        <f t="shared" si="0"/>
        <v>10.48</v>
      </c>
      <c r="M11" s="10">
        <f t="shared" si="4"/>
        <v>13.46</v>
      </c>
    </row>
    <row r="12" spans="1:28" ht="51" x14ac:dyDescent="0.2">
      <c r="A12" s="15" t="s">
        <v>5250</v>
      </c>
      <c r="B12" s="10" t="s">
        <v>5040</v>
      </c>
      <c r="C12" s="17">
        <v>5158.6999999999989</v>
      </c>
      <c r="D12" s="17">
        <v>6</v>
      </c>
      <c r="E12" s="17">
        <v>2603.8200000000002</v>
      </c>
      <c r="F12" s="17">
        <v>343.91</v>
      </c>
      <c r="G12" s="17">
        <v>682.34</v>
      </c>
      <c r="H12" s="22">
        <v>15</v>
      </c>
      <c r="I12" s="10">
        <f t="shared" si="1"/>
        <v>85.98</v>
      </c>
      <c r="J12" s="10">
        <f t="shared" si="2"/>
        <v>0.1</v>
      </c>
      <c r="K12" s="10">
        <f t="shared" si="3"/>
        <v>43.4</v>
      </c>
      <c r="L12" s="10">
        <f t="shared" si="0"/>
        <v>5.73</v>
      </c>
      <c r="M12" s="10">
        <f t="shared" si="4"/>
        <v>11.37</v>
      </c>
    </row>
    <row r="13" spans="1:28" ht="16" customHeight="1" x14ac:dyDescent="0.2">
      <c r="A13" s="15" t="s">
        <v>5249</v>
      </c>
      <c r="B13" s="10" t="s">
        <v>5031</v>
      </c>
      <c r="C13" s="17">
        <v>4853.5</v>
      </c>
      <c r="D13" s="17">
        <v>16</v>
      </c>
      <c r="E13" s="17">
        <v>1622.66</v>
      </c>
      <c r="F13" s="17">
        <v>323.57</v>
      </c>
      <c r="G13" s="17">
        <v>482.56</v>
      </c>
      <c r="H13" s="22">
        <v>15</v>
      </c>
      <c r="I13" s="10">
        <f t="shared" si="1"/>
        <v>80.89</v>
      </c>
      <c r="J13" s="10">
        <f t="shared" si="2"/>
        <v>0.27</v>
      </c>
      <c r="K13" s="10">
        <f t="shared" si="3"/>
        <v>27.04</v>
      </c>
      <c r="L13" s="10">
        <f t="shared" si="0"/>
        <v>5.39</v>
      </c>
      <c r="M13" s="10">
        <f t="shared" si="4"/>
        <v>8.0399999999999991</v>
      </c>
    </row>
    <row r="14" spans="1:28" ht="68" x14ac:dyDescent="0.2">
      <c r="A14" s="15" t="s">
        <v>5248</v>
      </c>
      <c r="B14" s="10" t="s">
        <v>5005</v>
      </c>
      <c r="C14" s="17">
        <v>4095.9300000000003</v>
      </c>
      <c r="D14" s="17">
        <v>37</v>
      </c>
      <c r="E14" s="17">
        <v>1197.02</v>
      </c>
      <c r="F14" s="17">
        <v>240.94</v>
      </c>
      <c r="G14" s="17">
        <v>275.11</v>
      </c>
      <c r="H14" s="22">
        <v>17</v>
      </c>
      <c r="I14" s="10">
        <f t="shared" si="1"/>
        <v>68.27</v>
      </c>
      <c r="J14" s="10">
        <f t="shared" si="2"/>
        <v>0.62</v>
      </c>
      <c r="K14" s="10">
        <f t="shared" si="3"/>
        <v>19.95</v>
      </c>
      <c r="L14" s="10">
        <f t="shared" si="0"/>
        <v>4.0199999999999996</v>
      </c>
      <c r="M14" s="10">
        <f t="shared" si="4"/>
        <v>4.59</v>
      </c>
    </row>
    <row r="15" spans="1:28" ht="16" customHeight="1" x14ac:dyDescent="0.2">
      <c r="A15" s="15" t="s">
        <v>5247</v>
      </c>
      <c r="B15" s="10" t="s">
        <v>4988</v>
      </c>
      <c r="C15" s="17">
        <v>3710.47</v>
      </c>
      <c r="D15" s="17">
        <v>7</v>
      </c>
      <c r="E15" s="17">
        <v>2230.6</v>
      </c>
      <c r="F15" s="17">
        <v>231.9</v>
      </c>
      <c r="G15" s="17">
        <v>537.53</v>
      </c>
      <c r="H15" s="22">
        <v>16</v>
      </c>
      <c r="I15" s="10">
        <f>ROUND(C15/60, 2)</f>
        <v>61.84</v>
      </c>
      <c r="J15" s="10">
        <f t="shared" si="2"/>
        <v>0.12</v>
      </c>
      <c r="K15" s="10">
        <f t="shared" si="3"/>
        <v>37.18</v>
      </c>
      <c r="L15" s="10">
        <f t="shared" si="0"/>
        <v>3.87</v>
      </c>
      <c r="M15" s="10">
        <f>ROUND(G15/60, 2)</f>
        <v>8.9600000000000009</v>
      </c>
    </row>
    <row r="16" spans="1:28" x14ac:dyDescent="0.2">
      <c r="A16" s="16"/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</row>
    <row r="27" spans="1:2" x14ac:dyDescent="0.2">
      <c r="A27" s="12"/>
      <c r="B27" s="13"/>
    </row>
    <row r="28" spans="1:2" x14ac:dyDescent="0.2">
      <c r="A28" s="12"/>
      <c r="B28" s="13"/>
    </row>
    <row r="29" spans="1:2" x14ac:dyDescent="0.2">
      <c r="A29" s="12"/>
      <c r="B29" s="13"/>
    </row>
    <row r="30" spans="1:2" x14ac:dyDescent="0.2">
      <c r="A30" s="12"/>
      <c r="B30" s="13"/>
    </row>
    <row r="31" spans="1:2" x14ac:dyDescent="0.2">
      <c r="A31" s="12"/>
      <c r="B31" s="13"/>
    </row>
    <row r="32" spans="1:2" x14ac:dyDescent="0.2">
      <c r="A32" s="12"/>
      <c r="B32" s="13"/>
    </row>
    <row r="33" spans="1:2" x14ac:dyDescent="0.2">
      <c r="A33" s="12"/>
      <c r="B33" s="13"/>
    </row>
    <row r="34" spans="1:2" x14ac:dyDescent="0.2">
      <c r="A34" s="12"/>
      <c r="B34" s="13"/>
    </row>
    <row r="35" spans="1:2" x14ac:dyDescent="0.2">
      <c r="A35" s="12"/>
      <c r="B35" s="13"/>
    </row>
    <row r="36" spans="1:2" x14ac:dyDescent="0.2">
      <c r="A36" s="12"/>
      <c r="B36" s="13"/>
    </row>
    <row r="37" spans="1:2" x14ac:dyDescent="0.2">
      <c r="A37" s="12"/>
      <c r="B37" s="13"/>
    </row>
    <row r="38" spans="1:2" x14ac:dyDescent="0.2">
      <c r="A38" s="12"/>
      <c r="B38" s="13"/>
    </row>
    <row r="39" spans="1:2" x14ac:dyDescent="0.2">
      <c r="A39" s="12"/>
      <c r="B39" s="13"/>
    </row>
    <row r="40" spans="1:2" x14ac:dyDescent="0.2">
      <c r="A40" s="12"/>
      <c r="B40" s="13"/>
    </row>
    <row r="41" spans="1:2" x14ac:dyDescent="0.2">
      <c r="A41" s="12"/>
      <c r="B41" s="13"/>
    </row>
    <row r="42" spans="1:2" x14ac:dyDescent="0.2">
      <c r="A42" s="12"/>
      <c r="B42" s="13"/>
    </row>
    <row r="43" spans="1:2" x14ac:dyDescent="0.2">
      <c r="A43" s="12"/>
      <c r="B43" s="13"/>
    </row>
    <row r="44" spans="1:2" x14ac:dyDescent="0.2">
      <c r="A44" s="12"/>
      <c r="B44" s="13"/>
    </row>
    <row r="45" spans="1:2" x14ac:dyDescent="0.2">
      <c r="A45" s="12"/>
      <c r="B45" s="13"/>
    </row>
    <row r="46" spans="1:2" x14ac:dyDescent="0.2">
      <c r="A46" s="12"/>
      <c r="B46" s="13"/>
    </row>
    <row r="47" spans="1:2" x14ac:dyDescent="0.2">
      <c r="A47" s="12"/>
      <c r="B47" s="13"/>
    </row>
    <row r="48" spans="1:2" x14ac:dyDescent="0.2">
      <c r="A48" s="12"/>
      <c r="B48" s="13"/>
    </row>
    <row r="49" spans="1:2" x14ac:dyDescent="0.2">
      <c r="A49" s="12"/>
      <c r="B49" s="13"/>
    </row>
    <row r="50" spans="1:2" x14ac:dyDescent="0.2">
      <c r="A50" s="12"/>
      <c r="B50" s="13"/>
    </row>
    <row r="51" spans="1:2" x14ac:dyDescent="0.2">
      <c r="A51" s="12"/>
      <c r="B51" s="13"/>
    </row>
    <row r="52" spans="1:2" x14ac:dyDescent="0.2">
      <c r="A52" s="12"/>
      <c r="B52" s="13"/>
    </row>
    <row r="53" spans="1:2" x14ac:dyDescent="0.2">
      <c r="A53" s="12"/>
      <c r="B53" s="13"/>
    </row>
    <row r="54" spans="1:2" x14ac:dyDescent="0.2">
      <c r="A54" s="12"/>
      <c r="B54" s="13"/>
    </row>
    <row r="55" spans="1:2" x14ac:dyDescent="0.2">
      <c r="A55" s="12"/>
      <c r="B55" s="13"/>
    </row>
    <row r="56" spans="1:2" x14ac:dyDescent="0.2">
      <c r="A56" s="12"/>
      <c r="B56" s="13"/>
    </row>
    <row r="57" spans="1:2" x14ac:dyDescent="0.2">
      <c r="A57" s="12"/>
      <c r="B57" s="13"/>
    </row>
    <row r="58" spans="1:2" x14ac:dyDescent="0.2">
      <c r="A58" s="12"/>
      <c r="B58" s="13"/>
    </row>
    <row r="59" spans="1:2" x14ac:dyDescent="0.2">
      <c r="A59" s="12"/>
      <c r="B59" s="13"/>
    </row>
    <row r="60" spans="1:2" x14ac:dyDescent="0.2">
      <c r="A60" s="12"/>
      <c r="B60" s="13"/>
    </row>
    <row r="61" spans="1:2" x14ac:dyDescent="0.2">
      <c r="A61" s="12"/>
      <c r="B61" s="13"/>
    </row>
    <row r="62" spans="1:2" x14ac:dyDescent="0.2">
      <c r="A62" s="12"/>
      <c r="B62" s="13"/>
    </row>
    <row r="63" spans="1:2" x14ac:dyDescent="0.2">
      <c r="A63" s="12"/>
      <c r="B63" s="13"/>
    </row>
    <row r="64" spans="1:2" x14ac:dyDescent="0.2">
      <c r="A64" s="12"/>
      <c r="B64" s="13"/>
    </row>
    <row r="65" spans="1:2" x14ac:dyDescent="0.2">
      <c r="A65" s="12"/>
      <c r="B65" s="13"/>
    </row>
    <row r="66" spans="1:2" x14ac:dyDescent="0.2">
      <c r="A66" s="12"/>
      <c r="B66" s="13"/>
    </row>
    <row r="67" spans="1:2" x14ac:dyDescent="0.2">
      <c r="A67" s="12"/>
      <c r="B67" s="13"/>
    </row>
    <row r="68" spans="1:2" x14ac:dyDescent="0.2">
      <c r="A68" s="12"/>
      <c r="B68" s="13"/>
    </row>
    <row r="69" spans="1:2" x14ac:dyDescent="0.2">
      <c r="A69" s="12"/>
      <c r="B69" s="13"/>
    </row>
    <row r="70" spans="1:2" x14ac:dyDescent="0.2">
      <c r="A70" s="12"/>
      <c r="B70" s="13"/>
    </row>
    <row r="71" spans="1:2" x14ac:dyDescent="0.2">
      <c r="A71" s="12"/>
      <c r="B71" s="13"/>
    </row>
    <row r="72" spans="1:2" x14ac:dyDescent="0.2">
      <c r="A72" s="12"/>
      <c r="B72" s="13"/>
    </row>
    <row r="73" spans="1:2" x14ac:dyDescent="0.2">
      <c r="A73" s="12"/>
      <c r="B73" s="13"/>
    </row>
    <row r="74" spans="1:2" x14ac:dyDescent="0.2">
      <c r="A74" s="12"/>
      <c r="B74" s="13"/>
    </row>
    <row r="75" spans="1:2" x14ac:dyDescent="0.2">
      <c r="A75" s="12"/>
      <c r="B75" s="13"/>
    </row>
    <row r="76" spans="1:2" x14ac:dyDescent="0.2">
      <c r="A76" s="12"/>
      <c r="B76" s="13"/>
    </row>
    <row r="77" spans="1:2" x14ac:dyDescent="0.2">
      <c r="A77" s="12"/>
      <c r="B77" s="13"/>
    </row>
    <row r="78" spans="1:2" x14ac:dyDescent="0.2">
      <c r="A78" s="12"/>
      <c r="B78" s="13"/>
    </row>
    <row r="79" spans="1:2" x14ac:dyDescent="0.2">
      <c r="A79" s="12"/>
      <c r="B79" s="13"/>
    </row>
    <row r="80" spans="1:2" x14ac:dyDescent="0.2">
      <c r="A80" s="12"/>
      <c r="B80" s="13"/>
    </row>
    <row r="81" spans="1:2" x14ac:dyDescent="0.2">
      <c r="A81" s="12"/>
      <c r="B81" s="13"/>
    </row>
    <row r="82" spans="1:2" x14ac:dyDescent="0.2">
      <c r="A82" s="12"/>
      <c r="B82" s="13"/>
    </row>
    <row r="83" spans="1:2" x14ac:dyDescent="0.2">
      <c r="A83" s="12"/>
      <c r="B83" s="13"/>
    </row>
    <row r="84" spans="1:2" x14ac:dyDescent="0.2">
      <c r="A84" s="12"/>
      <c r="B84" s="13"/>
    </row>
    <row r="85" spans="1:2" x14ac:dyDescent="0.2">
      <c r="A85" s="12"/>
      <c r="B85" s="13"/>
    </row>
    <row r="86" spans="1:2" x14ac:dyDescent="0.2">
      <c r="A86" s="12"/>
      <c r="B86" s="13"/>
    </row>
    <row r="87" spans="1:2" x14ac:dyDescent="0.2">
      <c r="A87" s="12"/>
      <c r="B87" s="13"/>
    </row>
    <row r="88" spans="1:2" x14ac:dyDescent="0.2">
      <c r="A88" s="12"/>
      <c r="B88" s="13"/>
    </row>
    <row r="89" spans="1:2" x14ac:dyDescent="0.2">
      <c r="A89" s="12"/>
      <c r="B89" s="13"/>
    </row>
    <row r="90" spans="1:2" x14ac:dyDescent="0.2">
      <c r="A90" s="12"/>
      <c r="B90" s="13"/>
    </row>
    <row r="91" spans="1:2" x14ac:dyDescent="0.2">
      <c r="A91" s="12"/>
      <c r="B91" s="13"/>
    </row>
    <row r="92" spans="1:2" x14ac:dyDescent="0.2">
      <c r="A92" s="12"/>
      <c r="B92" s="13"/>
    </row>
    <row r="93" spans="1:2" x14ac:dyDescent="0.2">
      <c r="A93" s="12"/>
      <c r="B93" s="13"/>
    </row>
    <row r="94" spans="1:2" x14ac:dyDescent="0.2">
      <c r="A94" s="12"/>
      <c r="B94" s="13"/>
    </row>
    <row r="95" spans="1:2" x14ac:dyDescent="0.2">
      <c r="A95" s="12"/>
      <c r="B95" s="13"/>
    </row>
    <row r="96" spans="1:2" x14ac:dyDescent="0.2">
      <c r="A96" s="12"/>
      <c r="B96" s="13"/>
    </row>
    <row r="97" spans="1:2" x14ac:dyDescent="0.2">
      <c r="A97" s="12"/>
      <c r="B97" s="13"/>
    </row>
    <row r="98" spans="1:2" x14ac:dyDescent="0.2">
      <c r="A98" s="12"/>
      <c r="B98" s="13"/>
    </row>
    <row r="99" spans="1:2" x14ac:dyDescent="0.2">
      <c r="A99" s="12"/>
      <c r="B99" s="13"/>
    </row>
    <row r="100" spans="1:2" x14ac:dyDescent="0.2">
      <c r="A100" s="12"/>
      <c r="B100" s="13"/>
    </row>
    <row r="101" spans="1:2" x14ac:dyDescent="0.2">
      <c r="A101" s="12"/>
      <c r="B101" s="13"/>
    </row>
    <row r="102" spans="1:2" x14ac:dyDescent="0.2">
      <c r="A102" s="12"/>
      <c r="B102" s="13"/>
    </row>
    <row r="103" spans="1:2" x14ac:dyDescent="0.2">
      <c r="A103" s="12"/>
      <c r="B103" s="13"/>
    </row>
    <row r="104" spans="1:2" x14ac:dyDescent="0.2">
      <c r="A104" s="12"/>
      <c r="B104" s="13"/>
    </row>
    <row r="105" spans="1:2" x14ac:dyDescent="0.2">
      <c r="A105" s="12"/>
      <c r="B105" s="13"/>
    </row>
    <row r="106" spans="1:2" x14ac:dyDescent="0.2">
      <c r="A106" s="12"/>
      <c r="B106" s="13"/>
    </row>
    <row r="107" spans="1:2" x14ac:dyDescent="0.2">
      <c r="A107" s="12"/>
      <c r="B107" s="13"/>
    </row>
    <row r="108" spans="1:2" x14ac:dyDescent="0.2">
      <c r="A108" s="12"/>
      <c r="B108" s="13"/>
    </row>
    <row r="109" spans="1:2" x14ac:dyDescent="0.2">
      <c r="A109" s="12"/>
      <c r="B109" s="13"/>
    </row>
    <row r="110" spans="1:2" x14ac:dyDescent="0.2">
      <c r="A110" s="12"/>
      <c r="B110" s="13"/>
    </row>
    <row r="111" spans="1:2" x14ac:dyDescent="0.2">
      <c r="A111" s="12"/>
      <c r="B111" s="13"/>
    </row>
    <row r="112" spans="1:2" x14ac:dyDescent="0.2">
      <c r="A112" s="12"/>
      <c r="B112" s="13"/>
    </row>
    <row r="113" spans="1:2" x14ac:dyDescent="0.2">
      <c r="A113" s="12"/>
      <c r="B113" s="13"/>
    </row>
    <row r="114" spans="1:2" x14ac:dyDescent="0.2">
      <c r="A114" s="12"/>
      <c r="B114" s="13"/>
    </row>
    <row r="115" spans="1:2" x14ac:dyDescent="0.2">
      <c r="A115" s="12"/>
      <c r="B115" s="13"/>
    </row>
    <row r="116" spans="1:2" x14ac:dyDescent="0.2">
      <c r="A116" s="12"/>
      <c r="B116" s="13"/>
    </row>
    <row r="117" spans="1:2" x14ac:dyDescent="0.2">
      <c r="A117" s="12"/>
      <c r="B117" s="13"/>
    </row>
    <row r="118" spans="1:2" x14ac:dyDescent="0.2">
      <c r="A118" s="12"/>
      <c r="B118" s="13"/>
    </row>
    <row r="119" spans="1:2" x14ac:dyDescent="0.2">
      <c r="A119" s="12"/>
      <c r="B119" s="13"/>
    </row>
    <row r="120" spans="1:2" x14ac:dyDescent="0.2">
      <c r="A120" s="12"/>
      <c r="B120" s="13"/>
    </row>
    <row r="121" spans="1:2" x14ac:dyDescent="0.2">
      <c r="A121" s="12"/>
      <c r="B121" s="13"/>
    </row>
    <row r="122" spans="1:2" x14ac:dyDescent="0.2">
      <c r="A122" s="12"/>
      <c r="B122" s="13"/>
    </row>
    <row r="123" spans="1:2" x14ac:dyDescent="0.2">
      <c r="A123" s="12"/>
      <c r="B123" s="13"/>
    </row>
    <row r="124" spans="1:2" x14ac:dyDescent="0.2">
      <c r="A124" s="12"/>
      <c r="B124" s="13"/>
    </row>
    <row r="125" spans="1:2" x14ac:dyDescent="0.2">
      <c r="A125" s="12"/>
      <c r="B125" s="13"/>
    </row>
    <row r="126" spans="1:2" x14ac:dyDescent="0.2">
      <c r="A126" s="12"/>
      <c r="B126" s="13"/>
    </row>
    <row r="127" spans="1:2" x14ac:dyDescent="0.2">
      <c r="A127" s="12"/>
      <c r="B127" s="13"/>
    </row>
    <row r="128" spans="1:2" x14ac:dyDescent="0.2">
      <c r="A128" s="12"/>
      <c r="B128" s="13"/>
    </row>
    <row r="129" spans="1:2" x14ac:dyDescent="0.2">
      <c r="A129" s="12"/>
      <c r="B129" s="13"/>
    </row>
    <row r="130" spans="1:2" x14ac:dyDescent="0.2">
      <c r="A130" s="12"/>
      <c r="B130" s="13"/>
    </row>
    <row r="131" spans="1:2" x14ac:dyDescent="0.2">
      <c r="A131" s="12"/>
      <c r="B131" s="13"/>
    </row>
    <row r="132" spans="1:2" x14ac:dyDescent="0.2">
      <c r="A132" s="12"/>
      <c r="B132" s="13"/>
    </row>
    <row r="133" spans="1:2" x14ac:dyDescent="0.2">
      <c r="A133" s="12"/>
      <c r="B133" s="13"/>
    </row>
    <row r="134" spans="1:2" x14ac:dyDescent="0.2">
      <c r="A134" s="12"/>
      <c r="B134" s="13"/>
    </row>
    <row r="135" spans="1:2" x14ac:dyDescent="0.2">
      <c r="A135" s="12"/>
      <c r="B135" s="13"/>
    </row>
    <row r="136" spans="1:2" x14ac:dyDescent="0.2">
      <c r="A136" s="12"/>
      <c r="B136" s="13"/>
    </row>
    <row r="137" spans="1:2" x14ac:dyDescent="0.2">
      <c r="A137" s="12"/>
      <c r="B137" s="13"/>
    </row>
    <row r="138" spans="1:2" x14ac:dyDescent="0.2">
      <c r="A138" s="12"/>
      <c r="B138" s="13"/>
    </row>
    <row r="139" spans="1:2" x14ac:dyDescent="0.2">
      <c r="A139" s="12"/>
      <c r="B139" s="13"/>
    </row>
    <row r="140" spans="1:2" x14ac:dyDescent="0.2">
      <c r="A140" s="12"/>
      <c r="B140" s="13"/>
    </row>
    <row r="141" spans="1:2" x14ac:dyDescent="0.2">
      <c r="A141" s="12"/>
      <c r="B141" s="13"/>
    </row>
    <row r="142" spans="1:2" x14ac:dyDescent="0.2">
      <c r="A142" s="12"/>
      <c r="B142" s="13"/>
    </row>
    <row r="143" spans="1:2" x14ac:dyDescent="0.2">
      <c r="A143" s="12"/>
      <c r="B143" s="13"/>
    </row>
    <row r="144" spans="1:2" x14ac:dyDescent="0.2">
      <c r="A144" s="12"/>
      <c r="B144" s="13"/>
    </row>
    <row r="145" spans="1:2" x14ac:dyDescent="0.2">
      <c r="A145" s="12"/>
      <c r="B145" s="13"/>
    </row>
    <row r="146" spans="1:2" x14ac:dyDescent="0.2">
      <c r="A146" s="12"/>
      <c r="B146" s="13"/>
    </row>
    <row r="147" spans="1:2" x14ac:dyDescent="0.2">
      <c r="A147" s="12"/>
      <c r="B147" s="13"/>
    </row>
    <row r="148" spans="1:2" x14ac:dyDescent="0.2">
      <c r="A148" s="12"/>
      <c r="B148" s="13"/>
    </row>
    <row r="149" spans="1:2" x14ac:dyDescent="0.2">
      <c r="A149" s="12"/>
      <c r="B149" s="13"/>
    </row>
    <row r="150" spans="1:2" x14ac:dyDescent="0.2">
      <c r="A150" s="12"/>
      <c r="B150" s="13"/>
    </row>
    <row r="151" spans="1:2" x14ac:dyDescent="0.2">
      <c r="A151" s="12"/>
      <c r="B151" s="13"/>
    </row>
    <row r="152" spans="1:2" x14ac:dyDescent="0.2">
      <c r="A152" s="12"/>
      <c r="B152" s="13"/>
    </row>
    <row r="153" spans="1:2" x14ac:dyDescent="0.2">
      <c r="A153" s="12"/>
      <c r="B153" s="13"/>
    </row>
    <row r="154" spans="1:2" x14ac:dyDescent="0.2">
      <c r="A154" s="12"/>
      <c r="B154" s="13"/>
    </row>
    <row r="155" spans="1:2" x14ac:dyDescent="0.2">
      <c r="A155" s="12"/>
      <c r="B155" s="13"/>
    </row>
    <row r="156" spans="1:2" x14ac:dyDescent="0.2">
      <c r="A156" s="12"/>
      <c r="B156" s="13"/>
    </row>
    <row r="157" spans="1:2" x14ac:dyDescent="0.2">
      <c r="A157" s="12"/>
      <c r="B157" s="13"/>
    </row>
    <row r="158" spans="1:2" x14ac:dyDescent="0.2">
      <c r="A158" s="12"/>
      <c r="B158" s="13"/>
    </row>
    <row r="159" spans="1:2" x14ac:dyDescent="0.2">
      <c r="A159" s="12"/>
      <c r="B159" s="13"/>
    </row>
    <row r="160" spans="1:2" x14ac:dyDescent="0.2">
      <c r="A160" s="12"/>
      <c r="B160" s="13"/>
    </row>
    <row r="161" spans="1:2" x14ac:dyDescent="0.2">
      <c r="A161" s="12"/>
      <c r="B161" s="13"/>
    </row>
    <row r="162" spans="1:2" x14ac:dyDescent="0.2">
      <c r="A162" s="12"/>
      <c r="B162" s="13"/>
    </row>
    <row r="163" spans="1:2" x14ac:dyDescent="0.2">
      <c r="A163" s="12"/>
      <c r="B163" s="13"/>
    </row>
    <row r="164" spans="1:2" x14ac:dyDescent="0.2">
      <c r="A164" s="12"/>
      <c r="B164" s="13"/>
    </row>
    <row r="165" spans="1:2" x14ac:dyDescent="0.2">
      <c r="A165" s="12"/>
      <c r="B165" s="13"/>
    </row>
    <row r="166" spans="1:2" x14ac:dyDescent="0.2">
      <c r="A166" s="12"/>
      <c r="B166" s="13"/>
    </row>
    <row r="167" spans="1:2" x14ac:dyDescent="0.2">
      <c r="A167" s="12"/>
      <c r="B167" s="13"/>
    </row>
    <row r="168" spans="1:2" x14ac:dyDescent="0.2">
      <c r="A168" s="12"/>
      <c r="B168" s="13"/>
    </row>
    <row r="169" spans="1:2" x14ac:dyDescent="0.2">
      <c r="A169" s="12"/>
      <c r="B169" s="13"/>
    </row>
    <row r="170" spans="1:2" x14ac:dyDescent="0.2">
      <c r="A170" s="12"/>
      <c r="B170" s="13"/>
    </row>
    <row r="171" spans="1:2" x14ac:dyDescent="0.2">
      <c r="A171" s="12"/>
      <c r="B171" s="13"/>
    </row>
    <row r="172" spans="1:2" x14ac:dyDescent="0.2">
      <c r="A172" s="12"/>
      <c r="B172" s="13"/>
    </row>
    <row r="173" spans="1:2" x14ac:dyDescent="0.2">
      <c r="A173" s="12"/>
      <c r="B173" s="13"/>
    </row>
    <row r="174" spans="1:2" x14ac:dyDescent="0.2">
      <c r="A174" s="12"/>
      <c r="B174" s="13"/>
    </row>
    <row r="175" spans="1:2" x14ac:dyDescent="0.2">
      <c r="A175" s="12"/>
      <c r="B175" s="13"/>
    </row>
    <row r="176" spans="1:2" x14ac:dyDescent="0.2">
      <c r="A176" s="12"/>
      <c r="B176" s="13"/>
    </row>
    <row r="177" spans="1:2" x14ac:dyDescent="0.2">
      <c r="A177" s="12"/>
      <c r="B177" s="13"/>
    </row>
    <row r="178" spans="1:2" x14ac:dyDescent="0.2">
      <c r="A178" s="12"/>
      <c r="B178" s="13"/>
    </row>
    <row r="179" spans="1:2" x14ac:dyDescent="0.2">
      <c r="A179" s="12"/>
      <c r="B179" s="13"/>
    </row>
    <row r="180" spans="1:2" x14ac:dyDescent="0.2">
      <c r="A180" s="12"/>
      <c r="B180" s="13"/>
    </row>
    <row r="181" spans="1:2" x14ac:dyDescent="0.2">
      <c r="A181" s="12"/>
      <c r="B181" s="13"/>
    </row>
    <row r="182" spans="1:2" x14ac:dyDescent="0.2">
      <c r="A182" s="12"/>
      <c r="B182" s="13"/>
    </row>
    <row r="183" spans="1:2" x14ac:dyDescent="0.2">
      <c r="A183" s="12"/>
      <c r="B183" s="13"/>
    </row>
    <row r="184" spans="1:2" x14ac:dyDescent="0.2">
      <c r="A184" s="12"/>
      <c r="B184" s="13"/>
    </row>
    <row r="185" spans="1:2" x14ac:dyDescent="0.2">
      <c r="A185" s="12"/>
      <c r="B185" s="13"/>
    </row>
    <row r="186" spans="1:2" x14ac:dyDescent="0.2">
      <c r="A186" s="12"/>
      <c r="B186" s="13"/>
    </row>
    <row r="187" spans="1:2" x14ac:dyDescent="0.2">
      <c r="A187" s="12"/>
      <c r="B187" s="13"/>
    </row>
    <row r="188" spans="1:2" x14ac:dyDescent="0.2">
      <c r="A188" s="12"/>
      <c r="B188" s="13"/>
    </row>
    <row r="189" spans="1:2" x14ac:dyDescent="0.2">
      <c r="A189" s="12"/>
      <c r="B189" s="13"/>
    </row>
    <row r="190" spans="1:2" x14ac:dyDescent="0.2">
      <c r="A190" s="12"/>
      <c r="B190" s="13"/>
    </row>
    <row r="191" spans="1:2" x14ac:dyDescent="0.2">
      <c r="A191" s="12"/>
      <c r="B191" s="13"/>
    </row>
    <row r="192" spans="1:2" x14ac:dyDescent="0.2">
      <c r="A192" s="12"/>
      <c r="B192" s="13"/>
    </row>
    <row r="193" spans="1:2" x14ac:dyDescent="0.2">
      <c r="A193" s="12"/>
      <c r="B193" s="13"/>
    </row>
    <row r="194" spans="1:2" x14ac:dyDescent="0.2">
      <c r="A194" s="12"/>
      <c r="B194" s="13"/>
    </row>
    <row r="195" spans="1:2" x14ac:dyDescent="0.2">
      <c r="A195" s="12"/>
      <c r="B195" s="13"/>
    </row>
    <row r="196" spans="1:2" x14ac:dyDescent="0.2">
      <c r="A196" s="12"/>
      <c r="B196" s="13"/>
    </row>
    <row r="197" spans="1:2" x14ac:dyDescent="0.2">
      <c r="A197" s="12"/>
      <c r="B197" s="13"/>
    </row>
    <row r="198" spans="1:2" x14ac:dyDescent="0.2">
      <c r="A198" s="12"/>
      <c r="B198" s="13"/>
    </row>
    <row r="199" spans="1:2" x14ac:dyDescent="0.2">
      <c r="A199" s="12"/>
      <c r="B199" s="13"/>
    </row>
    <row r="200" spans="1:2" x14ac:dyDescent="0.2">
      <c r="A200" s="12"/>
      <c r="B200" s="13"/>
    </row>
    <row r="201" spans="1:2" x14ac:dyDescent="0.2">
      <c r="A201" s="12"/>
      <c r="B201" s="13"/>
    </row>
    <row r="202" spans="1:2" x14ac:dyDescent="0.2">
      <c r="A202" s="12"/>
      <c r="B202" s="13"/>
    </row>
    <row r="203" spans="1:2" x14ac:dyDescent="0.2">
      <c r="A203" s="12"/>
      <c r="B203" s="13"/>
    </row>
    <row r="204" spans="1:2" x14ac:dyDescent="0.2">
      <c r="A204" s="12"/>
      <c r="B204" s="13"/>
    </row>
    <row r="205" spans="1:2" x14ac:dyDescent="0.2">
      <c r="A205" s="12"/>
      <c r="B205" s="13"/>
    </row>
    <row r="206" spans="1:2" x14ac:dyDescent="0.2">
      <c r="A206" s="12"/>
      <c r="B206" s="13"/>
    </row>
    <row r="207" spans="1:2" x14ac:dyDescent="0.2">
      <c r="A207" s="12"/>
      <c r="B207" s="13"/>
    </row>
    <row r="208" spans="1:2" x14ac:dyDescent="0.2">
      <c r="A208" s="12"/>
      <c r="B208" s="13"/>
    </row>
    <row r="209" spans="1:2" x14ac:dyDescent="0.2">
      <c r="A209" s="12"/>
      <c r="B209" s="13"/>
    </row>
    <row r="210" spans="1:2" x14ac:dyDescent="0.2">
      <c r="A210" s="12"/>
      <c r="B210" s="13"/>
    </row>
    <row r="211" spans="1:2" x14ac:dyDescent="0.2">
      <c r="A211" s="12"/>
      <c r="B211" s="13"/>
    </row>
    <row r="212" spans="1:2" x14ac:dyDescent="0.2">
      <c r="A212" s="12"/>
      <c r="B212" s="13"/>
    </row>
    <row r="213" spans="1:2" x14ac:dyDescent="0.2">
      <c r="A213" s="12"/>
      <c r="B213" s="13"/>
    </row>
    <row r="214" spans="1:2" x14ac:dyDescent="0.2">
      <c r="A214" s="12"/>
      <c r="B214" s="13"/>
    </row>
    <row r="215" spans="1:2" x14ac:dyDescent="0.2">
      <c r="A215" s="12"/>
      <c r="B215" s="13"/>
    </row>
    <row r="216" spans="1:2" x14ac:dyDescent="0.2">
      <c r="A216" s="12"/>
      <c r="B216" s="13"/>
    </row>
    <row r="217" spans="1:2" x14ac:dyDescent="0.2">
      <c r="A217" s="12"/>
      <c r="B217" s="13"/>
    </row>
    <row r="218" spans="1:2" x14ac:dyDescent="0.2">
      <c r="A218" s="12"/>
      <c r="B218" s="13"/>
    </row>
    <row r="219" spans="1:2" x14ac:dyDescent="0.2">
      <c r="A219" s="12"/>
      <c r="B219" s="13"/>
    </row>
    <row r="220" spans="1:2" x14ac:dyDescent="0.2">
      <c r="A220" s="12"/>
      <c r="B220" s="13"/>
    </row>
    <row r="221" spans="1:2" x14ac:dyDescent="0.2">
      <c r="A221" s="12"/>
      <c r="B221" s="13"/>
    </row>
    <row r="222" spans="1:2" x14ac:dyDescent="0.2">
      <c r="A222" s="12"/>
      <c r="B222" s="13"/>
    </row>
    <row r="223" spans="1:2" x14ac:dyDescent="0.2">
      <c r="A223" s="12"/>
      <c r="B223" s="13"/>
    </row>
    <row r="224" spans="1:2" x14ac:dyDescent="0.2">
      <c r="A224" s="12"/>
      <c r="B224" s="13"/>
    </row>
    <row r="225" spans="1:2" x14ac:dyDescent="0.2">
      <c r="A225" s="12"/>
      <c r="B225" s="13"/>
    </row>
    <row r="226" spans="1:2" x14ac:dyDescent="0.2">
      <c r="A226" s="12"/>
      <c r="B226" s="13"/>
    </row>
    <row r="227" spans="1:2" x14ac:dyDescent="0.2">
      <c r="A227" s="12"/>
      <c r="B227" s="13"/>
    </row>
    <row r="228" spans="1:2" x14ac:dyDescent="0.2">
      <c r="A228" s="12"/>
      <c r="B228" s="13"/>
    </row>
    <row r="229" spans="1:2" x14ac:dyDescent="0.2">
      <c r="A229" s="12"/>
      <c r="B229" s="13"/>
    </row>
    <row r="230" spans="1:2" x14ac:dyDescent="0.2">
      <c r="A230" s="12"/>
      <c r="B230" s="13"/>
    </row>
    <row r="231" spans="1:2" x14ac:dyDescent="0.2">
      <c r="A231" s="12"/>
      <c r="B231" s="13"/>
    </row>
    <row r="232" spans="1:2" x14ac:dyDescent="0.2">
      <c r="A232" s="12"/>
      <c r="B232" s="13"/>
    </row>
    <row r="233" spans="1:2" x14ac:dyDescent="0.2">
      <c r="A233" s="12"/>
      <c r="B233" s="13"/>
    </row>
    <row r="234" spans="1:2" x14ac:dyDescent="0.2">
      <c r="A234" s="12"/>
      <c r="B234" s="13"/>
    </row>
    <row r="235" spans="1:2" x14ac:dyDescent="0.2">
      <c r="A235" s="12"/>
      <c r="B235" s="13"/>
    </row>
    <row r="236" spans="1:2" x14ac:dyDescent="0.2">
      <c r="A236" s="12"/>
      <c r="B236" s="13"/>
    </row>
    <row r="237" spans="1:2" x14ac:dyDescent="0.2">
      <c r="A237" s="12"/>
      <c r="B237" s="13"/>
    </row>
    <row r="238" spans="1:2" x14ac:dyDescent="0.2">
      <c r="A238" s="12"/>
      <c r="B238" s="13"/>
    </row>
    <row r="239" spans="1:2" x14ac:dyDescent="0.2">
      <c r="A239" s="12"/>
      <c r="B239" s="13"/>
    </row>
    <row r="240" spans="1:2" x14ac:dyDescent="0.2">
      <c r="A240" s="12"/>
      <c r="B240" s="13"/>
    </row>
    <row r="241" spans="1:2" x14ac:dyDescent="0.2">
      <c r="A241" s="12"/>
      <c r="B241" s="13"/>
    </row>
    <row r="242" spans="1:2" x14ac:dyDescent="0.2">
      <c r="A242" s="12"/>
      <c r="B242" s="13"/>
    </row>
    <row r="243" spans="1:2" x14ac:dyDescent="0.2">
      <c r="A243" s="12"/>
      <c r="B243" s="13"/>
    </row>
    <row r="244" spans="1:2" x14ac:dyDescent="0.2">
      <c r="A244" s="12"/>
      <c r="B244" s="13"/>
    </row>
    <row r="245" spans="1:2" x14ac:dyDescent="0.2">
      <c r="A245" s="12"/>
      <c r="B245" s="13"/>
    </row>
    <row r="246" spans="1:2" x14ac:dyDescent="0.2">
      <c r="A246" s="12"/>
      <c r="B246" s="13"/>
    </row>
    <row r="247" spans="1:2" x14ac:dyDescent="0.2">
      <c r="A247" s="12"/>
      <c r="B247" s="13"/>
    </row>
    <row r="248" spans="1:2" x14ac:dyDescent="0.2">
      <c r="A248" s="12"/>
      <c r="B248" s="13"/>
    </row>
    <row r="249" spans="1:2" x14ac:dyDescent="0.2">
      <c r="A249" s="12"/>
      <c r="B249" s="13"/>
    </row>
    <row r="250" spans="1:2" x14ac:dyDescent="0.2">
      <c r="A250" s="12"/>
      <c r="B250" s="13"/>
    </row>
    <row r="251" spans="1:2" x14ac:dyDescent="0.2">
      <c r="A251" s="12"/>
      <c r="B251" s="13"/>
    </row>
    <row r="252" spans="1:2" x14ac:dyDescent="0.2">
      <c r="A252" s="12"/>
      <c r="B252" s="13"/>
    </row>
    <row r="253" spans="1:2" x14ac:dyDescent="0.2">
      <c r="A253" s="12"/>
      <c r="B253" s="13"/>
    </row>
    <row r="254" spans="1:2" x14ac:dyDescent="0.2">
      <c r="A254" s="12"/>
      <c r="B254" s="13"/>
    </row>
    <row r="255" spans="1:2" x14ac:dyDescent="0.2">
      <c r="A255" s="12"/>
      <c r="B255" s="13"/>
    </row>
    <row r="256" spans="1:2" x14ac:dyDescent="0.2">
      <c r="A256" s="12"/>
      <c r="B256" s="13"/>
    </row>
    <row r="257" spans="1:2" x14ac:dyDescent="0.2">
      <c r="A257" s="12"/>
      <c r="B257" s="13"/>
    </row>
    <row r="258" spans="1:2" x14ac:dyDescent="0.2">
      <c r="A258" s="12"/>
      <c r="B258" s="13"/>
    </row>
    <row r="259" spans="1:2" x14ac:dyDescent="0.2">
      <c r="A259" s="12"/>
      <c r="B259" s="13"/>
    </row>
    <row r="260" spans="1:2" x14ac:dyDescent="0.2">
      <c r="A260" s="12"/>
      <c r="B260" s="13"/>
    </row>
    <row r="261" spans="1:2" x14ac:dyDescent="0.2">
      <c r="A261" s="12"/>
      <c r="B261" s="13"/>
    </row>
    <row r="262" spans="1:2" x14ac:dyDescent="0.2">
      <c r="A262" s="12"/>
      <c r="B262" s="13"/>
    </row>
    <row r="263" spans="1:2" x14ac:dyDescent="0.2">
      <c r="A263" s="12"/>
      <c r="B263" s="13"/>
    </row>
    <row r="264" spans="1:2" x14ac:dyDescent="0.2">
      <c r="A264" s="12"/>
      <c r="B264" s="13"/>
    </row>
    <row r="265" spans="1:2" x14ac:dyDescent="0.2">
      <c r="A265" s="12"/>
      <c r="B265" s="13"/>
    </row>
    <row r="266" spans="1:2" x14ac:dyDescent="0.2">
      <c r="A266" s="12"/>
      <c r="B266" s="13"/>
    </row>
    <row r="267" spans="1:2" x14ac:dyDescent="0.2">
      <c r="A267" s="12"/>
      <c r="B267" s="13"/>
    </row>
    <row r="268" spans="1:2" x14ac:dyDescent="0.2">
      <c r="A268" s="12"/>
      <c r="B268" s="13"/>
    </row>
    <row r="269" spans="1:2" x14ac:dyDescent="0.2">
      <c r="A269" s="12"/>
      <c r="B269" s="13"/>
    </row>
    <row r="270" spans="1:2" x14ac:dyDescent="0.2">
      <c r="A270" s="12"/>
      <c r="B270" s="13"/>
    </row>
    <row r="271" spans="1:2" x14ac:dyDescent="0.2">
      <c r="A271" s="12"/>
      <c r="B271" s="13"/>
    </row>
    <row r="272" spans="1:2" x14ac:dyDescent="0.2">
      <c r="A272" s="12"/>
      <c r="B272" s="13"/>
    </row>
    <row r="273" spans="1:2" x14ac:dyDescent="0.2">
      <c r="A273" s="12"/>
      <c r="B273" s="13"/>
    </row>
    <row r="274" spans="1:2" x14ac:dyDescent="0.2">
      <c r="A274" s="12"/>
      <c r="B274" s="13"/>
    </row>
    <row r="275" spans="1:2" x14ac:dyDescent="0.2">
      <c r="A275" s="12"/>
      <c r="B275" s="13"/>
    </row>
    <row r="276" spans="1:2" x14ac:dyDescent="0.2">
      <c r="A276" s="12"/>
      <c r="B276" s="13"/>
    </row>
    <row r="277" spans="1:2" x14ac:dyDescent="0.2">
      <c r="A277" s="12"/>
      <c r="B277" s="13"/>
    </row>
    <row r="278" spans="1:2" x14ac:dyDescent="0.2">
      <c r="A278" s="12"/>
      <c r="B278" s="13"/>
    </row>
    <row r="279" spans="1:2" x14ac:dyDescent="0.2">
      <c r="A279" s="12"/>
      <c r="B279" s="13"/>
    </row>
    <row r="280" spans="1:2" x14ac:dyDescent="0.2">
      <c r="A280" s="12"/>
      <c r="B280" s="13"/>
    </row>
    <row r="281" spans="1:2" x14ac:dyDescent="0.2">
      <c r="A281" s="12"/>
      <c r="B281" s="13"/>
    </row>
    <row r="282" spans="1:2" x14ac:dyDescent="0.2">
      <c r="A282" s="12"/>
      <c r="B282" s="13"/>
    </row>
    <row r="283" spans="1:2" x14ac:dyDescent="0.2">
      <c r="A283" s="12"/>
      <c r="B283" s="13"/>
    </row>
    <row r="284" spans="1:2" x14ac:dyDescent="0.2">
      <c r="A284" s="12"/>
      <c r="B284" s="13"/>
    </row>
    <row r="285" spans="1:2" x14ac:dyDescent="0.2">
      <c r="A285" s="12"/>
      <c r="B285" s="13"/>
    </row>
    <row r="286" spans="1:2" x14ac:dyDescent="0.2">
      <c r="A286" s="12"/>
      <c r="B286" s="13"/>
    </row>
    <row r="287" spans="1:2" x14ac:dyDescent="0.2">
      <c r="A287" s="12"/>
      <c r="B287" s="13"/>
    </row>
    <row r="288" spans="1:2" x14ac:dyDescent="0.2">
      <c r="A288" s="12"/>
      <c r="B288" s="13"/>
    </row>
    <row r="289" spans="1:2" x14ac:dyDescent="0.2">
      <c r="A289" s="12"/>
      <c r="B289" s="13"/>
    </row>
    <row r="290" spans="1:2" x14ac:dyDescent="0.2">
      <c r="A290" s="12"/>
      <c r="B290" s="13"/>
    </row>
    <row r="291" spans="1:2" x14ac:dyDescent="0.2">
      <c r="A291" s="12"/>
      <c r="B291" s="13"/>
    </row>
    <row r="292" spans="1:2" x14ac:dyDescent="0.2">
      <c r="A292" s="12"/>
      <c r="B292" s="13"/>
    </row>
    <row r="293" spans="1:2" x14ac:dyDescent="0.2">
      <c r="A293" s="12"/>
      <c r="B293" s="13"/>
    </row>
    <row r="294" spans="1:2" x14ac:dyDescent="0.2">
      <c r="A294" s="12"/>
      <c r="B294" s="13"/>
    </row>
    <row r="295" spans="1:2" x14ac:dyDescent="0.2">
      <c r="A295" s="12"/>
      <c r="B295" s="13"/>
    </row>
    <row r="296" spans="1:2" x14ac:dyDescent="0.2">
      <c r="A296" s="12"/>
      <c r="B296" s="13"/>
    </row>
    <row r="297" spans="1:2" x14ac:dyDescent="0.2">
      <c r="A297" s="12"/>
      <c r="B297" s="13"/>
    </row>
    <row r="298" spans="1:2" x14ac:dyDescent="0.2">
      <c r="A298" s="12"/>
      <c r="B298" s="13"/>
    </row>
    <row r="299" spans="1:2" x14ac:dyDescent="0.2">
      <c r="A299" s="12"/>
      <c r="B299" s="13"/>
    </row>
    <row r="300" spans="1:2" x14ac:dyDescent="0.2">
      <c r="A300" s="12"/>
      <c r="B300" s="13"/>
    </row>
    <row r="301" spans="1:2" x14ac:dyDescent="0.2">
      <c r="A301" s="12"/>
      <c r="B301" s="13"/>
    </row>
    <row r="302" spans="1:2" x14ac:dyDescent="0.2">
      <c r="A302" s="12"/>
      <c r="B302" s="13"/>
    </row>
    <row r="303" spans="1:2" x14ac:dyDescent="0.2">
      <c r="A303" s="12"/>
      <c r="B303" s="13"/>
    </row>
    <row r="304" spans="1:2" x14ac:dyDescent="0.2">
      <c r="A304" s="12"/>
      <c r="B304" s="13"/>
    </row>
    <row r="305" spans="1:2" x14ac:dyDescent="0.2">
      <c r="A305" s="12"/>
      <c r="B305" s="13"/>
    </row>
    <row r="306" spans="1:2" x14ac:dyDescent="0.2">
      <c r="A306" s="12"/>
      <c r="B306" s="13"/>
    </row>
    <row r="307" spans="1:2" x14ac:dyDescent="0.2">
      <c r="A307" s="12"/>
      <c r="B307" s="13"/>
    </row>
    <row r="308" spans="1:2" x14ac:dyDescent="0.2">
      <c r="A308" s="12"/>
      <c r="B308" s="13"/>
    </row>
    <row r="309" spans="1:2" x14ac:dyDescent="0.2">
      <c r="A309" s="12"/>
      <c r="B309" s="13"/>
    </row>
    <row r="310" spans="1:2" x14ac:dyDescent="0.2">
      <c r="A310" s="12"/>
      <c r="B310" s="13"/>
    </row>
    <row r="311" spans="1:2" x14ac:dyDescent="0.2">
      <c r="A311" s="12"/>
      <c r="B311" s="13"/>
    </row>
    <row r="312" spans="1:2" x14ac:dyDescent="0.2">
      <c r="A312" s="12"/>
      <c r="B312" s="13"/>
    </row>
    <row r="313" spans="1:2" x14ac:dyDescent="0.2">
      <c r="A313" s="12"/>
      <c r="B313" s="13"/>
    </row>
    <row r="314" spans="1:2" x14ac:dyDescent="0.2">
      <c r="A314" s="12"/>
      <c r="B314" s="13"/>
    </row>
    <row r="315" spans="1:2" x14ac:dyDescent="0.2">
      <c r="A315" s="12"/>
      <c r="B315" s="13"/>
    </row>
    <row r="316" spans="1:2" x14ac:dyDescent="0.2">
      <c r="A316" s="12"/>
      <c r="B316" s="13"/>
    </row>
    <row r="317" spans="1:2" x14ac:dyDescent="0.2">
      <c r="A317" s="12"/>
      <c r="B317" s="13"/>
    </row>
    <row r="318" spans="1:2" x14ac:dyDescent="0.2">
      <c r="A318" s="12"/>
      <c r="B318" s="13"/>
    </row>
    <row r="319" spans="1:2" x14ac:dyDescent="0.2">
      <c r="A319" s="12"/>
      <c r="B319" s="13"/>
    </row>
    <row r="320" spans="1:2" x14ac:dyDescent="0.2">
      <c r="A320" s="12"/>
      <c r="B320" s="13"/>
    </row>
    <row r="321" spans="1:2" x14ac:dyDescent="0.2">
      <c r="A321" s="12"/>
      <c r="B321" s="13"/>
    </row>
    <row r="322" spans="1:2" x14ac:dyDescent="0.2">
      <c r="A322" s="12"/>
      <c r="B322" s="13"/>
    </row>
    <row r="323" spans="1:2" x14ac:dyDescent="0.2">
      <c r="A323" s="12"/>
      <c r="B323" s="13"/>
    </row>
    <row r="324" spans="1:2" x14ac:dyDescent="0.2">
      <c r="A324" s="12"/>
      <c r="B324" s="13"/>
    </row>
    <row r="325" spans="1:2" x14ac:dyDescent="0.2">
      <c r="A325" s="12"/>
      <c r="B325" s="13"/>
    </row>
    <row r="326" spans="1:2" x14ac:dyDescent="0.2">
      <c r="A326" s="12"/>
      <c r="B326" s="13"/>
    </row>
    <row r="327" spans="1:2" x14ac:dyDescent="0.2">
      <c r="A327" s="12"/>
      <c r="B327" s="13"/>
    </row>
    <row r="328" spans="1:2" x14ac:dyDescent="0.2">
      <c r="A328" s="12"/>
      <c r="B328" s="13"/>
    </row>
    <row r="329" spans="1:2" x14ac:dyDescent="0.2">
      <c r="A329" s="12"/>
      <c r="B329" s="13"/>
    </row>
    <row r="330" spans="1:2" x14ac:dyDescent="0.2">
      <c r="A330" s="12"/>
      <c r="B330" s="13"/>
    </row>
    <row r="331" spans="1:2" x14ac:dyDescent="0.2">
      <c r="A331" s="12"/>
      <c r="B331" s="13"/>
    </row>
    <row r="332" spans="1:2" x14ac:dyDescent="0.2">
      <c r="A332" s="12"/>
      <c r="B332" s="13"/>
    </row>
    <row r="333" spans="1:2" x14ac:dyDescent="0.2">
      <c r="A333" s="12"/>
      <c r="B333" s="13"/>
    </row>
    <row r="334" spans="1:2" x14ac:dyDescent="0.2">
      <c r="A334" s="12"/>
      <c r="B334" s="13"/>
    </row>
    <row r="335" spans="1:2" x14ac:dyDescent="0.2">
      <c r="A335" s="12"/>
      <c r="B335" s="13"/>
    </row>
    <row r="336" spans="1:2" x14ac:dyDescent="0.2">
      <c r="A336" s="12"/>
      <c r="B336" s="13"/>
    </row>
    <row r="337" spans="1:2" x14ac:dyDescent="0.2">
      <c r="A337" s="12"/>
      <c r="B337" s="13"/>
    </row>
    <row r="338" spans="1:2" x14ac:dyDescent="0.2">
      <c r="A338" s="12"/>
      <c r="B338" s="13"/>
    </row>
    <row r="339" spans="1:2" x14ac:dyDescent="0.2">
      <c r="A339" s="12"/>
      <c r="B339" s="13"/>
    </row>
    <row r="340" spans="1:2" x14ac:dyDescent="0.2">
      <c r="A340" s="12"/>
      <c r="B340" s="13"/>
    </row>
    <row r="341" spans="1:2" x14ac:dyDescent="0.2">
      <c r="A341" s="12"/>
      <c r="B341" s="13"/>
    </row>
    <row r="342" spans="1:2" x14ac:dyDescent="0.2">
      <c r="A342" s="12"/>
      <c r="B342" s="13"/>
    </row>
    <row r="343" spans="1:2" x14ac:dyDescent="0.2">
      <c r="A343" s="12"/>
      <c r="B343" s="13"/>
    </row>
    <row r="344" spans="1:2" x14ac:dyDescent="0.2">
      <c r="A344" s="12"/>
      <c r="B344" s="13"/>
    </row>
    <row r="345" spans="1:2" x14ac:dyDescent="0.2">
      <c r="A345" s="12"/>
      <c r="B345" s="13"/>
    </row>
    <row r="346" spans="1:2" x14ac:dyDescent="0.2">
      <c r="A346" s="12"/>
      <c r="B346" s="13"/>
    </row>
    <row r="347" spans="1:2" x14ac:dyDescent="0.2">
      <c r="A347" s="12"/>
      <c r="B347" s="13"/>
    </row>
    <row r="348" spans="1:2" x14ac:dyDescent="0.2">
      <c r="A348" s="12"/>
      <c r="B348" s="13"/>
    </row>
    <row r="349" spans="1:2" x14ac:dyDescent="0.2">
      <c r="A349" s="12"/>
      <c r="B349" s="13"/>
    </row>
    <row r="350" spans="1:2" x14ac:dyDescent="0.2">
      <c r="A350" s="12"/>
      <c r="B350" s="13"/>
    </row>
    <row r="351" spans="1:2" x14ac:dyDescent="0.2">
      <c r="A351" s="12"/>
      <c r="B351" s="13"/>
    </row>
    <row r="352" spans="1:2" x14ac:dyDescent="0.2">
      <c r="A352" s="12"/>
      <c r="B352" s="13"/>
    </row>
    <row r="353" spans="1:2" x14ac:dyDescent="0.2">
      <c r="A353" s="12"/>
      <c r="B353" s="13"/>
    </row>
    <row r="354" spans="1:2" x14ac:dyDescent="0.2">
      <c r="A354" s="12"/>
      <c r="B354" s="13"/>
    </row>
    <row r="355" spans="1:2" x14ac:dyDescent="0.2">
      <c r="A355" s="12"/>
      <c r="B355" s="13"/>
    </row>
    <row r="356" spans="1:2" x14ac:dyDescent="0.2">
      <c r="A356" s="12"/>
      <c r="B356" s="13"/>
    </row>
    <row r="357" spans="1:2" x14ac:dyDescent="0.2">
      <c r="A357" s="12"/>
      <c r="B357" s="13"/>
    </row>
    <row r="358" spans="1:2" x14ac:dyDescent="0.2">
      <c r="A358" s="12"/>
      <c r="B358" s="13"/>
    </row>
    <row r="359" spans="1:2" x14ac:dyDescent="0.2">
      <c r="A359" s="12"/>
      <c r="B359" s="13"/>
    </row>
    <row r="360" spans="1:2" x14ac:dyDescent="0.2">
      <c r="A360" s="12"/>
      <c r="B360" s="13"/>
    </row>
    <row r="361" spans="1:2" x14ac:dyDescent="0.2">
      <c r="A361" s="12"/>
      <c r="B361" s="13"/>
    </row>
    <row r="362" spans="1:2" x14ac:dyDescent="0.2">
      <c r="A362" s="12"/>
      <c r="B362" s="13"/>
    </row>
    <row r="363" spans="1:2" x14ac:dyDescent="0.2">
      <c r="A363" s="12"/>
      <c r="B363" s="13"/>
    </row>
    <row r="364" spans="1:2" x14ac:dyDescent="0.2">
      <c r="A364" s="12"/>
      <c r="B364" s="13"/>
    </row>
    <row r="365" spans="1:2" x14ac:dyDescent="0.2">
      <c r="A365" s="12"/>
      <c r="B365" s="13"/>
    </row>
    <row r="366" spans="1:2" x14ac:dyDescent="0.2">
      <c r="A366" s="12"/>
      <c r="B366" s="13"/>
    </row>
    <row r="367" spans="1:2" x14ac:dyDescent="0.2">
      <c r="A367" s="12"/>
      <c r="B367" s="13"/>
    </row>
    <row r="368" spans="1:2" x14ac:dyDescent="0.2">
      <c r="A368" s="12"/>
      <c r="B368" s="13"/>
    </row>
    <row r="369" spans="1:2" x14ac:dyDescent="0.2">
      <c r="A369" s="12"/>
      <c r="B369" s="13"/>
    </row>
    <row r="370" spans="1:2" x14ac:dyDescent="0.2">
      <c r="A370" s="12"/>
      <c r="B370" s="13"/>
    </row>
    <row r="371" spans="1:2" x14ac:dyDescent="0.2">
      <c r="A371" s="12"/>
      <c r="B371" s="13"/>
    </row>
    <row r="372" spans="1:2" x14ac:dyDescent="0.2">
      <c r="A372" s="12"/>
      <c r="B372" s="13"/>
    </row>
    <row r="373" spans="1:2" x14ac:dyDescent="0.2">
      <c r="A373" s="12"/>
      <c r="B373" s="13"/>
    </row>
    <row r="374" spans="1:2" x14ac:dyDescent="0.2">
      <c r="A374" s="12"/>
      <c r="B374" s="13"/>
    </row>
    <row r="375" spans="1:2" x14ac:dyDescent="0.2">
      <c r="A375" s="12"/>
      <c r="B375" s="13"/>
    </row>
    <row r="376" spans="1:2" x14ac:dyDescent="0.2">
      <c r="A376" s="12"/>
      <c r="B376" s="13"/>
    </row>
    <row r="377" spans="1:2" x14ac:dyDescent="0.2">
      <c r="A377" s="12"/>
      <c r="B377" s="13"/>
    </row>
    <row r="378" spans="1:2" x14ac:dyDescent="0.2">
      <c r="A378" s="12"/>
      <c r="B378" s="13"/>
    </row>
    <row r="379" spans="1:2" x14ac:dyDescent="0.2">
      <c r="A379" s="12"/>
      <c r="B379" s="13"/>
    </row>
    <row r="380" spans="1:2" x14ac:dyDescent="0.2">
      <c r="A380" s="12"/>
      <c r="B380" s="13"/>
    </row>
    <row r="381" spans="1:2" x14ac:dyDescent="0.2">
      <c r="A381" s="12"/>
      <c r="B381" s="13"/>
    </row>
    <row r="382" spans="1:2" x14ac:dyDescent="0.2">
      <c r="A382" s="12"/>
      <c r="B382" s="13"/>
    </row>
    <row r="383" spans="1:2" x14ac:dyDescent="0.2">
      <c r="A383" s="12"/>
      <c r="B383" s="13"/>
    </row>
    <row r="384" spans="1:2" x14ac:dyDescent="0.2">
      <c r="A384" s="12"/>
      <c r="B384" s="13"/>
    </row>
    <row r="385" spans="1:2" x14ac:dyDescent="0.2">
      <c r="A385" s="12"/>
      <c r="B385" s="13"/>
    </row>
    <row r="386" spans="1:2" x14ac:dyDescent="0.2">
      <c r="A386" s="12"/>
      <c r="B386" s="13"/>
    </row>
    <row r="387" spans="1:2" x14ac:dyDescent="0.2">
      <c r="A387" s="12"/>
      <c r="B387" s="13"/>
    </row>
    <row r="388" spans="1:2" x14ac:dyDescent="0.2">
      <c r="A388" s="12"/>
      <c r="B388" s="13"/>
    </row>
    <row r="389" spans="1:2" x14ac:dyDescent="0.2">
      <c r="A389" s="12"/>
      <c r="B389" s="13"/>
    </row>
    <row r="390" spans="1:2" x14ac:dyDescent="0.2">
      <c r="A390" s="12"/>
      <c r="B390" s="13"/>
    </row>
    <row r="391" spans="1:2" x14ac:dyDescent="0.2">
      <c r="A391" s="12"/>
      <c r="B391" s="13"/>
    </row>
    <row r="392" spans="1:2" x14ac:dyDescent="0.2">
      <c r="A392" s="12"/>
      <c r="B392" s="13"/>
    </row>
    <row r="393" spans="1:2" x14ac:dyDescent="0.2">
      <c r="A393" s="12"/>
      <c r="B393" s="13"/>
    </row>
    <row r="394" spans="1:2" x14ac:dyDescent="0.2">
      <c r="A394" s="12"/>
      <c r="B394" s="13"/>
    </row>
    <row r="395" spans="1:2" x14ac:dyDescent="0.2">
      <c r="A395" s="12"/>
      <c r="B395" s="13"/>
    </row>
    <row r="396" spans="1:2" x14ac:dyDescent="0.2">
      <c r="A396" s="12"/>
      <c r="B396" s="13"/>
    </row>
    <row r="397" spans="1:2" x14ac:dyDescent="0.2">
      <c r="A397" s="12"/>
      <c r="B397" s="13"/>
    </row>
    <row r="398" spans="1:2" x14ac:dyDescent="0.2">
      <c r="A398" s="12"/>
      <c r="B398" s="13"/>
    </row>
    <row r="399" spans="1:2" x14ac:dyDescent="0.2">
      <c r="A399" s="12"/>
      <c r="B399" s="13"/>
    </row>
    <row r="400" spans="1:2" x14ac:dyDescent="0.2">
      <c r="A400" s="12"/>
      <c r="B400" s="13"/>
    </row>
    <row r="401" spans="1:2" x14ac:dyDescent="0.2">
      <c r="A401" s="12"/>
      <c r="B401" s="13"/>
    </row>
    <row r="402" spans="1:2" x14ac:dyDescent="0.2">
      <c r="A402" s="12"/>
      <c r="B402" s="13"/>
    </row>
    <row r="403" spans="1:2" x14ac:dyDescent="0.2">
      <c r="A403" s="12"/>
      <c r="B403" s="13"/>
    </row>
    <row r="404" spans="1:2" x14ac:dyDescent="0.2">
      <c r="A404" s="12"/>
      <c r="B404" s="13"/>
    </row>
    <row r="405" spans="1:2" x14ac:dyDescent="0.2">
      <c r="A405" s="12"/>
      <c r="B405" s="13"/>
    </row>
    <row r="406" spans="1:2" x14ac:dyDescent="0.2">
      <c r="A406" s="12"/>
      <c r="B406" s="13"/>
    </row>
    <row r="407" spans="1:2" x14ac:dyDescent="0.2">
      <c r="A407" s="12"/>
      <c r="B407" s="13"/>
    </row>
    <row r="408" spans="1:2" x14ac:dyDescent="0.2">
      <c r="A408" s="12"/>
      <c r="B408" s="13"/>
    </row>
    <row r="409" spans="1:2" x14ac:dyDescent="0.2">
      <c r="A409" s="12"/>
      <c r="B409" s="13"/>
    </row>
    <row r="410" spans="1:2" x14ac:dyDescent="0.2">
      <c r="A410" s="12"/>
      <c r="B410" s="13"/>
    </row>
    <row r="411" spans="1:2" x14ac:dyDescent="0.2">
      <c r="A411" s="12"/>
      <c r="B411" s="13"/>
    </row>
    <row r="412" spans="1:2" x14ac:dyDescent="0.2">
      <c r="A412" s="12"/>
      <c r="B412" s="13"/>
    </row>
    <row r="413" spans="1:2" x14ac:dyDescent="0.2">
      <c r="A413" s="12"/>
      <c r="B413" s="13"/>
    </row>
    <row r="414" spans="1:2" x14ac:dyDescent="0.2">
      <c r="A414" s="12"/>
      <c r="B414" s="13"/>
    </row>
    <row r="415" spans="1:2" x14ac:dyDescent="0.2">
      <c r="A415" s="12"/>
      <c r="B415" s="13"/>
    </row>
    <row r="416" spans="1:2" x14ac:dyDescent="0.2">
      <c r="A416" s="12"/>
      <c r="B416" s="13"/>
    </row>
    <row r="417" spans="1:2" x14ac:dyDescent="0.2">
      <c r="A417" s="12"/>
      <c r="B417" s="13"/>
    </row>
    <row r="418" spans="1:2" x14ac:dyDescent="0.2">
      <c r="A418" s="12"/>
      <c r="B418" s="13"/>
    </row>
    <row r="419" spans="1:2" x14ac:dyDescent="0.2">
      <c r="A419" s="12"/>
      <c r="B419" s="13"/>
    </row>
    <row r="420" spans="1:2" x14ac:dyDescent="0.2">
      <c r="A420" s="12"/>
      <c r="B420" s="13"/>
    </row>
    <row r="421" spans="1:2" x14ac:dyDescent="0.2">
      <c r="A421" s="12"/>
      <c r="B421" s="13"/>
    </row>
    <row r="422" spans="1:2" x14ac:dyDescent="0.2">
      <c r="A422" s="12"/>
      <c r="B422" s="13"/>
    </row>
    <row r="423" spans="1:2" x14ac:dyDescent="0.2">
      <c r="A423" s="12"/>
      <c r="B423" s="13"/>
    </row>
    <row r="424" spans="1:2" x14ac:dyDescent="0.2">
      <c r="A424" s="12"/>
      <c r="B424" s="13"/>
    </row>
    <row r="425" spans="1:2" x14ac:dyDescent="0.2">
      <c r="A425" s="12"/>
      <c r="B425" s="13"/>
    </row>
    <row r="426" spans="1:2" x14ac:dyDescent="0.2">
      <c r="A426" s="12"/>
      <c r="B426" s="13"/>
    </row>
    <row r="427" spans="1:2" x14ac:dyDescent="0.2">
      <c r="A427" s="12"/>
      <c r="B427" s="13"/>
    </row>
    <row r="428" spans="1:2" x14ac:dyDescent="0.2">
      <c r="A428" s="12"/>
      <c r="B428" s="13"/>
    </row>
    <row r="429" spans="1:2" x14ac:dyDescent="0.2">
      <c r="A429" s="12"/>
      <c r="B429" s="13"/>
    </row>
    <row r="430" spans="1:2" x14ac:dyDescent="0.2">
      <c r="A430" s="12"/>
      <c r="B430" s="13"/>
    </row>
    <row r="431" spans="1:2" x14ac:dyDescent="0.2">
      <c r="A431" s="12"/>
      <c r="B431" s="13"/>
    </row>
    <row r="432" spans="1:2" x14ac:dyDescent="0.2">
      <c r="A432" s="12"/>
      <c r="B432" s="13"/>
    </row>
    <row r="433" spans="1:2" x14ac:dyDescent="0.2">
      <c r="A433" s="12"/>
      <c r="B433" s="13"/>
    </row>
    <row r="434" spans="1:2" x14ac:dyDescent="0.2">
      <c r="A434" s="12"/>
      <c r="B434" s="13"/>
    </row>
    <row r="435" spans="1:2" x14ac:dyDescent="0.2">
      <c r="A435" s="12"/>
      <c r="B435" s="13"/>
    </row>
    <row r="436" spans="1:2" x14ac:dyDescent="0.2">
      <c r="A436" s="12"/>
      <c r="B436" s="13"/>
    </row>
    <row r="437" spans="1:2" x14ac:dyDescent="0.2">
      <c r="A437" s="12"/>
      <c r="B437" s="13"/>
    </row>
    <row r="438" spans="1:2" x14ac:dyDescent="0.2">
      <c r="A438" s="12"/>
      <c r="B438" s="13"/>
    </row>
    <row r="439" spans="1:2" x14ac:dyDescent="0.2">
      <c r="A439" s="12"/>
      <c r="B439" s="13"/>
    </row>
    <row r="440" spans="1:2" x14ac:dyDescent="0.2">
      <c r="A440" s="12"/>
      <c r="B440" s="13"/>
    </row>
    <row r="441" spans="1:2" x14ac:dyDescent="0.2">
      <c r="A441" s="12"/>
      <c r="B441" s="13"/>
    </row>
    <row r="442" spans="1:2" x14ac:dyDescent="0.2">
      <c r="A442" s="12"/>
      <c r="B442" s="13"/>
    </row>
    <row r="443" spans="1:2" x14ac:dyDescent="0.2">
      <c r="A443" s="12"/>
      <c r="B443" s="13"/>
    </row>
    <row r="444" spans="1:2" x14ac:dyDescent="0.2">
      <c r="A444" s="12"/>
      <c r="B444" s="13"/>
    </row>
    <row r="445" spans="1:2" x14ac:dyDescent="0.2">
      <c r="A445" s="12"/>
      <c r="B445" s="13"/>
    </row>
    <row r="446" spans="1:2" x14ac:dyDescent="0.2">
      <c r="A446" s="12"/>
      <c r="B446" s="13"/>
    </row>
    <row r="447" spans="1:2" x14ac:dyDescent="0.2">
      <c r="A447" s="12"/>
      <c r="B447" s="13"/>
    </row>
    <row r="448" spans="1:2" x14ac:dyDescent="0.2">
      <c r="A448" s="12"/>
      <c r="B448" s="13"/>
    </row>
    <row r="449" spans="1:2" x14ac:dyDescent="0.2">
      <c r="A449" s="12"/>
      <c r="B449" s="13"/>
    </row>
    <row r="450" spans="1:2" x14ac:dyDescent="0.2">
      <c r="A450" s="12"/>
      <c r="B450" s="13"/>
    </row>
    <row r="451" spans="1:2" x14ac:dyDescent="0.2">
      <c r="A451" s="12"/>
      <c r="B451" s="13"/>
    </row>
    <row r="452" spans="1:2" x14ac:dyDescent="0.2">
      <c r="A452" s="12"/>
      <c r="B452" s="13"/>
    </row>
    <row r="453" spans="1:2" x14ac:dyDescent="0.2">
      <c r="A453" s="12"/>
      <c r="B453" s="13"/>
    </row>
    <row r="454" spans="1:2" x14ac:dyDescent="0.2">
      <c r="A454" s="12"/>
      <c r="B454" s="13"/>
    </row>
    <row r="455" spans="1:2" x14ac:dyDescent="0.2">
      <c r="A455" s="12"/>
      <c r="B455" s="13"/>
    </row>
    <row r="456" spans="1:2" x14ac:dyDescent="0.2">
      <c r="A456" s="12"/>
      <c r="B456" s="13"/>
    </row>
    <row r="457" spans="1:2" x14ac:dyDescent="0.2">
      <c r="A457" s="12"/>
      <c r="B457" s="13"/>
    </row>
    <row r="458" spans="1:2" x14ac:dyDescent="0.2">
      <c r="A458" s="12"/>
      <c r="B458" s="13"/>
    </row>
    <row r="459" spans="1:2" x14ac:dyDescent="0.2">
      <c r="A459" s="12"/>
      <c r="B459" s="13"/>
    </row>
    <row r="460" spans="1:2" x14ac:dyDescent="0.2">
      <c r="A460" s="12"/>
      <c r="B460" s="13"/>
    </row>
    <row r="461" spans="1:2" x14ac:dyDescent="0.2">
      <c r="A461" s="12"/>
      <c r="B461" s="13"/>
    </row>
    <row r="462" spans="1:2" x14ac:dyDescent="0.2">
      <c r="A462" s="12"/>
      <c r="B462" s="13"/>
    </row>
    <row r="463" spans="1:2" x14ac:dyDescent="0.2">
      <c r="A463" s="12"/>
      <c r="B463" s="13"/>
    </row>
    <row r="464" spans="1:2" x14ac:dyDescent="0.2">
      <c r="A464" s="12"/>
      <c r="B464" s="13"/>
    </row>
    <row r="465" spans="1:2" x14ac:dyDescent="0.2">
      <c r="A465" s="12"/>
      <c r="B465" s="13"/>
    </row>
    <row r="466" spans="1:2" x14ac:dyDescent="0.2">
      <c r="A466" s="12"/>
      <c r="B466" s="13"/>
    </row>
    <row r="467" spans="1:2" x14ac:dyDescent="0.2">
      <c r="A467" s="12"/>
      <c r="B467" s="13"/>
    </row>
    <row r="468" spans="1:2" x14ac:dyDescent="0.2">
      <c r="A468" s="12"/>
      <c r="B468" s="13"/>
    </row>
    <row r="469" spans="1:2" x14ac:dyDescent="0.2">
      <c r="A469" s="12"/>
      <c r="B469" s="13"/>
    </row>
    <row r="470" spans="1:2" x14ac:dyDescent="0.2">
      <c r="A470" s="12"/>
      <c r="B470" s="13"/>
    </row>
    <row r="471" spans="1:2" x14ac:dyDescent="0.2">
      <c r="A471" s="12"/>
      <c r="B471" s="13"/>
    </row>
    <row r="472" spans="1:2" x14ac:dyDescent="0.2">
      <c r="A472" s="12"/>
      <c r="B472" s="13"/>
    </row>
    <row r="473" spans="1:2" x14ac:dyDescent="0.2">
      <c r="A473" s="12"/>
      <c r="B473" s="13"/>
    </row>
    <row r="474" spans="1:2" x14ac:dyDescent="0.2">
      <c r="A474" s="12"/>
      <c r="B474" s="13"/>
    </row>
    <row r="475" spans="1:2" x14ac:dyDescent="0.2">
      <c r="A475" s="12"/>
      <c r="B475" s="13"/>
    </row>
    <row r="476" spans="1:2" x14ac:dyDescent="0.2">
      <c r="A476" s="12"/>
      <c r="B476" s="13"/>
    </row>
    <row r="477" spans="1:2" x14ac:dyDescent="0.2">
      <c r="A477" s="12"/>
      <c r="B477" s="13"/>
    </row>
    <row r="478" spans="1:2" x14ac:dyDescent="0.2">
      <c r="A478" s="12"/>
      <c r="B478" s="13"/>
    </row>
    <row r="479" spans="1:2" x14ac:dyDescent="0.2">
      <c r="A479" s="12"/>
      <c r="B479" s="13"/>
    </row>
    <row r="480" spans="1:2" x14ac:dyDescent="0.2">
      <c r="A480" s="12"/>
      <c r="B480" s="13"/>
    </row>
    <row r="481" spans="1:2" x14ac:dyDescent="0.2">
      <c r="A481" s="12"/>
      <c r="B481" s="13"/>
    </row>
    <row r="482" spans="1:2" x14ac:dyDescent="0.2">
      <c r="A482" s="12"/>
      <c r="B482" s="13"/>
    </row>
    <row r="483" spans="1:2" x14ac:dyDescent="0.2">
      <c r="A483" s="12"/>
      <c r="B483" s="13"/>
    </row>
    <row r="484" spans="1:2" x14ac:dyDescent="0.2">
      <c r="A484" s="12"/>
      <c r="B484" s="13"/>
    </row>
    <row r="485" spans="1:2" x14ac:dyDescent="0.2">
      <c r="A485" s="12"/>
      <c r="B485" s="13"/>
    </row>
    <row r="486" spans="1:2" x14ac:dyDescent="0.2">
      <c r="A486" s="12"/>
      <c r="B486" s="13"/>
    </row>
    <row r="487" spans="1:2" x14ac:dyDescent="0.2">
      <c r="A487" s="12"/>
      <c r="B487" s="13"/>
    </row>
    <row r="488" spans="1:2" x14ac:dyDescent="0.2">
      <c r="A488" s="12"/>
      <c r="B488" s="13"/>
    </row>
    <row r="489" spans="1:2" x14ac:dyDescent="0.2">
      <c r="A489" s="12"/>
      <c r="B489" s="13"/>
    </row>
    <row r="490" spans="1:2" x14ac:dyDescent="0.2">
      <c r="A490" s="12"/>
      <c r="B490" s="13"/>
    </row>
    <row r="491" spans="1:2" x14ac:dyDescent="0.2">
      <c r="A491" s="12"/>
      <c r="B491" s="13"/>
    </row>
    <row r="492" spans="1:2" x14ac:dyDescent="0.2">
      <c r="A492" s="12"/>
      <c r="B492" s="13"/>
    </row>
    <row r="493" spans="1:2" x14ac:dyDescent="0.2">
      <c r="A493" s="12"/>
      <c r="B493" s="13"/>
    </row>
    <row r="494" spans="1:2" x14ac:dyDescent="0.2">
      <c r="A494" s="12"/>
      <c r="B494" s="13"/>
    </row>
    <row r="495" spans="1:2" x14ac:dyDescent="0.2">
      <c r="A495" s="12"/>
      <c r="B495" s="13"/>
    </row>
    <row r="496" spans="1:2" x14ac:dyDescent="0.2">
      <c r="A496" s="12"/>
      <c r="B496" s="13"/>
    </row>
    <row r="497" spans="1:2" x14ac:dyDescent="0.2">
      <c r="A497" s="12"/>
      <c r="B497" s="13"/>
    </row>
    <row r="498" spans="1:2" x14ac:dyDescent="0.2">
      <c r="A498" s="12"/>
      <c r="B498" s="13"/>
    </row>
    <row r="499" spans="1:2" x14ac:dyDescent="0.2">
      <c r="A499" s="12"/>
      <c r="B499" s="13"/>
    </row>
    <row r="500" spans="1:2" x14ac:dyDescent="0.2">
      <c r="A500" s="12"/>
      <c r="B500" s="13"/>
    </row>
    <row r="501" spans="1:2" x14ac:dyDescent="0.2">
      <c r="A501" s="12"/>
      <c r="B501" s="13"/>
    </row>
    <row r="502" spans="1:2" x14ac:dyDescent="0.2">
      <c r="A502" s="12"/>
      <c r="B502" s="13"/>
    </row>
    <row r="503" spans="1:2" x14ac:dyDescent="0.2">
      <c r="A503" s="12"/>
      <c r="B503" s="13"/>
    </row>
    <row r="504" spans="1:2" x14ac:dyDescent="0.2">
      <c r="A504" s="12"/>
      <c r="B504" s="13"/>
    </row>
    <row r="505" spans="1:2" x14ac:dyDescent="0.2">
      <c r="A505" s="12"/>
      <c r="B505" s="13"/>
    </row>
    <row r="506" spans="1:2" x14ac:dyDescent="0.2">
      <c r="A506" s="12"/>
      <c r="B506" s="13"/>
    </row>
    <row r="507" spans="1:2" x14ac:dyDescent="0.2">
      <c r="A507" s="12"/>
      <c r="B507" s="13"/>
    </row>
    <row r="508" spans="1:2" x14ac:dyDescent="0.2">
      <c r="A508" s="12"/>
      <c r="B508" s="13"/>
    </row>
    <row r="509" spans="1:2" x14ac:dyDescent="0.2">
      <c r="A509" s="12"/>
      <c r="B509" s="13"/>
    </row>
    <row r="510" spans="1:2" x14ac:dyDescent="0.2">
      <c r="A510" s="12"/>
      <c r="B510" s="13"/>
    </row>
    <row r="511" spans="1:2" x14ac:dyDescent="0.2">
      <c r="A511" s="12"/>
      <c r="B511" s="13"/>
    </row>
    <row r="512" spans="1:2" x14ac:dyDescent="0.2">
      <c r="A512" s="12"/>
      <c r="B512" s="13"/>
    </row>
    <row r="513" spans="1:2" x14ac:dyDescent="0.2">
      <c r="A513" s="12"/>
      <c r="B513" s="13"/>
    </row>
    <row r="514" spans="1:2" x14ac:dyDescent="0.2">
      <c r="A514" s="12"/>
      <c r="B514" s="13"/>
    </row>
    <row r="515" spans="1:2" x14ac:dyDescent="0.2">
      <c r="A515" s="12"/>
      <c r="B515" s="13"/>
    </row>
    <row r="516" spans="1:2" x14ac:dyDescent="0.2">
      <c r="A516" s="12"/>
      <c r="B516" s="13"/>
    </row>
    <row r="517" spans="1:2" x14ac:dyDescent="0.2">
      <c r="A517" s="12"/>
      <c r="B517" s="13"/>
    </row>
    <row r="518" spans="1:2" x14ac:dyDescent="0.2">
      <c r="A518" s="12"/>
      <c r="B518" s="13"/>
    </row>
    <row r="519" spans="1:2" x14ac:dyDescent="0.2">
      <c r="A519" s="12"/>
      <c r="B519" s="13"/>
    </row>
    <row r="520" spans="1:2" x14ac:dyDescent="0.2">
      <c r="A520" s="12"/>
      <c r="B520" s="13"/>
    </row>
    <row r="521" spans="1:2" x14ac:dyDescent="0.2">
      <c r="A521" s="12"/>
      <c r="B521" s="13"/>
    </row>
    <row r="522" spans="1:2" x14ac:dyDescent="0.2">
      <c r="A522" s="12"/>
      <c r="B522" s="13"/>
    </row>
    <row r="523" spans="1:2" x14ac:dyDescent="0.2">
      <c r="A523" s="12"/>
      <c r="B523" s="13"/>
    </row>
    <row r="524" spans="1:2" x14ac:dyDescent="0.2">
      <c r="A524" s="12"/>
      <c r="B524" s="13"/>
    </row>
    <row r="525" spans="1:2" x14ac:dyDescent="0.2">
      <c r="A525" s="12"/>
      <c r="B525" s="13"/>
    </row>
    <row r="526" spans="1:2" x14ac:dyDescent="0.2">
      <c r="A526" s="12"/>
      <c r="B526" s="13"/>
    </row>
    <row r="527" spans="1:2" x14ac:dyDescent="0.2">
      <c r="A527" s="12"/>
      <c r="B527" s="13"/>
    </row>
    <row r="528" spans="1:2" x14ac:dyDescent="0.2">
      <c r="A528" s="12"/>
      <c r="B528" s="13"/>
    </row>
    <row r="529" spans="1:2" x14ac:dyDescent="0.2">
      <c r="A529" s="12"/>
      <c r="B529" s="13"/>
    </row>
    <row r="530" spans="1:2" x14ac:dyDescent="0.2">
      <c r="A530" s="12"/>
      <c r="B530" s="13"/>
    </row>
    <row r="531" spans="1:2" x14ac:dyDescent="0.2">
      <c r="A531" s="12"/>
      <c r="B531" s="13"/>
    </row>
    <row r="532" spans="1:2" x14ac:dyDescent="0.2">
      <c r="A532" s="12"/>
      <c r="B532" s="13"/>
    </row>
    <row r="533" spans="1:2" x14ac:dyDescent="0.2">
      <c r="A533" s="12"/>
      <c r="B533" s="13"/>
    </row>
    <row r="534" spans="1:2" x14ac:dyDescent="0.2">
      <c r="A534" s="12"/>
      <c r="B534" s="13"/>
    </row>
    <row r="535" spans="1:2" x14ac:dyDescent="0.2">
      <c r="A535" s="12"/>
      <c r="B535" s="13"/>
    </row>
    <row r="536" spans="1:2" x14ac:dyDescent="0.2">
      <c r="A536" s="12"/>
      <c r="B536" s="13"/>
    </row>
    <row r="537" spans="1:2" x14ac:dyDescent="0.2">
      <c r="A537" s="12"/>
      <c r="B537" s="13"/>
    </row>
    <row r="538" spans="1:2" x14ac:dyDescent="0.2">
      <c r="A538" s="12"/>
      <c r="B538" s="13"/>
    </row>
    <row r="539" spans="1:2" x14ac:dyDescent="0.2">
      <c r="A539" s="12"/>
      <c r="B539" s="13"/>
    </row>
    <row r="540" spans="1:2" x14ac:dyDescent="0.2">
      <c r="A540" s="12"/>
      <c r="B540" s="13"/>
    </row>
    <row r="541" spans="1:2" x14ac:dyDescent="0.2">
      <c r="A541" s="12"/>
      <c r="B541" s="13"/>
    </row>
    <row r="542" spans="1:2" x14ac:dyDescent="0.2">
      <c r="A542" s="12"/>
      <c r="B542" s="13"/>
    </row>
    <row r="543" spans="1:2" x14ac:dyDescent="0.2">
      <c r="A543" s="12"/>
      <c r="B543" s="13"/>
    </row>
    <row r="544" spans="1:2" x14ac:dyDescent="0.2">
      <c r="A544" s="12"/>
      <c r="B544" s="13"/>
    </row>
    <row r="545" spans="1:2" x14ac:dyDescent="0.2">
      <c r="A545" s="12"/>
      <c r="B545" s="13"/>
    </row>
    <row r="546" spans="1:2" x14ac:dyDescent="0.2">
      <c r="A546" s="12"/>
      <c r="B546" s="13"/>
    </row>
    <row r="547" spans="1:2" x14ac:dyDescent="0.2">
      <c r="A547" s="12"/>
      <c r="B547" s="13"/>
    </row>
    <row r="548" spans="1:2" x14ac:dyDescent="0.2">
      <c r="A548" s="12"/>
      <c r="B548" s="13"/>
    </row>
    <row r="549" spans="1:2" x14ac:dyDescent="0.2">
      <c r="A549" s="12"/>
      <c r="B549" s="13"/>
    </row>
    <row r="550" spans="1:2" x14ac:dyDescent="0.2">
      <c r="A550" s="12"/>
      <c r="B550" s="13"/>
    </row>
    <row r="551" spans="1:2" x14ac:dyDescent="0.2">
      <c r="A551" s="12"/>
      <c r="B551" s="13"/>
    </row>
    <row r="552" spans="1:2" x14ac:dyDescent="0.2">
      <c r="A552" s="12"/>
      <c r="B552" s="13"/>
    </row>
    <row r="553" spans="1:2" x14ac:dyDescent="0.2">
      <c r="A553" s="12"/>
      <c r="B553" s="13"/>
    </row>
    <row r="554" spans="1:2" x14ac:dyDescent="0.2">
      <c r="A554" s="12"/>
      <c r="B554" s="13"/>
    </row>
    <row r="555" spans="1:2" x14ac:dyDescent="0.2">
      <c r="A555" s="12"/>
      <c r="B555" s="13"/>
    </row>
    <row r="556" spans="1:2" x14ac:dyDescent="0.2">
      <c r="A556" s="12"/>
      <c r="B556" s="13"/>
    </row>
    <row r="557" spans="1:2" x14ac:dyDescent="0.2">
      <c r="A557" s="12"/>
      <c r="B557" s="13"/>
    </row>
    <row r="558" spans="1:2" x14ac:dyDescent="0.2">
      <c r="A558" s="12"/>
      <c r="B558" s="13"/>
    </row>
    <row r="559" spans="1:2" x14ac:dyDescent="0.2">
      <c r="A559" s="12"/>
      <c r="B559" s="13"/>
    </row>
    <row r="560" spans="1:2" x14ac:dyDescent="0.2">
      <c r="A560" s="12"/>
      <c r="B560" s="13"/>
    </row>
    <row r="561" spans="1:2" x14ac:dyDescent="0.2">
      <c r="A561" s="12"/>
      <c r="B561" s="13"/>
    </row>
    <row r="562" spans="1:2" x14ac:dyDescent="0.2">
      <c r="A562" s="12"/>
      <c r="B562" s="13"/>
    </row>
    <row r="563" spans="1:2" x14ac:dyDescent="0.2">
      <c r="A563" s="12"/>
      <c r="B563" s="13"/>
    </row>
    <row r="564" spans="1:2" x14ac:dyDescent="0.2">
      <c r="A564" s="12"/>
      <c r="B564" s="13"/>
    </row>
    <row r="565" spans="1:2" x14ac:dyDescent="0.2">
      <c r="A565" s="12"/>
      <c r="B565" s="13"/>
    </row>
    <row r="566" spans="1:2" x14ac:dyDescent="0.2">
      <c r="A566" s="12"/>
      <c r="B566" s="13"/>
    </row>
    <row r="567" spans="1:2" x14ac:dyDescent="0.2">
      <c r="A567" s="12"/>
      <c r="B567" s="13"/>
    </row>
    <row r="568" spans="1:2" x14ac:dyDescent="0.2">
      <c r="A568" s="12"/>
      <c r="B568" s="13"/>
    </row>
    <row r="569" spans="1:2" x14ac:dyDescent="0.2">
      <c r="A569" s="12"/>
      <c r="B569" s="13"/>
    </row>
    <row r="570" spans="1:2" x14ac:dyDescent="0.2">
      <c r="A570" s="12"/>
      <c r="B570" s="13"/>
    </row>
    <row r="571" spans="1:2" x14ac:dyDescent="0.2">
      <c r="A571" s="12"/>
      <c r="B571" s="13"/>
    </row>
    <row r="572" spans="1:2" x14ac:dyDescent="0.2">
      <c r="A572" s="12"/>
      <c r="B572" s="13"/>
    </row>
    <row r="573" spans="1:2" x14ac:dyDescent="0.2">
      <c r="A573" s="12"/>
      <c r="B573" s="13"/>
    </row>
    <row r="574" spans="1:2" x14ac:dyDescent="0.2">
      <c r="A574" s="12"/>
      <c r="B574" s="13"/>
    </row>
    <row r="575" spans="1:2" x14ac:dyDescent="0.2">
      <c r="A575" s="12"/>
      <c r="B575" s="13"/>
    </row>
    <row r="576" spans="1:2" x14ac:dyDescent="0.2">
      <c r="A576" s="12"/>
      <c r="B576" s="13"/>
    </row>
    <row r="577" spans="1:2" x14ac:dyDescent="0.2">
      <c r="A577" s="12"/>
      <c r="B577" s="13"/>
    </row>
    <row r="578" spans="1:2" x14ac:dyDescent="0.2">
      <c r="A578" s="12"/>
      <c r="B578" s="13"/>
    </row>
    <row r="579" spans="1:2" x14ac:dyDescent="0.2">
      <c r="A579" s="12"/>
      <c r="B579" s="13"/>
    </row>
    <row r="580" spans="1:2" x14ac:dyDescent="0.2">
      <c r="A580" s="12"/>
      <c r="B580" s="13"/>
    </row>
    <row r="581" spans="1:2" x14ac:dyDescent="0.2">
      <c r="A581" s="12"/>
      <c r="B581" s="13"/>
    </row>
    <row r="582" spans="1:2" x14ac:dyDescent="0.2">
      <c r="A582" s="12"/>
      <c r="B582" s="13"/>
    </row>
    <row r="583" spans="1:2" x14ac:dyDescent="0.2">
      <c r="A583" s="12"/>
      <c r="B583" s="13"/>
    </row>
    <row r="584" spans="1:2" x14ac:dyDescent="0.2">
      <c r="A584" s="12"/>
      <c r="B584" s="13"/>
    </row>
    <row r="585" spans="1:2" x14ac:dyDescent="0.2">
      <c r="A585" s="12"/>
      <c r="B585" s="13"/>
    </row>
    <row r="586" spans="1:2" x14ac:dyDescent="0.2">
      <c r="A586" s="12"/>
      <c r="B586" s="13"/>
    </row>
    <row r="587" spans="1:2" x14ac:dyDescent="0.2">
      <c r="A587" s="12"/>
      <c r="B587" s="13"/>
    </row>
    <row r="588" spans="1:2" x14ac:dyDescent="0.2">
      <c r="A588" s="12"/>
      <c r="B588" s="13"/>
    </row>
    <row r="589" spans="1:2" x14ac:dyDescent="0.2">
      <c r="A589" s="12"/>
      <c r="B589" s="13"/>
    </row>
    <row r="590" spans="1:2" x14ac:dyDescent="0.2">
      <c r="A590" s="12"/>
      <c r="B590" s="13"/>
    </row>
    <row r="591" spans="1:2" x14ac:dyDescent="0.2">
      <c r="A591" s="12"/>
      <c r="B591" s="13"/>
    </row>
    <row r="592" spans="1:2" x14ac:dyDescent="0.2">
      <c r="A592" s="12"/>
      <c r="B592" s="13"/>
    </row>
    <row r="593" spans="1:2" x14ac:dyDescent="0.2">
      <c r="A593" s="12"/>
      <c r="B593" s="13"/>
    </row>
    <row r="594" spans="1:2" x14ac:dyDescent="0.2">
      <c r="A594" s="12"/>
      <c r="B594" s="13"/>
    </row>
    <row r="595" spans="1:2" x14ac:dyDescent="0.2">
      <c r="A595" s="12"/>
      <c r="B595" s="13"/>
    </row>
    <row r="596" spans="1:2" x14ac:dyDescent="0.2">
      <c r="A596" s="12"/>
      <c r="B596" s="13"/>
    </row>
    <row r="597" spans="1:2" x14ac:dyDescent="0.2">
      <c r="A597" s="12"/>
      <c r="B597" s="13"/>
    </row>
    <row r="598" spans="1:2" x14ac:dyDescent="0.2">
      <c r="A598" s="12"/>
      <c r="B598" s="13"/>
    </row>
    <row r="599" spans="1:2" x14ac:dyDescent="0.2">
      <c r="A599" s="12"/>
      <c r="B599" s="13"/>
    </row>
    <row r="600" spans="1:2" x14ac:dyDescent="0.2">
      <c r="A600" s="12"/>
      <c r="B600" s="13"/>
    </row>
    <row r="601" spans="1:2" x14ac:dyDescent="0.2">
      <c r="A601" s="12"/>
      <c r="B601" s="13"/>
    </row>
    <row r="602" spans="1:2" x14ac:dyDescent="0.2">
      <c r="A602" s="12"/>
      <c r="B602" s="13"/>
    </row>
    <row r="603" spans="1:2" x14ac:dyDescent="0.2">
      <c r="A603" s="12"/>
      <c r="B603" s="13"/>
    </row>
    <row r="604" spans="1:2" x14ac:dyDescent="0.2">
      <c r="A604" s="12"/>
      <c r="B604" s="13"/>
    </row>
    <row r="605" spans="1:2" x14ac:dyDescent="0.2">
      <c r="A605" s="12"/>
      <c r="B605" s="13"/>
    </row>
    <row r="606" spans="1:2" x14ac:dyDescent="0.2">
      <c r="A606" s="12"/>
      <c r="B606" s="13"/>
    </row>
    <row r="607" spans="1:2" x14ac:dyDescent="0.2">
      <c r="A607" s="12"/>
      <c r="B607" s="13"/>
    </row>
    <row r="608" spans="1:2" x14ac:dyDescent="0.2">
      <c r="A608" s="12"/>
      <c r="B608" s="13"/>
    </row>
    <row r="609" spans="1:2" x14ac:dyDescent="0.2">
      <c r="A609" s="12"/>
      <c r="B609" s="13"/>
    </row>
    <row r="610" spans="1:2" x14ac:dyDescent="0.2">
      <c r="A610" s="12"/>
      <c r="B610" s="13"/>
    </row>
    <row r="611" spans="1:2" x14ac:dyDescent="0.2">
      <c r="A611" s="12"/>
      <c r="B611" s="13"/>
    </row>
    <row r="612" spans="1:2" x14ac:dyDescent="0.2">
      <c r="A612" s="12"/>
      <c r="B612" s="13"/>
    </row>
    <row r="613" spans="1:2" x14ac:dyDescent="0.2">
      <c r="A613" s="12"/>
      <c r="B613" s="13"/>
    </row>
    <row r="614" spans="1:2" x14ac:dyDescent="0.2">
      <c r="A614" s="12"/>
      <c r="B614" s="13"/>
    </row>
    <row r="615" spans="1:2" x14ac:dyDescent="0.2">
      <c r="A615" s="12"/>
      <c r="B615" s="13"/>
    </row>
    <row r="616" spans="1:2" x14ac:dyDescent="0.2">
      <c r="A616" s="12"/>
      <c r="B616" s="13"/>
    </row>
    <row r="617" spans="1:2" x14ac:dyDescent="0.2">
      <c r="A617" s="12"/>
      <c r="B617" s="13"/>
    </row>
    <row r="618" spans="1:2" x14ac:dyDescent="0.2">
      <c r="A618" s="12"/>
      <c r="B618" s="13"/>
    </row>
    <row r="619" spans="1:2" x14ac:dyDescent="0.2">
      <c r="A619" s="12"/>
      <c r="B619" s="13"/>
    </row>
    <row r="620" spans="1:2" x14ac:dyDescent="0.2">
      <c r="A620" s="12"/>
      <c r="B620" s="13"/>
    </row>
    <row r="621" spans="1:2" x14ac:dyDescent="0.2">
      <c r="A621" s="12"/>
      <c r="B621" s="13"/>
    </row>
    <row r="622" spans="1:2" x14ac:dyDescent="0.2">
      <c r="A622" s="12"/>
      <c r="B622" s="13"/>
    </row>
    <row r="623" spans="1:2" x14ac:dyDescent="0.2">
      <c r="A623" s="12"/>
      <c r="B623" s="13"/>
    </row>
    <row r="624" spans="1:2" x14ac:dyDescent="0.2">
      <c r="A624" s="12"/>
      <c r="B624" s="13"/>
    </row>
    <row r="625" spans="1:2" x14ac:dyDescent="0.2">
      <c r="A625" s="12"/>
      <c r="B625" s="13"/>
    </row>
    <row r="626" spans="1:2" x14ac:dyDescent="0.2">
      <c r="A626" s="12"/>
      <c r="B626" s="13"/>
    </row>
    <row r="627" spans="1:2" x14ac:dyDescent="0.2">
      <c r="A627" s="12"/>
      <c r="B627" s="13"/>
    </row>
    <row r="628" spans="1:2" x14ac:dyDescent="0.2">
      <c r="A628" s="12"/>
      <c r="B628" s="13"/>
    </row>
    <row r="629" spans="1:2" x14ac:dyDescent="0.2">
      <c r="A629" s="12"/>
      <c r="B629" s="13"/>
    </row>
    <row r="630" spans="1:2" x14ac:dyDescent="0.2">
      <c r="A630" s="12"/>
      <c r="B630" s="13"/>
    </row>
    <row r="631" spans="1:2" x14ac:dyDescent="0.2">
      <c r="A631" s="12"/>
      <c r="B631" s="13"/>
    </row>
    <row r="632" spans="1:2" x14ac:dyDescent="0.2">
      <c r="A632" s="12"/>
      <c r="B632" s="13"/>
    </row>
    <row r="633" spans="1:2" x14ac:dyDescent="0.2">
      <c r="A633" s="12"/>
      <c r="B633" s="13"/>
    </row>
    <row r="634" spans="1:2" x14ac:dyDescent="0.2">
      <c r="A634" s="12"/>
      <c r="B634" s="13"/>
    </row>
    <row r="635" spans="1:2" x14ac:dyDescent="0.2">
      <c r="A635" s="12"/>
      <c r="B635" s="13"/>
    </row>
    <row r="636" spans="1:2" x14ac:dyDescent="0.2">
      <c r="A636" s="12"/>
      <c r="B636" s="13"/>
    </row>
    <row r="637" spans="1:2" x14ac:dyDescent="0.2">
      <c r="A637" s="12"/>
      <c r="B637" s="13"/>
    </row>
    <row r="638" spans="1:2" x14ac:dyDescent="0.2">
      <c r="A638" s="12"/>
      <c r="B638" s="13"/>
    </row>
    <row r="639" spans="1:2" x14ac:dyDescent="0.2">
      <c r="A639" s="12"/>
      <c r="B639" s="13"/>
    </row>
    <row r="640" spans="1:2" x14ac:dyDescent="0.2">
      <c r="A640" s="12"/>
      <c r="B640" s="13"/>
    </row>
    <row r="641" spans="1:2" x14ac:dyDescent="0.2">
      <c r="A641" s="12"/>
      <c r="B641" s="13"/>
    </row>
    <row r="642" spans="1:2" x14ac:dyDescent="0.2">
      <c r="A642" s="12"/>
      <c r="B642" s="13"/>
    </row>
    <row r="643" spans="1:2" x14ac:dyDescent="0.2">
      <c r="A643" s="12"/>
      <c r="B643" s="13"/>
    </row>
    <row r="644" spans="1:2" x14ac:dyDescent="0.2">
      <c r="A644" s="12"/>
      <c r="B644" s="13"/>
    </row>
    <row r="645" spans="1:2" x14ac:dyDescent="0.2">
      <c r="A645" s="12"/>
      <c r="B645" s="13"/>
    </row>
    <row r="646" spans="1:2" x14ac:dyDescent="0.2">
      <c r="A646" s="12"/>
      <c r="B646" s="13"/>
    </row>
    <row r="647" spans="1:2" x14ac:dyDescent="0.2">
      <c r="A647" s="12"/>
      <c r="B647" s="13"/>
    </row>
    <row r="648" spans="1:2" x14ac:dyDescent="0.2">
      <c r="A648" s="12"/>
      <c r="B648" s="13"/>
    </row>
    <row r="649" spans="1:2" x14ac:dyDescent="0.2">
      <c r="A649" s="12"/>
      <c r="B649" s="13"/>
    </row>
    <row r="650" spans="1:2" x14ac:dyDescent="0.2">
      <c r="A650" s="12"/>
      <c r="B650" s="13"/>
    </row>
    <row r="651" spans="1:2" x14ac:dyDescent="0.2">
      <c r="A651" s="12"/>
      <c r="B651" s="13"/>
    </row>
    <row r="652" spans="1:2" x14ac:dyDescent="0.2">
      <c r="A652" s="12"/>
      <c r="B652" s="13"/>
    </row>
    <row r="653" spans="1:2" x14ac:dyDescent="0.2">
      <c r="A653" s="12"/>
      <c r="B653" s="13"/>
    </row>
    <row r="654" spans="1:2" x14ac:dyDescent="0.2">
      <c r="A654" s="12"/>
      <c r="B654" s="13"/>
    </row>
    <row r="655" spans="1:2" x14ac:dyDescent="0.2">
      <c r="A655" s="12"/>
      <c r="B655" s="13"/>
    </row>
    <row r="656" spans="1:2" x14ac:dyDescent="0.2">
      <c r="A656" s="12"/>
      <c r="B656" s="13"/>
    </row>
    <row r="657" spans="1:2" x14ac:dyDescent="0.2">
      <c r="A657" s="12"/>
      <c r="B657" s="13"/>
    </row>
    <row r="658" spans="1:2" x14ac:dyDescent="0.2">
      <c r="A658" s="12"/>
      <c r="B658" s="13"/>
    </row>
    <row r="659" spans="1:2" x14ac:dyDescent="0.2">
      <c r="A659" s="12"/>
      <c r="B659" s="13"/>
    </row>
    <row r="660" spans="1:2" x14ac:dyDescent="0.2">
      <c r="A660" s="12"/>
      <c r="B660" s="13"/>
    </row>
    <row r="661" spans="1:2" x14ac:dyDescent="0.2">
      <c r="A661" s="12"/>
      <c r="B661" s="13"/>
    </row>
    <row r="662" spans="1:2" x14ac:dyDescent="0.2">
      <c r="A662" s="12"/>
      <c r="B662" s="13"/>
    </row>
    <row r="663" spans="1:2" x14ac:dyDescent="0.2">
      <c r="A663" s="12"/>
      <c r="B663" s="13"/>
    </row>
    <row r="664" spans="1:2" x14ac:dyDescent="0.2">
      <c r="A664" s="12"/>
      <c r="B664" s="13"/>
    </row>
    <row r="665" spans="1:2" x14ac:dyDescent="0.2">
      <c r="A665" s="12"/>
      <c r="B665" s="13"/>
    </row>
    <row r="666" spans="1:2" x14ac:dyDescent="0.2">
      <c r="A666" s="12"/>
      <c r="B666" s="13"/>
    </row>
    <row r="667" spans="1:2" x14ac:dyDescent="0.2">
      <c r="A667" s="12"/>
      <c r="B667" s="13"/>
    </row>
    <row r="668" spans="1:2" x14ac:dyDescent="0.2">
      <c r="A668" s="12"/>
      <c r="B668" s="13"/>
    </row>
    <row r="669" spans="1:2" x14ac:dyDescent="0.2">
      <c r="A669" s="12"/>
      <c r="B669" s="13"/>
    </row>
    <row r="670" spans="1:2" x14ac:dyDescent="0.2">
      <c r="A670" s="12"/>
      <c r="B670" s="13"/>
    </row>
    <row r="671" spans="1:2" x14ac:dyDescent="0.2">
      <c r="A671" s="12"/>
      <c r="B671" s="13"/>
    </row>
    <row r="672" spans="1:2" x14ac:dyDescent="0.2">
      <c r="A672" s="12"/>
      <c r="B672" s="13"/>
    </row>
    <row r="673" spans="1:2" x14ac:dyDescent="0.2">
      <c r="A673" s="12"/>
      <c r="B673" s="13"/>
    </row>
    <row r="674" spans="1:2" x14ac:dyDescent="0.2">
      <c r="A674" s="12"/>
      <c r="B674" s="13"/>
    </row>
    <row r="675" spans="1:2" x14ac:dyDescent="0.2">
      <c r="A675" s="12"/>
      <c r="B675" s="13"/>
    </row>
    <row r="676" spans="1:2" x14ac:dyDescent="0.2">
      <c r="A676" s="12"/>
      <c r="B676" s="13"/>
    </row>
    <row r="677" spans="1:2" x14ac:dyDescent="0.2">
      <c r="A677" s="12"/>
      <c r="B677" s="13"/>
    </row>
    <row r="678" spans="1:2" x14ac:dyDescent="0.2">
      <c r="A678" s="12"/>
      <c r="B678" s="13"/>
    </row>
    <row r="679" spans="1:2" x14ac:dyDescent="0.2">
      <c r="A679" s="12"/>
      <c r="B679" s="13"/>
    </row>
    <row r="680" spans="1:2" x14ac:dyDescent="0.2">
      <c r="A680" s="12"/>
      <c r="B680" s="13"/>
    </row>
    <row r="681" spans="1:2" x14ac:dyDescent="0.2">
      <c r="A681" s="12"/>
      <c r="B681" s="13"/>
    </row>
    <row r="682" spans="1:2" x14ac:dyDescent="0.2">
      <c r="A682" s="12"/>
      <c r="B682" s="13"/>
    </row>
    <row r="683" spans="1:2" x14ac:dyDescent="0.2">
      <c r="A683" s="12"/>
      <c r="B683" s="13"/>
    </row>
    <row r="684" spans="1:2" x14ac:dyDescent="0.2">
      <c r="A684" s="12"/>
      <c r="B684" s="13"/>
    </row>
    <row r="685" spans="1:2" x14ac:dyDescent="0.2">
      <c r="A685" s="12"/>
      <c r="B685" s="13"/>
    </row>
    <row r="686" spans="1:2" x14ac:dyDescent="0.2">
      <c r="A686" s="12"/>
      <c r="B686" s="13"/>
    </row>
    <row r="687" spans="1:2" x14ac:dyDescent="0.2">
      <c r="A687" s="12"/>
      <c r="B687" s="13"/>
    </row>
    <row r="688" spans="1:2" x14ac:dyDescent="0.2">
      <c r="A688" s="12"/>
      <c r="B688" s="13"/>
    </row>
    <row r="689" spans="1:2" x14ac:dyDescent="0.2">
      <c r="A689" s="12"/>
      <c r="B689" s="13"/>
    </row>
    <row r="690" spans="1:2" x14ac:dyDescent="0.2">
      <c r="A690" s="12"/>
      <c r="B690" s="13"/>
    </row>
    <row r="691" spans="1:2" x14ac:dyDescent="0.2">
      <c r="A691" s="12"/>
      <c r="B691" s="13"/>
    </row>
    <row r="692" spans="1:2" x14ac:dyDescent="0.2">
      <c r="A692" s="12"/>
      <c r="B692" s="13"/>
    </row>
    <row r="693" spans="1:2" x14ac:dyDescent="0.2">
      <c r="A693" s="12"/>
      <c r="B693" s="13"/>
    </row>
    <row r="694" spans="1:2" x14ac:dyDescent="0.2">
      <c r="A694" s="12"/>
      <c r="B694" s="13"/>
    </row>
    <row r="695" spans="1:2" x14ac:dyDescent="0.2">
      <c r="A695" s="12"/>
      <c r="B695" s="13"/>
    </row>
    <row r="696" spans="1:2" x14ac:dyDescent="0.2">
      <c r="A696" s="12"/>
      <c r="B696" s="13"/>
    </row>
    <row r="697" spans="1:2" x14ac:dyDescent="0.2">
      <c r="A697" s="12"/>
      <c r="B697" s="13"/>
    </row>
    <row r="698" spans="1:2" x14ac:dyDescent="0.2">
      <c r="A698" s="12"/>
      <c r="B698" s="13"/>
    </row>
    <row r="699" spans="1:2" x14ac:dyDescent="0.2">
      <c r="A699" s="12"/>
      <c r="B699" s="13"/>
    </row>
    <row r="700" spans="1:2" x14ac:dyDescent="0.2">
      <c r="A700" s="12"/>
      <c r="B700" s="13"/>
    </row>
    <row r="701" spans="1:2" x14ac:dyDescent="0.2">
      <c r="A701" s="12"/>
      <c r="B701" s="13"/>
    </row>
    <row r="702" spans="1:2" x14ac:dyDescent="0.2">
      <c r="A702" s="12"/>
      <c r="B702" s="13"/>
    </row>
    <row r="703" spans="1:2" x14ac:dyDescent="0.2">
      <c r="A703" s="12"/>
      <c r="B703" s="13"/>
    </row>
    <row r="704" spans="1:2" x14ac:dyDescent="0.2">
      <c r="A704" s="12"/>
      <c r="B704" s="13"/>
    </row>
    <row r="705" spans="1:2" x14ac:dyDescent="0.2">
      <c r="A705" s="12"/>
      <c r="B705" s="13"/>
    </row>
    <row r="706" spans="1:2" x14ac:dyDescent="0.2">
      <c r="A706" s="12"/>
      <c r="B706" s="13"/>
    </row>
    <row r="707" spans="1:2" x14ac:dyDescent="0.2">
      <c r="A707" s="12"/>
      <c r="B707" s="13"/>
    </row>
    <row r="708" spans="1:2" x14ac:dyDescent="0.2">
      <c r="A708" s="12"/>
      <c r="B708" s="13"/>
    </row>
    <row r="709" spans="1:2" x14ac:dyDescent="0.2">
      <c r="A709" s="12"/>
      <c r="B709" s="13"/>
    </row>
    <row r="710" spans="1:2" x14ac:dyDescent="0.2">
      <c r="A710" s="12"/>
      <c r="B710" s="13"/>
    </row>
    <row r="711" spans="1:2" x14ac:dyDescent="0.2">
      <c r="A711" s="12"/>
      <c r="B711" s="13"/>
    </row>
    <row r="712" spans="1:2" x14ac:dyDescent="0.2">
      <c r="A712" s="12"/>
      <c r="B712" s="13"/>
    </row>
    <row r="713" spans="1:2" x14ac:dyDescent="0.2">
      <c r="A713" s="12"/>
      <c r="B713" s="13"/>
    </row>
    <row r="714" spans="1:2" x14ac:dyDescent="0.2">
      <c r="A714" s="12"/>
      <c r="B714" s="13"/>
    </row>
    <row r="715" spans="1:2" x14ac:dyDescent="0.2">
      <c r="A715" s="12"/>
      <c r="B715" s="13"/>
    </row>
    <row r="716" spans="1:2" x14ac:dyDescent="0.2">
      <c r="A716" s="12"/>
      <c r="B716" s="13"/>
    </row>
    <row r="717" spans="1:2" x14ac:dyDescent="0.2">
      <c r="A717" s="12"/>
      <c r="B717" s="13"/>
    </row>
    <row r="718" spans="1:2" x14ac:dyDescent="0.2">
      <c r="A718" s="12"/>
      <c r="B718" s="13"/>
    </row>
    <row r="719" spans="1:2" x14ac:dyDescent="0.2">
      <c r="A719" s="12"/>
      <c r="B719" s="13"/>
    </row>
    <row r="720" spans="1:2" x14ac:dyDescent="0.2">
      <c r="A720" s="12"/>
      <c r="B720" s="13"/>
    </row>
    <row r="721" spans="1:2" x14ac:dyDescent="0.2">
      <c r="A721" s="12"/>
      <c r="B721" s="13"/>
    </row>
    <row r="722" spans="1:2" x14ac:dyDescent="0.2">
      <c r="A722" s="12"/>
      <c r="B722" s="13"/>
    </row>
    <row r="723" spans="1:2" x14ac:dyDescent="0.2">
      <c r="A723" s="12"/>
      <c r="B723" s="13"/>
    </row>
    <row r="724" spans="1:2" x14ac:dyDescent="0.2">
      <c r="A724" s="12"/>
      <c r="B724" s="13"/>
    </row>
    <row r="725" spans="1:2" x14ac:dyDescent="0.2">
      <c r="A725" s="12"/>
      <c r="B725" s="13"/>
    </row>
    <row r="726" spans="1:2" x14ac:dyDescent="0.2">
      <c r="A726" s="12"/>
      <c r="B726" s="13"/>
    </row>
    <row r="727" spans="1:2" x14ac:dyDescent="0.2">
      <c r="A727" s="12"/>
      <c r="B727" s="13"/>
    </row>
    <row r="728" spans="1:2" x14ac:dyDescent="0.2">
      <c r="A728" s="12"/>
      <c r="B728" s="13"/>
    </row>
    <row r="729" spans="1:2" x14ac:dyDescent="0.2">
      <c r="A729" s="12"/>
      <c r="B729" s="13"/>
    </row>
    <row r="730" spans="1:2" x14ac:dyDescent="0.2">
      <c r="A730" s="12"/>
      <c r="B730" s="13"/>
    </row>
    <row r="731" spans="1:2" x14ac:dyDescent="0.2">
      <c r="A731" s="12"/>
      <c r="B731" s="13"/>
    </row>
    <row r="732" spans="1:2" x14ac:dyDescent="0.2">
      <c r="A732" s="12"/>
      <c r="B732" s="13"/>
    </row>
    <row r="733" spans="1:2" x14ac:dyDescent="0.2">
      <c r="A733" s="12"/>
      <c r="B733" s="13"/>
    </row>
    <row r="734" spans="1:2" x14ac:dyDescent="0.2">
      <c r="A734" s="12"/>
      <c r="B734" s="13"/>
    </row>
    <row r="735" spans="1:2" x14ac:dyDescent="0.2">
      <c r="A735" s="12"/>
      <c r="B735" s="13"/>
    </row>
    <row r="736" spans="1:2" x14ac:dyDescent="0.2">
      <c r="A736" s="12"/>
      <c r="B736" s="13"/>
    </row>
    <row r="737" spans="1:2" x14ac:dyDescent="0.2">
      <c r="A737" s="12"/>
      <c r="B737" s="13"/>
    </row>
    <row r="738" spans="1:2" x14ac:dyDescent="0.2">
      <c r="A738" s="12"/>
      <c r="B738" s="13"/>
    </row>
    <row r="739" spans="1:2" x14ac:dyDescent="0.2">
      <c r="A739" s="12"/>
      <c r="B739" s="13"/>
    </row>
    <row r="740" spans="1:2" x14ac:dyDescent="0.2">
      <c r="A740" s="12"/>
      <c r="B740" s="13"/>
    </row>
    <row r="741" spans="1:2" x14ac:dyDescent="0.2">
      <c r="A741" s="12"/>
      <c r="B741" s="13"/>
    </row>
    <row r="742" spans="1:2" x14ac:dyDescent="0.2">
      <c r="A742" s="12"/>
      <c r="B742" s="13"/>
    </row>
    <row r="743" spans="1:2" x14ac:dyDescent="0.2">
      <c r="A743" s="12"/>
      <c r="B743" s="13"/>
    </row>
    <row r="744" spans="1:2" x14ac:dyDescent="0.2">
      <c r="A744" s="12"/>
      <c r="B744" s="13"/>
    </row>
    <row r="745" spans="1:2" x14ac:dyDescent="0.2">
      <c r="A745" s="12"/>
      <c r="B745" s="13"/>
    </row>
    <row r="746" spans="1:2" x14ac:dyDescent="0.2">
      <c r="A746" s="12"/>
      <c r="B746" s="13"/>
    </row>
    <row r="747" spans="1:2" x14ac:dyDescent="0.2">
      <c r="A747" s="12"/>
      <c r="B747" s="13"/>
    </row>
    <row r="748" spans="1:2" x14ac:dyDescent="0.2">
      <c r="A748" s="12"/>
      <c r="B748" s="13"/>
    </row>
    <row r="749" spans="1:2" x14ac:dyDescent="0.2">
      <c r="A749" s="12"/>
      <c r="B749" s="13"/>
    </row>
    <row r="750" spans="1:2" x14ac:dyDescent="0.2">
      <c r="A750" s="12"/>
      <c r="B750" s="13"/>
    </row>
    <row r="751" spans="1:2" x14ac:dyDescent="0.2">
      <c r="A751" s="12"/>
      <c r="B751" s="13"/>
    </row>
    <row r="752" spans="1:2" x14ac:dyDescent="0.2">
      <c r="A752" s="12"/>
      <c r="B752" s="13"/>
    </row>
    <row r="753" spans="1:2" x14ac:dyDescent="0.2">
      <c r="A753" s="12"/>
      <c r="B753" s="13"/>
    </row>
    <row r="754" spans="1:2" x14ac:dyDescent="0.2">
      <c r="A754" s="12"/>
      <c r="B754" s="13"/>
    </row>
    <row r="755" spans="1:2" x14ac:dyDescent="0.2">
      <c r="A755" s="12"/>
      <c r="B755" s="13"/>
    </row>
    <row r="756" spans="1:2" x14ac:dyDescent="0.2">
      <c r="A756" s="12"/>
      <c r="B756" s="13"/>
    </row>
    <row r="757" spans="1:2" x14ac:dyDescent="0.2">
      <c r="A757" s="12"/>
      <c r="B757" s="13"/>
    </row>
    <row r="758" spans="1:2" x14ac:dyDescent="0.2">
      <c r="A758" s="12"/>
      <c r="B758" s="13"/>
    </row>
    <row r="759" spans="1:2" x14ac:dyDescent="0.2">
      <c r="A759" s="12"/>
      <c r="B759" s="13"/>
    </row>
    <row r="760" spans="1:2" x14ac:dyDescent="0.2">
      <c r="A760" s="12"/>
      <c r="B760" s="13"/>
    </row>
    <row r="761" spans="1:2" x14ac:dyDescent="0.2">
      <c r="A761" s="12"/>
      <c r="B761" s="13"/>
    </row>
    <row r="762" spans="1:2" x14ac:dyDescent="0.2">
      <c r="A762" s="12"/>
      <c r="B762" s="13"/>
    </row>
    <row r="763" spans="1:2" x14ac:dyDescent="0.2">
      <c r="A763" s="12"/>
      <c r="B763" s="13"/>
    </row>
    <row r="764" spans="1:2" x14ac:dyDescent="0.2">
      <c r="A764" s="12"/>
      <c r="B764" s="13"/>
    </row>
    <row r="765" spans="1:2" x14ac:dyDescent="0.2">
      <c r="A765" s="12"/>
      <c r="B765" s="13"/>
    </row>
    <row r="766" spans="1:2" x14ac:dyDescent="0.2">
      <c r="A766" s="12"/>
      <c r="B766" s="13"/>
    </row>
    <row r="767" spans="1:2" x14ac:dyDescent="0.2">
      <c r="A767" s="12"/>
      <c r="B767" s="13"/>
    </row>
    <row r="768" spans="1:2" x14ac:dyDescent="0.2">
      <c r="A768" s="12"/>
      <c r="B768" s="13"/>
    </row>
    <row r="769" spans="1:2" x14ac:dyDescent="0.2">
      <c r="A769" s="12"/>
      <c r="B769" s="13"/>
    </row>
    <row r="770" spans="1:2" x14ac:dyDescent="0.2">
      <c r="A770" s="12"/>
      <c r="B770" s="13"/>
    </row>
    <row r="771" spans="1:2" x14ac:dyDescent="0.2">
      <c r="A771" s="12"/>
      <c r="B771" s="13"/>
    </row>
    <row r="772" spans="1:2" x14ac:dyDescent="0.2">
      <c r="A772" s="12"/>
      <c r="B772" s="13"/>
    </row>
    <row r="773" spans="1:2" x14ac:dyDescent="0.2">
      <c r="A773" s="12"/>
      <c r="B773" s="13"/>
    </row>
    <row r="774" spans="1:2" x14ac:dyDescent="0.2">
      <c r="A774" s="12"/>
      <c r="B774" s="13"/>
    </row>
    <row r="775" spans="1:2" x14ac:dyDescent="0.2">
      <c r="A775" s="12"/>
      <c r="B775" s="13"/>
    </row>
    <row r="776" spans="1:2" x14ac:dyDescent="0.2">
      <c r="A776" s="12"/>
      <c r="B776" s="13"/>
    </row>
    <row r="777" spans="1:2" x14ac:dyDescent="0.2">
      <c r="A777" s="12"/>
      <c r="B777" s="13"/>
    </row>
    <row r="778" spans="1:2" x14ac:dyDescent="0.2">
      <c r="A778" s="12"/>
      <c r="B778" s="13"/>
    </row>
    <row r="779" spans="1:2" x14ac:dyDescent="0.2">
      <c r="A779" s="12"/>
      <c r="B779" s="13"/>
    </row>
    <row r="780" spans="1:2" x14ac:dyDescent="0.2">
      <c r="A780" s="12"/>
      <c r="B780" s="13"/>
    </row>
    <row r="781" spans="1:2" x14ac:dyDescent="0.2">
      <c r="A781" s="12"/>
      <c r="B781" s="13"/>
    </row>
    <row r="782" spans="1:2" x14ac:dyDescent="0.2">
      <c r="A782" s="12"/>
      <c r="B782" s="13"/>
    </row>
    <row r="783" spans="1:2" x14ac:dyDescent="0.2">
      <c r="A783" s="12"/>
      <c r="B783" s="13"/>
    </row>
    <row r="784" spans="1:2" x14ac:dyDescent="0.2">
      <c r="A784" s="12"/>
      <c r="B784" s="13"/>
    </row>
    <row r="785" spans="1:2" x14ac:dyDescent="0.2">
      <c r="A785" s="12"/>
      <c r="B785" s="13"/>
    </row>
    <row r="786" spans="1:2" x14ac:dyDescent="0.2">
      <c r="A786" s="12"/>
      <c r="B786" s="13"/>
    </row>
    <row r="787" spans="1:2" x14ac:dyDescent="0.2">
      <c r="A787" s="12"/>
      <c r="B787" s="13"/>
    </row>
    <row r="788" spans="1:2" x14ac:dyDescent="0.2">
      <c r="A788" s="12"/>
      <c r="B788" s="13"/>
    </row>
    <row r="789" spans="1:2" x14ac:dyDescent="0.2">
      <c r="A789" s="12"/>
      <c r="B789" s="13"/>
    </row>
    <row r="790" spans="1:2" x14ac:dyDescent="0.2">
      <c r="A790" s="12"/>
      <c r="B790" s="13"/>
    </row>
    <row r="791" spans="1:2" x14ac:dyDescent="0.2">
      <c r="A791" s="12"/>
      <c r="B791" s="13"/>
    </row>
    <row r="792" spans="1:2" x14ac:dyDescent="0.2">
      <c r="A792" s="12"/>
      <c r="B792" s="13"/>
    </row>
    <row r="793" spans="1:2" x14ac:dyDescent="0.2">
      <c r="A793" s="12"/>
      <c r="B793" s="13"/>
    </row>
    <row r="794" spans="1:2" x14ac:dyDescent="0.2">
      <c r="A794" s="12"/>
      <c r="B794" s="13"/>
    </row>
    <row r="795" spans="1:2" x14ac:dyDescent="0.2">
      <c r="A795" s="12"/>
      <c r="B795" s="13"/>
    </row>
    <row r="796" spans="1:2" x14ac:dyDescent="0.2">
      <c r="A796" s="12"/>
      <c r="B796" s="13"/>
    </row>
    <row r="797" spans="1:2" x14ac:dyDescent="0.2">
      <c r="A797" s="12"/>
      <c r="B797" s="13"/>
    </row>
    <row r="798" spans="1:2" x14ac:dyDescent="0.2">
      <c r="A798" s="12"/>
      <c r="B798" s="13"/>
    </row>
    <row r="799" spans="1:2" x14ac:dyDescent="0.2">
      <c r="A799" s="12"/>
      <c r="B799" s="13"/>
    </row>
    <row r="800" spans="1:2" x14ac:dyDescent="0.2">
      <c r="A800" s="12"/>
      <c r="B800" s="13"/>
    </row>
    <row r="801" spans="1:2" x14ac:dyDescent="0.2">
      <c r="A801" s="12"/>
      <c r="B801" s="13"/>
    </row>
    <row r="802" spans="1:2" x14ac:dyDescent="0.2">
      <c r="A802" s="12"/>
      <c r="B802" s="13"/>
    </row>
    <row r="803" spans="1:2" x14ac:dyDescent="0.2">
      <c r="A803" s="12"/>
      <c r="B803" s="13"/>
    </row>
    <row r="804" spans="1:2" x14ac:dyDescent="0.2">
      <c r="A804" s="12"/>
      <c r="B804" s="13"/>
    </row>
    <row r="805" spans="1:2" x14ac:dyDescent="0.2">
      <c r="A805" s="12"/>
      <c r="B805" s="13"/>
    </row>
    <row r="806" spans="1:2" x14ac:dyDescent="0.2">
      <c r="A806" s="12"/>
      <c r="B806" s="13"/>
    </row>
    <row r="807" spans="1:2" x14ac:dyDescent="0.2">
      <c r="A807" s="12"/>
      <c r="B807" s="13"/>
    </row>
    <row r="808" spans="1:2" x14ac:dyDescent="0.2">
      <c r="A808" s="12"/>
      <c r="B808" s="13"/>
    </row>
    <row r="809" spans="1:2" x14ac:dyDescent="0.2">
      <c r="A809" s="12"/>
      <c r="B809" s="13"/>
    </row>
    <row r="810" spans="1:2" x14ac:dyDescent="0.2">
      <c r="A810" s="12"/>
      <c r="B810" s="13"/>
    </row>
    <row r="811" spans="1:2" x14ac:dyDescent="0.2">
      <c r="A811" s="12"/>
      <c r="B811" s="13"/>
    </row>
    <row r="812" spans="1:2" x14ac:dyDescent="0.2">
      <c r="A812" s="12"/>
      <c r="B812" s="13"/>
    </row>
    <row r="813" spans="1:2" x14ac:dyDescent="0.2">
      <c r="A813" s="12"/>
      <c r="B813" s="13"/>
    </row>
    <row r="814" spans="1:2" x14ac:dyDescent="0.2">
      <c r="A814" s="12"/>
      <c r="B814" s="13"/>
    </row>
    <row r="815" spans="1:2" x14ac:dyDescent="0.2">
      <c r="A815" s="12"/>
      <c r="B815" s="13"/>
    </row>
    <row r="816" spans="1:2" x14ac:dyDescent="0.2">
      <c r="A816" s="12"/>
      <c r="B816" s="13"/>
    </row>
    <row r="817" spans="1:2" x14ac:dyDescent="0.2">
      <c r="A817" s="12"/>
      <c r="B817" s="13"/>
    </row>
    <row r="818" spans="1:2" x14ac:dyDescent="0.2">
      <c r="A818" s="12"/>
      <c r="B818" s="13"/>
    </row>
    <row r="819" spans="1:2" x14ac:dyDescent="0.2">
      <c r="A819" s="12"/>
      <c r="B819" s="13"/>
    </row>
    <row r="820" spans="1:2" x14ac:dyDescent="0.2">
      <c r="A820" s="12"/>
      <c r="B820" s="13"/>
    </row>
    <row r="821" spans="1:2" x14ac:dyDescent="0.2">
      <c r="A821" s="12"/>
      <c r="B821" s="13"/>
    </row>
    <row r="822" spans="1:2" x14ac:dyDescent="0.2">
      <c r="A822" s="12"/>
      <c r="B822" s="13"/>
    </row>
    <row r="823" spans="1:2" x14ac:dyDescent="0.2">
      <c r="A823" s="12"/>
      <c r="B823" s="13"/>
    </row>
    <row r="824" spans="1:2" x14ac:dyDescent="0.2">
      <c r="A824" s="12"/>
      <c r="B824" s="13"/>
    </row>
    <row r="825" spans="1:2" x14ac:dyDescent="0.2">
      <c r="A825" s="12"/>
      <c r="B825" s="13"/>
    </row>
    <row r="826" spans="1:2" x14ac:dyDescent="0.2">
      <c r="A826" s="12"/>
      <c r="B826" s="13"/>
    </row>
    <row r="827" spans="1:2" x14ac:dyDescent="0.2">
      <c r="A827" s="12"/>
      <c r="B827" s="13"/>
    </row>
    <row r="828" spans="1:2" x14ac:dyDescent="0.2">
      <c r="A828" s="12"/>
      <c r="B828" s="13"/>
    </row>
    <row r="829" spans="1:2" x14ac:dyDescent="0.2">
      <c r="A829" s="12"/>
      <c r="B829" s="13"/>
    </row>
    <row r="830" spans="1:2" x14ac:dyDescent="0.2">
      <c r="A830" s="12"/>
      <c r="B830" s="13"/>
    </row>
    <row r="831" spans="1:2" x14ac:dyDescent="0.2">
      <c r="A831" s="12"/>
      <c r="B831" s="13"/>
    </row>
    <row r="832" spans="1:2" x14ac:dyDescent="0.2">
      <c r="A832" s="12"/>
      <c r="B832" s="13"/>
    </row>
    <row r="833" spans="1:2" x14ac:dyDescent="0.2">
      <c r="A833" s="12"/>
      <c r="B833" s="13"/>
    </row>
    <row r="834" spans="1:2" x14ac:dyDescent="0.2">
      <c r="A834" s="12"/>
      <c r="B834" s="13"/>
    </row>
    <row r="835" spans="1:2" x14ac:dyDescent="0.2">
      <c r="A835" s="12"/>
      <c r="B835" s="13"/>
    </row>
    <row r="836" spans="1:2" x14ac:dyDescent="0.2">
      <c r="A836" s="12"/>
      <c r="B836" s="13"/>
    </row>
    <row r="837" spans="1:2" x14ac:dyDescent="0.2">
      <c r="A837" s="12"/>
      <c r="B837" s="13"/>
    </row>
    <row r="838" spans="1:2" x14ac:dyDescent="0.2">
      <c r="A838" s="12"/>
      <c r="B838" s="13"/>
    </row>
    <row r="839" spans="1:2" x14ac:dyDescent="0.2">
      <c r="A839" s="12"/>
      <c r="B839" s="13"/>
    </row>
    <row r="840" spans="1:2" x14ac:dyDescent="0.2">
      <c r="A840" s="12"/>
      <c r="B840" s="13"/>
    </row>
    <row r="841" spans="1:2" x14ac:dyDescent="0.2">
      <c r="A841" s="12"/>
      <c r="B841" s="13"/>
    </row>
    <row r="842" spans="1:2" x14ac:dyDescent="0.2">
      <c r="A842" s="12"/>
      <c r="B842" s="13"/>
    </row>
    <row r="843" spans="1:2" x14ac:dyDescent="0.2">
      <c r="A843" s="12"/>
      <c r="B843" s="13"/>
    </row>
    <row r="844" spans="1:2" x14ac:dyDescent="0.2">
      <c r="A844" s="12"/>
      <c r="B844" s="13"/>
    </row>
    <row r="845" spans="1:2" x14ac:dyDescent="0.2">
      <c r="A845" s="12"/>
      <c r="B845" s="13"/>
    </row>
    <row r="846" spans="1:2" x14ac:dyDescent="0.2">
      <c r="A846" s="12"/>
      <c r="B846" s="13"/>
    </row>
    <row r="847" spans="1:2" x14ac:dyDescent="0.2">
      <c r="A847" s="12"/>
      <c r="B847" s="13"/>
    </row>
    <row r="848" spans="1:2" x14ac:dyDescent="0.2">
      <c r="A848" s="12"/>
      <c r="B848" s="13"/>
    </row>
    <row r="849" spans="1:2" x14ac:dyDescent="0.2">
      <c r="A849" s="12"/>
      <c r="B849" s="13"/>
    </row>
    <row r="850" spans="1:2" x14ac:dyDescent="0.2">
      <c r="A850" s="12"/>
      <c r="B850" s="13"/>
    </row>
    <row r="851" spans="1:2" x14ac:dyDescent="0.2">
      <c r="A851" s="12"/>
      <c r="B851" s="13"/>
    </row>
    <row r="852" spans="1:2" x14ac:dyDescent="0.2">
      <c r="A852" s="12"/>
      <c r="B852" s="13"/>
    </row>
    <row r="853" spans="1:2" x14ac:dyDescent="0.2">
      <c r="A853" s="12"/>
      <c r="B853" s="13"/>
    </row>
    <row r="854" spans="1:2" x14ac:dyDescent="0.2">
      <c r="A854" s="12"/>
      <c r="B854" s="13"/>
    </row>
    <row r="855" spans="1:2" x14ac:dyDescent="0.2">
      <c r="A855" s="12"/>
      <c r="B855" s="13"/>
    </row>
    <row r="856" spans="1:2" x14ac:dyDescent="0.2">
      <c r="A856" s="12"/>
      <c r="B856" s="13"/>
    </row>
    <row r="857" spans="1:2" x14ac:dyDescent="0.2">
      <c r="A857" s="12"/>
      <c r="B857" s="13"/>
    </row>
    <row r="858" spans="1:2" x14ac:dyDescent="0.2">
      <c r="A858" s="12"/>
      <c r="B858" s="13"/>
    </row>
    <row r="859" spans="1:2" x14ac:dyDescent="0.2">
      <c r="A859" s="12"/>
      <c r="B859" s="13"/>
    </row>
    <row r="860" spans="1:2" x14ac:dyDescent="0.2">
      <c r="A860" s="12"/>
      <c r="B860" s="13"/>
    </row>
    <row r="861" spans="1:2" x14ac:dyDescent="0.2">
      <c r="A861" s="12"/>
      <c r="B861" s="13"/>
    </row>
    <row r="862" spans="1:2" x14ac:dyDescent="0.2">
      <c r="A862" s="12"/>
      <c r="B862" s="13"/>
    </row>
    <row r="863" spans="1:2" x14ac:dyDescent="0.2">
      <c r="A863" s="12"/>
      <c r="B863" s="13"/>
    </row>
    <row r="864" spans="1:2" x14ac:dyDescent="0.2">
      <c r="A864" s="12"/>
      <c r="B864" s="13"/>
    </row>
    <row r="865" spans="1:2" x14ac:dyDescent="0.2">
      <c r="A865" s="12"/>
      <c r="B865" s="13"/>
    </row>
    <row r="866" spans="1:2" x14ac:dyDescent="0.2">
      <c r="A866" s="12"/>
      <c r="B866" s="13"/>
    </row>
    <row r="867" spans="1:2" x14ac:dyDescent="0.2">
      <c r="A867" s="12"/>
      <c r="B867" s="13"/>
    </row>
    <row r="868" spans="1:2" x14ac:dyDescent="0.2">
      <c r="A868" s="12"/>
      <c r="B868" s="13"/>
    </row>
    <row r="869" spans="1:2" x14ac:dyDescent="0.2">
      <c r="A869" s="12"/>
      <c r="B869" s="13"/>
    </row>
    <row r="870" spans="1:2" x14ac:dyDescent="0.2">
      <c r="A870" s="12"/>
      <c r="B870" s="13"/>
    </row>
    <row r="871" spans="1:2" x14ac:dyDescent="0.2">
      <c r="A871" s="12"/>
      <c r="B871" s="13"/>
    </row>
    <row r="872" spans="1:2" x14ac:dyDescent="0.2">
      <c r="A872" s="12"/>
      <c r="B872" s="13"/>
    </row>
    <row r="873" spans="1:2" x14ac:dyDescent="0.2">
      <c r="A873" s="12"/>
      <c r="B873" s="13"/>
    </row>
    <row r="874" spans="1:2" x14ac:dyDescent="0.2">
      <c r="A874" s="12"/>
      <c r="B874" s="13"/>
    </row>
    <row r="875" spans="1:2" x14ac:dyDescent="0.2">
      <c r="A875" s="12"/>
      <c r="B875" s="13"/>
    </row>
    <row r="876" spans="1:2" x14ac:dyDescent="0.2">
      <c r="A876" s="12"/>
      <c r="B876" s="13"/>
    </row>
    <row r="877" spans="1:2" x14ac:dyDescent="0.2">
      <c r="A877" s="12"/>
      <c r="B877" s="13"/>
    </row>
    <row r="878" spans="1:2" x14ac:dyDescent="0.2">
      <c r="A878" s="12"/>
      <c r="B878" s="13"/>
    </row>
    <row r="879" spans="1:2" x14ac:dyDescent="0.2">
      <c r="A879" s="12"/>
      <c r="B879" s="13"/>
    </row>
    <row r="880" spans="1:2" x14ac:dyDescent="0.2">
      <c r="A880" s="12"/>
      <c r="B880" s="13"/>
    </row>
    <row r="881" spans="1:2" x14ac:dyDescent="0.2">
      <c r="A881" s="12"/>
      <c r="B881" s="13"/>
    </row>
    <row r="882" spans="1:2" x14ac:dyDescent="0.2">
      <c r="A882" s="12"/>
      <c r="B882" s="13"/>
    </row>
    <row r="883" spans="1:2" x14ac:dyDescent="0.2">
      <c r="A883" s="12"/>
      <c r="B883" s="13"/>
    </row>
    <row r="884" spans="1:2" x14ac:dyDescent="0.2">
      <c r="A884" s="12"/>
      <c r="B884" s="13"/>
    </row>
    <row r="885" spans="1:2" x14ac:dyDescent="0.2">
      <c r="A885" s="12"/>
      <c r="B885" s="13"/>
    </row>
    <row r="886" spans="1:2" x14ac:dyDescent="0.2">
      <c r="A886" s="12"/>
      <c r="B886" s="13"/>
    </row>
    <row r="887" spans="1:2" x14ac:dyDescent="0.2">
      <c r="A887" s="12"/>
      <c r="B887" s="13"/>
    </row>
    <row r="888" spans="1:2" x14ac:dyDescent="0.2">
      <c r="A888" s="12"/>
      <c r="B888" s="13"/>
    </row>
    <row r="889" spans="1:2" x14ac:dyDescent="0.2">
      <c r="A889" s="12"/>
      <c r="B889" s="13"/>
    </row>
    <row r="890" spans="1:2" x14ac:dyDescent="0.2">
      <c r="A890" s="12"/>
      <c r="B890" s="13"/>
    </row>
    <row r="891" spans="1:2" x14ac:dyDescent="0.2">
      <c r="A891" s="12"/>
      <c r="B891" s="13"/>
    </row>
    <row r="892" spans="1:2" x14ac:dyDescent="0.2">
      <c r="A892" s="12"/>
      <c r="B892" s="13"/>
    </row>
    <row r="893" spans="1:2" x14ac:dyDescent="0.2">
      <c r="A893" s="12"/>
      <c r="B893" s="13"/>
    </row>
    <row r="894" spans="1:2" x14ac:dyDescent="0.2">
      <c r="A894" s="12"/>
      <c r="B894" s="13"/>
    </row>
    <row r="895" spans="1:2" x14ac:dyDescent="0.2">
      <c r="A895" s="12"/>
      <c r="B895" s="13"/>
    </row>
    <row r="896" spans="1:2" x14ac:dyDescent="0.2">
      <c r="A896" s="12"/>
      <c r="B896" s="13"/>
    </row>
    <row r="897" spans="1:2" x14ac:dyDescent="0.2">
      <c r="A897" s="12"/>
      <c r="B897" s="13"/>
    </row>
    <row r="898" spans="1:2" x14ac:dyDescent="0.2">
      <c r="A898" s="12"/>
      <c r="B898" s="13"/>
    </row>
    <row r="899" spans="1:2" x14ac:dyDescent="0.2">
      <c r="A899" s="12"/>
      <c r="B899" s="13"/>
    </row>
    <row r="900" spans="1:2" x14ac:dyDescent="0.2">
      <c r="A900" s="12"/>
      <c r="B900" s="13"/>
    </row>
    <row r="901" spans="1:2" x14ac:dyDescent="0.2">
      <c r="A901" s="12"/>
      <c r="B901" s="13"/>
    </row>
    <row r="902" spans="1:2" x14ac:dyDescent="0.2">
      <c r="A902" s="12"/>
      <c r="B902" s="13"/>
    </row>
    <row r="903" spans="1:2" x14ac:dyDescent="0.2">
      <c r="A903" s="12"/>
      <c r="B903" s="13"/>
    </row>
    <row r="904" spans="1:2" x14ac:dyDescent="0.2">
      <c r="A904" s="12"/>
      <c r="B904" s="13"/>
    </row>
    <row r="905" spans="1:2" x14ac:dyDescent="0.2">
      <c r="A905" s="12"/>
      <c r="B905" s="13"/>
    </row>
    <row r="906" spans="1:2" x14ac:dyDescent="0.2">
      <c r="A906" s="12"/>
      <c r="B906" s="13"/>
    </row>
    <row r="907" spans="1:2" x14ac:dyDescent="0.2">
      <c r="A907" s="12"/>
      <c r="B907" s="13"/>
    </row>
    <row r="908" spans="1:2" x14ac:dyDescent="0.2">
      <c r="A908" s="12"/>
      <c r="B908" s="13"/>
    </row>
    <row r="909" spans="1:2" x14ac:dyDescent="0.2">
      <c r="A909" s="12"/>
      <c r="B909" s="13"/>
    </row>
    <row r="910" spans="1:2" x14ac:dyDescent="0.2">
      <c r="A910" s="12"/>
      <c r="B910" s="13"/>
    </row>
    <row r="911" spans="1:2" x14ac:dyDescent="0.2">
      <c r="A911" s="12"/>
      <c r="B911" s="13"/>
    </row>
    <row r="912" spans="1:2" x14ac:dyDescent="0.2">
      <c r="A912" s="12"/>
      <c r="B912" s="13"/>
    </row>
    <row r="913" spans="1:2" x14ac:dyDescent="0.2">
      <c r="A913" s="12"/>
      <c r="B913" s="13"/>
    </row>
    <row r="914" spans="1:2" x14ac:dyDescent="0.2">
      <c r="A914" s="12"/>
      <c r="B914" s="13"/>
    </row>
    <row r="915" spans="1:2" x14ac:dyDescent="0.2">
      <c r="A915" s="12"/>
      <c r="B915" s="13"/>
    </row>
    <row r="916" spans="1:2" x14ac:dyDescent="0.2">
      <c r="A916" s="12"/>
      <c r="B916" s="13"/>
    </row>
    <row r="917" spans="1:2" x14ac:dyDescent="0.2">
      <c r="A917" s="12"/>
      <c r="B917" s="13"/>
    </row>
    <row r="918" spans="1:2" x14ac:dyDescent="0.2">
      <c r="A918" s="12"/>
      <c r="B918" s="13"/>
    </row>
    <row r="919" spans="1:2" x14ac:dyDescent="0.2">
      <c r="A919" s="12"/>
      <c r="B919" s="13"/>
    </row>
    <row r="920" spans="1:2" x14ac:dyDescent="0.2">
      <c r="A920" s="12"/>
      <c r="B920" s="13"/>
    </row>
    <row r="921" spans="1:2" x14ac:dyDescent="0.2">
      <c r="A921" s="12"/>
      <c r="B921" s="13"/>
    </row>
    <row r="922" spans="1:2" x14ac:dyDescent="0.2">
      <c r="A922" s="12"/>
      <c r="B922" s="13"/>
    </row>
    <row r="923" spans="1:2" x14ac:dyDescent="0.2">
      <c r="A923" s="12"/>
      <c r="B923" s="13"/>
    </row>
    <row r="924" spans="1:2" x14ac:dyDescent="0.2">
      <c r="A924" s="12"/>
      <c r="B924" s="13"/>
    </row>
    <row r="925" spans="1:2" x14ac:dyDescent="0.2">
      <c r="A925" s="12"/>
      <c r="B925" s="13"/>
    </row>
    <row r="926" spans="1:2" x14ac:dyDescent="0.2">
      <c r="A926" s="12"/>
      <c r="B926" s="13"/>
    </row>
    <row r="927" spans="1:2" x14ac:dyDescent="0.2">
      <c r="A927" s="12"/>
      <c r="B927" s="13"/>
    </row>
    <row r="928" spans="1:2" x14ac:dyDescent="0.2">
      <c r="A928" s="12"/>
      <c r="B928" s="13"/>
    </row>
    <row r="929" spans="1:2" x14ac:dyDescent="0.2">
      <c r="A929" s="12"/>
      <c r="B929" s="13"/>
    </row>
    <row r="930" spans="1:2" x14ac:dyDescent="0.2">
      <c r="A930" s="12"/>
      <c r="B930" s="13"/>
    </row>
    <row r="931" spans="1:2" x14ac:dyDescent="0.2">
      <c r="A931" s="12"/>
      <c r="B931" s="13"/>
    </row>
    <row r="932" spans="1:2" x14ac:dyDescent="0.2">
      <c r="A932" s="12"/>
      <c r="B932" s="13"/>
    </row>
    <row r="933" spans="1:2" x14ac:dyDescent="0.2">
      <c r="A933" s="12"/>
      <c r="B933" s="13"/>
    </row>
    <row r="934" spans="1:2" x14ac:dyDescent="0.2">
      <c r="A934" s="12"/>
      <c r="B934" s="13"/>
    </row>
    <row r="935" spans="1:2" x14ac:dyDescent="0.2">
      <c r="A935" s="12"/>
      <c r="B935" s="13"/>
    </row>
    <row r="936" spans="1:2" x14ac:dyDescent="0.2">
      <c r="A936" s="12"/>
      <c r="B936" s="13"/>
    </row>
    <row r="937" spans="1:2" x14ac:dyDescent="0.2">
      <c r="A937" s="12"/>
      <c r="B937" s="13"/>
    </row>
    <row r="938" spans="1:2" x14ac:dyDescent="0.2">
      <c r="A938" s="12"/>
      <c r="B938" s="13"/>
    </row>
    <row r="939" spans="1:2" x14ac:dyDescent="0.2">
      <c r="A939" s="12"/>
      <c r="B939" s="13"/>
    </row>
    <row r="940" spans="1:2" x14ac:dyDescent="0.2">
      <c r="A940" s="12"/>
      <c r="B940" s="13"/>
    </row>
    <row r="941" spans="1:2" x14ac:dyDescent="0.2">
      <c r="A941" s="12"/>
      <c r="B941" s="13"/>
    </row>
    <row r="942" spans="1:2" x14ac:dyDescent="0.2">
      <c r="A942" s="12"/>
      <c r="B942" s="13"/>
    </row>
    <row r="943" spans="1:2" x14ac:dyDescent="0.2">
      <c r="A943" s="12"/>
      <c r="B943" s="13"/>
    </row>
    <row r="944" spans="1:2" x14ac:dyDescent="0.2">
      <c r="A944" s="12"/>
      <c r="B944" s="13"/>
    </row>
    <row r="945" spans="1:2" x14ac:dyDescent="0.2">
      <c r="A945" s="12"/>
      <c r="B945" s="13"/>
    </row>
    <row r="946" spans="1:2" x14ac:dyDescent="0.2">
      <c r="A946" s="12"/>
      <c r="B946" s="13"/>
    </row>
    <row r="947" spans="1:2" x14ac:dyDescent="0.2">
      <c r="A947" s="12"/>
      <c r="B947" s="13"/>
    </row>
    <row r="948" spans="1:2" x14ac:dyDescent="0.2">
      <c r="A948" s="12"/>
      <c r="B948" s="13"/>
    </row>
    <row r="949" spans="1:2" x14ac:dyDescent="0.2">
      <c r="A949" s="12"/>
      <c r="B949" s="13"/>
    </row>
    <row r="950" spans="1:2" x14ac:dyDescent="0.2">
      <c r="A950" s="12"/>
      <c r="B950" s="13"/>
    </row>
    <row r="951" spans="1:2" x14ac:dyDescent="0.2">
      <c r="A951" s="12"/>
      <c r="B951" s="13"/>
    </row>
    <row r="952" spans="1:2" x14ac:dyDescent="0.2">
      <c r="A952" s="12"/>
      <c r="B952" s="13"/>
    </row>
    <row r="953" spans="1:2" x14ac:dyDescent="0.2">
      <c r="A953" s="12"/>
      <c r="B953" s="13"/>
    </row>
    <row r="954" spans="1:2" x14ac:dyDescent="0.2">
      <c r="A954" s="12"/>
      <c r="B954" s="13"/>
    </row>
    <row r="955" spans="1:2" x14ac:dyDescent="0.2">
      <c r="A955" s="12"/>
      <c r="B955" s="13"/>
    </row>
    <row r="956" spans="1:2" x14ac:dyDescent="0.2">
      <c r="A956" s="12"/>
      <c r="B956" s="13"/>
    </row>
    <row r="957" spans="1:2" x14ac:dyDescent="0.2">
      <c r="A957" s="12"/>
      <c r="B957" s="13"/>
    </row>
    <row r="958" spans="1:2" x14ac:dyDescent="0.2">
      <c r="A958" s="12"/>
      <c r="B958" s="13"/>
    </row>
    <row r="959" spans="1:2" x14ac:dyDescent="0.2">
      <c r="A959" s="12"/>
      <c r="B959" s="13"/>
    </row>
    <row r="960" spans="1:2" x14ac:dyDescent="0.2">
      <c r="A960" s="12"/>
      <c r="B960" s="13"/>
    </row>
    <row r="961" spans="1:2" x14ac:dyDescent="0.2">
      <c r="A961" s="12"/>
      <c r="B961" s="13"/>
    </row>
    <row r="962" spans="1:2" x14ac:dyDescent="0.2">
      <c r="A962" s="12"/>
      <c r="B962" s="13"/>
    </row>
    <row r="963" spans="1:2" x14ac:dyDescent="0.2">
      <c r="A963" s="12"/>
      <c r="B963" s="13"/>
    </row>
    <row r="964" spans="1:2" x14ac:dyDescent="0.2">
      <c r="A964" s="12"/>
      <c r="B964" s="13"/>
    </row>
    <row r="965" spans="1:2" x14ac:dyDescent="0.2">
      <c r="A965" s="12"/>
      <c r="B965" s="13"/>
    </row>
    <row r="966" spans="1:2" x14ac:dyDescent="0.2">
      <c r="A966" s="12"/>
      <c r="B966" s="13"/>
    </row>
    <row r="967" spans="1:2" x14ac:dyDescent="0.2">
      <c r="A967" s="12"/>
      <c r="B967" s="13"/>
    </row>
    <row r="968" spans="1:2" x14ac:dyDescent="0.2">
      <c r="A968" s="12"/>
      <c r="B968" s="13"/>
    </row>
    <row r="969" spans="1:2" x14ac:dyDescent="0.2">
      <c r="A969" s="12"/>
      <c r="B969" s="13"/>
    </row>
    <row r="970" spans="1:2" x14ac:dyDescent="0.2">
      <c r="A970" s="12"/>
      <c r="B970" s="13"/>
    </row>
    <row r="971" spans="1:2" x14ac:dyDescent="0.2">
      <c r="A971" s="12"/>
      <c r="B971" s="13"/>
    </row>
    <row r="972" spans="1:2" x14ac:dyDescent="0.2">
      <c r="A972" s="12"/>
      <c r="B972" s="13"/>
    </row>
    <row r="973" spans="1:2" x14ac:dyDescent="0.2">
      <c r="A973" s="12"/>
      <c r="B973" s="13"/>
    </row>
    <row r="974" spans="1:2" x14ac:dyDescent="0.2">
      <c r="A974" s="12"/>
      <c r="B974" s="13"/>
    </row>
    <row r="975" spans="1:2" x14ac:dyDescent="0.2">
      <c r="A975" s="12"/>
      <c r="B975" s="13"/>
    </row>
    <row r="976" spans="1:2" x14ac:dyDescent="0.2">
      <c r="A976" s="12"/>
      <c r="B976" s="13"/>
    </row>
    <row r="977" spans="1:2" x14ac:dyDescent="0.2">
      <c r="A977" s="12"/>
      <c r="B977" s="13"/>
    </row>
    <row r="978" spans="1:2" x14ac:dyDescent="0.2">
      <c r="A978" s="12"/>
      <c r="B978" s="13"/>
    </row>
    <row r="979" spans="1:2" x14ac:dyDescent="0.2">
      <c r="A979" s="12"/>
      <c r="B979" s="13"/>
    </row>
    <row r="980" spans="1:2" x14ac:dyDescent="0.2">
      <c r="A980" s="12"/>
      <c r="B980" s="13"/>
    </row>
    <row r="981" spans="1:2" x14ac:dyDescent="0.2">
      <c r="A981" s="12"/>
      <c r="B981" s="13"/>
    </row>
    <row r="982" spans="1:2" x14ac:dyDescent="0.2">
      <c r="A982" s="12"/>
      <c r="B982" s="13"/>
    </row>
    <row r="983" spans="1:2" x14ac:dyDescent="0.2">
      <c r="A983" s="12"/>
      <c r="B983" s="13"/>
    </row>
    <row r="984" spans="1:2" x14ac:dyDescent="0.2">
      <c r="A984" s="12"/>
      <c r="B984" s="13"/>
    </row>
    <row r="985" spans="1:2" x14ac:dyDescent="0.2">
      <c r="A985" s="12"/>
      <c r="B985" s="13"/>
    </row>
    <row r="986" spans="1:2" x14ac:dyDescent="0.2">
      <c r="A986" s="12"/>
      <c r="B986" s="13"/>
    </row>
    <row r="987" spans="1:2" x14ac:dyDescent="0.2">
      <c r="A987" s="12"/>
      <c r="B987" s="13"/>
    </row>
    <row r="988" spans="1:2" x14ac:dyDescent="0.2">
      <c r="A988" s="12"/>
      <c r="B988" s="13"/>
    </row>
    <row r="989" spans="1:2" x14ac:dyDescent="0.2">
      <c r="A989" s="12"/>
      <c r="B989" s="13"/>
    </row>
    <row r="990" spans="1:2" x14ac:dyDescent="0.2">
      <c r="A990" s="12"/>
      <c r="B990" s="13"/>
    </row>
    <row r="991" spans="1:2" x14ac:dyDescent="0.2">
      <c r="A991" s="12"/>
      <c r="B991" s="13"/>
    </row>
    <row r="992" spans="1:2" x14ac:dyDescent="0.2">
      <c r="A992" s="12"/>
      <c r="B992" s="13"/>
    </row>
    <row r="993" spans="1:2" x14ac:dyDescent="0.2">
      <c r="A993" s="12"/>
      <c r="B993" s="13"/>
    </row>
    <row r="994" spans="1:2" x14ac:dyDescent="0.2">
      <c r="A994" s="12"/>
      <c r="B994" s="13"/>
    </row>
    <row r="995" spans="1:2" x14ac:dyDescent="0.2">
      <c r="A995" s="12"/>
      <c r="B995" s="13"/>
    </row>
    <row r="996" spans="1:2" x14ac:dyDescent="0.2">
      <c r="A996" s="12"/>
      <c r="B996" s="13"/>
    </row>
    <row r="997" spans="1:2" x14ac:dyDescent="0.2">
      <c r="A997" s="12"/>
      <c r="B997" s="13"/>
    </row>
    <row r="998" spans="1:2" x14ac:dyDescent="0.2">
      <c r="A998" s="12"/>
      <c r="B998" s="13"/>
    </row>
    <row r="999" spans="1:2" x14ac:dyDescent="0.2">
      <c r="A999" s="12"/>
      <c r="B999" s="13"/>
    </row>
    <row r="1000" spans="1:2" x14ac:dyDescent="0.2">
      <c r="A1000" s="12"/>
      <c r="B1000" s="13"/>
    </row>
    <row r="1001" spans="1:2" x14ac:dyDescent="0.2">
      <c r="A1001" s="12"/>
      <c r="B1001" s="13"/>
    </row>
    <row r="1002" spans="1:2" x14ac:dyDescent="0.2">
      <c r="A1002" s="12"/>
      <c r="B1002" s="13"/>
    </row>
    <row r="1003" spans="1:2" x14ac:dyDescent="0.2">
      <c r="A1003" s="12"/>
      <c r="B1003" s="13"/>
    </row>
    <row r="1004" spans="1:2" x14ac:dyDescent="0.2">
      <c r="A1004" s="12"/>
      <c r="B1004" s="13"/>
    </row>
    <row r="1005" spans="1:2" x14ac:dyDescent="0.2">
      <c r="A1005" s="12"/>
      <c r="B1005" s="13"/>
    </row>
    <row r="1006" spans="1:2" x14ac:dyDescent="0.2">
      <c r="A1006" s="12"/>
      <c r="B1006" s="13"/>
    </row>
    <row r="1007" spans="1:2" x14ac:dyDescent="0.2">
      <c r="A1007" s="12"/>
      <c r="B1007" s="13"/>
    </row>
    <row r="1008" spans="1:2" x14ac:dyDescent="0.2">
      <c r="A1008" s="12"/>
      <c r="B1008" s="13"/>
    </row>
    <row r="1009" spans="1:2" x14ac:dyDescent="0.2">
      <c r="A1009" s="12"/>
      <c r="B1009" s="13"/>
    </row>
    <row r="1010" spans="1:2" x14ac:dyDescent="0.2">
      <c r="A1010" s="12"/>
      <c r="B1010" s="13"/>
    </row>
    <row r="1011" spans="1:2" x14ac:dyDescent="0.2">
      <c r="A1011" s="12"/>
      <c r="B1011" s="13"/>
    </row>
    <row r="1012" spans="1:2" x14ac:dyDescent="0.2">
      <c r="A1012" s="12"/>
      <c r="B1012" s="13"/>
    </row>
    <row r="1013" spans="1:2" x14ac:dyDescent="0.2">
      <c r="A1013" s="12"/>
      <c r="B1013" s="13"/>
    </row>
    <row r="1014" spans="1:2" x14ac:dyDescent="0.2">
      <c r="A1014" s="12"/>
      <c r="B1014" s="13"/>
    </row>
    <row r="1015" spans="1:2" x14ac:dyDescent="0.2">
      <c r="A1015" s="12"/>
      <c r="B1015" s="13"/>
    </row>
    <row r="1016" spans="1:2" x14ac:dyDescent="0.2">
      <c r="A1016" s="12"/>
      <c r="B1016" s="13"/>
    </row>
    <row r="1017" spans="1:2" x14ac:dyDescent="0.2">
      <c r="A1017" s="12"/>
      <c r="B1017" s="13"/>
    </row>
    <row r="1018" spans="1:2" x14ac:dyDescent="0.2">
      <c r="A1018" s="12"/>
      <c r="B1018" s="13"/>
    </row>
    <row r="1019" spans="1:2" x14ac:dyDescent="0.2">
      <c r="A1019" s="12"/>
      <c r="B1019" s="13"/>
    </row>
    <row r="1020" spans="1:2" x14ac:dyDescent="0.2">
      <c r="A1020" s="12"/>
      <c r="B1020" s="13"/>
    </row>
    <row r="1021" spans="1:2" x14ac:dyDescent="0.2">
      <c r="A1021" s="12"/>
      <c r="B1021" s="13"/>
    </row>
    <row r="1022" spans="1:2" x14ac:dyDescent="0.2">
      <c r="A1022" s="12"/>
      <c r="B1022" s="13"/>
    </row>
    <row r="1023" spans="1:2" x14ac:dyDescent="0.2">
      <c r="A1023" s="12"/>
      <c r="B1023" s="13"/>
    </row>
    <row r="1024" spans="1:2" x14ac:dyDescent="0.2">
      <c r="A1024" s="12"/>
      <c r="B1024" s="13"/>
    </row>
    <row r="1025" spans="1:2" x14ac:dyDescent="0.2">
      <c r="A1025" s="12"/>
      <c r="B1025" s="13"/>
    </row>
    <row r="1026" spans="1:2" x14ac:dyDescent="0.2">
      <c r="A1026" s="12"/>
      <c r="B1026" s="13"/>
    </row>
    <row r="1027" spans="1:2" x14ac:dyDescent="0.2">
      <c r="A1027" s="12"/>
      <c r="B1027" s="13"/>
    </row>
    <row r="1028" spans="1:2" x14ac:dyDescent="0.2">
      <c r="A1028" s="12"/>
      <c r="B1028" s="13"/>
    </row>
    <row r="1029" spans="1:2" x14ac:dyDescent="0.2">
      <c r="A1029" s="12"/>
      <c r="B1029" s="13"/>
    </row>
    <row r="1030" spans="1:2" x14ac:dyDescent="0.2">
      <c r="A1030" s="12"/>
      <c r="B1030" s="13"/>
    </row>
    <row r="1031" spans="1:2" x14ac:dyDescent="0.2">
      <c r="A1031" s="12"/>
      <c r="B1031" s="13"/>
    </row>
    <row r="1032" spans="1:2" x14ac:dyDescent="0.2">
      <c r="A1032" s="12"/>
      <c r="B1032" s="13"/>
    </row>
    <row r="1033" spans="1:2" x14ac:dyDescent="0.2">
      <c r="A1033" s="12"/>
      <c r="B1033" s="13"/>
    </row>
    <row r="1034" spans="1:2" x14ac:dyDescent="0.2">
      <c r="A1034" s="12"/>
      <c r="B1034" s="13"/>
    </row>
    <row r="1035" spans="1:2" x14ac:dyDescent="0.2">
      <c r="A1035" s="12"/>
      <c r="B1035" s="13"/>
    </row>
    <row r="1036" spans="1:2" x14ac:dyDescent="0.2">
      <c r="A1036" s="12"/>
      <c r="B1036" s="13"/>
    </row>
    <row r="1037" spans="1:2" x14ac:dyDescent="0.2">
      <c r="A1037" s="12"/>
      <c r="B1037" s="13"/>
    </row>
    <row r="1038" spans="1:2" x14ac:dyDescent="0.2">
      <c r="A1038" s="12"/>
      <c r="B1038" s="13"/>
    </row>
    <row r="1039" spans="1:2" x14ac:dyDescent="0.2">
      <c r="A1039" s="12"/>
      <c r="B1039" s="13"/>
    </row>
    <row r="1040" spans="1:2" x14ac:dyDescent="0.2">
      <c r="A1040" s="12"/>
      <c r="B1040" s="13"/>
    </row>
    <row r="1041" spans="1:2" x14ac:dyDescent="0.2">
      <c r="A1041" s="12"/>
      <c r="B1041" s="13"/>
    </row>
    <row r="1042" spans="1:2" x14ac:dyDescent="0.2">
      <c r="A1042" s="12"/>
      <c r="B1042" s="13"/>
    </row>
    <row r="1043" spans="1:2" x14ac:dyDescent="0.2">
      <c r="A1043" s="12"/>
      <c r="B1043" s="13"/>
    </row>
    <row r="1044" spans="1:2" x14ac:dyDescent="0.2">
      <c r="A1044" s="12"/>
      <c r="B1044" s="13"/>
    </row>
    <row r="1045" spans="1:2" x14ac:dyDescent="0.2">
      <c r="A1045" s="12"/>
      <c r="B1045" s="13"/>
    </row>
    <row r="1046" spans="1:2" x14ac:dyDescent="0.2">
      <c r="A1046" s="12"/>
      <c r="B1046" s="13"/>
    </row>
    <row r="1047" spans="1:2" x14ac:dyDescent="0.2">
      <c r="A1047" s="12"/>
      <c r="B1047" s="13"/>
    </row>
    <row r="1048" spans="1:2" x14ac:dyDescent="0.2">
      <c r="A1048" s="12"/>
      <c r="B1048" s="13"/>
    </row>
    <row r="1049" spans="1:2" x14ac:dyDescent="0.2">
      <c r="A1049" s="12"/>
      <c r="B1049" s="13"/>
    </row>
    <row r="1050" spans="1:2" x14ac:dyDescent="0.2">
      <c r="A1050" s="12"/>
      <c r="B1050" s="13"/>
    </row>
    <row r="1051" spans="1:2" x14ac:dyDescent="0.2">
      <c r="A1051" s="12"/>
      <c r="B1051" s="13"/>
    </row>
    <row r="1052" spans="1:2" x14ac:dyDescent="0.2">
      <c r="A1052" s="12"/>
      <c r="B1052" s="13"/>
    </row>
    <row r="1053" spans="1:2" x14ac:dyDescent="0.2">
      <c r="A1053" s="12"/>
      <c r="B1053" s="13"/>
    </row>
    <row r="1054" spans="1:2" x14ac:dyDescent="0.2">
      <c r="A1054" s="12"/>
      <c r="B1054" s="13"/>
    </row>
    <row r="1055" spans="1:2" x14ac:dyDescent="0.2">
      <c r="A1055" s="12"/>
      <c r="B1055" s="13"/>
    </row>
    <row r="1056" spans="1:2" x14ac:dyDescent="0.2">
      <c r="A1056" s="12"/>
      <c r="B1056" s="13"/>
    </row>
    <row r="1057" spans="1:2" x14ac:dyDescent="0.2">
      <c r="A1057" s="12"/>
      <c r="B1057" s="13"/>
    </row>
    <row r="1058" spans="1:2" x14ac:dyDescent="0.2">
      <c r="A1058" s="12"/>
      <c r="B1058" s="13"/>
    </row>
    <row r="1059" spans="1:2" x14ac:dyDescent="0.2">
      <c r="A1059" s="12"/>
      <c r="B1059" s="13"/>
    </row>
    <row r="1060" spans="1:2" x14ac:dyDescent="0.2">
      <c r="A1060" s="12"/>
      <c r="B1060" s="13"/>
    </row>
    <row r="1061" spans="1:2" x14ac:dyDescent="0.2">
      <c r="A1061" s="12"/>
      <c r="B1061" s="13"/>
    </row>
    <row r="1062" spans="1:2" x14ac:dyDescent="0.2">
      <c r="A1062" s="12"/>
      <c r="B1062" s="13"/>
    </row>
    <row r="1063" spans="1:2" x14ac:dyDescent="0.2">
      <c r="A1063" s="12"/>
      <c r="B1063" s="13"/>
    </row>
    <row r="1064" spans="1:2" x14ac:dyDescent="0.2">
      <c r="A1064" s="12"/>
      <c r="B1064" s="13"/>
    </row>
    <row r="1065" spans="1:2" x14ac:dyDescent="0.2">
      <c r="A1065" s="12"/>
      <c r="B1065" s="13"/>
    </row>
    <row r="1066" spans="1:2" x14ac:dyDescent="0.2">
      <c r="A1066" s="12"/>
      <c r="B1066" s="13"/>
    </row>
    <row r="1067" spans="1:2" x14ac:dyDescent="0.2">
      <c r="A1067" s="12"/>
      <c r="B1067" s="13"/>
    </row>
    <row r="1068" spans="1:2" x14ac:dyDescent="0.2">
      <c r="A1068" s="12"/>
      <c r="B1068" s="13"/>
    </row>
    <row r="1069" spans="1:2" x14ac:dyDescent="0.2">
      <c r="A1069" s="12"/>
      <c r="B1069" s="13"/>
    </row>
    <row r="1070" spans="1:2" x14ac:dyDescent="0.2">
      <c r="A1070" s="12"/>
      <c r="B1070" s="13"/>
    </row>
    <row r="1071" spans="1:2" x14ac:dyDescent="0.2">
      <c r="A1071" s="12"/>
      <c r="B1071" s="13"/>
    </row>
    <row r="1072" spans="1:2" x14ac:dyDescent="0.2">
      <c r="A1072" s="12"/>
      <c r="B1072" s="13"/>
    </row>
    <row r="1073" spans="1:2" x14ac:dyDescent="0.2">
      <c r="A1073" s="12"/>
      <c r="B1073" s="13"/>
    </row>
    <row r="1074" spans="1:2" x14ac:dyDescent="0.2">
      <c r="A1074" s="12"/>
      <c r="B1074" s="13"/>
    </row>
    <row r="1075" spans="1:2" x14ac:dyDescent="0.2">
      <c r="A1075" s="12"/>
      <c r="B1075" s="13"/>
    </row>
    <row r="1076" spans="1:2" x14ac:dyDescent="0.2">
      <c r="A1076" s="12"/>
      <c r="B1076" s="13"/>
    </row>
    <row r="1077" spans="1:2" x14ac:dyDescent="0.2">
      <c r="A1077" s="12"/>
      <c r="B1077" s="13"/>
    </row>
    <row r="1078" spans="1:2" x14ac:dyDescent="0.2">
      <c r="A1078" s="12"/>
      <c r="B1078" s="13"/>
    </row>
    <row r="1079" spans="1:2" x14ac:dyDescent="0.2">
      <c r="A1079" s="12"/>
      <c r="B1079" s="13"/>
    </row>
    <row r="1080" spans="1:2" x14ac:dyDescent="0.2">
      <c r="A1080" s="12"/>
      <c r="B1080" s="13"/>
    </row>
    <row r="1081" spans="1:2" x14ac:dyDescent="0.2">
      <c r="A1081" s="12"/>
      <c r="B1081" s="13"/>
    </row>
    <row r="1082" spans="1:2" x14ac:dyDescent="0.2">
      <c r="A1082" s="12"/>
      <c r="B1082" s="13"/>
    </row>
    <row r="1083" spans="1:2" x14ac:dyDescent="0.2">
      <c r="A1083" s="12"/>
      <c r="B1083" s="13"/>
    </row>
    <row r="1084" spans="1:2" x14ac:dyDescent="0.2">
      <c r="A1084" s="12"/>
      <c r="B1084" s="13"/>
    </row>
    <row r="1085" spans="1:2" x14ac:dyDescent="0.2">
      <c r="A1085" s="12"/>
      <c r="B1085" s="13"/>
    </row>
    <row r="1086" spans="1:2" x14ac:dyDescent="0.2">
      <c r="A1086" s="12"/>
      <c r="B1086" s="13"/>
    </row>
    <row r="1087" spans="1:2" x14ac:dyDescent="0.2">
      <c r="A1087" s="12"/>
      <c r="B1087" s="13"/>
    </row>
    <row r="1088" spans="1:2" x14ac:dyDescent="0.2">
      <c r="A1088" s="12"/>
      <c r="B1088" s="13"/>
    </row>
    <row r="1089" spans="1:2" x14ac:dyDescent="0.2">
      <c r="A1089" s="12"/>
      <c r="B1089" s="13"/>
    </row>
    <row r="1090" spans="1:2" x14ac:dyDescent="0.2">
      <c r="A1090" s="12"/>
      <c r="B1090" s="13"/>
    </row>
    <row r="1091" spans="1:2" x14ac:dyDescent="0.2">
      <c r="A1091" s="12"/>
      <c r="B1091" s="13"/>
    </row>
    <row r="1092" spans="1:2" x14ac:dyDescent="0.2">
      <c r="A1092" s="12"/>
      <c r="B1092" s="13"/>
    </row>
    <row r="1093" spans="1:2" x14ac:dyDescent="0.2">
      <c r="A1093" s="12"/>
      <c r="B1093" s="13"/>
    </row>
    <row r="1094" spans="1:2" x14ac:dyDescent="0.2">
      <c r="A1094" s="12"/>
      <c r="B1094" s="13"/>
    </row>
    <row r="1095" spans="1:2" x14ac:dyDescent="0.2">
      <c r="A1095" s="12"/>
      <c r="B1095" s="13"/>
    </row>
    <row r="1096" spans="1:2" x14ac:dyDescent="0.2">
      <c r="A1096" s="12"/>
      <c r="B1096" s="13"/>
    </row>
    <row r="1097" spans="1:2" x14ac:dyDescent="0.2">
      <c r="A1097" s="12"/>
      <c r="B1097" s="13"/>
    </row>
    <row r="1098" spans="1:2" x14ac:dyDescent="0.2">
      <c r="A1098" s="12"/>
      <c r="B1098" s="13"/>
    </row>
    <row r="1099" spans="1:2" x14ac:dyDescent="0.2">
      <c r="A1099" s="12"/>
      <c r="B1099" s="13"/>
    </row>
    <row r="1100" spans="1:2" x14ac:dyDescent="0.2">
      <c r="A1100" s="12"/>
      <c r="B1100" s="13"/>
    </row>
    <row r="1101" spans="1:2" x14ac:dyDescent="0.2">
      <c r="A1101" s="12"/>
      <c r="B1101" s="13"/>
    </row>
    <row r="1102" spans="1:2" x14ac:dyDescent="0.2">
      <c r="A1102" s="12"/>
      <c r="B1102" s="13"/>
    </row>
    <row r="1103" spans="1:2" x14ac:dyDescent="0.2">
      <c r="A1103" s="12"/>
      <c r="B1103" s="13"/>
    </row>
    <row r="1104" spans="1:2" x14ac:dyDescent="0.2">
      <c r="A1104" s="12"/>
      <c r="B1104" s="13"/>
    </row>
    <row r="1105" spans="1:2" x14ac:dyDescent="0.2">
      <c r="A1105" s="12"/>
      <c r="B1105" s="13"/>
    </row>
    <row r="1106" spans="1:2" x14ac:dyDescent="0.2">
      <c r="A1106" s="12"/>
      <c r="B1106" s="13"/>
    </row>
    <row r="1107" spans="1:2" x14ac:dyDescent="0.2">
      <c r="A1107" s="12"/>
      <c r="B1107" s="13"/>
    </row>
    <row r="1108" spans="1:2" x14ac:dyDescent="0.2">
      <c r="A1108" s="12"/>
      <c r="B1108" s="13"/>
    </row>
    <row r="1109" spans="1:2" x14ac:dyDescent="0.2">
      <c r="A1109" s="12"/>
      <c r="B1109" s="13"/>
    </row>
    <row r="1110" spans="1:2" x14ac:dyDescent="0.2">
      <c r="A1110" s="12"/>
      <c r="B1110" s="13"/>
    </row>
    <row r="1111" spans="1:2" x14ac:dyDescent="0.2">
      <c r="A1111" s="12"/>
      <c r="B1111" s="13"/>
    </row>
    <row r="1112" spans="1:2" x14ac:dyDescent="0.2">
      <c r="A1112" s="12"/>
      <c r="B1112" s="13"/>
    </row>
    <row r="1113" spans="1:2" x14ac:dyDescent="0.2">
      <c r="A1113" s="12"/>
      <c r="B1113" s="13"/>
    </row>
    <row r="1114" spans="1:2" x14ac:dyDescent="0.2">
      <c r="A1114" s="12"/>
      <c r="B1114" s="13"/>
    </row>
    <row r="1115" spans="1:2" x14ac:dyDescent="0.2">
      <c r="A1115" s="12"/>
      <c r="B1115" s="13"/>
    </row>
    <row r="1116" spans="1:2" x14ac:dyDescent="0.2">
      <c r="A1116" s="12"/>
      <c r="B1116" s="13"/>
    </row>
    <row r="1117" spans="1:2" x14ac:dyDescent="0.2">
      <c r="A1117" s="12"/>
      <c r="B1117" s="13"/>
    </row>
    <row r="1118" spans="1:2" x14ac:dyDescent="0.2">
      <c r="A1118" s="12"/>
      <c r="B1118" s="13"/>
    </row>
    <row r="1119" spans="1:2" x14ac:dyDescent="0.2">
      <c r="A1119" s="12"/>
      <c r="B1119" s="13"/>
    </row>
    <row r="1120" spans="1:2" x14ac:dyDescent="0.2">
      <c r="A1120" s="12"/>
      <c r="B1120" s="13"/>
    </row>
    <row r="1121" spans="1:2" x14ac:dyDescent="0.2">
      <c r="A1121" s="12"/>
      <c r="B1121" s="13"/>
    </row>
    <row r="1122" spans="1:2" x14ac:dyDescent="0.2">
      <c r="A1122" s="12"/>
      <c r="B1122" s="13"/>
    </row>
    <row r="1123" spans="1:2" x14ac:dyDescent="0.2">
      <c r="A1123" s="12"/>
      <c r="B1123" s="13"/>
    </row>
    <row r="1124" spans="1:2" x14ac:dyDescent="0.2">
      <c r="A1124" s="12"/>
      <c r="B1124" s="13"/>
    </row>
    <row r="1125" spans="1:2" x14ac:dyDescent="0.2">
      <c r="A1125" s="12"/>
      <c r="B1125" s="13"/>
    </row>
    <row r="1126" spans="1:2" x14ac:dyDescent="0.2">
      <c r="A1126" s="12"/>
      <c r="B1126" s="13"/>
    </row>
    <row r="1127" spans="1:2" x14ac:dyDescent="0.2">
      <c r="A1127" s="12"/>
      <c r="B1127" s="13"/>
    </row>
    <row r="1128" spans="1:2" x14ac:dyDescent="0.2">
      <c r="A1128" s="12"/>
      <c r="B1128" s="13"/>
    </row>
    <row r="1129" spans="1:2" x14ac:dyDescent="0.2">
      <c r="A1129" s="12"/>
      <c r="B1129" s="13"/>
    </row>
    <row r="1130" spans="1:2" x14ac:dyDescent="0.2">
      <c r="A1130" s="12"/>
      <c r="B1130" s="13"/>
    </row>
    <row r="1131" spans="1:2" x14ac:dyDescent="0.2">
      <c r="A1131" s="12"/>
      <c r="B1131" s="13"/>
    </row>
    <row r="1132" spans="1:2" x14ac:dyDescent="0.2">
      <c r="A1132" s="12"/>
      <c r="B1132" s="13"/>
    </row>
    <row r="1133" spans="1:2" x14ac:dyDescent="0.2">
      <c r="A1133" s="12"/>
      <c r="B1133" s="13"/>
    </row>
    <row r="1134" spans="1:2" x14ac:dyDescent="0.2">
      <c r="A1134" s="12"/>
      <c r="B1134" s="13"/>
    </row>
    <row r="1135" spans="1:2" x14ac:dyDescent="0.2">
      <c r="A1135" s="12"/>
      <c r="B1135" s="13"/>
    </row>
    <row r="1136" spans="1:2" x14ac:dyDescent="0.2">
      <c r="A1136" s="12"/>
      <c r="B1136" s="13"/>
    </row>
    <row r="1137" spans="1:2" x14ac:dyDescent="0.2">
      <c r="A1137" s="12"/>
      <c r="B1137" s="13"/>
    </row>
    <row r="1138" spans="1:2" x14ac:dyDescent="0.2">
      <c r="A1138" s="12"/>
      <c r="B1138" s="13"/>
    </row>
    <row r="1139" spans="1:2" x14ac:dyDescent="0.2">
      <c r="A1139" s="12"/>
      <c r="B1139" s="13"/>
    </row>
    <row r="1140" spans="1:2" x14ac:dyDescent="0.2">
      <c r="A1140" s="12"/>
      <c r="B1140" s="13"/>
    </row>
    <row r="1141" spans="1:2" x14ac:dyDescent="0.2">
      <c r="A1141" s="12"/>
      <c r="B1141" s="13"/>
    </row>
    <row r="1142" spans="1:2" x14ac:dyDescent="0.2">
      <c r="A1142" s="12"/>
      <c r="B1142" s="13"/>
    </row>
    <row r="1143" spans="1:2" x14ac:dyDescent="0.2">
      <c r="A1143" s="12"/>
      <c r="B1143" s="13"/>
    </row>
    <row r="1144" spans="1:2" x14ac:dyDescent="0.2">
      <c r="A1144" s="12"/>
      <c r="B1144" s="13"/>
    </row>
    <row r="1145" spans="1:2" x14ac:dyDescent="0.2">
      <c r="A1145" s="12"/>
      <c r="B1145" s="13"/>
    </row>
    <row r="1146" spans="1:2" x14ac:dyDescent="0.2">
      <c r="A1146" s="12"/>
      <c r="B1146" s="13"/>
    </row>
    <row r="1147" spans="1:2" x14ac:dyDescent="0.2">
      <c r="A1147" s="12"/>
      <c r="B1147" s="13"/>
    </row>
    <row r="1148" spans="1:2" x14ac:dyDescent="0.2">
      <c r="A1148" s="12"/>
      <c r="B1148" s="13"/>
    </row>
    <row r="1149" spans="1:2" x14ac:dyDescent="0.2">
      <c r="A1149" s="12"/>
      <c r="B1149" s="13"/>
    </row>
    <row r="1150" spans="1:2" x14ac:dyDescent="0.2">
      <c r="A1150" s="12"/>
      <c r="B1150" s="13"/>
    </row>
    <row r="1151" spans="1:2" x14ac:dyDescent="0.2">
      <c r="A1151" s="12"/>
      <c r="B1151" s="13"/>
    </row>
    <row r="1152" spans="1:2" x14ac:dyDescent="0.2">
      <c r="A1152" s="12"/>
      <c r="B1152" s="13"/>
    </row>
    <row r="1153" spans="1:2" x14ac:dyDescent="0.2">
      <c r="A1153" s="12"/>
      <c r="B1153" s="13"/>
    </row>
    <row r="1154" spans="1:2" x14ac:dyDescent="0.2">
      <c r="A1154" s="12"/>
      <c r="B1154" s="13"/>
    </row>
    <row r="1155" spans="1:2" x14ac:dyDescent="0.2">
      <c r="A1155" s="12"/>
      <c r="B1155" s="13"/>
    </row>
    <row r="1156" spans="1:2" x14ac:dyDescent="0.2">
      <c r="A1156" s="12"/>
      <c r="B1156" s="13"/>
    </row>
    <row r="1157" spans="1:2" x14ac:dyDescent="0.2">
      <c r="A1157" s="12"/>
      <c r="B1157" s="13"/>
    </row>
    <row r="1158" spans="1:2" x14ac:dyDescent="0.2">
      <c r="A1158" s="12"/>
      <c r="B1158" s="13"/>
    </row>
    <row r="1159" spans="1:2" x14ac:dyDescent="0.2">
      <c r="A1159" s="12"/>
      <c r="B1159" s="13"/>
    </row>
    <row r="1160" spans="1:2" x14ac:dyDescent="0.2">
      <c r="A1160" s="12"/>
      <c r="B1160" s="13"/>
    </row>
    <row r="1161" spans="1:2" x14ac:dyDescent="0.2">
      <c r="A1161" s="12"/>
      <c r="B1161" s="13"/>
    </row>
    <row r="1162" spans="1:2" x14ac:dyDescent="0.2">
      <c r="A1162" s="12"/>
      <c r="B1162" s="13"/>
    </row>
    <row r="1163" spans="1:2" x14ac:dyDescent="0.2">
      <c r="A1163" s="12"/>
      <c r="B1163" s="13"/>
    </row>
    <row r="1164" spans="1:2" x14ac:dyDescent="0.2">
      <c r="A1164" s="12"/>
      <c r="B1164" s="13"/>
    </row>
    <row r="1165" spans="1:2" x14ac:dyDescent="0.2">
      <c r="A1165" s="12"/>
      <c r="B1165" s="13"/>
    </row>
    <row r="1166" spans="1:2" x14ac:dyDescent="0.2">
      <c r="A1166" s="12"/>
      <c r="B1166" s="13"/>
    </row>
    <row r="1167" spans="1:2" x14ac:dyDescent="0.2">
      <c r="A1167" s="12"/>
      <c r="B1167" s="13"/>
    </row>
    <row r="1168" spans="1:2" x14ac:dyDescent="0.2">
      <c r="A1168" s="12"/>
      <c r="B1168" s="13"/>
    </row>
    <row r="1169" spans="1:2" x14ac:dyDescent="0.2">
      <c r="A1169" s="12"/>
      <c r="B1169" s="13"/>
    </row>
    <row r="1170" spans="1:2" x14ac:dyDescent="0.2">
      <c r="A1170" s="12"/>
      <c r="B1170" s="13"/>
    </row>
    <row r="1171" spans="1:2" x14ac:dyDescent="0.2">
      <c r="A1171" s="12"/>
      <c r="B1171" s="13"/>
    </row>
    <row r="1172" spans="1:2" x14ac:dyDescent="0.2">
      <c r="A1172" s="12"/>
      <c r="B1172" s="13"/>
    </row>
    <row r="1173" spans="1:2" x14ac:dyDescent="0.2">
      <c r="A1173" s="12"/>
      <c r="B1173" s="13"/>
    </row>
    <row r="1174" spans="1:2" x14ac:dyDescent="0.2">
      <c r="A1174" s="12"/>
      <c r="B1174" s="13"/>
    </row>
    <row r="1175" spans="1:2" x14ac:dyDescent="0.2">
      <c r="A1175" s="12"/>
      <c r="B1175" s="13"/>
    </row>
    <row r="1176" spans="1:2" x14ac:dyDescent="0.2">
      <c r="A1176" s="12"/>
      <c r="B1176" s="13"/>
    </row>
    <row r="1177" spans="1:2" x14ac:dyDescent="0.2">
      <c r="A1177" s="12"/>
      <c r="B1177" s="13"/>
    </row>
    <row r="1178" spans="1:2" x14ac:dyDescent="0.2">
      <c r="A1178" s="12"/>
      <c r="B1178" s="13"/>
    </row>
    <row r="1179" spans="1:2" x14ac:dyDescent="0.2">
      <c r="A1179" s="12"/>
      <c r="B1179" s="13"/>
    </row>
    <row r="1180" spans="1:2" x14ac:dyDescent="0.2">
      <c r="A1180" s="12"/>
      <c r="B1180" s="13"/>
    </row>
    <row r="1181" spans="1:2" x14ac:dyDescent="0.2">
      <c r="A1181" s="12"/>
      <c r="B1181" s="13"/>
    </row>
    <row r="1182" spans="1:2" x14ac:dyDescent="0.2">
      <c r="A1182" s="12"/>
      <c r="B1182" s="13"/>
    </row>
    <row r="1183" spans="1:2" x14ac:dyDescent="0.2">
      <c r="A1183" s="12"/>
      <c r="B1183" s="13"/>
    </row>
    <row r="1184" spans="1:2" x14ac:dyDescent="0.2">
      <c r="A1184" s="12"/>
      <c r="B1184" s="13"/>
    </row>
    <row r="1185" spans="1:2" x14ac:dyDescent="0.2">
      <c r="A1185" s="12"/>
      <c r="B1185" s="13"/>
    </row>
    <row r="1186" spans="1:2" x14ac:dyDescent="0.2">
      <c r="A1186" s="12"/>
      <c r="B1186" s="13"/>
    </row>
    <row r="1187" spans="1:2" x14ac:dyDescent="0.2">
      <c r="A1187" s="12"/>
      <c r="B1187" s="13"/>
    </row>
    <row r="1188" spans="1:2" x14ac:dyDescent="0.2">
      <c r="A1188" s="12"/>
      <c r="B1188" s="13"/>
    </row>
    <row r="1189" spans="1:2" x14ac:dyDescent="0.2">
      <c r="A1189" s="12"/>
      <c r="B1189" s="13"/>
    </row>
    <row r="1190" spans="1:2" x14ac:dyDescent="0.2">
      <c r="A1190" s="12"/>
      <c r="B1190" s="13"/>
    </row>
    <row r="1191" spans="1:2" x14ac:dyDescent="0.2">
      <c r="A1191" s="12"/>
      <c r="B1191" s="13"/>
    </row>
    <row r="1192" spans="1:2" x14ac:dyDescent="0.2">
      <c r="A1192" s="12"/>
      <c r="B1192" s="13"/>
    </row>
    <row r="1193" spans="1:2" x14ac:dyDescent="0.2">
      <c r="A1193" s="12"/>
      <c r="B1193" s="13"/>
    </row>
    <row r="1194" spans="1:2" x14ac:dyDescent="0.2">
      <c r="A1194" s="12"/>
      <c r="B1194" s="13"/>
    </row>
    <row r="1195" spans="1:2" x14ac:dyDescent="0.2">
      <c r="A1195" s="12"/>
      <c r="B1195" s="13"/>
    </row>
    <row r="1196" spans="1:2" x14ac:dyDescent="0.2">
      <c r="A1196" s="12"/>
      <c r="B1196" s="13"/>
    </row>
    <row r="1197" spans="1:2" x14ac:dyDescent="0.2">
      <c r="A1197" s="12"/>
      <c r="B1197" s="13"/>
    </row>
    <row r="1198" spans="1:2" x14ac:dyDescent="0.2">
      <c r="A1198" s="12"/>
      <c r="B1198" s="13"/>
    </row>
    <row r="1199" spans="1:2" x14ac:dyDescent="0.2">
      <c r="A1199" s="12"/>
      <c r="B1199" s="13"/>
    </row>
    <row r="1200" spans="1:2" x14ac:dyDescent="0.2">
      <c r="A1200" s="12"/>
      <c r="B1200" s="13"/>
    </row>
    <row r="1201" spans="1:2" x14ac:dyDescent="0.2">
      <c r="A1201" s="12"/>
      <c r="B1201" s="13"/>
    </row>
    <row r="1202" spans="1:2" x14ac:dyDescent="0.2">
      <c r="A1202" s="12"/>
      <c r="B1202" s="13"/>
    </row>
    <row r="1203" spans="1:2" x14ac:dyDescent="0.2">
      <c r="A1203" s="12"/>
      <c r="B1203" s="13"/>
    </row>
    <row r="1204" spans="1:2" x14ac:dyDescent="0.2">
      <c r="A1204" s="12"/>
      <c r="B1204" s="13"/>
    </row>
    <row r="1205" spans="1:2" x14ac:dyDescent="0.2">
      <c r="A1205" s="12"/>
      <c r="B1205" s="13"/>
    </row>
    <row r="1206" spans="1:2" x14ac:dyDescent="0.2">
      <c r="A1206" s="12"/>
      <c r="B1206" s="13"/>
    </row>
    <row r="1207" spans="1:2" x14ac:dyDescent="0.2">
      <c r="A1207" s="12"/>
      <c r="B1207" s="13"/>
    </row>
    <row r="1208" spans="1:2" x14ac:dyDescent="0.2">
      <c r="A1208" s="12"/>
      <c r="B1208" s="13"/>
    </row>
    <row r="1209" spans="1:2" x14ac:dyDescent="0.2">
      <c r="A1209" s="12"/>
      <c r="B1209" s="13"/>
    </row>
    <row r="1210" spans="1:2" x14ac:dyDescent="0.2">
      <c r="A1210" s="12"/>
      <c r="B1210" s="13"/>
    </row>
    <row r="1211" spans="1:2" x14ac:dyDescent="0.2">
      <c r="A1211" s="12"/>
      <c r="B1211" s="13"/>
    </row>
    <row r="1212" spans="1:2" x14ac:dyDescent="0.2">
      <c r="A1212" s="12"/>
      <c r="B1212" s="13"/>
    </row>
    <row r="1213" spans="1:2" x14ac:dyDescent="0.2">
      <c r="A1213" s="12"/>
      <c r="B1213" s="13"/>
    </row>
    <row r="1214" spans="1:2" x14ac:dyDescent="0.2">
      <c r="A1214" s="12"/>
      <c r="B1214" s="13"/>
    </row>
    <row r="1215" spans="1:2" x14ac:dyDescent="0.2">
      <c r="A1215" s="12"/>
      <c r="B1215" s="13"/>
    </row>
    <row r="1216" spans="1:2" x14ac:dyDescent="0.2">
      <c r="A1216" s="12"/>
      <c r="B1216" s="13"/>
    </row>
    <row r="1217" spans="1:2" x14ac:dyDescent="0.2">
      <c r="A1217" s="12"/>
      <c r="B1217" s="13"/>
    </row>
    <row r="1218" spans="1:2" x14ac:dyDescent="0.2">
      <c r="A1218" s="12"/>
      <c r="B1218" s="13"/>
    </row>
    <row r="1219" spans="1:2" x14ac:dyDescent="0.2">
      <c r="A1219" s="12"/>
      <c r="B1219" s="13"/>
    </row>
    <row r="1220" spans="1:2" x14ac:dyDescent="0.2">
      <c r="A1220" s="12"/>
      <c r="B1220" s="13"/>
    </row>
    <row r="1221" spans="1:2" x14ac:dyDescent="0.2">
      <c r="A1221" s="12"/>
      <c r="B1221" s="13"/>
    </row>
    <row r="1222" spans="1:2" x14ac:dyDescent="0.2">
      <c r="A1222" s="12"/>
      <c r="B1222" s="13"/>
    </row>
    <row r="1223" spans="1:2" x14ac:dyDescent="0.2">
      <c r="A1223" s="12"/>
      <c r="B1223" s="13"/>
    </row>
    <row r="1224" spans="1:2" x14ac:dyDescent="0.2">
      <c r="A1224" s="12"/>
      <c r="B1224" s="13"/>
    </row>
    <row r="1225" spans="1:2" x14ac:dyDescent="0.2">
      <c r="A1225" s="12"/>
      <c r="B1225" s="13"/>
    </row>
    <row r="1226" spans="1:2" x14ac:dyDescent="0.2">
      <c r="A1226" s="12"/>
      <c r="B1226" s="13"/>
    </row>
    <row r="1227" spans="1:2" x14ac:dyDescent="0.2">
      <c r="A1227" s="12"/>
      <c r="B1227" s="13"/>
    </row>
    <row r="1228" spans="1:2" x14ac:dyDescent="0.2">
      <c r="A1228" s="12"/>
      <c r="B1228" s="13"/>
    </row>
    <row r="1229" spans="1:2" x14ac:dyDescent="0.2">
      <c r="A1229" s="12"/>
      <c r="B1229" s="13"/>
    </row>
    <row r="1230" spans="1:2" x14ac:dyDescent="0.2">
      <c r="A1230" s="12"/>
      <c r="B1230" s="13"/>
    </row>
    <row r="1231" spans="1:2" x14ac:dyDescent="0.2">
      <c r="A1231" s="12"/>
      <c r="B1231" s="13"/>
    </row>
    <row r="1232" spans="1:2" x14ac:dyDescent="0.2">
      <c r="A1232" s="12"/>
      <c r="B1232" s="13"/>
    </row>
    <row r="1233" spans="1:2" x14ac:dyDescent="0.2">
      <c r="A1233" s="12"/>
      <c r="B1233" s="13"/>
    </row>
    <row r="1234" spans="1:2" x14ac:dyDescent="0.2">
      <c r="A1234" s="12"/>
      <c r="B1234" s="13"/>
    </row>
    <row r="1235" spans="1:2" x14ac:dyDescent="0.2">
      <c r="A1235" s="12"/>
      <c r="B1235" s="13"/>
    </row>
    <row r="1236" spans="1:2" x14ac:dyDescent="0.2">
      <c r="A1236" s="12"/>
      <c r="B1236" s="13"/>
    </row>
    <row r="1237" spans="1:2" x14ac:dyDescent="0.2">
      <c r="A1237" s="12"/>
      <c r="B1237" s="13"/>
    </row>
    <row r="1238" spans="1:2" x14ac:dyDescent="0.2">
      <c r="A1238" s="12"/>
      <c r="B1238" s="13"/>
    </row>
    <row r="1239" spans="1:2" x14ac:dyDescent="0.2">
      <c r="A1239" s="12"/>
      <c r="B1239" s="13"/>
    </row>
    <row r="1240" spans="1:2" x14ac:dyDescent="0.2">
      <c r="A1240" s="12"/>
      <c r="B1240" s="13"/>
    </row>
    <row r="1241" spans="1:2" x14ac:dyDescent="0.2">
      <c r="A1241" s="12"/>
      <c r="B1241" s="13"/>
    </row>
    <row r="1242" spans="1:2" x14ac:dyDescent="0.2">
      <c r="A1242" s="12"/>
      <c r="B1242" s="13"/>
    </row>
    <row r="1243" spans="1:2" x14ac:dyDescent="0.2">
      <c r="A1243" s="12"/>
      <c r="B1243" s="13"/>
    </row>
    <row r="1244" spans="1:2" x14ac:dyDescent="0.2">
      <c r="A1244" s="12"/>
      <c r="B1244" s="13"/>
    </row>
    <row r="1245" spans="1:2" x14ac:dyDescent="0.2">
      <c r="A1245" s="12"/>
      <c r="B1245" s="13"/>
    </row>
    <row r="1246" spans="1:2" x14ac:dyDescent="0.2">
      <c r="A1246" s="12"/>
      <c r="B1246" s="13"/>
    </row>
    <row r="1247" spans="1:2" x14ac:dyDescent="0.2">
      <c r="A1247" s="12"/>
      <c r="B1247" s="13"/>
    </row>
    <row r="1248" spans="1:2" x14ac:dyDescent="0.2">
      <c r="A1248" s="12"/>
      <c r="B1248" s="13"/>
    </row>
    <row r="1249" spans="1:2" x14ac:dyDescent="0.2">
      <c r="A1249" s="12"/>
      <c r="B1249" s="13"/>
    </row>
    <row r="1250" spans="1:2" x14ac:dyDescent="0.2">
      <c r="A1250" s="12"/>
      <c r="B1250" s="13"/>
    </row>
    <row r="1251" spans="1:2" x14ac:dyDescent="0.2">
      <c r="A1251" s="12"/>
      <c r="B1251" s="13"/>
    </row>
    <row r="1252" spans="1:2" x14ac:dyDescent="0.2">
      <c r="A1252" s="12"/>
      <c r="B1252" s="13"/>
    </row>
    <row r="1253" spans="1:2" x14ac:dyDescent="0.2">
      <c r="A1253" s="12"/>
      <c r="B1253" s="13"/>
    </row>
    <row r="1254" spans="1:2" x14ac:dyDescent="0.2">
      <c r="A1254" s="12"/>
      <c r="B1254" s="13"/>
    </row>
    <row r="1255" spans="1:2" x14ac:dyDescent="0.2">
      <c r="A1255" s="12"/>
      <c r="B1255" s="13"/>
    </row>
    <row r="1256" spans="1:2" x14ac:dyDescent="0.2">
      <c r="A1256" s="12"/>
      <c r="B1256" s="13"/>
    </row>
    <row r="1257" spans="1:2" x14ac:dyDescent="0.2">
      <c r="A1257" s="12"/>
      <c r="B1257" s="13"/>
    </row>
    <row r="1258" spans="1:2" x14ac:dyDescent="0.2">
      <c r="A1258" s="12"/>
      <c r="B1258" s="13"/>
    </row>
    <row r="1259" spans="1:2" x14ac:dyDescent="0.2">
      <c r="A1259" s="12"/>
      <c r="B1259" s="13"/>
    </row>
    <row r="1260" spans="1:2" x14ac:dyDescent="0.2">
      <c r="A1260" s="12"/>
      <c r="B1260" s="13"/>
    </row>
    <row r="1261" spans="1:2" x14ac:dyDescent="0.2">
      <c r="A1261" s="12"/>
      <c r="B1261" s="13"/>
    </row>
    <row r="1262" spans="1:2" x14ac:dyDescent="0.2">
      <c r="A1262" s="12"/>
      <c r="B1262" s="13"/>
    </row>
    <row r="1263" spans="1:2" x14ac:dyDescent="0.2">
      <c r="A1263" s="12"/>
      <c r="B1263" s="13"/>
    </row>
    <row r="1264" spans="1:2" x14ac:dyDescent="0.2">
      <c r="A1264" s="12"/>
      <c r="B1264" s="13"/>
    </row>
    <row r="1265" spans="1:2" x14ac:dyDescent="0.2">
      <c r="A1265" s="12"/>
      <c r="B1265" s="13"/>
    </row>
    <row r="1266" spans="1:2" x14ac:dyDescent="0.2">
      <c r="A1266" s="12"/>
      <c r="B1266" s="13"/>
    </row>
    <row r="1267" spans="1:2" x14ac:dyDescent="0.2">
      <c r="A1267" s="12"/>
      <c r="B1267" s="13"/>
    </row>
    <row r="1268" spans="1:2" x14ac:dyDescent="0.2">
      <c r="A1268" s="12"/>
      <c r="B1268" s="13"/>
    </row>
    <row r="1269" spans="1:2" x14ac:dyDescent="0.2">
      <c r="A1269" s="12"/>
      <c r="B1269" s="13"/>
    </row>
    <row r="1270" spans="1:2" x14ac:dyDescent="0.2">
      <c r="A1270" s="12"/>
      <c r="B1270" s="13"/>
    </row>
    <row r="1271" spans="1:2" x14ac:dyDescent="0.2">
      <c r="A1271" s="12"/>
      <c r="B1271" s="13"/>
    </row>
    <row r="1272" spans="1:2" x14ac:dyDescent="0.2">
      <c r="A1272" s="12"/>
      <c r="B1272" s="13"/>
    </row>
    <row r="1273" spans="1:2" x14ac:dyDescent="0.2">
      <c r="A1273" s="12"/>
      <c r="B1273" s="13"/>
    </row>
    <row r="1274" spans="1:2" x14ac:dyDescent="0.2">
      <c r="A1274" s="12"/>
      <c r="B1274" s="13"/>
    </row>
    <row r="1275" spans="1:2" x14ac:dyDescent="0.2">
      <c r="A1275" s="12"/>
      <c r="B1275" s="13"/>
    </row>
    <row r="1276" spans="1:2" x14ac:dyDescent="0.2">
      <c r="A1276" s="12"/>
      <c r="B1276" s="13"/>
    </row>
    <row r="1277" spans="1:2" x14ac:dyDescent="0.2">
      <c r="A1277" s="12"/>
      <c r="B1277" s="13"/>
    </row>
    <row r="1278" spans="1:2" x14ac:dyDescent="0.2">
      <c r="A1278" s="12"/>
      <c r="B1278" s="13"/>
    </row>
    <row r="1279" spans="1:2" x14ac:dyDescent="0.2">
      <c r="A1279" s="12"/>
      <c r="B1279" s="13"/>
    </row>
    <row r="1280" spans="1:2" x14ac:dyDescent="0.2">
      <c r="A1280" s="12"/>
      <c r="B1280" s="13"/>
    </row>
    <row r="1281" spans="1:2" x14ac:dyDescent="0.2">
      <c r="A1281" s="12"/>
      <c r="B1281" s="13"/>
    </row>
    <row r="1282" spans="1:2" x14ac:dyDescent="0.2">
      <c r="A1282" s="12"/>
      <c r="B1282" s="13"/>
    </row>
    <row r="1283" spans="1:2" x14ac:dyDescent="0.2">
      <c r="A1283" s="12"/>
      <c r="B1283" s="13"/>
    </row>
    <row r="1284" spans="1:2" x14ac:dyDescent="0.2">
      <c r="A1284" s="12"/>
      <c r="B1284" s="13"/>
    </row>
    <row r="1285" spans="1:2" x14ac:dyDescent="0.2">
      <c r="A1285" s="12"/>
      <c r="B1285" s="13"/>
    </row>
    <row r="1286" spans="1:2" x14ac:dyDescent="0.2">
      <c r="A1286" s="12"/>
      <c r="B1286" s="13"/>
    </row>
    <row r="1287" spans="1:2" x14ac:dyDescent="0.2">
      <c r="A1287" s="12"/>
      <c r="B1287" s="13"/>
    </row>
    <row r="1288" spans="1:2" x14ac:dyDescent="0.2">
      <c r="A1288" s="12"/>
      <c r="B1288" s="13"/>
    </row>
    <row r="1289" spans="1:2" x14ac:dyDescent="0.2">
      <c r="A1289" s="12"/>
      <c r="B1289" s="13"/>
    </row>
    <row r="1290" spans="1:2" x14ac:dyDescent="0.2">
      <c r="A1290" s="12"/>
      <c r="B1290" s="13"/>
    </row>
    <row r="1291" spans="1:2" x14ac:dyDescent="0.2">
      <c r="A1291" s="12"/>
      <c r="B1291" s="13"/>
    </row>
    <row r="1292" spans="1:2" x14ac:dyDescent="0.2">
      <c r="A1292" s="12"/>
      <c r="B1292" s="13"/>
    </row>
    <row r="1293" spans="1:2" x14ac:dyDescent="0.2">
      <c r="A1293" s="12"/>
      <c r="B1293" s="13"/>
    </row>
    <row r="1294" spans="1:2" x14ac:dyDescent="0.2">
      <c r="A1294" s="12"/>
      <c r="B1294" s="13"/>
    </row>
    <row r="1295" spans="1:2" x14ac:dyDescent="0.2">
      <c r="A1295" s="12"/>
      <c r="B1295" s="13"/>
    </row>
    <row r="1296" spans="1:2" x14ac:dyDescent="0.2">
      <c r="A1296" s="12"/>
      <c r="B1296" s="13"/>
    </row>
    <row r="1297" spans="1:2" x14ac:dyDescent="0.2">
      <c r="A1297" s="12"/>
      <c r="B1297" s="13"/>
    </row>
    <row r="1298" spans="1:2" x14ac:dyDescent="0.2">
      <c r="A1298" s="12"/>
      <c r="B1298" s="13"/>
    </row>
    <row r="1299" spans="1:2" x14ac:dyDescent="0.2">
      <c r="A1299" s="12"/>
      <c r="B1299" s="13"/>
    </row>
    <row r="1300" spans="1:2" x14ac:dyDescent="0.2">
      <c r="A1300" s="12"/>
      <c r="B1300" s="13"/>
    </row>
    <row r="1301" spans="1:2" x14ac:dyDescent="0.2">
      <c r="A1301" s="12"/>
      <c r="B1301" s="13"/>
    </row>
    <row r="1302" spans="1:2" x14ac:dyDescent="0.2">
      <c r="A1302" s="12"/>
      <c r="B1302" s="13"/>
    </row>
    <row r="1303" spans="1:2" x14ac:dyDescent="0.2">
      <c r="A1303" s="12"/>
      <c r="B1303" s="13"/>
    </row>
    <row r="1304" spans="1:2" x14ac:dyDescent="0.2">
      <c r="A1304" s="12"/>
      <c r="B1304" s="13"/>
    </row>
    <row r="1305" spans="1:2" x14ac:dyDescent="0.2">
      <c r="A1305" s="12"/>
      <c r="B1305" s="13"/>
    </row>
    <row r="1306" spans="1:2" x14ac:dyDescent="0.2">
      <c r="A1306" s="12"/>
      <c r="B1306" s="13"/>
    </row>
    <row r="1307" spans="1:2" x14ac:dyDescent="0.2">
      <c r="A1307" s="12"/>
      <c r="B1307" s="13"/>
    </row>
    <row r="1308" spans="1:2" x14ac:dyDescent="0.2">
      <c r="A1308" s="12"/>
      <c r="B1308" s="13"/>
    </row>
    <row r="1309" spans="1:2" x14ac:dyDescent="0.2">
      <c r="A1309" s="12"/>
      <c r="B1309" s="13"/>
    </row>
    <row r="1310" spans="1:2" x14ac:dyDescent="0.2">
      <c r="A1310" s="12"/>
      <c r="B1310" s="13"/>
    </row>
    <row r="1311" spans="1:2" x14ac:dyDescent="0.2">
      <c r="A1311" s="12"/>
      <c r="B1311" s="13"/>
    </row>
    <row r="1312" spans="1:2" x14ac:dyDescent="0.2">
      <c r="A1312" s="12"/>
      <c r="B1312" s="13"/>
    </row>
    <row r="1313" spans="1:2" x14ac:dyDescent="0.2">
      <c r="A1313" s="12"/>
      <c r="B1313" s="13"/>
    </row>
    <row r="1314" spans="1:2" x14ac:dyDescent="0.2">
      <c r="A1314" s="12"/>
      <c r="B1314" s="13"/>
    </row>
    <row r="1315" spans="1:2" x14ac:dyDescent="0.2">
      <c r="A1315" s="12"/>
      <c r="B1315" s="13"/>
    </row>
    <row r="1316" spans="1:2" x14ac:dyDescent="0.2">
      <c r="A1316" s="12"/>
      <c r="B1316" s="13"/>
    </row>
    <row r="1317" spans="1:2" x14ac:dyDescent="0.2">
      <c r="A1317" s="12"/>
      <c r="B1317" s="13"/>
    </row>
    <row r="1318" spans="1:2" x14ac:dyDescent="0.2">
      <c r="A1318" s="12"/>
      <c r="B1318" s="13"/>
    </row>
    <row r="1319" spans="1:2" x14ac:dyDescent="0.2">
      <c r="A1319" s="12"/>
      <c r="B1319" s="13"/>
    </row>
    <row r="1320" spans="1:2" x14ac:dyDescent="0.2">
      <c r="A1320" s="12"/>
      <c r="B1320" s="13"/>
    </row>
    <row r="1321" spans="1:2" x14ac:dyDescent="0.2">
      <c r="A1321" s="12"/>
      <c r="B1321" s="13"/>
    </row>
    <row r="1322" spans="1:2" x14ac:dyDescent="0.2">
      <c r="A1322" s="12"/>
      <c r="B1322" s="13"/>
    </row>
    <row r="1323" spans="1:2" x14ac:dyDescent="0.2">
      <c r="A1323" s="12"/>
      <c r="B1323" s="13"/>
    </row>
    <row r="1324" spans="1:2" x14ac:dyDescent="0.2">
      <c r="A1324" s="12"/>
      <c r="B1324" s="13"/>
    </row>
    <row r="1325" spans="1:2" x14ac:dyDescent="0.2">
      <c r="A1325" s="12"/>
      <c r="B1325" s="13"/>
    </row>
    <row r="1326" spans="1:2" x14ac:dyDescent="0.2">
      <c r="A1326" s="12"/>
      <c r="B1326" s="13"/>
    </row>
    <row r="1327" spans="1:2" x14ac:dyDescent="0.2">
      <c r="A1327" s="12"/>
      <c r="B1327" s="13"/>
    </row>
    <row r="1328" spans="1:2" x14ac:dyDescent="0.2">
      <c r="A1328" s="12"/>
      <c r="B1328" s="13"/>
    </row>
    <row r="1329" spans="1:2" x14ac:dyDescent="0.2">
      <c r="A1329" s="12"/>
      <c r="B1329" s="13"/>
    </row>
    <row r="1330" spans="1:2" x14ac:dyDescent="0.2">
      <c r="A1330" s="12"/>
      <c r="B1330" s="13"/>
    </row>
    <row r="1331" spans="1:2" x14ac:dyDescent="0.2">
      <c r="A1331" s="12"/>
      <c r="B1331" s="13"/>
    </row>
    <row r="1332" spans="1:2" x14ac:dyDescent="0.2">
      <c r="A1332" s="12"/>
      <c r="B1332" s="13"/>
    </row>
    <row r="1333" spans="1:2" x14ac:dyDescent="0.2">
      <c r="A1333" s="12"/>
      <c r="B1333" s="13"/>
    </row>
    <row r="1334" spans="1:2" x14ac:dyDescent="0.2">
      <c r="A1334" s="12"/>
      <c r="B1334" s="13"/>
    </row>
    <row r="1335" spans="1:2" x14ac:dyDescent="0.2">
      <c r="A1335" s="12"/>
      <c r="B1335" s="13"/>
    </row>
    <row r="1336" spans="1:2" x14ac:dyDescent="0.2">
      <c r="A1336" s="12"/>
      <c r="B1336" s="13"/>
    </row>
    <row r="1337" spans="1:2" x14ac:dyDescent="0.2">
      <c r="A1337" s="12"/>
      <c r="B1337" s="13"/>
    </row>
    <row r="1338" spans="1:2" x14ac:dyDescent="0.2">
      <c r="A1338" s="12"/>
      <c r="B1338" s="13"/>
    </row>
    <row r="1339" spans="1:2" x14ac:dyDescent="0.2">
      <c r="A1339" s="12"/>
      <c r="B1339" s="13"/>
    </row>
    <row r="1340" spans="1:2" x14ac:dyDescent="0.2">
      <c r="A1340" s="12"/>
      <c r="B1340" s="13"/>
    </row>
    <row r="1341" spans="1:2" x14ac:dyDescent="0.2">
      <c r="A1341" s="12"/>
      <c r="B1341" s="13"/>
    </row>
    <row r="1342" spans="1:2" x14ac:dyDescent="0.2">
      <c r="A1342" s="12"/>
      <c r="B1342" s="13"/>
    </row>
    <row r="1343" spans="1:2" x14ac:dyDescent="0.2">
      <c r="A1343" s="12"/>
      <c r="B1343" s="13"/>
    </row>
    <row r="1344" spans="1:2" x14ac:dyDescent="0.2">
      <c r="A1344" s="12"/>
      <c r="B1344" s="13"/>
    </row>
    <row r="1345" spans="1:2" x14ac:dyDescent="0.2">
      <c r="A1345" s="12"/>
      <c r="B1345" s="13"/>
    </row>
    <row r="1346" spans="1:2" x14ac:dyDescent="0.2">
      <c r="A1346" s="12"/>
      <c r="B1346" s="13"/>
    </row>
    <row r="1347" spans="1:2" x14ac:dyDescent="0.2">
      <c r="A1347" s="12"/>
      <c r="B1347" s="13"/>
    </row>
    <row r="1348" spans="1:2" x14ac:dyDescent="0.2">
      <c r="A1348" s="12"/>
      <c r="B1348" s="13"/>
    </row>
    <row r="1349" spans="1:2" x14ac:dyDescent="0.2">
      <c r="A1349" s="12"/>
      <c r="B1349" s="13"/>
    </row>
    <row r="1350" spans="1:2" x14ac:dyDescent="0.2">
      <c r="A1350" s="12"/>
      <c r="B1350" s="13"/>
    </row>
    <row r="1351" spans="1:2" x14ac:dyDescent="0.2">
      <c r="A1351" s="12"/>
      <c r="B1351" s="13"/>
    </row>
    <row r="1352" spans="1:2" x14ac:dyDescent="0.2">
      <c r="A1352" s="12"/>
      <c r="B1352" s="13"/>
    </row>
    <row r="1353" spans="1:2" x14ac:dyDescent="0.2">
      <c r="A1353" s="12"/>
      <c r="B1353" s="13"/>
    </row>
    <row r="1354" spans="1:2" x14ac:dyDescent="0.2">
      <c r="A1354" s="12"/>
      <c r="B1354" s="13"/>
    </row>
    <row r="1355" spans="1:2" x14ac:dyDescent="0.2">
      <c r="A1355" s="12"/>
      <c r="B1355" s="13"/>
    </row>
    <row r="1356" spans="1:2" x14ac:dyDescent="0.2">
      <c r="A1356" s="12"/>
      <c r="B1356" s="13"/>
    </row>
    <row r="1357" spans="1:2" x14ac:dyDescent="0.2">
      <c r="A1357" s="12"/>
      <c r="B1357" s="13"/>
    </row>
    <row r="1358" spans="1:2" x14ac:dyDescent="0.2">
      <c r="A1358" s="12"/>
      <c r="B1358" s="13"/>
    </row>
    <row r="1359" spans="1:2" x14ac:dyDescent="0.2">
      <c r="A1359" s="12"/>
      <c r="B1359" s="13"/>
    </row>
    <row r="1360" spans="1:2" x14ac:dyDescent="0.2">
      <c r="A1360" s="12"/>
      <c r="B1360" s="13"/>
    </row>
    <row r="1361" spans="1:2" x14ac:dyDescent="0.2">
      <c r="A1361" s="12"/>
      <c r="B1361" s="13"/>
    </row>
    <row r="1362" spans="1:2" x14ac:dyDescent="0.2">
      <c r="A1362" s="12"/>
      <c r="B1362" s="13"/>
    </row>
    <row r="1363" spans="1:2" x14ac:dyDescent="0.2">
      <c r="A1363" s="12"/>
      <c r="B1363" s="13"/>
    </row>
    <row r="1364" spans="1:2" x14ac:dyDescent="0.2">
      <c r="A1364" s="12"/>
      <c r="B1364" s="13"/>
    </row>
    <row r="1365" spans="1:2" x14ac:dyDescent="0.2">
      <c r="A1365" s="12"/>
      <c r="B1365" s="13"/>
    </row>
    <row r="1366" spans="1:2" x14ac:dyDescent="0.2">
      <c r="A1366" s="12"/>
      <c r="B1366" s="13"/>
    </row>
    <row r="1367" spans="1:2" x14ac:dyDescent="0.2">
      <c r="A1367" s="12"/>
      <c r="B1367" s="13"/>
    </row>
    <row r="1368" spans="1:2" x14ac:dyDescent="0.2">
      <c r="A1368" s="12"/>
      <c r="B1368" s="13"/>
    </row>
    <row r="1369" spans="1:2" x14ac:dyDescent="0.2">
      <c r="A1369" s="12"/>
      <c r="B1369" s="13"/>
    </row>
    <row r="1370" spans="1:2" x14ac:dyDescent="0.2">
      <c r="A1370" s="12"/>
      <c r="B1370" s="13"/>
    </row>
    <row r="1371" spans="1:2" x14ac:dyDescent="0.2">
      <c r="A1371" s="12"/>
      <c r="B1371" s="13"/>
    </row>
    <row r="1372" spans="1:2" x14ac:dyDescent="0.2">
      <c r="A1372" s="12"/>
      <c r="B1372" s="13"/>
    </row>
    <row r="1373" spans="1:2" x14ac:dyDescent="0.2">
      <c r="A1373" s="12"/>
      <c r="B1373" s="13"/>
    </row>
    <row r="1374" spans="1:2" x14ac:dyDescent="0.2">
      <c r="A1374" s="12"/>
      <c r="B1374" s="13"/>
    </row>
    <row r="1375" spans="1:2" x14ac:dyDescent="0.2">
      <c r="A1375" s="12"/>
      <c r="B1375" s="13"/>
    </row>
    <row r="1376" spans="1:2" x14ac:dyDescent="0.2">
      <c r="A1376" s="12"/>
      <c r="B1376" s="13"/>
    </row>
    <row r="1377" spans="1:2" x14ac:dyDescent="0.2">
      <c r="A1377" s="12"/>
      <c r="B1377" s="13"/>
    </row>
    <row r="1378" spans="1:2" x14ac:dyDescent="0.2">
      <c r="A1378" s="12"/>
      <c r="B1378" s="13"/>
    </row>
    <row r="1379" spans="1:2" x14ac:dyDescent="0.2">
      <c r="A1379" s="12"/>
      <c r="B1379" s="13"/>
    </row>
    <row r="1380" spans="1:2" x14ac:dyDescent="0.2">
      <c r="A1380" s="12"/>
      <c r="B1380" s="13"/>
    </row>
    <row r="1381" spans="1:2" x14ac:dyDescent="0.2">
      <c r="A1381" s="12"/>
      <c r="B1381" s="13"/>
    </row>
    <row r="1382" spans="1:2" x14ac:dyDescent="0.2">
      <c r="A1382" s="12"/>
      <c r="B1382" s="13"/>
    </row>
    <row r="1383" spans="1:2" x14ac:dyDescent="0.2">
      <c r="A1383" s="12"/>
      <c r="B1383" s="13"/>
    </row>
    <row r="1384" spans="1:2" x14ac:dyDescent="0.2">
      <c r="A1384" s="12"/>
      <c r="B1384" s="13"/>
    </row>
    <row r="1385" spans="1:2" x14ac:dyDescent="0.2">
      <c r="A1385" s="12"/>
      <c r="B1385" s="13"/>
    </row>
    <row r="1386" spans="1:2" x14ac:dyDescent="0.2">
      <c r="A1386" s="12"/>
      <c r="B1386" s="13"/>
    </row>
    <row r="1387" spans="1:2" x14ac:dyDescent="0.2">
      <c r="A1387" s="12"/>
      <c r="B1387" s="13"/>
    </row>
    <row r="1388" spans="1:2" x14ac:dyDescent="0.2">
      <c r="A1388" s="12"/>
      <c r="B1388" s="13"/>
    </row>
    <row r="1389" spans="1:2" x14ac:dyDescent="0.2">
      <c r="A1389" s="12"/>
      <c r="B1389" s="13"/>
    </row>
    <row r="1390" spans="1:2" x14ac:dyDescent="0.2">
      <c r="A1390" s="12"/>
      <c r="B1390" s="13"/>
    </row>
    <row r="1391" spans="1:2" x14ac:dyDescent="0.2">
      <c r="A1391" s="12"/>
      <c r="B1391" s="13"/>
    </row>
    <row r="1392" spans="1:2" x14ac:dyDescent="0.2">
      <c r="A1392" s="12"/>
      <c r="B1392" s="13"/>
    </row>
    <row r="1393" spans="1:2" x14ac:dyDescent="0.2">
      <c r="A1393" s="12"/>
      <c r="B1393" s="13"/>
    </row>
    <row r="1394" spans="1:2" x14ac:dyDescent="0.2">
      <c r="A1394" s="12"/>
      <c r="B1394" s="13"/>
    </row>
    <row r="1395" spans="1:2" x14ac:dyDescent="0.2">
      <c r="A1395" s="12"/>
      <c r="B1395" s="13"/>
    </row>
    <row r="1396" spans="1:2" x14ac:dyDescent="0.2">
      <c r="A1396" s="12"/>
      <c r="B1396" s="13"/>
    </row>
    <row r="1397" spans="1:2" x14ac:dyDescent="0.2">
      <c r="A1397" s="12"/>
      <c r="B1397" s="13"/>
    </row>
    <row r="1398" spans="1:2" x14ac:dyDescent="0.2">
      <c r="A1398" s="12"/>
      <c r="B1398" s="13"/>
    </row>
    <row r="1399" spans="1:2" x14ac:dyDescent="0.2">
      <c r="A1399" s="12"/>
      <c r="B1399" s="13"/>
    </row>
    <row r="1400" spans="1:2" x14ac:dyDescent="0.2">
      <c r="A1400" s="12"/>
      <c r="B1400" s="13"/>
    </row>
    <row r="1401" spans="1:2" x14ac:dyDescent="0.2">
      <c r="A1401" s="12"/>
      <c r="B1401" s="13"/>
    </row>
    <row r="1402" spans="1:2" x14ac:dyDescent="0.2">
      <c r="A1402" s="12"/>
      <c r="B1402" s="13"/>
    </row>
    <row r="1403" spans="1:2" x14ac:dyDescent="0.2">
      <c r="A1403" s="12"/>
      <c r="B1403" s="13"/>
    </row>
    <row r="1404" spans="1:2" x14ac:dyDescent="0.2">
      <c r="A1404" s="12"/>
      <c r="B1404" s="13"/>
    </row>
    <row r="1405" spans="1:2" x14ac:dyDescent="0.2">
      <c r="A1405" s="12"/>
      <c r="B1405" s="13"/>
    </row>
    <row r="1406" spans="1:2" x14ac:dyDescent="0.2">
      <c r="A1406" s="12"/>
      <c r="B1406" s="13"/>
    </row>
    <row r="1407" spans="1:2" x14ac:dyDescent="0.2">
      <c r="A1407" s="12"/>
      <c r="B1407" s="13"/>
    </row>
    <row r="1408" spans="1:2" x14ac:dyDescent="0.2">
      <c r="A1408" s="12"/>
      <c r="B1408" s="13"/>
    </row>
    <row r="1409" spans="1:2" x14ac:dyDescent="0.2">
      <c r="A1409" s="12"/>
      <c r="B1409" s="13"/>
    </row>
    <row r="1410" spans="1:2" x14ac:dyDescent="0.2">
      <c r="A1410" s="12"/>
      <c r="B1410" s="13"/>
    </row>
    <row r="1411" spans="1:2" x14ac:dyDescent="0.2">
      <c r="A1411" s="12"/>
      <c r="B1411" s="13"/>
    </row>
    <row r="1412" spans="1:2" x14ac:dyDescent="0.2">
      <c r="A1412" s="12"/>
      <c r="B1412" s="13"/>
    </row>
    <row r="1413" spans="1:2" x14ac:dyDescent="0.2">
      <c r="A1413" s="12"/>
      <c r="B1413" s="13"/>
    </row>
    <row r="1414" spans="1:2" x14ac:dyDescent="0.2">
      <c r="A1414" s="12"/>
      <c r="B1414" s="13"/>
    </row>
    <row r="1415" spans="1:2" x14ac:dyDescent="0.2">
      <c r="A1415" s="12"/>
      <c r="B1415" s="13"/>
    </row>
    <row r="1416" spans="1:2" x14ac:dyDescent="0.2">
      <c r="A1416" s="12"/>
      <c r="B1416" s="13"/>
    </row>
    <row r="1417" spans="1:2" x14ac:dyDescent="0.2">
      <c r="A1417" s="12"/>
      <c r="B1417" s="13"/>
    </row>
    <row r="1418" spans="1:2" x14ac:dyDescent="0.2">
      <c r="A1418" s="12"/>
      <c r="B1418" s="13"/>
    </row>
    <row r="1419" spans="1:2" x14ac:dyDescent="0.2">
      <c r="A1419" s="12"/>
      <c r="B1419" s="13"/>
    </row>
    <row r="1420" spans="1:2" x14ac:dyDescent="0.2">
      <c r="A1420" s="12"/>
      <c r="B1420" s="13"/>
    </row>
    <row r="1421" spans="1:2" x14ac:dyDescent="0.2">
      <c r="A1421" s="12"/>
      <c r="B1421" s="13"/>
    </row>
    <row r="1422" spans="1:2" x14ac:dyDescent="0.2">
      <c r="A1422" s="12"/>
      <c r="B1422" s="13"/>
    </row>
    <row r="1423" spans="1:2" x14ac:dyDescent="0.2">
      <c r="A1423" s="12"/>
      <c r="B1423" s="13"/>
    </row>
    <row r="1424" spans="1:2" x14ac:dyDescent="0.2">
      <c r="A1424" s="12"/>
      <c r="B1424" s="13"/>
    </row>
    <row r="1425" spans="1:2" x14ac:dyDescent="0.2">
      <c r="A1425" s="12"/>
      <c r="B1425" s="13"/>
    </row>
    <row r="1426" spans="1:2" x14ac:dyDescent="0.2">
      <c r="A1426" s="12"/>
      <c r="B1426" s="13"/>
    </row>
    <row r="1427" spans="1:2" x14ac:dyDescent="0.2">
      <c r="A1427" s="12"/>
      <c r="B1427" s="13"/>
    </row>
    <row r="1428" spans="1:2" x14ac:dyDescent="0.2">
      <c r="A1428" s="12"/>
      <c r="B1428" s="13"/>
    </row>
    <row r="1429" spans="1:2" x14ac:dyDescent="0.2">
      <c r="A1429" s="12"/>
      <c r="B1429" s="13"/>
    </row>
    <row r="1430" spans="1:2" x14ac:dyDescent="0.2">
      <c r="A1430" s="12"/>
      <c r="B1430" s="13"/>
    </row>
    <row r="1431" spans="1:2" x14ac:dyDescent="0.2">
      <c r="A1431" s="12"/>
      <c r="B1431" s="13"/>
    </row>
    <row r="1432" spans="1:2" x14ac:dyDescent="0.2">
      <c r="A1432" s="12"/>
      <c r="B1432" s="13"/>
    </row>
    <row r="1433" spans="1:2" x14ac:dyDescent="0.2">
      <c r="A1433" s="12"/>
      <c r="B1433" s="13"/>
    </row>
    <row r="1434" spans="1:2" x14ac:dyDescent="0.2">
      <c r="A1434" s="12"/>
      <c r="B1434" s="13"/>
    </row>
    <row r="1435" spans="1:2" x14ac:dyDescent="0.2">
      <c r="A1435" s="12"/>
      <c r="B1435" s="13"/>
    </row>
    <row r="1436" spans="1:2" x14ac:dyDescent="0.2">
      <c r="A1436" s="12"/>
      <c r="B1436" s="13"/>
    </row>
    <row r="1437" spans="1:2" x14ac:dyDescent="0.2">
      <c r="A1437" s="12"/>
      <c r="B1437" s="13"/>
    </row>
    <row r="1438" spans="1:2" x14ac:dyDescent="0.2">
      <c r="A1438" s="12"/>
      <c r="B1438" s="13"/>
    </row>
    <row r="1439" spans="1:2" x14ac:dyDescent="0.2">
      <c r="A1439" s="12"/>
      <c r="B1439" s="13"/>
    </row>
    <row r="1440" spans="1:2" x14ac:dyDescent="0.2">
      <c r="A1440" s="12"/>
      <c r="B1440" s="13"/>
    </row>
    <row r="1441" spans="1:2" x14ac:dyDescent="0.2">
      <c r="A1441" s="12"/>
      <c r="B1441" s="13"/>
    </row>
    <row r="1442" spans="1:2" x14ac:dyDescent="0.2">
      <c r="A1442" s="12"/>
      <c r="B1442" s="13"/>
    </row>
    <row r="1443" spans="1:2" x14ac:dyDescent="0.2">
      <c r="A1443" s="12"/>
      <c r="B1443" s="13"/>
    </row>
    <row r="1444" spans="1:2" x14ac:dyDescent="0.2">
      <c r="A1444" s="12"/>
      <c r="B1444" s="13"/>
    </row>
    <row r="1445" spans="1:2" x14ac:dyDescent="0.2">
      <c r="A1445" s="12"/>
      <c r="B1445" s="13"/>
    </row>
    <row r="1446" spans="1:2" x14ac:dyDescent="0.2">
      <c r="A1446" s="12"/>
      <c r="B1446" s="13"/>
    </row>
    <row r="1447" spans="1:2" x14ac:dyDescent="0.2">
      <c r="A1447" s="12"/>
      <c r="B1447" s="13"/>
    </row>
    <row r="1448" spans="1:2" x14ac:dyDescent="0.2">
      <c r="A1448" s="12"/>
      <c r="B1448" s="13"/>
    </row>
    <row r="1449" spans="1:2" x14ac:dyDescent="0.2">
      <c r="A1449" s="12"/>
      <c r="B1449" s="13"/>
    </row>
    <row r="1450" spans="1:2" x14ac:dyDescent="0.2">
      <c r="A1450" s="12"/>
      <c r="B1450" s="13"/>
    </row>
    <row r="1451" spans="1:2" x14ac:dyDescent="0.2">
      <c r="A1451" s="12"/>
      <c r="B1451" s="13"/>
    </row>
    <row r="1452" spans="1:2" x14ac:dyDescent="0.2">
      <c r="A1452" s="12"/>
      <c r="B1452" s="13"/>
    </row>
    <row r="1453" spans="1:2" x14ac:dyDescent="0.2">
      <c r="A1453" s="12"/>
      <c r="B1453" s="13"/>
    </row>
    <row r="1454" spans="1:2" x14ac:dyDescent="0.2">
      <c r="A1454" s="12"/>
      <c r="B1454" s="13"/>
    </row>
    <row r="1455" spans="1:2" x14ac:dyDescent="0.2">
      <c r="A1455" s="12"/>
      <c r="B1455" s="13"/>
    </row>
    <row r="1456" spans="1:2" x14ac:dyDescent="0.2">
      <c r="A1456" s="12"/>
      <c r="B1456" s="13"/>
    </row>
    <row r="1457" spans="1:2" x14ac:dyDescent="0.2">
      <c r="A1457" s="12"/>
      <c r="B1457" s="13"/>
    </row>
    <row r="1458" spans="1:2" x14ac:dyDescent="0.2">
      <c r="A1458" s="12"/>
      <c r="B1458" s="13"/>
    </row>
    <row r="1459" spans="1:2" x14ac:dyDescent="0.2">
      <c r="A1459" s="12"/>
      <c r="B1459" s="13"/>
    </row>
    <row r="1460" spans="1:2" x14ac:dyDescent="0.2">
      <c r="A1460" s="12"/>
      <c r="B1460" s="13"/>
    </row>
    <row r="1461" spans="1:2" x14ac:dyDescent="0.2">
      <c r="A1461" s="12"/>
      <c r="B1461" s="13"/>
    </row>
    <row r="1462" spans="1:2" x14ac:dyDescent="0.2">
      <c r="A1462" s="12"/>
      <c r="B1462" s="13"/>
    </row>
    <row r="1463" spans="1:2" x14ac:dyDescent="0.2">
      <c r="A1463" s="12"/>
      <c r="B1463" s="13"/>
    </row>
    <row r="1464" spans="1:2" x14ac:dyDescent="0.2">
      <c r="A1464" s="12"/>
      <c r="B1464" s="13"/>
    </row>
    <row r="1465" spans="1:2" x14ac:dyDescent="0.2">
      <c r="A1465" s="12"/>
      <c r="B1465" s="13"/>
    </row>
    <row r="1466" spans="1:2" x14ac:dyDescent="0.2">
      <c r="A1466" s="12"/>
      <c r="B1466" s="13"/>
    </row>
    <row r="1467" spans="1:2" x14ac:dyDescent="0.2">
      <c r="A1467" s="12"/>
      <c r="B1467" s="13"/>
    </row>
    <row r="1468" spans="1:2" x14ac:dyDescent="0.2">
      <c r="A1468" s="12"/>
      <c r="B1468" s="13"/>
    </row>
    <row r="1469" spans="1:2" x14ac:dyDescent="0.2">
      <c r="A1469" s="12"/>
      <c r="B1469" s="13"/>
    </row>
    <row r="1470" spans="1:2" x14ac:dyDescent="0.2">
      <c r="A1470" s="12"/>
      <c r="B1470" s="13"/>
    </row>
    <row r="1471" spans="1:2" x14ac:dyDescent="0.2">
      <c r="A1471" s="12"/>
      <c r="B1471" s="13"/>
    </row>
    <row r="1472" spans="1:2" x14ac:dyDescent="0.2">
      <c r="A1472" s="12"/>
      <c r="B1472" s="13"/>
    </row>
    <row r="1473" spans="1:2" x14ac:dyDescent="0.2">
      <c r="A1473" s="12"/>
      <c r="B1473" s="13"/>
    </row>
    <row r="1474" spans="1:2" x14ac:dyDescent="0.2">
      <c r="A1474" s="12"/>
      <c r="B1474" s="13"/>
    </row>
    <row r="1475" spans="1:2" x14ac:dyDescent="0.2">
      <c r="A1475" s="12"/>
      <c r="B1475" s="13"/>
    </row>
    <row r="1476" spans="1:2" x14ac:dyDescent="0.2">
      <c r="A1476" s="12"/>
      <c r="B1476" s="13"/>
    </row>
    <row r="1477" spans="1:2" x14ac:dyDescent="0.2">
      <c r="A1477" s="12"/>
      <c r="B1477" s="13"/>
    </row>
    <row r="1478" spans="1:2" x14ac:dyDescent="0.2">
      <c r="A1478" s="12"/>
      <c r="B1478" s="13"/>
    </row>
    <row r="1479" spans="1:2" x14ac:dyDescent="0.2">
      <c r="A1479" s="12"/>
      <c r="B1479" s="13"/>
    </row>
    <row r="1480" spans="1:2" x14ac:dyDescent="0.2">
      <c r="A1480" s="12"/>
      <c r="B1480" s="13"/>
    </row>
    <row r="1481" spans="1:2" x14ac:dyDescent="0.2">
      <c r="A1481" s="12"/>
      <c r="B1481" s="13"/>
    </row>
    <row r="1482" spans="1:2" x14ac:dyDescent="0.2">
      <c r="A1482" s="12"/>
      <c r="B1482" s="13"/>
    </row>
    <row r="1483" spans="1:2" x14ac:dyDescent="0.2">
      <c r="A1483" s="12"/>
      <c r="B1483" s="13"/>
    </row>
    <row r="1484" spans="1:2" x14ac:dyDescent="0.2">
      <c r="A1484" s="12"/>
      <c r="B1484" s="13"/>
    </row>
    <row r="1485" spans="1:2" x14ac:dyDescent="0.2">
      <c r="A1485" s="12"/>
      <c r="B1485" s="13"/>
    </row>
    <row r="1486" spans="1:2" x14ac:dyDescent="0.2">
      <c r="A1486" s="12"/>
      <c r="B1486" s="13"/>
    </row>
    <row r="1487" spans="1:2" x14ac:dyDescent="0.2">
      <c r="A1487" s="12"/>
      <c r="B1487" s="13"/>
    </row>
    <row r="1488" spans="1:2" x14ac:dyDescent="0.2">
      <c r="A1488" s="12"/>
      <c r="B1488" s="13"/>
    </row>
    <row r="1489" spans="1:2" x14ac:dyDescent="0.2">
      <c r="A1489" s="12"/>
      <c r="B1489" s="13"/>
    </row>
    <row r="1490" spans="1:2" x14ac:dyDescent="0.2">
      <c r="A1490" s="12"/>
      <c r="B1490" s="13"/>
    </row>
    <row r="1491" spans="1:2" x14ac:dyDescent="0.2">
      <c r="A1491" s="12"/>
      <c r="B1491" s="13"/>
    </row>
    <row r="1492" spans="1:2" x14ac:dyDescent="0.2">
      <c r="A1492" s="12"/>
      <c r="B1492" s="13"/>
    </row>
    <row r="1493" spans="1:2" x14ac:dyDescent="0.2">
      <c r="A1493" s="12"/>
      <c r="B1493" s="13"/>
    </row>
    <row r="1494" spans="1:2" x14ac:dyDescent="0.2">
      <c r="A1494" s="12"/>
      <c r="B1494" s="13"/>
    </row>
    <row r="1495" spans="1:2" x14ac:dyDescent="0.2">
      <c r="A1495" s="12"/>
      <c r="B1495" s="13"/>
    </row>
    <row r="1496" spans="1:2" x14ac:dyDescent="0.2">
      <c r="A1496" s="12"/>
      <c r="B1496" s="13"/>
    </row>
    <row r="1497" spans="1:2" x14ac:dyDescent="0.2">
      <c r="A1497" s="12"/>
      <c r="B1497" s="13"/>
    </row>
    <row r="1498" spans="1:2" x14ac:dyDescent="0.2">
      <c r="A1498" s="12"/>
      <c r="B1498" s="13"/>
    </row>
    <row r="1499" spans="1:2" x14ac:dyDescent="0.2">
      <c r="A1499" s="12"/>
      <c r="B1499" s="13"/>
    </row>
    <row r="1500" spans="1:2" x14ac:dyDescent="0.2">
      <c r="A1500" s="12"/>
      <c r="B1500" s="13"/>
    </row>
    <row r="1501" spans="1:2" x14ac:dyDescent="0.2">
      <c r="A1501" s="12"/>
      <c r="B1501" s="13"/>
    </row>
    <row r="1502" spans="1:2" x14ac:dyDescent="0.2">
      <c r="A1502" s="12"/>
      <c r="B1502" s="13"/>
    </row>
    <row r="1503" spans="1:2" x14ac:dyDescent="0.2">
      <c r="A1503" s="12"/>
      <c r="B1503" s="13"/>
    </row>
    <row r="1504" spans="1:2" x14ac:dyDescent="0.2">
      <c r="A1504" s="12"/>
      <c r="B1504" s="13"/>
    </row>
    <row r="1505" spans="1:2" x14ac:dyDescent="0.2">
      <c r="A1505" s="12"/>
      <c r="B1505" s="13"/>
    </row>
    <row r="1506" spans="1:2" x14ac:dyDescent="0.2">
      <c r="A1506" s="12"/>
      <c r="B1506" s="13"/>
    </row>
    <row r="1507" spans="1:2" x14ac:dyDescent="0.2">
      <c r="A1507" s="12"/>
      <c r="B1507" s="13"/>
    </row>
    <row r="1508" spans="1:2" x14ac:dyDescent="0.2">
      <c r="A1508" s="12"/>
      <c r="B1508" s="13"/>
    </row>
    <row r="1509" spans="1:2" x14ac:dyDescent="0.2">
      <c r="A1509" s="12"/>
      <c r="B1509" s="13"/>
    </row>
    <row r="1510" spans="1:2" x14ac:dyDescent="0.2">
      <c r="A1510" s="12"/>
      <c r="B1510" s="13"/>
    </row>
    <row r="1511" spans="1:2" x14ac:dyDescent="0.2">
      <c r="A1511" s="12"/>
      <c r="B1511" s="13"/>
    </row>
    <row r="1512" spans="1:2" x14ac:dyDescent="0.2">
      <c r="A1512" s="12"/>
      <c r="B1512" s="13"/>
    </row>
    <row r="1513" spans="1:2" x14ac:dyDescent="0.2">
      <c r="A1513" s="12"/>
      <c r="B1513" s="13"/>
    </row>
    <row r="1514" spans="1:2" x14ac:dyDescent="0.2">
      <c r="A1514" s="12"/>
      <c r="B1514" s="13"/>
    </row>
    <row r="1515" spans="1:2" x14ac:dyDescent="0.2">
      <c r="A1515" s="12"/>
      <c r="B1515" s="13"/>
    </row>
    <row r="1516" spans="1:2" x14ac:dyDescent="0.2">
      <c r="A1516" s="12"/>
      <c r="B1516" s="13"/>
    </row>
    <row r="1517" spans="1:2" x14ac:dyDescent="0.2">
      <c r="A1517" s="12"/>
      <c r="B1517" s="13"/>
    </row>
    <row r="1518" spans="1:2" x14ac:dyDescent="0.2">
      <c r="A1518" s="12"/>
      <c r="B1518" s="13"/>
    </row>
    <row r="1519" spans="1:2" x14ac:dyDescent="0.2">
      <c r="A1519" s="12"/>
      <c r="B1519" s="13"/>
    </row>
    <row r="1520" spans="1:2" x14ac:dyDescent="0.2">
      <c r="A1520" s="12"/>
      <c r="B1520" s="13"/>
    </row>
    <row r="1521" spans="1:2" x14ac:dyDescent="0.2">
      <c r="A1521" s="12"/>
      <c r="B1521" s="13"/>
    </row>
    <row r="1522" spans="1:2" x14ac:dyDescent="0.2">
      <c r="A1522" s="12"/>
      <c r="B1522" s="13"/>
    </row>
    <row r="1523" spans="1:2" x14ac:dyDescent="0.2">
      <c r="A1523" s="12"/>
      <c r="B1523" s="13"/>
    </row>
    <row r="1524" spans="1:2" x14ac:dyDescent="0.2">
      <c r="A1524" s="12"/>
      <c r="B1524" s="13"/>
    </row>
    <row r="1525" spans="1:2" x14ac:dyDescent="0.2">
      <c r="A1525" s="12"/>
      <c r="B1525" s="13"/>
    </row>
    <row r="1526" spans="1:2" x14ac:dyDescent="0.2">
      <c r="A1526" s="12"/>
      <c r="B1526" s="13"/>
    </row>
    <row r="1527" spans="1:2" x14ac:dyDescent="0.2">
      <c r="A1527" s="12"/>
      <c r="B1527" s="13"/>
    </row>
    <row r="1528" spans="1:2" x14ac:dyDescent="0.2">
      <c r="A1528" s="12"/>
      <c r="B1528" s="13"/>
    </row>
    <row r="1529" spans="1:2" x14ac:dyDescent="0.2">
      <c r="A1529" s="12"/>
      <c r="B1529" s="13"/>
    </row>
    <row r="1530" spans="1:2" x14ac:dyDescent="0.2">
      <c r="A1530" s="12"/>
      <c r="B1530" s="13"/>
    </row>
    <row r="1531" spans="1:2" x14ac:dyDescent="0.2">
      <c r="A1531" s="12"/>
      <c r="B1531" s="13"/>
    </row>
    <row r="1532" spans="1:2" x14ac:dyDescent="0.2">
      <c r="A1532" s="12"/>
      <c r="B1532" s="13"/>
    </row>
    <row r="1533" spans="1:2" x14ac:dyDescent="0.2">
      <c r="A1533" s="12"/>
      <c r="B1533" s="13"/>
    </row>
    <row r="1534" spans="1:2" x14ac:dyDescent="0.2">
      <c r="A1534" s="12"/>
      <c r="B1534" s="13"/>
    </row>
    <row r="1535" spans="1:2" x14ac:dyDescent="0.2">
      <c r="A1535" s="12"/>
      <c r="B1535" s="13"/>
    </row>
    <row r="1536" spans="1:2" x14ac:dyDescent="0.2">
      <c r="A1536" s="12"/>
      <c r="B1536" s="13"/>
    </row>
    <row r="1537" spans="1:2" x14ac:dyDescent="0.2">
      <c r="A1537" s="12"/>
      <c r="B1537" s="13"/>
    </row>
    <row r="1538" spans="1:2" x14ac:dyDescent="0.2">
      <c r="A1538" s="12"/>
      <c r="B1538" s="13"/>
    </row>
    <row r="1539" spans="1:2" x14ac:dyDescent="0.2">
      <c r="A1539" s="12"/>
      <c r="B1539" s="13"/>
    </row>
    <row r="1540" spans="1:2" x14ac:dyDescent="0.2">
      <c r="A1540" s="12"/>
      <c r="B1540" s="13"/>
    </row>
    <row r="1541" spans="1:2" x14ac:dyDescent="0.2">
      <c r="A1541" s="12"/>
      <c r="B1541" s="13"/>
    </row>
    <row r="1542" spans="1:2" x14ac:dyDescent="0.2">
      <c r="A1542" s="12"/>
      <c r="B1542" s="13"/>
    </row>
    <row r="1543" spans="1:2" x14ac:dyDescent="0.2">
      <c r="A1543" s="12"/>
      <c r="B1543" s="13"/>
    </row>
    <row r="1544" spans="1:2" x14ac:dyDescent="0.2">
      <c r="A1544" s="12"/>
      <c r="B1544" s="13"/>
    </row>
    <row r="1545" spans="1:2" x14ac:dyDescent="0.2">
      <c r="A1545" s="12"/>
      <c r="B1545" s="13"/>
    </row>
    <row r="1546" spans="1:2" x14ac:dyDescent="0.2">
      <c r="A1546" s="12"/>
      <c r="B1546" s="13"/>
    </row>
    <row r="1547" spans="1:2" x14ac:dyDescent="0.2">
      <c r="A1547" s="12"/>
      <c r="B1547" s="13"/>
    </row>
    <row r="1548" spans="1:2" x14ac:dyDescent="0.2">
      <c r="A1548" s="12"/>
      <c r="B1548" s="13"/>
    </row>
    <row r="1549" spans="1:2" x14ac:dyDescent="0.2">
      <c r="A1549" s="12"/>
      <c r="B1549" s="13"/>
    </row>
    <row r="1550" spans="1:2" x14ac:dyDescent="0.2">
      <c r="A1550" s="12"/>
      <c r="B1550" s="13"/>
    </row>
    <row r="1551" spans="1:2" x14ac:dyDescent="0.2">
      <c r="A1551" s="12"/>
      <c r="B1551" s="13"/>
    </row>
    <row r="1552" spans="1:2" x14ac:dyDescent="0.2">
      <c r="A1552" s="12"/>
      <c r="B1552" s="13"/>
    </row>
    <row r="1553" spans="1:2" x14ac:dyDescent="0.2">
      <c r="A1553" s="12"/>
      <c r="B1553" s="13"/>
    </row>
    <row r="1554" spans="1:2" x14ac:dyDescent="0.2">
      <c r="A1554" s="12"/>
      <c r="B1554" s="13"/>
    </row>
    <row r="1555" spans="1:2" x14ac:dyDescent="0.2">
      <c r="A1555" s="12"/>
      <c r="B1555" s="13"/>
    </row>
    <row r="1556" spans="1:2" x14ac:dyDescent="0.2">
      <c r="A1556" s="12"/>
      <c r="B1556" s="13"/>
    </row>
    <row r="1557" spans="1:2" x14ac:dyDescent="0.2">
      <c r="A1557" s="12"/>
      <c r="B1557" s="13"/>
    </row>
    <row r="1558" spans="1:2" x14ac:dyDescent="0.2">
      <c r="A1558" s="12"/>
      <c r="B1558" s="13"/>
    </row>
    <row r="1559" spans="1:2" x14ac:dyDescent="0.2">
      <c r="A1559" s="12"/>
      <c r="B1559" s="13"/>
    </row>
    <row r="1560" spans="1:2" x14ac:dyDescent="0.2">
      <c r="A1560" s="12"/>
      <c r="B1560" s="13"/>
    </row>
    <row r="1561" spans="1:2" x14ac:dyDescent="0.2">
      <c r="A1561" s="12"/>
      <c r="B1561" s="13"/>
    </row>
    <row r="1562" spans="1:2" x14ac:dyDescent="0.2">
      <c r="A1562" s="12"/>
      <c r="B1562" s="13"/>
    </row>
    <row r="1563" spans="1:2" x14ac:dyDescent="0.2">
      <c r="A1563" s="12"/>
      <c r="B1563" s="13"/>
    </row>
    <row r="1564" spans="1:2" x14ac:dyDescent="0.2">
      <c r="A1564" s="12"/>
      <c r="B1564" s="13"/>
    </row>
    <row r="1565" spans="1:2" x14ac:dyDescent="0.2">
      <c r="A1565" s="12"/>
      <c r="B1565" s="13"/>
    </row>
    <row r="1566" spans="1:2" x14ac:dyDescent="0.2">
      <c r="A1566" s="12"/>
      <c r="B1566" s="13"/>
    </row>
    <row r="1567" spans="1:2" x14ac:dyDescent="0.2">
      <c r="A1567" s="12"/>
      <c r="B1567" s="13"/>
    </row>
    <row r="1568" spans="1:2" x14ac:dyDescent="0.2">
      <c r="A1568" s="12"/>
      <c r="B1568" s="13"/>
    </row>
    <row r="1569" spans="1:2" x14ac:dyDescent="0.2">
      <c r="A1569" s="12"/>
      <c r="B1569" s="13"/>
    </row>
    <row r="1570" spans="1:2" x14ac:dyDescent="0.2">
      <c r="A1570" s="12"/>
      <c r="B1570" s="13"/>
    </row>
    <row r="1571" spans="1:2" x14ac:dyDescent="0.2">
      <c r="A1571" s="12"/>
      <c r="B1571" s="13"/>
    </row>
    <row r="1572" spans="1:2" x14ac:dyDescent="0.2">
      <c r="A1572" s="12"/>
      <c r="B1572" s="13"/>
    </row>
    <row r="1573" spans="1:2" x14ac:dyDescent="0.2">
      <c r="A1573" s="12"/>
      <c r="B1573" s="13"/>
    </row>
    <row r="1574" spans="1:2" x14ac:dyDescent="0.2">
      <c r="A1574" s="12"/>
      <c r="B1574" s="13"/>
    </row>
    <row r="1575" spans="1:2" x14ac:dyDescent="0.2">
      <c r="A1575" s="12"/>
      <c r="B1575" s="13"/>
    </row>
    <row r="1576" spans="1:2" x14ac:dyDescent="0.2">
      <c r="A1576" s="12"/>
      <c r="B1576" s="13"/>
    </row>
    <row r="1577" spans="1:2" x14ac:dyDescent="0.2">
      <c r="A1577" s="12"/>
      <c r="B1577" s="13"/>
    </row>
    <row r="1578" spans="1:2" x14ac:dyDescent="0.2">
      <c r="A1578" s="12"/>
      <c r="B1578" s="13"/>
    </row>
    <row r="1579" spans="1:2" x14ac:dyDescent="0.2">
      <c r="A1579" s="12"/>
      <c r="B1579" s="13"/>
    </row>
    <row r="1580" spans="1:2" x14ac:dyDescent="0.2">
      <c r="A1580" s="12"/>
      <c r="B1580" s="13"/>
    </row>
    <row r="1581" spans="1:2" x14ac:dyDescent="0.2">
      <c r="A1581" s="12"/>
      <c r="B1581" s="13"/>
    </row>
    <row r="1582" spans="1:2" x14ac:dyDescent="0.2">
      <c r="A1582" s="12"/>
      <c r="B1582" s="13"/>
    </row>
    <row r="1583" spans="1:2" x14ac:dyDescent="0.2">
      <c r="A1583" s="12"/>
      <c r="B1583" s="13"/>
    </row>
    <row r="1584" spans="1:2" x14ac:dyDescent="0.2">
      <c r="A1584" s="12"/>
      <c r="B1584" s="13"/>
    </row>
    <row r="1585" spans="1:2" x14ac:dyDescent="0.2">
      <c r="A1585" s="12"/>
      <c r="B1585" s="13"/>
    </row>
    <row r="1586" spans="1:2" x14ac:dyDescent="0.2">
      <c r="A1586" s="12"/>
      <c r="B1586" s="13"/>
    </row>
    <row r="1587" spans="1:2" x14ac:dyDescent="0.2">
      <c r="A1587" s="12"/>
      <c r="B1587" s="13"/>
    </row>
    <row r="1588" spans="1:2" x14ac:dyDescent="0.2">
      <c r="A1588" s="12"/>
      <c r="B1588" s="13"/>
    </row>
    <row r="1589" spans="1:2" x14ac:dyDescent="0.2">
      <c r="A1589" s="12"/>
      <c r="B1589" s="13"/>
    </row>
    <row r="1590" spans="1:2" x14ac:dyDescent="0.2">
      <c r="A1590" s="12"/>
      <c r="B1590" s="13"/>
    </row>
    <row r="1591" spans="1:2" x14ac:dyDescent="0.2">
      <c r="A1591" s="12"/>
      <c r="B1591" s="13"/>
    </row>
    <row r="1592" spans="1:2" x14ac:dyDescent="0.2">
      <c r="A1592" s="12"/>
      <c r="B1592" s="13"/>
    </row>
    <row r="1593" spans="1:2" x14ac:dyDescent="0.2">
      <c r="A1593" s="12"/>
      <c r="B1593" s="13"/>
    </row>
    <row r="1594" spans="1:2" x14ac:dyDescent="0.2">
      <c r="A1594" s="12"/>
      <c r="B1594" s="13"/>
    </row>
    <row r="1595" spans="1:2" x14ac:dyDescent="0.2">
      <c r="A1595" s="12"/>
      <c r="B1595" s="13"/>
    </row>
    <row r="1596" spans="1:2" x14ac:dyDescent="0.2">
      <c r="A1596" s="12"/>
      <c r="B1596" s="13"/>
    </row>
    <row r="1597" spans="1:2" x14ac:dyDescent="0.2">
      <c r="A1597" s="12"/>
      <c r="B1597" s="13"/>
    </row>
    <row r="1598" spans="1:2" x14ac:dyDescent="0.2">
      <c r="A1598" s="12"/>
      <c r="B1598" s="13"/>
    </row>
    <row r="1599" spans="1:2" x14ac:dyDescent="0.2">
      <c r="A1599" s="12"/>
      <c r="B1599" s="13"/>
    </row>
    <row r="1600" spans="1:2" x14ac:dyDescent="0.2">
      <c r="A1600" s="12"/>
      <c r="B1600" s="13"/>
    </row>
    <row r="1601" spans="1:2" x14ac:dyDescent="0.2">
      <c r="A1601" s="12"/>
      <c r="B1601" s="13"/>
    </row>
    <row r="1602" spans="1:2" x14ac:dyDescent="0.2">
      <c r="A1602" s="12"/>
      <c r="B1602" s="13"/>
    </row>
    <row r="1603" spans="1:2" x14ac:dyDescent="0.2">
      <c r="A1603" s="12"/>
      <c r="B1603" s="13"/>
    </row>
    <row r="1604" spans="1:2" x14ac:dyDescent="0.2">
      <c r="A1604" s="12"/>
      <c r="B1604" s="13"/>
    </row>
    <row r="1605" spans="1:2" x14ac:dyDescent="0.2">
      <c r="A1605" s="12"/>
      <c r="B1605" s="13"/>
    </row>
    <row r="1606" spans="1:2" x14ac:dyDescent="0.2">
      <c r="A1606" s="12"/>
      <c r="B1606" s="13"/>
    </row>
    <row r="1607" spans="1:2" x14ac:dyDescent="0.2">
      <c r="A1607" s="12"/>
      <c r="B1607" s="13"/>
    </row>
    <row r="1608" spans="1:2" x14ac:dyDescent="0.2">
      <c r="A1608" s="12"/>
      <c r="B1608" s="13"/>
    </row>
    <row r="1609" spans="1:2" x14ac:dyDescent="0.2">
      <c r="A1609" s="12"/>
      <c r="B1609" s="13"/>
    </row>
    <row r="1610" spans="1:2" x14ac:dyDescent="0.2">
      <c r="A1610" s="12"/>
      <c r="B1610" s="13"/>
    </row>
    <row r="1611" spans="1:2" x14ac:dyDescent="0.2">
      <c r="A1611" s="12"/>
      <c r="B1611" s="13"/>
    </row>
    <row r="1612" spans="1:2" x14ac:dyDescent="0.2">
      <c r="A1612" s="12"/>
      <c r="B1612" s="13"/>
    </row>
    <row r="1613" spans="1:2" x14ac:dyDescent="0.2">
      <c r="A1613" s="12"/>
      <c r="B1613" s="13"/>
    </row>
    <row r="1614" spans="1:2" x14ac:dyDescent="0.2">
      <c r="A1614" s="12"/>
      <c r="B1614" s="13"/>
    </row>
    <row r="1615" spans="1:2" x14ac:dyDescent="0.2">
      <c r="A1615" s="12"/>
      <c r="B1615" s="13"/>
    </row>
    <row r="1616" spans="1:2" x14ac:dyDescent="0.2">
      <c r="A1616" s="12"/>
      <c r="B1616" s="13"/>
    </row>
    <row r="1617" spans="1:2" x14ac:dyDescent="0.2">
      <c r="A1617" s="12"/>
      <c r="B1617" s="13"/>
    </row>
    <row r="1618" spans="1:2" x14ac:dyDescent="0.2">
      <c r="A1618" s="12"/>
      <c r="B1618" s="13"/>
    </row>
    <row r="1619" spans="1:2" x14ac:dyDescent="0.2">
      <c r="A1619" s="12"/>
      <c r="B1619" s="13"/>
    </row>
    <row r="1620" spans="1:2" x14ac:dyDescent="0.2">
      <c r="A1620" s="12"/>
      <c r="B1620" s="13"/>
    </row>
    <row r="1621" spans="1:2" x14ac:dyDescent="0.2">
      <c r="A1621" s="12"/>
      <c r="B1621" s="13"/>
    </row>
    <row r="1622" spans="1:2" x14ac:dyDescent="0.2">
      <c r="A1622" s="12"/>
      <c r="B1622" s="13"/>
    </row>
    <row r="1623" spans="1:2" x14ac:dyDescent="0.2">
      <c r="A1623" s="12"/>
      <c r="B1623" s="13"/>
    </row>
    <row r="1624" spans="1:2" x14ac:dyDescent="0.2">
      <c r="A1624" s="12"/>
      <c r="B1624" s="13"/>
    </row>
    <row r="1625" spans="1:2" x14ac:dyDescent="0.2">
      <c r="A1625" s="12"/>
      <c r="B1625" s="13"/>
    </row>
    <row r="1626" spans="1:2" x14ac:dyDescent="0.2">
      <c r="A1626" s="12"/>
      <c r="B1626" s="13"/>
    </row>
    <row r="1627" spans="1:2" x14ac:dyDescent="0.2">
      <c r="A1627" s="12"/>
      <c r="B1627" s="13"/>
    </row>
    <row r="1628" spans="1:2" x14ac:dyDescent="0.2">
      <c r="A1628" s="12"/>
      <c r="B1628" s="13"/>
    </row>
    <row r="1629" spans="1:2" x14ac:dyDescent="0.2">
      <c r="A1629" s="12"/>
      <c r="B1629" s="13"/>
    </row>
    <row r="1630" spans="1:2" x14ac:dyDescent="0.2">
      <c r="A1630" s="12"/>
      <c r="B1630" s="13"/>
    </row>
    <row r="1631" spans="1:2" x14ac:dyDescent="0.2">
      <c r="A1631" s="12"/>
      <c r="B1631" s="13"/>
    </row>
    <row r="1632" spans="1:2" x14ac:dyDescent="0.2">
      <c r="A1632" s="12"/>
      <c r="B1632" s="13"/>
    </row>
    <row r="1633" spans="1:2" x14ac:dyDescent="0.2">
      <c r="A1633" s="12"/>
      <c r="B1633" s="13"/>
    </row>
    <row r="1634" spans="1:2" x14ac:dyDescent="0.2">
      <c r="A1634" s="12"/>
      <c r="B1634" s="13"/>
    </row>
    <row r="1635" spans="1:2" x14ac:dyDescent="0.2">
      <c r="A1635" s="12"/>
      <c r="B1635" s="13"/>
    </row>
    <row r="1636" spans="1:2" x14ac:dyDescent="0.2">
      <c r="A1636" s="12"/>
      <c r="B1636" s="13"/>
    </row>
    <row r="1637" spans="1:2" x14ac:dyDescent="0.2">
      <c r="A1637" s="12"/>
      <c r="B1637" s="13"/>
    </row>
    <row r="1638" spans="1:2" x14ac:dyDescent="0.2">
      <c r="A1638" s="12"/>
      <c r="B1638" s="13"/>
    </row>
    <row r="1639" spans="1:2" x14ac:dyDescent="0.2">
      <c r="A1639" s="12"/>
      <c r="B1639" s="13"/>
    </row>
    <row r="1640" spans="1:2" x14ac:dyDescent="0.2">
      <c r="A1640" s="12"/>
      <c r="B1640" s="13"/>
    </row>
    <row r="1641" spans="1:2" x14ac:dyDescent="0.2">
      <c r="A1641" s="12"/>
      <c r="B1641" s="13"/>
    </row>
    <row r="1642" spans="1:2" x14ac:dyDescent="0.2">
      <c r="A1642" s="12"/>
      <c r="B1642" s="13"/>
    </row>
    <row r="1643" spans="1:2" x14ac:dyDescent="0.2">
      <c r="A1643" s="12"/>
      <c r="B1643" s="13"/>
    </row>
    <row r="1644" spans="1:2" x14ac:dyDescent="0.2">
      <c r="A1644" s="12"/>
      <c r="B1644" s="13"/>
    </row>
    <row r="1645" spans="1:2" x14ac:dyDescent="0.2">
      <c r="A1645" s="12"/>
      <c r="B1645" s="13"/>
    </row>
    <row r="1646" spans="1:2" x14ac:dyDescent="0.2">
      <c r="A1646" s="12"/>
      <c r="B1646" s="13"/>
    </row>
    <row r="1647" spans="1:2" x14ac:dyDescent="0.2">
      <c r="A1647" s="12"/>
      <c r="B1647" s="13"/>
    </row>
    <row r="1648" spans="1:2" x14ac:dyDescent="0.2">
      <c r="A1648" s="12"/>
      <c r="B1648" s="13"/>
    </row>
    <row r="1649" spans="1:2" x14ac:dyDescent="0.2">
      <c r="A1649" s="12"/>
      <c r="B1649" s="13"/>
    </row>
    <row r="1650" spans="1:2" x14ac:dyDescent="0.2">
      <c r="A1650" s="12"/>
      <c r="B1650" s="13"/>
    </row>
    <row r="1651" spans="1:2" x14ac:dyDescent="0.2">
      <c r="A1651" s="12"/>
      <c r="B1651" s="13"/>
    </row>
    <row r="1652" spans="1:2" x14ac:dyDescent="0.2">
      <c r="A1652" s="12"/>
      <c r="B1652" s="13"/>
    </row>
    <row r="1653" spans="1:2" x14ac:dyDescent="0.2">
      <c r="A1653" s="12"/>
      <c r="B1653" s="13"/>
    </row>
    <row r="1654" spans="1:2" x14ac:dyDescent="0.2">
      <c r="A1654" s="12"/>
      <c r="B1654" s="13"/>
    </row>
    <row r="1655" spans="1:2" x14ac:dyDescent="0.2">
      <c r="A1655" s="12"/>
      <c r="B1655" s="13"/>
    </row>
    <row r="1656" spans="1:2" x14ac:dyDescent="0.2">
      <c r="A1656" s="12"/>
      <c r="B1656" s="13"/>
    </row>
    <row r="1657" spans="1:2" x14ac:dyDescent="0.2">
      <c r="A1657" s="12"/>
      <c r="B1657" s="13"/>
    </row>
    <row r="1658" spans="1:2" x14ac:dyDescent="0.2">
      <c r="A1658" s="12"/>
      <c r="B1658" s="13"/>
    </row>
    <row r="1659" spans="1:2" x14ac:dyDescent="0.2">
      <c r="A1659" s="12"/>
      <c r="B1659" s="13"/>
    </row>
    <row r="1660" spans="1:2" x14ac:dyDescent="0.2">
      <c r="A1660" s="12"/>
      <c r="B1660" s="13"/>
    </row>
    <row r="1661" spans="1:2" x14ac:dyDescent="0.2">
      <c r="A1661" s="12"/>
      <c r="B1661" s="13"/>
    </row>
    <row r="1662" spans="1:2" x14ac:dyDescent="0.2">
      <c r="A1662" s="12"/>
      <c r="B1662" s="13"/>
    </row>
    <row r="1663" spans="1:2" x14ac:dyDescent="0.2">
      <c r="A1663" s="12"/>
      <c r="B1663" s="13"/>
    </row>
    <row r="1664" spans="1:2" x14ac:dyDescent="0.2">
      <c r="A1664" s="12"/>
      <c r="B1664" s="13"/>
    </row>
    <row r="1665" spans="1:2" x14ac:dyDescent="0.2">
      <c r="A1665" s="12"/>
      <c r="B1665" s="13"/>
    </row>
    <row r="1666" spans="1:2" x14ac:dyDescent="0.2">
      <c r="A1666" s="12"/>
      <c r="B1666" s="13"/>
    </row>
    <row r="1667" spans="1:2" x14ac:dyDescent="0.2">
      <c r="A1667" s="12"/>
      <c r="B1667" s="13"/>
    </row>
    <row r="1668" spans="1:2" x14ac:dyDescent="0.2">
      <c r="A1668" s="12"/>
      <c r="B1668" s="13"/>
    </row>
    <row r="1669" spans="1:2" x14ac:dyDescent="0.2">
      <c r="A1669" s="12"/>
      <c r="B1669" s="13"/>
    </row>
    <row r="1670" spans="1:2" x14ac:dyDescent="0.2">
      <c r="A1670" s="12"/>
      <c r="B1670" s="13"/>
    </row>
    <row r="1671" spans="1:2" x14ac:dyDescent="0.2">
      <c r="A1671" s="12"/>
      <c r="B1671" s="13"/>
    </row>
    <row r="1672" spans="1:2" x14ac:dyDescent="0.2">
      <c r="A1672" s="12"/>
      <c r="B1672" s="13"/>
    </row>
    <row r="1673" spans="1:2" x14ac:dyDescent="0.2">
      <c r="A1673" s="12"/>
      <c r="B1673" s="13"/>
    </row>
    <row r="1674" spans="1:2" x14ac:dyDescent="0.2">
      <c r="A1674" s="12"/>
      <c r="B1674" s="13"/>
    </row>
    <row r="1675" spans="1:2" x14ac:dyDescent="0.2">
      <c r="A1675" s="12"/>
      <c r="B1675" s="13"/>
    </row>
    <row r="1676" spans="1:2" x14ac:dyDescent="0.2">
      <c r="A1676" s="12"/>
      <c r="B1676" s="13"/>
    </row>
    <row r="1677" spans="1:2" x14ac:dyDescent="0.2">
      <c r="A1677" s="12"/>
      <c r="B1677" s="13"/>
    </row>
    <row r="1678" spans="1:2" x14ac:dyDescent="0.2">
      <c r="A1678" s="12"/>
      <c r="B1678" s="13"/>
    </row>
    <row r="1679" spans="1:2" x14ac:dyDescent="0.2">
      <c r="A1679" s="12"/>
      <c r="B1679" s="13"/>
    </row>
    <row r="1680" spans="1:2" x14ac:dyDescent="0.2">
      <c r="A1680" s="12"/>
      <c r="B1680" s="13"/>
    </row>
    <row r="1681" spans="1:2" x14ac:dyDescent="0.2">
      <c r="A1681" s="12"/>
      <c r="B1681" s="13"/>
    </row>
    <row r="1682" spans="1:2" x14ac:dyDescent="0.2">
      <c r="A1682" s="12"/>
      <c r="B1682" s="13"/>
    </row>
    <row r="1683" spans="1:2" x14ac:dyDescent="0.2">
      <c r="A1683" s="12"/>
      <c r="B1683" s="13"/>
    </row>
    <row r="1684" spans="1:2" x14ac:dyDescent="0.2">
      <c r="A1684" s="12"/>
      <c r="B1684" s="13"/>
    </row>
    <row r="1685" spans="1:2" x14ac:dyDescent="0.2">
      <c r="A1685" s="12"/>
      <c r="B1685" s="13"/>
    </row>
    <row r="1686" spans="1:2" x14ac:dyDescent="0.2">
      <c r="A1686" s="12"/>
      <c r="B1686" s="13"/>
    </row>
    <row r="1687" spans="1:2" x14ac:dyDescent="0.2">
      <c r="A1687" s="12"/>
      <c r="B1687" s="13"/>
    </row>
    <row r="1688" spans="1:2" x14ac:dyDescent="0.2">
      <c r="A1688" s="12"/>
      <c r="B1688" s="13"/>
    </row>
    <row r="1689" spans="1:2" x14ac:dyDescent="0.2">
      <c r="A1689" s="12"/>
      <c r="B1689" s="13"/>
    </row>
    <row r="1690" spans="1:2" x14ac:dyDescent="0.2">
      <c r="A1690" s="12"/>
      <c r="B1690" s="13"/>
    </row>
    <row r="1691" spans="1:2" x14ac:dyDescent="0.2">
      <c r="A1691" s="12"/>
      <c r="B1691" s="13"/>
    </row>
    <row r="1692" spans="1:2" x14ac:dyDescent="0.2">
      <c r="A1692" s="12"/>
      <c r="B1692" s="13"/>
    </row>
    <row r="1693" spans="1:2" x14ac:dyDescent="0.2">
      <c r="A1693" s="12"/>
      <c r="B1693" s="13"/>
    </row>
    <row r="1694" spans="1:2" x14ac:dyDescent="0.2">
      <c r="A1694" s="12"/>
      <c r="B1694" s="13"/>
    </row>
    <row r="1695" spans="1:2" x14ac:dyDescent="0.2">
      <c r="A1695" s="12"/>
      <c r="B1695" s="13"/>
    </row>
    <row r="1696" spans="1:2" x14ac:dyDescent="0.2">
      <c r="A1696" s="12"/>
      <c r="B1696" s="13"/>
    </row>
    <row r="1697" spans="1:2" x14ac:dyDescent="0.2">
      <c r="A1697" s="12"/>
      <c r="B1697" s="13"/>
    </row>
    <row r="1698" spans="1:2" x14ac:dyDescent="0.2">
      <c r="A1698" s="12"/>
      <c r="B1698" s="13"/>
    </row>
    <row r="1699" spans="1:2" x14ac:dyDescent="0.2">
      <c r="A1699" s="12"/>
      <c r="B1699" s="13"/>
    </row>
    <row r="1700" spans="1:2" x14ac:dyDescent="0.2">
      <c r="A1700" s="12"/>
      <c r="B1700" s="13"/>
    </row>
    <row r="1701" spans="1:2" x14ac:dyDescent="0.2">
      <c r="A1701" s="12"/>
      <c r="B1701" s="13"/>
    </row>
    <row r="1702" spans="1:2" x14ac:dyDescent="0.2">
      <c r="A1702" s="12"/>
      <c r="B1702" s="13"/>
    </row>
    <row r="1703" spans="1:2" x14ac:dyDescent="0.2">
      <c r="A1703" s="12"/>
      <c r="B1703" s="13"/>
    </row>
    <row r="1704" spans="1:2" x14ac:dyDescent="0.2">
      <c r="A1704" s="12"/>
      <c r="B1704" s="13"/>
    </row>
    <row r="1705" spans="1:2" x14ac:dyDescent="0.2">
      <c r="A1705" s="12"/>
      <c r="B1705" s="13"/>
    </row>
    <row r="1706" spans="1:2" x14ac:dyDescent="0.2">
      <c r="A1706" s="12"/>
      <c r="B1706" s="13"/>
    </row>
    <row r="1707" spans="1:2" x14ac:dyDescent="0.2">
      <c r="A1707" s="12"/>
      <c r="B1707" s="13"/>
    </row>
    <row r="1708" spans="1:2" x14ac:dyDescent="0.2">
      <c r="A1708" s="12"/>
      <c r="B1708" s="13"/>
    </row>
    <row r="1709" spans="1:2" x14ac:dyDescent="0.2">
      <c r="A1709" s="12"/>
      <c r="B1709" s="13"/>
    </row>
    <row r="1710" spans="1:2" x14ac:dyDescent="0.2">
      <c r="A1710" s="12"/>
      <c r="B1710" s="13"/>
    </row>
    <row r="1711" spans="1:2" x14ac:dyDescent="0.2">
      <c r="A1711" s="12"/>
      <c r="B1711" s="13"/>
    </row>
    <row r="1712" spans="1:2" x14ac:dyDescent="0.2">
      <c r="A1712" s="12"/>
      <c r="B1712" s="13"/>
    </row>
    <row r="1713" spans="1:2" x14ac:dyDescent="0.2">
      <c r="A1713" s="12"/>
      <c r="B1713" s="13"/>
    </row>
    <row r="1714" spans="1:2" x14ac:dyDescent="0.2">
      <c r="A1714" s="12"/>
      <c r="B1714" s="13"/>
    </row>
    <row r="1715" spans="1:2" x14ac:dyDescent="0.2">
      <c r="A1715" s="12"/>
      <c r="B1715" s="13"/>
    </row>
    <row r="1716" spans="1:2" x14ac:dyDescent="0.2">
      <c r="A1716" s="12"/>
      <c r="B1716" s="13"/>
    </row>
    <row r="1717" spans="1:2" x14ac:dyDescent="0.2">
      <c r="A1717" s="12"/>
      <c r="B1717" s="13"/>
    </row>
    <row r="1718" spans="1:2" x14ac:dyDescent="0.2">
      <c r="A1718" s="12"/>
      <c r="B1718" s="13"/>
    </row>
    <row r="1719" spans="1:2" x14ac:dyDescent="0.2">
      <c r="A1719" s="12"/>
      <c r="B1719" s="13"/>
    </row>
    <row r="1720" spans="1:2" x14ac:dyDescent="0.2">
      <c r="A1720" s="12"/>
      <c r="B1720" s="13"/>
    </row>
    <row r="1721" spans="1:2" x14ac:dyDescent="0.2">
      <c r="A1721" s="12"/>
      <c r="B1721" s="13"/>
    </row>
    <row r="1722" spans="1:2" x14ac:dyDescent="0.2">
      <c r="A1722" s="12"/>
      <c r="B1722" s="13"/>
    </row>
    <row r="1723" spans="1:2" x14ac:dyDescent="0.2">
      <c r="A1723" s="12"/>
      <c r="B1723" s="13"/>
    </row>
    <row r="1724" spans="1:2" x14ac:dyDescent="0.2">
      <c r="A1724" s="12"/>
      <c r="B1724" s="13"/>
    </row>
    <row r="1725" spans="1:2" x14ac:dyDescent="0.2">
      <c r="A1725" s="12"/>
      <c r="B1725" s="13"/>
    </row>
    <row r="1726" spans="1:2" x14ac:dyDescent="0.2">
      <c r="A1726" s="12"/>
      <c r="B1726" s="13"/>
    </row>
    <row r="1727" spans="1:2" x14ac:dyDescent="0.2">
      <c r="A1727" s="12"/>
      <c r="B1727" s="13"/>
    </row>
    <row r="1728" spans="1:2" x14ac:dyDescent="0.2">
      <c r="A1728" s="12"/>
      <c r="B1728" s="13"/>
    </row>
    <row r="1729" spans="1:2" x14ac:dyDescent="0.2">
      <c r="A1729" s="12"/>
      <c r="B1729" s="13"/>
    </row>
    <row r="1730" spans="1:2" x14ac:dyDescent="0.2">
      <c r="A1730" s="12"/>
      <c r="B1730" s="13"/>
    </row>
    <row r="1731" spans="1:2" x14ac:dyDescent="0.2">
      <c r="A1731" s="12"/>
      <c r="B1731" s="13"/>
    </row>
    <row r="1732" spans="1:2" x14ac:dyDescent="0.2">
      <c r="A1732" s="12"/>
      <c r="B1732" s="13"/>
    </row>
    <row r="1733" spans="1:2" x14ac:dyDescent="0.2">
      <c r="A1733" s="12"/>
      <c r="B1733" s="13"/>
    </row>
    <row r="1734" spans="1:2" x14ac:dyDescent="0.2">
      <c r="A1734" s="12"/>
      <c r="B1734" s="13"/>
    </row>
    <row r="1735" spans="1:2" x14ac:dyDescent="0.2">
      <c r="A1735" s="12"/>
      <c r="B1735" s="13"/>
    </row>
    <row r="1736" spans="1:2" x14ac:dyDescent="0.2">
      <c r="A1736" s="12"/>
      <c r="B1736" s="13"/>
    </row>
    <row r="1737" spans="1:2" x14ac:dyDescent="0.2">
      <c r="A1737" s="12"/>
      <c r="B1737" s="13"/>
    </row>
    <row r="1738" spans="1:2" x14ac:dyDescent="0.2">
      <c r="A1738" s="12"/>
      <c r="B1738" s="13"/>
    </row>
    <row r="1739" spans="1:2" x14ac:dyDescent="0.2">
      <c r="A1739" s="12"/>
      <c r="B1739" s="13"/>
    </row>
    <row r="1740" spans="1:2" x14ac:dyDescent="0.2">
      <c r="A1740" s="12"/>
      <c r="B1740" s="13"/>
    </row>
    <row r="1741" spans="1:2" x14ac:dyDescent="0.2">
      <c r="A1741" s="12"/>
      <c r="B1741" s="13"/>
    </row>
    <row r="1742" spans="1:2" x14ac:dyDescent="0.2">
      <c r="A1742" s="12"/>
      <c r="B1742" s="13"/>
    </row>
    <row r="1743" spans="1:2" x14ac:dyDescent="0.2">
      <c r="A1743" s="12"/>
      <c r="B1743" s="13"/>
    </row>
    <row r="1744" spans="1:2" x14ac:dyDescent="0.2">
      <c r="A1744" s="12"/>
      <c r="B1744" s="13"/>
    </row>
    <row r="1745" spans="1:2" x14ac:dyDescent="0.2">
      <c r="A1745" s="12"/>
      <c r="B1745" s="13"/>
    </row>
    <row r="1746" spans="1:2" x14ac:dyDescent="0.2">
      <c r="A1746" s="12"/>
      <c r="B1746" s="13"/>
    </row>
    <row r="1747" spans="1:2" x14ac:dyDescent="0.2">
      <c r="A1747" s="12"/>
      <c r="B1747" s="13"/>
    </row>
    <row r="1748" spans="1:2" x14ac:dyDescent="0.2">
      <c r="A1748" s="12"/>
      <c r="B1748" s="13"/>
    </row>
    <row r="1749" spans="1:2" x14ac:dyDescent="0.2">
      <c r="A1749" s="12"/>
      <c r="B1749" s="13"/>
    </row>
    <row r="1750" spans="1:2" x14ac:dyDescent="0.2">
      <c r="A1750" s="12"/>
      <c r="B1750" s="13"/>
    </row>
    <row r="1751" spans="1:2" x14ac:dyDescent="0.2">
      <c r="A1751" s="12"/>
      <c r="B1751" s="13"/>
    </row>
    <row r="1752" spans="1:2" x14ac:dyDescent="0.2">
      <c r="A1752" s="12"/>
      <c r="B1752" s="13"/>
    </row>
    <row r="1753" spans="1:2" x14ac:dyDescent="0.2">
      <c r="A1753" s="12"/>
      <c r="B1753" s="13"/>
    </row>
    <row r="1754" spans="1:2" x14ac:dyDescent="0.2">
      <c r="A1754" s="12"/>
      <c r="B1754" s="13"/>
    </row>
    <row r="1755" spans="1:2" x14ac:dyDescent="0.2">
      <c r="A1755" s="12"/>
      <c r="B1755" s="13"/>
    </row>
    <row r="1756" spans="1:2" x14ac:dyDescent="0.2">
      <c r="A1756" s="12"/>
      <c r="B1756" s="13"/>
    </row>
    <row r="1757" spans="1:2" x14ac:dyDescent="0.2">
      <c r="A1757" s="12"/>
      <c r="B1757" s="13"/>
    </row>
    <row r="1758" spans="1:2" x14ac:dyDescent="0.2">
      <c r="A1758" s="12"/>
      <c r="B1758" s="13"/>
    </row>
    <row r="1759" spans="1:2" x14ac:dyDescent="0.2">
      <c r="A1759" s="12"/>
      <c r="B1759" s="13"/>
    </row>
    <row r="1760" spans="1:2" x14ac:dyDescent="0.2">
      <c r="A1760" s="12"/>
      <c r="B1760" s="13"/>
    </row>
    <row r="1761" spans="1:2" x14ac:dyDescent="0.2">
      <c r="A1761" s="12"/>
      <c r="B1761" s="13"/>
    </row>
    <row r="1762" spans="1:2" x14ac:dyDescent="0.2">
      <c r="A1762" s="12"/>
      <c r="B1762" s="13"/>
    </row>
    <row r="1763" spans="1:2" x14ac:dyDescent="0.2">
      <c r="A1763" s="12"/>
      <c r="B1763" s="13"/>
    </row>
    <row r="1764" spans="1:2" x14ac:dyDescent="0.2">
      <c r="A1764" s="12"/>
      <c r="B1764" s="13"/>
    </row>
    <row r="1765" spans="1:2" x14ac:dyDescent="0.2">
      <c r="A1765" s="12"/>
      <c r="B1765" s="13"/>
    </row>
    <row r="1766" spans="1:2" x14ac:dyDescent="0.2">
      <c r="A1766" s="12"/>
      <c r="B1766" s="13"/>
    </row>
    <row r="1767" spans="1:2" x14ac:dyDescent="0.2">
      <c r="A1767" s="12"/>
      <c r="B1767" s="13"/>
    </row>
    <row r="1768" spans="1:2" x14ac:dyDescent="0.2">
      <c r="A1768" s="12"/>
      <c r="B1768" s="13"/>
    </row>
    <row r="1769" spans="1:2" x14ac:dyDescent="0.2">
      <c r="A1769" s="12"/>
      <c r="B1769" s="13"/>
    </row>
    <row r="1770" spans="1:2" x14ac:dyDescent="0.2">
      <c r="A1770" s="12"/>
      <c r="B1770" s="13"/>
    </row>
    <row r="1771" spans="1:2" x14ac:dyDescent="0.2">
      <c r="A1771" s="12"/>
      <c r="B1771" s="13"/>
    </row>
    <row r="1772" spans="1:2" x14ac:dyDescent="0.2">
      <c r="A1772" s="12"/>
      <c r="B1772" s="13"/>
    </row>
    <row r="1773" spans="1:2" x14ac:dyDescent="0.2">
      <c r="A1773" s="12"/>
      <c r="B1773" s="13"/>
    </row>
    <row r="1774" spans="1:2" x14ac:dyDescent="0.2">
      <c r="A1774" s="12"/>
      <c r="B1774" s="13"/>
    </row>
    <row r="1775" spans="1:2" x14ac:dyDescent="0.2">
      <c r="A1775" s="12"/>
      <c r="B1775" s="13"/>
    </row>
    <row r="1776" spans="1:2" x14ac:dyDescent="0.2">
      <c r="A1776" s="12"/>
      <c r="B1776" s="13"/>
    </row>
    <row r="1777" spans="1:2" x14ac:dyDescent="0.2">
      <c r="A1777" s="12"/>
      <c r="B1777" s="13"/>
    </row>
    <row r="1778" spans="1:2" x14ac:dyDescent="0.2">
      <c r="A1778" s="12"/>
      <c r="B1778" s="13"/>
    </row>
    <row r="1779" spans="1:2" x14ac:dyDescent="0.2">
      <c r="A1779" s="12"/>
      <c r="B1779" s="13"/>
    </row>
    <row r="1780" spans="1:2" x14ac:dyDescent="0.2">
      <c r="A1780" s="12"/>
      <c r="B1780" s="13"/>
    </row>
    <row r="1781" spans="1:2" x14ac:dyDescent="0.2">
      <c r="A1781" s="12"/>
      <c r="B1781" s="13"/>
    </row>
    <row r="1782" spans="1:2" x14ac:dyDescent="0.2">
      <c r="A1782" s="12"/>
      <c r="B1782" s="13"/>
    </row>
    <row r="1783" spans="1:2" x14ac:dyDescent="0.2">
      <c r="A1783" s="12"/>
      <c r="B1783" s="13"/>
    </row>
    <row r="1784" spans="1:2" x14ac:dyDescent="0.2">
      <c r="A1784" s="12"/>
      <c r="B1784" s="13"/>
    </row>
    <row r="1785" spans="1:2" x14ac:dyDescent="0.2">
      <c r="A1785" s="12"/>
      <c r="B1785" s="13"/>
    </row>
    <row r="1786" spans="1:2" x14ac:dyDescent="0.2">
      <c r="A1786" s="12"/>
      <c r="B1786" s="13"/>
    </row>
    <row r="1787" spans="1:2" x14ac:dyDescent="0.2">
      <c r="A1787" s="12"/>
      <c r="B1787" s="13"/>
    </row>
    <row r="1788" spans="1:2" x14ac:dyDescent="0.2">
      <c r="A1788" s="12"/>
      <c r="B1788" s="13"/>
    </row>
    <row r="1789" spans="1:2" x14ac:dyDescent="0.2">
      <c r="A1789" s="12"/>
      <c r="B1789" s="13"/>
    </row>
    <row r="1790" spans="1:2" x14ac:dyDescent="0.2">
      <c r="A1790" s="12"/>
      <c r="B1790" s="13"/>
    </row>
    <row r="1791" spans="1:2" x14ac:dyDescent="0.2">
      <c r="A1791" s="12"/>
      <c r="B1791" s="13"/>
    </row>
    <row r="1792" spans="1:2" x14ac:dyDescent="0.2">
      <c r="A1792" s="12"/>
      <c r="B1792" s="13"/>
    </row>
    <row r="1793" spans="1:2" x14ac:dyDescent="0.2">
      <c r="A1793" s="12"/>
      <c r="B1793" s="13"/>
    </row>
    <row r="1794" spans="1:2" x14ac:dyDescent="0.2">
      <c r="A1794" s="12"/>
      <c r="B1794" s="13"/>
    </row>
    <row r="1795" spans="1:2" x14ac:dyDescent="0.2">
      <c r="A1795" s="12"/>
      <c r="B1795" s="13"/>
    </row>
    <row r="1796" spans="1:2" x14ac:dyDescent="0.2">
      <c r="A1796" s="12"/>
      <c r="B1796" s="13"/>
    </row>
    <row r="1797" spans="1:2" x14ac:dyDescent="0.2">
      <c r="A1797" s="12"/>
      <c r="B1797" s="13"/>
    </row>
    <row r="1798" spans="1:2" x14ac:dyDescent="0.2">
      <c r="A1798" s="12"/>
      <c r="B1798" s="13"/>
    </row>
    <row r="1799" spans="1:2" x14ac:dyDescent="0.2">
      <c r="A1799" s="12"/>
      <c r="B1799" s="13"/>
    </row>
    <row r="1800" spans="1:2" x14ac:dyDescent="0.2">
      <c r="A1800" s="12"/>
      <c r="B1800" s="13"/>
    </row>
    <row r="1801" spans="1:2" x14ac:dyDescent="0.2">
      <c r="A1801" s="12"/>
      <c r="B1801" s="13"/>
    </row>
    <row r="1802" spans="1:2" x14ac:dyDescent="0.2">
      <c r="A1802" s="12"/>
      <c r="B1802" s="13"/>
    </row>
    <row r="1803" spans="1:2" x14ac:dyDescent="0.2">
      <c r="A1803" s="12"/>
      <c r="B1803" s="13"/>
    </row>
    <row r="1804" spans="1:2" x14ac:dyDescent="0.2">
      <c r="A1804" s="12"/>
      <c r="B1804" s="13"/>
    </row>
    <row r="1805" spans="1:2" x14ac:dyDescent="0.2">
      <c r="A1805" s="12"/>
      <c r="B1805" s="13"/>
    </row>
    <row r="1806" spans="1:2" x14ac:dyDescent="0.2">
      <c r="A1806" s="12"/>
      <c r="B1806" s="13"/>
    </row>
    <row r="1807" spans="1:2" x14ac:dyDescent="0.2">
      <c r="A1807" s="12"/>
      <c r="B1807" s="13"/>
    </row>
    <row r="1808" spans="1:2" x14ac:dyDescent="0.2">
      <c r="A1808" s="12"/>
      <c r="B1808" s="13"/>
    </row>
    <row r="1809" spans="1:2" x14ac:dyDescent="0.2">
      <c r="A1809" s="12"/>
      <c r="B1809" s="13"/>
    </row>
    <row r="1810" spans="1:2" x14ac:dyDescent="0.2">
      <c r="A1810" s="12"/>
      <c r="B1810" s="13"/>
    </row>
    <row r="1811" spans="1:2" x14ac:dyDescent="0.2">
      <c r="A1811" s="12"/>
      <c r="B1811" s="13"/>
    </row>
    <row r="1812" spans="1:2" x14ac:dyDescent="0.2">
      <c r="A1812" s="12"/>
      <c r="B1812" s="13"/>
    </row>
    <row r="1813" spans="1:2" x14ac:dyDescent="0.2">
      <c r="A1813" s="12"/>
      <c r="B1813" s="13"/>
    </row>
    <row r="1814" spans="1:2" x14ac:dyDescent="0.2">
      <c r="A1814" s="12"/>
      <c r="B1814" s="13"/>
    </row>
    <row r="1815" spans="1:2" x14ac:dyDescent="0.2">
      <c r="A1815" s="12"/>
      <c r="B1815" s="13"/>
    </row>
    <row r="1816" spans="1:2" x14ac:dyDescent="0.2">
      <c r="A1816" s="12"/>
      <c r="B1816" s="13"/>
    </row>
    <row r="1817" spans="1:2" x14ac:dyDescent="0.2">
      <c r="A1817" s="12"/>
      <c r="B1817" s="13"/>
    </row>
    <row r="1818" spans="1:2" x14ac:dyDescent="0.2">
      <c r="A1818" s="12"/>
      <c r="B1818" s="13"/>
    </row>
    <row r="1819" spans="1:2" x14ac:dyDescent="0.2">
      <c r="A1819" s="12"/>
      <c r="B1819" s="13"/>
    </row>
    <row r="1820" spans="1:2" x14ac:dyDescent="0.2">
      <c r="A1820" s="12"/>
      <c r="B1820" s="13"/>
    </row>
    <row r="1821" spans="1:2" x14ac:dyDescent="0.2">
      <c r="A1821" s="12"/>
      <c r="B1821" s="13"/>
    </row>
    <row r="1822" spans="1:2" x14ac:dyDescent="0.2">
      <c r="A1822" s="12"/>
      <c r="B1822" s="13"/>
    </row>
    <row r="1823" spans="1:2" x14ac:dyDescent="0.2">
      <c r="A1823" s="12"/>
      <c r="B1823" s="13"/>
    </row>
    <row r="1824" spans="1:2" x14ac:dyDescent="0.2">
      <c r="A1824" s="12"/>
      <c r="B1824" s="13"/>
    </row>
    <row r="1825" spans="1:2" x14ac:dyDescent="0.2">
      <c r="A1825" s="12"/>
      <c r="B1825" s="13"/>
    </row>
    <row r="1826" spans="1:2" x14ac:dyDescent="0.2">
      <c r="A1826" s="12"/>
      <c r="B1826" s="13"/>
    </row>
    <row r="1827" spans="1:2" x14ac:dyDescent="0.2">
      <c r="A1827" s="12"/>
      <c r="B1827" s="13"/>
    </row>
    <row r="1828" spans="1:2" x14ac:dyDescent="0.2">
      <c r="A1828" s="12"/>
      <c r="B1828" s="13"/>
    </row>
    <row r="1829" spans="1:2" x14ac:dyDescent="0.2">
      <c r="A1829" s="12"/>
      <c r="B1829" s="13"/>
    </row>
    <row r="1830" spans="1:2" x14ac:dyDescent="0.2">
      <c r="A1830" s="12"/>
      <c r="B1830" s="13"/>
    </row>
    <row r="1831" spans="1:2" x14ac:dyDescent="0.2">
      <c r="A1831" s="12"/>
      <c r="B1831" s="13"/>
    </row>
    <row r="1832" spans="1:2" x14ac:dyDescent="0.2">
      <c r="A1832" s="12"/>
      <c r="B1832" s="13"/>
    </row>
    <row r="1833" spans="1:2" x14ac:dyDescent="0.2">
      <c r="A1833" s="12"/>
      <c r="B1833" s="13"/>
    </row>
    <row r="1834" spans="1:2" x14ac:dyDescent="0.2">
      <c r="A1834" s="12"/>
      <c r="B1834" s="13"/>
    </row>
    <row r="1835" spans="1:2" x14ac:dyDescent="0.2">
      <c r="A1835" s="12"/>
      <c r="B1835" s="13"/>
    </row>
    <row r="1836" spans="1:2" x14ac:dyDescent="0.2">
      <c r="A1836" s="12"/>
      <c r="B1836" s="13"/>
    </row>
    <row r="1837" spans="1:2" x14ac:dyDescent="0.2">
      <c r="A1837" s="12"/>
      <c r="B1837" s="13"/>
    </row>
    <row r="1838" spans="1:2" x14ac:dyDescent="0.2">
      <c r="A1838" s="12"/>
      <c r="B1838" s="13"/>
    </row>
    <row r="1839" spans="1:2" x14ac:dyDescent="0.2">
      <c r="A1839" s="12"/>
      <c r="B1839" s="13"/>
    </row>
    <row r="1840" spans="1:2" x14ac:dyDescent="0.2">
      <c r="A1840" s="12"/>
      <c r="B1840" s="13"/>
    </row>
    <row r="1841" spans="1:2" x14ac:dyDescent="0.2">
      <c r="A1841" s="12"/>
      <c r="B1841" s="13"/>
    </row>
    <row r="1842" spans="1:2" x14ac:dyDescent="0.2">
      <c r="A1842" s="12"/>
      <c r="B1842" s="13"/>
    </row>
    <row r="1843" spans="1:2" x14ac:dyDescent="0.2">
      <c r="A1843" s="12"/>
      <c r="B1843" s="13"/>
    </row>
    <row r="1844" spans="1:2" x14ac:dyDescent="0.2">
      <c r="A1844" s="12"/>
      <c r="B1844" s="13"/>
    </row>
    <row r="1845" spans="1:2" x14ac:dyDescent="0.2">
      <c r="A1845" s="12"/>
      <c r="B1845" s="13"/>
    </row>
    <row r="1846" spans="1:2" x14ac:dyDescent="0.2">
      <c r="A1846" s="12"/>
      <c r="B1846" s="13"/>
    </row>
    <row r="1847" spans="1:2" x14ac:dyDescent="0.2">
      <c r="A1847" s="12"/>
      <c r="B1847" s="13"/>
    </row>
    <row r="1848" spans="1:2" x14ac:dyDescent="0.2">
      <c r="A1848" s="12"/>
      <c r="B1848" s="13"/>
    </row>
    <row r="1849" spans="1:2" x14ac:dyDescent="0.2">
      <c r="A1849" s="12"/>
      <c r="B1849" s="13"/>
    </row>
    <row r="1850" spans="1:2" x14ac:dyDescent="0.2">
      <c r="A1850" s="12"/>
      <c r="B1850" s="13"/>
    </row>
    <row r="1851" spans="1:2" x14ac:dyDescent="0.2">
      <c r="A1851" s="12"/>
      <c r="B1851" s="13"/>
    </row>
    <row r="1852" spans="1:2" x14ac:dyDescent="0.2">
      <c r="A1852" s="12"/>
      <c r="B1852" s="13"/>
    </row>
    <row r="1853" spans="1:2" x14ac:dyDescent="0.2">
      <c r="A1853" s="12"/>
      <c r="B1853" s="13"/>
    </row>
    <row r="1854" spans="1:2" x14ac:dyDescent="0.2">
      <c r="A1854" s="12"/>
      <c r="B1854" s="13"/>
    </row>
    <row r="1855" spans="1:2" x14ac:dyDescent="0.2">
      <c r="A1855" s="12"/>
      <c r="B1855" s="13"/>
    </row>
    <row r="1856" spans="1:2" x14ac:dyDescent="0.2">
      <c r="A1856" s="12"/>
      <c r="B1856" s="13"/>
    </row>
    <row r="1857" spans="1:2" x14ac:dyDescent="0.2">
      <c r="A1857" s="12"/>
      <c r="B1857" s="13"/>
    </row>
    <row r="1858" spans="1:2" x14ac:dyDescent="0.2">
      <c r="A1858" s="12"/>
      <c r="B1858" s="13"/>
    </row>
    <row r="1859" spans="1:2" x14ac:dyDescent="0.2">
      <c r="A1859" s="12"/>
      <c r="B1859" s="13"/>
    </row>
    <row r="1860" spans="1:2" x14ac:dyDescent="0.2">
      <c r="A1860" s="12"/>
      <c r="B1860" s="13"/>
    </row>
    <row r="1861" spans="1:2" x14ac:dyDescent="0.2">
      <c r="A1861" s="12"/>
      <c r="B1861" s="13"/>
    </row>
    <row r="1862" spans="1:2" x14ac:dyDescent="0.2">
      <c r="A1862" s="12"/>
      <c r="B1862" s="13"/>
    </row>
    <row r="1863" spans="1:2" x14ac:dyDescent="0.2">
      <c r="A1863" s="12"/>
      <c r="B1863" s="13"/>
    </row>
    <row r="1864" spans="1:2" x14ac:dyDescent="0.2">
      <c r="A1864" s="12"/>
      <c r="B1864" s="13"/>
    </row>
    <row r="1865" spans="1:2" x14ac:dyDescent="0.2">
      <c r="A1865" s="12"/>
      <c r="B1865" s="13"/>
    </row>
    <row r="1866" spans="1:2" x14ac:dyDescent="0.2">
      <c r="A1866" s="12"/>
      <c r="B1866" s="13"/>
    </row>
    <row r="1867" spans="1:2" x14ac:dyDescent="0.2">
      <c r="A1867" s="12"/>
      <c r="B1867" s="13"/>
    </row>
    <row r="1868" spans="1:2" x14ac:dyDescent="0.2">
      <c r="A1868" s="12"/>
      <c r="B1868" s="13"/>
    </row>
    <row r="1869" spans="1:2" x14ac:dyDescent="0.2">
      <c r="A1869" s="12"/>
      <c r="B1869" s="13"/>
    </row>
    <row r="1870" spans="1:2" x14ac:dyDescent="0.2">
      <c r="A1870" s="12"/>
      <c r="B1870" s="13"/>
    </row>
    <row r="1871" spans="1:2" x14ac:dyDescent="0.2">
      <c r="A1871" s="12"/>
      <c r="B1871" s="13"/>
    </row>
    <row r="1872" spans="1:2" x14ac:dyDescent="0.2">
      <c r="A1872" s="12"/>
      <c r="B1872" s="13"/>
    </row>
    <row r="1873" spans="1:2" x14ac:dyDescent="0.2">
      <c r="A1873" s="12"/>
      <c r="B1873" s="13"/>
    </row>
    <row r="1874" spans="1:2" x14ac:dyDescent="0.2">
      <c r="A1874" s="12"/>
      <c r="B1874" s="13"/>
    </row>
    <row r="1875" spans="1:2" x14ac:dyDescent="0.2">
      <c r="A1875" s="12"/>
      <c r="B1875" s="13"/>
    </row>
    <row r="1876" spans="1:2" x14ac:dyDescent="0.2">
      <c r="A1876" s="12"/>
      <c r="B1876" s="13"/>
    </row>
    <row r="1877" spans="1:2" x14ac:dyDescent="0.2">
      <c r="A1877" s="12"/>
      <c r="B1877" s="13"/>
    </row>
    <row r="1878" spans="1:2" x14ac:dyDescent="0.2">
      <c r="A1878" s="12"/>
      <c r="B1878" s="13"/>
    </row>
    <row r="1879" spans="1:2" x14ac:dyDescent="0.2">
      <c r="A1879" s="12"/>
      <c r="B1879" s="13"/>
    </row>
    <row r="1880" spans="1:2" x14ac:dyDescent="0.2">
      <c r="A1880" s="12"/>
      <c r="B1880" s="13"/>
    </row>
    <row r="1881" spans="1:2" x14ac:dyDescent="0.2">
      <c r="A1881" s="12"/>
      <c r="B1881" s="13"/>
    </row>
    <row r="1882" spans="1:2" x14ac:dyDescent="0.2">
      <c r="A1882" s="12"/>
      <c r="B1882" s="13"/>
    </row>
    <row r="1883" spans="1:2" x14ac:dyDescent="0.2">
      <c r="A1883" s="12"/>
      <c r="B1883" s="13"/>
    </row>
    <row r="1884" spans="1:2" x14ac:dyDescent="0.2">
      <c r="A1884" s="12"/>
      <c r="B1884" s="13"/>
    </row>
    <row r="1885" spans="1:2" x14ac:dyDescent="0.2">
      <c r="A1885" s="12"/>
      <c r="B1885" s="13"/>
    </row>
    <row r="1886" spans="1:2" x14ac:dyDescent="0.2">
      <c r="A1886" s="12"/>
      <c r="B1886" s="13"/>
    </row>
    <row r="1887" spans="1:2" x14ac:dyDescent="0.2">
      <c r="A1887" s="12"/>
      <c r="B1887" s="13"/>
    </row>
    <row r="1888" spans="1:2" x14ac:dyDescent="0.2">
      <c r="A1888" s="12"/>
      <c r="B1888" s="13"/>
    </row>
    <row r="1889" spans="1:2" x14ac:dyDescent="0.2">
      <c r="A1889" s="12"/>
      <c r="B1889" s="13"/>
    </row>
    <row r="1890" spans="1:2" x14ac:dyDescent="0.2">
      <c r="A1890" s="12"/>
      <c r="B1890" s="13"/>
    </row>
    <row r="1891" spans="1:2" x14ac:dyDescent="0.2">
      <c r="A1891" s="12"/>
      <c r="B1891" s="13"/>
    </row>
    <row r="1892" spans="1:2" x14ac:dyDescent="0.2">
      <c r="A1892" s="12"/>
      <c r="B1892" s="13"/>
    </row>
    <row r="1893" spans="1:2" x14ac:dyDescent="0.2">
      <c r="A1893" s="12"/>
      <c r="B1893" s="13"/>
    </row>
    <row r="1894" spans="1:2" x14ac:dyDescent="0.2">
      <c r="A1894" s="12"/>
      <c r="B1894" s="13"/>
    </row>
    <row r="1895" spans="1:2" x14ac:dyDescent="0.2">
      <c r="A1895" s="12"/>
      <c r="B1895" s="13"/>
    </row>
    <row r="1896" spans="1:2" x14ac:dyDescent="0.2">
      <c r="A1896" s="12"/>
      <c r="B1896" s="13"/>
    </row>
    <row r="1897" spans="1:2" x14ac:dyDescent="0.2">
      <c r="A1897" s="12"/>
      <c r="B1897" s="13"/>
    </row>
    <row r="1898" spans="1:2" x14ac:dyDescent="0.2">
      <c r="A1898" s="12"/>
      <c r="B1898" s="13"/>
    </row>
    <row r="1899" spans="1:2" x14ac:dyDescent="0.2">
      <c r="A1899" s="12"/>
      <c r="B1899" s="13"/>
    </row>
    <row r="1900" spans="1:2" x14ac:dyDescent="0.2">
      <c r="A1900" s="12"/>
      <c r="B1900" s="13"/>
    </row>
    <row r="1901" spans="1:2" x14ac:dyDescent="0.2">
      <c r="A1901" s="12"/>
      <c r="B1901" s="13"/>
    </row>
    <row r="1902" spans="1:2" x14ac:dyDescent="0.2">
      <c r="A1902" s="12"/>
      <c r="B1902" s="13"/>
    </row>
    <row r="1903" spans="1:2" x14ac:dyDescent="0.2">
      <c r="A1903" s="12"/>
      <c r="B1903" s="13"/>
    </row>
    <row r="1904" spans="1:2" x14ac:dyDescent="0.2">
      <c r="A1904" s="12"/>
      <c r="B1904" s="13"/>
    </row>
    <row r="1905" spans="1:2" x14ac:dyDescent="0.2">
      <c r="A1905" s="12"/>
      <c r="B1905" s="13"/>
    </row>
    <row r="1906" spans="1:2" x14ac:dyDescent="0.2">
      <c r="A1906" s="12"/>
      <c r="B1906" s="13"/>
    </row>
    <row r="1907" spans="1:2" x14ac:dyDescent="0.2">
      <c r="A1907" s="12"/>
      <c r="B1907" s="13"/>
    </row>
    <row r="1908" spans="1:2" x14ac:dyDescent="0.2">
      <c r="A1908" s="12"/>
      <c r="B1908" s="13"/>
    </row>
    <row r="1909" spans="1:2" x14ac:dyDescent="0.2">
      <c r="A1909" s="12"/>
      <c r="B1909" s="13"/>
    </row>
    <row r="1910" spans="1:2" x14ac:dyDescent="0.2">
      <c r="A1910" s="12"/>
      <c r="B1910" s="13"/>
    </row>
    <row r="1911" spans="1:2" x14ac:dyDescent="0.2">
      <c r="A1911" s="12"/>
      <c r="B1911" s="13"/>
    </row>
    <row r="1912" spans="1:2" x14ac:dyDescent="0.2">
      <c r="A1912" s="12"/>
      <c r="B1912" s="13"/>
    </row>
    <row r="1913" spans="1:2" x14ac:dyDescent="0.2">
      <c r="A1913" s="12"/>
      <c r="B1913" s="13"/>
    </row>
    <row r="1914" spans="1:2" x14ac:dyDescent="0.2">
      <c r="A1914" s="12"/>
      <c r="B1914" s="13"/>
    </row>
    <row r="1915" spans="1:2" x14ac:dyDescent="0.2">
      <c r="A1915" s="12"/>
      <c r="B1915" s="13"/>
    </row>
    <row r="1916" spans="1:2" x14ac:dyDescent="0.2">
      <c r="A1916" s="12"/>
      <c r="B1916" s="13"/>
    </row>
    <row r="1917" spans="1:2" x14ac:dyDescent="0.2">
      <c r="A1917" s="12"/>
      <c r="B1917" s="13"/>
    </row>
    <row r="1918" spans="1:2" x14ac:dyDescent="0.2">
      <c r="A1918" s="12"/>
      <c r="B1918" s="13"/>
    </row>
    <row r="1919" spans="1:2" x14ac:dyDescent="0.2">
      <c r="A1919" s="12"/>
      <c r="B1919" s="13"/>
    </row>
    <row r="1920" spans="1:2" x14ac:dyDescent="0.2">
      <c r="A1920" s="12"/>
      <c r="B1920" s="13"/>
    </row>
    <row r="1921" spans="1:2" x14ac:dyDescent="0.2">
      <c r="A1921" s="12"/>
      <c r="B1921" s="13"/>
    </row>
    <row r="1922" spans="1:2" x14ac:dyDescent="0.2">
      <c r="A1922" s="12"/>
      <c r="B1922" s="13"/>
    </row>
    <row r="1923" spans="1:2" x14ac:dyDescent="0.2">
      <c r="A1923" s="12"/>
      <c r="B1923" s="13"/>
    </row>
    <row r="1924" spans="1:2" x14ac:dyDescent="0.2">
      <c r="A1924" s="12"/>
      <c r="B1924" s="13"/>
    </row>
    <row r="1925" spans="1:2" x14ac:dyDescent="0.2">
      <c r="A1925" s="12"/>
      <c r="B1925" s="13"/>
    </row>
    <row r="1926" spans="1:2" x14ac:dyDescent="0.2">
      <c r="A1926" s="12"/>
      <c r="B1926" s="13"/>
    </row>
    <row r="1927" spans="1:2" x14ac:dyDescent="0.2">
      <c r="A1927" s="12"/>
      <c r="B1927" s="13"/>
    </row>
    <row r="1928" spans="1:2" x14ac:dyDescent="0.2">
      <c r="A1928" s="12"/>
      <c r="B1928" s="13"/>
    </row>
    <row r="1929" spans="1:2" x14ac:dyDescent="0.2">
      <c r="A1929" s="12"/>
      <c r="B1929" s="13"/>
    </row>
    <row r="1930" spans="1:2" x14ac:dyDescent="0.2">
      <c r="A1930" s="12"/>
      <c r="B1930" s="13"/>
    </row>
    <row r="1931" spans="1:2" x14ac:dyDescent="0.2">
      <c r="A1931" s="12"/>
      <c r="B1931" s="13"/>
    </row>
    <row r="1932" spans="1:2" x14ac:dyDescent="0.2">
      <c r="A1932" s="12"/>
      <c r="B1932" s="13"/>
    </row>
    <row r="1933" spans="1:2" x14ac:dyDescent="0.2">
      <c r="A1933" s="12"/>
      <c r="B1933" s="13"/>
    </row>
    <row r="1934" spans="1:2" x14ac:dyDescent="0.2">
      <c r="A1934" s="12"/>
      <c r="B1934" s="13"/>
    </row>
    <row r="1935" spans="1:2" x14ac:dyDescent="0.2">
      <c r="A1935" s="12"/>
      <c r="B1935" s="13"/>
    </row>
    <row r="1936" spans="1:2" x14ac:dyDescent="0.2">
      <c r="A1936" s="12"/>
      <c r="B1936" s="13"/>
    </row>
    <row r="1937" spans="1:2" x14ac:dyDescent="0.2">
      <c r="A1937" s="12"/>
      <c r="B1937" s="13"/>
    </row>
    <row r="1938" spans="1:2" x14ac:dyDescent="0.2">
      <c r="A1938" s="12"/>
      <c r="B1938" s="13"/>
    </row>
    <row r="1939" spans="1:2" x14ac:dyDescent="0.2">
      <c r="A1939" s="12"/>
      <c r="B1939" s="13"/>
    </row>
    <row r="1940" spans="1:2" x14ac:dyDescent="0.2">
      <c r="A1940" s="12"/>
      <c r="B1940" s="13"/>
    </row>
    <row r="1941" spans="1:2" x14ac:dyDescent="0.2">
      <c r="A1941" s="12"/>
      <c r="B1941" s="13"/>
    </row>
    <row r="1942" spans="1:2" x14ac:dyDescent="0.2">
      <c r="A1942" s="12"/>
      <c r="B1942" s="13"/>
    </row>
    <row r="1943" spans="1:2" x14ac:dyDescent="0.2">
      <c r="A1943" s="12"/>
      <c r="B1943" s="13"/>
    </row>
    <row r="1944" spans="1:2" x14ac:dyDescent="0.2">
      <c r="A1944" s="12"/>
      <c r="B1944" s="13"/>
    </row>
    <row r="1945" spans="1:2" x14ac:dyDescent="0.2">
      <c r="A1945" s="12"/>
      <c r="B1945" s="13"/>
    </row>
    <row r="1946" spans="1:2" x14ac:dyDescent="0.2">
      <c r="A1946" s="12"/>
      <c r="B1946" s="13"/>
    </row>
    <row r="1947" spans="1:2" x14ac:dyDescent="0.2">
      <c r="A1947" s="12"/>
      <c r="B1947" s="13"/>
    </row>
    <row r="1948" spans="1:2" x14ac:dyDescent="0.2">
      <c r="A1948" s="12"/>
      <c r="B1948" s="13"/>
    </row>
    <row r="1949" spans="1:2" x14ac:dyDescent="0.2">
      <c r="A1949" s="12"/>
      <c r="B1949" s="13"/>
    </row>
    <row r="1950" spans="1:2" x14ac:dyDescent="0.2">
      <c r="A1950" s="12"/>
      <c r="B1950" s="13"/>
    </row>
    <row r="1951" spans="1:2" x14ac:dyDescent="0.2">
      <c r="A1951" s="12"/>
      <c r="B1951" s="13"/>
    </row>
    <row r="1952" spans="1:2" x14ac:dyDescent="0.2">
      <c r="A1952" s="12"/>
      <c r="B1952" s="13"/>
    </row>
    <row r="1953" spans="1:2" x14ac:dyDescent="0.2">
      <c r="A1953" s="12"/>
      <c r="B1953" s="13"/>
    </row>
    <row r="1954" spans="1:2" x14ac:dyDescent="0.2">
      <c r="A1954" s="12"/>
      <c r="B1954" s="13"/>
    </row>
    <row r="1955" spans="1:2" x14ac:dyDescent="0.2">
      <c r="A1955" s="12"/>
      <c r="B1955" s="13"/>
    </row>
    <row r="1956" spans="1:2" x14ac:dyDescent="0.2">
      <c r="A1956" s="12"/>
      <c r="B1956" s="13"/>
    </row>
    <row r="1957" spans="1:2" x14ac:dyDescent="0.2">
      <c r="A1957" s="12"/>
      <c r="B1957" s="13"/>
    </row>
    <row r="1958" spans="1:2" x14ac:dyDescent="0.2">
      <c r="A1958" s="12"/>
      <c r="B1958" s="13"/>
    </row>
    <row r="1959" spans="1:2" x14ac:dyDescent="0.2">
      <c r="A1959" s="12"/>
      <c r="B1959" s="13"/>
    </row>
    <row r="1960" spans="1:2" x14ac:dyDescent="0.2">
      <c r="A1960" s="12"/>
      <c r="B1960" s="13"/>
    </row>
    <row r="1961" spans="1:2" x14ac:dyDescent="0.2">
      <c r="A1961" s="12"/>
      <c r="B1961" s="13"/>
    </row>
    <row r="1962" spans="1:2" x14ac:dyDescent="0.2">
      <c r="A1962" s="12"/>
      <c r="B1962" s="13"/>
    </row>
    <row r="1963" spans="1:2" x14ac:dyDescent="0.2">
      <c r="A1963" s="12"/>
      <c r="B1963" s="13"/>
    </row>
    <row r="1964" spans="1:2" x14ac:dyDescent="0.2">
      <c r="A1964" s="12"/>
      <c r="B1964" s="13"/>
    </row>
    <row r="1965" spans="1:2" x14ac:dyDescent="0.2">
      <c r="A1965" s="12"/>
      <c r="B1965" s="13"/>
    </row>
    <row r="1966" spans="1:2" x14ac:dyDescent="0.2">
      <c r="A1966" s="12"/>
      <c r="B1966" s="13"/>
    </row>
    <row r="1967" spans="1:2" x14ac:dyDescent="0.2">
      <c r="A1967" s="12"/>
      <c r="B1967" s="13"/>
    </row>
    <row r="1968" spans="1:2" x14ac:dyDescent="0.2">
      <c r="A1968" s="12"/>
      <c r="B1968" s="13"/>
    </row>
    <row r="1969" spans="1:2" x14ac:dyDescent="0.2">
      <c r="A1969" s="12"/>
      <c r="B1969" s="13"/>
    </row>
    <row r="1970" spans="1:2" x14ac:dyDescent="0.2">
      <c r="A1970" s="12"/>
      <c r="B1970" s="13"/>
    </row>
    <row r="1971" spans="1:2" x14ac:dyDescent="0.2">
      <c r="A1971" s="12"/>
      <c r="B1971" s="13"/>
    </row>
    <row r="1972" spans="1:2" x14ac:dyDescent="0.2">
      <c r="A1972" s="12"/>
      <c r="B1972" s="13"/>
    </row>
    <row r="1973" spans="1:2" x14ac:dyDescent="0.2">
      <c r="A1973" s="12"/>
      <c r="B1973" s="13"/>
    </row>
    <row r="1974" spans="1:2" x14ac:dyDescent="0.2">
      <c r="A1974" s="12"/>
      <c r="B1974" s="13"/>
    </row>
    <row r="1975" spans="1:2" x14ac:dyDescent="0.2">
      <c r="A1975" s="12"/>
      <c r="B1975" s="13"/>
    </row>
    <row r="1976" spans="1:2" x14ac:dyDescent="0.2">
      <c r="A1976" s="12"/>
      <c r="B1976" s="13"/>
    </row>
    <row r="1977" spans="1:2" x14ac:dyDescent="0.2">
      <c r="A1977" s="12"/>
      <c r="B1977" s="13"/>
    </row>
    <row r="1978" spans="1:2" x14ac:dyDescent="0.2">
      <c r="A1978" s="12"/>
      <c r="B1978" s="13"/>
    </row>
    <row r="1979" spans="1:2" x14ac:dyDescent="0.2">
      <c r="A1979" s="12"/>
      <c r="B1979" s="13"/>
    </row>
    <row r="1980" spans="1:2" x14ac:dyDescent="0.2">
      <c r="A1980" s="12"/>
      <c r="B1980" s="13"/>
    </row>
    <row r="1981" spans="1:2" x14ac:dyDescent="0.2">
      <c r="A1981" s="12"/>
      <c r="B1981" s="13"/>
    </row>
    <row r="1982" spans="1:2" x14ac:dyDescent="0.2">
      <c r="A1982" s="12"/>
      <c r="B1982" s="13"/>
    </row>
    <row r="1983" spans="1:2" x14ac:dyDescent="0.2">
      <c r="A1983" s="12"/>
      <c r="B1983" s="13"/>
    </row>
    <row r="1984" spans="1:2" x14ac:dyDescent="0.2">
      <c r="A1984" s="12"/>
      <c r="B1984" s="13"/>
    </row>
    <row r="1985" spans="1:2" x14ac:dyDescent="0.2">
      <c r="A1985" s="12"/>
      <c r="B1985" s="13"/>
    </row>
    <row r="1986" spans="1:2" x14ac:dyDescent="0.2">
      <c r="A1986" s="12"/>
      <c r="B1986" s="13"/>
    </row>
    <row r="1987" spans="1:2" x14ac:dyDescent="0.2">
      <c r="A1987" s="12"/>
      <c r="B1987" s="13"/>
    </row>
    <row r="1988" spans="1:2" x14ac:dyDescent="0.2">
      <c r="A1988" s="12"/>
      <c r="B1988" s="13"/>
    </row>
    <row r="1989" spans="1:2" x14ac:dyDescent="0.2">
      <c r="A1989" s="12"/>
      <c r="B1989" s="13"/>
    </row>
    <row r="1990" spans="1:2" x14ac:dyDescent="0.2">
      <c r="A1990" s="12"/>
      <c r="B1990" s="13"/>
    </row>
    <row r="1991" spans="1:2" x14ac:dyDescent="0.2">
      <c r="A1991" s="12"/>
      <c r="B1991" s="13"/>
    </row>
    <row r="1992" spans="1:2" x14ac:dyDescent="0.2">
      <c r="A1992" s="12"/>
      <c r="B1992" s="13"/>
    </row>
    <row r="1993" spans="1:2" x14ac:dyDescent="0.2">
      <c r="A1993" s="12"/>
      <c r="B1993" s="13"/>
    </row>
    <row r="1994" spans="1:2" x14ac:dyDescent="0.2">
      <c r="A1994" s="12"/>
      <c r="B1994" s="13"/>
    </row>
    <row r="1995" spans="1:2" x14ac:dyDescent="0.2">
      <c r="A1995" s="12"/>
      <c r="B1995" s="13"/>
    </row>
    <row r="1996" spans="1:2" x14ac:dyDescent="0.2">
      <c r="A1996" s="12"/>
      <c r="B1996" s="13"/>
    </row>
    <row r="1997" spans="1:2" x14ac:dyDescent="0.2">
      <c r="A1997" s="12"/>
      <c r="B1997" s="13"/>
    </row>
    <row r="1998" spans="1:2" x14ac:dyDescent="0.2">
      <c r="A1998" s="12"/>
      <c r="B1998" s="13"/>
    </row>
    <row r="1999" spans="1:2" x14ac:dyDescent="0.2">
      <c r="A1999" s="12"/>
      <c r="B1999" s="13"/>
    </row>
    <row r="2000" spans="1:2" x14ac:dyDescent="0.2">
      <c r="A2000" s="12"/>
      <c r="B2000" s="13"/>
    </row>
    <row r="2001" spans="1:2" x14ac:dyDescent="0.2">
      <c r="A2001" s="12"/>
      <c r="B2001" s="13"/>
    </row>
    <row r="2002" spans="1:2" x14ac:dyDescent="0.2">
      <c r="A2002" s="12"/>
      <c r="B2002" s="13"/>
    </row>
    <row r="2003" spans="1:2" x14ac:dyDescent="0.2">
      <c r="A2003" s="12"/>
      <c r="B2003" s="13"/>
    </row>
    <row r="2004" spans="1:2" x14ac:dyDescent="0.2">
      <c r="A2004" s="12"/>
      <c r="B2004" s="13"/>
    </row>
    <row r="2005" spans="1:2" x14ac:dyDescent="0.2">
      <c r="A2005" s="12"/>
      <c r="B2005" s="13"/>
    </row>
    <row r="2006" spans="1:2" x14ac:dyDescent="0.2">
      <c r="A2006" s="12"/>
      <c r="B2006" s="13"/>
    </row>
    <row r="2007" spans="1:2" x14ac:dyDescent="0.2">
      <c r="A2007" s="12"/>
      <c r="B2007" s="13"/>
    </row>
    <row r="2008" spans="1:2" x14ac:dyDescent="0.2">
      <c r="A2008" s="12"/>
      <c r="B2008" s="13"/>
    </row>
    <row r="2009" spans="1:2" x14ac:dyDescent="0.2">
      <c r="A2009" s="12"/>
      <c r="B2009" s="13"/>
    </row>
    <row r="2010" spans="1:2" x14ac:dyDescent="0.2">
      <c r="A2010" s="12"/>
      <c r="B2010" s="13"/>
    </row>
    <row r="2011" spans="1:2" x14ac:dyDescent="0.2">
      <c r="A2011" s="12"/>
      <c r="B2011" s="13"/>
    </row>
    <row r="2012" spans="1:2" x14ac:dyDescent="0.2">
      <c r="A2012" s="12"/>
      <c r="B2012" s="13"/>
    </row>
    <row r="2013" spans="1:2" x14ac:dyDescent="0.2">
      <c r="A2013" s="12"/>
      <c r="B2013" s="13"/>
    </row>
    <row r="2014" spans="1:2" x14ac:dyDescent="0.2">
      <c r="A2014" s="12"/>
      <c r="B2014" s="13"/>
    </row>
    <row r="2015" spans="1:2" x14ac:dyDescent="0.2">
      <c r="A2015" s="12"/>
      <c r="B2015" s="13"/>
    </row>
    <row r="2016" spans="1:2" x14ac:dyDescent="0.2">
      <c r="A2016" s="12"/>
      <c r="B2016" s="13"/>
    </row>
    <row r="2017" spans="1:2" x14ac:dyDescent="0.2">
      <c r="A2017" s="12"/>
      <c r="B2017" s="13"/>
    </row>
    <row r="2018" spans="1:2" x14ac:dyDescent="0.2">
      <c r="A2018" s="12"/>
      <c r="B2018" s="13"/>
    </row>
    <row r="2019" spans="1:2" x14ac:dyDescent="0.2">
      <c r="A2019" s="12"/>
      <c r="B2019" s="13"/>
    </row>
    <row r="2020" spans="1:2" x14ac:dyDescent="0.2">
      <c r="A2020" s="12"/>
      <c r="B2020" s="13"/>
    </row>
    <row r="2021" spans="1:2" x14ac:dyDescent="0.2">
      <c r="A2021" s="12"/>
      <c r="B2021" s="13"/>
    </row>
    <row r="2022" spans="1:2" x14ac:dyDescent="0.2">
      <c r="A2022" s="12"/>
      <c r="B2022" s="13"/>
    </row>
    <row r="2023" spans="1:2" x14ac:dyDescent="0.2">
      <c r="A2023" s="12"/>
      <c r="B2023" s="13"/>
    </row>
    <row r="2024" spans="1:2" x14ac:dyDescent="0.2">
      <c r="A2024" s="12"/>
      <c r="B2024" s="13"/>
    </row>
    <row r="2025" spans="1:2" x14ac:dyDescent="0.2">
      <c r="A2025" s="12"/>
      <c r="B2025" s="13"/>
    </row>
    <row r="2026" spans="1:2" x14ac:dyDescent="0.2">
      <c r="A2026" s="12"/>
      <c r="B2026" s="13"/>
    </row>
    <row r="2027" spans="1:2" x14ac:dyDescent="0.2">
      <c r="A2027" s="12"/>
      <c r="B2027" s="13"/>
    </row>
    <row r="2028" spans="1:2" x14ac:dyDescent="0.2">
      <c r="A2028" s="12"/>
      <c r="B2028" s="13"/>
    </row>
    <row r="2029" spans="1:2" x14ac:dyDescent="0.2">
      <c r="A2029" s="12"/>
      <c r="B2029" s="13"/>
    </row>
    <row r="2030" spans="1:2" x14ac:dyDescent="0.2">
      <c r="A2030" s="12"/>
      <c r="B2030" s="13"/>
    </row>
    <row r="2031" spans="1:2" x14ac:dyDescent="0.2">
      <c r="A2031" s="12"/>
      <c r="B2031" s="13"/>
    </row>
    <row r="2032" spans="1:2" x14ac:dyDescent="0.2">
      <c r="A2032" s="12"/>
      <c r="B2032" s="13"/>
    </row>
    <row r="2033" spans="1:2" x14ac:dyDescent="0.2">
      <c r="A2033" s="12"/>
      <c r="B2033" s="13"/>
    </row>
    <row r="2034" spans="1:2" x14ac:dyDescent="0.2">
      <c r="A2034" s="12"/>
      <c r="B2034" s="13"/>
    </row>
    <row r="2035" spans="1:2" x14ac:dyDescent="0.2">
      <c r="A2035" s="12"/>
      <c r="B2035" s="13"/>
    </row>
    <row r="2036" spans="1:2" x14ac:dyDescent="0.2">
      <c r="A2036" s="12"/>
      <c r="B2036" s="13"/>
    </row>
    <row r="2037" spans="1:2" x14ac:dyDescent="0.2">
      <c r="A2037" s="12"/>
      <c r="B2037" s="13"/>
    </row>
    <row r="2038" spans="1:2" x14ac:dyDescent="0.2">
      <c r="A2038" s="12"/>
      <c r="B2038" s="13"/>
    </row>
    <row r="2039" spans="1:2" x14ac:dyDescent="0.2">
      <c r="A2039" s="12"/>
      <c r="B2039" s="13"/>
    </row>
    <row r="2040" spans="1:2" x14ac:dyDescent="0.2">
      <c r="A2040" s="12"/>
      <c r="B2040" s="13"/>
    </row>
    <row r="2041" spans="1:2" x14ac:dyDescent="0.2">
      <c r="A2041" s="12"/>
      <c r="B2041" s="13"/>
    </row>
    <row r="2042" spans="1:2" x14ac:dyDescent="0.2">
      <c r="A2042" s="12"/>
      <c r="B2042" s="13"/>
    </row>
    <row r="2043" spans="1:2" x14ac:dyDescent="0.2">
      <c r="A2043" s="12"/>
      <c r="B2043" s="13"/>
    </row>
    <row r="2044" spans="1:2" x14ac:dyDescent="0.2">
      <c r="A2044" s="12"/>
      <c r="B2044" s="13"/>
    </row>
    <row r="2045" spans="1:2" x14ac:dyDescent="0.2">
      <c r="A2045" s="12"/>
      <c r="B2045" s="13"/>
    </row>
    <row r="2046" spans="1:2" x14ac:dyDescent="0.2">
      <c r="A2046" s="12"/>
      <c r="B2046" s="13"/>
    </row>
    <row r="2047" spans="1:2" x14ac:dyDescent="0.2">
      <c r="A2047" s="12"/>
      <c r="B2047" s="13"/>
    </row>
    <row r="2048" spans="1:2" x14ac:dyDescent="0.2">
      <c r="A2048" s="12"/>
      <c r="B2048" s="13"/>
    </row>
    <row r="2049" spans="1:2" x14ac:dyDescent="0.2">
      <c r="A2049" s="12"/>
      <c r="B2049" s="13"/>
    </row>
    <row r="2050" spans="1:2" x14ac:dyDescent="0.2">
      <c r="A2050" s="12"/>
      <c r="B2050" s="13"/>
    </row>
    <row r="2051" spans="1:2" x14ac:dyDescent="0.2">
      <c r="A2051" s="12"/>
      <c r="B2051" s="13"/>
    </row>
    <row r="2052" spans="1:2" x14ac:dyDescent="0.2">
      <c r="A2052" s="12"/>
      <c r="B2052" s="13"/>
    </row>
    <row r="2053" spans="1:2" x14ac:dyDescent="0.2">
      <c r="A2053" s="12"/>
      <c r="B2053" s="13"/>
    </row>
    <row r="2054" spans="1:2" x14ac:dyDescent="0.2">
      <c r="A2054" s="12"/>
      <c r="B2054" s="13"/>
    </row>
    <row r="2055" spans="1:2" x14ac:dyDescent="0.2">
      <c r="A2055" s="12"/>
      <c r="B2055" s="13"/>
    </row>
    <row r="2056" spans="1:2" x14ac:dyDescent="0.2">
      <c r="A2056" s="12"/>
      <c r="B2056" s="13"/>
    </row>
    <row r="2057" spans="1:2" x14ac:dyDescent="0.2">
      <c r="A2057" s="12"/>
      <c r="B2057" s="13"/>
    </row>
    <row r="2058" spans="1:2" x14ac:dyDescent="0.2">
      <c r="A2058" s="12"/>
      <c r="B2058" s="13"/>
    </row>
    <row r="2059" spans="1:2" x14ac:dyDescent="0.2">
      <c r="A2059" s="12"/>
      <c r="B2059" s="13"/>
    </row>
    <row r="2060" spans="1:2" x14ac:dyDescent="0.2">
      <c r="A2060" s="12"/>
      <c r="B2060" s="13"/>
    </row>
    <row r="2061" spans="1:2" x14ac:dyDescent="0.2">
      <c r="A2061" s="12"/>
      <c r="B2061" s="13"/>
    </row>
    <row r="2062" spans="1:2" x14ac:dyDescent="0.2">
      <c r="A2062" s="12"/>
      <c r="B2062" s="13"/>
    </row>
    <row r="2063" spans="1:2" x14ac:dyDescent="0.2">
      <c r="A2063" s="12"/>
      <c r="B2063" s="13"/>
    </row>
    <row r="2064" spans="1:2" x14ac:dyDescent="0.2">
      <c r="A2064" s="12"/>
      <c r="B2064" s="13"/>
    </row>
    <row r="2065" spans="1:2" x14ac:dyDescent="0.2">
      <c r="A2065" s="12"/>
      <c r="B2065" s="13"/>
    </row>
    <row r="2066" spans="1:2" x14ac:dyDescent="0.2">
      <c r="A2066" s="12"/>
      <c r="B2066" s="13"/>
    </row>
    <row r="2067" spans="1:2" x14ac:dyDescent="0.2">
      <c r="A2067" s="12"/>
      <c r="B2067" s="13"/>
    </row>
    <row r="2068" spans="1:2" x14ac:dyDescent="0.2">
      <c r="A2068" s="12"/>
      <c r="B2068" s="13"/>
    </row>
    <row r="2069" spans="1:2" x14ac:dyDescent="0.2">
      <c r="A2069" s="12"/>
      <c r="B2069" s="13"/>
    </row>
    <row r="2070" spans="1:2" x14ac:dyDescent="0.2">
      <c r="A2070" s="12"/>
      <c r="B2070" s="13"/>
    </row>
    <row r="2071" spans="1:2" x14ac:dyDescent="0.2">
      <c r="A2071" s="12"/>
      <c r="B2071" s="13"/>
    </row>
    <row r="2072" spans="1:2" x14ac:dyDescent="0.2">
      <c r="A2072" s="12"/>
      <c r="B2072" s="13"/>
    </row>
    <row r="2073" spans="1:2" x14ac:dyDescent="0.2">
      <c r="A2073" s="12"/>
      <c r="B2073" s="13"/>
    </row>
    <row r="2074" spans="1:2" x14ac:dyDescent="0.2">
      <c r="A2074" s="12"/>
      <c r="B2074" s="13"/>
    </row>
    <row r="2075" spans="1:2" x14ac:dyDescent="0.2">
      <c r="A2075" s="12"/>
      <c r="B2075" s="13"/>
    </row>
    <row r="2076" spans="1:2" x14ac:dyDescent="0.2">
      <c r="A2076" s="12"/>
      <c r="B2076" s="13"/>
    </row>
    <row r="2077" spans="1:2" x14ac:dyDescent="0.2">
      <c r="A2077" s="12"/>
      <c r="B2077" s="13"/>
    </row>
    <row r="2078" spans="1:2" x14ac:dyDescent="0.2">
      <c r="A2078" s="12"/>
      <c r="B2078" s="13"/>
    </row>
    <row r="2079" spans="1:2" x14ac:dyDescent="0.2">
      <c r="A2079" s="12"/>
      <c r="B2079" s="13"/>
    </row>
    <row r="2080" spans="1:2" x14ac:dyDescent="0.2">
      <c r="A2080" s="12"/>
      <c r="B2080" s="13"/>
    </row>
    <row r="2081" spans="1:2" x14ac:dyDescent="0.2">
      <c r="A2081" s="12"/>
      <c r="B2081" s="13"/>
    </row>
    <row r="2082" spans="1:2" x14ac:dyDescent="0.2">
      <c r="A2082" s="12"/>
      <c r="B2082" s="13"/>
    </row>
    <row r="2083" spans="1:2" x14ac:dyDescent="0.2">
      <c r="A2083" s="12"/>
      <c r="B2083" s="13"/>
    </row>
    <row r="2084" spans="1:2" x14ac:dyDescent="0.2">
      <c r="A2084" s="12"/>
      <c r="B2084" s="13"/>
    </row>
    <row r="2085" spans="1:2" x14ac:dyDescent="0.2">
      <c r="A2085" s="12"/>
      <c r="B2085" s="13"/>
    </row>
    <row r="2086" spans="1:2" x14ac:dyDescent="0.2">
      <c r="A2086" s="12"/>
      <c r="B2086" s="13"/>
    </row>
    <row r="2087" spans="1:2" x14ac:dyDescent="0.2">
      <c r="A2087" s="12"/>
      <c r="B2087" s="13"/>
    </row>
    <row r="2088" spans="1:2" x14ac:dyDescent="0.2">
      <c r="A2088" s="12"/>
      <c r="B2088" s="13"/>
    </row>
    <row r="2089" spans="1:2" x14ac:dyDescent="0.2">
      <c r="A2089" s="12"/>
      <c r="B2089" s="13"/>
    </row>
    <row r="2090" spans="1:2" x14ac:dyDescent="0.2">
      <c r="A2090" s="12"/>
      <c r="B2090" s="13"/>
    </row>
    <row r="2091" spans="1:2" x14ac:dyDescent="0.2">
      <c r="A2091" s="12"/>
      <c r="B2091" s="13"/>
    </row>
    <row r="2092" spans="1:2" x14ac:dyDescent="0.2">
      <c r="A2092" s="12"/>
      <c r="B2092" s="13"/>
    </row>
    <row r="2093" spans="1:2" x14ac:dyDescent="0.2">
      <c r="A2093" s="12"/>
      <c r="B2093" s="13"/>
    </row>
    <row r="2094" spans="1:2" x14ac:dyDescent="0.2">
      <c r="A2094" s="12"/>
      <c r="B2094" s="13"/>
    </row>
    <row r="2095" spans="1:2" x14ac:dyDescent="0.2">
      <c r="A2095" s="12"/>
      <c r="B2095" s="13"/>
    </row>
    <row r="2096" spans="1:2" x14ac:dyDescent="0.2">
      <c r="A2096" s="12"/>
      <c r="B2096" s="13"/>
    </row>
    <row r="2097" spans="1:2" x14ac:dyDescent="0.2">
      <c r="A2097" s="12"/>
      <c r="B2097" s="13"/>
    </row>
    <row r="2098" spans="1:2" x14ac:dyDescent="0.2">
      <c r="A2098" s="12"/>
      <c r="B2098" s="13"/>
    </row>
    <row r="2099" spans="1:2" x14ac:dyDescent="0.2">
      <c r="A2099" s="12"/>
      <c r="B2099" s="13"/>
    </row>
    <row r="2100" spans="1:2" x14ac:dyDescent="0.2">
      <c r="A2100" s="12"/>
      <c r="B2100" s="13"/>
    </row>
    <row r="2101" spans="1:2" x14ac:dyDescent="0.2">
      <c r="A2101" s="12"/>
      <c r="B2101" s="13"/>
    </row>
    <row r="2102" spans="1:2" x14ac:dyDescent="0.2">
      <c r="A2102" s="12"/>
      <c r="B2102" s="13"/>
    </row>
    <row r="2103" spans="1:2" x14ac:dyDescent="0.2">
      <c r="A2103" s="12"/>
      <c r="B2103" s="13"/>
    </row>
    <row r="2104" spans="1:2" x14ac:dyDescent="0.2">
      <c r="A2104" s="12"/>
      <c r="B2104" s="13"/>
    </row>
    <row r="2105" spans="1:2" x14ac:dyDescent="0.2">
      <c r="A2105" s="12"/>
      <c r="B2105" s="13"/>
    </row>
    <row r="2106" spans="1:2" x14ac:dyDescent="0.2">
      <c r="A2106" s="12"/>
      <c r="B2106" s="13"/>
    </row>
    <row r="2107" spans="1:2" x14ac:dyDescent="0.2">
      <c r="A2107" s="12"/>
      <c r="B2107" s="13"/>
    </row>
    <row r="2108" spans="1:2" x14ac:dyDescent="0.2">
      <c r="A2108" s="12"/>
      <c r="B2108" s="13"/>
    </row>
    <row r="2109" spans="1:2" x14ac:dyDescent="0.2">
      <c r="A2109" s="12"/>
      <c r="B2109" s="13"/>
    </row>
    <row r="2110" spans="1:2" x14ac:dyDescent="0.2">
      <c r="A2110" s="12"/>
      <c r="B2110" s="13"/>
    </row>
    <row r="2111" spans="1:2" x14ac:dyDescent="0.2">
      <c r="A2111" s="12"/>
      <c r="B2111" s="13"/>
    </row>
    <row r="2112" spans="1:2" x14ac:dyDescent="0.2">
      <c r="A2112" s="12"/>
      <c r="B2112" s="13"/>
    </row>
    <row r="2113" spans="1:2" x14ac:dyDescent="0.2">
      <c r="A2113" s="12"/>
      <c r="B2113" s="13"/>
    </row>
    <row r="2114" spans="1:2" x14ac:dyDescent="0.2">
      <c r="A2114" s="12"/>
      <c r="B2114" s="13"/>
    </row>
    <row r="2115" spans="1:2" x14ac:dyDescent="0.2">
      <c r="A2115" s="12"/>
      <c r="B2115" s="13"/>
    </row>
    <row r="2116" spans="1:2" x14ac:dyDescent="0.2">
      <c r="A2116" s="12"/>
      <c r="B2116" s="13"/>
    </row>
    <row r="2117" spans="1:2" x14ac:dyDescent="0.2">
      <c r="A2117" s="12"/>
      <c r="B2117" s="13"/>
    </row>
    <row r="2118" spans="1:2" x14ac:dyDescent="0.2">
      <c r="A2118" s="12"/>
      <c r="B2118" s="13"/>
    </row>
    <row r="2119" spans="1:2" x14ac:dyDescent="0.2">
      <c r="A2119" s="12"/>
      <c r="B2119" s="13"/>
    </row>
    <row r="2120" spans="1:2" x14ac:dyDescent="0.2">
      <c r="A2120" s="12"/>
      <c r="B2120" s="13"/>
    </row>
    <row r="2121" spans="1:2" x14ac:dyDescent="0.2">
      <c r="A2121" s="12"/>
      <c r="B2121" s="13"/>
    </row>
    <row r="2122" spans="1:2" x14ac:dyDescent="0.2">
      <c r="A2122" s="12"/>
      <c r="B2122" s="13"/>
    </row>
    <row r="2123" spans="1:2" x14ac:dyDescent="0.2">
      <c r="A2123" s="12"/>
      <c r="B2123" s="13"/>
    </row>
    <row r="2124" spans="1:2" x14ac:dyDescent="0.2">
      <c r="A2124" s="12"/>
      <c r="B2124" s="13"/>
    </row>
    <row r="2125" spans="1:2" x14ac:dyDescent="0.2">
      <c r="A2125" s="12"/>
      <c r="B2125" s="13"/>
    </row>
    <row r="2126" spans="1:2" x14ac:dyDescent="0.2">
      <c r="A2126" s="12"/>
      <c r="B2126" s="13"/>
    </row>
    <row r="2127" spans="1:2" x14ac:dyDescent="0.2">
      <c r="A2127" s="12"/>
      <c r="B2127" s="13"/>
    </row>
    <row r="2128" spans="1:2" x14ac:dyDescent="0.2">
      <c r="A2128" s="12"/>
      <c r="B2128" s="13"/>
    </row>
    <row r="2129" spans="1:2" x14ac:dyDescent="0.2">
      <c r="A2129" s="12"/>
      <c r="B2129" s="13"/>
    </row>
    <row r="2130" spans="1:2" x14ac:dyDescent="0.2">
      <c r="A2130" s="12"/>
      <c r="B2130" s="13"/>
    </row>
    <row r="2131" spans="1:2" x14ac:dyDescent="0.2">
      <c r="A2131" s="12"/>
      <c r="B2131" s="13"/>
    </row>
    <row r="2132" spans="1:2" x14ac:dyDescent="0.2">
      <c r="A2132" s="12"/>
      <c r="B2132" s="13"/>
    </row>
    <row r="2133" spans="1:2" x14ac:dyDescent="0.2">
      <c r="A2133" s="12"/>
      <c r="B2133" s="13"/>
    </row>
    <row r="2134" spans="1:2" x14ac:dyDescent="0.2">
      <c r="A2134" s="12"/>
      <c r="B2134" s="13"/>
    </row>
    <row r="2135" spans="1:2" x14ac:dyDescent="0.2">
      <c r="A2135" s="12"/>
      <c r="B2135" s="13"/>
    </row>
    <row r="2136" spans="1:2" x14ac:dyDescent="0.2">
      <c r="A2136" s="12"/>
      <c r="B2136" s="13"/>
    </row>
    <row r="2137" spans="1:2" x14ac:dyDescent="0.2">
      <c r="A2137" s="12"/>
      <c r="B2137" s="13"/>
    </row>
    <row r="2138" spans="1:2" x14ac:dyDescent="0.2">
      <c r="A2138" s="12"/>
      <c r="B2138" s="13"/>
    </row>
    <row r="2139" spans="1:2" x14ac:dyDescent="0.2">
      <c r="A2139" s="12"/>
      <c r="B2139" s="13"/>
    </row>
    <row r="2140" spans="1:2" x14ac:dyDescent="0.2">
      <c r="A2140" s="12"/>
      <c r="B2140" s="13"/>
    </row>
    <row r="2141" spans="1:2" x14ac:dyDescent="0.2">
      <c r="A2141" s="12"/>
      <c r="B2141" s="13"/>
    </row>
    <row r="2142" spans="1:2" x14ac:dyDescent="0.2">
      <c r="A2142" s="12"/>
      <c r="B2142" s="13"/>
    </row>
    <row r="2143" spans="1:2" x14ac:dyDescent="0.2">
      <c r="A2143" s="12"/>
      <c r="B2143" s="13"/>
    </row>
    <row r="2144" spans="1:2" x14ac:dyDescent="0.2">
      <c r="A2144" s="12"/>
      <c r="B2144" s="13"/>
    </row>
    <row r="2145" spans="1:2" x14ac:dyDescent="0.2">
      <c r="A2145" s="12"/>
      <c r="B2145" s="13"/>
    </row>
    <row r="2146" spans="1:2" x14ac:dyDescent="0.2">
      <c r="A2146" s="12"/>
      <c r="B2146" s="13"/>
    </row>
    <row r="2147" spans="1:2" x14ac:dyDescent="0.2">
      <c r="A2147" s="12"/>
      <c r="B2147" s="13"/>
    </row>
    <row r="2148" spans="1:2" x14ac:dyDescent="0.2">
      <c r="A2148" s="12"/>
      <c r="B2148" s="13"/>
    </row>
    <row r="2149" spans="1:2" x14ac:dyDescent="0.2">
      <c r="A2149" s="12"/>
      <c r="B2149" s="13"/>
    </row>
    <row r="2150" spans="1:2" x14ac:dyDescent="0.2">
      <c r="A2150" s="12"/>
      <c r="B2150" s="13"/>
    </row>
    <row r="2151" spans="1:2" x14ac:dyDescent="0.2">
      <c r="A2151" s="12"/>
      <c r="B2151" s="13"/>
    </row>
    <row r="2152" spans="1:2" x14ac:dyDescent="0.2">
      <c r="A2152" s="12"/>
      <c r="B2152" s="13"/>
    </row>
    <row r="2153" spans="1:2" x14ac:dyDescent="0.2">
      <c r="A2153" s="12"/>
      <c r="B2153" s="13"/>
    </row>
    <row r="2154" spans="1:2" x14ac:dyDescent="0.2">
      <c r="A2154" s="12"/>
      <c r="B2154" s="13"/>
    </row>
    <row r="2155" spans="1:2" x14ac:dyDescent="0.2">
      <c r="A2155" s="12"/>
      <c r="B2155" s="13"/>
    </row>
    <row r="2156" spans="1:2" x14ac:dyDescent="0.2">
      <c r="A2156" s="12"/>
      <c r="B2156" s="13"/>
    </row>
    <row r="2157" spans="1:2" x14ac:dyDescent="0.2">
      <c r="A2157" s="12"/>
      <c r="B2157" s="13"/>
    </row>
    <row r="2158" spans="1:2" x14ac:dyDescent="0.2">
      <c r="A2158" s="12"/>
      <c r="B2158" s="13"/>
    </row>
    <row r="2159" spans="1:2" x14ac:dyDescent="0.2">
      <c r="A2159" s="12"/>
      <c r="B2159" s="13"/>
    </row>
    <row r="2160" spans="1:2" x14ac:dyDescent="0.2">
      <c r="A2160" s="12"/>
      <c r="B2160" s="13"/>
    </row>
    <row r="2161" spans="1:2" x14ac:dyDescent="0.2">
      <c r="A2161" s="12"/>
      <c r="B2161" s="13"/>
    </row>
    <row r="2162" spans="1:2" x14ac:dyDescent="0.2">
      <c r="A2162" s="12"/>
      <c r="B2162" s="13"/>
    </row>
    <row r="2163" spans="1:2" x14ac:dyDescent="0.2">
      <c r="A2163" s="12"/>
      <c r="B2163" s="13"/>
    </row>
    <row r="2164" spans="1:2" x14ac:dyDescent="0.2">
      <c r="A2164" s="12"/>
      <c r="B2164" s="13"/>
    </row>
    <row r="2165" spans="1:2" x14ac:dyDescent="0.2">
      <c r="A2165" s="12"/>
      <c r="B2165" s="13"/>
    </row>
    <row r="2166" spans="1:2" x14ac:dyDescent="0.2">
      <c r="A2166" s="12"/>
      <c r="B2166" s="13"/>
    </row>
    <row r="2167" spans="1:2" x14ac:dyDescent="0.2">
      <c r="A2167" s="12"/>
      <c r="B2167" s="13"/>
    </row>
    <row r="2168" spans="1:2" x14ac:dyDescent="0.2">
      <c r="A2168" s="12"/>
      <c r="B2168" s="13"/>
    </row>
    <row r="2169" spans="1:2" x14ac:dyDescent="0.2">
      <c r="A2169" s="12"/>
      <c r="B2169" s="13"/>
    </row>
    <row r="2170" spans="1:2" x14ac:dyDescent="0.2">
      <c r="A2170" s="12"/>
      <c r="B2170" s="13"/>
    </row>
    <row r="2171" spans="1:2" x14ac:dyDescent="0.2">
      <c r="A2171" s="12"/>
      <c r="B2171" s="13"/>
    </row>
    <row r="2172" spans="1:2" x14ac:dyDescent="0.2">
      <c r="A2172" s="12"/>
      <c r="B2172" s="13"/>
    </row>
    <row r="2173" spans="1:2" x14ac:dyDescent="0.2">
      <c r="A2173" s="12"/>
      <c r="B2173" s="13"/>
    </row>
    <row r="2174" spans="1:2" x14ac:dyDescent="0.2">
      <c r="A2174" s="12"/>
      <c r="B2174" s="13"/>
    </row>
    <row r="2175" spans="1:2" x14ac:dyDescent="0.2">
      <c r="A2175" s="12"/>
      <c r="B2175" s="13"/>
    </row>
    <row r="2176" spans="1:2" x14ac:dyDescent="0.2">
      <c r="A2176" s="12"/>
      <c r="B2176" s="13"/>
    </row>
    <row r="2177" spans="1:2" x14ac:dyDescent="0.2">
      <c r="A2177" s="12"/>
      <c r="B2177" s="13"/>
    </row>
    <row r="2178" spans="1:2" x14ac:dyDescent="0.2">
      <c r="A2178" s="12"/>
      <c r="B2178" s="13"/>
    </row>
    <row r="2179" spans="1:2" x14ac:dyDescent="0.2">
      <c r="A2179" s="12"/>
      <c r="B2179" s="13"/>
    </row>
    <row r="2180" spans="1:2" x14ac:dyDescent="0.2">
      <c r="A2180" s="12"/>
      <c r="B2180" s="13"/>
    </row>
    <row r="2181" spans="1:2" x14ac:dyDescent="0.2">
      <c r="A2181" s="12"/>
      <c r="B2181" s="13"/>
    </row>
    <row r="2182" spans="1:2" x14ac:dyDescent="0.2">
      <c r="A2182" s="12"/>
      <c r="B2182" s="13"/>
    </row>
    <row r="2183" spans="1:2" x14ac:dyDescent="0.2">
      <c r="A2183" s="12"/>
      <c r="B2183" s="13"/>
    </row>
    <row r="2184" spans="1:2" x14ac:dyDescent="0.2">
      <c r="A2184" s="12"/>
      <c r="B2184" s="13"/>
    </row>
    <row r="2185" spans="1:2" x14ac:dyDescent="0.2">
      <c r="A2185" s="12"/>
      <c r="B2185" s="13"/>
    </row>
    <row r="2186" spans="1:2" x14ac:dyDescent="0.2">
      <c r="A2186" s="12"/>
      <c r="B2186" s="13"/>
    </row>
    <row r="2187" spans="1:2" x14ac:dyDescent="0.2">
      <c r="A2187" s="12"/>
      <c r="B2187" s="13"/>
    </row>
    <row r="2188" spans="1:2" x14ac:dyDescent="0.2">
      <c r="A2188" s="12"/>
      <c r="B2188" s="13"/>
    </row>
    <row r="2189" spans="1:2" x14ac:dyDescent="0.2">
      <c r="A2189" s="12"/>
      <c r="B2189" s="13"/>
    </row>
    <row r="2190" spans="1:2" x14ac:dyDescent="0.2">
      <c r="A2190" s="12"/>
      <c r="B2190" s="13"/>
    </row>
    <row r="2191" spans="1:2" x14ac:dyDescent="0.2">
      <c r="A2191" s="12"/>
      <c r="B2191" s="13"/>
    </row>
    <row r="2192" spans="1:2" x14ac:dyDescent="0.2">
      <c r="A2192" s="12"/>
      <c r="B2192" s="13"/>
    </row>
    <row r="2193" spans="1:2" x14ac:dyDescent="0.2">
      <c r="A2193" s="12"/>
      <c r="B2193" s="13"/>
    </row>
    <row r="2194" spans="1:2" x14ac:dyDescent="0.2">
      <c r="A2194" s="12"/>
      <c r="B2194" s="13"/>
    </row>
    <row r="2195" spans="1:2" x14ac:dyDescent="0.2">
      <c r="A2195" s="12"/>
      <c r="B2195" s="13"/>
    </row>
    <row r="2196" spans="1:2" x14ac:dyDescent="0.2">
      <c r="A2196" s="12"/>
      <c r="B2196" s="13"/>
    </row>
    <row r="2197" spans="1:2" x14ac:dyDescent="0.2">
      <c r="A2197" s="12"/>
      <c r="B2197" s="13"/>
    </row>
    <row r="2198" spans="1:2" x14ac:dyDescent="0.2">
      <c r="A2198" s="12"/>
      <c r="B2198" s="13"/>
    </row>
    <row r="2199" spans="1:2" x14ac:dyDescent="0.2">
      <c r="A2199" s="12"/>
      <c r="B2199" s="13"/>
    </row>
    <row r="2200" spans="1:2" x14ac:dyDescent="0.2">
      <c r="A2200" s="12"/>
      <c r="B2200" s="13"/>
    </row>
    <row r="2201" spans="1:2" x14ac:dyDescent="0.2">
      <c r="A2201" s="12"/>
      <c r="B2201" s="13"/>
    </row>
    <row r="2202" spans="1:2" x14ac:dyDescent="0.2">
      <c r="A2202" s="12"/>
      <c r="B2202" s="13"/>
    </row>
    <row r="2203" spans="1:2" x14ac:dyDescent="0.2">
      <c r="A2203" s="12"/>
      <c r="B2203" s="13"/>
    </row>
    <row r="2204" spans="1:2" x14ac:dyDescent="0.2">
      <c r="A2204" s="12"/>
      <c r="B2204" s="13"/>
    </row>
    <row r="2205" spans="1:2" x14ac:dyDescent="0.2">
      <c r="A2205" s="12"/>
      <c r="B2205" s="13"/>
    </row>
    <row r="2206" spans="1:2" x14ac:dyDescent="0.2">
      <c r="A2206" s="12"/>
      <c r="B2206" s="13"/>
    </row>
    <row r="2207" spans="1:2" x14ac:dyDescent="0.2">
      <c r="A2207" s="12"/>
      <c r="B2207" s="13"/>
    </row>
    <row r="2208" spans="1:2" x14ac:dyDescent="0.2">
      <c r="A2208" s="12"/>
      <c r="B2208" s="13"/>
    </row>
    <row r="2209" spans="1:2" x14ac:dyDescent="0.2">
      <c r="A2209" s="12"/>
      <c r="B2209" s="13"/>
    </row>
    <row r="2210" spans="1:2" x14ac:dyDescent="0.2">
      <c r="A2210" s="12"/>
      <c r="B2210" s="13"/>
    </row>
    <row r="2211" spans="1:2" x14ac:dyDescent="0.2">
      <c r="A2211" s="12"/>
      <c r="B2211" s="13"/>
    </row>
    <row r="2212" spans="1:2" x14ac:dyDescent="0.2">
      <c r="A2212" s="12"/>
      <c r="B2212" s="13"/>
    </row>
    <row r="2213" spans="1:2" x14ac:dyDescent="0.2">
      <c r="A2213" s="12"/>
      <c r="B2213" s="13"/>
    </row>
    <row r="2214" spans="1:2" x14ac:dyDescent="0.2">
      <c r="A2214" s="12"/>
      <c r="B2214" s="13"/>
    </row>
    <row r="2215" spans="1:2" x14ac:dyDescent="0.2">
      <c r="A2215" s="12"/>
      <c r="B2215" s="13"/>
    </row>
    <row r="2216" spans="1:2" x14ac:dyDescent="0.2">
      <c r="A2216" s="12"/>
      <c r="B2216" s="13"/>
    </row>
    <row r="2217" spans="1:2" x14ac:dyDescent="0.2">
      <c r="A2217" s="12"/>
      <c r="B2217" s="13"/>
    </row>
    <row r="2218" spans="1:2" x14ac:dyDescent="0.2">
      <c r="A2218" s="12"/>
      <c r="B2218" s="13"/>
    </row>
    <row r="2219" spans="1:2" x14ac:dyDescent="0.2">
      <c r="A2219" s="12"/>
      <c r="B2219" s="13"/>
    </row>
    <row r="2220" spans="1:2" x14ac:dyDescent="0.2">
      <c r="A2220" s="12"/>
      <c r="B2220" s="13"/>
    </row>
    <row r="2221" spans="1:2" x14ac:dyDescent="0.2">
      <c r="A2221" s="12"/>
      <c r="B2221" s="13"/>
    </row>
    <row r="2222" spans="1:2" x14ac:dyDescent="0.2">
      <c r="A2222" s="12"/>
      <c r="B2222" s="13"/>
    </row>
    <row r="2223" spans="1:2" x14ac:dyDescent="0.2">
      <c r="A2223" s="12"/>
      <c r="B2223" s="13"/>
    </row>
    <row r="2224" spans="1:2" x14ac:dyDescent="0.2">
      <c r="A2224" s="12"/>
      <c r="B2224" s="13"/>
    </row>
    <row r="2225" spans="1:2" x14ac:dyDescent="0.2">
      <c r="A2225" s="12"/>
      <c r="B2225" s="13"/>
    </row>
    <row r="2226" spans="1:2" x14ac:dyDescent="0.2">
      <c r="A2226" s="12"/>
      <c r="B2226" s="13"/>
    </row>
    <row r="2227" spans="1:2" x14ac:dyDescent="0.2">
      <c r="A2227" s="12"/>
      <c r="B2227" s="13"/>
    </row>
    <row r="2228" spans="1:2" x14ac:dyDescent="0.2">
      <c r="A2228" s="12"/>
      <c r="B2228" s="13"/>
    </row>
    <row r="2229" spans="1:2" x14ac:dyDescent="0.2">
      <c r="A2229" s="12"/>
      <c r="B2229" s="13"/>
    </row>
    <row r="2230" spans="1:2" x14ac:dyDescent="0.2">
      <c r="A2230" s="12"/>
      <c r="B2230" s="13"/>
    </row>
    <row r="2231" spans="1:2" x14ac:dyDescent="0.2">
      <c r="A2231" s="12"/>
      <c r="B2231" s="13"/>
    </row>
    <row r="2232" spans="1:2" x14ac:dyDescent="0.2">
      <c r="A2232" s="12"/>
      <c r="B2232" s="13"/>
    </row>
    <row r="2233" spans="1:2" x14ac:dyDescent="0.2">
      <c r="A2233" s="12"/>
      <c r="B2233" s="13"/>
    </row>
    <row r="2234" spans="1:2" x14ac:dyDescent="0.2">
      <c r="A2234" s="12"/>
      <c r="B2234" s="13"/>
    </row>
    <row r="2235" spans="1:2" x14ac:dyDescent="0.2">
      <c r="A2235" s="12"/>
      <c r="B2235" s="13"/>
    </row>
    <row r="2236" spans="1:2" x14ac:dyDescent="0.2">
      <c r="A2236" s="12"/>
      <c r="B2236" s="13"/>
    </row>
    <row r="2237" spans="1:2" x14ac:dyDescent="0.2">
      <c r="A2237" s="12"/>
      <c r="B2237" s="13"/>
    </row>
    <row r="2238" spans="1:2" x14ac:dyDescent="0.2">
      <c r="A2238" s="12"/>
      <c r="B2238" s="13"/>
    </row>
    <row r="2239" spans="1:2" x14ac:dyDescent="0.2">
      <c r="A2239" s="12"/>
      <c r="B2239" s="13"/>
    </row>
    <row r="2240" spans="1:2" x14ac:dyDescent="0.2">
      <c r="A2240" s="12"/>
      <c r="B2240" s="13"/>
    </row>
    <row r="2241" spans="1:2" x14ac:dyDescent="0.2">
      <c r="A2241" s="12"/>
      <c r="B2241" s="13"/>
    </row>
    <row r="2242" spans="1:2" x14ac:dyDescent="0.2">
      <c r="A2242" s="12"/>
      <c r="B2242" s="13"/>
    </row>
    <row r="2243" spans="1:2" x14ac:dyDescent="0.2">
      <c r="A2243" s="12"/>
      <c r="B2243" s="13"/>
    </row>
    <row r="2244" spans="1:2" x14ac:dyDescent="0.2">
      <c r="A2244" s="12"/>
      <c r="B2244" s="13"/>
    </row>
    <row r="2245" spans="1:2" x14ac:dyDescent="0.2">
      <c r="A2245" s="12"/>
      <c r="B2245" s="13"/>
    </row>
    <row r="2246" spans="1:2" x14ac:dyDescent="0.2">
      <c r="A2246" s="12"/>
      <c r="B2246" s="13"/>
    </row>
    <row r="2247" spans="1:2" x14ac:dyDescent="0.2">
      <c r="A2247" s="12"/>
      <c r="B2247" s="13"/>
    </row>
    <row r="2248" spans="1:2" x14ac:dyDescent="0.2">
      <c r="A2248" s="12"/>
      <c r="B2248" s="13"/>
    </row>
    <row r="2249" spans="1:2" x14ac:dyDescent="0.2">
      <c r="A2249" s="12"/>
      <c r="B2249" s="13"/>
    </row>
    <row r="2250" spans="1:2" x14ac:dyDescent="0.2">
      <c r="A2250" s="12"/>
      <c r="B2250" s="13"/>
    </row>
    <row r="2251" spans="1:2" x14ac:dyDescent="0.2">
      <c r="A2251" s="12"/>
      <c r="B2251" s="13"/>
    </row>
    <row r="2252" spans="1:2" x14ac:dyDescent="0.2">
      <c r="A2252" s="12"/>
      <c r="B2252" s="13"/>
    </row>
    <row r="2253" spans="1:2" x14ac:dyDescent="0.2">
      <c r="A2253" s="12"/>
      <c r="B2253" s="13"/>
    </row>
    <row r="2254" spans="1:2" x14ac:dyDescent="0.2">
      <c r="A2254" s="12"/>
      <c r="B2254" s="13"/>
    </row>
    <row r="2255" spans="1:2" x14ac:dyDescent="0.2">
      <c r="A2255" s="12"/>
      <c r="B2255" s="13"/>
    </row>
    <row r="2256" spans="1:2" x14ac:dyDescent="0.2">
      <c r="A2256" s="12"/>
      <c r="B2256" s="13"/>
    </row>
    <row r="2257" spans="1:2" x14ac:dyDescent="0.2">
      <c r="A2257" s="12"/>
      <c r="B2257" s="13"/>
    </row>
    <row r="2258" spans="1:2" x14ac:dyDescent="0.2">
      <c r="A2258" s="12"/>
      <c r="B2258" s="13"/>
    </row>
    <row r="2259" spans="1:2" x14ac:dyDescent="0.2">
      <c r="A2259" s="12"/>
      <c r="B2259" s="13"/>
    </row>
    <row r="2260" spans="1:2" x14ac:dyDescent="0.2">
      <c r="A2260" s="12"/>
      <c r="B2260" s="13"/>
    </row>
    <row r="2261" spans="1:2" x14ac:dyDescent="0.2">
      <c r="A2261" s="12"/>
      <c r="B2261" s="13"/>
    </row>
    <row r="2262" spans="1:2" x14ac:dyDescent="0.2">
      <c r="A2262" s="12"/>
      <c r="B2262" s="13"/>
    </row>
    <row r="2263" spans="1:2" x14ac:dyDescent="0.2">
      <c r="A2263" s="12"/>
      <c r="B2263" s="13"/>
    </row>
    <row r="2264" spans="1:2" x14ac:dyDescent="0.2">
      <c r="A2264" s="12"/>
      <c r="B2264" s="13"/>
    </row>
    <row r="2265" spans="1:2" x14ac:dyDescent="0.2">
      <c r="A2265" s="12"/>
      <c r="B2265" s="13"/>
    </row>
    <row r="2266" spans="1:2" x14ac:dyDescent="0.2">
      <c r="A2266" s="12"/>
      <c r="B2266" s="13"/>
    </row>
    <row r="2267" spans="1:2" x14ac:dyDescent="0.2">
      <c r="A2267" s="12"/>
      <c r="B2267" s="13"/>
    </row>
    <row r="2268" spans="1:2" x14ac:dyDescent="0.2">
      <c r="A2268" s="12"/>
      <c r="B2268" s="13"/>
    </row>
    <row r="2269" spans="1:2" x14ac:dyDescent="0.2">
      <c r="A2269" s="12"/>
      <c r="B2269" s="13"/>
    </row>
    <row r="2270" spans="1:2" x14ac:dyDescent="0.2">
      <c r="A2270" s="12"/>
      <c r="B2270" s="13"/>
    </row>
    <row r="2271" spans="1:2" x14ac:dyDescent="0.2">
      <c r="A2271" s="12"/>
      <c r="B2271" s="13"/>
    </row>
    <row r="2272" spans="1:2" x14ac:dyDescent="0.2">
      <c r="A2272" s="12"/>
      <c r="B2272" s="13"/>
    </row>
    <row r="2273" spans="1:2" x14ac:dyDescent="0.2">
      <c r="A2273" s="12"/>
      <c r="B2273" s="13"/>
    </row>
    <row r="2274" spans="1:2" x14ac:dyDescent="0.2">
      <c r="A2274" s="12"/>
      <c r="B2274" s="13"/>
    </row>
    <row r="2275" spans="1:2" x14ac:dyDescent="0.2">
      <c r="A2275" s="12"/>
      <c r="B2275" s="13"/>
    </row>
    <row r="2276" spans="1:2" x14ac:dyDescent="0.2">
      <c r="A2276" s="12"/>
      <c r="B2276" s="13"/>
    </row>
    <row r="2277" spans="1:2" x14ac:dyDescent="0.2">
      <c r="A2277" s="12"/>
      <c r="B2277" s="13"/>
    </row>
    <row r="2278" spans="1:2" x14ac:dyDescent="0.2">
      <c r="A2278" s="12"/>
      <c r="B2278" s="13"/>
    </row>
    <row r="2279" spans="1:2" x14ac:dyDescent="0.2">
      <c r="A2279" s="12"/>
      <c r="B2279" s="13"/>
    </row>
    <row r="2280" spans="1:2" x14ac:dyDescent="0.2">
      <c r="A2280" s="12"/>
      <c r="B2280" s="13"/>
    </row>
    <row r="2281" spans="1:2" x14ac:dyDescent="0.2">
      <c r="A2281" s="12"/>
      <c r="B2281" s="13"/>
    </row>
    <row r="2282" spans="1:2" x14ac:dyDescent="0.2">
      <c r="A2282" s="12"/>
      <c r="B2282" s="13"/>
    </row>
    <row r="2283" spans="1:2" x14ac:dyDescent="0.2">
      <c r="A2283" s="12"/>
      <c r="B2283" s="13"/>
    </row>
    <row r="2284" spans="1:2" x14ac:dyDescent="0.2">
      <c r="A2284" s="12"/>
      <c r="B2284" s="13"/>
    </row>
    <row r="2285" spans="1:2" x14ac:dyDescent="0.2">
      <c r="A2285" s="12"/>
      <c r="B2285" s="13"/>
    </row>
    <row r="2286" spans="1:2" x14ac:dyDescent="0.2">
      <c r="A2286" s="12"/>
      <c r="B2286" s="13"/>
    </row>
    <row r="2287" spans="1:2" x14ac:dyDescent="0.2">
      <c r="A2287" s="12"/>
      <c r="B2287" s="13"/>
    </row>
    <row r="2288" spans="1:2" x14ac:dyDescent="0.2">
      <c r="A2288" s="12"/>
      <c r="B2288" s="13"/>
    </row>
    <row r="2289" spans="1:2" x14ac:dyDescent="0.2">
      <c r="A2289" s="12"/>
      <c r="B2289" s="13"/>
    </row>
    <row r="2290" spans="1:2" x14ac:dyDescent="0.2">
      <c r="A2290" s="12"/>
      <c r="B2290" s="13"/>
    </row>
    <row r="2291" spans="1:2" x14ac:dyDescent="0.2">
      <c r="A2291" s="12"/>
      <c r="B2291" s="13"/>
    </row>
    <row r="2292" spans="1:2" x14ac:dyDescent="0.2">
      <c r="A2292" s="12"/>
      <c r="B2292" s="13"/>
    </row>
    <row r="2293" spans="1:2" x14ac:dyDescent="0.2">
      <c r="A2293" s="12"/>
      <c r="B2293" s="13"/>
    </row>
    <row r="2294" spans="1:2" x14ac:dyDescent="0.2">
      <c r="A2294" s="12"/>
      <c r="B2294" s="13"/>
    </row>
    <row r="2295" spans="1:2" x14ac:dyDescent="0.2">
      <c r="A2295" s="12"/>
      <c r="B2295" s="13"/>
    </row>
    <row r="2296" spans="1:2" x14ac:dyDescent="0.2">
      <c r="A2296" s="12"/>
      <c r="B2296" s="13"/>
    </row>
    <row r="2297" spans="1:2" x14ac:dyDescent="0.2">
      <c r="A2297" s="12"/>
      <c r="B2297" s="13"/>
    </row>
    <row r="2298" spans="1:2" x14ac:dyDescent="0.2">
      <c r="A2298" s="12"/>
      <c r="B2298" s="13"/>
    </row>
    <row r="2299" spans="1:2" x14ac:dyDescent="0.2">
      <c r="A2299" s="12"/>
      <c r="B2299" s="13"/>
    </row>
    <row r="2300" spans="1:2" x14ac:dyDescent="0.2">
      <c r="A2300" s="12"/>
      <c r="B2300" s="13"/>
    </row>
    <row r="2301" spans="1:2" x14ac:dyDescent="0.2">
      <c r="A2301" s="12"/>
      <c r="B2301" s="13"/>
    </row>
    <row r="2302" spans="1:2" x14ac:dyDescent="0.2">
      <c r="A2302" s="12"/>
      <c r="B2302" s="13"/>
    </row>
    <row r="2303" spans="1:2" x14ac:dyDescent="0.2">
      <c r="A2303" s="12"/>
      <c r="B2303" s="13"/>
    </row>
    <row r="2304" spans="1:2" x14ac:dyDescent="0.2">
      <c r="A2304" s="12"/>
      <c r="B2304" s="13"/>
    </row>
    <row r="2305" spans="1:2" x14ac:dyDescent="0.2">
      <c r="A2305" s="12"/>
      <c r="B2305" s="13"/>
    </row>
    <row r="2306" spans="1:2" x14ac:dyDescent="0.2">
      <c r="A2306" s="12"/>
      <c r="B2306" s="13"/>
    </row>
    <row r="2307" spans="1:2" x14ac:dyDescent="0.2">
      <c r="A2307" s="12"/>
      <c r="B2307" s="13"/>
    </row>
    <row r="2308" spans="1:2" x14ac:dyDescent="0.2">
      <c r="A2308" s="12"/>
      <c r="B2308" s="13"/>
    </row>
    <row r="2309" spans="1:2" x14ac:dyDescent="0.2">
      <c r="A2309" s="12"/>
      <c r="B2309" s="13"/>
    </row>
    <row r="2310" spans="1:2" x14ac:dyDescent="0.2">
      <c r="A2310" s="12"/>
      <c r="B2310" s="13"/>
    </row>
    <row r="2311" spans="1:2" x14ac:dyDescent="0.2">
      <c r="A2311" s="12"/>
      <c r="B2311" s="13"/>
    </row>
    <row r="2312" spans="1:2" x14ac:dyDescent="0.2">
      <c r="A2312" s="12"/>
      <c r="B2312" s="13"/>
    </row>
    <row r="2313" spans="1:2" x14ac:dyDescent="0.2">
      <c r="A2313" s="12"/>
      <c r="B2313" s="13"/>
    </row>
    <row r="2314" spans="1:2" x14ac:dyDescent="0.2">
      <c r="A2314" s="12"/>
      <c r="B2314" s="13"/>
    </row>
    <row r="2315" spans="1:2" x14ac:dyDescent="0.2">
      <c r="A2315" s="12"/>
      <c r="B2315" s="13"/>
    </row>
    <row r="2316" spans="1:2" x14ac:dyDescent="0.2">
      <c r="A2316" s="12"/>
      <c r="B2316" s="13"/>
    </row>
    <row r="2317" spans="1:2" x14ac:dyDescent="0.2">
      <c r="A2317" s="12"/>
      <c r="B2317" s="13"/>
    </row>
    <row r="2318" spans="1:2" x14ac:dyDescent="0.2">
      <c r="A2318" s="12"/>
      <c r="B2318" s="13"/>
    </row>
    <row r="2319" spans="1:2" x14ac:dyDescent="0.2">
      <c r="A2319" s="12"/>
      <c r="B2319" s="13"/>
    </row>
    <row r="2320" spans="1:2" x14ac:dyDescent="0.2">
      <c r="A2320" s="12"/>
      <c r="B2320" s="13"/>
    </row>
    <row r="2321" spans="1:2" x14ac:dyDescent="0.2">
      <c r="A2321" s="12"/>
      <c r="B2321" s="13"/>
    </row>
    <row r="2322" spans="1:2" x14ac:dyDescent="0.2">
      <c r="A2322" s="12"/>
      <c r="B2322" s="13"/>
    </row>
    <row r="2323" spans="1:2" x14ac:dyDescent="0.2">
      <c r="A2323" s="12"/>
      <c r="B2323" s="13"/>
    </row>
    <row r="2324" spans="1:2" x14ac:dyDescent="0.2">
      <c r="A2324" s="12"/>
      <c r="B2324" s="13"/>
    </row>
    <row r="2325" spans="1:2" x14ac:dyDescent="0.2">
      <c r="A2325" s="12"/>
      <c r="B2325" s="13"/>
    </row>
    <row r="2326" spans="1:2" x14ac:dyDescent="0.2">
      <c r="A2326" s="12"/>
      <c r="B2326" s="13"/>
    </row>
    <row r="2327" spans="1:2" x14ac:dyDescent="0.2">
      <c r="A2327" s="12"/>
      <c r="B2327" s="13"/>
    </row>
    <row r="2328" spans="1:2" x14ac:dyDescent="0.2">
      <c r="A2328" s="12"/>
      <c r="B2328" s="13"/>
    </row>
    <row r="2329" spans="1:2" x14ac:dyDescent="0.2">
      <c r="A2329" s="12"/>
      <c r="B2329" s="13"/>
    </row>
    <row r="2330" spans="1:2" x14ac:dyDescent="0.2">
      <c r="A2330" s="12"/>
      <c r="B2330" s="13"/>
    </row>
    <row r="2331" spans="1:2" x14ac:dyDescent="0.2">
      <c r="A2331" s="12"/>
      <c r="B2331" s="13"/>
    </row>
    <row r="2332" spans="1:2" x14ac:dyDescent="0.2">
      <c r="A2332" s="12"/>
      <c r="B2332" s="13"/>
    </row>
    <row r="2333" spans="1:2" x14ac:dyDescent="0.2">
      <c r="A2333" s="12"/>
      <c r="B2333" s="13"/>
    </row>
    <row r="2334" spans="1:2" x14ac:dyDescent="0.2">
      <c r="A2334" s="12"/>
      <c r="B2334" s="13"/>
    </row>
    <row r="2335" spans="1:2" x14ac:dyDescent="0.2">
      <c r="A2335" s="12"/>
      <c r="B2335" s="13"/>
    </row>
    <row r="2336" spans="1:2" x14ac:dyDescent="0.2">
      <c r="A2336" s="12"/>
      <c r="B2336" s="13"/>
    </row>
    <row r="2337" spans="1:2" x14ac:dyDescent="0.2">
      <c r="A2337" s="12"/>
      <c r="B2337" s="13"/>
    </row>
    <row r="2338" spans="1:2" x14ac:dyDescent="0.2">
      <c r="A2338" s="12"/>
      <c r="B2338" s="13"/>
    </row>
    <row r="2339" spans="1:2" x14ac:dyDescent="0.2">
      <c r="A2339" s="12"/>
      <c r="B2339" s="13"/>
    </row>
    <row r="2340" spans="1:2" x14ac:dyDescent="0.2">
      <c r="A2340" s="12"/>
      <c r="B2340" s="13"/>
    </row>
    <row r="2341" spans="1:2" x14ac:dyDescent="0.2">
      <c r="A2341" s="12"/>
      <c r="B2341" s="13"/>
    </row>
    <row r="2342" spans="1:2" x14ac:dyDescent="0.2">
      <c r="A2342" s="12"/>
      <c r="B2342" s="13"/>
    </row>
    <row r="2343" spans="1:2" x14ac:dyDescent="0.2">
      <c r="A2343" s="12"/>
      <c r="B2343" s="13"/>
    </row>
    <row r="2344" spans="1:2" x14ac:dyDescent="0.2">
      <c r="A2344" s="12"/>
      <c r="B2344" s="13"/>
    </row>
    <row r="2345" spans="1:2" x14ac:dyDescent="0.2">
      <c r="A2345" s="12"/>
      <c r="B2345" s="13"/>
    </row>
    <row r="2346" spans="1:2" x14ac:dyDescent="0.2">
      <c r="A2346" s="12"/>
      <c r="B2346" s="13"/>
    </row>
    <row r="2347" spans="1:2" x14ac:dyDescent="0.2">
      <c r="A2347" s="12"/>
      <c r="B2347" s="13"/>
    </row>
    <row r="2348" spans="1:2" x14ac:dyDescent="0.2">
      <c r="A2348" s="12"/>
      <c r="B2348" s="13"/>
    </row>
    <row r="2349" spans="1:2" x14ac:dyDescent="0.2">
      <c r="A2349" s="12"/>
      <c r="B2349" s="13"/>
    </row>
    <row r="2350" spans="1:2" x14ac:dyDescent="0.2">
      <c r="A2350" s="12"/>
      <c r="B2350" s="13"/>
    </row>
    <row r="2351" spans="1:2" x14ac:dyDescent="0.2">
      <c r="A2351" s="12"/>
      <c r="B2351" s="13"/>
    </row>
    <row r="2352" spans="1:2" x14ac:dyDescent="0.2">
      <c r="A2352" s="12"/>
      <c r="B2352" s="13"/>
    </row>
    <row r="2353" spans="1:2" x14ac:dyDescent="0.2">
      <c r="A2353" s="12"/>
      <c r="B2353" s="13"/>
    </row>
    <row r="2354" spans="1:2" x14ac:dyDescent="0.2">
      <c r="A2354" s="12"/>
      <c r="B2354" s="13"/>
    </row>
    <row r="2355" spans="1:2" x14ac:dyDescent="0.2">
      <c r="A2355" s="12"/>
      <c r="B2355" s="13"/>
    </row>
    <row r="2356" spans="1:2" x14ac:dyDescent="0.2">
      <c r="A2356" s="12"/>
      <c r="B2356" s="13"/>
    </row>
    <row r="2357" spans="1:2" x14ac:dyDescent="0.2">
      <c r="A2357" s="12"/>
      <c r="B2357" s="13"/>
    </row>
    <row r="2358" spans="1:2" x14ac:dyDescent="0.2">
      <c r="A2358" s="12"/>
      <c r="B2358" s="13"/>
    </row>
    <row r="2359" spans="1:2" x14ac:dyDescent="0.2">
      <c r="A2359" s="12"/>
      <c r="B2359" s="13"/>
    </row>
    <row r="2360" spans="1:2" x14ac:dyDescent="0.2">
      <c r="A2360" s="12"/>
      <c r="B2360" s="13"/>
    </row>
    <row r="2361" spans="1:2" x14ac:dyDescent="0.2">
      <c r="A2361" s="12"/>
      <c r="B2361" s="13"/>
    </row>
    <row r="2362" spans="1:2" x14ac:dyDescent="0.2">
      <c r="A2362" s="12"/>
      <c r="B2362" s="13"/>
    </row>
    <row r="2363" spans="1:2" x14ac:dyDescent="0.2">
      <c r="A2363" s="12"/>
      <c r="B2363" s="13"/>
    </row>
    <row r="2364" spans="1:2" x14ac:dyDescent="0.2">
      <c r="A2364" s="12"/>
      <c r="B2364" s="13"/>
    </row>
    <row r="2365" spans="1:2" x14ac:dyDescent="0.2">
      <c r="A2365" s="12"/>
      <c r="B2365" s="13"/>
    </row>
    <row r="2366" spans="1:2" x14ac:dyDescent="0.2">
      <c r="A2366" s="12"/>
      <c r="B2366" s="13"/>
    </row>
    <row r="2367" spans="1:2" x14ac:dyDescent="0.2">
      <c r="A2367" s="12"/>
      <c r="B2367" s="13"/>
    </row>
    <row r="2368" spans="1:2" x14ac:dyDescent="0.2">
      <c r="A2368" s="12"/>
      <c r="B2368" s="13"/>
    </row>
    <row r="2369" spans="1:2" x14ac:dyDescent="0.2">
      <c r="A2369" s="12"/>
      <c r="B2369" s="13"/>
    </row>
    <row r="2370" spans="1:2" x14ac:dyDescent="0.2">
      <c r="A2370" s="12"/>
      <c r="B2370" s="13"/>
    </row>
    <row r="2371" spans="1:2" x14ac:dyDescent="0.2">
      <c r="A2371" s="12"/>
      <c r="B2371" s="13"/>
    </row>
    <row r="2372" spans="1:2" x14ac:dyDescent="0.2">
      <c r="A2372" s="12"/>
      <c r="B2372" s="13"/>
    </row>
    <row r="2373" spans="1:2" x14ac:dyDescent="0.2">
      <c r="A2373" s="12"/>
      <c r="B2373" s="13"/>
    </row>
    <row r="2374" spans="1:2" x14ac:dyDescent="0.2">
      <c r="A2374" s="12"/>
      <c r="B2374" s="13"/>
    </row>
    <row r="2375" spans="1:2" x14ac:dyDescent="0.2">
      <c r="A2375" s="12"/>
      <c r="B2375" s="13"/>
    </row>
    <row r="2376" spans="1:2" x14ac:dyDescent="0.2">
      <c r="A2376" s="12"/>
      <c r="B2376" s="13"/>
    </row>
    <row r="2377" spans="1:2" x14ac:dyDescent="0.2">
      <c r="A2377" s="12"/>
      <c r="B2377" s="13"/>
    </row>
    <row r="2378" spans="1:2" x14ac:dyDescent="0.2">
      <c r="A2378" s="12"/>
      <c r="B2378" s="13"/>
    </row>
    <row r="2379" spans="1:2" x14ac:dyDescent="0.2">
      <c r="A2379" s="12"/>
      <c r="B2379" s="13"/>
    </row>
    <row r="2380" spans="1:2" x14ac:dyDescent="0.2">
      <c r="A2380" s="12"/>
      <c r="B2380" s="13"/>
    </row>
    <row r="2381" spans="1:2" x14ac:dyDescent="0.2">
      <c r="A2381" s="12"/>
      <c r="B2381" s="13"/>
    </row>
    <row r="2382" spans="1:2" x14ac:dyDescent="0.2">
      <c r="A2382" s="12"/>
      <c r="B2382" s="13"/>
    </row>
    <row r="2383" spans="1:2" x14ac:dyDescent="0.2">
      <c r="A2383" s="12"/>
      <c r="B2383" s="13"/>
    </row>
    <row r="2384" spans="1:2" x14ac:dyDescent="0.2">
      <c r="A2384" s="12"/>
      <c r="B2384" s="13"/>
    </row>
    <row r="2385" spans="1:2" x14ac:dyDescent="0.2">
      <c r="A2385" s="12"/>
      <c r="B2385" s="13"/>
    </row>
    <row r="2386" spans="1:2" x14ac:dyDescent="0.2">
      <c r="A2386" s="12"/>
      <c r="B2386" s="13"/>
    </row>
    <row r="2387" spans="1:2" x14ac:dyDescent="0.2">
      <c r="A2387" s="12"/>
      <c r="B2387" s="13"/>
    </row>
    <row r="2388" spans="1:2" x14ac:dyDescent="0.2">
      <c r="A2388" s="12"/>
      <c r="B2388" s="13"/>
    </row>
    <row r="2389" spans="1:2" x14ac:dyDescent="0.2">
      <c r="A2389" s="12"/>
      <c r="B2389" s="13"/>
    </row>
    <row r="2390" spans="1:2" x14ac:dyDescent="0.2">
      <c r="A2390" s="12"/>
      <c r="B2390" s="13"/>
    </row>
    <row r="2391" spans="1:2" x14ac:dyDescent="0.2">
      <c r="A2391" s="12"/>
      <c r="B2391" s="13"/>
    </row>
    <row r="2392" spans="1:2" x14ac:dyDescent="0.2">
      <c r="A2392" s="12"/>
      <c r="B2392" s="13"/>
    </row>
    <row r="2393" spans="1:2" x14ac:dyDescent="0.2">
      <c r="A2393" s="12"/>
      <c r="B2393" s="13"/>
    </row>
    <row r="2394" spans="1:2" x14ac:dyDescent="0.2">
      <c r="A2394" s="12"/>
      <c r="B2394" s="13"/>
    </row>
    <row r="2395" spans="1:2" x14ac:dyDescent="0.2">
      <c r="A2395" s="12"/>
      <c r="B2395" s="13"/>
    </row>
    <row r="2396" spans="1:2" x14ac:dyDescent="0.2">
      <c r="A2396" s="12"/>
      <c r="B2396" s="13"/>
    </row>
    <row r="2397" spans="1:2" x14ac:dyDescent="0.2">
      <c r="A2397" s="12"/>
      <c r="B2397" s="13"/>
    </row>
    <row r="2398" spans="1:2" x14ac:dyDescent="0.2">
      <c r="A2398" s="12"/>
      <c r="B2398" s="13"/>
    </row>
    <row r="2399" spans="1:2" x14ac:dyDescent="0.2">
      <c r="A2399" s="12"/>
      <c r="B2399" s="13"/>
    </row>
    <row r="2400" spans="1:2" x14ac:dyDescent="0.2">
      <c r="A2400" s="12"/>
      <c r="B2400" s="13"/>
    </row>
    <row r="2401" spans="1:2" x14ac:dyDescent="0.2">
      <c r="A2401" s="12"/>
      <c r="B2401" s="13"/>
    </row>
    <row r="2402" spans="1:2" x14ac:dyDescent="0.2">
      <c r="A2402" s="12"/>
      <c r="B2402" s="13"/>
    </row>
    <row r="2403" spans="1:2" x14ac:dyDescent="0.2">
      <c r="A2403" s="12"/>
      <c r="B2403" s="13"/>
    </row>
    <row r="2404" spans="1:2" x14ac:dyDescent="0.2">
      <c r="A2404" s="12"/>
      <c r="B2404" s="13"/>
    </row>
    <row r="2405" spans="1:2" x14ac:dyDescent="0.2">
      <c r="A2405" s="12"/>
      <c r="B2405" s="13"/>
    </row>
    <row r="2406" spans="1:2" x14ac:dyDescent="0.2">
      <c r="A2406" s="12"/>
      <c r="B2406" s="13"/>
    </row>
    <row r="2407" spans="1:2" x14ac:dyDescent="0.2">
      <c r="A2407" s="12"/>
      <c r="B2407" s="13"/>
    </row>
    <row r="2408" spans="1:2" x14ac:dyDescent="0.2">
      <c r="A2408" s="12"/>
      <c r="B2408" s="13"/>
    </row>
    <row r="2409" spans="1:2" x14ac:dyDescent="0.2">
      <c r="A2409" s="12"/>
      <c r="B2409" s="13"/>
    </row>
    <row r="2410" spans="1:2" x14ac:dyDescent="0.2">
      <c r="A2410" s="12"/>
      <c r="B2410" s="13"/>
    </row>
    <row r="2411" spans="1:2" x14ac:dyDescent="0.2">
      <c r="A2411" s="12"/>
      <c r="B2411" s="13"/>
    </row>
    <row r="2412" spans="1:2" x14ac:dyDescent="0.2">
      <c r="A2412" s="12"/>
      <c r="B2412" s="13"/>
    </row>
    <row r="2413" spans="1:2" x14ac:dyDescent="0.2">
      <c r="A2413" s="12"/>
      <c r="B2413" s="13"/>
    </row>
    <row r="2414" spans="1:2" x14ac:dyDescent="0.2">
      <c r="A2414" s="12"/>
      <c r="B2414" s="13"/>
    </row>
    <row r="2415" spans="1:2" x14ac:dyDescent="0.2">
      <c r="A2415" s="12"/>
      <c r="B2415" s="13"/>
    </row>
    <row r="2416" spans="1:2" x14ac:dyDescent="0.2">
      <c r="A2416" s="12"/>
      <c r="B2416" s="13"/>
    </row>
    <row r="2417" spans="1:2" x14ac:dyDescent="0.2">
      <c r="A2417" s="12"/>
      <c r="B2417" s="13"/>
    </row>
    <row r="2418" spans="1:2" x14ac:dyDescent="0.2">
      <c r="A2418" s="12"/>
      <c r="B2418" s="13"/>
    </row>
    <row r="2419" spans="1:2" x14ac:dyDescent="0.2">
      <c r="A2419" s="12"/>
      <c r="B2419" s="13"/>
    </row>
    <row r="2420" spans="1:2" x14ac:dyDescent="0.2">
      <c r="A2420" s="12"/>
      <c r="B2420" s="13"/>
    </row>
    <row r="2421" spans="1:2" x14ac:dyDescent="0.2">
      <c r="A2421" s="12"/>
      <c r="B2421" s="13"/>
    </row>
    <row r="2422" spans="1:2" x14ac:dyDescent="0.2">
      <c r="A2422" s="12"/>
      <c r="B2422" s="13"/>
    </row>
    <row r="2423" spans="1:2" x14ac:dyDescent="0.2">
      <c r="A2423" s="12"/>
      <c r="B2423" s="13"/>
    </row>
    <row r="2424" spans="1:2" x14ac:dyDescent="0.2">
      <c r="A2424" s="12"/>
      <c r="B2424" s="13"/>
    </row>
    <row r="2425" spans="1:2" x14ac:dyDescent="0.2">
      <c r="A2425" s="12"/>
      <c r="B2425" s="13"/>
    </row>
    <row r="2426" spans="1:2" x14ac:dyDescent="0.2">
      <c r="A2426" s="12"/>
      <c r="B2426" s="13"/>
    </row>
    <row r="2427" spans="1:2" x14ac:dyDescent="0.2">
      <c r="A2427" s="12"/>
      <c r="B2427" s="13"/>
    </row>
    <row r="2428" spans="1:2" x14ac:dyDescent="0.2">
      <c r="A2428" s="12"/>
      <c r="B2428" s="13"/>
    </row>
    <row r="2429" spans="1:2" x14ac:dyDescent="0.2">
      <c r="A2429" s="12"/>
      <c r="B2429" s="13"/>
    </row>
    <row r="2430" spans="1:2" x14ac:dyDescent="0.2">
      <c r="A2430" s="12"/>
      <c r="B2430" s="13"/>
    </row>
    <row r="2431" spans="1:2" x14ac:dyDescent="0.2">
      <c r="A2431" s="12"/>
      <c r="B2431" s="13"/>
    </row>
    <row r="2432" spans="1:2" x14ac:dyDescent="0.2">
      <c r="A2432" s="12"/>
      <c r="B2432" s="13"/>
    </row>
    <row r="2433" spans="1:2" x14ac:dyDescent="0.2">
      <c r="A2433" s="12"/>
      <c r="B2433" s="13"/>
    </row>
    <row r="2434" spans="1:2" x14ac:dyDescent="0.2">
      <c r="A2434" s="12"/>
      <c r="B2434" s="13"/>
    </row>
    <row r="2435" spans="1:2" x14ac:dyDescent="0.2">
      <c r="A2435" s="12"/>
      <c r="B2435" s="13"/>
    </row>
    <row r="2436" spans="1:2" x14ac:dyDescent="0.2">
      <c r="A2436" s="12"/>
      <c r="B2436" s="13"/>
    </row>
    <row r="2437" spans="1:2" x14ac:dyDescent="0.2">
      <c r="A2437" s="12"/>
      <c r="B2437" s="13"/>
    </row>
    <row r="2438" spans="1:2" x14ac:dyDescent="0.2">
      <c r="A2438" s="12"/>
      <c r="B2438" s="13"/>
    </row>
    <row r="2439" spans="1:2" x14ac:dyDescent="0.2">
      <c r="A2439" s="12"/>
      <c r="B2439" s="13"/>
    </row>
    <row r="2440" spans="1:2" x14ac:dyDescent="0.2">
      <c r="A2440" s="12"/>
      <c r="B2440" s="13"/>
    </row>
    <row r="2441" spans="1:2" x14ac:dyDescent="0.2">
      <c r="A2441" s="12"/>
      <c r="B2441" s="13"/>
    </row>
    <row r="2442" spans="1:2" x14ac:dyDescent="0.2">
      <c r="A2442" s="12"/>
      <c r="B2442" s="13"/>
    </row>
    <row r="2443" spans="1:2" x14ac:dyDescent="0.2">
      <c r="A2443" s="12"/>
      <c r="B2443" s="13"/>
    </row>
    <row r="2444" spans="1:2" x14ac:dyDescent="0.2">
      <c r="A2444" s="12"/>
      <c r="B2444" s="13"/>
    </row>
    <row r="2445" spans="1:2" x14ac:dyDescent="0.2">
      <c r="A2445" s="12"/>
      <c r="B2445" s="13"/>
    </row>
    <row r="2446" spans="1:2" x14ac:dyDescent="0.2">
      <c r="A2446" s="12"/>
      <c r="B2446" s="13"/>
    </row>
    <row r="2447" spans="1:2" x14ac:dyDescent="0.2">
      <c r="A2447" s="12"/>
      <c r="B2447" s="13"/>
    </row>
    <row r="2448" spans="1:2" x14ac:dyDescent="0.2">
      <c r="A2448" s="12"/>
      <c r="B2448" s="13"/>
    </row>
    <row r="2449" spans="1:2" x14ac:dyDescent="0.2">
      <c r="A2449" s="12"/>
      <c r="B2449" s="13"/>
    </row>
    <row r="2450" spans="1:2" x14ac:dyDescent="0.2">
      <c r="A2450" s="12"/>
      <c r="B2450" s="13"/>
    </row>
    <row r="2451" spans="1:2" x14ac:dyDescent="0.2">
      <c r="A2451" s="12"/>
      <c r="B2451" s="13"/>
    </row>
    <row r="2452" spans="1:2" x14ac:dyDescent="0.2">
      <c r="A2452" s="12"/>
      <c r="B2452" s="13"/>
    </row>
    <row r="2453" spans="1:2" x14ac:dyDescent="0.2">
      <c r="A2453" s="12"/>
      <c r="B2453" s="13"/>
    </row>
    <row r="2454" spans="1:2" x14ac:dyDescent="0.2">
      <c r="A2454" s="12"/>
      <c r="B2454" s="13"/>
    </row>
    <row r="2455" spans="1:2" x14ac:dyDescent="0.2">
      <c r="A2455" s="12"/>
      <c r="B2455" s="13"/>
    </row>
    <row r="2456" spans="1:2" x14ac:dyDescent="0.2">
      <c r="A2456" s="12"/>
      <c r="B2456" s="13"/>
    </row>
    <row r="2457" spans="1:2" x14ac:dyDescent="0.2">
      <c r="A2457" s="12"/>
      <c r="B2457" s="13"/>
    </row>
    <row r="2458" spans="1:2" x14ac:dyDescent="0.2">
      <c r="A2458" s="12"/>
      <c r="B2458" s="13"/>
    </row>
    <row r="2459" spans="1:2" x14ac:dyDescent="0.2">
      <c r="A2459" s="12"/>
      <c r="B2459" s="13"/>
    </row>
    <row r="2460" spans="1:2" x14ac:dyDescent="0.2">
      <c r="A2460" s="12"/>
      <c r="B2460" s="13"/>
    </row>
    <row r="2461" spans="1:2" x14ac:dyDescent="0.2">
      <c r="A2461" s="12"/>
      <c r="B2461" s="13"/>
    </row>
    <row r="2462" spans="1:2" x14ac:dyDescent="0.2">
      <c r="A2462" s="12"/>
      <c r="B2462" s="13"/>
    </row>
    <row r="2463" spans="1:2" x14ac:dyDescent="0.2">
      <c r="A2463" s="12"/>
      <c r="B2463" s="13"/>
    </row>
    <row r="2464" spans="1:2" x14ac:dyDescent="0.2">
      <c r="A2464" s="12"/>
      <c r="B2464" s="13"/>
    </row>
    <row r="2465" spans="1:2" x14ac:dyDescent="0.2">
      <c r="A2465" s="12"/>
      <c r="B2465" s="13"/>
    </row>
    <row r="2466" spans="1:2" x14ac:dyDescent="0.2">
      <c r="A2466" s="12"/>
      <c r="B2466" s="13"/>
    </row>
    <row r="2467" spans="1:2" x14ac:dyDescent="0.2">
      <c r="A2467" s="12"/>
      <c r="B2467" s="13"/>
    </row>
    <row r="2468" spans="1:2" x14ac:dyDescent="0.2">
      <c r="A2468" s="12"/>
      <c r="B2468" s="13"/>
    </row>
    <row r="2469" spans="1:2" x14ac:dyDescent="0.2">
      <c r="A2469" s="12"/>
      <c r="B2469" s="13"/>
    </row>
    <row r="2470" spans="1:2" x14ac:dyDescent="0.2">
      <c r="A2470" s="12"/>
      <c r="B2470" s="13"/>
    </row>
    <row r="2471" spans="1:2" x14ac:dyDescent="0.2">
      <c r="A2471" s="12"/>
      <c r="B2471" s="13"/>
    </row>
    <row r="2472" spans="1:2" x14ac:dyDescent="0.2">
      <c r="A2472" s="12"/>
      <c r="B2472" s="13"/>
    </row>
    <row r="2473" spans="1:2" x14ac:dyDescent="0.2">
      <c r="A2473" s="12"/>
      <c r="B2473" s="13"/>
    </row>
    <row r="2474" spans="1:2" x14ac:dyDescent="0.2">
      <c r="A2474" s="12"/>
      <c r="B2474" s="13"/>
    </row>
    <row r="2475" spans="1:2" x14ac:dyDescent="0.2">
      <c r="A2475" s="12"/>
      <c r="B2475" s="13"/>
    </row>
    <row r="2476" spans="1:2" x14ac:dyDescent="0.2">
      <c r="A2476" s="12"/>
      <c r="B2476" s="13"/>
    </row>
    <row r="2477" spans="1:2" x14ac:dyDescent="0.2">
      <c r="A2477" s="12"/>
      <c r="B2477" s="13"/>
    </row>
    <row r="2478" spans="1:2" x14ac:dyDescent="0.2">
      <c r="A2478" s="12"/>
      <c r="B2478" s="13"/>
    </row>
    <row r="2479" spans="1:2" x14ac:dyDescent="0.2">
      <c r="A2479" s="12"/>
      <c r="B2479" s="13"/>
    </row>
    <row r="2480" spans="1:2" x14ac:dyDescent="0.2">
      <c r="A2480" s="12"/>
      <c r="B2480" s="13"/>
    </row>
    <row r="2481" spans="1:2" x14ac:dyDescent="0.2">
      <c r="A2481" s="12"/>
      <c r="B2481" s="13"/>
    </row>
    <row r="2482" spans="1:2" x14ac:dyDescent="0.2">
      <c r="A2482" s="12"/>
      <c r="B2482" s="13"/>
    </row>
    <row r="2483" spans="1:2" x14ac:dyDescent="0.2">
      <c r="A2483" s="12"/>
      <c r="B2483" s="13"/>
    </row>
    <row r="2484" spans="1:2" x14ac:dyDescent="0.2">
      <c r="A2484" s="12"/>
      <c r="B2484" s="13"/>
    </row>
    <row r="2485" spans="1:2" x14ac:dyDescent="0.2">
      <c r="A2485" s="12"/>
      <c r="B2485" s="13"/>
    </row>
    <row r="2486" spans="1:2" x14ac:dyDescent="0.2">
      <c r="A2486" s="12"/>
      <c r="B2486" s="13"/>
    </row>
    <row r="2487" spans="1:2" x14ac:dyDescent="0.2">
      <c r="A2487" s="12"/>
      <c r="B2487" s="13"/>
    </row>
    <row r="2488" spans="1:2" x14ac:dyDescent="0.2">
      <c r="A2488" s="12"/>
      <c r="B2488" s="13"/>
    </row>
    <row r="2489" spans="1:2" x14ac:dyDescent="0.2">
      <c r="A2489" s="12"/>
      <c r="B2489" s="13"/>
    </row>
    <row r="2490" spans="1:2" x14ac:dyDescent="0.2">
      <c r="A2490" s="12"/>
      <c r="B2490" s="13"/>
    </row>
    <row r="2491" spans="1:2" x14ac:dyDescent="0.2">
      <c r="A2491" s="12"/>
      <c r="B2491" s="13"/>
    </row>
    <row r="2492" spans="1:2" x14ac:dyDescent="0.2">
      <c r="A2492" s="12"/>
      <c r="B2492" s="13"/>
    </row>
    <row r="2493" spans="1:2" x14ac:dyDescent="0.2">
      <c r="A2493" s="12"/>
      <c r="B2493" s="13"/>
    </row>
    <row r="2494" spans="1:2" x14ac:dyDescent="0.2">
      <c r="A2494" s="12"/>
      <c r="B2494" s="13"/>
    </row>
    <row r="2495" spans="1:2" x14ac:dyDescent="0.2">
      <c r="A2495" s="12"/>
      <c r="B2495" s="13"/>
    </row>
    <row r="2496" spans="1:2" x14ac:dyDescent="0.2">
      <c r="A2496" s="12"/>
      <c r="B2496" s="13"/>
    </row>
    <row r="2497" spans="1:2" x14ac:dyDescent="0.2">
      <c r="A2497" s="12"/>
      <c r="B2497" s="13"/>
    </row>
    <row r="2498" spans="1:2" x14ac:dyDescent="0.2">
      <c r="A2498" s="12"/>
      <c r="B2498" s="13"/>
    </row>
    <row r="2499" spans="1:2" x14ac:dyDescent="0.2">
      <c r="A2499" s="12"/>
      <c r="B2499" s="13"/>
    </row>
    <row r="2500" spans="1:2" x14ac:dyDescent="0.2">
      <c r="A2500" s="12"/>
      <c r="B2500" s="13"/>
    </row>
    <row r="2501" spans="1:2" x14ac:dyDescent="0.2">
      <c r="A2501" s="12"/>
      <c r="B2501" s="13"/>
    </row>
    <row r="2502" spans="1:2" x14ac:dyDescent="0.2">
      <c r="A2502" s="12"/>
      <c r="B2502" s="13"/>
    </row>
    <row r="2503" spans="1:2" x14ac:dyDescent="0.2">
      <c r="A2503" s="12"/>
      <c r="B2503" s="13"/>
    </row>
    <row r="2504" spans="1:2" x14ac:dyDescent="0.2">
      <c r="A2504" s="12"/>
      <c r="B2504" s="13"/>
    </row>
    <row r="2505" spans="1:2" x14ac:dyDescent="0.2">
      <c r="A2505" s="12"/>
      <c r="B2505" s="13"/>
    </row>
    <row r="2506" spans="1:2" x14ac:dyDescent="0.2">
      <c r="A2506" s="12"/>
      <c r="B2506" s="13"/>
    </row>
    <row r="2507" spans="1:2" x14ac:dyDescent="0.2">
      <c r="A2507" s="12"/>
      <c r="B2507" s="13"/>
    </row>
    <row r="2508" spans="1:2" x14ac:dyDescent="0.2">
      <c r="A2508" s="12"/>
      <c r="B2508" s="13"/>
    </row>
    <row r="2509" spans="1:2" x14ac:dyDescent="0.2">
      <c r="A2509" s="12"/>
      <c r="B2509" s="13"/>
    </row>
    <row r="2510" spans="1:2" x14ac:dyDescent="0.2">
      <c r="A2510" s="12"/>
      <c r="B2510" s="13"/>
    </row>
    <row r="2511" spans="1:2" x14ac:dyDescent="0.2">
      <c r="A2511" s="12"/>
      <c r="B2511" s="13"/>
    </row>
    <row r="2512" spans="1:2" x14ac:dyDescent="0.2">
      <c r="A2512" s="12"/>
      <c r="B2512" s="13"/>
    </row>
    <row r="2513" spans="1:2" x14ac:dyDescent="0.2">
      <c r="A2513" s="12"/>
      <c r="B2513" s="13"/>
    </row>
    <row r="2514" spans="1:2" x14ac:dyDescent="0.2">
      <c r="A2514" s="12"/>
      <c r="B2514" s="13"/>
    </row>
    <row r="2515" spans="1:2" x14ac:dyDescent="0.2">
      <c r="A2515" s="12"/>
      <c r="B2515" s="13"/>
    </row>
    <row r="2516" spans="1:2" x14ac:dyDescent="0.2">
      <c r="A2516" s="12"/>
      <c r="B2516" s="13"/>
    </row>
    <row r="2517" spans="1:2" x14ac:dyDescent="0.2">
      <c r="A2517" s="12"/>
      <c r="B2517" s="13"/>
    </row>
    <row r="2518" spans="1:2" x14ac:dyDescent="0.2">
      <c r="A2518" s="12"/>
      <c r="B2518" s="13"/>
    </row>
    <row r="2519" spans="1:2" x14ac:dyDescent="0.2">
      <c r="A2519" s="12"/>
      <c r="B2519" s="13"/>
    </row>
    <row r="2520" spans="1:2" x14ac:dyDescent="0.2">
      <c r="A2520" s="12"/>
      <c r="B2520" s="13"/>
    </row>
    <row r="2521" spans="1:2" x14ac:dyDescent="0.2">
      <c r="A2521" s="12"/>
      <c r="B2521" s="13"/>
    </row>
    <row r="2522" spans="1:2" x14ac:dyDescent="0.2">
      <c r="A2522" s="12"/>
      <c r="B2522" s="13"/>
    </row>
    <row r="2523" spans="1:2" x14ac:dyDescent="0.2">
      <c r="A2523" s="12"/>
      <c r="B2523" s="13"/>
    </row>
    <row r="2524" spans="1:2" x14ac:dyDescent="0.2">
      <c r="A2524" s="12"/>
      <c r="B2524" s="13"/>
    </row>
    <row r="2525" spans="1:2" x14ac:dyDescent="0.2">
      <c r="A2525" s="12"/>
      <c r="B2525" s="13"/>
    </row>
    <row r="2526" spans="1:2" x14ac:dyDescent="0.2">
      <c r="A2526" s="12"/>
      <c r="B2526" s="13"/>
    </row>
    <row r="2527" spans="1:2" x14ac:dyDescent="0.2">
      <c r="A2527" s="12"/>
      <c r="B2527" s="13"/>
    </row>
    <row r="2528" spans="1:2" x14ac:dyDescent="0.2">
      <c r="A2528" s="12"/>
      <c r="B2528" s="13"/>
    </row>
    <row r="2529" spans="1:2" x14ac:dyDescent="0.2">
      <c r="A2529" s="12"/>
      <c r="B2529" s="13"/>
    </row>
    <row r="2530" spans="1:2" x14ac:dyDescent="0.2">
      <c r="A2530" s="12"/>
      <c r="B2530" s="13"/>
    </row>
    <row r="2531" spans="1:2" x14ac:dyDescent="0.2">
      <c r="A2531" s="12"/>
      <c r="B2531" s="13"/>
    </row>
    <row r="2532" spans="1:2" x14ac:dyDescent="0.2">
      <c r="A2532" s="12"/>
      <c r="B2532" s="13"/>
    </row>
    <row r="2533" spans="1:2" x14ac:dyDescent="0.2">
      <c r="A2533" s="12"/>
      <c r="B2533" s="13"/>
    </row>
    <row r="2534" spans="1:2" x14ac:dyDescent="0.2">
      <c r="A2534" s="12"/>
      <c r="B2534" s="13"/>
    </row>
    <row r="2535" spans="1:2" x14ac:dyDescent="0.2">
      <c r="A2535" s="12"/>
      <c r="B2535" s="13"/>
    </row>
    <row r="2536" spans="1:2" x14ac:dyDescent="0.2">
      <c r="A2536" s="12"/>
      <c r="B2536" s="13"/>
    </row>
    <row r="2537" spans="1:2" x14ac:dyDescent="0.2">
      <c r="A2537" s="12"/>
      <c r="B2537" s="13"/>
    </row>
    <row r="2538" spans="1:2" x14ac:dyDescent="0.2">
      <c r="A2538" s="12"/>
      <c r="B2538" s="13"/>
    </row>
    <row r="2539" spans="1:2" x14ac:dyDescent="0.2">
      <c r="A2539" s="12"/>
      <c r="B2539" s="13"/>
    </row>
    <row r="2540" spans="1:2" x14ac:dyDescent="0.2">
      <c r="A2540" s="12"/>
      <c r="B2540" s="13"/>
    </row>
    <row r="2541" spans="1:2" x14ac:dyDescent="0.2">
      <c r="A2541" s="12"/>
      <c r="B2541" s="13"/>
    </row>
    <row r="2542" spans="1:2" x14ac:dyDescent="0.2">
      <c r="A2542" s="12"/>
      <c r="B2542" s="13"/>
    </row>
    <row r="2543" spans="1:2" x14ac:dyDescent="0.2">
      <c r="A2543" s="12"/>
      <c r="B2543" s="13"/>
    </row>
    <row r="2544" spans="1:2" x14ac:dyDescent="0.2">
      <c r="A2544" s="12"/>
      <c r="B2544" s="13"/>
    </row>
    <row r="2545" spans="1:2" x14ac:dyDescent="0.2">
      <c r="A2545" s="12"/>
      <c r="B2545" s="13"/>
    </row>
    <row r="2546" spans="1:2" x14ac:dyDescent="0.2">
      <c r="A2546" s="12"/>
      <c r="B2546" s="13"/>
    </row>
    <row r="2547" spans="1:2" x14ac:dyDescent="0.2">
      <c r="A2547" s="12"/>
      <c r="B2547" s="13"/>
    </row>
    <row r="2548" spans="1:2" x14ac:dyDescent="0.2">
      <c r="A2548" s="12"/>
      <c r="B2548" s="13"/>
    </row>
    <row r="2549" spans="1:2" x14ac:dyDescent="0.2">
      <c r="A2549" s="12"/>
      <c r="B2549" s="13"/>
    </row>
    <row r="2550" spans="1:2" x14ac:dyDescent="0.2">
      <c r="A2550" s="12"/>
      <c r="B2550" s="13"/>
    </row>
    <row r="2551" spans="1:2" x14ac:dyDescent="0.2">
      <c r="A2551" s="12"/>
      <c r="B2551" s="13"/>
    </row>
    <row r="2552" spans="1:2" x14ac:dyDescent="0.2">
      <c r="A2552" s="12"/>
      <c r="B2552" s="13"/>
    </row>
    <row r="2553" spans="1:2" x14ac:dyDescent="0.2">
      <c r="A2553" s="12"/>
      <c r="B2553" s="13"/>
    </row>
    <row r="2554" spans="1:2" x14ac:dyDescent="0.2">
      <c r="A2554" s="12"/>
      <c r="B2554" s="13"/>
    </row>
    <row r="2555" spans="1:2" x14ac:dyDescent="0.2">
      <c r="A2555" s="12"/>
      <c r="B2555" s="13"/>
    </row>
    <row r="2556" spans="1:2" x14ac:dyDescent="0.2">
      <c r="A2556" s="12"/>
      <c r="B2556" s="13"/>
    </row>
    <row r="2557" spans="1:2" x14ac:dyDescent="0.2">
      <c r="A2557" s="12"/>
      <c r="B2557" s="13"/>
    </row>
    <row r="2558" spans="1:2" x14ac:dyDescent="0.2">
      <c r="A2558" s="12"/>
      <c r="B2558" s="13"/>
    </row>
    <row r="2559" spans="1:2" x14ac:dyDescent="0.2">
      <c r="A2559" s="12"/>
      <c r="B2559" s="13"/>
    </row>
    <row r="2560" spans="1:2" x14ac:dyDescent="0.2">
      <c r="A2560" s="12"/>
      <c r="B2560" s="13"/>
    </row>
    <row r="2561" spans="1:2" x14ac:dyDescent="0.2">
      <c r="A2561" s="12"/>
      <c r="B2561" s="13"/>
    </row>
    <row r="2562" spans="1:2" x14ac:dyDescent="0.2">
      <c r="A2562" s="12"/>
      <c r="B2562" s="13"/>
    </row>
    <row r="2563" spans="1:2" x14ac:dyDescent="0.2">
      <c r="A2563" s="12"/>
      <c r="B2563" s="13"/>
    </row>
    <row r="2564" spans="1:2" x14ac:dyDescent="0.2">
      <c r="A2564" s="12"/>
      <c r="B2564" s="13"/>
    </row>
    <row r="2565" spans="1:2" x14ac:dyDescent="0.2">
      <c r="A2565" s="12"/>
      <c r="B2565" s="13"/>
    </row>
    <row r="2566" spans="1:2" x14ac:dyDescent="0.2">
      <c r="A2566" s="12"/>
      <c r="B2566" s="13"/>
    </row>
    <row r="2567" spans="1:2" x14ac:dyDescent="0.2">
      <c r="A2567" s="12"/>
      <c r="B2567" s="13"/>
    </row>
    <row r="2568" spans="1:2" x14ac:dyDescent="0.2">
      <c r="A2568" s="12"/>
      <c r="B2568" s="13"/>
    </row>
    <row r="2569" spans="1:2" x14ac:dyDescent="0.2">
      <c r="A2569" s="12"/>
      <c r="B2569" s="13"/>
    </row>
    <row r="2570" spans="1:2" x14ac:dyDescent="0.2">
      <c r="A2570" s="12"/>
      <c r="B2570" s="13"/>
    </row>
    <row r="2571" spans="1:2" x14ac:dyDescent="0.2">
      <c r="A2571" s="12"/>
      <c r="B2571" s="13"/>
    </row>
    <row r="2572" spans="1:2" x14ac:dyDescent="0.2">
      <c r="A2572" s="12"/>
      <c r="B2572" s="13"/>
    </row>
    <row r="2573" spans="1:2" x14ac:dyDescent="0.2">
      <c r="A2573" s="12"/>
      <c r="B2573" s="13"/>
    </row>
    <row r="2574" spans="1:2" x14ac:dyDescent="0.2">
      <c r="A2574" s="12"/>
      <c r="B2574" s="13"/>
    </row>
    <row r="2575" spans="1:2" x14ac:dyDescent="0.2">
      <c r="A2575" s="12"/>
      <c r="B2575" s="13"/>
    </row>
    <row r="2576" spans="1:2" x14ac:dyDescent="0.2">
      <c r="A2576" s="12"/>
      <c r="B2576" s="13"/>
    </row>
    <row r="2577" spans="1:2" x14ac:dyDescent="0.2">
      <c r="A2577" s="12"/>
      <c r="B2577" s="13"/>
    </row>
    <row r="2578" spans="1:2" x14ac:dyDescent="0.2">
      <c r="A2578" s="12"/>
      <c r="B2578" s="13"/>
    </row>
    <row r="2579" spans="1:2" x14ac:dyDescent="0.2">
      <c r="A2579" s="12"/>
      <c r="B2579" s="13"/>
    </row>
    <row r="2580" spans="1:2" x14ac:dyDescent="0.2">
      <c r="A2580" s="12"/>
      <c r="B2580" s="13"/>
    </row>
    <row r="2581" spans="1:2" x14ac:dyDescent="0.2">
      <c r="A2581" s="12"/>
      <c r="B2581" s="13"/>
    </row>
    <row r="2582" spans="1:2" x14ac:dyDescent="0.2">
      <c r="A2582" s="12"/>
      <c r="B2582" s="13"/>
    </row>
    <row r="2583" spans="1:2" x14ac:dyDescent="0.2">
      <c r="A2583" s="12"/>
      <c r="B2583" s="13"/>
    </row>
    <row r="2584" spans="1:2" x14ac:dyDescent="0.2">
      <c r="A2584" s="12"/>
      <c r="B2584" s="13"/>
    </row>
    <row r="2585" spans="1:2" x14ac:dyDescent="0.2">
      <c r="A2585" s="12"/>
      <c r="B2585" s="13"/>
    </row>
    <row r="2586" spans="1:2" x14ac:dyDescent="0.2">
      <c r="A2586" s="12"/>
      <c r="B2586" s="13"/>
    </row>
    <row r="2587" spans="1:2" x14ac:dyDescent="0.2">
      <c r="A2587" s="12"/>
      <c r="B2587" s="13"/>
    </row>
    <row r="2588" spans="1:2" x14ac:dyDescent="0.2">
      <c r="A2588" s="12"/>
      <c r="B2588" s="13"/>
    </row>
    <row r="2589" spans="1:2" x14ac:dyDescent="0.2">
      <c r="A2589" s="12"/>
      <c r="B2589" s="13"/>
    </row>
    <row r="2590" spans="1:2" x14ac:dyDescent="0.2">
      <c r="A2590" s="12"/>
      <c r="B2590" s="13"/>
    </row>
    <row r="2591" spans="1:2" x14ac:dyDescent="0.2">
      <c r="A2591" s="12"/>
      <c r="B2591" s="13"/>
    </row>
    <row r="2592" spans="1:2" x14ac:dyDescent="0.2">
      <c r="A2592" s="12"/>
      <c r="B2592" s="13"/>
    </row>
    <row r="2593" spans="1:2" x14ac:dyDescent="0.2">
      <c r="A2593" s="12"/>
      <c r="B2593" s="13"/>
    </row>
    <row r="2594" spans="1:2" x14ac:dyDescent="0.2">
      <c r="A2594" s="12"/>
      <c r="B2594" s="13"/>
    </row>
    <row r="2595" spans="1:2" x14ac:dyDescent="0.2">
      <c r="A2595" s="12"/>
      <c r="B2595" s="13"/>
    </row>
    <row r="2596" spans="1:2" x14ac:dyDescent="0.2">
      <c r="A2596" s="12"/>
      <c r="B2596" s="13"/>
    </row>
    <row r="2597" spans="1:2" x14ac:dyDescent="0.2">
      <c r="A2597" s="12"/>
      <c r="B2597" s="13"/>
    </row>
    <row r="2598" spans="1:2" x14ac:dyDescent="0.2">
      <c r="A2598" s="12"/>
      <c r="B2598" s="13"/>
    </row>
    <row r="2599" spans="1:2" x14ac:dyDescent="0.2">
      <c r="A2599" s="12"/>
      <c r="B2599" s="13"/>
    </row>
    <row r="2600" spans="1:2" x14ac:dyDescent="0.2">
      <c r="A2600" s="12"/>
      <c r="B2600" s="13"/>
    </row>
    <row r="2601" spans="1:2" x14ac:dyDescent="0.2">
      <c r="A2601" s="12"/>
      <c r="B2601" s="13"/>
    </row>
    <row r="2602" spans="1:2" x14ac:dyDescent="0.2">
      <c r="A2602" s="12"/>
      <c r="B2602" s="13"/>
    </row>
    <row r="2603" spans="1:2" x14ac:dyDescent="0.2">
      <c r="A2603" s="12"/>
      <c r="B2603" s="13"/>
    </row>
    <row r="2604" spans="1:2" x14ac:dyDescent="0.2">
      <c r="A2604" s="12"/>
      <c r="B2604" s="13"/>
    </row>
    <row r="2605" spans="1:2" x14ac:dyDescent="0.2">
      <c r="A2605" s="12"/>
      <c r="B2605" s="13"/>
    </row>
    <row r="2606" spans="1:2" x14ac:dyDescent="0.2">
      <c r="A2606" s="12"/>
      <c r="B2606" s="13"/>
    </row>
    <row r="2607" spans="1:2" x14ac:dyDescent="0.2">
      <c r="A2607" s="12"/>
      <c r="B2607" s="13"/>
    </row>
    <row r="2608" spans="1:2" x14ac:dyDescent="0.2">
      <c r="A2608" s="12"/>
      <c r="B2608" s="13"/>
    </row>
    <row r="2609" spans="1:2" x14ac:dyDescent="0.2">
      <c r="A2609" s="12"/>
      <c r="B2609" s="13"/>
    </row>
    <row r="2610" spans="1:2" x14ac:dyDescent="0.2">
      <c r="A2610" s="12"/>
      <c r="B2610" s="13"/>
    </row>
    <row r="2611" spans="1:2" x14ac:dyDescent="0.2">
      <c r="A2611" s="12"/>
      <c r="B2611" s="13"/>
    </row>
    <row r="2612" spans="1:2" x14ac:dyDescent="0.2">
      <c r="A2612" s="12"/>
      <c r="B2612" s="13"/>
    </row>
    <row r="2613" spans="1:2" x14ac:dyDescent="0.2">
      <c r="A2613" s="12"/>
      <c r="B2613" s="13"/>
    </row>
    <row r="2614" spans="1:2" x14ac:dyDescent="0.2">
      <c r="A2614" s="12"/>
      <c r="B2614" s="13"/>
    </row>
    <row r="2615" spans="1:2" x14ac:dyDescent="0.2">
      <c r="A2615" s="12"/>
      <c r="B2615" s="13"/>
    </row>
    <row r="2616" spans="1:2" x14ac:dyDescent="0.2">
      <c r="A2616" s="12"/>
      <c r="B2616" s="13"/>
    </row>
    <row r="2617" spans="1:2" x14ac:dyDescent="0.2">
      <c r="A2617" s="12"/>
      <c r="B2617" s="13"/>
    </row>
    <row r="2618" spans="1:2" x14ac:dyDescent="0.2">
      <c r="A2618" s="12"/>
      <c r="B2618" s="13"/>
    </row>
    <row r="2619" spans="1:2" x14ac:dyDescent="0.2">
      <c r="A2619" s="12"/>
      <c r="B2619" s="13"/>
    </row>
    <row r="2620" spans="1:2" x14ac:dyDescent="0.2">
      <c r="A2620" s="12"/>
      <c r="B2620" s="13"/>
    </row>
    <row r="2621" spans="1:2" x14ac:dyDescent="0.2">
      <c r="A2621" s="12"/>
      <c r="B2621" s="13"/>
    </row>
    <row r="2622" spans="1:2" x14ac:dyDescent="0.2">
      <c r="A2622" s="12"/>
      <c r="B2622" s="13"/>
    </row>
    <row r="2623" spans="1:2" x14ac:dyDescent="0.2">
      <c r="A2623" s="12"/>
      <c r="B2623" s="13"/>
    </row>
    <row r="2624" spans="1:2" x14ac:dyDescent="0.2">
      <c r="A2624" s="12"/>
      <c r="B2624" s="13"/>
    </row>
    <row r="2625" spans="1:2" x14ac:dyDescent="0.2">
      <c r="A2625" s="12"/>
      <c r="B2625" s="13"/>
    </row>
    <row r="2626" spans="1:2" x14ac:dyDescent="0.2">
      <c r="A2626" s="12"/>
      <c r="B2626" s="13"/>
    </row>
    <row r="2627" spans="1:2" x14ac:dyDescent="0.2">
      <c r="A2627" s="12"/>
      <c r="B2627" s="13"/>
    </row>
    <row r="2628" spans="1:2" x14ac:dyDescent="0.2">
      <c r="A2628" s="12"/>
      <c r="B2628" s="13"/>
    </row>
    <row r="2629" spans="1:2" x14ac:dyDescent="0.2">
      <c r="A2629" s="12"/>
      <c r="B2629" s="13"/>
    </row>
    <row r="2630" spans="1:2" x14ac:dyDescent="0.2">
      <c r="A2630" s="12"/>
      <c r="B2630" s="13"/>
    </row>
    <row r="2631" spans="1:2" x14ac:dyDescent="0.2">
      <c r="A2631" s="12"/>
      <c r="B2631" s="13"/>
    </row>
    <row r="2632" spans="1:2" x14ac:dyDescent="0.2">
      <c r="A2632" s="12"/>
      <c r="B2632" s="13"/>
    </row>
    <row r="2633" spans="1:2" x14ac:dyDescent="0.2">
      <c r="A2633" s="12"/>
      <c r="B2633" s="13"/>
    </row>
    <row r="2634" spans="1:2" x14ac:dyDescent="0.2">
      <c r="A2634" s="12"/>
      <c r="B2634" s="13"/>
    </row>
    <row r="2635" spans="1:2" x14ac:dyDescent="0.2">
      <c r="A2635" s="12"/>
      <c r="B2635" s="13"/>
    </row>
    <row r="2636" spans="1:2" x14ac:dyDescent="0.2">
      <c r="A2636" s="12"/>
      <c r="B2636" s="13"/>
    </row>
    <row r="2637" spans="1:2" x14ac:dyDescent="0.2">
      <c r="A2637" s="12"/>
      <c r="B2637" s="13"/>
    </row>
    <row r="2638" spans="1:2" x14ac:dyDescent="0.2">
      <c r="A2638" s="12"/>
      <c r="B2638" s="13"/>
    </row>
    <row r="2639" spans="1:2" x14ac:dyDescent="0.2">
      <c r="A2639" s="12"/>
      <c r="B2639" s="13"/>
    </row>
    <row r="2640" spans="1:2" x14ac:dyDescent="0.2">
      <c r="A2640" s="12"/>
      <c r="B2640" s="13"/>
    </row>
    <row r="2641" spans="1:2" x14ac:dyDescent="0.2">
      <c r="A2641" s="12"/>
      <c r="B2641" s="13"/>
    </row>
    <row r="2642" spans="1:2" x14ac:dyDescent="0.2">
      <c r="A2642" s="12"/>
      <c r="B2642" s="13"/>
    </row>
    <row r="2643" spans="1:2" x14ac:dyDescent="0.2">
      <c r="A2643" s="12"/>
      <c r="B2643" s="13"/>
    </row>
    <row r="2644" spans="1:2" x14ac:dyDescent="0.2">
      <c r="A2644" s="12"/>
      <c r="B2644" s="13"/>
    </row>
    <row r="2645" spans="1:2" x14ac:dyDescent="0.2">
      <c r="A2645" s="12"/>
      <c r="B2645" s="13"/>
    </row>
    <row r="2646" spans="1:2" x14ac:dyDescent="0.2">
      <c r="A2646" s="12"/>
      <c r="B2646" s="13"/>
    </row>
    <row r="2647" spans="1:2" x14ac:dyDescent="0.2">
      <c r="A2647" s="12"/>
      <c r="B2647" s="13"/>
    </row>
    <row r="2648" spans="1:2" x14ac:dyDescent="0.2">
      <c r="A2648" s="12"/>
      <c r="B2648" s="13"/>
    </row>
    <row r="2649" spans="1:2" x14ac:dyDescent="0.2">
      <c r="A2649" s="12"/>
      <c r="B2649" s="13"/>
    </row>
    <row r="2650" spans="1:2" x14ac:dyDescent="0.2">
      <c r="A2650" s="12"/>
      <c r="B2650" s="13"/>
    </row>
    <row r="2651" spans="1:2" x14ac:dyDescent="0.2">
      <c r="A2651" s="12"/>
      <c r="B2651" s="13"/>
    </row>
    <row r="2652" spans="1:2" x14ac:dyDescent="0.2">
      <c r="A2652" s="12"/>
      <c r="B2652" s="13"/>
    </row>
    <row r="2653" spans="1:2" x14ac:dyDescent="0.2">
      <c r="A2653" s="12"/>
      <c r="B2653" s="13"/>
    </row>
    <row r="2654" spans="1:2" x14ac:dyDescent="0.2">
      <c r="A2654" s="12"/>
      <c r="B2654" s="13"/>
    </row>
    <row r="2655" spans="1:2" x14ac:dyDescent="0.2">
      <c r="A2655" s="12"/>
      <c r="B2655" s="13"/>
    </row>
    <row r="2656" spans="1:2" x14ac:dyDescent="0.2">
      <c r="A2656" s="12"/>
      <c r="B2656" s="13"/>
    </row>
    <row r="2657" spans="1:2" x14ac:dyDescent="0.2">
      <c r="A2657" s="12"/>
      <c r="B2657" s="13"/>
    </row>
    <row r="2658" spans="1:2" x14ac:dyDescent="0.2">
      <c r="A2658" s="12"/>
      <c r="B2658" s="13"/>
    </row>
    <row r="2659" spans="1:2" x14ac:dyDescent="0.2">
      <c r="A2659" s="12"/>
      <c r="B2659" s="13"/>
    </row>
    <row r="2660" spans="1:2" x14ac:dyDescent="0.2">
      <c r="A2660" s="12"/>
      <c r="B2660" s="13"/>
    </row>
    <row r="2661" spans="1:2" x14ac:dyDescent="0.2">
      <c r="A2661" s="12"/>
      <c r="B2661" s="13"/>
    </row>
    <row r="2662" spans="1:2" x14ac:dyDescent="0.2">
      <c r="A2662" s="12"/>
      <c r="B2662" s="13"/>
    </row>
    <row r="2663" spans="1:2" x14ac:dyDescent="0.2">
      <c r="A2663" s="12"/>
      <c r="B2663" s="13"/>
    </row>
    <row r="2664" spans="1:2" x14ac:dyDescent="0.2">
      <c r="A2664" s="12"/>
      <c r="B2664" s="13"/>
    </row>
    <row r="2665" spans="1:2" x14ac:dyDescent="0.2">
      <c r="A2665" s="12"/>
      <c r="B2665" s="13"/>
    </row>
    <row r="2666" spans="1:2" x14ac:dyDescent="0.2">
      <c r="A2666" s="12"/>
      <c r="B2666" s="13"/>
    </row>
    <row r="2667" spans="1:2" x14ac:dyDescent="0.2">
      <c r="A2667" s="12"/>
      <c r="B2667" s="13"/>
    </row>
    <row r="2668" spans="1:2" x14ac:dyDescent="0.2">
      <c r="A2668" s="12"/>
      <c r="B2668" s="13"/>
    </row>
    <row r="2669" spans="1:2" x14ac:dyDescent="0.2">
      <c r="A2669" s="12"/>
      <c r="B2669" s="13"/>
    </row>
    <row r="2670" spans="1:2" x14ac:dyDescent="0.2">
      <c r="A2670" s="12"/>
      <c r="B2670" s="13"/>
    </row>
    <row r="2671" spans="1:2" x14ac:dyDescent="0.2">
      <c r="A2671" s="12"/>
      <c r="B2671" s="13"/>
    </row>
    <row r="2672" spans="1:2" x14ac:dyDescent="0.2">
      <c r="A2672" s="12"/>
      <c r="B2672" s="13"/>
    </row>
    <row r="2673" spans="1:2" x14ac:dyDescent="0.2">
      <c r="A2673" s="12"/>
      <c r="B2673" s="13"/>
    </row>
    <row r="2674" spans="1:2" x14ac:dyDescent="0.2">
      <c r="A2674" s="12"/>
      <c r="B2674" s="13"/>
    </row>
    <row r="2675" spans="1:2" x14ac:dyDescent="0.2">
      <c r="A2675" s="12"/>
      <c r="B2675" s="13"/>
    </row>
    <row r="2676" spans="1:2" x14ac:dyDescent="0.2">
      <c r="A2676" s="12"/>
      <c r="B2676" s="13"/>
    </row>
    <row r="2677" spans="1:2" x14ac:dyDescent="0.2">
      <c r="A2677" s="12"/>
      <c r="B2677" s="13"/>
    </row>
    <row r="2678" spans="1:2" x14ac:dyDescent="0.2">
      <c r="A2678" s="12"/>
      <c r="B2678" s="13"/>
    </row>
    <row r="2679" spans="1:2" x14ac:dyDescent="0.2">
      <c r="A2679" s="12"/>
      <c r="B2679" s="13"/>
    </row>
    <row r="2680" spans="1:2" x14ac:dyDescent="0.2">
      <c r="A2680" s="12"/>
      <c r="B2680" s="13"/>
    </row>
    <row r="2681" spans="1:2" x14ac:dyDescent="0.2">
      <c r="A2681" s="12"/>
      <c r="B2681" s="13"/>
    </row>
    <row r="2682" spans="1:2" x14ac:dyDescent="0.2">
      <c r="A2682" s="12"/>
      <c r="B2682" s="13"/>
    </row>
    <row r="2683" spans="1:2" x14ac:dyDescent="0.2">
      <c r="A2683" s="12"/>
      <c r="B2683" s="13"/>
    </row>
    <row r="2684" spans="1:2" x14ac:dyDescent="0.2">
      <c r="A2684" s="12"/>
      <c r="B2684" s="13"/>
    </row>
    <row r="2685" spans="1:2" x14ac:dyDescent="0.2">
      <c r="A2685" s="12"/>
      <c r="B2685" s="13"/>
    </row>
    <row r="2686" spans="1:2" x14ac:dyDescent="0.2">
      <c r="A2686" s="12"/>
      <c r="B2686" s="13"/>
    </row>
    <row r="2687" spans="1:2" x14ac:dyDescent="0.2">
      <c r="A2687" s="12"/>
      <c r="B2687" s="13"/>
    </row>
    <row r="2688" spans="1:2" x14ac:dyDescent="0.2">
      <c r="A2688" s="12"/>
      <c r="B2688" s="13"/>
    </row>
    <row r="2689" spans="1:2" x14ac:dyDescent="0.2">
      <c r="A2689" s="12"/>
      <c r="B2689" s="13"/>
    </row>
    <row r="2690" spans="1:2" x14ac:dyDescent="0.2">
      <c r="A2690" s="12"/>
      <c r="B2690" s="13"/>
    </row>
    <row r="2691" spans="1:2" x14ac:dyDescent="0.2">
      <c r="A2691" s="12"/>
      <c r="B2691" s="13"/>
    </row>
    <row r="2692" spans="1:2" x14ac:dyDescent="0.2">
      <c r="A2692" s="12"/>
      <c r="B2692" s="13"/>
    </row>
    <row r="2693" spans="1:2" x14ac:dyDescent="0.2">
      <c r="A2693" s="12"/>
      <c r="B2693" s="13"/>
    </row>
    <row r="2694" spans="1:2" x14ac:dyDescent="0.2">
      <c r="A2694" s="12"/>
      <c r="B2694" s="13"/>
    </row>
    <row r="2695" spans="1:2" x14ac:dyDescent="0.2">
      <c r="A2695" s="12"/>
      <c r="B2695" s="13"/>
    </row>
    <row r="2696" spans="1:2" x14ac:dyDescent="0.2">
      <c r="A2696" s="12"/>
      <c r="B2696" s="13"/>
    </row>
    <row r="2697" spans="1:2" x14ac:dyDescent="0.2">
      <c r="A2697" s="12"/>
      <c r="B2697" s="13"/>
    </row>
    <row r="2698" spans="1:2" x14ac:dyDescent="0.2">
      <c r="A2698" s="12"/>
      <c r="B2698" s="13"/>
    </row>
    <row r="2699" spans="1:2" x14ac:dyDescent="0.2">
      <c r="A2699" s="12"/>
      <c r="B2699" s="13"/>
    </row>
    <row r="2700" spans="1:2" x14ac:dyDescent="0.2">
      <c r="A2700" s="12"/>
      <c r="B2700" s="13"/>
    </row>
    <row r="2701" spans="1:2" x14ac:dyDescent="0.2">
      <c r="A2701" s="12"/>
      <c r="B2701" s="13"/>
    </row>
    <row r="2702" spans="1:2" x14ac:dyDescent="0.2">
      <c r="A2702" s="12"/>
      <c r="B2702" s="13"/>
    </row>
    <row r="2703" spans="1:2" x14ac:dyDescent="0.2">
      <c r="A2703" s="12"/>
      <c r="B2703" s="13"/>
    </row>
    <row r="2704" spans="1:2" x14ac:dyDescent="0.2">
      <c r="A2704" s="12"/>
      <c r="B2704" s="13"/>
    </row>
    <row r="2705" spans="1:2" x14ac:dyDescent="0.2">
      <c r="A2705" s="12"/>
      <c r="B2705" s="13"/>
    </row>
    <row r="2706" spans="1:2" x14ac:dyDescent="0.2">
      <c r="A2706" s="12"/>
      <c r="B2706" s="13"/>
    </row>
    <row r="2707" spans="1:2" x14ac:dyDescent="0.2">
      <c r="A2707" s="12"/>
      <c r="B2707" s="13"/>
    </row>
    <row r="2708" spans="1:2" x14ac:dyDescent="0.2">
      <c r="A2708" s="12"/>
      <c r="B2708" s="13"/>
    </row>
    <row r="2709" spans="1:2" x14ac:dyDescent="0.2">
      <c r="A2709" s="12"/>
      <c r="B2709" s="13"/>
    </row>
    <row r="2710" spans="1:2" x14ac:dyDescent="0.2">
      <c r="A2710" s="12"/>
      <c r="B2710" s="13"/>
    </row>
    <row r="2711" spans="1:2" x14ac:dyDescent="0.2">
      <c r="A2711" s="12"/>
      <c r="B2711" s="13"/>
    </row>
    <row r="2712" spans="1:2" x14ac:dyDescent="0.2">
      <c r="A2712" s="12"/>
      <c r="B2712" s="13"/>
    </row>
    <row r="2713" spans="1:2" x14ac:dyDescent="0.2">
      <c r="A2713" s="12"/>
      <c r="B2713" s="13"/>
    </row>
    <row r="2714" spans="1:2" x14ac:dyDescent="0.2">
      <c r="A2714" s="12"/>
      <c r="B2714" s="13"/>
    </row>
    <row r="2715" spans="1:2" x14ac:dyDescent="0.2">
      <c r="A2715" s="12"/>
      <c r="B2715" s="13"/>
    </row>
    <row r="2716" spans="1:2" x14ac:dyDescent="0.2">
      <c r="A2716" s="12"/>
      <c r="B2716" s="13"/>
    </row>
    <row r="2717" spans="1:2" x14ac:dyDescent="0.2">
      <c r="A2717" s="12"/>
      <c r="B2717" s="13"/>
    </row>
    <row r="2718" spans="1:2" x14ac:dyDescent="0.2">
      <c r="A2718" s="12"/>
      <c r="B2718" s="13"/>
    </row>
    <row r="2719" spans="1:2" x14ac:dyDescent="0.2">
      <c r="A2719" s="12"/>
      <c r="B2719" s="13"/>
    </row>
    <row r="2720" spans="1:2" x14ac:dyDescent="0.2">
      <c r="A2720" s="12"/>
      <c r="B2720" s="13"/>
    </row>
    <row r="2721" spans="1:2" x14ac:dyDescent="0.2">
      <c r="A2721" s="12"/>
      <c r="B2721" s="13"/>
    </row>
    <row r="2722" spans="1:2" x14ac:dyDescent="0.2">
      <c r="A2722" s="12"/>
      <c r="B2722" s="13"/>
    </row>
    <row r="2723" spans="1:2" x14ac:dyDescent="0.2">
      <c r="A2723" s="12"/>
      <c r="B2723" s="13"/>
    </row>
    <row r="2724" spans="1:2" x14ac:dyDescent="0.2">
      <c r="A2724" s="12"/>
      <c r="B2724" s="13"/>
    </row>
    <row r="2725" spans="1:2" x14ac:dyDescent="0.2">
      <c r="A2725" s="12"/>
      <c r="B2725" s="13"/>
    </row>
    <row r="2726" spans="1:2" x14ac:dyDescent="0.2">
      <c r="A2726" s="12"/>
      <c r="B2726" s="13"/>
    </row>
    <row r="2727" spans="1:2" x14ac:dyDescent="0.2">
      <c r="A2727" s="12"/>
      <c r="B2727" s="13"/>
    </row>
    <row r="2728" spans="1:2" x14ac:dyDescent="0.2">
      <c r="A2728" s="12"/>
      <c r="B2728" s="13"/>
    </row>
    <row r="2729" spans="1:2" x14ac:dyDescent="0.2">
      <c r="A2729" s="12"/>
      <c r="B2729" s="13"/>
    </row>
    <row r="2730" spans="1:2" x14ac:dyDescent="0.2">
      <c r="A2730" s="12"/>
      <c r="B2730" s="13"/>
    </row>
    <row r="2731" spans="1:2" x14ac:dyDescent="0.2">
      <c r="A2731" s="12"/>
      <c r="B2731" s="13"/>
    </row>
    <row r="2732" spans="1:2" x14ac:dyDescent="0.2">
      <c r="A2732" s="12"/>
      <c r="B2732" s="13"/>
    </row>
    <row r="2733" spans="1:2" x14ac:dyDescent="0.2">
      <c r="A2733" s="12"/>
      <c r="B2733" s="13"/>
    </row>
    <row r="2734" spans="1:2" x14ac:dyDescent="0.2">
      <c r="A2734" s="12"/>
      <c r="B2734" s="13"/>
    </row>
    <row r="2735" spans="1:2" x14ac:dyDescent="0.2">
      <c r="A2735" s="12"/>
      <c r="B2735" s="13"/>
    </row>
    <row r="2736" spans="1:2" x14ac:dyDescent="0.2">
      <c r="A2736" s="12"/>
      <c r="B2736" s="13"/>
    </row>
    <row r="2737" spans="1:2" x14ac:dyDescent="0.2">
      <c r="A2737" s="12"/>
      <c r="B2737" s="13"/>
    </row>
    <row r="2738" spans="1:2" x14ac:dyDescent="0.2">
      <c r="A2738" s="12"/>
      <c r="B2738" s="13"/>
    </row>
    <row r="2739" spans="1:2" x14ac:dyDescent="0.2">
      <c r="A2739" s="12"/>
      <c r="B2739" s="13"/>
    </row>
    <row r="2740" spans="1:2" x14ac:dyDescent="0.2">
      <c r="A2740" s="12"/>
      <c r="B2740" s="13"/>
    </row>
    <row r="2741" spans="1:2" x14ac:dyDescent="0.2">
      <c r="A2741" s="12"/>
      <c r="B2741" s="13"/>
    </row>
    <row r="2742" spans="1:2" x14ac:dyDescent="0.2">
      <c r="A2742" s="12"/>
      <c r="B2742" s="13"/>
    </row>
    <row r="2743" spans="1:2" x14ac:dyDescent="0.2">
      <c r="A2743" s="12"/>
      <c r="B2743" s="13"/>
    </row>
    <row r="2744" spans="1:2" x14ac:dyDescent="0.2">
      <c r="A2744" s="12"/>
      <c r="B2744" s="13"/>
    </row>
    <row r="2745" spans="1:2" x14ac:dyDescent="0.2">
      <c r="A2745" s="12"/>
      <c r="B2745" s="13"/>
    </row>
    <row r="2746" spans="1:2" x14ac:dyDescent="0.2">
      <c r="A2746" s="12"/>
      <c r="B2746" s="13"/>
    </row>
    <row r="2747" spans="1:2" x14ac:dyDescent="0.2">
      <c r="A2747" s="12"/>
      <c r="B2747" s="13"/>
    </row>
    <row r="2748" spans="1:2" x14ac:dyDescent="0.2">
      <c r="A2748" s="12"/>
      <c r="B2748" s="13"/>
    </row>
    <row r="2749" spans="1:2" x14ac:dyDescent="0.2">
      <c r="A2749" s="12"/>
      <c r="B2749" s="13"/>
    </row>
    <row r="2750" spans="1:2" x14ac:dyDescent="0.2">
      <c r="A2750" s="12"/>
      <c r="B2750" s="13"/>
    </row>
    <row r="2751" spans="1:2" x14ac:dyDescent="0.2">
      <c r="A2751" s="12"/>
      <c r="B2751" s="13"/>
    </row>
    <row r="2752" spans="1:2" x14ac:dyDescent="0.2">
      <c r="A2752" s="12"/>
      <c r="B2752" s="13"/>
    </row>
    <row r="2753" spans="1:2" x14ac:dyDescent="0.2">
      <c r="A2753" s="12"/>
      <c r="B2753" s="13"/>
    </row>
    <row r="2754" spans="1:2" x14ac:dyDescent="0.2">
      <c r="A2754" s="12"/>
      <c r="B2754" s="13"/>
    </row>
    <row r="2755" spans="1:2" x14ac:dyDescent="0.2">
      <c r="A2755" s="12"/>
      <c r="B2755" s="13"/>
    </row>
    <row r="2756" spans="1:2" x14ac:dyDescent="0.2">
      <c r="A2756" s="12"/>
      <c r="B2756" s="13"/>
    </row>
    <row r="2757" spans="1:2" x14ac:dyDescent="0.2">
      <c r="A2757" s="12"/>
      <c r="B2757" s="13"/>
    </row>
    <row r="2758" spans="1:2" x14ac:dyDescent="0.2">
      <c r="A2758" s="12"/>
      <c r="B2758" s="13"/>
    </row>
    <row r="2759" spans="1:2" x14ac:dyDescent="0.2">
      <c r="A2759" s="12"/>
      <c r="B2759" s="13"/>
    </row>
    <row r="2760" spans="1:2" x14ac:dyDescent="0.2">
      <c r="A2760" s="12"/>
      <c r="B2760" s="13"/>
    </row>
    <row r="2761" spans="1:2" x14ac:dyDescent="0.2">
      <c r="A2761" s="12"/>
      <c r="B2761" s="13"/>
    </row>
    <row r="2762" spans="1:2" x14ac:dyDescent="0.2">
      <c r="A2762" s="12"/>
      <c r="B2762" s="13"/>
    </row>
    <row r="2763" spans="1:2" x14ac:dyDescent="0.2">
      <c r="A2763" s="12"/>
      <c r="B2763" s="13"/>
    </row>
    <row r="2764" spans="1:2" x14ac:dyDescent="0.2">
      <c r="A2764" s="12"/>
      <c r="B2764" s="13"/>
    </row>
    <row r="2765" spans="1:2" x14ac:dyDescent="0.2">
      <c r="A2765" s="12"/>
      <c r="B2765" s="13"/>
    </row>
    <row r="2766" spans="1:2" x14ac:dyDescent="0.2">
      <c r="A2766" s="12"/>
      <c r="B2766" s="13"/>
    </row>
    <row r="2767" spans="1:2" x14ac:dyDescent="0.2">
      <c r="A2767" s="12"/>
      <c r="B2767" s="13"/>
    </row>
    <row r="2768" spans="1:2" x14ac:dyDescent="0.2">
      <c r="A2768" s="12"/>
      <c r="B2768" s="13"/>
    </row>
    <row r="2769" spans="1:2" x14ac:dyDescent="0.2">
      <c r="A2769" s="12"/>
      <c r="B2769" s="13"/>
    </row>
    <row r="2770" spans="1:2" x14ac:dyDescent="0.2">
      <c r="A2770" s="12"/>
      <c r="B2770" s="13"/>
    </row>
    <row r="2771" spans="1:2" x14ac:dyDescent="0.2">
      <c r="A2771" s="12"/>
      <c r="B2771" s="13"/>
    </row>
    <row r="2772" spans="1:2" x14ac:dyDescent="0.2">
      <c r="A2772" s="12"/>
      <c r="B2772" s="13"/>
    </row>
    <row r="2773" spans="1:2" x14ac:dyDescent="0.2">
      <c r="A2773" s="12"/>
      <c r="B2773" s="13"/>
    </row>
    <row r="2774" spans="1:2" x14ac:dyDescent="0.2">
      <c r="A2774" s="12"/>
      <c r="B2774" s="13"/>
    </row>
    <row r="2775" spans="1:2" x14ac:dyDescent="0.2">
      <c r="A2775" s="12"/>
      <c r="B2775" s="13"/>
    </row>
    <row r="2776" spans="1:2" x14ac:dyDescent="0.2">
      <c r="A2776" s="12"/>
      <c r="B2776" s="13"/>
    </row>
    <row r="2777" spans="1:2" x14ac:dyDescent="0.2">
      <c r="A2777" s="12"/>
      <c r="B2777" s="13"/>
    </row>
    <row r="2778" spans="1:2" x14ac:dyDescent="0.2">
      <c r="A2778" s="12"/>
      <c r="B2778" s="13"/>
    </row>
    <row r="2779" spans="1:2" x14ac:dyDescent="0.2">
      <c r="A2779" s="12"/>
      <c r="B2779" s="13"/>
    </row>
    <row r="2780" spans="1:2" x14ac:dyDescent="0.2">
      <c r="A2780" s="12"/>
      <c r="B2780" s="13"/>
    </row>
    <row r="2781" spans="1:2" x14ac:dyDescent="0.2">
      <c r="A2781" s="12"/>
      <c r="B2781" s="13"/>
    </row>
    <row r="2782" spans="1:2" x14ac:dyDescent="0.2">
      <c r="A2782" s="12"/>
      <c r="B2782" s="13"/>
    </row>
    <row r="2783" spans="1:2" x14ac:dyDescent="0.2">
      <c r="A2783" s="12"/>
      <c r="B2783" s="13"/>
    </row>
    <row r="2784" spans="1:2" x14ac:dyDescent="0.2">
      <c r="A2784" s="12"/>
      <c r="B2784" s="13"/>
    </row>
    <row r="2785" spans="1:2" x14ac:dyDescent="0.2">
      <c r="A2785" s="12"/>
      <c r="B2785" s="13"/>
    </row>
    <row r="2786" spans="1:2" x14ac:dyDescent="0.2">
      <c r="A2786" s="12"/>
      <c r="B2786" s="13"/>
    </row>
    <row r="2787" spans="1:2" x14ac:dyDescent="0.2">
      <c r="A2787" s="12"/>
      <c r="B2787" s="13"/>
    </row>
    <row r="2788" spans="1:2" x14ac:dyDescent="0.2">
      <c r="A2788" s="12"/>
      <c r="B2788" s="13"/>
    </row>
    <row r="2789" spans="1:2" x14ac:dyDescent="0.2">
      <c r="A2789" s="12"/>
      <c r="B2789" s="13"/>
    </row>
    <row r="2790" spans="1:2" x14ac:dyDescent="0.2">
      <c r="A2790" s="12"/>
      <c r="B2790" s="13"/>
    </row>
    <row r="2791" spans="1:2" x14ac:dyDescent="0.2">
      <c r="A2791" s="12"/>
      <c r="B2791" s="13"/>
    </row>
    <row r="2792" spans="1:2" x14ac:dyDescent="0.2">
      <c r="A2792" s="12"/>
      <c r="B2792" s="13"/>
    </row>
    <row r="2793" spans="1:2" x14ac:dyDescent="0.2">
      <c r="A2793" s="12"/>
      <c r="B2793" s="13"/>
    </row>
    <row r="2794" spans="1:2" x14ac:dyDescent="0.2">
      <c r="A2794" s="12"/>
      <c r="B2794" s="13"/>
    </row>
    <row r="2795" spans="1:2" x14ac:dyDescent="0.2">
      <c r="A2795" s="12"/>
      <c r="B2795" s="13"/>
    </row>
    <row r="2796" spans="1:2" x14ac:dyDescent="0.2">
      <c r="A2796" s="12"/>
      <c r="B2796" s="13"/>
    </row>
    <row r="2797" spans="1:2" x14ac:dyDescent="0.2">
      <c r="A2797" s="12"/>
      <c r="B2797" s="13"/>
    </row>
    <row r="2798" spans="1:2" x14ac:dyDescent="0.2">
      <c r="A2798" s="12"/>
      <c r="B2798" s="13"/>
    </row>
    <row r="2799" spans="1:2" x14ac:dyDescent="0.2">
      <c r="A2799" s="12"/>
      <c r="B2799" s="13"/>
    </row>
    <row r="2800" spans="1:2" x14ac:dyDescent="0.2">
      <c r="A2800" s="12"/>
      <c r="B2800" s="13"/>
    </row>
    <row r="2801" spans="1:2" x14ac:dyDescent="0.2">
      <c r="A2801" s="12"/>
      <c r="B2801" s="13"/>
    </row>
    <row r="2802" spans="1:2" x14ac:dyDescent="0.2">
      <c r="A2802" s="12"/>
      <c r="B2802" s="13"/>
    </row>
    <row r="2803" spans="1:2" x14ac:dyDescent="0.2">
      <c r="A2803" s="12"/>
      <c r="B2803" s="13"/>
    </row>
    <row r="2804" spans="1:2" x14ac:dyDescent="0.2">
      <c r="A2804" s="12"/>
      <c r="B2804" s="13"/>
    </row>
    <row r="2805" spans="1:2" x14ac:dyDescent="0.2">
      <c r="A2805" s="12"/>
      <c r="B2805" s="13"/>
    </row>
    <row r="2806" spans="1:2" x14ac:dyDescent="0.2">
      <c r="A2806" s="12"/>
      <c r="B2806" s="13"/>
    </row>
    <row r="2807" spans="1:2" x14ac:dyDescent="0.2">
      <c r="A2807" s="12"/>
      <c r="B2807" s="13"/>
    </row>
    <row r="2808" spans="1:2" x14ac:dyDescent="0.2">
      <c r="A2808" s="12"/>
      <c r="B2808" s="13"/>
    </row>
    <row r="2809" spans="1:2" x14ac:dyDescent="0.2">
      <c r="A2809" s="12"/>
      <c r="B2809" s="13"/>
    </row>
    <row r="2810" spans="1:2" x14ac:dyDescent="0.2">
      <c r="A2810" s="12"/>
      <c r="B2810" s="13"/>
    </row>
    <row r="2811" spans="1:2" x14ac:dyDescent="0.2">
      <c r="A2811" s="12"/>
      <c r="B2811" s="13"/>
    </row>
    <row r="2812" spans="1:2" x14ac:dyDescent="0.2">
      <c r="A2812" s="12"/>
      <c r="B2812" s="13"/>
    </row>
    <row r="2813" spans="1:2" x14ac:dyDescent="0.2">
      <c r="A2813" s="12"/>
      <c r="B2813" s="13"/>
    </row>
    <row r="2814" spans="1:2" x14ac:dyDescent="0.2">
      <c r="A2814" s="12"/>
      <c r="B2814" s="13"/>
    </row>
    <row r="2815" spans="1:2" x14ac:dyDescent="0.2">
      <c r="A2815" s="12"/>
      <c r="B2815" s="13"/>
    </row>
    <row r="2816" spans="1:2" x14ac:dyDescent="0.2">
      <c r="A2816" s="12"/>
      <c r="B2816" s="13"/>
    </row>
    <row r="2817" spans="1:2" x14ac:dyDescent="0.2">
      <c r="A2817" s="12"/>
      <c r="B2817" s="13"/>
    </row>
    <row r="2818" spans="1:2" x14ac:dyDescent="0.2">
      <c r="A2818" s="12"/>
      <c r="B2818" s="13"/>
    </row>
    <row r="2819" spans="1:2" x14ac:dyDescent="0.2">
      <c r="A2819" s="12"/>
      <c r="B2819" s="13"/>
    </row>
    <row r="2820" spans="1:2" x14ac:dyDescent="0.2">
      <c r="A2820" s="12"/>
      <c r="B2820" s="13"/>
    </row>
    <row r="2821" spans="1:2" x14ac:dyDescent="0.2">
      <c r="A2821" s="12"/>
      <c r="B2821" s="13"/>
    </row>
    <row r="2822" spans="1:2" x14ac:dyDescent="0.2">
      <c r="A2822" s="12"/>
      <c r="B2822" s="13"/>
    </row>
    <row r="2823" spans="1:2" x14ac:dyDescent="0.2">
      <c r="A2823" s="12"/>
      <c r="B2823" s="13"/>
    </row>
    <row r="2824" spans="1:2" x14ac:dyDescent="0.2">
      <c r="A2824" s="12"/>
      <c r="B2824" s="13"/>
    </row>
    <row r="2825" spans="1:2" x14ac:dyDescent="0.2">
      <c r="A2825" s="12"/>
      <c r="B2825" s="13"/>
    </row>
    <row r="2826" spans="1:2" x14ac:dyDescent="0.2">
      <c r="A2826" s="12"/>
      <c r="B2826" s="13"/>
    </row>
    <row r="2827" spans="1:2" x14ac:dyDescent="0.2">
      <c r="A2827" s="12"/>
      <c r="B2827" s="13"/>
    </row>
    <row r="2828" spans="1:2" x14ac:dyDescent="0.2">
      <c r="A2828" s="12"/>
      <c r="B2828" s="13"/>
    </row>
    <row r="2829" spans="1:2" x14ac:dyDescent="0.2">
      <c r="A2829" s="12"/>
      <c r="B2829" s="13"/>
    </row>
    <row r="2830" spans="1:2" x14ac:dyDescent="0.2">
      <c r="A2830" s="12"/>
      <c r="B2830" s="13"/>
    </row>
    <row r="2831" spans="1:2" x14ac:dyDescent="0.2">
      <c r="A2831" s="12"/>
      <c r="B2831" s="13"/>
    </row>
    <row r="2832" spans="1:2" x14ac:dyDescent="0.2">
      <c r="A2832" s="12"/>
      <c r="B2832" s="13"/>
    </row>
    <row r="2833" spans="1:2" x14ac:dyDescent="0.2">
      <c r="A2833" s="12"/>
      <c r="B2833" s="13"/>
    </row>
    <row r="2834" spans="1:2" x14ac:dyDescent="0.2">
      <c r="A2834" s="12"/>
      <c r="B2834" s="13"/>
    </row>
    <row r="2835" spans="1:2" x14ac:dyDescent="0.2">
      <c r="A2835" s="12"/>
      <c r="B2835" s="13"/>
    </row>
    <row r="2836" spans="1:2" x14ac:dyDescent="0.2">
      <c r="A2836" s="12"/>
      <c r="B2836" s="13"/>
    </row>
    <row r="2837" spans="1:2" x14ac:dyDescent="0.2">
      <c r="A2837" s="12"/>
      <c r="B2837" s="13"/>
    </row>
    <row r="2838" spans="1:2" x14ac:dyDescent="0.2">
      <c r="A2838" s="12"/>
      <c r="B2838" s="13"/>
    </row>
    <row r="2839" spans="1:2" x14ac:dyDescent="0.2">
      <c r="A2839" s="12"/>
      <c r="B2839" s="13"/>
    </row>
    <row r="2840" spans="1:2" x14ac:dyDescent="0.2">
      <c r="A2840" s="12"/>
      <c r="B2840" s="13"/>
    </row>
    <row r="2841" spans="1:2" x14ac:dyDescent="0.2">
      <c r="A2841" s="12"/>
      <c r="B2841" s="13"/>
    </row>
    <row r="2842" spans="1:2" x14ac:dyDescent="0.2">
      <c r="A2842" s="12"/>
      <c r="B2842" s="13"/>
    </row>
    <row r="2843" spans="1:2" x14ac:dyDescent="0.2">
      <c r="A2843" s="12"/>
      <c r="B2843" s="13"/>
    </row>
    <row r="2844" spans="1:2" x14ac:dyDescent="0.2">
      <c r="A2844" s="12"/>
      <c r="B2844" s="13"/>
    </row>
    <row r="2845" spans="1:2" x14ac:dyDescent="0.2">
      <c r="A2845" s="12"/>
      <c r="B2845" s="13"/>
    </row>
    <row r="2846" spans="1:2" x14ac:dyDescent="0.2">
      <c r="A2846" s="12"/>
      <c r="B2846" s="13"/>
    </row>
    <row r="2847" spans="1:2" x14ac:dyDescent="0.2">
      <c r="A2847" s="12"/>
      <c r="B2847" s="13"/>
    </row>
    <row r="2848" spans="1:2" x14ac:dyDescent="0.2">
      <c r="A2848" s="12"/>
      <c r="B2848" s="13"/>
    </row>
    <row r="2849" spans="1:2" x14ac:dyDescent="0.2">
      <c r="A2849" s="12"/>
      <c r="B2849" s="13"/>
    </row>
    <row r="2850" spans="1:2" x14ac:dyDescent="0.2">
      <c r="A2850" s="12"/>
      <c r="B2850" s="13"/>
    </row>
    <row r="2851" spans="1:2" x14ac:dyDescent="0.2">
      <c r="A2851" s="12"/>
      <c r="B2851" s="13"/>
    </row>
    <row r="2852" spans="1:2" x14ac:dyDescent="0.2">
      <c r="A2852" s="12"/>
      <c r="B2852" s="13"/>
    </row>
    <row r="2853" spans="1:2" x14ac:dyDescent="0.2">
      <c r="A2853" s="12"/>
      <c r="B2853" s="13"/>
    </row>
    <row r="2854" spans="1:2" x14ac:dyDescent="0.2">
      <c r="A2854" s="12"/>
      <c r="B2854" s="13"/>
    </row>
    <row r="2855" spans="1:2" x14ac:dyDescent="0.2">
      <c r="A2855" s="12"/>
      <c r="B2855" s="13"/>
    </row>
    <row r="2856" spans="1:2" x14ac:dyDescent="0.2">
      <c r="A2856" s="12"/>
      <c r="B2856" s="13"/>
    </row>
    <row r="2857" spans="1:2" x14ac:dyDescent="0.2">
      <c r="A2857" s="12"/>
      <c r="B2857" s="13"/>
    </row>
    <row r="2858" spans="1:2" x14ac:dyDescent="0.2">
      <c r="A2858" s="12"/>
      <c r="B2858" s="13"/>
    </row>
    <row r="2859" spans="1:2" x14ac:dyDescent="0.2">
      <c r="A2859" s="12"/>
      <c r="B2859" s="13"/>
    </row>
    <row r="2860" spans="1:2" x14ac:dyDescent="0.2">
      <c r="A2860" s="12"/>
      <c r="B2860" s="13"/>
    </row>
    <row r="2861" spans="1:2" x14ac:dyDescent="0.2">
      <c r="A2861" s="12"/>
      <c r="B2861" s="13"/>
    </row>
    <row r="2862" spans="1:2" x14ac:dyDescent="0.2">
      <c r="A2862" s="12"/>
      <c r="B2862" s="13"/>
    </row>
    <row r="2863" spans="1:2" x14ac:dyDescent="0.2">
      <c r="A2863" s="12"/>
      <c r="B2863" s="13"/>
    </row>
    <row r="2864" spans="1:2" x14ac:dyDescent="0.2">
      <c r="A2864" s="12"/>
      <c r="B2864" s="13"/>
    </row>
    <row r="2865" spans="1:2" x14ac:dyDescent="0.2">
      <c r="A2865" s="12"/>
      <c r="B2865" s="13"/>
    </row>
    <row r="2866" spans="1:2" x14ac:dyDescent="0.2">
      <c r="A2866" s="12"/>
      <c r="B2866" s="13"/>
    </row>
    <row r="2867" spans="1:2" x14ac:dyDescent="0.2">
      <c r="A2867" s="12"/>
      <c r="B2867" s="13"/>
    </row>
    <row r="2868" spans="1:2" x14ac:dyDescent="0.2">
      <c r="A2868" s="12"/>
      <c r="B2868" s="13"/>
    </row>
    <row r="2869" spans="1:2" x14ac:dyDescent="0.2">
      <c r="A2869" s="12"/>
      <c r="B2869" s="13"/>
    </row>
    <row r="2870" spans="1:2" x14ac:dyDescent="0.2">
      <c r="A2870" s="12"/>
      <c r="B2870" s="13"/>
    </row>
    <row r="2871" spans="1:2" x14ac:dyDescent="0.2">
      <c r="A2871" s="12"/>
      <c r="B2871" s="13"/>
    </row>
    <row r="2872" spans="1:2" x14ac:dyDescent="0.2">
      <c r="A2872" s="12"/>
      <c r="B2872" s="13"/>
    </row>
    <row r="2873" spans="1:2" x14ac:dyDescent="0.2">
      <c r="A2873" s="12"/>
      <c r="B2873" s="13"/>
    </row>
    <row r="2874" spans="1:2" x14ac:dyDescent="0.2">
      <c r="A2874" s="12"/>
      <c r="B2874" s="13"/>
    </row>
    <row r="2875" spans="1:2" x14ac:dyDescent="0.2">
      <c r="A2875" s="12"/>
      <c r="B2875" s="13"/>
    </row>
    <row r="2876" spans="1:2" x14ac:dyDescent="0.2">
      <c r="A2876" s="12"/>
      <c r="B2876" s="13"/>
    </row>
    <row r="2877" spans="1:2" x14ac:dyDescent="0.2">
      <c r="A2877" s="12"/>
      <c r="B2877" s="13"/>
    </row>
    <row r="2878" spans="1:2" x14ac:dyDescent="0.2">
      <c r="A2878" s="12"/>
      <c r="B2878" s="13"/>
    </row>
    <row r="2879" spans="1:2" x14ac:dyDescent="0.2">
      <c r="A2879" s="12"/>
      <c r="B2879" s="13"/>
    </row>
    <row r="2880" spans="1:2" x14ac:dyDescent="0.2">
      <c r="A2880" s="12"/>
      <c r="B2880" s="13"/>
    </row>
    <row r="2881" spans="1:2" x14ac:dyDescent="0.2">
      <c r="A2881" s="12"/>
      <c r="B2881" s="13"/>
    </row>
    <row r="2882" spans="1:2" x14ac:dyDescent="0.2">
      <c r="A2882" s="12"/>
      <c r="B2882" s="13"/>
    </row>
    <row r="2883" spans="1:2" x14ac:dyDescent="0.2">
      <c r="A2883" s="12"/>
      <c r="B2883" s="13"/>
    </row>
    <row r="2884" spans="1:2" x14ac:dyDescent="0.2">
      <c r="A2884" s="12"/>
      <c r="B2884" s="13"/>
    </row>
    <row r="2885" spans="1:2" x14ac:dyDescent="0.2">
      <c r="A2885" s="12"/>
      <c r="B2885" s="13"/>
    </row>
    <row r="2886" spans="1:2" x14ac:dyDescent="0.2">
      <c r="A2886" s="12"/>
      <c r="B2886" s="13"/>
    </row>
    <row r="2887" spans="1:2" x14ac:dyDescent="0.2">
      <c r="A2887" s="12"/>
      <c r="B2887" s="13"/>
    </row>
    <row r="2888" spans="1:2" x14ac:dyDescent="0.2">
      <c r="A2888" s="12"/>
      <c r="B2888" s="13"/>
    </row>
    <row r="2889" spans="1:2" x14ac:dyDescent="0.2">
      <c r="A2889" s="12"/>
      <c r="B2889" s="13"/>
    </row>
    <row r="2890" spans="1:2" x14ac:dyDescent="0.2">
      <c r="A2890" s="12"/>
      <c r="B2890" s="13"/>
    </row>
    <row r="2891" spans="1:2" x14ac:dyDescent="0.2">
      <c r="A2891" s="12"/>
      <c r="B2891" s="13"/>
    </row>
    <row r="2892" spans="1:2" x14ac:dyDescent="0.2">
      <c r="A2892" s="12"/>
      <c r="B2892" s="13"/>
    </row>
    <row r="2893" spans="1:2" x14ac:dyDescent="0.2">
      <c r="A2893" s="12"/>
      <c r="B2893" s="13"/>
    </row>
    <row r="2894" spans="1:2" x14ac:dyDescent="0.2">
      <c r="A2894" s="12"/>
      <c r="B2894" s="13"/>
    </row>
    <row r="2895" spans="1:2" x14ac:dyDescent="0.2">
      <c r="A2895" s="12"/>
      <c r="B2895" s="13"/>
    </row>
    <row r="2896" spans="1:2" x14ac:dyDescent="0.2">
      <c r="A2896" s="12"/>
      <c r="B2896" s="13"/>
    </row>
    <row r="2897" spans="1:2" x14ac:dyDescent="0.2">
      <c r="A2897" s="12"/>
      <c r="B2897" s="13"/>
    </row>
    <row r="2898" spans="1:2" x14ac:dyDescent="0.2">
      <c r="A2898" s="12"/>
      <c r="B2898" s="13"/>
    </row>
    <row r="2899" spans="1:2" x14ac:dyDescent="0.2">
      <c r="A2899" s="12"/>
      <c r="B2899" s="13"/>
    </row>
    <row r="2900" spans="1:2" x14ac:dyDescent="0.2">
      <c r="A2900" s="12"/>
      <c r="B2900" s="13"/>
    </row>
    <row r="2901" spans="1:2" x14ac:dyDescent="0.2">
      <c r="A2901" s="12"/>
      <c r="B2901" s="13"/>
    </row>
    <row r="2902" spans="1:2" x14ac:dyDescent="0.2">
      <c r="A2902" s="12"/>
      <c r="B2902" s="13"/>
    </row>
    <row r="2903" spans="1:2" x14ac:dyDescent="0.2">
      <c r="A2903" s="12"/>
      <c r="B2903" s="13"/>
    </row>
    <row r="2904" spans="1:2" x14ac:dyDescent="0.2">
      <c r="A2904" s="12"/>
      <c r="B2904" s="13"/>
    </row>
    <row r="2905" spans="1:2" x14ac:dyDescent="0.2">
      <c r="A2905" s="12"/>
      <c r="B2905" s="13"/>
    </row>
    <row r="2906" spans="1:2" x14ac:dyDescent="0.2">
      <c r="A2906" s="12"/>
      <c r="B2906" s="13"/>
    </row>
    <row r="2907" spans="1:2" x14ac:dyDescent="0.2">
      <c r="A2907" s="12"/>
      <c r="B2907" s="13"/>
    </row>
    <row r="2908" spans="1:2" x14ac:dyDescent="0.2">
      <c r="A2908" s="12"/>
      <c r="B2908" s="13"/>
    </row>
    <row r="2909" spans="1:2" x14ac:dyDescent="0.2">
      <c r="A2909" s="12"/>
      <c r="B2909" s="13"/>
    </row>
    <row r="2910" spans="1:2" x14ac:dyDescent="0.2">
      <c r="A2910" s="12"/>
      <c r="B2910" s="13"/>
    </row>
    <row r="2911" spans="1:2" x14ac:dyDescent="0.2">
      <c r="A2911" s="12"/>
      <c r="B2911" s="13"/>
    </row>
    <row r="2912" spans="1:2" x14ac:dyDescent="0.2">
      <c r="A2912" s="12"/>
      <c r="B2912" s="13"/>
    </row>
    <row r="2913" spans="1:2" x14ac:dyDescent="0.2">
      <c r="A2913" s="12"/>
      <c r="B2913" s="13"/>
    </row>
    <row r="2914" spans="1:2" x14ac:dyDescent="0.2">
      <c r="A2914" s="12"/>
      <c r="B2914" s="13"/>
    </row>
    <row r="2915" spans="1:2" x14ac:dyDescent="0.2">
      <c r="A2915" s="12"/>
      <c r="B2915" s="13"/>
    </row>
    <row r="2916" spans="1:2" x14ac:dyDescent="0.2">
      <c r="A2916" s="12"/>
      <c r="B2916" s="13"/>
    </row>
    <row r="2917" spans="1:2" x14ac:dyDescent="0.2">
      <c r="A2917" s="12"/>
      <c r="B2917" s="13"/>
    </row>
    <row r="2918" spans="1:2" x14ac:dyDescent="0.2">
      <c r="A2918" s="12"/>
      <c r="B2918" s="13"/>
    </row>
    <row r="2919" spans="1:2" x14ac:dyDescent="0.2">
      <c r="A2919" s="12"/>
      <c r="B2919" s="13"/>
    </row>
    <row r="2920" spans="1:2" x14ac:dyDescent="0.2">
      <c r="A2920" s="12"/>
      <c r="B2920" s="13"/>
    </row>
    <row r="2921" spans="1:2" x14ac:dyDescent="0.2">
      <c r="A2921" s="12"/>
      <c r="B2921" s="13"/>
    </row>
    <row r="2922" spans="1:2" x14ac:dyDescent="0.2">
      <c r="A2922" s="12"/>
      <c r="B2922" s="13"/>
    </row>
    <row r="2923" spans="1:2" x14ac:dyDescent="0.2">
      <c r="A2923" s="12"/>
      <c r="B2923" s="13"/>
    </row>
    <row r="2924" spans="1:2" x14ac:dyDescent="0.2">
      <c r="A2924" s="12"/>
      <c r="B2924" s="13"/>
    </row>
    <row r="2925" spans="1:2" x14ac:dyDescent="0.2">
      <c r="A2925" s="12"/>
      <c r="B2925" s="13"/>
    </row>
    <row r="2926" spans="1:2" x14ac:dyDescent="0.2">
      <c r="A2926" s="12"/>
      <c r="B2926" s="13"/>
    </row>
    <row r="2927" spans="1:2" x14ac:dyDescent="0.2">
      <c r="A2927" s="12"/>
      <c r="B2927" s="13"/>
    </row>
    <row r="2928" spans="1:2" x14ac:dyDescent="0.2">
      <c r="A2928" s="12"/>
      <c r="B2928" s="13"/>
    </row>
    <row r="2929" spans="1:2" x14ac:dyDescent="0.2">
      <c r="A2929" s="12"/>
      <c r="B2929" s="13"/>
    </row>
    <row r="2930" spans="1:2" x14ac:dyDescent="0.2">
      <c r="A2930" s="12"/>
      <c r="B2930" s="13"/>
    </row>
    <row r="2931" spans="1:2" x14ac:dyDescent="0.2">
      <c r="A2931" s="12"/>
      <c r="B2931" s="13"/>
    </row>
    <row r="2932" spans="1:2" x14ac:dyDescent="0.2">
      <c r="A2932" s="12"/>
      <c r="B2932" s="13"/>
    </row>
    <row r="2933" spans="1:2" x14ac:dyDescent="0.2">
      <c r="A2933" s="12"/>
      <c r="B2933" s="13"/>
    </row>
    <row r="2934" spans="1:2" x14ac:dyDescent="0.2">
      <c r="A2934" s="12"/>
      <c r="B2934" s="13"/>
    </row>
    <row r="2935" spans="1:2" x14ac:dyDescent="0.2">
      <c r="A2935" s="12"/>
      <c r="B2935" s="13"/>
    </row>
    <row r="2936" spans="1:2" x14ac:dyDescent="0.2">
      <c r="A2936" s="12"/>
      <c r="B2936" s="13"/>
    </row>
    <row r="2937" spans="1:2" x14ac:dyDescent="0.2">
      <c r="A2937" s="12"/>
      <c r="B2937" s="13"/>
    </row>
    <row r="2938" spans="1:2" x14ac:dyDescent="0.2">
      <c r="A2938" s="12"/>
      <c r="B2938" s="13"/>
    </row>
    <row r="2939" spans="1:2" x14ac:dyDescent="0.2">
      <c r="A2939" s="12"/>
      <c r="B2939" s="13"/>
    </row>
    <row r="2940" spans="1:2" x14ac:dyDescent="0.2">
      <c r="A2940" s="12"/>
      <c r="B2940" s="13"/>
    </row>
    <row r="2941" spans="1:2" x14ac:dyDescent="0.2">
      <c r="A2941" s="12"/>
      <c r="B2941" s="13"/>
    </row>
    <row r="2942" spans="1:2" x14ac:dyDescent="0.2">
      <c r="A2942" s="12"/>
      <c r="B2942" s="13"/>
    </row>
    <row r="2943" spans="1:2" x14ac:dyDescent="0.2">
      <c r="A2943" s="12"/>
      <c r="B2943" s="13"/>
    </row>
    <row r="2944" spans="1:2" x14ac:dyDescent="0.2">
      <c r="A2944" s="12"/>
      <c r="B2944" s="13"/>
    </row>
    <row r="2945" spans="1:2" x14ac:dyDescent="0.2">
      <c r="A2945" s="12"/>
      <c r="B2945" s="13"/>
    </row>
    <row r="2946" spans="1:2" x14ac:dyDescent="0.2">
      <c r="A2946" s="12"/>
      <c r="B2946" s="13"/>
    </row>
    <row r="2947" spans="1:2" x14ac:dyDescent="0.2">
      <c r="A2947" s="12"/>
      <c r="B2947" s="13"/>
    </row>
    <row r="2948" spans="1:2" x14ac:dyDescent="0.2">
      <c r="A2948" s="12"/>
      <c r="B2948" s="13"/>
    </row>
    <row r="2949" spans="1:2" x14ac:dyDescent="0.2">
      <c r="A2949" s="12"/>
      <c r="B2949" s="13"/>
    </row>
    <row r="2950" spans="1:2" x14ac:dyDescent="0.2">
      <c r="A2950" s="12"/>
      <c r="B2950" s="13"/>
    </row>
    <row r="2951" spans="1:2" x14ac:dyDescent="0.2">
      <c r="A2951" s="12"/>
      <c r="B2951" s="13"/>
    </row>
    <row r="2952" spans="1:2" x14ac:dyDescent="0.2">
      <c r="A2952" s="12"/>
      <c r="B2952" s="13"/>
    </row>
    <row r="2953" spans="1:2" x14ac:dyDescent="0.2">
      <c r="A2953" s="12"/>
      <c r="B2953" s="13"/>
    </row>
    <row r="2954" spans="1:2" x14ac:dyDescent="0.2">
      <c r="A2954" s="12"/>
      <c r="B2954" s="13"/>
    </row>
    <row r="2955" spans="1:2" x14ac:dyDescent="0.2">
      <c r="A2955" s="12"/>
      <c r="B2955" s="13"/>
    </row>
    <row r="2956" spans="1:2" x14ac:dyDescent="0.2">
      <c r="A2956" s="12"/>
      <c r="B2956" s="13"/>
    </row>
    <row r="2957" spans="1:2" x14ac:dyDescent="0.2">
      <c r="A2957" s="12"/>
      <c r="B2957" s="13"/>
    </row>
    <row r="2958" spans="1:2" x14ac:dyDescent="0.2">
      <c r="A2958" s="12"/>
      <c r="B2958" s="13"/>
    </row>
    <row r="2959" spans="1:2" x14ac:dyDescent="0.2">
      <c r="A2959" s="12"/>
      <c r="B2959" s="13"/>
    </row>
    <row r="2960" spans="1:2" x14ac:dyDescent="0.2">
      <c r="A2960" s="12"/>
      <c r="B2960" s="13"/>
    </row>
    <row r="2961" spans="1:2" x14ac:dyDescent="0.2">
      <c r="A2961" s="12"/>
      <c r="B2961" s="13"/>
    </row>
    <row r="2962" spans="1:2" x14ac:dyDescent="0.2">
      <c r="A2962" s="12"/>
      <c r="B2962" s="13"/>
    </row>
    <row r="2963" spans="1:2" x14ac:dyDescent="0.2">
      <c r="A2963" s="12"/>
      <c r="B2963" s="13"/>
    </row>
    <row r="2964" spans="1:2" x14ac:dyDescent="0.2">
      <c r="A2964" s="12"/>
      <c r="B2964" s="13"/>
    </row>
    <row r="2965" spans="1:2" x14ac:dyDescent="0.2">
      <c r="A2965" s="12"/>
      <c r="B2965" s="13"/>
    </row>
    <row r="2966" spans="1:2" x14ac:dyDescent="0.2">
      <c r="A2966" s="12"/>
      <c r="B2966" s="13"/>
    </row>
    <row r="2967" spans="1:2" x14ac:dyDescent="0.2">
      <c r="A2967" s="12"/>
      <c r="B2967" s="13"/>
    </row>
    <row r="2968" spans="1:2" x14ac:dyDescent="0.2">
      <c r="A2968" s="12"/>
      <c r="B2968" s="13"/>
    </row>
    <row r="2969" spans="1:2" x14ac:dyDescent="0.2">
      <c r="A2969" s="12"/>
      <c r="B2969" s="13"/>
    </row>
    <row r="2970" spans="1:2" x14ac:dyDescent="0.2">
      <c r="A2970" s="12"/>
      <c r="B2970" s="13"/>
    </row>
    <row r="2971" spans="1:2" x14ac:dyDescent="0.2">
      <c r="A2971" s="12"/>
      <c r="B2971" s="13"/>
    </row>
    <row r="2972" spans="1:2" x14ac:dyDescent="0.2">
      <c r="A2972" s="12"/>
      <c r="B2972" s="13"/>
    </row>
    <row r="2973" spans="1:2" x14ac:dyDescent="0.2">
      <c r="A2973" s="12"/>
      <c r="B2973" s="13"/>
    </row>
    <row r="2974" spans="1:2" x14ac:dyDescent="0.2">
      <c r="A2974" s="12"/>
      <c r="B2974" s="13"/>
    </row>
    <row r="2975" spans="1:2" x14ac:dyDescent="0.2">
      <c r="A2975" s="12"/>
      <c r="B2975" s="13"/>
    </row>
    <row r="2976" spans="1:2" x14ac:dyDescent="0.2">
      <c r="A2976" s="12"/>
      <c r="B2976" s="13"/>
    </row>
    <row r="2977" spans="1:2" x14ac:dyDescent="0.2">
      <c r="A2977" s="12"/>
      <c r="B2977" s="13"/>
    </row>
    <row r="2978" spans="1:2" x14ac:dyDescent="0.2">
      <c r="A2978" s="12"/>
      <c r="B2978" s="13"/>
    </row>
    <row r="2979" spans="1:2" x14ac:dyDescent="0.2">
      <c r="A2979" s="12"/>
      <c r="B2979" s="13"/>
    </row>
    <row r="2980" spans="1:2" x14ac:dyDescent="0.2">
      <c r="A2980" s="12"/>
      <c r="B2980" s="13"/>
    </row>
    <row r="2981" spans="1:2" x14ac:dyDescent="0.2">
      <c r="A2981" s="12"/>
      <c r="B2981" s="13"/>
    </row>
    <row r="2982" spans="1:2" x14ac:dyDescent="0.2">
      <c r="A2982" s="12"/>
      <c r="B2982" s="13"/>
    </row>
    <row r="2983" spans="1:2" x14ac:dyDescent="0.2">
      <c r="A2983" s="12"/>
      <c r="B2983" s="13"/>
    </row>
    <row r="2984" spans="1:2" x14ac:dyDescent="0.2">
      <c r="A2984" s="12"/>
      <c r="B2984" s="13"/>
    </row>
    <row r="2985" spans="1:2" x14ac:dyDescent="0.2">
      <c r="A2985" s="12"/>
      <c r="B2985" s="13"/>
    </row>
    <row r="2986" spans="1:2" x14ac:dyDescent="0.2">
      <c r="A2986" s="12"/>
      <c r="B2986" s="13"/>
    </row>
    <row r="2987" spans="1:2" x14ac:dyDescent="0.2">
      <c r="A2987" s="12"/>
      <c r="B2987" s="13"/>
    </row>
    <row r="2988" spans="1:2" x14ac:dyDescent="0.2">
      <c r="A2988" s="12"/>
      <c r="B2988" s="13"/>
    </row>
    <row r="2989" spans="1:2" x14ac:dyDescent="0.2">
      <c r="A2989" s="12"/>
      <c r="B2989" s="13"/>
    </row>
    <row r="2990" spans="1:2" x14ac:dyDescent="0.2">
      <c r="A2990" s="12"/>
      <c r="B2990" s="13"/>
    </row>
    <row r="2991" spans="1:2" x14ac:dyDescent="0.2">
      <c r="A2991" s="12"/>
      <c r="B2991" s="13"/>
    </row>
    <row r="2992" spans="1:2" x14ac:dyDescent="0.2">
      <c r="A2992" s="12"/>
      <c r="B2992" s="13"/>
    </row>
    <row r="2993" spans="1:2" x14ac:dyDescent="0.2">
      <c r="A2993" s="12"/>
      <c r="B2993" s="13"/>
    </row>
    <row r="2994" spans="1:2" x14ac:dyDescent="0.2">
      <c r="A2994" s="12"/>
      <c r="B2994" s="13"/>
    </row>
    <row r="2995" spans="1:2" x14ac:dyDescent="0.2">
      <c r="A2995" s="12"/>
      <c r="B2995" s="13"/>
    </row>
    <row r="2996" spans="1:2" x14ac:dyDescent="0.2">
      <c r="A2996" s="12"/>
      <c r="B2996" s="13"/>
    </row>
    <row r="2997" spans="1:2" x14ac:dyDescent="0.2">
      <c r="A2997" s="12"/>
      <c r="B2997" s="13"/>
    </row>
    <row r="2998" spans="1:2" x14ac:dyDescent="0.2">
      <c r="A2998" s="12"/>
      <c r="B2998" s="13"/>
    </row>
    <row r="2999" spans="1:2" x14ac:dyDescent="0.2">
      <c r="A2999" s="12"/>
      <c r="B2999" s="13"/>
    </row>
    <row r="3000" spans="1:2" x14ac:dyDescent="0.2">
      <c r="A3000" s="12"/>
      <c r="B3000" s="13"/>
    </row>
    <row r="3001" spans="1:2" x14ac:dyDescent="0.2">
      <c r="A3001" s="12"/>
      <c r="B3001" s="13"/>
    </row>
    <row r="3002" spans="1:2" x14ac:dyDescent="0.2">
      <c r="A3002" s="12"/>
      <c r="B3002" s="13"/>
    </row>
    <row r="3003" spans="1:2" x14ac:dyDescent="0.2">
      <c r="A3003" s="12"/>
      <c r="B3003" s="13"/>
    </row>
    <row r="3004" spans="1:2" x14ac:dyDescent="0.2">
      <c r="A3004" s="12"/>
      <c r="B3004" s="13"/>
    </row>
    <row r="3005" spans="1:2" x14ac:dyDescent="0.2">
      <c r="A3005" s="12"/>
      <c r="B3005" s="13"/>
    </row>
    <row r="3006" spans="1:2" x14ac:dyDescent="0.2">
      <c r="A3006" s="12"/>
      <c r="B3006" s="13"/>
    </row>
    <row r="3007" spans="1:2" x14ac:dyDescent="0.2">
      <c r="A3007" s="12"/>
      <c r="B3007" s="13"/>
    </row>
    <row r="3008" spans="1:2" x14ac:dyDescent="0.2">
      <c r="A3008" s="12"/>
      <c r="B3008" s="13"/>
    </row>
    <row r="3009" spans="1:2" x14ac:dyDescent="0.2">
      <c r="A3009" s="12"/>
      <c r="B3009" s="13"/>
    </row>
    <row r="3010" spans="1:2" x14ac:dyDescent="0.2">
      <c r="A3010" s="12"/>
      <c r="B3010" s="13"/>
    </row>
    <row r="3011" spans="1:2" x14ac:dyDescent="0.2">
      <c r="A3011" s="12"/>
      <c r="B3011" s="13"/>
    </row>
    <row r="3012" spans="1:2" x14ac:dyDescent="0.2">
      <c r="A3012" s="12"/>
      <c r="B3012" s="13"/>
    </row>
    <row r="3013" spans="1:2" x14ac:dyDescent="0.2">
      <c r="A3013" s="12"/>
      <c r="B3013" s="13"/>
    </row>
    <row r="3014" spans="1:2" x14ac:dyDescent="0.2">
      <c r="A3014" s="12"/>
      <c r="B3014" s="13"/>
    </row>
    <row r="3015" spans="1:2" x14ac:dyDescent="0.2">
      <c r="A3015" s="12"/>
      <c r="B3015" s="13"/>
    </row>
    <row r="3016" spans="1:2" x14ac:dyDescent="0.2">
      <c r="A3016" s="12"/>
      <c r="B3016" s="13"/>
    </row>
    <row r="3017" spans="1:2" x14ac:dyDescent="0.2">
      <c r="A3017" s="12"/>
      <c r="B3017" s="13"/>
    </row>
    <row r="3018" spans="1:2" x14ac:dyDescent="0.2">
      <c r="A3018" s="12"/>
      <c r="B3018" s="13"/>
    </row>
    <row r="3019" spans="1:2" x14ac:dyDescent="0.2">
      <c r="A3019" s="12"/>
      <c r="B3019" s="13"/>
    </row>
    <row r="3020" spans="1:2" x14ac:dyDescent="0.2">
      <c r="A3020" s="12"/>
      <c r="B3020" s="13"/>
    </row>
    <row r="3021" spans="1:2" x14ac:dyDescent="0.2">
      <c r="A3021" s="12"/>
      <c r="B3021" s="13"/>
    </row>
    <row r="3022" spans="1:2" x14ac:dyDescent="0.2">
      <c r="A3022" s="12"/>
      <c r="B3022" s="13"/>
    </row>
    <row r="3023" spans="1:2" x14ac:dyDescent="0.2">
      <c r="A3023" s="12"/>
      <c r="B3023" s="13"/>
    </row>
    <row r="3024" spans="1:2" x14ac:dyDescent="0.2">
      <c r="A3024" s="12"/>
      <c r="B3024" s="13"/>
    </row>
    <row r="3025" spans="1:2" x14ac:dyDescent="0.2">
      <c r="A3025" s="12"/>
      <c r="B3025" s="13"/>
    </row>
    <row r="3026" spans="1:2" x14ac:dyDescent="0.2">
      <c r="A3026" s="12"/>
      <c r="B3026" s="13"/>
    </row>
    <row r="3027" spans="1:2" x14ac:dyDescent="0.2">
      <c r="A3027" s="12"/>
      <c r="B3027" s="13"/>
    </row>
    <row r="3028" spans="1:2" x14ac:dyDescent="0.2">
      <c r="A3028" s="12"/>
      <c r="B3028" s="13"/>
    </row>
    <row r="3029" spans="1:2" x14ac:dyDescent="0.2">
      <c r="A3029" s="12"/>
      <c r="B3029" s="13"/>
    </row>
    <row r="3030" spans="1:2" x14ac:dyDescent="0.2">
      <c r="A3030" s="12"/>
      <c r="B3030" s="13"/>
    </row>
    <row r="3031" spans="1:2" x14ac:dyDescent="0.2">
      <c r="A3031" s="12"/>
      <c r="B3031" s="13"/>
    </row>
    <row r="3032" spans="1:2" x14ac:dyDescent="0.2">
      <c r="A3032" s="12"/>
      <c r="B3032" s="13"/>
    </row>
    <row r="3033" spans="1:2" x14ac:dyDescent="0.2">
      <c r="A3033" s="12"/>
      <c r="B3033" s="13"/>
    </row>
    <row r="3034" spans="1:2" x14ac:dyDescent="0.2">
      <c r="A3034" s="12"/>
      <c r="B3034" s="13"/>
    </row>
    <row r="3035" spans="1:2" x14ac:dyDescent="0.2">
      <c r="A3035" s="12"/>
      <c r="B3035" s="13"/>
    </row>
    <row r="3036" spans="1:2" x14ac:dyDescent="0.2">
      <c r="A3036" s="12"/>
      <c r="B3036" s="13"/>
    </row>
    <row r="3037" spans="1:2" x14ac:dyDescent="0.2">
      <c r="A3037" s="12"/>
      <c r="B3037" s="13"/>
    </row>
    <row r="3038" spans="1:2" x14ac:dyDescent="0.2">
      <c r="A3038" s="12"/>
      <c r="B3038" s="13"/>
    </row>
    <row r="3039" spans="1:2" x14ac:dyDescent="0.2">
      <c r="A3039" s="12"/>
      <c r="B3039" s="13"/>
    </row>
    <row r="3040" spans="1:2" x14ac:dyDescent="0.2">
      <c r="A3040" s="12"/>
      <c r="B3040" s="13"/>
    </row>
    <row r="3041" spans="1:2" x14ac:dyDescent="0.2">
      <c r="A3041" s="12"/>
      <c r="B3041" s="13"/>
    </row>
    <row r="3042" spans="1:2" x14ac:dyDescent="0.2">
      <c r="A3042" s="12"/>
      <c r="B3042" s="13"/>
    </row>
    <row r="3043" spans="1:2" x14ac:dyDescent="0.2">
      <c r="A3043" s="12"/>
      <c r="B3043" s="13"/>
    </row>
    <row r="3044" spans="1:2" x14ac:dyDescent="0.2">
      <c r="A3044" s="12"/>
      <c r="B3044" s="13"/>
    </row>
    <row r="3045" spans="1:2" x14ac:dyDescent="0.2">
      <c r="A3045" s="12"/>
      <c r="B3045" s="13"/>
    </row>
    <row r="3046" spans="1:2" x14ac:dyDescent="0.2">
      <c r="A3046" s="12"/>
      <c r="B3046" s="13"/>
    </row>
    <row r="3047" spans="1:2" x14ac:dyDescent="0.2">
      <c r="A3047" s="12"/>
      <c r="B3047" s="13"/>
    </row>
    <row r="3048" spans="1:2" x14ac:dyDescent="0.2">
      <c r="A3048" s="12"/>
      <c r="B3048" s="13"/>
    </row>
    <row r="3049" spans="1:2" x14ac:dyDescent="0.2">
      <c r="A3049" s="12"/>
      <c r="B3049" s="13"/>
    </row>
    <row r="3050" spans="1:2" x14ac:dyDescent="0.2">
      <c r="A3050" s="12"/>
      <c r="B3050" s="13"/>
    </row>
    <row r="3051" spans="1:2" x14ac:dyDescent="0.2">
      <c r="A3051" s="12"/>
      <c r="B3051" s="13"/>
    </row>
    <row r="3052" spans="1:2" x14ac:dyDescent="0.2">
      <c r="A3052" s="12"/>
      <c r="B3052" s="13"/>
    </row>
    <row r="3053" spans="1:2" x14ac:dyDescent="0.2">
      <c r="A3053" s="12"/>
      <c r="B3053" s="13"/>
    </row>
    <row r="3054" spans="1:2" x14ac:dyDescent="0.2">
      <c r="A3054" s="12"/>
      <c r="B3054" s="13"/>
    </row>
    <row r="3055" spans="1:2" x14ac:dyDescent="0.2">
      <c r="A3055" s="12"/>
      <c r="B3055" s="13"/>
    </row>
    <row r="3056" spans="1:2" x14ac:dyDescent="0.2">
      <c r="A3056" s="12"/>
      <c r="B3056" s="13"/>
    </row>
    <row r="3057" spans="1:2" x14ac:dyDescent="0.2">
      <c r="A3057" s="12"/>
      <c r="B3057" s="13"/>
    </row>
    <row r="3058" spans="1:2" x14ac:dyDescent="0.2">
      <c r="A3058" s="12"/>
      <c r="B3058" s="13"/>
    </row>
    <row r="3059" spans="1:2" x14ac:dyDescent="0.2">
      <c r="A3059" s="12"/>
      <c r="B3059" s="13"/>
    </row>
    <row r="3060" spans="1:2" x14ac:dyDescent="0.2">
      <c r="A3060" s="12"/>
      <c r="B3060" s="13"/>
    </row>
    <row r="3061" spans="1:2" x14ac:dyDescent="0.2">
      <c r="A3061" s="12"/>
      <c r="B3061" s="13"/>
    </row>
    <row r="3062" spans="1:2" x14ac:dyDescent="0.2">
      <c r="A3062" s="12"/>
      <c r="B3062" s="13"/>
    </row>
    <row r="3063" spans="1:2" x14ac:dyDescent="0.2">
      <c r="A3063" s="12"/>
      <c r="B3063" s="13"/>
    </row>
    <row r="3064" spans="1:2" x14ac:dyDescent="0.2">
      <c r="A3064" s="12"/>
      <c r="B3064" s="13"/>
    </row>
    <row r="3065" spans="1:2" x14ac:dyDescent="0.2">
      <c r="A3065" s="12"/>
      <c r="B3065" s="13"/>
    </row>
    <row r="3066" spans="1:2" x14ac:dyDescent="0.2">
      <c r="A3066" s="12"/>
      <c r="B3066" s="13"/>
    </row>
    <row r="3067" spans="1:2" x14ac:dyDescent="0.2">
      <c r="A3067" s="12"/>
      <c r="B3067" s="13"/>
    </row>
    <row r="3068" spans="1:2" x14ac:dyDescent="0.2">
      <c r="A3068" s="12"/>
      <c r="B3068" s="13"/>
    </row>
    <row r="3069" spans="1:2" x14ac:dyDescent="0.2">
      <c r="A3069" s="12"/>
      <c r="B3069" s="13"/>
    </row>
    <row r="3070" spans="1:2" x14ac:dyDescent="0.2">
      <c r="A3070" s="12"/>
      <c r="B3070" s="13"/>
    </row>
    <row r="3071" spans="1:2" x14ac:dyDescent="0.2">
      <c r="A3071" s="12"/>
      <c r="B3071" s="13"/>
    </row>
    <row r="3072" spans="1:2" x14ac:dyDescent="0.2">
      <c r="A3072" s="12"/>
      <c r="B3072" s="13"/>
    </row>
    <row r="3073" spans="1:2" x14ac:dyDescent="0.2">
      <c r="A3073" s="12"/>
      <c r="B3073" s="13"/>
    </row>
    <row r="3074" spans="1:2" x14ac:dyDescent="0.2">
      <c r="A3074" s="12"/>
      <c r="B3074" s="13"/>
    </row>
    <row r="3075" spans="1:2" x14ac:dyDescent="0.2">
      <c r="A3075" s="12"/>
      <c r="B3075" s="13"/>
    </row>
    <row r="3076" spans="1:2" x14ac:dyDescent="0.2">
      <c r="A3076" s="12"/>
      <c r="B3076" s="13"/>
    </row>
    <row r="3077" spans="1:2" x14ac:dyDescent="0.2">
      <c r="A3077" s="12"/>
      <c r="B3077" s="13"/>
    </row>
    <row r="3078" spans="1:2" x14ac:dyDescent="0.2">
      <c r="A3078" s="12"/>
      <c r="B3078" s="13"/>
    </row>
    <row r="3079" spans="1:2" x14ac:dyDescent="0.2">
      <c r="A3079" s="12"/>
      <c r="B3079" s="13"/>
    </row>
    <row r="3080" spans="1:2" x14ac:dyDescent="0.2">
      <c r="A3080" s="12"/>
      <c r="B3080" s="13"/>
    </row>
    <row r="3081" spans="1:2" x14ac:dyDescent="0.2">
      <c r="A3081" s="12"/>
      <c r="B3081" s="13"/>
    </row>
    <row r="3082" spans="1:2" x14ac:dyDescent="0.2">
      <c r="A3082" s="12"/>
      <c r="B3082" s="13"/>
    </row>
    <row r="3083" spans="1:2" x14ac:dyDescent="0.2">
      <c r="A3083" s="12"/>
      <c r="B3083" s="13"/>
    </row>
    <row r="3084" spans="1:2" x14ac:dyDescent="0.2">
      <c r="A3084" s="12"/>
      <c r="B3084" s="13"/>
    </row>
    <row r="3085" spans="1:2" x14ac:dyDescent="0.2">
      <c r="A3085" s="12"/>
      <c r="B3085" s="13"/>
    </row>
    <row r="3086" spans="1:2" x14ac:dyDescent="0.2">
      <c r="A3086" s="12"/>
      <c r="B3086" s="13"/>
    </row>
    <row r="3087" spans="1:2" x14ac:dyDescent="0.2">
      <c r="A3087" s="12"/>
      <c r="B3087" s="13"/>
    </row>
    <row r="3088" spans="1:2" x14ac:dyDescent="0.2">
      <c r="A3088" s="12"/>
      <c r="B3088" s="13"/>
    </row>
    <row r="3089" spans="1:2" x14ac:dyDescent="0.2">
      <c r="A3089" s="12"/>
      <c r="B3089" s="13"/>
    </row>
    <row r="3090" spans="1:2" x14ac:dyDescent="0.2">
      <c r="A3090" s="12"/>
      <c r="B3090" s="13"/>
    </row>
    <row r="3091" spans="1:2" x14ac:dyDescent="0.2">
      <c r="A3091" s="12"/>
      <c r="B3091" s="13"/>
    </row>
    <row r="3092" spans="1:2" x14ac:dyDescent="0.2">
      <c r="A3092" s="12"/>
      <c r="B3092" s="13"/>
    </row>
    <row r="3093" spans="1:2" x14ac:dyDescent="0.2">
      <c r="A3093" s="12"/>
      <c r="B3093" s="13"/>
    </row>
    <row r="3094" spans="1:2" x14ac:dyDescent="0.2">
      <c r="A3094" s="12"/>
      <c r="B3094" s="13"/>
    </row>
    <row r="3095" spans="1:2" x14ac:dyDescent="0.2">
      <c r="A3095" s="12"/>
      <c r="B3095" s="13"/>
    </row>
    <row r="3096" spans="1:2" x14ac:dyDescent="0.2">
      <c r="A3096" s="12"/>
      <c r="B3096" s="13"/>
    </row>
    <row r="3097" spans="1:2" x14ac:dyDescent="0.2">
      <c r="A3097" s="12"/>
      <c r="B3097" s="13"/>
    </row>
    <row r="3098" spans="1:2" x14ac:dyDescent="0.2">
      <c r="A3098" s="12"/>
      <c r="B3098" s="13"/>
    </row>
    <row r="3099" spans="1:2" x14ac:dyDescent="0.2">
      <c r="A3099" s="12"/>
      <c r="B3099" s="13"/>
    </row>
    <row r="3100" spans="1:2" x14ac:dyDescent="0.2">
      <c r="A3100" s="12"/>
      <c r="B3100" s="13"/>
    </row>
    <row r="3101" spans="1:2" x14ac:dyDescent="0.2">
      <c r="A3101" s="12"/>
      <c r="B3101" s="13"/>
    </row>
    <row r="3102" spans="1:2" x14ac:dyDescent="0.2">
      <c r="A3102" s="12"/>
      <c r="B3102" s="13"/>
    </row>
    <row r="3103" spans="1:2" x14ac:dyDescent="0.2">
      <c r="A3103" s="12"/>
      <c r="B3103" s="13"/>
    </row>
    <row r="3104" spans="1:2" x14ac:dyDescent="0.2">
      <c r="A3104" s="12"/>
      <c r="B3104" s="13"/>
    </row>
    <row r="3105" spans="1:2" x14ac:dyDescent="0.2">
      <c r="A3105" s="12"/>
      <c r="B3105" s="13"/>
    </row>
    <row r="3106" spans="1:2" x14ac:dyDescent="0.2">
      <c r="A3106" s="12"/>
      <c r="B3106" s="13"/>
    </row>
    <row r="3107" spans="1:2" x14ac:dyDescent="0.2">
      <c r="A3107" s="12"/>
      <c r="B3107" s="13"/>
    </row>
    <row r="3108" spans="1:2" x14ac:dyDescent="0.2">
      <c r="A3108" s="12"/>
      <c r="B3108" s="13"/>
    </row>
    <row r="3109" spans="1:2" x14ac:dyDescent="0.2">
      <c r="A3109" s="12"/>
      <c r="B3109" s="13"/>
    </row>
    <row r="3110" spans="1:2" x14ac:dyDescent="0.2">
      <c r="A3110" s="12"/>
      <c r="B3110" s="13"/>
    </row>
    <row r="3111" spans="1:2" x14ac:dyDescent="0.2">
      <c r="A3111" s="12"/>
      <c r="B3111" s="13"/>
    </row>
    <row r="3112" spans="1:2" x14ac:dyDescent="0.2">
      <c r="A3112" s="12"/>
      <c r="B3112" s="13"/>
    </row>
    <row r="3113" spans="1:2" x14ac:dyDescent="0.2">
      <c r="A3113" s="12"/>
      <c r="B3113" s="13"/>
    </row>
    <row r="3114" spans="1:2" x14ac:dyDescent="0.2">
      <c r="A3114" s="12"/>
      <c r="B3114" s="13"/>
    </row>
    <row r="3115" spans="1:2" x14ac:dyDescent="0.2">
      <c r="A3115" s="12"/>
      <c r="B3115" s="13"/>
    </row>
    <row r="3116" spans="1:2" x14ac:dyDescent="0.2">
      <c r="A3116" s="12"/>
      <c r="B3116" s="13"/>
    </row>
    <row r="3117" spans="1:2" x14ac:dyDescent="0.2">
      <c r="A3117" s="12"/>
      <c r="B3117" s="13"/>
    </row>
    <row r="3118" spans="1:2" x14ac:dyDescent="0.2">
      <c r="A3118" s="12"/>
      <c r="B3118" s="13"/>
    </row>
    <row r="3119" spans="1:2" x14ac:dyDescent="0.2">
      <c r="A3119" s="12"/>
      <c r="B3119" s="13"/>
    </row>
    <row r="3120" spans="1:2" x14ac:dyDescent="0.2">
      <c r="A3120" s="12"/>
      <c r="B3120" s="13"/>
    </row>
    <row r="3121" spans="1:2" x14ac:dyDescent="0.2">
      <c r="A3121" s="12"/>
      <c r="B3121" s="13"/>
    </row>
    <row r="3122" spans="1:2" x14ac:dyDescent="0.2">
      <c r="A3122" s="12"/>
      <c r="B3122" s="13"/>
    </row>
    <row r="3123" spans="1:2" x14ac:dyDescent="0.2">
      <c r="A3123" s="12"/>
      <c r="B3123" s="13"/>
    </row>
    <row r="3124" spans="1:2" x14ac:dyDescent="0.2">
      <c r="A3124" s="12"/>
      <c r="B3124" s="13"/>
    </row>
    <row r="3125" spans="1:2" x14ac:dyDescent="0.2">
      <c r="A3125" s="12"/>
      <c r="B3125" s="13"/>
    </row>
    <row r="3126" spans="1:2" x14ac:dyDescent="0.2">
      <c r="A3126" s="12"/>
      <c r="B3126" s="13"/>
    </row>
    <row r="3127" spans="1:2" x14ac:dyDescent="0.2">
      <c r="A3127" s="12"/>
      <c r="B3127" s="13"/>
    </row>
    <row r="3128" spans="1:2" x14ac:dyDescent="0.2">
      <c r="A3128" s="12"/>
      <c r="B3128" s="13"/>
    </row>
    <row r="3129" spans="1:2" x14ac:dyDescent="0.2">
      <c r="A3129" s="12"/>
      <c r="B3129" s="13"/>
    </row>
    <row r="3130" spans="1:2" x14ac:dyDescent="0.2">
      <c r="A3130" s="12"/>
      <c r="B3130" s="13"/>
    </row>
    <row r="3131" spans="1:2" x14ac:dyDescent="0.2">
      <c r="A3131" s="12"/>
      <c r="B3131" s="13"/>
    </row>
    <row r="3132" spans="1:2" x14ac:dyDescent="0.2">
      <c r="A3132" s="12"/>
      <c r="B3132" s="13"/>
    </row>
    <row r="3133" spans="1:2" x14ac:dyDescent="0.2">
      <c r="A3133" s="12"/>
      <c r="B3133" s="13"/>
    </row>
    <row r="3134" spans="1:2" x14ac:dyDescent="0.2">
      <c r="A3134" s="12"/>
      <c r="B3134" s="13"/>
    </row>
    <row r="3135" spans="1:2" x14ac:dyDescent="0.2">
      <c r="A3135" s="12"/>
      <c r="B3135" s="13"/>
    </row>
    <row r="3136" spans="1:2" x14ac:dyDescent="0.2">
      <c r="A3136" s="12"/>
      <c r="B3136" s="13"/>
    </row>
    <row r="3137" spans="1:2" x14ac:dyDescent="0.2">
      <c r="A3137" s="12"/>
      <c r="B3137" s="13"/>
    </row>
    <row r="3138" spans="1:2" x14ac:dyDescent="0.2">
      <c r="A3138" s="12"/>
      <c r="B3138" s="13"/>
    </row>
    <row r="3139" spans="1:2" x14ac:dyDescent="0.2">
      <c r="A3139" s="12"/>
      <c r="B3139" s="13"/>
    </row>
    <row r="3140" spans="1:2" x14ac:dyDescent="0.2">
      <c r="A3140" s="12"/>
      <c r="B3140" s="13"/>
    </row>
    <row r="3141" spans="1:2" x14ac:dyDescent="0.2">
      <c r="A3141" s="12"/>
      <c r="B3141" s="13"/>
    </row>
    <row r="3142" spans="1:2" x14ac:dyDescent="0.2">
      <c r="A3142" s="12"/>
      <c r="B3142" s="13"/>
    </row>
    <row r="3143" spans="1:2" x14ac:dyDescent="0.2">
      <c r="A3143" s="12"/>
      <c r="B3143" s="13"/>
    </row>
    <row r="3144" spans="1:2" x14ac:dyDescent="0.2">
      <c r="A3144" s="12"/>
      <c r="B3144" s="13"/>
    </row>
    <row r="3145" spans="1:2" x14ac:dyDescent="0.2">
      <c r="A3145" s="12"/>
      <c r="B3145" s="13"/>
    </row>
    <row r="3146" spans="1:2" x14ac:dyDescent="0.2">
      <c r="A3146" s="12"/>
      <c r="B3146" s="13"/>
    </row>
    <row r="3147" spans="1:2" x14ac:dyDescent="0.2">
      <c r="A3147" s="12"/>
      <c r="B3147" s="13"/>
    </row>
    <row r="3148" spans="1:2" x14ac:dyDescent="0.2">
      <c r="A3148" s="12"/>
      <c r="B3148" s="13"/>
    </row>
    <row r="3149" spans="1:2" x14ac:dyDescent="0.2">
      <c r="A3149" s="12"/>
      <c r="B3149" s="13"/>
    </row>
    <row r="3150" spans="1:2" x14ac:dyDescent="0.2">
      <c r="A3150" s="12"/>
      <c r="B3150" s="13"/>
    </row>
    <row r="3151" spans="1:2" x14ac:dyDescent="0.2">
      <c r="A3151" s="12"/>
      <c r="B3151" s="13"/>
    </row>
    <row r="3152" spans="1:2" x14ac:dyDescent="0.2">
      <c r="A3152" s="12"/>
      <c r="B3152" s="13"/>
    </row>
    <row r="3153" spans="1:2" x14ac:dyDescent="0.2">
      <c r="A3153" s="12"/>
      <c r="B3153" s="13"/>
    </row>
    <row r="3154" spans="1:2" x14ac:dyDescent="0.2">
      <c r="A3154" s="12"/>
      <c r="B3154" s="13"/>
    </row>
    <row r="3155" spans="1:2" x14ac:dyDescent="0.2">
      <c r="A3155" s="12"/>
      <c r="B3155" s="13"/>
    </row>
    <row r="3156" spans="1:2" x14ac:dyDescent="0.2">
      <c r="A3156" s="12"/>
      <c r="B3156" s="13"/>
    </row>
    <row r="3157" spans="1:2" x14ac:dyDescent="0.2">
      <c r="A3157" s="12"/>
      <c r="B3157" s="13"/>
    </row>
    <row r="3158" spans="1:2" x14ac:dyDescent="0.2">
      <c r="A3158" s="12"/>
      <c r="B3158" s="13"/>
    </row>
    <row r="3159" spans="1:2" x14ac:dyDescent="0.2">
      <c r="A3159" s="12"/>
      <c r="B3159" s="13"/>
    </row>
    <row r="3160" spans="1:2" x14ac:dyDescent="0.2">
      <c r="A3160" s="12"/>
      <c r="B3160" s="13"/>
    </row>
    <row r="3161" spans="1:2" x14ac:dyDescent="0.2">
      <c r="A3161" s="12"/>
      <c r="B3161" s="13"/>
    </row>
    <row r="3162" spans="1:2" x14ac:dyDescent="0.2">
      <c r="A3162" s="12"/>
      <c r="B3162" s="13"/>
    </row>
    <row r="3163" spans="1:2" x14ac:dyDescent="0.2">
      <c r="A3163" s="12"/>
      <c r="B3163" s="13"/>
    </row>
    <row r="3164" spans="1:2" x14ac:dyDescent="0.2">
      <c r="A3164" s="12"/>
      <c r="B3164" s="13"/>
    </row>
    <row r="3165" spans="1:2" x14ac:dyDescent="0.2">
      <c r="A3165" s="12"/>
      <c r="B3165" s="13"/>
    </row>
    <row r="3166" spans="1:2" x14ac:dyDescent="0.2">
      <c r="A3166" s="12"/>
      <c r="B3166" s="13"/>
    </row>
    <row r="3167" spans="1:2" x14ac:dyDescent="0.2">
      <c r="A3167" s="12"/>
      <c r="B3167" s="13"/>
    </row>
    <row r="3168" spans="1:2" x14ac:dyDescent="0.2">
      <c r="A3168" s="12"/>
      <c r="B3168" s="13"/>
    </row>
    <row r="3169" spans="1:2" x14ac:dyDescent="0.2">
      <c r="A3169" s="12"/>
      <c r="B3169" s="13"/>
    </row>
    <row r="3170" spans="1:2" x14ac:dyDescent="0.2">
      <c r="A3170" s="12"/>
      <c r="B3170" s="13"/>
    </row>
    <row r="3171" spans="1:2" x14ac:dyDescent="0.2">
      <c r="A3171" s="12"/>
      <c r="B3171" s="13"/>
    </row>
    <row r="3172" spans="1:2" x14ac:dyDescent="0.2">
      <c r="A3172" s="12"/>
      <c r="B3172" s="13"/>
    </row>
    <row r="3173" spans="1:2" x14ac:dyDescent="0.2">
      <c r="A3173" s="12"/>
      <c r="B3173" s="13"/>
    </row>
    <row r="3174" spans="1:2" x14ac:dyDescent="0.2">
      <c r="A3174" s="12"/>
      <c r="B3174" s="13"/>
    </row>
    <row r="3175" spans="1:2" x14ac:dyDescent="0.2">
      <c r="A3175" s="12"/>
      <c r="B3175" s="13"/>
    </row>
    <row r="3176" spans="1:2" x14ac:dyDescent="0.2">
      <c r="A3176" s="12"/>
      <c r="B3176" s="13"/>
    </row>
    <row r="3177" spans="1:2" x14ac:dyDescent="0.2">
      <c r="A3177" s="12"/>
      <c r="B3177" s="13"/>
    </row>
    <row r="3178" spans="1:2" x14ac:dyDescent="0.2">
      <c r="A3178" s="12"/>
      <c r="B3178" s="13"/>
    </row>
    <row r="3179" spans="1:2" x14ac:dyDescent="0.2">
      <c r="A3179" s="12"/>
      <c r="B3179" s="13"/>
    </row>
    <row r="3180" spans="1:2" x14ac:dyDescent="0.2">
      <c r="A3180" s="12"/>
      <c r="B3180" s="13"/>
    </row>
    <row r="3181" spans="1:2" x14ac:dyDescent="0.2">
      <c r="A3181" s="12"/>
      <c r="B3181" s="13"/>
    </row>
    <row r="3182" spans="1:2" x14ac:dyDescent="0.2">
      <c r="A3182" s="12"/>
      <c r="B3182" s="13"/>
    </row>
    <row r="3183" spans="1:2" x14ac:dyDescent="0.2">
      <c r="A3183" s="12"/>
      <c r="B3183" s="13"/>
    </row>
    <row r="3184" spans="1:2" x14ac:dyDescent="0.2">
      <c r="A3184" s="12"/>
      <c r="B3184" s="13"/>
    </row>
    <row r="3185" spans="1:2" x14ac:dyDescent="0.2">
      <c r="A3185" s="12"/>
      <c r="B3185" s="13"/>
    </row>
    <row r="3186" spans="1:2" x14ac:dyDescent="0.2">
      <c r="A3186" s="12"/>
      <c r="B3186" s="13"/>
    </row>
    <row r="3187" spans="1:2" x14ac:dyDescent="0.2">
      <c r="A3187" s="12"/>
      <c r="B3187" s="13"/>
    </row>
    <row r="3188" spans="1:2" x14ac:dyDescent="0.2">
      <c r="A3188" s="12"/>
      <c r="B3188" s="13"/>
    </row>
    <row r="3189" spans="1:2" x14ac:dyDescent="0.2">
      <c r="A3189" s="12"/>
      <c r="B3189" s="13"/>
    </row>
    <row r="3190" spans="1:2" x14ac:dyDescent="0.2">
      <c r="A3190" s="12"/>
      <c r="B3190" s="13"/>
    </row>
    <row r="3191" spans="1:2" x14ac:dyDescent="0.2">
      <c r="A3191" s="12"/>
      <c r="B3191" s="13"/>
    </row>
    <row r="3192" spans="1:2" x14ac:dyDescent="0.2">
      <c r="A3192" s="12"/>
      <c r="B3192" s="13"/>
    </row>
    <row r="3193" spans="1:2" x14ac:dyDescent="0.2">
      <c r="A3193" s="12"/>
      <c r="B3193" s="13"/>
    </row>
    <row r="3194" spans="1:2" x14ac:dyDescent="0.2">
      <c r="A3194" s="12"/>
      <c r="B3194" s="13"/>
    </row>
    <row r="3195" spans="1:2" x14ac:dyDescent="0.2">
      <c r="A3195" s="12"/>
      <c r="B3195" s="13"/>
    </row>
    <row r="3196" spans="1:2" x14ac:dyDescent="0.2">
      <c r="A3196" s="12"/>
      <c r="B3196" s="13"/>
    </row>
    <row r="3197" spans="1:2" x14ac:dyDescent="0.2">
      <c r="A3197" s="12"/>
      <c r="B3197" s="13"/>
    </row>
    <row r="3198" spans="1:2" x14ac:dyDescent="0.2">
      <c r="A3198" s="12"/>
      <c r="B3198" s="13"/>
    </row>
    <row r="3199" spans="1:2" x14ac:dyDescent="0.2">
      <c r="A3199" s="12"/>
      <c r="B3199" s="13"/>
    </row>
    <row r="3200" spans="1:2" x14ac:dyDescent="0.2">
      <c r="A3200" s="12"/>
      <c r="B3200" s="13"/>
    </row>
    <row r="3201" spans="1:2" x14ac:dyDescent="0.2">
      <c r="A3201" s="12"/>
      <c r="B3201" s="13"/>
    </row>
    <row r="3202" spans="1:2" x14ac:dyDescent="0.2">
      <c r="A3202" s="12"/>
      <c r="B3202" s="13"/>
    </row>
    <row r="3203" spans="1:2" x14ac:dyDescent="0.2">
      <c r="A3203" s="12"/>
      <c r="B3203" s="13"/>
    </row>
    <row r="3204" spans="1:2" x14ac:dyDescent="0.2">
      <c r="A3204" s="12"/>
      <c r="B3204" s="13"/>
    </row>
    <row r="3205" spans="1:2" x14ac:dyDescent="0.2">
      <c r="A3205" s="12"/>
      <c r="B3205" s="13"/>
    </row>
    <row r="3206" spans="1:2" x14ac:dyDescent="0.2">
      <c r="A3206" s="12"/>
      <c r="B3206" s="13"/>
    </row>
    <row r="3207" spans="1:2" x14ac:dyDescent="0.2">
      <c r="A3207" s="12"/>
      <c r="B3207" s="13"/>
    </row>
    <row r="3208" spans="1:2" x14ac:dyDescent="0.2">
      <c r="A3208" s="12"/>
      <c r="B3208" s="13"/>
    </row>
    <row r="3209" spans="1:2" x14ac:dyDescent="0.2">
      <c r="A3209" s="12"/>
      <c r="B3209" s="13"/>
    </row>
    <row r="3210" spans="1:2" x14ac:dyDescent="0.2">
      <c r="A3210" s="12"/>
      <c r="B3210" s="13"/>
    </row>
    <row r="3211" spans="1:2" x14ac:dyDescent="0.2">
      <c r="A3211" s="12"/>
      <c r="B3211" s="13"/>
    </row>
    <row r="3212" spans="1:2" x14ac:dyDescent="0.2">
      <c r="A3212" s="12"/>
      <c r="B3212" s="13"/>
    </row>
    <row r="3213" spans="1:2" x14ac:dyDescent="0.2">
      <c r="A3213" s="12"/>
      <c r="B3213" s="13"/>
    </row>
    <row r="3214" spans="1:2" x14ac:dyDescent="0.2">
      <c r="A3214" s="12"/>
      <c r="B3214" s="13"/>
    </row>
    <row r="3215" spans="1:2" x14ac:dyDescent="0.2">
      <c r="A3215" s="12"/>
      <c r="B3215" s="13"/>
    </row>
    <row r="3216" spans="1:2" x14ac:dyDescent="0.2">
      <c r="A3216" s="12"/>
      <c r="B3216" s="13"/>
    </row>
    <row r="3217" spans="1:2" x14ac:dyDescent="0.2">
      <c r="A3217" s="12"/>
      <c r="B3217" s="13"/>
    </row>
    <row r="3218" spans="1:2" x14ac:dyDescent="0.2">
      <c r="A3218" s="12"/>
      <c r="B3218" s="13"/>
    </row>
    <row r="3219" spans="1:2" x14ac:dyDescent="0.2">
      <c r="A3219" s="12"/>
      <c r="B3219" s="13"/>
    </row>
    <row r="3220" spans="1:2" x14ac:dyDescent="0.2">
      <c r="A3220" s="12"/>
      <c r="B3220" s="13"/>
    </row>
    <row r="3221" spans="1:2" x14ac:dyDescent="0.2">
      <c r="A3221" s="12"/>
      <c r="B3221" s="13"/>
    </row>
    <row r="3222" spans="1:2" x14ac:dyDescent="0.2">
      <c r="A3222" s="12"/>
      <c r="B3222" s="13"/>
    </row>
    <row r="3223" spans="1:2" x14ac:dyDescent="0.2">
      <c r="A3223" s="12"/>
      <c r="B3223" s="13"/>
    </row>
    <row r="3224" spans="1:2" x14ac:dyDescent="0.2">
      <c r="A3224" s="12"/>
      <c r="B3224" s="13"/>
    </row>
    <row r="3225" spans="1:2" x14ac:dyDescent="0.2">
      <c r="A3225" s="12"/>
      <c r="B3225" s="13"/>
    </row>
    <row r="3226" spans="1:2" x14ac:dyDescent="0.2">
      <c r="A3226" s="12"/>
      <c r="B3226" s="13"/>
    </row>
    <row r="3227" spans="1:2" x14ac:dyDescent="0.2">
      <c r="A3227" s="12"/>
      <c r="B3227" s="13"/>
    </row>
    <row r="3228" spans="1:2" x14ac:dyDescent="0.2">
      <c r="A3228" s="12"/>
      <c r="B3228" s="13"/>
    </row>
    <row r="3229" spans="1:2" x14ac:dyDescent="0.2">
      <c r="A3229" s="12"/>
      <c r="B3229" s="13"/>
    </row>
    <row r="3230" spans="1:2" x14ac:dyDescent="0.2">
      <c r="A3230" s="12"/>
      <c r="B3230" s="13"/>
    </row>
    <row r="3231" spans="1:2" x14ac:dyDescent="0.2">
      <c r="A3231" s="12"/>
      <c r="B3231" s="13"/>
    </row>
    <row r="3232" spans="1:2" x14ac:dyDescent="0.2">
      <c r="A3232" s="12"/>
      <c r="B3232" s="13"/>
    </row>
    <row r="3233" spans="1:2" x14ac:dyDescent="0.2">
      <c r="A3233" s="12"/>
      <c r="B3233" s="13"/>
    </row>
    <row r="3234" spans="1:2" x14ac:dyDescent="0.2">
      <c r="A3234" s="12"/>
      <c r="B3234" s="13"/>
    </row>
    <row r="3235" spans="1:2" x14ac:dyDescent="0.2">
      <c r="A3235" s="12"/>
      <c r="B3235" s="13"/>
    </row>
    <row r="3236" spans="1:2" x14ac:dyDescent="0.2">
      <c r="A3236" s="12"/>
      <c r="B3236" s="13"/>
    </row>
    <row r="3237" spans="1:2" x14ac:dyDescent="0.2">
      <c r="A3237" s="12"/>
      <c r="B3237" s="13"/>
    </row>
    <row r="3238" spans="1:2" x14ac:dyDescent="0.2">
      <c r="A3238" s="12"/>
      <c r="B3238" s="13"/>
    </row>
    <row r="3239" spans="1:2" x14ac:dyDescent="0.2">
      <c r="A3239" s="12"/>
      <c r="B3239" s="13"/>
    </row>
    <row r="3240" spans="1:2" x14ac:dyDescent="0.2">
      <c r="A3240" s="12"/>
      <c r="B3240" s="13"/>
    </row>
    <row r="3241" spans="1:2" x14ac:dyDescent="0.2">
      <c r="A3241" s="12"/>
      <c r="B3241" s="13"/>
    </row>
    <row r="3242" spans="1:2" x14ac:dyDescent="0.2">
      <c r="A3242" s="12"/>
      <c r="B3242" s="13"/>
    </row>
    <row r="3243" spans="1:2" x14ac:dyDescent="0.2">
      <c r="A3243" s="12"/>
      <c r="B3243" s="13"/>
    </row>
    <row r="3244" spans="1:2" x14ac:dyDescent="0.2">
      <c r="A3244" s="12"/>
      <c r="B3244" s="13"/>
    </row>
    <row r="3245" spans="1:2" x14ac:dyDescent="0.2">
      <c r="A3245" s="12"/>
      <c r="B3245" s="13"/>
    </row>
    <row r="3246" spans="1:2" x14ac:dyDescent="0.2">
      <c r="A3246" s="12"/>
      <c r="B3246" s="13"/>
    </row>
    <row r="3247" spans="1:2" x14ac:dyDescent="0.2">
      <c r="A3247" s="12"/>
      <c r="B3247" s="13"/>
    </row>
    <row r="3248" spans="1:2" x14ac:dyDescent="0.2">
      <c r="A3248" s="12"/>
      <c r="B3248" s="13"/>
    </row>
    <row r="3249" spans="1:2" x14ac:dyDescent="0.2">
      <c r="A3249" s="12"/>
      <c r="B3249" s="13"/>
    </row>
    <row r="3250" spans="1:2" x14ac:dyDescent="0.2">
      <c r="A3250" s="12"/>
      <c r="B3250" s="13"/>
    </row>
    <row r="3251" spans="1:2" x14ac:dyDescent="0.2">
      <c r="A3251" s="12"/>
      <c r="B3251" s="13"/>
    </row>
    <row r="3252" spans="1:2" x14ac:dyDescent="0.2">
      <c r="A3252" s="12"/>
      <c r="B3252" s="13"/>
    </row>
    <row r="3253" spans="1:2" x14ac:dyDescent="0.2">
      <c r="A3253" s="12"/>
      <c r="B3253" s="13"/>
    </row>
    <row r="3254" spans="1:2" x14ac:dyDescent="0.2">
      <c r="A3254" s="12"/>
      <c r="B3254" s="13"/>
    </row>
    <row r="3255" spans="1:2" x14ac:dyDescent="0.2">
      <c r="A3255" s="12"/>
      <c r="B3255" s="13"/>
    </row>
    <row r="3256" spans="1:2" x14ac:dyDescent="0.2">
      <c r="A3256" s="12"/>
      <c r="B3256" s="13"/>
    </row>
    <row r="3257" spans="1:2" x14ac:dyDescent="0.2">
      <c r="A3257" s="12"/>
      <c r="B3257" s="13"/>
    </row>
    <row r="3258" spans="1:2" x14ac:dyDescent="0.2">
      <c r="A3258" s="12"/>
      <c r="B3258" s="13"/>
    </row>
    <row r="3259" spans="1:2" x14ac:dyDescent="0.2">
      <c r="A3259" s="12"/>
      <c r="B3259" s="13"/>
    </row>
    <row r="3260" spans="1:2" x14ac:dyDescent="0.2">
      <c r="A3260" s="12"/>
      <c r="B3260" s="13"/>
    </row>
    <row r="3261" spans="1:2" x14ac:dyDescent="0.2">
      <c r="A3261" s="12"/>
      <c r="B3261" s="13"/>
    </row>
    <row r="3262" spans="1:2" x14ac:dyDescent="0.2">
      <c r="A3262" s="12"/>
      <c r="B3262" s="13"/>
    </row>
    <row r="3263" spans="1:2" x14ac:dyDescent="0.2">
      <c r="A3263" s="12"/>
      <c r="B3263" s="13"/>
    </row>
    <row r="3264" spans="1:2" x14ac:dyDescent="0.2">
      <c r="A3264" s="12"/>
      <c r="B3264" s="13"/>
    </row>
    <row r="3265" spans="1:2" x14ac:dyDescent="0.2">
      <c r="A3265" s="12"/>
      <c r="B3265" s="13"/>
    </row>
    <row r="3266" spans="1:2" x14ac:dyDescent="0.2">
      <c r="A3266" s="12"/>
      <c r="B3266" s="13"/>
    </row>
    <row r="3267" spans="1:2" x14ac:dyDescent="0.2">
      <c r="A3267" s="12"/>
      <c r="B3267" s="13"/>
    </row>
    <row r="3268" spans="1:2" x14ac:dyDescent="0.2">
      <c r="A3268" s="12"/>
      <c r="B3268" s="13"/>
    </row>
    <row r="3269" spans="1:2" x14ac:dyDescent="0.2">
      <c r="A3269" s="12"/>
      <c r="B3269" s="13"/>
    </row>
    <row r="3270" spans="1:2" x14ac:dyDescent="0.2">
      <c r="A3270" s="12"/>
      <c r="B3270" s="13"/>
    </row>
    <row r="3271" spans="1:2" x14ac:dyDescent="0.2">
      <c r="A3271" s="12"/>
      <c r="B3271" s="13"/>
    </row>
    <row r="3272" spans="1:2" x14ac:dyDescent="0.2">
      <c r="A3272" s="12"/>
      <c r="B3272" s="13"/>
    </row>
    <row r="3273" spans="1:2" x14ac:dyDescent="0.2">
      <c r="A3273" s="12"/>
      <c r="B3273" s="13"/>
    </row>
    <row r="3274" spans="1:2" x14ac:dyDescent="0.2">
      <c r="A3274" s="12"/>
      <c r="B3274" s="13"/>
    </row>
    <row r="3275" spans="1:2" x14ac:dyDescent="0.2">
      <c r="A3275" s="12"/>
      <c r="B3275" s="13"/>
    </row>
    <row r="3276" spans="1:2" x14ac:dyDescent="0.2">
      <c r="A3276" s="12"/>
      <c r="B3276" s="13"/>
    </row>
    <row r="3277" spans="1:2" x14ac:dyDescent="0.2">
      <c r="A3277" s="12"/>
      <c r="B3277" s="13"/>
    </row>
    <row r="3278" spans="1:2" x14ac:dyDescent="0.2">
      <c r="A3278" s="12"/>
      <c r="B3278" s="13"/>
    </row>
    <row r="3279" spans="1:2" x14ac:dyDescent="0.2">
      <c r="A3279" s="12"/>
      <c r="B3279" s="13"/>
    </row>
    <row r="3280" spans="1:2" x14ac:dyDescent="0.2">
      <c r="A3280" s="12"/>
      <c r="B3280" s="13"/>
    </row>
    <row r="3281" spans="1:2" x14ac:dyDescent="0.2">
      <c r="A3281" s="12"/>
      <c r="B3281" s="13"/>
    </row>
    <row r="3282" spans="1:2" x14ac:dyDescent="0.2">
      <c r="A3282" s="12"/>
      <c r="B3282" s="13"/>
    </row>
    <row r="3283" spans="1:2" x14ac:dyDescent="0.2">
      <c r="A3283" s="12"/>
      <c r="B3283" s="13"/>
    </row>
    <row r="3284" spans="1:2" x14ac:dyDescent="0.2">
      <c r="A3284" s="12"/>
      <c r="B3284" s="13"/>
    </row>
    <row r="3285" spans="1:2" x14ac:dyDescent="0.2">
      <c r="A3285" s="12"/>
      <c r="B3285" s="13"/>
    </row>
    <row r="3286" spans="1:2" x14ac:dyDescent="0.2">
      <c r="A3286" s="12"/>
      <c r="B3286" s="13"/>
    </row>
    <row r="3287" spans="1:2" x14ac:dyDescent="0.2">
      <c r="A3287" s="12"/>
      <c r="B3287" s="13"/>
    </row>
    <row r="3288" spans="1:2" x14ac:dyDescent="0.2">
      <c r="A3288" s="12"/>
      <c r="B3288" s="13"/>
    </row>
    <row r="3289" spans="1:2" x14ac:dyDescent="0.2">
      <c r="A3289" s="12"/>
      <c r="B3289" s="13"/>
    </row>
    <row r="3290" spans="1:2" x14ac:dyDescent="0.2">
      <c r="A3290" s="12"/>
      <c r="B3290" s="13"/>
    </row>
    <row r="3291" spans="1:2" x14ac:dyDescent="0.2">
      <c r="A3291" s="12"/>
      <c r="B3291" s="13"/>
    </row>
    <row r="3292" spans="1:2" x14ac:dyDescent="0.2">
      <c r="A3292" s="12"/>
      <c r="B3292" s="13"/>
    </row>
    <row r="3293" spans="1:2" x14ac:dyDescent="0.2">
      <c r="A3293" s="12"/>
      <c r="B3293" s="13"/>
    </row>
    <row r="3294" spans="1:2" x14ac:dyDescent="0.2">
      <c r="A3294" s="12"/>
      <c r="B3294" s="13"/>
    </row>
    <row r="3295" spans="1:2" x14ac:dyDescent="0.2">
      <c r="A3295" s="12"/>
      <c r="B3295" s="13"/>
    </row>
    <row r="3296" spans="1:2" x14ac:dyDescent="0.2">
      <c r="A3296" s="12"/>
      <c r="B3296" s="13"/>
    </row>
    <row r="3297" spans="1:2" x14ac:dyDescent="0.2">
      <c r="A3297" s="12"/>
      <c r="B3297" s="13"/>
    </row>
    <row r="3298" spans="1:2" x14ac:dyDescent="0.2">
      <c r="A3298" s="12"/>
      <c r="B3298" s="13"/>
    </row>
    <row r="3299" spans="1:2" x14ac:dyDescent="0.2">
      <c r="A3299" s="12"/>
      <c r="B3299" s="13"/>
    </row>
    <row r="3300" spans="1:2" x14ac:dyDescent="0.2">
      <c r="A3300" s="12"/>
      <c r="B3300" s="13"/>
    </row>
    <row r="3301" spans="1:2" x14ac:dyDescent="0.2">
      <c r="A3301" s="12"/>
      <c r="B3301" s="13"/>
    </row>
    <row r="3302" spans="1:2" x14ac:dyDescent="0.2">
      <c r="A3302" s="12"/>
      <c r="B3302" s="13"/>
    </row>
    <row r="3303" spans="1:2" x14ac:dyDescent="0.2">
      <c r="A3303" s="12"/>
      <c r="B3303" s="13"/>
    </row>
    <row r="3304" spans="1:2" x14ac:dyDescent="0.2">
      <c r="A3304" s="12"/>
      <c r="B3304" s="13"/>
    </row>
    <row r="3305" spans="1:2" x14ac:dyDescent="0.2">
      <c r="A3305" s="12"/>
      <c r="B3305" s="13"/>
    </row>
    <row r="3306" spans="1:2" x14ac:dyDescent="0.2">
      <c r="A3306" s="12"/>
      <c r="B3306" s="13"/>
    </row>
    <row r="3307" spans="1:2" x14ac:dyDescent="0.2">
      <c r="A3307" s="12"/>
      <c r="B3307" s="13"/>
    </row>
    <row r="3308" spans="1:2" x14ac:dyDescent="0.2">
      <c r="A3308" s="12"/>
      <c r="B3308" s="13"/>
    </row>
    <row r="3309" spans="1:2" x14ac:dyDescent="0.2">
      <c r="A3309" s="12"/>
      <c r="B3309" s="13"/>
    </row>
    <row r="3310" spans="1:2" x14ac:dyDescent="0.2">
      <c r="A3310" s="12"/>
      <c r="B3310" s="13"/>
    </row>
    <row r="3311" spans="1:2" x14ac:dyDescent="0.2">
      <c r="A3311" s="12"/>
      <c r="B3311" s="13"/>
    </row>
    <row r="3312" spans="1:2" x14ac:dyDescent="0.2">
      <c r="A3312" s="12"/>
      <c r="B3312" s="13"/>
    </row>
    <row r="3313" spans="1:2" x14ac:dyDescent="0.2">
      <c r="A3313" s="12"/>
      <c r="B3313" s="13"/>
    </row>
    <row r="3314" spans="1:2" x14ac:dyDescent="0.2">
      <c r="A3314" s="12"/>
      <c r="B3314" s="13"/>
    </row>
    <row r="3315" spans="1:2" x14ac:dyDescent="0.2">
      <c r="A3315" s="12"/>
      <c r="B3315" s="13"/>
    </row>
    <row r="3316" spans="1:2" x14ac:dyDescent="0.2">
      <c r="A3316" s="12"/>
      <c r="B3316" s="13"/>
    </row>
    <row r="3317" spans="1:2" x14ac:dyDescent="0.2">
      <c r="A3317" s="12"/>
      <c r="B3317" s="13"/>
    </row>
    <row r="3318" spans="1:2" x14ac:dyDescent="0.2">
      <c r="A3318" s="12"/>
      <c r="B3318" s="13"/>
    </row>
    <row r="3319" spans="1:2" x14ac:dyDescent="0.2">
      <c r="A3319" s="12"/>
      <c r="B3319" s="13"/>
    </row>
    <row r="3320" spans="1:2" x14ac:dyDescent="0.2">
      <c r="A3320" s="12"/>
      <c r="B3320" s="13"/>
    </row>
    <row r="3321" spans="1:2" x14ac:dyDescent="0.2">
      <c r="A3321" s="12"/>
      <c r="B3321" s="13"/>
    </row>
    <row r="3322" spans="1:2" x14ac:dyDescent="0.2">
      <c r="A3322" s="12"/>
      <c r="B3322" s="13"/>
    </row>
    <row r="3323" spans="1:2" x14ac:dyDescent="0.2">
      <c r="A3323" s="12"/>
      <c r="B3323" s="13"/>
    </row>
    <row r="3324" spans="1:2" x14ac:dyDescent="0.2">
      <c r="A3324" s="12"/>
      <c r="B3324" s="13"/>
    </row>
    <row r="3325" spans="1:2" x14ac:dyDescent="0.2">
      <c r="A3325" s="12"/>
      <c r="B3325" s="13"/>
    </row>
    <row r="3326" spans="1:2" x14ac:dyDescent="0.2">
      <c r="A3326" s="12"/>
      <c r="B3326" s="13"/>
    </row>
    <row r="3327" spans="1:2" x14ac:dyDescent="0.2">
      <c r="A3327" s="12"/>
      <c r="B3327" s="13"/>
    </row>
    <row r="3328" spans="1:2" x14ac:dyDescent="0.2">
      <c r="A3328" s="12"/>
      <c r="B3328" s="13"/>
    </row>
    <row r="3329" spans="1:2" x14ac:dyDescent="0.2">
      <c r="A3329" s="12"/>
      <c r="B3329" s="13"/>
    </row>
    <row r="3330" spans="1:2" x14ac:dyDescent="0.2">
      <c r="A3330" s="12"/>
      <c r="B3330" s="13"/>
    </row>
    <row r="3331" spans="1:2" x14ac:dyDescent="0.2">
      <c r="A3331" s="12"/>
      <c r="B3331" s="13"/>
    </row>
    <row r="3332" spans="1:2" x14ac:dyDescent="0.2">
      <c r="A3332" s="12"/>
      <c r="B3332" s="13"/>
    </row>
    <row r="3333" spans="1:2" x14ac:dyDescent="0.2">
      <c r="A3333" s="12"/>
      <c r="B3333" s="13"/>
    </row>
    <row r="3334" spans="1:2" x14ac:dyDescent="0.2">
      <c r="A3334" s="12"/>
      <c r="B3334" s="13"/>
    </row>
    <row r="3335" spans="1:2" x14ac:dyDescent="0.2">
      <c r="A3335" s="12"/>
      <c r="B3335" s="13"/>
    </row>
    <row r="3336" spans="1:2" x14ac:dyDescent="0.2">
      <c r="A3336" s="12"/>
      <c r="B3336" s="13"/>
    </row>
    <row r="3337" spans="1:2" x14ac:dyDescent="0.2">
      <c r="A3337" s="12"/>
      <c r="B3337" s="13"/>
    </row>
    <row r="3338" spans="1:2" x14ac:dyDescent="0.2">
      <c r="A3338" s="12"/>
      <c r="B3338" s="13"/>
    </row>
    <row r="3339" spans="1:2" x14ac:dyDescent="0.2">
      <c r="A3339" s="12"/>
      <c r="B3339" s="13"/>
    </row>
    <row r="3340" spans="1:2" x14ac:dyDescent="0.2">
      <c r="A3340" s="12"/>
      <c r="B3340" s="13"/>
    </row>
    <row r="3341" spans="1:2" x14ac:dyDescent="0.2">
      <c r="A3341" s="12"/>
      <c r="B3341" s="13"/>
    </row>
    <row r="3342" spans="1:2" x14ac:dyDescent="0.2">
      <c r="A3342" s="12"/>
      <c r="B3342" s="13"/>
    </row>
    <row r="3343" spans="1:2" x14ac:dyDescent="0.2">
      <c r="A3343" s="12"/>
      <c r="B3343" s="13"/>
    </row>
    <row r="3344" spans="1:2" x14ac:dyDescent="0.2">
      <c r="A3344" s="12"/>
      <c r="B3344" s="13"/>
    </row>
    <row r="3345" spans="1:2" x14ac:dyDescent="0.2">
      <c r="A3345" s="12"/>
      <c r="B3345" s="13"/>
    </row>
    <row r="3346" spans="1:2" x14ac:dyDescent="0.2">
      <c r="A3346" s="12"/>
      <c r="B3346" s="13"/>
    </row>
    <row r="3347" spans="1:2" x14ac:dyDescent="0.2">
      <c r="A3347" s="12"/>
      <c r="B3347" s="13"/>
    </row>
    <row r="3348" spans="1:2" x14ac:dyDescent="0.2">
      <c r="A3348" s="12"/>
      <c r="B3348" s="13"/>
    </row>
    <row r="3349" spans="1:2" x14ac:dyDescent="0.2">
      <c r="A3349" s="12"/>
      <c r="B3349" s="13"/>
    </row>
    <row r="3350" spans="1:2" x14ac:dyDescent="0.2">
      <c r="A3350" s="12"/>
      <c r="B3350" s="13"/>
    </row>
    <row r="3351" spans="1:2" x14ac:dyDescent="0.2">
      <c r="A3351" s="12"/>
      <c r="B3351" s="13"/>
    </row>
    <row r="3352" spans="1:2" x14ac:dyDescent="0.2">
      <c r="A3352" s="12"/>
      <c r="B3352" s="13"/>
    </row>
    <row r="3353" spans="1:2" x14ac:dyDescent="0.2">
      <c r="A3353" s="12"/>
      <c r="B3353" s="13"/>
    </row>
    <row r="3354" spans="1:2" x14ac:dyDescent="0.2">
      <c r="A3354" s="12"/>
      <c r="B3354" s="13"/>
    </row>
    <row r="3355" spans="1:2" x14ac:dyDescent="0.2">
      <c r="A3355" s="12"/>
      <c r="B3355" s="13"/>
    </row>
    <row r="3356" spans="1:2" x14ac:dyDescent="0.2">
      <c r="A3356" s="12"/>
      <c r="B3356" s="13"/>
    </row>
    <row r="3357" spans="1:2" x14ac:dyDescent="0.2">
      <c r="A3357" s="12"/>
      <c r="B3357" s="13"/>
    </row>
    <row r="3358" spans="1:2" x14ac:dyDescent="0.2">
      <c r="A3358" s="12"/>
      <c r="B3358" s="13"/>
    </row>
    <row r="3359" spans="1:2" x14ac:dyDescent="0.2">
      <c r="A3359" s="12"/>
      <c r="B3359" s="13"/>
    </row>
    <row r="3360" spans="1:2" x14ac:dyDescent="0.2">
      <c r="A3360" s="12"/>
      <c r="B3360" s="13"/>
    </row>
    <row r="3361" spans="1:2" x14ac:dyDescent="0.2">
      <c r="A3361" s="12"/>
      <c r="B3361" s="13"/>
    </row>
    <row r="3362" spans="1:2" x14ac:dyDescent="0.2">
      <c r="A3362" s="12"/>
      <c r="B3362" s="13"/>
    </row>
    <row r="3363" spans="1:2" x14ac:dyDescent="0.2">
      <c r="A3363" s="12"/>
      <c r="B3363" s="13"/>
    </row>
    <row r="3364" spans="1:2" x14ac:dyDescent="0.2">
      <c r="A3364" s="12"/>
      <c r="B3364" s="13"/>
    </row>
    <row r="3365" spans="1:2" x14ac:dyDescent="0.2">
      <c r="A3365" s="12"/>
      <c r="B3365" s="13"/>
    </row>
    <row r="3366" spans="1:2" x14ac:dyDescent="0.2">
      <c r="A3366" s="12"/>
      <c r="B3366" s="13"/>
    </row>
    <row r="3367" spans="1:2" x14ac:dyDescent="0.2">
      <c r="A3367" s="12"/>
      <c r="B3367" s="13"/>
    </row>
    <row r="3368" spans="1:2" x14ac:dyDescent="0.2">
      <c r="A3368" s="12"/>
      <c r="B3368" s="13"/>
    </row>
    <row r="3369" spans="1:2" x14ac:dyDescent="0.2">
      <c r="A3369" s="12"/>
      <c r="B3369" s="13"/>
    </row>
    <row r="3370" spans="1:2" x14ac:dyDescent="0.2">
      <c r="A3370" s="12"/>
      <c r="B3370" s="13"/>
    </row>
    <row r="3371" spans="1:2" x14ac:dyDescent="0.2">
      <c r="A3371" s="12"/>
      <c r="B3371" s="13"/>
    </row>
    <row r="3372" spans="1:2" x14ac:dyDescent="0.2">
      <c r="A3372" s="12"/>
      <c r="B3372" s="13"/>
    </row>
    <row r="3373" spans="1:2" x14ac:dyDescent="0.2">
      <c r="A3373" s="12"/>
      <c r="B3373" s="13"/>
    </row>
    <row r="3374" spans="1:2" x14ac:dyDescent="0.2">
      <c r="A3374" s="12"/>
      <c r="B3374" s="13"/>
    </row>
    <row r="3375" spans="1:2" x14ac:dyDescent="0.2">
      <c r="A3375" s="12"/>
      <c r="B3375" s="13"/>
    </row>
    <row r="3376" spans="1:2" x14ac:dyDescent="0.2">
      <c r="A3376" s="12"/>
      <c r="B3376" s="13"/>
    </row>
    <row r="3377" spans="1:2" x14ac:dyDescent="0.2">
      <c r="A3377" s="12"/>
      <c r="B3377" s="13"/>
    </row>
    <row r="3378" spans="1:2" x14ac:dyDescent="0.2">
      <c r="A3378" s="12"/>
      <c r="B3378" s="13"/>
    </row>
    <row r="3379" spans="1:2" x14ac:dyDescent="0.2">
      <c r="A3379" s="12"/>
      <c r="B3379" s="13"/>
    </row>
    <row r="3380" spans="1:2" x14ac:dyDescent="0.2">
      <c r="A3380" s="12"/>
      <c r="B3380" s="13"/>
    </row>
    <row r="3381" spans="1:2" x14ac:dyDescent="0.2">
      <c r="A3381" s="12"/>
      <c r="B3381" s="13"/>
    </row>
    <row r="3382" spans="1:2" x14ac:dyDescent="0.2">
      <c r="A3382" s="12"/>
      <c r="B3382" s="13"/>
    </row>
    <row r="3383" spans="1:2" x14ac:dyDescent="0.2">
      <c r="A3383" s="12"/>
      <c r="B3383" s="13"/>
    </row>
    <row r="3384" spans="1:2" x14ac:dyDescent="0.2">
      <c r="A3384" s="12"/>
      <c r="B3384" s="13"/>
    </row>
    <row r="3385" spans="1:2" x14ac:dyDescent="0.2">
      <c r="A3385" s="12"/>
      <c r="B3385" s="13"/>
    </row>
    <row r="3386" spans="1:2" x14ac:dyDescent="0.2">
      <c r="A3386" s="12"/>
      <c r="B3386" s="13"/>
    </row>
    <row r="3387" spans="1:2" x14ac:dyDescent="0.2">
      <c r="A3387" s="12"/>
      <c r="B3387" s="13"/>
    </row>
    <row r="3388" spans="1:2" x14ac:dyDescent="0.2">
      <c r="A3388" s="12"/>
      <c r="B3388" s="13"/>
    </row>
    <row r="3389" spans="1:2" x14ac:dyDescent="0.2">
      <c r="A3389" s="12"/>
      <c r="B3389" s="13"/>
    </row>
    <row r="3390" spans="1:2" x14ac:dyDescent="0.2">
      <c r="A3390" s="12"/>
      <c r="B3390" s="13"/>
    </row>
    <row r="3391" spans="1:2" x14ac:dyDescent="0.2">
      <c r="A3391" s="12"/>
      <c r="B3391" s="13"/>
    </row>
    <row r="3392" spans="1:2" x14ac:dyDescent="0.2">
      <c r="A3392" s="12"/>
      <c r="B3392" s="13"/>
    </row>
    <row r="3393" spans="1:2" x14ac:dyDescent="0.2">
      <c r="A3393" s="12"/>
      <c r="B3393" s="13"/>
    </row>
    <row r="3394" spans="1:2" x14ac:dyDescent="0.2">
      <c r="A3394" s="12"/>
      <c r="B3394" s="13"/>
    </row>
    <row r="3395" spans="1:2" x14ac:dyDescent="0.2">
      <c r="A3395" s="12"/>
      <c r="B3395" s="13"/>
    </row>
    <row r="3396" spans="1:2" x14ac:dyDescent="0.2">
      <c r="A3396" s="12"/>
      <c r="B3396" s="13"/>
    </row>
    <row r="3397" spans="1:2" x14ac:dyDescent="0.2">
      <c r="A3397" s="12"/>
      <c r="B3397" s="13"/>
    </row>
    <row r="3398" spans="1:2" x14ac:dyDescent="0.2">
      <c r="A3398" s="12"/>
      <c r="B3398" s="13"/>
    </row>
    <row r="3399" spans="1:2" x14ac:dyDescent="0.2">
      <c r="A3399" s="12"/>
      <c r="B3399" s="13"/>
    </row>
    <row r="3400" spans="1:2" x14ac:dyDescent="0.2">
      <c r="A3400" s="12"/>
      <c r="B3400" s="13"/>
    </row>
    <row r="3401" spans="1:2" x14ac:dyDescent="0.2">
      <c r="A3401" s="12"/>
      <c r="B3401" s="13"/>
    </row>
    <row r="3402" spans="1:2" x14ac:dyDescent="0.2">
      <c r="A3402" s="12"/>
      <c r="B3402" s="13"/>
    </row>
    <row r="3403" spans="1:2" x14ac:dyDescent="0.2">
      <c r="A3403" s="12"/>
      <c r="B3403" s="13"/>
    </row>
    <row r="3404" spans="1:2" x14ac:dyDescent="0.2">
      <c r="A3404" s="12"/>
      <c r="B3404" s="13"/>
    </row>
    <row r="3405" spans="1:2" x14ac:dyDescent="0.2">
      <c r="A3405" s="12"/>
      <c r="B3405" s="13"/>
    </row>
    <row r="3406" spans="1:2" x14ac:dyDescent="0.2">
      <c r="A3406" s="12"/>
      <c r="B3406" s="13"/>
    </row>
    <row r="3407" spans="1:2" x14ac:dyDescent="0.2">
      <c r="A3407" s="12"/>
      <c r="B3407" s="13"/>
    </row>
    <row r="3408" spans="1:2" x14ac:dyDescent="0.2">
      <c r="A3408" s="12"/>
      <c r="B3408" s="13"/>
    </row>
    <row r="3409" spans="1:2" x14ac:dyDescent="0.2">
      <c r="A3409" s="12"/>
      <c r="B3409" s="13"/>
    </row>
    <row r="3410" spans="1:2" x14ac:dyDescent="0.2">
      <c r="A3410" s="12"/>
      <c r="B3410" s="13"/>
    </row>
    <row r="3411" spans="1:2" x14ac:dyDescent="0.2">
      <c r="A3411" s="12"/>
      <c r="B3411" s="13"/>
    </row>
    <row r="3412" spans="1:2" x14ac:dyDescent="0.2">
      <c r="A3412" s="12"/>
      <c r="B3412" s="13"/>
    </row>
    <row r="3413" spans="1:2" x14ac:dyDescent="0.2">
      <c r="A3413" s="12"/>
      <c r="B3413" s="13"/>
    </row>
    <row r="3414" spans="1:2" x14ac:dyDescent="0.2">
      <c r="A3414" s="12"/>
      <c r="B3414" s="13"/>
    </row>
    <row r="3415" spans="1:2" x14ac:dyDescent="0.2">
      <c r="A3415" s="12"/>
      <c r="B3415" s="13"/>
    </row>
    <row r="3416" spans="1:2" x14ac:dyDescent="0.2">
      <c r="A3416" s="12"/>
      <c r="B3416" s="13"/>
    </row>
    <row r="3417" spans="1:2" x14ac:dyDescent="0.2">
      <c r="A3417" s="12"/>
      <c r="B3417" s="13"/>
    </row>
    <row r="3418" spans="1:2" x14ac:dyDescent="0.2">
      <c r="A3418" s="12"/>
      <c r="B3418" s="13"/>
    </row>
    <row r="3419" spans="1:2" x14ac:dyDescent="0.2">
      <c r="A3419" s="12"/>
      <c r="B3419" s="13"/>
    </row>
    <row r="3420" spans="1:2" x14ac:dyDescent="0.2">
      <c r="A3420" s="12"/>
      <c r="B3420" s="13"/>
    </row>
    <row r="3421" spans="1:2" x14ac:dyDescent="0.2">
      <c r="A3421" s="12"/>
      <c r="B3421" s="13"/>
    </row>
    <row r="3422" spans="1:2" x14ac:dyDescent="0.2">
      <c r="A3422" s="12"/>
      <c r="B3422" s="13"/>
    </row>
    <row r="3423" spans="1:2" x14ac:dyDescent="0.2">
      <c r="A3423" s="12"/>
      <c r="B3423" s="13"/>
    </row>
    <row r="3424" spans="1:2" x14ac:dyDescent="0.2">
      <c r="A3424" s="12"/>
      <c r="B3424" s="13"/>
    </row>
    <row r="3425" spans="1:2" x14ac:dyDescent="0.2">
      <c r="A3425" s="12"/>
      <c r="B3425" s="13"/>
    </row>
    <row r="3426" spans="1:2" x14ac:dyDescent="0.2">
      <c r="A3426" s="12"/>
      <c r="B3426" s="13"/>
    </row>
    <row r="3427" spans="1:2" x14ac:dyDescent="0.2">
      <c r="A3427" s="12"/>
      <c r="B3427" s="13"/>
    </row>
    <row r="3428" spans="1:2" x14ac:dyDescent="0.2">
      <c r="A3428" s="12"/>
      <c r="B3428" s="13"/>
    </row>
    <row r="3429" spans="1:2" x14ac:dyDescent="0.2">
      <c r="A3429" s="12"/>
      <c r="B3429" s="13"/>
    </row>
    <row r="3430" spans="1:2" x14ac:dyDescent="0.2">
      <c r="A3430" s="12"/>
      <c r="B3430" s="13"/>
    </row>
    <row r="3431" spans="1:2" x14ac:dyDescent="0.2">
      <c r="A3431" s="12"/>
      <c r="B3431" s="13"/>
    </row>
    <row r="3432" spans="1:2" x14ac:dyDescent="0.2">
      <c r="A3432" s="12"/>
      <c r="B3432" s="13"/>
    </row>
    <row r="3433" spans="1:2" x14ac:dyDescent="0.2">
      <c r="A3433" s="12"/>
      <c r="B3433" s="13"/>
    </row>
    <row r="3434" spans="1:2" x14ac:dyDescent="0.2">
      <c r="A3434" s="12"/>
      <c r="B3434" s="13"/>
    </row>
    <row r="3435" spans="1:2" x14ac:dyDescent="0.2">
      <c r="A3435" s="12"/>
      <c r="B3435" s="13"/>
    </row>
    <row r="3436" spans="1:2" x14ac:dyDescent="0.2">
      <c r="A3436" s="12"/>
      <c r="B3436" s="13"/>
    </row>
    <row r="3437" spans="1:2" x14ac:dyDescent="0.2">
      <c r="A3437" s="12"/>
      <c r="B3437" s="13"/>
    </row>
    <row r="3438" spans="1:2" x14ac:dyDescent="0.2">
      <c r="A3438" s="12"/>
      <c r="B3438" s="13"/>
    </row>
    <row r="3439" spans="1:2" x14ac:dyDescent="0.2">
      <c r="A3439" s="12"/>
      <c r="B3439" s="13"/>
    </row>
    <row r="3440" spans="1:2" x14ac:dyDescent="0.2">
      <c r="A3440" s="12"/>
      <c r="B3440" s="13"/>
    </row>
    <row r="3441" spans="1:2" x14ac:dyDescent="0.2">
      <c r="A3441" s="12"/>
      <c r="B3441" s="13"/>
    </row>
    <row r="3442" spans="1:2" x14ac:dyDescent="0.2">
      <c r="A3442" s="12"/>
      <c r="B3442" s="13"/>
    </row>
    <row r="3443" spans="1:2" x14ac:dyDescent="0.2">
      <c r="A3443" s="12"/>
      <c r="B3443" s="13"/>
    </row>
    <row r="3444" spans="1:2" x14ac:dyDescent="0.2">
      <c r="A3444" s="12"/>
      <c r="B3444" s="13"/>
    </row>
    <row r="3445" spans="1:2" x14ac:dyDescent="0.2">
      <c r="A3445" s="12"/>
      <c r="B3445" s="13"/>
    </row>
    <row r="3446" spans="1:2" x14ac:dyDescent="0.2">
      <c r="A3446" s="12"/>
      <c r="B3446" s="13"/>
    </row>
    <row r="3447" spans="1:2" x14ac:dyDescent="0.2">
      <c r="A3447" s="12"/>
      <c r="B3447" s="13"/>
    </row>
    <row r="3448" spans="1:2" x14ac:dyDescent="0.2">
      <c r="A3448" s="12"/>
      <c r="B3448" s="13"/>
    </row>
    <row r="3449" spans="1:2" x14ac:dyDescent="0.2">
      <c r="A3449" s="12"/>
      <c r="B3449" s="13"/>
    </row>
    <row r="3450" spans="1:2" x14ac:dyDescent="0.2">
      <c r="A3450" s="12"/>
      <c r="B3450" s="13"/>
    </row>
    <row r="3451" spans="1:2" x14ac:dyDescent="0.2">
      <c r="A3451" s="12"/>
      <c r="B3451" s="13"/>
    </row>
    <row r="3452" spans="1:2" x14ac:dyDescent="0.2">
      <c r="A3452" s="12"/>
      <c r="B3452" s="13"/>
    </row>
    <row r="3453" spans="1:2" x14ac:dyDescent="0.2">
      <c r="A3453" s="12"/>
      <c r="B3453" s="13"/>
    </row>
    <row r="3454" spans="1:2" x14ac:dyDescent="0.2">
      <c r="A3454" s="12"/>
      <c r="B3454" s="13"/>
    </row>
    <row r="3455" spans="1:2" x14ac:dyDescent="0.2">
      <c r="A3455" s="12"/>
      <c r="B3455" s="13"/>
    </row>
    <row r="3456" spans="1:2" x14ac:dyDescent="0.2">
      <c r="A3456" s="12"/>
      <c r="B3456" s="13"/>
    </row>
    <row r="3457" spans="1:2" x14ac:dyDescent="0.2">
      <c r="A3457" s="12"/>
      <c r="B3457" s="13"/>
    </row>
    <row r="3458" spans="1:2" x14ac:dyDescent="0.2">
      <c r="A3458" s="12"/>
      <c r="B3458" s="13"/>
    </row>
    <row r="3459" spans="1:2" x14ac:dyDescent="0.2">
      <c r="A3459" s="12"/>
      <c r="B3459" s="13"/>
    </row>
    <row r="3460" spans="1:2" x14ac:dyDescent="0.2">
      <c r="A3460" s="12"/>
      <c r="B3460" s="13"/>
    </row>
    <row r="3461" spans="1:2" x14ac:dyDescent="0.2">
      <c r="A3461" s="12"/>
      <c r="B3461" s="13"/>
    </row>
    <row r="3462" spans="1:2" x14ac:dyDescent="0.2">
      <c r="A3462" s="12"/>
      <c r="B3462" s="13"/>
    </row>
    <row r="3463" spans="1:2" x14ac:dyDescent="0.2">
      <c r="A3463" s="12"/>
      <c r="B3463" s="13"/>
    </row>
    <row r="3464" spans="1:2" x14ac:dyDescent="0.2">
      <c r="A3464" s="12"/>
      <c r="B3464" s="13"/>
    </row>
    <row r="3465" spans="1:2" x14ac:dyDescent="0.2">
      <c r="A3465" s="12"/>
      <c r="B3465" s="13"/>
    </row>
    <row r="3466" spans="1:2" x14ac:dyDescent="0.2">
      <c r="A3466" s="12"/>
      <c r="B3466" s="13"/>
    </row>
    <row r="3467" spans="1:2" x14ac:dyDescent="0.2">
      <c r="A3467" s="12"/>
      <c r="B3467" s="13"/>
    </row>
    <row r="3468" spans="1:2" x14ac:dyDescent="0.2">
      <c r="A3468" s="12"/>
      <c r="B3468" s="13"/>
    </row>
    <row r="3469" spans="1:2" x14ac:dyDescent="0.2">
      <c r="A3469" s="12"/>
      <c r="B3469" s="13"/>
    </row>
    <row r="3470" spans="1:2" x14ac:dyDescent="0.2">
      <c r="A3470" s="12"/>
      <c r="B3470" s="13"/>
    </row>
    <row r="3471" spans="1:2" x14ac:dyDescent="0.2">
      <c r="A3471" s="12"/>
      <c r="B3471" s="13"/>
    </row>
    <row r="3472" spans="1:2" x14ac:dyDescent="0.2">
      <c r="A3472" s="12"/>
      <c r="B3472" s="13"/>
    </row>
    <row r="3473" spans="1:2" x14ac:dyDescent="0.2">
      <c r="A3473" s="12"/>
      <c r="B3473" s="13"/>
    </row>
    <row r="3474" spans="1:2" x14ac:dyDescent="0.2">
      <c r="A3474" s="12"/>
      <c r="B3474" s="13"/>
    </row>
    <row r="3475" spans="1:2" x14ac:dyDescent="0.2">
      <c r="A3475" s="12"/>
      <c r="B3475" s="13"/>
    </row>
    <row r="3476" spans="1:2" x14ac:dyDescent="0.2">
      <c r="A3476" s="12"/>
      <c r="B3476" s="13"/>
    </row>
    <row r="3477" spans="1:2" x14ac:dyDescent="0.2">
      <c r="A3477" s="12"/>
      <c r="B3477" s="13"/>
    </row>
    <row r="3478" spans="1:2" x14ac:dyDescent="0.2">
      <c r="A3478" s="12"/>
      <c r="B3478" s="13"/>
    </row>
    <row r="3479" spans="1:2" x14ac:dyDescent="0.2">
      <c r="A3479" s="12"/>
      <c r="B3479" s="13"/>
    </row>
    <row r="3480" spans="1:2" x14ac:dyDescent="0.2">
      <c r="A3480" s="12"/>
      <c r="B3480" s="13"/>
    </row>
    <row r="3481" spans="1:2" x14ac:dyDescent="0.2">
      <c r="A3481" s="12"/>
      <c r="B3481" s="13"/>
    </row>
    <row r="3482" spans="1:2" x14ac:dyDescent="0.2">
      <c r="A3482" s="12"/>
      <c r="B3482" s="13"/>
    </row>
    <row r="3483" spans="1:2" x14ac:dyDescent="0.2">
      <c r="A3483" s="12"/>
      <c r="B3483" s="13"/>
    </row>
    <row r="3484" spans="1:2" x14ac:dyDescent="0.2">
      <c r="A3484" s="12"/>
      <c r="B3484" s="13"/>
    </row>
    <row r="3485" spans="1:2" x14ac:dyDescent="0.2">
      <c r="A3485" s="12"/>
      <c r="B3485" s="13"/>
    </row>
    <row r="3486" spans="1:2" x14ac:dyDescent="0.2">
      <c r="A3486" s="12"/>
      <c r="B3486" s="13"/>
    </row>
    <row r="3487" spans="1:2" x14ac:dyDescent="0.2">
      <c r="A3487" s="12"/>
      <c r="B3487" s="13"/>
    </row>
    <row r="3488" spans="1:2" x14ac:dyDescent="0.2">
      <c r="A3488" s="12"/>
      <c r="B3488" s="13"/>
    </row>
    <row r="3489" spans="1:2" x14ac:dyDescent="0.2">
      <c r="A3489" s="12"/>
      <c r="B3489" s="13"/>
    </row>
    <row r="3490" spans="1:2" x14ac:dyDescent="0.2">
      <c r="A3490" s="12"/>
      <c r="B3490" s="13"/>
    </row>
    <row r="3491" spans="1:2" x14ac:dyDescent="0.2">
      <c r="A3491" s="12"/>
      <c r="B3491" s="13"/>
    </row>
    <row r="3492" spans="1:2" x14ac:dyDescent="0.2">
      <c r="A3492" s="12"/>
      <c r="B3492" s="13"/>
    </row>
    <row r="3493" spans="1:2" x14ac:dyDescent="0.2">
      <c r="A3493" s="12"/>
      <c r="B3493" s="13"/>
    </row>
    <row r="3494" spans="1:2" x14ac:dyDescent="0.2">
      <c r="A3494" s="12"/>
      <c r="B3494" s="13"/>
    </row>
    <row r="3495" spans="1:2" x14ac:dyDescent="0.2">
      <c r="A3495" s="12"/>
      <c r="B3495" s="13"/>
    </row>
    <row r="3496" spans="1:2" x14ac:dyDescent="0.2">
      <c r="A3496" s="12"/>
      <c r="B3496" s="13"/>
    </row>
    <row r="3497" spans="1:2" x14ac:dyDescent="0.2">
      <c r="A3497" s="12"/>
      <c r="B3497" s="13"/>
    </row>
    <row r="3498" spans="1:2" x14ac:dyDescent="0.2">
      <c r="A3498" s="12"/>
      <c r="B3498" s="13"/>
    </row>
    <row r="3499" spans="1:2" x14ac:dyDescent="0.2">
      <c r="A3499" s="12"/>
      <c r="B3499" s="13"/>
    </row>
    <row r="3500" spans="1:2" x14ac:dyDescent="0.2">
      <c r="A3500" s="12"/>
      <c r="B3500" s="13"/>
    </row>
    <row r="3501" spans="1:2" x14ac:dyDescent="0.2">
      <c r="A3501" s="12"/>
      <c r="B3501" s="13"/>
    </row>
    <row r="3502" spans="1:2" x14ac:dyDescent="0.2">
      <c r="A3502" s="12"/>
      <c r="B3502" s="13"/>
    </row>
    <row r="3503" spans="1:2" x14ac:dyDescent="0.2">
      <c r="A3503" s="12"/>
      <c r="B3503" s="13"/>
    </row>
    <row r="3504" spans="1:2" x14ac:dyDescent="0.2">
      <c r="A3504" s="12"/>
      <c r="B3504" s="13"/>
    </row>
    <row r="3505" spans="1:2" x14ac:dyDescent="0.2">
      <c r="A3505" s="12"/>
      <c r="B3505" s="13"/>
    </row>
    <row r="3506" spans="1:2" x14ac:dyDescent="0.2">
      <c r="A3506" s="12"/>
      <c r="B3506" s="13"/>
    </row>
    <row r="3507" spans="1:2" x14ac:dyDescent="0.2">
      <c r="A3507" s="12"/>
      <c r="B3507" s="13"/>
    </row>
    <row r="3508" spans="1:2" x14ac:dyDescent="0.2">
      <c r="A3508" s="12"/>
      <c r="B3508" s="13"/>
    </row>
    <row r="3509" spans="1:2" x14ac:dyDescent="0.2">
      <c r="A3509" s="12"/>
      <c r="B3509" s="13"/>
    </row>
    <row r="3510" spans="1:2" x14ac:dyDescent="0.2">
      <c r="A3510" s="12"/>
      <c r="B3510" s="13"/>
    </row>
    <row r="3511" spans="1:2" x14ac:dyDescent="0.2">
      <c r="A3511" s="12"/>
      <c r="B3511" s="13"/>
    </row>
    <row r="3512" spans="1:2" x14ac:dyDescent="0.2">
      <c r="A3512" s="12"/>
      <c r="B3512" s="13"/>
    </row>
    <row r="3513" spans="1:2" x14ac:dyDescent="0.2">
      <c r="A3513" s="12"/>
      <c r="B3513" s="13"/>
    </row>
    <row r="3514" spans="1:2" x14ac:dyDescent="0.2">
      <c r="A3514" s="12"/>
      <c r="B3514" s="13"/>
    </row>
    <row r="3515" spans="1:2" x14ac:dyDescent="0.2">
      <c r="A3515" s="12"/>
      <c r="B3515" s="13"/>
    </row>
    <row r="3516" spans="1:2" x14ac:dyDescent="0.2">
      <c r="A3516" s="12"/>
      <c r="B3516" s="13"/>
    </row>
    <row r="3517" spans="1:2" x14ac:dyDescent="0.2">
      <c r="A3517" s="12"/>
      <c r="B3517" s="13"/>
    </row>
    <row r="3518" spans="1:2" x14ac:dyDescent="0.2">
      <c r="A3518" s="12"/>
      <c r="B3518" s="13"/>
    </row>
    <row r="3519" spans="1:2" x14ac:dyDescent="0.2">
      <c r="A3519" s="12"/>
      <c r="B3519" s="13"/>
    </row>
    <row r="3520" spans="1:2" x14ac:dyDescent="0.2">
      <c r="A3520" s="12"/>
      <c r="B3520" s="13"/>
    </row>
    <row r="3521" spans="1:2" x14ac:dyDescent="0.2">
      <c r="A3521" s="12"/>
      <c r="B3521" s="13"/>
    </row>
    <row r="3522" spans="1:2" x14ac:dyDescent="0.2">
      <c r="A3522" s="12"/>
      <c r="B3522" s="13"/>
    </row>
    <row r="3523" spans="1:2" x14ac:dyDescent="0.2">
      <c r="A3523" s="12"/>
      <c r="B3523" s="13"/>
    </row>
    <row r="3524" spans="1:2" x14ac:dyDescent="0.2">
      <c r="A3524" s="12"/>
      <c r="B3524" s="13"/>
    </row>
    <row r="3525" spans="1:2" x14ac:dyDescent="0.2">
      <c r="A3525" s="12"/>
      <c r="B3525" s="13"/>
    </row>
    <row r="3526" spans="1:2" x14ac:dyDescent="0.2">
      <c r="A3526" s="12"/>
      <c r="B3526" s="13"/>
    </row>
    <row r="3527" spans="1:2" x14ac:dyDescent="0.2">
      <c r="A3527" s="12"/>
      <c r="B3527" s="13"/>
    </row>
    <row r="3528" spans="1:2" x14ac:dyDescent="0.2">
      <c r="A3528" s="12"/>
      <c r="B3528" s="13"/>
    </row>
    <row r="3529" spans="1:2" x14ac:dyDescent="0.2">
      <c r="A3529" s="12"/>
      <c r="B3529" s="13"/>
    </row>
    <row r="3530" spans="1:2" x14ac:dyDescent="0.2">
      <c r="A3530" s="12"/>
      <c r="B3530" s="13"/>
    </row>
    <row r="3531" spans="1:2" x14ac:dyDescent="0.2">
      <c r="A3531" s="12"/>
      <c r="B3531" s="13"/>
    </row>
    <row r="3532" spans="1:2" x14ac:dyDescent="0.2">
      <c r="A3532" s="12"/>
      <c r="B3532" s="13"/>
    </row>
    <row r="3533" spans="1:2" x14ac:dyDescent="0.2">
      <c r="A3533" s="12"/>
      <c r="B3533" s="13"/>
    </row>
    <row r="3534" spans="1:2" x14ac:dyDescent="0.2">
      <c r="A3534" s="12"/>
      <c r="B3534" s="13"/>
    </row>
    <row r="3535" spans="1:2" x14ac:dyDescent="0.2">
      <c r="A3535" s="12"/>
      <c r="B3535" s="13"/>
    </row>
    <row r="3536" spans="1:2" x14ac:dyDescent="0.2">
      <c r="A3536" s="12"/>
      <c r="B3536" s="13"/>
    </row>
    <row r="3537" spans="1:2" x14ac:dyDescent="0.2">
      <c r="A3537" s="12"/>
      <c r="B3537" s="13"/>
    </row>
    <row r="3538" spans="1:2" x14ac:dyDescent="0.2">
      <c r="A3538" s="12"/>
      <c r="B3538" s="13"/>
    </row>
    <row r="3539" spans="1:2" x14ac:dyDescent="0.2">
      <c r="A3539" s="12"/>
      <c r="B3539" s="13"/>
    </row>
    <row r="3540" spans="1:2" x14ac:dyDescent="0.2">
      <c r="A3540" s="12"/>
      <c r="B3540" s="13"/>
    </row>
    <row r="3541" spans="1:2" x14ac:dyDescent="0.2">
      <c r="A3541" s="12"/>
      <c r="B3541" s="13"/>
    </row>
    <row r="3542" spans="1:2" x14ac:dyDescent="0.2">
      <c r="A3542" s="12"/>
      <c r="B3542" s="13"/>
    </row>
    <row r="3543" spans="1:2" x14ac:dyDescent="0.2">
      <c r="A3543" s="12"/>
      <c r="B3543" s="13"/>
    </row>
    <row r="3544" spans="1:2" x14ac:dyDescent="0.2">
      <c r="A3544" s="12"/>
      <c r="B3544" s="13"/>
    </row>
    <row r="3545" spans="1:2" x14ac:dyDescent="0.2">
      <c r="A3545" s="12"/>
      <c r="B3545" s="13"/>
    </row>
    <row r="3546" spans="1:2" x14ac:dyDescent="0.2">
      <c r="A3546" s="12"/>
      <c r="B3546" s="13"/>
    </row>
    <row r="3547" spans="1:2" x14ac:dyDescent="0.2">
      <c r="A3547" s="12"/>
      <c r="B3547" s="13"/>
    </row>
    <row r="3548" spans="1:2" x14ac:dyDescent="0.2">
      <c r="A3548" s="12"/>
      <c r="B3548" s="13"/>
    </row>
    <row r="3549" spans="1:2" x14ac:dyDescent="0.2">
      <c r="A3549" s="12"/>
      <c r="B3549" s="13"/>
    </row>
    <row r="3550" spans="1:2" x14ac:dyDescent="0.2">
      <c r="A3550" s="12"/>
      <c r="B3550" s="13"/>
    </row>
    <row r="3551" spans="1:2" x14ac:dyDescent="0.2">
      <c r="A3551" s="12"/>
      <c r="B3551" s="13"/>
    </row>
    <row r="3552" spans="1:2" x14ac:dyDescent="0.2">
      <c r="A3552" s="12"/>
      <c r="B3552" s="13"/>
    </row>
    <row r="3553" spans="1:2" x14ac:dyDescent="0.2">
      <c r="A3553" s="12"/>
      <c r="B3553" s="13"/>
    </row>
    <row r="3554" spans="1:2" x14ac:dyDescent="0.2">
      <c r="A3554" s="12"/>
      <c r="B3554" s="13"/>
    </row>
    <row r="3555" spans="1:2" x14ac:dyDescent="0.2">
      <c r="A3555" s="12"/>
      <c r="B3555" s="13"/>
    </row>
    <row r="3556" spans="1:2" x14ac:dyDescent="0.2">
      <c r="A3556" s="12"/>
      <c r="B3556" s="13"/>
    </row>
    <row r="3557" spans="1:2" x14ac:dyDescent="0.2">
      <c r="A3557" s="12"/>
      <c r="B3557" s="13"/>
    </row>
    <row r="3558" spans="1:2" x14ac:dyDescent="0.2">
      <c r="A3558" s="12"/>
      <c r="B3558" s="13"/>
    </row>
    <row r="3559" spans="1:2" x14ac:dyDescent="0.2">
      <c r="A3559" s="12"/>
      <c r="B3559" s="13"/>
    </row>
    <row r="3560" spans="1:2" x14ac:dyDescent="0.2">
      <c r="A3560" s="12"/>
      <c r="B3560" s="13"/>
    </row>
    <row r="3561" spans="1:2" x14ac:dyDescent="0.2">
      <c r="A3561" s="12"/>
      <c r="B3561" s="13"/>
    </row>
    <row r="3562" spans="1:2" x14ac:dyDescent="0.2">
      <c r="A3562" s="12"/>
      <c r="B3562" s="13"/>
    </row>
    <row r="3563" spans="1:2" x14ac:dyDescent="0.2">
      <c r="A3563" s="12"/>
      <c r="B3563" s="13"/>
    </row>
    <row r="3564" spans="1:2" x14ac:dyDescent="0.2">
      <c r="A3564" s="12"/>
      <c r="B3564" s="13"/>
    </row>
    <row r="3565" spans="1:2" x14ac:dyDescent="0.2">
      <c r="A3565" s="12"/>
      <c r="B3565" s="13"/>
    </row>
    <row r="3566" spans="1:2" x14ac:dyDescent="0.2">
      <c r="A3566" s="12"/>
      <c r="B3566" s="13"/>
    </row>
    <row r="3567" spans="1:2" x14ac:dyDescent="0.2">
      <c r="A3567" s="12"/>
      <c r="B3567" s="13"/>
    </row>
    <row r="3568" spans="1:2" x14ac:dyDescent="0.2">
      <c r="A3568" s="12"/>
      <c r="B3568" s="13"/>
    </row>
    <row r="3569" spans="1:2" x14ac:dyDescent="0.2">
      <c r="A3569" s="12"/>
      <c r="B3569" s="13"/>
    </row>
    <row r="3570" spans="1:2" x14ac:dyDescent="0.2">
      <c r="A3570" s="12"/>
      <c r="B3570" s="13"/>
    </row>
    <row r="3571" spans="1:2" x14ac:dyDescent="0.2">
      <c r="A3571" s="12"/>
      <c r="B3571" s="13"/>
    </row>
    <row r="3572" spans="1:2" x14ac:dyDescent="0.2">
      <c r="A3572" s="12"/>
      <c r="B3572" s="13"/>
    </row>
    <row r="3573" spans="1:2" x14ac:dyDescent="0.2">
      <c r="A3573" s="12"/>
      <c r="B3573" s="13"/>
    </row>
    <row r="3574" spans="1:2" x14ac:dyDescent="0.2">
      <c r="A3574" s="12"/>
      <c r="B3574" s="13"/>
    </row>
    <row r="3575" spans="1:2" x14ac:dyDescent="0.2">
      <c r="A3575" s="12"/>
      <c r="B3575" s="13"/>
    </row>
    <row r="3576" spans="1:2" x14ac:dyDescent="0.2">
      <c r="A3576" s="12"/>
      <c r="B3576" s="13"/>
    </row>
    <row r="3577" spans="1:2" x14ac:dyDescent="0.2">
      <c r="A3577" s="12"/>
      <c r="B3577" s="13"/>
    </row>
    <row r="3578" spans="1:2" x14ac:dyDescent="0.2">
      <c r="A3578" s="12"/>
      <c r="B3578" s="13"/>
    </row>
    <row r="3579" spans="1:2" x14ac:dyDescent="0.2">
      <c r="A3579" s="12"/>
      <c r="B3579" s="13"/>
    </row>
    <row r="3580" spans="1:2" x14ac:dyDescent="0.2">
      <c r="A3580" s="12"/>
      <c r="B3580" s="13"/>
    </row>
    <row r="3581" spans="1:2" x14ac:dyDescent="0.2">
      <c r="A3581" s="12"/>
      <c r="B3581" s="13"/>
    </row>
    <row r="3582" spans="1:2" x14ac:dyDescent="0.2">
      <c r="A3582" s="12"/>
      <c r="B3582" s="13"/>
    </row>
    <row r="3583" spans="1:2" x14ac:dyDescent="0.2">
      <c r="A3583" s="12"/>
      <c r="B3583" s="13"/>
    </row>
    <row r="3584" spans="1:2" x14ac:dyDescent="0.2">
      <c r="A3584" s="12"/>
      <c r="B3584" s="13"/>
    </row>
    <row r="3585" spans="1:2" x14ac:dyDescent="0.2">
      <c r="A3585" s="12"/>
      <c r="B3585" s="13"/>
    </row>
    <row r="3586" spans="1:2" x14ac:dyDescent="0.2">
      <c r="A3586" s="12"/>
      <c r="B3586" s="13"/>
    </row>
    <row r="3587" spans="1:2" x14ac:dyDescent="0.2">
      <c r="A3587" s="12"/>
      <c r="B3587" s="13"/>
    </row>
    <row r="3588" spans="1:2" x14ac:dyDescent="0.2">
      <c r="A3588" s="12"/>
      <c r="B3588" s="13"/>
    </row>
    <row r="3589" spans="1:2" x14ac:dyDescent="0.2">
      <c r="A3589" s="12"/>
      <c r="B3589" s="13"/>
    </row>
    <row r="3590" spans="1:2" x14ac:dyDescent="0.2">
      <c r="A3590" s="12"/>
      <c r="B3590" s="13"/>
    </row>
    <row r="3591" spans="1:2" x14ac:dyDescent="0.2">
      <c r="A3591" s="12"/>
      <c r="B3591" s="13"/>
    </row>
    <row r="3592" spans="1:2" x14ac:dyDescent="0.2">
      <c r="A3592" s="12"/>
      <c r="B3592" s="13"/>
    </row>
    <row r="3593" spans="1:2" x14ac:dyDescent="0.2">
      <c r="A3593" s="12"/>
      <c r="B3593" s="13"/>
    </row>
    <row r="3594" spans="1:2" x14ac:dyDescent="0.2">
      <c r="A3594" s="12"/>
      <c r="B3594" s="13"/>
    </row>
    <row r="3595" spans="1:2" x14ac:dyDescent="0.2">
      <c r="A3595" s="12"/>
      <c r="B3595" s="13"/>
    </row>
    <row r="3596" spans="1:2" x14ac:dyDescent="0.2">
      <c r="A3596" s="12"/>
      <c r="B3596" s="13"/>
    </row>
    <row r="3597" spans="1:2" x14ac:dyDescent="0.2">
      <c r="A3597" s="12"/>
      <c r="B3597" s="13"/>
    </row>
    <row r="3598" spans="1:2" x14ac:dyDescent="0.2">
      <c r="A3598" s="12"/>
      <c r="B3598" s="13"/>
    </row>
    <row r="3599" spans="1:2" x14ac:dyDescent="0.2">
      <c r="A3599" s="12"/>
      <c r="B3599" s="13"/>
    </row>
    <row r="3600" spans="1:2" x14ac:dyDescent="0.2">
      <c r="A3600" s="12"/>
      <c r="B3600" s="13"/>
    </row>
    <row r="3601" spans="1:2" x14ac:dyDescent="0.2">
      <c r="A3601" s="12"/>
      <c r="B3601" s="13"/>
    </row>
    <row r="3602" spans="1:2" x14ac:dyDescent="0.2">
      <c r="A3602" s="12"/>
      <c r="B3602" s="13"/>
    </row>
    <row r="3603" spans="1:2" x14ac:dyDescent="0.2">
      <c r="A3603" s="12"/>
      <c r="B3603" s="13"/>
    </row>
    <row r="3604" spans="1:2" x14ac:dyDescent="0.2">
      <c r="A3604" s="12"/>
      <c r="B3604" s="13"/>
    </row>
    <row r="3605" spans="1:2" x14ac:dyDescent="0.2">
      <c r="A3605" s="12"/>
      <c r="B3605" s="13"/>
    </row>
    <row r="3606" spans="1:2" x14ac:dyDescent="0.2">
      <c r="A3606" s="12"/>
      <c r="B3606" s="13"/>
    </row>
    <row r="3607" spans="1:2" x14ac:dyDescent="0.2">
      <c r="A3607" s="12"/>
      <c r="B3607" s="13"/>
    </row>
    <row r="3608" spans="1:2" x14ac:dyDescent="0.2">
      <c r="A3608" s="12"/>
      <c r="B3608" s="13"/>
    </row>
    <row r="3609" spans="1:2" x14ac:dyDescent="0.2">
      <c r="A3609" s="12"/>
      <c r="B3609" s="13"/>
    </row>
    <row r="3610" spans="1:2" x14ac:dyDescent="0.2">
      <c r="A3610" s="12"/>
      <c r="B3610" s="13"/>
    </row>
    <row r="3611" spans="1:2" x14ac:dyDescent="0.2">
      <c r="A3611" s="12"/>
      <c r="B3611" s="13"/>
    </row>
    <row r="3612" spans="1:2" x14ac:dyDescent="0.2">
      <c r="A3612" s="12"/>
      <c r="B3612" s="13"/>
    </row>
    <row r="3613" spans="1:2" x14ac:dyDescent="0.2">
      <c r="A3613" s="12"/>
      <c r="B3613" s="13"/>
    </row>
    <row r="3614" spans="1:2" x14ac:dyDescent="0.2">
      <c r="A3614" s="12"/>
      <c r="B3614" s="13"/>
    </row>
    <row r="3615" spans="1:2" x14ac:dyDescent="0.2">
      <c r="A3615" s="12"/>
      <c r="B3615" s="13"/>
    </row>
    <row r="3616" spans="1:2" x14ac:dyDescent="0.2">
      <c r="A3616" s="12"/>
      <c r="B3616" s="13"/>
    </row>
    <row r="3617" spans="1:2" x14ac:dyDescent="0.2">
      <c r="A3617" s="12"/>
      <c r="B3617" s="13"/>
    </row>
    <row r="3618" spans="1:2" x14ac:dyDescent="0.2">
      <c r="A3618" s="12"/>
      <c r="B3618" s="13"/>
    </row>
    <row r="3619" spans="1:2" x14ac:dyDescent="0.2">
      <c r="A3619" s="12"/>
      <c r="B3619" s="13"/>
    </row>
    <row r="3620" spans="1:2" x14ac:dyDescent="0.2">
      <c r="A3620" s="12"/>
      <c r="B3620" s="13"/>
    </row>
    <row r="3621" spans="1:2" x14ac:dyDescent="0.2">
      <c r="A3621" s="12"/>
      <c r="B3621" s="13"/>
    </row>
    <row r="3622" spans="1:2" x14ac:dyDescent="0.2">
      <c r="A3622" s="12"/>
      <c r="B3622" s="13"/>
    </row>
    <row r="3623" spans="1:2" x14ac:dyDescent="0.2">
      <c r="A3623" s="12"/>
      <c r="B3623" s="13"/>
    </row>
    <row r="3624" spans="1:2" x14ac:dyDescent="0.2">
      <c r="A3624" s="12"/>
      <c r="B3624" s="13"/>
    </row>
    <row r="3625" spans="1:2" x14ac:dyDescent="0.2">
      <c r="A3625" s="12"/>
      <c r="B3625" s="13"/>
    </row>
    <row r="3626" spans="1:2" x14ac:dyDescent="0.2">
      <c r="A3626" s="12"/>
      <c r="B3626" s="13"/>
    </row>
    <row r="3627" spans="1:2" x14ac:dyDescent="0.2">
      <c r="A3627" s="12"/>
      <c r="B3627" s="13"/>
    </row>
    <row r="3628" spans="1:2" x14ac:dyDescent="0.2">
      <c r="A3628" s="12"/>
      <c r="B3628" s="13"/>
    </row>
    <row r="3629" spans="1:2" x14ac:dyDescent="0.2">
      <c r="A3629" s="12"/>
      <c r="B3629" s="13"/>
    </row>
    <row r="3630" spans="1:2" x14ac:dyDescent="0.2">
      <c r="A3630" s="12"/>
      <c r="B3630" s="13"/>
    </row>
    <row r="3631" spans="1:2" x14ac:dyDescent="0.2">
      <c r="A3631" s="12"/>
      <c r="B3631" s="13"/>
    </row>
    <row r="3632" spans="1:2" x14ac:dyDescent="0.2">
      <c r="A3632" s="12"/>
      <c r="B3632" s="13"/>
    </row>
    <row r="3633" spans="1:2" x14ac:dyDescent="0.2">
      <c r="A3633" s="12"/>
      <c r="B3633" s="13"/>
    </row>
    <row r="3634" spans="1:2" x14ac:dyDescent="0.2">
      <c r="A3634" s="12"/>
      <c r="B3634" s="13"/>
    </row>
    <row r="3635" spans="1:2" x14ac:dyDescent="0.2">
      <c r="A3635" s="12"/>
      <c r="B3635" s="13"/>
    </row>
    <row r="3636" spans="1:2" x14ac:dyDescent="0.2">
      <c r="A3636" s="12"/>
      <c r="B3636" s="13"/>
    </row>
    <row r="3637" spans="1:2" x14ac:dyDescent="0.2">
      <c r="A3637" s="12"/>
      <c r="B3637" s="13"/>
    </row>
    <row r="3638" spans="1:2" x14ac:dyDescent="0.2">
      <c r="A3638" s="12"/>
      <c r="B3638" s="13"/>
    </row>
    <row r="3639" spans="1:2" x14ac:dyDescent="0.2">
      <c r="A3639" s="12"/>
      <c r="B3639" s="13"/>
    </row>
    <row r="3640" spans="1:2" x14ac:dyDescent="0.2">
      <c r="A3640" s="12"/>
      <c r="B3640" s="13"/>
    </row>
    <row r="3641" spans="1:2" x14ac:dyDescent="0.2">
      <c r="A3641" s="12"/>
      <c r="B3641" s="13"/>
    </row>
    <row r="3642" spans="1:2" x14ac:dyDescent="0.2">
      <c r="A3642" s="12"/>
      <c r="B3642" s="13"/>
    </row>
    <row r="3643" spans="1:2" x14ac:dyDescent="0.2">
      <c r="A3643" s="12"/>
      <c r="B3643" s="13"/>
    </row>
    <row r="3644" spans="1:2" x14ac:dyDescent="0.2">
      <c r="A3644" s="12"/>
      <c r="B3644" s="13"/>
    </row>
    <row r="3645" spans="1:2" x14ac:dyDescent="0.2">
      <c r="A3645" s="12"/>
      <c r="B3645" s="13"/>
    </row>
    <row r="3646" spans="1:2" x14ac:dyDescent="0.2">
      <c r="A3646" s="12"/>
      <c r="B3646" s="13"/>
    </row>
    <row r="3647" spans="1:2" x14ac:dyDescent="0.2">
      <c r="A3647" s="12"/>
      <c r="B3647" s="13"/>
    </row>
    <row r="3648" spans="1:2" x14ac:dyDescent="0.2">
      <c r="A3648" s="12"/>
      <c r="B3648" s="13"/>
    </row>
    <row r="3649" spans="1:2" x14ac:dyDescent="0.2">
      <c r="A3649" s="12"/>
      <c r="B3649" s="13"/>
    </row>
    <row r="3650" spans="1:2" x14ac:dyDescent="0.2">
      <c r="A3650" s="12"/>
      <c r="B3650" s="13"/>
    </row>
    <row r="3651" spans="1:2" x14ac:dyDescent="0.2">
      <c r="A3651" s="12"/>
      <c r="B3651" s="13"/>
    </row>
    <row r="3652" spans="1:2" x14ac:dyDescent="0.2">
      <c r="A3652" s="12"/>
      <c r="B3652" s="13"/>
    </row>
    <row r="3653" spans="1:2" x14ac:dyDescent="0.2">
      <c r="A3653" s="12"/>
      <c r="B3653" s="13"/>
    </row>
    <row r="3654" spans="1:2" x14ac:dyDescent="0.2">
      <c r="A3654" s="12"/>
      <c r="B3654" s="13"/>
    </row>
    <row r="3655" spans="1:2" x14ac:dyDescent="0.2">
      <c r="A3655" s="12"/>
      <c r="B3655" s="13"/>
    </row>
    <row r="3656" spans="1:2" x14ac:dyDescent="0.2">
      <c r="A3656" s="12"/>
      <c r="B3656" s="13"/>
    </row>
    <row r="3657" spans="1:2" x14ac:dyDescent="0.2">
      <c r="A3657" s="12"/>
      <c r="B3657" s="13"/>
    </row>
    <row r="3658" spans="1:2" x14ac:dyDescent="0.2">
      <c r="A3658" s="12"/>
      <c r="B3658" s="13"/>
    </row>
    <row r="3659" spans="1:2" x14ac:dyDescent="0.2">
      <c r="A3659" s="12"/>
      <c r="B3659" s="13"/>
    </row>
    <row r="3660" spans="1:2" x14ac:dyDescent="0.2">
      <c r="A3660" s="12"/>
      <c r="B3660" s="13"/>
    </row>
    <row r="3661" spans="1:2" x14ac:dyDescent="0.2">
      <c r="A3661" s="12"/>
      <c r="B3661" s="13"/>
    </row>
    <row r="3662" spans="1:2" x14ac:dyDescent="0.2">
      <c r="A3662" s="12"/>
      <c r="B3662" s="13"/>
    </row>
    <row r="3663" spans="1:2" x14ac:dyDescent="0.2">
      <c r="A3663" s="12"/>
      <c r="B3663" s="13"/>
    </row>
    <row r="3664" spans="1:2" x14ac:dyDescent="0.2">
      <c r="A3664" s="12"/>
      <c r="B3664" s="13"/>
    </row>
    <row r="3665" spans="1:2" x14ac:dyDescent="0.2">
      <c r="A3665" s="12"/>
      <c r="B3665" s="13"/>
    </row>
    <row r="3666" spans="1:2" x14ac:dyDescent="0.2">
      <c r="A3666" s="12"/>
      <c r="B3666" s="13"/>
    </row>
    <row r="3667" spans="1:2" x14ac:dyDescent="0.2">
      <c r="A3667" s="12"/>
      <c r="B3667" s="13"/>
    </row>
    <row r="3668" spans="1:2" x14ac:dyDescent="0.2">
      <c r="A3668" s="12"/>
      <c r="B3668" s="13"/>
    </row>
    <row r="3669" spans="1:2" x14ac:dyDescent="0.2">
      <c r="A3669" s="12"/>
      <c r="B3669" s="13"/>
    </row>
    <row r="3670" spans="1:2" x14ac:dyDescent="0.2">
      <c r="A3670" s="12"/>
      <c r="B3670" s="13"/>
    </row>
    <row r="3671" spans="1:2" x14ac:dyDescent="0.2">
      <c r="A3671" s="12"/>
      <c r="B3671" s="13"/>
    </row>
    <row r="3672" spans="1:2" x14ac:dyDescent="0.2">
      <c r="A3672" s="12"/>
      <c r="B3672" s="13"/>
    </row>
    <row r="3673" spans="1:2" x14ac:dyDescent="0.2">
      <c r="A3673" s="12"/>
      <c r="B3673" s="13"/>
    </row>
    <row r="3674" spans="1:2" x14ac:dyDescent="0.2">
      <c r="A3674" s="12"/>
      <c r="B3674" s="13"/>
    </row>
    <row r="3675" spans="1:2" x14ac:dyDescent="0.2">
      <c r="A3675" s="12"/>
      <c r="B3675" s="13"/>
    </row>
    <row r="3676" spans="1:2" x14ac:dyDescent="0.2">
      <c r="A3676" s="12"/>
      <c r="B3676" s="13"/>
    </row>
    <row r="3677" spans="1:2" x14ac:dyDescent="0.2">
      <c r="A3677" s="12"/>
      <c r="B3677" s="13"/>
    </row>
    <row r="3678" spans="1:2" x14ac:dyDescent="0.2">
      <c r="A3678" s="12"/>
      <c r="B3678" s="13"/>
    </row>
    <row r="3679" spans="1:2" x14ac:dyDescent="0.2">
      <c r="A3679" s="12"/>
      <c r="B3679" s="13"/>
    </row>
    <row r="3680" spans="1:2" x14ac:dyDescent="0.2">
      <c r="A3680" s="12"/>
      <c r="B3680" s="13"/>
    </row>
    <row r="3681" spans="1:2" x14ac:dyDescent="0.2">
      <c r="A3681" s="12"/>
      <c r="B3681" s="13"/>
    </row>
    <row r="3682" spans="1:2" x14ac:dyDescent="0.2">
      <c r="A3682" s="12"/>
      <c r="B3682" s="13"/>
    </row>
    <row r="3683" spans="1:2" x14ac:dyDescent="0.2">
      <c r="A3683" s="12"/>
      <c r="B3683" s="13"/>
    </row>
    <row r="3684" spans="1:2" x14ac:dyDescent="0.2">
      <c r="A3684" s="12"/>
      <c r="B3684" s="13"/>
    </row>
    <row r="3685" spans="1:2" x14ac:dyDescent="0.2">
      <c r="A3685" s="12"/>
      <c r="B3685" s="13"/>
    </row>
    <row r="3686" spans="1:2" x14ac:dyDescent="0.2">
      <c r="A3686" s="12"/>
      <c r="B3686" s="13"/>
    </row>
    <row r="3687" spans="1:2" x14ac:dyDescent="0.2">
      <c r="A3687" s="12"/>
      <c r="B3687" s="13"/>
    </row>
    <row r="3688" spans="1:2" x14ac:dyDescent="0.2">
      <c r="A3688" s="12"/>
      <c r="B3688" s="13"/>
    </row>
    <row r="3689" spans="1:2" x14ac:dyDescent="0.2">
      <c r="A3689" s="12"/>
      <c r="B3689" s="13"/>
    </row>
    <row r="3690" spans="1:2" x14ac:dyDescent="0.2">
      <c r="A3690" s="12"/>
      <c r="B3690" s="13"/>
    </row>
    <row r="3691" spans="1:2" x14ac:dyDescent="0.2">
      <c r="A3691" s="12"/>
      <c r="B3691" s="13"/>
    </row>
    <row r="3692" spans="1:2" x14ac:dyDescent="0.2">
      <c r="A3692" s="12"/>
      <c r="B3692" s="13"/>
    </row>
    <row r="3693" spans="1:2" x14ac:dyDescent="0.2">
      <c r="A3693" s="12"/>
      <c r="B3693" s="13"/>
    </row>
    <row r="3694" spans="1:2" x14ac:dyDescent="0.2">
      <c r="A3694" s="12"/>
      <c r="B3694" s="13"/>
    </row>
    <row r="3695" spans="1:2" x14ac:dyDescent="0.2">
      <c r="A3695" s="12"/>
      <c r="B3695" s="13"/>
    </row>
    <row r="3696" spans="1:2" x14ac:dyDescent="0.2">
      <c r="A3696" s="12"/>
      <c r="B3696" s="13"/>
    </row>
    <row r="3697" spans="1:2" x14ac:dyDescent="0.2">
      <c r="A3697" s="12"/>
      <c r="B3697" s="13"/>
    </row>
    <row r="3698" spans="1:2" x14ac:dyDescent="0.2">
      <c r="A3698" s="12"/>
      <c r="B3698" s="13"/>
    </row>
    <row r="3699" spans="1:2" x14ac:dyDescent="0.2">
      <c r="A3699" s="12"/>
      <c r="B3699" s="13"/>
    </row>
    <row r="3700" spans="1:2" x14ac:dyDescent="0.2">
      <c r="A3700" s="12"/>
      <c r="B3700" s="13"/>
    </row>
    <row r="3701" spans="1:2" x14ac:dyDescent="0.2">
      <c r="A3701" s="12"/>
      <c r="B3701" s="13"/>
    </row>
    <row r="3702" spans="1:2" x14ac:dyDescent="0.2">
      <c r="A3702" s="12"/>
      <c r="B3702" s="13"/>
    </row>
    <row r="3703" spans="1:2" x14ac:dyDescent="0.2">
      <c r="A3703" s="12"/>
      <c r="B3703" s="13"/>
    </row>
    <row r="3704" spans="1:2" x14ac:dyDescent="0.2">
      <c r="A3704" s="12"/>
      <c r="B3704" s="13"/>
    </row>
    <row r="3705" spans="1:2" x14ac:dyDescent="0.2">
      <c r="A3705" s="12"/>
      <c r="B3705" s="13"/>
    </row>
    <row r="3706" spans="1:2" x14ac:dyDescent="0.2">
      <c r="A3706" s="12"/>
      <c r="B3706" s="13"/>
    </row>
    <row r="3707" spans="1:2" x14ac:dyDescent="0.2">
      <c r="A3707" s="12"/>
      <c r="B3707" s="13"/>
    </row>
    <row r="3708" spans="1:2" x14ac:dyDescent="0.2">
      <c r="A3708" s="12"/>
      <c r="B3708" s="13"/>
    </row>
    <row r="3709" spans="1:2" x14ac:dyDescent="0.2">
      <c r="A3709" s="12"/>
      <c r="B3709" s="13"/>
    </row>
    <row r="3710" spans="1:2" x14ac:dyDescent="0.2">
      <c r="A3710" s="12"/>
      <c r="B3710" s="13"/>
    </row>
    <row r="3711" spans="1:2" x14ac:dyDescent="0.2">
      <c r="A3711" s="12"/>
      <c r="B3711" s="13"/>
    </row>
    <row r="3712" spans="1:2" x14ac:dyDescent="0.2">
      <c r="A3712" s="12"/>
      <c r="B3712" s="13"/>
    </row>
    <row r="3713" spans="1:2" x14ac:dyDescent="0.2">
      <c r="A3713" s="12"/>
      <c r="B3713" s="13"/>
    </row>
    <row r="3714" spans="1:2" x14ac:dyDescent="0.2">
      <c r="A3714" s="12"/>
      <c r="B3714" s="13"/>
    </row>
    <row r="3715" spans="1:2" x14ac:dyDescent="0.2">
      <c r="A3715" s="12"/>
      <c r="B3715" s="13"/>
    </row>
    <row r="3716" spans="1:2" x14ac:dyDescent="0.2">
      <c r="A3716" s="12"/>
      <c r="B3716" s="13"/>
    </row>
    <row r="3717" spans="1:2" x14ac:dyDescent="0.2">
      <c r="A3717" s="12"/>
      <c r="B3717" s="13"/>
    </row>
    <row r="3718" spans="1:2" x14ac:dyDescent="0.2">
      <c r="A3718" s="12"/>
      <c r="B3718" s="13"/>
    </row>
    <row r="3719" spans="1:2" x14ac:dyDescent="0.2">
      <c r="A3719" s="12"/>
      <c r="B3719" s="13"/>
    </row>
    <row r="3720" spans="1:2" x14ac:dyDescent="0.2">
      <c r="A3720" s="12"/>
      <c r="B3720" s="13"/>
    </row>
    <row r="3721" spans="1:2" x14ac:dyDescent="0.2">
      <c r="A3721" s="12"/>
      <c r="B3721" s="13"/>
    </row>
    <row r="3722" spans="1:2" x14ac:dyDescent="0.2">
      <c r="A3722" s="12"/>
      <c r="B3722" s="13"/>
    </row>
    <row r="3723" spans="1:2" x14ac:dyDescent="0.2">
      <c r="A3723" s="12"/>
      <c r="B3723" s="13"/>
    </row>
    <row r="3724" spans="1:2" x14ac:dyDescent="0.2">
      <c r="A3724" s="12"/>
      <c r="B3724" s="13"/>
    </row>
    <row r="3725" spans="1:2" x14ac:dyDescent="0.2">
      <c r="A3725" s="12"/>
      <c r="B3725" s="13"/>
    </row>
    <row r="3726" spans="1:2" x14ac:dyDescent="0.2">
      <c r="A3726" s="12"/>
      <c r="B3726" s="13"/>
    </row>
    <row r="3727" spans="1:2" x14ac:dyDescent="0.2">
      <c r="A3727" s="12"/>
      <c r="B3727" s="13"/>
    </row>
    <row r="3728" spans="1:2" x14ac:dyDescent="0.2">
      <c r="A3728" s="12"/>
      <c r="B3728" s="13"/>
    </row>
    <row r="3729" spans="1:2" x14ac:dyDescent="0.2">
      <c r="A3729" s="12"/>
      <c r="B3729" s="13"/>
    </row>
    <row r="3730" spans="1:2" x14ac:dyDescent="0.2">
      <c r="A3730" s="12"/>
      <c r="B3730" s="13"/>
    </row>
    <row r="3731" spans="1:2" x14ac:dyDescent="0.2">
      <c r="A3731" s="12"/>
      <c r="B3731" s="13"/>
    </row>
    <row r="3732" spans="1:2" x14ac:dyDescent="0.2">
      <c r="A3732" s="12"/>
      <c r="B3732" s="13"/>
    </row>
    <row r="3733" spans="1:2" x14ac:dyDescent="0.2">
      <c r="A3733" s="12"/>
      <c r="B3733" s="13"/>
    </row>
    <row r="3734" spans="1:2" x14ac:dyDescent="0.2">
      <c r="A3734" s="12"/>
      <c r="B3734" s="13"/>
    </row>
    <row r="3735" spans="1:2" x14ac:dyDescent="0.2">
      <c r="A3735" s="12"/>
      <c r="B3735" s="13"/>
    </row>
    <row r="3736" spans="1:2" x14ac:dyDescent="0.2">
      <c r="A3736" s="12"/>
      <c r="B3736" s="13"/>
    </row>
    <row r="3737" spans="1:2" x14ac:dyDescent="0.2">
      <c r="A3737" s="12"/>
      <c r="B3737" s="13"/>
    </row>
    <row r="3738" spans="1:2" x14ac:dyDescent="0.2">
      <c r="A3738" s="12"/>
      <c r="B3738" s="13"/>
    </row>
    <row r="3739" spans="1:2" x14ac:dyDescent="0.2">
      <c r="A3739" s="12"/>
      <c r="B3739" s="13"/>
    </row>
    <row r="3740" spans="1:2" x14ac:dyDescent="0.2">
      <c r="A3740" s="12"/>
      <c r="B3740" s="13"/>
    </row>
    <row r="3741" spans="1:2" x14ac:dyDescent="0.2">
      <c r="A3741" s="12"/>
      <c r="B3741" s="13"/>
    </row>
    <row r="3742" spans="1:2" x14ac:dyDescent="0.2">
      <c r="A3742" s="12"/>
      <c r="B3742" s="13"/>
    </row>
    <row r="3743" spans="1:2" x14ac:dyDescent="0.2">
      <c r="A3743" s="12"/>
      <c r="B3743" s="13"/>
    </row>
    <row r="3744" spans="1:2" x14ac:dyDescent="0.2">
      <c r="A3744" s="12"/>
      <c r="B3744" s="13"/>
    </row>
    <row r="3745" spans="1:2" x14ac:dyDescent="0.2">
      <c r="A3745" s="12"/>
      <c r="B3745" s="13"/>
    </row>
    <row r="3746" spans="1:2" x14ac:dyDescent="0.2">
      <c r="A3746" s="12"/>
      <c r="B3746" s="13"/>
    </row>
    <row r="3747" spans="1:2" x14ac:dyDescent="0.2">
      <c r="A3747" s="12"/>
      <c r="B3747" s="13"/>
    </row>
    <row r="3748" spans="1:2" x14ac:dyDescent="0.2">
      <c r="A3748" s="12"/>
      <c r="B3748" s="13"/>
    </row>
    <row r="3749" spans="1:2" x14ac:dyDescent="0.2">
      <c r="A3749" s="12"/>
      <c r="B3749" s="13"/>
    </row>
    <row r="3750" spans="1:2" x14ac:dyDescent="0.2">
      <c r="A3750" s="12"/>
      <c r="B3750" s="13"/>
    </row>
    <row r="3751" spans="1:2" x14ac:dyDescent="0.2">
      <c r="A3751" s="12"/>
      <c r="B3751" s="13"/>
    </row>
    <row r="3752" spans="1:2" x14ac:dyDescent="0.2">
      <c r="A3752" s="12"/>
      <c r="B3752" s="13"/>
    </row>
    <row r="3753" spans="1:2" x14ac:dyDescent="0.2">
      <c r="A3753" s="12"/>
      <c r="B3753" s="13"/>
    </row>
    <row r="3754" spans="1:2" x14ac:dyDescent="0.2">
      <c r="A3754" s="12"/>
      <c r="B3754" s="13"/>
    </row>
    <row r="3755" spans="1:2" x14ac:dyDescent="0.2">
      <c r="A3755" s="12"/>
      <c r="B3755" s="13"/>
    </row>
    <row r="3756" spans="1:2" x14ac:dyDescent="0.2">
      <c r="A3756" s="12"/>
      <c r="B3756" s="13"/>
    </row>
    <row r="3757" spans="1:2" x14ac:dyDescent="0.2">
      <c r="A3757" s="12"/>
      <c r="B3757" s="13"/>
    </row>
    <row r="3758" spans="1:2" x14ac:dyDescent="0.2">
      <c r="A3758" s="12"/>
      <c r="B3758" s="13"/>
    </row>
    <row r="3759" spans="1:2" x14ac:dyDescent="0.2">
      <c r="A3759" s="12"/>
      <c r="B3759" s="13"/>
    </row>
    <row r="3760" spans="1:2" x14ac:dyDescent="0.2">
      <c r="A3760" s="12"/>
      <c r="B3760" s="13"/>
    </row>
    <row r="3761" spans="1:2" x14ac:dyDescent="0.2">
      <c r="A3761" s="12"/>
      <c r="B3761" s="13"/>
    </row>
    <row r="3762" spans="1:2" x14ac:dyDescent="0.2">
      <c r="A3762" s="12"/>
      <c r="B3762" s="13"/>
    </row>
    <row r="3763" spans="1:2" x14ac:dyDescent="0.2">
      <c r="A3763" s="12"/>
      <c r="B3763" s="13"/>
    </row>
    <row r="3764" spans="1:2" x14ac:dyDescent="0.2">
      <c r="A3764" s="12"/>
      <c r="B3764" s="13"/>
    </row>
    <row r="3765" spans="1:2" x14ac:dyDescent="0.2">
      <c r="A3765" s="12"/>
      <c r="B3765" s="13"/>
    </row>
    <row r="3766" spans="1:2" x14ac:dyDescent="0.2">
      <c r="A3766" s="12"/>
      <c r="B3766" s="13"/>
    </row>
    <row r="3767" spans="1:2" x14ac:dyDescent="0.2">
      <c r="A3767" s="12"/>
      <c r="B3767" s="13"/>
    </row>
    <row r="3768" spans="1:2" x14ac:dyDescent="0.2">
      <c r="A3768" s="12"/>
      <c r="B3768" s="13"/>
    </row>
    <row r="3769" spans="1:2" x14ac:dyDescent="0.2">
      <c r="A3769" s="12"/>
      <c r="B3769" s="13"/>
    </row>
    <row r="3770" spans="1:2" x14ac:dyDescent="0.2">
      <c r="A3770" s="12"/>
      <c r="B3770" s="13"/>
    </row>
    <row r="3771" spans="1:2" x14ac:dyDescent="0.2">
      <c r="A3771" s="12"/>
      <c r="B3771" s="13"/>
    </row>
    <row r="3772" spans="1:2" x14ac:dyDescent="0.2">
      <c r="A3772" s="12"/>
      <c r="B3772" s="13"/>
    </row>
    <row r="3773" spans="1:2" x14ac:dyDescent="0.2">
      <c r="A3773" s="12"/>
      <c r="B3773" s="13"/>
    </row>
    <row r="3774" spans="1:2" x14ac:dyDescent="0.2">
      <c r="A3774" s="12"/>
      <c r="B3774" s="13"/>
    </row>
    <row r="3775" spans="1:2" x14ac:dyDescent="0.2">
      <c r="A3775" s="12"/>
      <c r="B3775" s="13"/>
    </row>
    <row r="3776" spans="1:2" x14ac:dyDescent="0.2">
      <c r="A3776" s="12"/>
      <c r="B3776" s="13"/>
    </row>
    <row r="3777" spans="1:2" x14ac:dyDescent="0.2">
      <c r="A3777" s="12"/>
      <c r="B3777" s="13"/>
    </row>
    <row r="3778" spans="1:2" x14ac:dyDescent="0.2">
      <c r="A3778" s="12"/>
      <c r="B3778" s="13"/>
    </row>
    <row r="3779" spans="1:2" x14ac:dyDescent="0.2">
      <c r="A3779" s="12"/>
      <c r="B3779" s="13"/>
    </row>
    <row r="3780" spans="1:2" x14ac:dyDescent="0.2">
      <c r="A3780" s="12"/>
      <c r="B3780" s="13"/>
    </row>
    <row r="3781" spans="1:2" x14ac:dyDescent="0.2">
      <c r="A3781" s="12"/>
      <c r="B3781" s="13"/>
    </row>
    <row r="3782" spans="1:2" x14ac:dyDescent="0.2">
      <c r="A3782" s="12"/>
      <c r="B3782" s="13"/>
    </row>
    <row r="3783" spans="1:2" x14ac:dyDescent="0.2">
      <c r="A3783" s="12"/>
      <c r="B3783" s="13"/>
    </row>
    <row r="3784" spans="1:2" x14ac:dyDescent="0.2">
      <c r="A3784" s="12"/>
      <c r="B3784" s="13"/>
    </row>
    <row r="3785" spans="1:2" x14ac:dyDescent="0.2">
      <c r="A3785" s="12"/>
      <c r="B3785" s="13"/>
    </row>
    <row r="3786" spans="1:2" x14ac:dyDescent="0.2">
      <c r="A3786" s="12"/>
      <c r="B3786" s="13"/>
    </row>
    <row r="3787" spans="1:2" x14ac:dyDescent="0.2">
      <c r="A3787" s="12"/>
      <c r="B3787" s="13"/>
    </row>
    <row r="3788" spans="1:2" x14ac:dyDescent="0.2">
      <c r="A3788" s="12"/>
      <c r="B3788" s="13"/>
    </row>
    <row r="3789" spans="1:2" x14ac:dyDescent="0.2">
      <c r="A3789" s="12"/>
      <c r="B3789" s="13"/>
    </row>
    <row r="3790" spans="1:2" x14ac:dyDescent="0.2">
      <c r="A3790" s="12"/>
      <c r="B3790" s="13"/>
    </row>
    <row r="3791" spans="1:2" x14ac:dyDescent="0.2">
      <c r="A3791" s="12"/>
      <c r="B3791" s="13"/>
    </row>
    <row r="3792" spans="1:2" x14ac:dyDescent="0.2">
      <c r="A3792" s="12"/>
      <c r="B3792" s="13"/>
    </row>
    <row r="3793" spans="1:2" x14ac:dyDescent="0.2">
      <c r="A3793" s="12"/>
      <c r="B3793" s="13"/>
    </row>
    <row r="3794" spans="1:2" x14ac:dyDescent="0.2">
      <c r="A3794" s="12"/>
      <c r="B3794" s="13"/>
    </row>
    <row r="3795" spans="1:2" x14ac:dyDescent="0.2">
      <c r="A3795" s="12"/>
      <c r="B3795" s="13"/>
    </row>
    <row r="3796" spans="1:2" x14ac:dyDescent="0.2">
      <c r="A3796" s="12"/>
      <c r="B3796" s="13"/>
    </row>
    <row r="3797" spans="1:2" x14ac:dyDescent="0.2">
      <c r="A3797" s="12"/>
      <c r="B3797" s="13"/>
    </row>
    <row r="3798" spans="1:2" x14ac:dyDescent="0.2">
      <c r="A3798" s="12"/>
      <c r="B3798" s="13"/>
    </row>
    <row r="3799" spans="1:2" x14ac:dyDescent="0.2">
      <c r="A3799" s="12"/>
      <c r="B3799" s="13"/>
    </row>
    <row r="3800" spans="1:2" x14ac:dyDescent="0.2">
      <c r="A3800" s="12"/>
      <c r="B3800" s="13"/>
    </row>
    <row r="3801" spans="1:2" x14ac:dyDescent="0.2">
      <c r="A3801" s="12"/>
      <c r="B3801" s="13"/>
    </row>
    <row r="3802" spans="1:2" x14ac:dyDescent="0.2">
      <c r="A3802" s="12"/>
      <c r="B3802" s="13"/>
    </row>
    <row r="3803" spans="1:2" x14ac:dyDescent="0.2">
      <c r="A3803" s="12"/>
      <c r="B3803" s="13"/>
    </row>
    <row r="3804" spans="1:2" x14ac:dyDescent="0.2">
      <c r="A3804" s="12"/>
      <c r="B3804" s="13"/>
    </row>
    <row r="3805" spans="1:2" x14ac:dyDescent="0.2">
      <c r="A3805" s="12"/>
      <c r="B3805" s="13"/>
    </row>
    <row r="3806" spans="1:2" x14ac:dyDescent="0.2">
      <c r="A3806" s="12"/>
      <c r="B3806" s="13"/>
    </row>
    <row r="3807" spans="1:2" x14ac:dyDescent="0.2">
      <c r="A3807" s="12"/>
      <c r="B3807" s="13"/>
    </row>
    <row r="3808" spans="1:2" x14ac:dyDescent="0.2">
      <c r="A3808" s="12"/>
      <c r="B3808" s="13"/>
    </row>
    <row r="3809" spans="1:2" x14ac:dyDescent="0.2">
      <c r="A3809" s="12"/>
      <c r="B3809" s="13"/>
    </row>
    <row r="3810" spans="1:2" x14ac:dyDescent="0.2">
      <c r="A3810" s="12"/>
      <c r="B3810" s="13"/>
    </row>
    <row r="3811" spans="1:2" x14ac:dyDescent="0.2">
      <c r="A3811" s="12"/>
      <c r="B3811" s="13"/>
    </row>
    <row r="3812" spans="1:2" x14ac:dyDescent="0.2">
      <c r="A3812" s="12"/>
      <c r="B3812" s="13"/>
    </row>
    <row r="3813" spans="1:2" x14ac:dyDescent="0.2">
      <c r="A3813" s="12"/>
      <c r="B3813" s="13"/>
    </row>
    <row r="3814" spans="1:2" x14ac:dyDescent="0.2">
      <c r="A3814" s="12"/>
      <c r="B3814" s="13"/>
    </row>
    <row r="3815" spans="1:2" x14ac:dyDescent="0.2">
      <c r="A3815" s="12"/>
      <c r="B3815" s="13"/>
    </row>
    <row r="3816" spans="1:2" x14ac:dyDescent="0.2">
      <c r="A3816" s="12"/>
      <c r="B3816" s="13"/>
    </row>
    <row r="3817" spans="1:2" x14ac:dyDescent="0.2">
      <c r="A3817" s="12"/>
      <c r="B3817" s="13"/>
    </row>
    <row r="3818" spans="1:2" x14ac:dyDescent="0.2">
      <c r="A3818" s="12"/>
      <c r="B3818" s="13"/>
    </row>
    <row r="3819" spans="1:2" x14ac:dyDescent="0.2">
      <c r="A3819" s="12"/>
      <c r="B3819" s="13"/>
    </row>
    <row r="3820" spans="1:2" x14ac:dyDescent="0.2">
      <c r="A3820" s="12"/>
      <c r="B3820" s="13"/>
    </row>
    <row r="3821" spans="1:2" x14ac:dyDescent="0.2">
      <c r="A3821" s="12"/>
      <c r="B3821" s="13"/>
    </row>
    <row r="3822" spans="1:2" x14ac:dyDescent="0.2">
      <c r="A3822" s="12"/>
      <c r="B3822" s="13"/>
    </row>
    <row r="3823" spans="1:2" x14ac:dyDescent="0.2">
      <c r="A3823" s="12"/>
      <c r="B3823" s="13"/>
    </row>
    <row r="3824" spans="1:2" x14ac:dyDescent="0.2">
      <c r="A3824" s="12"/>
      <c r="B3824" s="13"/>
    </row>
    <row r="3825" spans="1:2" x14ac:dyDescent="0.2">
      <c r="A3825" s="12"/>
      <c r="B3825" s="13"/>
    </row>
    <row r="3826" spans="1:2" x14ac:dyDescent="0.2">
      <c r="A3826" s="12"/>
      <c r="B3826" s="13"/>
    </row>
    <row r="3827" spans="1:2" x14ac:dyDescent="0.2">
      <c r="A3827" s="12"/>
      <c r="B3827" s="13"/>
    </row>
    <row r="3828" spans="1:2" x14ac:dyDescent="0.2">
      <c r="A3828" s="12"/>
      <c r="B3828" s="13"/>
    </row>
    <row r="3829" spans="1:2" x14ac:dyDescent="0.2">
      <c r="A3829" s="12"/>
      <c r="B3829" s="13"/>
    </row>
    <row r="3830" spans="1:2" x14ac:dyDescent="0.2">
      <c r="A3830" s="12"/>
      <c r="B3830" s="13"/>
    </row>
    <row r="3831" spans="1:2" x14ac:dyDescent="0.2">
      <c r="A3831" s="12"/>
      <c r="B3831" s="13"/>
    </row>
    <row r="3832" spans="1:2" x14ac:dyDescent="0.2">
      <c r="A3832" s="12"/>
      <c r="B3832" s="13"/>
    </row>
    <row r="3833" spans="1:2" x14ac:dyDescent="0.2">
      <c r="A3833" s="12"/>
      <c r="B3833" s="13"/>
    </row>
    <row r="3834" spans="1:2" x14ac:dyDescent="0.2">
      <c r="A3834" s="12"/>
      <c r="B3834" s="13"/>
    </row>
    <row r="3835" spans="1:2" x14ac:dyDescent="0.2">
      <c r="A3835" s="12"/>
      <c r="B3835" s="13"/>
    </row>
    <row r="3836" spans="1:2" x14ac:dyDescent="0.2">
      <c r="A3836" s="12"/>
      <c r="B3836" s="13"/>
    </row>
    <row r="3837" spans="1:2" x14ac:dyDescent="0.2">
      <c r="A3837" s="12"/>
      <c r="B3837" s="13"/>
    </row>
    <row r="3838" spans="1:2" x14ac:dyDescent="0.2">
      <c r="A3838" s="12"/>
      <c r="B3838" s="13"/>
    </row>
    <row r="3839" spans="1:2" x14ac:dyDescent="0.2">
      <c r="A3839" s="12"/>
      <c r="B3839" s="13"/>
    </row>
    <row r="3840" spans="1:2" x14ac:dyDescent="0.2">
      <c r="A3840" s="12"/>
      <c r="B3840" s="13"/>
    </row>
    <row r="3841" spans="1:2" x14ac:dyDescent="0.2">
      <c r="A3841" s="12"/>
      <c r="B3841" s="13"/>
    </row>
    <row r="3842" spans="1:2" x14ac:dyDescent="0.2">
      <c r="A3842" s="12"/>
      <c r="B3842" s="13"/>
    </row>
    <row r="3843" spans="1:2" x14ac:dyDescent="0.2">
      <c r="A3843" s="12"/>
      <c r="B3843" s="13"/>
    </row>
    <row r="3844" spans="1:2" x14ac:dyDescent="0.2">
      <c r="A3844" s="12"/>
      <c r="B3844" s="13"/>
    </row>
    <row r="3845" spans="1:2" x14ac:dyDescent="0.2">
      <c r="A3845" s="12"/>
      <c r="B3845" s="13"/>
    </row>
    <row r="3846" spans="1:2" x14ac:dyDescent="0.2">
      <c r="A3846" s="12"/>
      <c r="B3846" s="13"/>
    </row>
    <row r="3847" spans="1:2" x14ac:dyDescent="0.2">
      <c r="A3847" s="12"/>
      <c r="B3847" s="13"/>
    </row>
    <row r="3848" spans="1:2" x14ac:dyDescent="0.2">
      <c r="A3848" s="12"/>
      <c r="B3848" s="13"/>
    </row>
    <row r="3849" spans="1:2" x14ac:dyDescent="0.2">
      <c r="A3849" s="12"/>
      <c r="B3849" s="13"/>
    </row>
    <row r="3850" spans="1:2" x14ac:dyDescent="0.2">
      <c r="A3850" s="12"/>
      <c r="B3850" s="13"/>
    </row>
    <row r="3851" spans="1:2" x14ac:dyDescent="0.2">
      <c r="A3851" s="12"/>
      <c r="B3851" s="13"/>
    </row>
    <row r="3852" spans="1:2" x14ac:dyDescent="0.2">
      <c r="A3852" s="12"/>
      <c r="B3852" s="13"/>
    </row>
    <row r="3853" spans="1:2" x14ac:dyDescent="0.2">
      <c r="A3853" s="12"/>
      <c r="B3853" s="13"/>
    </row>
    <row r="3854" spans="1:2" x14ac:dyDescent="0.2">
      <c r="A3854" s="12"/>
      <c r="B3854" s="13"/>
    </row>
    <row r="3855" spans="1:2" x14ac:dyDescent="0.2">
      <c r="A3855" s="12"/>
      <c r="B3855" s="13"/>
    </row>
    <row r="3856" spans="1:2" x14ac:dyDescent="0.2">
      <c r="A3856" s="12"/>
      <c r="B3856" s="13"/>
    </row>
    <row r="3857" spans="1:2" x14ac:dyDescent="0.2">
      <c r="A3857" s="12"/>
      <c r="B3857" s="13"/>
    </row>
    <row r="3858" spans="1:2" x14ac:dyDescent="0.2">
      <c r="A3858" s="12"/>
      <c r="B3858" s="13"/>
    </row>
    <row r="3859" spans="1:2" x14ac:dyDescent="0.2">
      <c r="A3859" s="12"/>
      <c r="B3859" s="13"/>
    </row>
    <row r="3860" spans="1:2" x14ac:dyDescent="0.2">
      <c r="A3860" s="12"/>
      <c r="B3860" s="13"/>
    </row>
    <row r="3861" spans="1:2" x14ac:dyDescent="0.2">
      <c r="A3861" s="12"/>
      <c r="B3861" s="13"/>
    </row>
    <row r="3862" spans="1:2" x14ac:dyDescent="0.2">
      <c r="A3862" s="12"/>
      <c r="B3862" s="13"/>
    </row>
    <row r="3863" spans="1:2" x14ac:dyDescent="0.2">
      <c r="A3863" s="12"/>
      <c r="B3863" s="13"/>
    </row>
    <row r="3864" spans="1:2" x14ac:dyDescent="0.2">
      <c r="A3864" s="12"/>
      <c r="B3864" s="13"/>
    </row>
    <row r="3865" spans="1:2" x14ac:dyDescent="0.2">
      <c r="A3865" s="12"/>
      <c r="B3865" s="13"/>
    </row>
    <row r="3866" spans="1:2" x14ac:dyDescent="0.2">
      <c r="A3866" s="12"/>
      <c r="B3866" s="13"/>
    </row>
    <row r="3867" spans="1:2" x14ac:dyDescent="0.2">
      <c r="A3867" s="12"/>
      <c r="B3867" s="13"/>
    </row>
    <row r="3868" spans="1:2" x14ac:dyDescent="0.2">
      <c r="A3868" s="12"/>
      <c r="B3868" s="13"/>
    </row>
    <row r="3869" spans="1:2" x14ac:dyDescent="0.2">
      <c r="A3869" s="12"/>
      <c r="B3869" s="13"/>
    </row>
    <row r="3870" spans="1:2" x14ac:dyDescent="0.2">
      <c r="A3870" s="12"/>
      <c r="B3870" s="13"/>
    </row>
    <row r="3871" spans="1:2" x14ac:dyDescent="0.2">
      <c r="A3871" s="12"/>
      <c r="B3871" s="13"/>
    </row>
    <row r="3872" spans="1:2" x14ac:dyDescent="0.2">
      <c r="A3872" s="12"/>
      <c r="B3872" s="13"/>
    </row>
    <row r="3873" spans="1:2" x14ac:dyDescent="0.2">
      <c r="A3873" s="12"/>
      <c r="B3873" s="13"/>
    </row>
    <row r="3874" spans="1:2" x14ac:dyDescent="0.2">
      <c r="A3874" s="12"/>
      <c r="B3874" s="13"/>
    </row>
    <row r="3875" spans="1:2" x14ac:dyDescent="0.2">
      <c r="A3875" s="12"/>
      <c r="B3875" s="13"/>
    </row>
    <row r="3876" spans="1:2" x14ac:dyDescent="0.2">
      <c r="A3876" s="12"/>
      <c r="B3876" s="13"/>
    </row>
    <row r="3877" spans="1:2" x14ac:dyDescent="0.2">
      <c r="A3877" s="12"/>
      <c r="B3877" s="13"/>
    </row>
    <row r="3878" spans="1:2" x14ac:dyDescent="0.2">
      <c r="A3878" s="12"/>
      <c r="B3878" s="13"/>
    </row>
    <row r="3879" spans="1:2" x14ac:dyDescent="0.2">
      <c r="A3879" s="12"/>
      <c r="B3879" s="13"/>
    </row>
    <row r="3880" spans="1:2" x14ac:dyDescent="0.2">
      <c r="A3880" s="12"/>
      <c r="B3880" s="13"/>
    </row>
    <row r="3881" spans="1:2" x14ac:dyDescent="0.2">
      <c r="A3881" s="12"/>
      <c r="B3881" s="13"/>
    </row>
    <row r="3882" spans="1:2" x14ac:dyDescent="0.2">
      <c r="A3882" s="12"/>
      <c r="B3882" s="13"/>
    </row>
    <row r="3883" spans="1:2" x14ac:dyDescent="0.2">
      <c r="A3883" s="12"/>
      <c r="B3883" s="13"/>
    </row>
    <row r="3884" spans="1:2" x14ac:dyDescent="0.2">
      <c r="A3884" s="12"/>
      <c r="B3884" s="13"/>
    </row>
    <row r="3885" spans="1:2" x14ac:dyDescent="0.2">
      <c r="A3885" s="12"/>
      <c r="B3885" s="13"/>
    </row>
    <row r="3886" spans="1:2" x14ac:dyDescent="0.2">
      <c r="A3886" s="12"/>
      <c r="B3886" s="13"/>
    </row>
    <row r="3887" spans="1:2" x14ac:dyDescent="0.2">
      <c r="A3887" s="12"/>
      <c r="B3887" s="13"/>
    </row>
    <row r="3888" spans="1:2" x14ac:dyDescent="0.2">
      <c r="A3888" s="12"/>
      <c r="B3888" s="13"/>
    </row>
    <row r="3889" spans="1:2" x14ac:dyDescent="0.2">
      <c r="A3889" s="12"/>
      <c r="B3889" s="13"/>
    </row>
    <row r="3890" spans="1:2" x14ac:dyDescent="0.2">
      <c r="A3890" s="12"/>
      <c r="B3890" s="13"/>
    </row>
    <row r="3891" spans="1:2" x14ac:dyDescent="0.2">
      <c r="A3891" s="12"/>
      <c r="B3891" s="13"/>
    </row>
    <row r="3892" spans="1:2" x14ac:dyDescent="0.2">
      <c r="A3892" s="12"/>
      <c r="B3892" s="13"/>
    </row>
    <row r="3893" spans="1:2" x14ac:dyDescent="0.2">
      <c r="A3893" s="12"/>
      <c r="B3893" s="13"/>
    </row>
    <row r="3894" spans="1:2" x14ac:dyDescent="0.2">
      <c r="A3894" s="12"/>
      <c r="B3894" s="13"/>
    </row>
    <row r="3895" spans="1:2" x14ac:dyDescent="0.2">
      <c r="A3895" s="12"/>
      <c r="B3895" s="13"/>
    </row>
    <row r="3896" spans="1:2" x14ac:dyDescent="0.2">
      <c r="A3896" s="12"/>
      <c r="B3896" s="13"/>
    </row>
    <row r="3897" spans="1:2" x14ac:dyDescent="0.2">
      <c r="A3897" s="12"/>
      <c r="B3897" s="13"/>
    </row>
    <row r="3898" spans="1:2" x14ac:dyDescent="0.2">
      <c r="A3898" s="12"/>
      <c r="B3898" s="13"/>
    </row>
    <row r="3899" spans="1:2" x14ac:dyDescent="0.2">
      <c r="A3899" s="12"/>
      <c r="B3899" s="13"/>
    </row>
    <row r="3900" spans="1:2" x14ac:dyDescent="0.2">
      <c r="A3900" s="12"/>
      <c r="B3900" s="13"/>
    </row>
    <row r="3901" spans="1:2" x14ac:dyDescent="0.2">
      <c r="A3901" s="12"/>
      <c r="B3901" s="13"/>
    </row>
    <row r="3902" spans="1:2" x14ac:dyDescent="0.2">
      <c r="A3902" s="12"/>
      <c r="B3902" s="13"/>
    </row>
    <row r="3903" spans="1:2" x14ac:dyDescent="0.2">
      <c r="A3903" s="12"/>
      <c r="B3903" s="13"/>
    </row>
    <row r="3904" spans="1:2" x14ac:dyDescent="0.2">
      <c r="A3904" s="12"/>
      <c r="B3904" s="13"/>
    </row>
    <row r="3905" spans="1:2" x14ac:dyDescent="0.2">
      <c r="A3905" s="12"/>
      <c r="B3905" s="13"/>
    </row>
    <row r="3906" spans="1:2" x14ac:dyDescent="0.2">
      <c r="A3906" s="12"/>
      <c r="B3906" s="13"/>
    </row>
    <row r="3907" spans="1:2" x14ac:dyDescent="0.2">
      <c r="A3907" s="12"/>
      <c r="B3907" s="13"/>
    </row>
    <row r="3908" spans="1:2" x14ac:dyDescent="0.2">
      <c r="A3908" s="12"/>
      <c r="B3908" s="13"/>
    </row>
    <row r="3909" spans="1:2" x14ac:dyDescent="0.2">
      <c r="A3909" s="12"/>
      <c r="B3909" s="13"/>
    </row>
    <row r="3910" spans="1:2" x14ac:dyDescent="0.2">
      <c r="A3910" s="12"/>
      <c r="B3910" s="13"/>
    </row>
    <row r="3911" spans="1:2" x14ac:dyDescent="0.2">
      <c r="A3911" s="12"/>
      <c r="B3911" s="13"/>
    </row>
    <row r="3912" spans="1:2" x14ac:dyDescent="0.2">
      <c r="A3912" s="12"/>
      <c r="B3912" s="13"/>
    </row>
    <row r="3913" spans="1:2" x14ac:dyDescent="0.2">
      <c r="A3913" s="12"/>
      <c r="B3913" s="13"/>
    </row>
    <row r="3914" spans="1:2" x14ac:dyDescent="0.2">
      <c r="A3914" s="12"/>
      <c r="B3914" s="13"/>
    </row>
    <row r="3915" spans="1:2" x14ac:dyDescent="0.2">
      <c r="A3915" s="12"/>
      <c r="B3915" s="13"/>
    </row>
    <row r="3916" spans="1:2" x14ac:dyDescent="0.2">
      <c r="A3916" s="12"/>
      <c r="B3916" s="13"/>
    </row>
    <row r="3917" spans="1:2" x14ac:dyDescent="0.2">
      <c r="A3917" s="12"/>
      <c r="B3917" s="13"/>
    </row>
    <row r="3918" spans="1:2" x14ac:dyDescent="0.2">
      <c r="A3918" s="12"/>
      <c r="B3918" s="13"/>
    </row>
    <row r="3919" spans="1:2" x14ac:dyDescent="0.2">
      <c r="A3919" s="12"/>
      <c r="B3919" s="13"/>
    </row>
    <row r="3920" spans="1:2" x14ac:dyDescent="0.2">
      <c r="A3920" s="12"/>
      <c r="B3920" s="13"/>
    </row>
    <row r="3921" spans="1:2" x14ac:dyDescent="0.2">
      <c r="A3921" s="12"/>
      <c r="B3921" s="13"/>
    </row>
    <row r="3922" spans="1:2" x14ac:dyDescent="0.2">
      <c r="A3922" s="12"/>
      <c r="B3922" s="13"/>
    </row>
    <row r="3923" spans="1:2" x14ac:dyDescent="0.2">
      <c r="A3923" s="12"/>
      <c r="B3923" s="13"/>
    </row>
    <row r="3924" spans="1:2" x14ac:dyDescent="0.2">
      <c r="A3924" s="12"/>
      <c r="B3924" s="13"/>
    </row>
    <row r="3925" spans="1:2" x14ac:dyDescent="0.2">
      <c r="A3925" s="12"/>
      <c r="B3925" s="13"/>
    </row>
    <row r="3926" spans="1:2" x14ac:dyDescent="0.2">
      <c r="A3926" s="12"/>
      <c r="B3926" s="13"/>
    </row>
    <row r="3927" spans="1:2" x14ac:dyDescent="0.2">
      <c r="A3927" s="12"/>
      <c r="B3927" s="13"/>
    </row>
    <row r="3928" spans="1:2" x14ac:dyDescent="0.2">
      <c r="A3928" s="12"/>
      <c r="B3928" s="13"/>
    </row>
    <row r="3929" spans="1:2" x14ac:dyDescent="0.2">
      <c r="A3929" s="12"/>
      <c r="B3929" s="13"/>
    </row>
    <row r="3930" spans="1:2" x14ac:dyDescent="0.2">
      <c r="A3930" s="12"/>
      <c r="B3930" s="13"/>
    </row>
    <row r="3931" spans="1:2" x14ac:dyDescent="0.2">
      <c r="A3931" s="12"/>
      <c r="B3931" s="13"/>
    </row>
    <row r="3932" spans="1:2" x14ac:dyDescent="0.2">
      <c r="A3932" s="12"/>
      <c r="B3932" s="13"/>
    </row>
    <row r="3933" spans="1:2" x14ac:dyDescent="0.2">
      <c r="A3933" s="12"/>
      <c r="B3933" s="13"/>
    </row>
    <row r="3934" spans="1:2" x14ac:dyDescent="0.2">
      <c r="A3934" s="12"/>
      <c r="B3934" s="13"/>
    </row>
    <row r="3935" spans="1:2" x14ac:dyDescent="0.2">
      <c r="A3935" s="12"/>
      <c r="B3935" s="13"/>
    </row>
    <row r="3936" spans="1:2" x14ac:dyDescent="0.2">
      <c r="A3936" s="12"/>
      <c r="B3936" s="13"/>
    </row>
    <row r="3937" spans="1:2" x14ac:dyDescent="0.2">
      <c r="A3937" s="12"/>
      <c r="B3937" s="13"/>
    </row>
    <row r="3938" spans="1:2" x14ac:dyDescent="0.2">
      <c r="A3938" s="12"/>
      <c r="B3938" s="13"/>
    </row>
    <row r="3939" spans="1:2" x14ac:dyDescent="0.2">
      <c r="A3939" s="12"/>
      <c r="B3939" s="13"/>
    </row>
    <row r="3940" spans="1:2" x14ac:dyDescent="0.2">
      <c r="A3940" s="12"/>
      <c r="B3940" s="13"/>
    </row>
    <row r="3941" spans="1:2" x14ac:dyDescent="0.2">
      <c r="A3941" s="12"/>
      <c r="B3941" s="13"/>
    </row>
    <row r="3942" spans="1:2" x14ac:dyDescent="0.2">
      <c r="A3942" s="12"/>
      <c r="B3942" s="13"/>
    </row>
    <row r="3943" spans="1:2" x14ac:dyDescent="0.2">
      <c r="A3943" s="12"/>
      <c r="B3943" s="13"/>
    </row>
    <row r="3944" spans="1:2" x14ac:dyDescent="0.2">
      <c r="A3944" s="12"/>
      <c r="B3944" s="13"/>
    </row>
    <row r="3945" spans="1:2" x14ac:dyDescent="0.2">
      <c r="A3945" s="12"/>
      <c r="B3945" s="13"/>
    </row>
    <row r="3946" spans="1:2" x14ac:dyDescent="0.2">
      <c r="A3946" s="12"/>
      <c r="B3946" s="13"/>
    </row>
    <row r="3947" spans="1:2" x14ac:dyDescent="0.2">
      <c r="A3947" s="12"/>
      <c r="B3947" s="13"/>
    </row>
    <row r="3948" spans="1:2" x14ac:dyDescent="0.2">
      <c r="A3948" s="12"/>
      <c r="B3948" s="13"/>
    </row>
    <row r="3949" spans="1:2" x14ac:dyDescent="0.2">
      <c r="A3949" s="12"/>
      <c r="B3949" s="13"/>
    </row>
    <row r="3950" spans="1:2" x14ac:dyDescent="0.2">
      <c r="A3950" s="12"/>
      <c r="B3950" s="13"/>
    </row>
    <row r="3951" spans="1:2" x14ac:dyDescent="0.2">
      <c r="A3951" s="12"/>
      <c r="B3951" s="13"/>
    </row>
    <row r="3952" spans="1:2" x14ac:dyDescent="0.2">
      <c r="A3952" s="12"/>
      <c r="B3952" s="13"/>
    </row>
    <row r="3953" spans="1:2" x14ac:dyDescent="0.2">
      <c r="A3953" s="12"/>
      <c r="B3953" s="13"/>
    </row>
    <row r="3954" spans="1:2" x14ac:dyDescent="0.2">
      <c r="A3954" s="12"/>
      <c r="B3954" s="13"/>
    </row>
    <row r="3955" spans="1:2" x14ac:dyDescent="0.2">
      <c r="A3955" s="12"/>
      <c r="B3955" s="13"/>
    </row>
    <row r="3956" spans="1:2" x14ac:dyDescent="0.2">
      <c r="A3956" s="12"/>
      <c r="B3956" s="13"/>
    </row>
    <row r="3957" spans="1:2" x14ac:dyDescent="0.2">
      <c r="A3957" s="12"/>
      <c r="B3957" s="13"/>
    </row>
    <row r="3958" spans="1:2" x14ac:dyDescent="0.2">
      <c r="A3958" s="12"/>
      <c r="B3958" s="13"/>
    </row>
    <row r="3959" spans="1:2" x14ac:dyDescent="0.2">
      <c r="A3959" s="12"/>
      <c r="B3959" s="13"/>
    </row>
    <row r="3960" spans="1:2" x14ac:dyDescent="0.2">
      <c r="A3960" s="12"/>
      <c r="B3960" s="13"/>
    </row>
    <row r="3961" spans="1:2" x14ac:dyDescent="0.2">
      <c r="A3961" s="12"/>
      <c r="B3961" s="13"/>
    </row>
    <row r="3962" spans="1:2" x14ac:dyDescent="0.2">
      <c r="A3962" s="12"/>
      <c r="B3962" s="13"/>
    </row>
    <row r="3963" spans="1:2" x14ac:dyDescent="0.2">
      <c r="A3963" s="12"/>
      <c r="B3963" s="13"/>
    </row>
    <row r="3964" spans="1:2" x14ac:dyDescent="0.2">
      <c r="A3964" s="12"/>
      <c r="B3964" s="13"/>
    </row>
    <row r="3965" spans="1:2" x14ac:dyDescent="0.2">
      <c r="A3965" s="12"/>
      <c r="B3965" s="13"/>
    </row>
    <row r="3966" spans="1:2" x14ac:dyDescent="0.2">
      <c r="A3966" s="12"/>
      <c r="B3966" s="13"/>
    </row>
    <row r="3967" spans="1:2" x14ac:dyDescent="0.2">
      <c r="A3967" s="12"/>
      <c r="B3967" s="13"/>
    </row>
    <row r="3968" spans="1:2" x14ac:dyDescent="0.2">
      <c r="A3968" s="12"/>
      <c r="B3968" s="13"/>
    </row>
    <row r="3969" spans="1:2" x14ac:dyDescent="0.2">
      <c r="A3969" s="12"/>
      <c r="B3969" s="13"/>
    </row>
    <row r="3970" spans="1:2" x14ac:dyDescent="0.2">
      <c r="A3970" s="12"/>
      <c r="B3970" s="13"/>
    </row>
    <row r="3971" spans="1:2" x14ac:dyDescent="0.2">
      <c r="A3971" s="12"/>
      <c r="B3971" s="13"/>
    </row>
    <row r="3972" spans="1:2" x14ac:dyDescent="0.2">
      <c r="A3972" s="12"/>
      <c r="B3972" s="13"/>
    </row>
    <row r="3973" spans="1:2" x14ac:dyDescent="0.2">
      <c r="A3973" s="12"/>
      <c r="B3973" s="13"/>
    </row>
    <row r="3974" spans="1:2" x14ac:dyDescent="0.2">
      <c r="A3974" s="12"/>
      <c r="B3974" s="13"/>
    </row>
    <row r="3975" spans="1:2" x14ac:dyDescent="0.2">
      <c r="A3975" s="12"/>
      <c r="B3975" s="13"/>
    </row>
    <row r="3976" spans="1:2" x14ac:dyDescent="0.2">
      <c r="A3976" s="12"/>
      <c r="B3976" s="13"/>
    </row>
    <row r="3977" spans="1:2" x14ac:dyDescent="0.2">
      <c r="A3977" s="12"/>
      <c r="B3977" s="13"/>
    </row>
    <row r="3978" spans="1:2" x14ac:dyDescent="0.2">
      <c r="A3978" s="12"/>
      <c r="B3978" s="13"/>
    </row>
    <row r="3979" spans="1:2" x14ac:dyDescent="0.2">
      <c r="A3979" s="12"/>
      <c r="B3979" s="13"/>
    </row>
    <row r="3980" spans="1:2" x14ac:dyDescent="0.2">
      <c r="A3980" s="12"/>
      <c r="B3980" s="13"/>
    </row>
    <row r="3981" spans="1:2" x14ac:dyDescent="0.2">
      <c r="A3981" s="12"/>
      <c r="B3981" s="13"/>
    </row>
    <row r="3982" spans="1:2" x14ac:dyDescent="0.2">
      <c r="A3982" s="12"/>
      <c r="B3982" s="13"/>
    </row>
    <row r="3983" spans="1:2" x14ac:dyDescent="0.2">
      <c r="A3983" s="12"/>
      <c r="B3983" s="13"/>
    </row>
    <row r="3984" spans="1:2" x14ac:dyDescent="0.2">
      <c r="A3984" s="12"/>
      <c r="B3984" s="13"/>
    </row>
    <row r="3985" spans="1:2" x14ac:dyDescent="0.2">
      <c r="A3985" s="12"/>
      <c r="B3985" s="13"/>
    </row>
    <row r="3986" spans="1:2" x14ac:dyDescent="0.2">
      <c r="A3986" s="12"/>
      <c r="B3986" s="13"/>
    </row>
    <row r="3987" spans="1:2" x14ac:dyDescent="0.2">
      <c r="A3987" s="12"/>
      <c r="B3987" s="13"/>
    </row>
    <row r="3988" spans="1:2" x14ac:dyDescent="0.2">
      <c r="A3988" s="12"/>
      <c r="B3988" s="13"/>
    </row>
    <row r="3989" spans="1:2" x14ac:dyDescent="0.2">
      <c r="A3989" s="12"/>
      <c r="B3989" s="13"/>
    </row>
    <row r="3990" spans="1:2" x14ac:dyDescent="0.2">
      <c r="A3990" s="12"/>
      <c r="B3990" s="13"/>
    </row>
    <row r="3991" spans="1:2" x14ac:dyDescent="0.2">
      <c r="A3991" s="12"/>
      <c r="B3991" s="13"/>
    </row>
    <row r="3992" spans="1:2" x14ac:dyDescent="0.2">
      <c r="A3992" s="12"/>
      <c r="B3992" s="13"/>
    </row>
    <row r="3993" spans="1:2" x14ac:dyDescent="0.2">
      <c r="A3993" s="12"/>
      <c r="B3993" s="13"/>
    </row>
    <row r="3994" spans="1:2" x14ac:dyDescent="0.2">
      <c r="A3994" s="12"/>
      <c r="B3994" s="13"/>
    </row>
    <row r="3995" spans="1:2" x14ac:dyDescent="0.2">
      <c r="A3995" s="12"/>
      <c r="B3995" s="13"/>
    </row>
    <row r="3996" spans="1:2" x14ac:dyDescent="0.2">
      <c r="A3996" s="12"/>
      <c r="B3996" s="13"/>
    </row>
    <row r="3997" spans="1:2" x14ac:dyDescent="0.2">
      <c r="A3997" s="12"/>
      <c r="B3997" s="13"/>
    </row>
    <row r="3998" spans="1:2" x14ac:dyDescent="0.2">
      <c r="A3998" s="12"/>
      <c r="B3998" s="13"/>
    </row>
    <row r="3999" spans="1:2" x14ac:dyDescent="0.2">
      <c r="A3999" s="12"/>
      <c r="B3999" s="13"/>
    </row>
    <row r="4000" spans="1:2" x14ac:dyDescent="0.2">
      <c r="A4000" s="12"/>
      <c r="B4000" s="13"/>
    </row>
    <row r="4001" spans="1:2" x14ac:dyDescent="0.2">
      <c r="A4001" s="12"/>
      <c r="B4001" s="13"/>
    </row>
    <row r="4002" spans="1:2" x14ac:dyDescent="0.2">
      <c r="A4002" s="12"/>
      <c r="B4002" s="13"/>
    </row>
    <row r="4003" spans="1:2" x14ac:dyDescent="0.2">
      <c r="A4003" s="12"/>
      <c r="B4003" s="13"/>
    </row>
    <row r="4004" spans="1:2" x14ac:dyDescent="0.2">
      <c r="A4004" s="12"/>
      <c r="B4004" s="13"/>
    </row>
    <row r="4005" spans="1:2" x14ac:dyDescent="0.2">
      <c r="A4005" s="12"/>
      <c r="B4005" s="13"/>
    </row>
    <row r="4006" spans="1:2" x14ac:dyDescent="0.2">
      <c r="A4006" s="12"/>
      <c r="B4006" s="13"/>
    </row>
    <row r="4007" spans="1:2" x14ac:dyDescent="0.2">
      <c r="A4007" s="12"/>
      <c r="B4007" s="13"/>
    </row>
    <row r="4008" spans="1:2" x14ac:dyDescent="0.2">
      <c r="A4008" s="12"/>
      <c r="B4008" s="13"/>
    </row>
    <row r="4009" spans="1:2" x14ac:dyDescent="0.2">
      <c r="A4009" s="12"/>
      <c r="B4009" s="13"/>
    </row>
    <row r="4010" spans="1:2" x14ac:dyDescent="0.2">
      <c r="A4010" s="12"/>
      <c r="B4010" s="13"/>
    </row>
    <row r="4011" spans="1:2" x14ac:dyDescent="0.2">
      <c r="A4011" s="12"/>
      <c r="B4011" s="13"/>
    </row>
    <row r="4012" spans="1:2" x14ac:dyDescent="0.2">
      <c r="A4012" s="12"/>
      <c r="B4012" s="13"/>
    </row>
    <row r="4013" spans="1:2" x14ac:dyDescent="0.2">
      <c r="A4013" s="12"/>
      <c r="B4013" s="13"/>
    </row>
    <row r="4014" spans="1:2" x14ac:dyDescent="0.2">
      <c r="A4014" s="12"/>
      <c r="B4014" s="13"/>
    </row>
    <row r="4015" spans="1:2" x14ac:dyDescent="0.2">
      <c r="A4015" s="12"/>
      <c r="B4015" s="13"/>
    </row>
    <row r="4016" spans="1:2" x14ac:dyDescent="0.2">
      <c r="A4016" s="12"/>
      <c r="B4016" s="13"/>
    </row>
    <row r="4017" spans="1:2" x14ac:dyDescent="0.2">
      <c r="A4017" s="12"/>
      <c r="B4017" s="13"/>
    </row>
    <row r="4018" spans="1:2" x14ac:dyDescent="0.2">
      <c r="A4018" s="12"/>
      <c r="B4018" s="13"/>
    </row>
    <row r="4019" spans="1:2" x14ac:dyDescent="0.2">
      <c r="A4019" s="12"/>
      <c r="B4019" s="13"/>
    </row>
    <row r="4020" spans="1:2" x14ac:dyDescent="0.2">
      <c r="A4020" s="12"/>
      <c r="B4020" s="13"/>
    </row>
    <row r="4021" spans="1:2" x14ac:dyDescent="0.2">
      <c r="A4021" s="12"/>
      <c r="B4021" s="13"/>
    </row>
    <row r="4022" spans="1:2" x14ac:dyDescent="0.2">
      <c r="A4022" s="12"/>
      <c r="B4022" s="13"/>
    </row>
    <row r="4023" spans="1:2" x14ac:dyDescent="0.2">
      <c r="A4023" s="12"/>
      <c r="B4023" s="13"/>
    </row>
    <row r="4024" spans="1:2" x14ac:dyDescent="0.2">
      <c r="A4024" s="12"/>
      <c r="B4024" s="13"/>
    </row>
    <row r="4025" spans="1:2" x14ac:dyDescent="0.2">
      <c r="A4025" s="12"/>
      <c r="B4025" s="13"/>
    </row>
    <row r="4026" spans="1:2" x14ac:dyDescent="0.2">
      <c r="A4026" s="12"/>
      <c r="B4026" s="13"/>
    </row>
    <row r="4027" spans="1:2" x14ac:dyDescent="0.2">
      <c r="A4027" s="12"/>
      <c r="B4027" s="13"/>
    </row>
    <row r="4028" spans="1:2" x14ac:dyDescent="0.2">
      <c r="A4028" s="12"/>
      <c r="B4028" s="13"/>
    </row>
    <row r="4029" spans="1:2" x14ac:dyDescent="0.2">
      <c r="A4029" s="12"/>
      <c r="B4029" s="13"/>
    </row>
    <row r="4030" spans="1:2" x14ac:dyDescent="0.2">
      <c r="A4030" s="12"/>
      <c r="B4030" s="13"/>
    </row>
    <row r="4031" spans="1:2" x14ac:dyDescent="0.2">
      <c r="A4031" s="12"/>
      <c r="B4031" s="13"/>
    </row>
    <row r="4032" spans="1:2" x14ac:dyDescent="0.2">
      <c r="A4032" s="12"/>
      <c r="B4032" s="13"/>
    </row>
    <row r="4033" spans="1:2" x14ac:dyDescent="0.2">
      <c r="A4033" s="12"/>
      <c r="B4033" s="13"/>
    </row>
    <row r="4034" spans="1:2" x14ac:dyDescent="0.2">
      <c r="A4034" s="12"/>
      <c r="B4034" s="13"/>
    </row>
    <row r="4035" spans="1:2" x14ac:dyDescent="0.2">
      <c r="A4035" s="12"/>
      <c r="B4035" s="13"/>
    </row>
    <row r="4036" spans="1:2" x14ac:dyDescent="0.2">
      <c r="A4036" s="12"/>
      <c r="B4036" s="13"/>
    </row>
    <row r="4037" spans="1:2" x14ac:dyDescent="0.2">
      <c r="A4037" s="12"/>
      <c r="B4037" s="13"/>
    </row>
    <row r="4038" spans="1:2" x14ac:dyDescent="0.2">
      <c r="A4038" s="12"/>
      <c r="B4038" s="13"/>
    </row>
    <row r="4039" spans="1:2" x14ac:dyDescent="0.2">
      <c r="A4039" s="12"/>
      <c r="B4039" s="13"/>
    </row>
    <row r="4040" spans="1:2" x14ac:dyDescent="0.2">
      <c r="A4040" s="12"/>
      <c r="B4040" s="13"/>
    </row>
    <row r="4041" spans="1:2" x14ac:dyDescent="0.2">
      <c r="A4041" s="12"/>
      <c r="B4041" s="13"/>
    </row>
    <row r="4042" spans="1:2" x14ac:dyDescent="0.2">
      <c r="A4042" s="12"/>
      <c r="B4042" s="13"/>
    </row>
    <row r="4043" spans="1:2" x14ac:dyDescent="0.2">
      <c r="A4043" s="12"/>
      <c r="B4043" s="13"/>
    </row>
    <row r="4044" spans="1:2" x14ac:dyDescent="0.2">
      <c r="A4044" s="12"/>
      <c r="B4044" s="13"/>
    </row>
    <row r="4045" spans="1:2" x14ac:dyDescent="0.2">
      <c r="A4045" s="12"/>
      <c r="B4045" s="13"/>
    </row>
    <row r="4046" spans="1:2" x14ac:dyDescent="0.2">
      <c r="A4046" s="12"/>
      <c r="B4046" s="13"/>
    </row>
    <row r="4047" spans="1:2" x14ac:dyDescent="0.2">
      <c r="A4047" s="12"/>
      <c r="B4047" s="13"/>
    </row>
    <row r="4048" spans="1:2" x14ac:dyDescent="0.2">
      <c r="A4048" s="12"/>
      <c r="B4048" s="13"/>
    </row>
    <row r="4049" spans="1:2" x14ac:dyDescent="0.2">
      <c r="A4049" s="12"/>
      <c r="B4049" s="13"/>
    </row>
    <row r="4050" spans="1:2" x14ac:dyDescent="0.2">
      <c r="A4050" s="12"/>
      <c r="B4050" s="13"/>
    </row>
    <row r="4051" spans="1:2" x14ac:dyDescent="0.2">
      <c r="A4051" s="12"/>
      <c r="B4051" s="13"/>
    </row>
    <row r="4052" spans="1:2" x14ac:dyDescent="0.2">
      <c r="A4052" s="12"/>
      <c r="B4052" s="13"/>
    </row>
    <row r="4053" spans="1:2" x14ac:dyDescent="0.2">
      <c r="A4053" s="12"/>
      <c r="B4053" s="13"/>
    </row>
    <row r="4054" spans="1:2" x14ac:dyDescent="0.2">
      <c r="A4054" s="12"/>
      <c r="B4054" s="13"/>
    </row>
    <row r="4055" spans="1:2" x14ac:dyDescent="0.2">
      <c r="A4055" s="12"/>
      <c r="B4055" s="13"/>
    </row>
    <row r="4056" spans="1:2" x14ac:dyDescent="0.2">
      <c r="A4056" s="12"/>
      <c r="B4056" s="13"/>
    </row>
    <row r="4057" spans="1:2" x14ac:dyDescent="0.2">
      <c r="A4057" s="12"/>
      <c r="B4057" s="13"/>
    </row>
    <row r="4058" spans="1:2" x14ac:dyDescent="0.2">
      <c r="A4058" s="12"/>
      <c r="B4058" s="13"/>
    </row>
    <row r="4059" spans="1:2" x14ac:dyDescent="0.2">
      <c r="A4059" s="12"/>
      <c r="B4059" s="13"/>
    </row>
    <row r="4060" spans="1:2" x14ac:dyDescent="0.2">
      <c r="A4060" s="12"/>
      <c r="B4060" s="13"/>
    </row>
    <row r="4061" spans="1:2" x14ac:dyDescent="0.2">
      <c r="A4061" s="12"/>
      <c r="B4061" s="13"/>
    </row>
    <row r="4062" spans="1:2" x14ac:dyDescent="0.2">
      <c r="A4062" s="12"/>
      <c r="B4062" s="13"/>
    </row>
    <row r="4063" spans="1:2" x14ac:dyDescent="0.2">
      <c r="A4063" s="12"/>
      <c r="B4063" s="13"/>
    </row>
    <row r="4064" spans="1:2" x14ac:dyDescent="0.2">
      <c r="A4064" s="12"/>
      <c r="B4064" s="13"/>
    </row>
    <row r="4065" spans="1:2" x14ac:dyDescent="0.2">
      <c r="A4065" s="12"/>
      <c r="B4065" s="13"/>
    </row>
    <row r="4066" spans="1:2" x14ac:dyDescent="0.2">
      <c r="A4066" s="12"/>
      <c r="B4066" s="13"/>
    </row>
    <row r="4067" spans="1:2" x14ac:dyDescent="0.2">
      <c r="A4067" s="12"/>
      <c r="B4067" s="13"/>
    </row>
    <row r="4068" spans="1:2" x14ac:dyDescent="0.2">
      <c r="A4068" s="12"/>
      <c r="B4068" s="13"/>
    </row>
    <row r="4069" spans="1:2" x14ac:dyDescent="0.2">
      <c r="A4069" s="12"/>
      <c r="B4069" s="13"/>
    </row>
    <row r="4070" spans="1:2" x14ac:dyDescent="0.2">
      <c r="A4070" s="12"/>
      <c r="B4070" s="13"/>
    </row>
    <row r="4071" spans="1:2" x14ac:dyDescent="0.2">
      <c r="A4071" s="12"/>
      <c r="B4071" s="13"/>
    </row>
    <row r="4072" spans="1:2" x14ac:dyDescent="0.2">
      <c r="A4072" s="12"/>
      <c r="B4072" s="13"/>
    </row>
    <row r="4073" spans="1:2" x14ac:dyDescent="0.2">
      <c r="A4073" s="12"/>
      <c r="B4073" s="13"/>
    </row>
    <row r="4074" spans="1:2" x14ac:dyDescent="0.2">
      <c r="A4074" s="12"/>
      <c r="B4074" s="13"/>
    </row>
    <row r="4075" spans="1:2" x14ac:dyDescent="0.2">
      <c r="A4075" s="12"/>
      <c r="B4075" s="13"/>
    </row>
    <row r="4076" spans="1:2" x14ac:dyDescent="0.2">
      <c r="A4076" s="12"/>
      <c r="B4076" s="13"/>
    </row>
    <row r="4077" spans="1:2" x14ac:dyDescent="0.2">
      <c r="A4077" s="12"/>
      <c r="B4077" s="13"/>
    </row>
    <row r="4078" spans="1:2" x14ac:dyDescent="0.2">
      <c r="A4078" s="12"/>
      <c r="B4078" s="13"/>
    </row>
    <row r="4079" spans="1:2" x14ac:dyDescent="0.2">
      <c r="A4079" s="12"/>
      <c r="B4079" s="13"/>
    </row>
    <row r="4080" spans="1:2" x14ac:dyDescent="0.2">
      <c r="A4080" s="12"/>
      <c r="B4080" s="13"/>
    </row>
    <row r="4081" spans="1:2" x14ac:dyDescent="0.2">
      <c r="A4081" s="12"/>
      <c r="B4081" s="13"/>
    </row>
    <row r="4082" spans="1:2" x14ac:dyDescent="0.2">
      <c r="A4082" s="12"/>
      <c r="B4082" s="13"/>
    </row>
    <row r="4083" spans="1:2" x14ac:dyDescent="0.2">
      <c r="A4083" s="12"/>
      <c r="B4083" s="13"/>
    </row>
    <row r="4084" spans="1:2" x14ac:dyDescent="0.2">
      <c r="A4084" s="12"/>
      <c r="B4084" s="13"/>
    </row>
    <row r="4085" spans="1:2" x14ac:dyDescent="0.2">
      <c r="A4085" s="12"/>
      <c r="B4085" s="13"/>
    </row>
    <row r="4086" spans="1:2" x14ac:dyDescent="0.2">
      <c r="A4086" s="12"/>
      <c r="B4086" s="13"/>
    </row>
    <row r="4087" spans="1:2" x14ac:dyDescent="0.2">
      <c r="A4087" s="12"/>
      <c r="B4087" s="13"/>
    </row>
    <row r="4088" spans="1:2" x14ac:dyDescent="0.2">
      <c r="A4088" s="12"/>
      <c r="B4088" s="13"/>
    </row>
    <row r="4089" spans="1:2" x14ac:dyDescent="0.2">
      <c r="A4089" s="12"/>
      <c r="B4089" s="13"/>
    </row>
    <row r="4090" spans="1:2" x14ac:dyDescent="0.2">
      <c r="A4090" s="12"/>
      <c r="B4090" s="13"/>
    </row>
    <row r="4091" spans="1:2" x14ac:dyDescent="0.2">
      <c r="A4091" s="12"/>
      <c r="B4091" s="13"/>
    </row>
    <row r="4092" spans="1:2" x14ac:dyDescent="0.2">
      <c r="A4092" s="12"/>
      <c r="B4092" s="13"/>
    </row>
    <row r="4093" spans="1:2" x14ac:dyDescent="0.2">
      <c r="A4093" s="12"/>
      <c r="B4093" s="13"/>
    </row>
    <row r="4094" spans="1:2" x14ac:dyDescent="0.2">
      <c r="A4094" s="12"/>
      <c r="B4094" s="13"/>
    </row>
    <row r="4095" spans="1:2" x14ac:dyDescent="0.2">
      <c r="A4095" s="12"/>
      <c r="B4095" s="13"/>
    </row>
    <row r="4096" spans="1:2" x14ac:dyDescent="0.2">
      <c r="A4096" s="12"/>
      <c r="B4096" s="13"/>
    </row>
    <row r="4097" spans="1:2" x14ac:dyDescent="0.2">
      <c r="A4097" s="12"/>
      <c r="B4097" s="13"/>
    </row>
    <row r="4098" spans="1:2" x14ac:dyDescent="0.2">
      <c r="A4098" s="12"/>
      <c r="B4098" s="13"/>
    </row>
    <row r="4099" spans="1:2" x14ac:dyDescent="0.2">
      <c r="A4099" s="12"/>
      <c r="B4099" s="13"/>
    </row>
    <row r="4100" spans="1:2" x14ac:dyDescent="0.2">
      <c r="A4100" s="12"/>
      <c r="B4100" s="13"/>
    </row>
    <row r="4101" spans="1:2" x14ac:dyDescent="0.2">
      <c r="A4101" s="12"/>
      <c r="B4101" s="13"/>
    </row>
    <row r="4102" spans="1:2" x14ac:dyDescent="0.2">
      <c r="A4102" s="12"/>
      <c r="B4102" s="13"/>
    </row>
    <row r="4103" spans="1:2" x14ac:dyDescent="0.2">
      <c r="A4103" s="12"/>
      <c r="B4103" s="13"/>
    </row>
    <row r="4104" spans="1:2" x14ac:dyDescent="0.2">
      <c r="A4104" s="12"/>
      <c r="B4104" s="13"/>
    </row>
    <row r="4105" spans="1:2" x14ac:dyDescent="0.2">
      <c r="A4105" s="12"/>
      <c r="B4105" s="13"/>
    </row>
    <row r="4106" spans="1:2" x14ac:dyDescent="0.2">
      <c r="A4106" s="12"/>
      <c r="B4106" s="13"/>
    </row>
    <row r="4107" spans="1:2" x14ac:dyDescent="0.2">
      <c r="A4107" s="12"/>
      <c r="B4107" s="13"/>
    </row>
    <row r="4108" spans="1:2" x14ac:dyDescent="0.2">
      <c r="A4108" s="12"/>
      <c r="B4108" s="13"/>
    </row>
    <row r="4109" spans="1:2" x14ac:dyDescent="0.2">
      <c r="A4109" s="12"/>
      <c r="B4109" s="13"/>
    </row>
    <row r="4110" spans="1:2" x14ac:dyDescent="0.2">
      <c r="A4110" s="12"/>
      <c r="B4110" s="13"/>
    </row>
    <row r="4111" spans="1:2" x14ac:dyDescent="0.2">
      <c r="A4111" s="12"/>
      <c r="B4111" s="13"/>
    </row>
    <row r="4112" spans="1:2" x14ac:dyDescent="0.2">
      <c r="A4112" s="12"/>
      <c r="B4112" s="13"/>
    </row>
    <row r="4113" spans="1:2" x14ac:dyDescent="0.2">
      <c r="A4113" s="12"/>
      <c r="B4113" s="13"/>
    </row>
    <row r="4114" spans="1:2" x14ac:dyDescent="0.2">
      <c r="A4114" s="12"/>
      <c r="B4114" s="13"/>
    </row>
    <row r="4115" spans="1:2" x14ac:dyDescent="0.2">
      <c r="A4115" s="12"/>
      <c r="B4115" s="13"/>
    </row>
    <row r="4116" spans="1:2" x14ac:dyDescent="0.2">
      <c r="A4116" s="12"/>
      <c r="B4116" s="13"/>
    </row>
    <row r="4117" spans="1:2" x14ac:dyDescent="0.2">
      <c r="A4117" s="12"/>
      <c r="B4117" s="13"/>
    </row>
    <row r="4118" spans="1:2" x14ac:dyDescent="0.2">
      <c r="A4118" s="12"/>
      <c r="B4118" s="13"/>
    </row>
    <row r="4119" spans="1:2" x14ac:dyDescent="0.2">
      <c r="A4119" s="12"/>
      <c r="B4119" s="13"/>
    </row>
    <row r="4120" spans="1:2" x14ac:dyDescent="0.2">
      <c r="A4120" s="12"/>
      <c r="B4120" s="13"/>
    </row>
    <row r="4121" spans="1:2" x14ac:dyDescent="0.2">
      <c r="A4121" s="12"/>
      <c r="B4121" s="13"/>
    </row>
    <row r="4122" spans="1:2" x14ac:dyDescent="0.2">
      <c r="A4122" s="12"/>
      <c r="B4122" s="13"/>
    </row>
    <row r="4123" spans="1:2" x14ac:dyDescent="0.2">
      <c r="A4123" s="12"/>
      <c r="B4123" s="13"/>
    </row>
    <row r="4124" spans="1:2" x14ac:dyDescent="0.2">
      <c r="A4124" s="12"/>
      <c r="B4124" s="13"/>
    </row>
    <row r="4125" spans="1:2" x14ac:dyDescent="0.2">
      <c r="A4125" s="12"/>
      <c r="B4125" s="13"/>
    </row>
    <row r="4126" spans="1:2" x14ac:dyDescent="0.2">
      <c r="A4126" s="12"/>
      <c r="B4126" s="13"/>
    </row>
    <row r="4127" spans="1:2" x14ac:dyDescent="0.2">
      <c r="A4127" s="12"/>
      <c r="B4127" s="13"/>
    </row>
    <row r="4128" spans="1:2" x14ac:dyDescent="0.2">
      <c r="A4128" s="12"/>
      <c r="B4128" s="13"/>
    </row>
    <row r="4129" spans="1:2" x14ac:dyDescent="0.2">
      <c r="A4129" s="12"/>
      <c r="B4129" s="13"/>
    </row>
    <row r="4130" spans="1:2" x14ac:dyDescent="0.2">
      <c r="A4130" s="12"/>
      <c r="B4130" s="13"/>
    </row>
    <row r="4131" spans="1:2" x14ac:dyDescent="0.2">
      <c r="A4131" s="12"/>
      <c r="B4131" s="13"/>
    </row>
    <row r="4132" spans="1:2" x14ac:dyDescent="0.2">
      <c r="A4132" s="12"/>
      <c r="B4132" s="13"/>
    </row>
    <row r="4133" spans="1:2" x14ac:dyDescent="0.2">
      <c r="A4133" s="12"/>
      <c r="B4133" s="13"/>
    </row>
    <row r="4134" spans="1:2" x14ac:dyDescent="0.2">
      <c r="A4134" s="12"/>
      <c r="B4134" s="13"/>
    </row>
    <row r="4135" spans="1:2" x14ac:dyDescent="0.2">
      <c r="A4135" s="12"/>
      <c r="B4135" s="13"/>
    </row>
    <row r="4136" spans="1:2" x14ac:dyDescent="0.2">
      <c r="A4136" s="12"/>
      <c r="B4136" s="13"/>
    </row>
    <row r="4137" spans="1:2" x14ac:dyDescent="0.2">
      <c r="A4137" s="12"/>
      <c r="B4137" s="13"/>
    </row>
    <row r="4138" spans="1:2" x14ac:dyDescent="0.2">
      <c r="A4138" s="12"/>
      <c r="B4138" s="13"/>
    </row>
    <row r="4139" spans="1:2" x14ac:dyDescent="0.2">
      <c r="A4139" s="12"/>
      <c r="B4139" s="13"/>
    </row>
    <row r="4140" spans="1:2" x14ac:dyDescent="0.2">
      <c r="A4140" s="12"/>
      <c r="B4140" s="13"/>
    </row>
    <row r="4141" spans="1:2" x14ac:dyDescent="0.2">
      <c r="A4141" s="12"/>
      <c r="B4141" s="13"/>
    </row>
    <row r="4142" spans="1:2" x14ac:dyDescent="0.2">
      <c r="A4142" s="12"/>
      <c r="B4142" s="13"/>
    </row>
    <row r="4143" spans="1:2" x14ac:dyDescent="0.2">
      <c r="A4143" s="12"/>
      <c r="B4143" s="13"/>
    </row>
    <row r="4144" spans="1:2" x14ac:dyDescent="0.2">
      <c r="A4144" s="12"/>
      <c r="B4144" s="13"/>
    </row>
    <row r="4145" spans="1:2" x14ac:dyDescent="0.2">
      <c r="A4145" s="12"/>
      <c r="B4145" s="13"/>
    </row>
    <row r="4146" spans="1:2" x14ac:dyDescent="0.2">
      <c r="A4146" s="12"/>
      <c r="B4146" s="13"/>
    </row>
    <row r="4147" spans="1:2" x14ac:dyDescent="0.2">
      <c r="A4147" s="12"/>
      <c r="B4147" s="13"/>
    </row>
    <row r="4148" spans="1:2" x14ac:dyDescent="0.2">
      <c r="A4148" s="12"/>
      <c r="B4148" s="13"/>
    </row>
    <row r="4149" spans="1:2" x14ac:dyDescent="0.2">
      <c r="A4149" s="12"/>
      <c r="B4149" s="13"/>
    </row>
    <row r="4150" spans="1:2" x14ac:dyDescent="0.2">
      <c r="A4150" s="12"/>
      <c r="B4150" s="13"/>
    </row>
    <row r="4151" spans="1:2" x14ac:dyDescent="0.2">
      <c r="A4151" s="12"/>
      <c r="B4151" s="13"/>
    </row>
    <row r="4152" spans="1:2" x14ac:dyDescent="0.2">
      <c r="A4152" s="12"/>
      <c r="B4152" s="13"/>
    </row>
    <row r="4153" spans="1:2" x14ac:dyDescent="0.2">
      <c r="A4153" s="12"/>
      <c r="B4153" s="13"/>
    </row>
    <row r="4154" spans="1:2" x14ac:dyDescent="0.2">
      <c r="A4154" s="12"/>
      <c r="B4154" s="13"/>
    </row>
    <row r="4155" spans="1:2" x14ac:dyDescent="0.2">
      <c r="A4155" s="12"/>
      <c r="B4155" s="13"/>
    </row>
    <row r="4156" spans="1:2" x14ac:dyDescent="0.2">
      <c r="A4156" s="12"/>
      <c r="B4156" s="13"/>
    </row>
    <row r="4157" spans="1:2" x14ac:dyDescent="0.2">
      <c r="A4157" s="12"/>
      <c r="B4157" s="13"/>
    </row>
    <row r="4158" spans="1:2" x14ac:dyDescent="0.2">
      <c r="A4158" s="12"/>
      <c r="B4158" s="13"/>
    </row>
    <row r="4159" spans="1:2" x14ac:dyDescent="0.2">
      <c r="A4159" s="12"/>
      <c r="B4159" s="13"/>
    </row>
    <row r="4160" spans="1:2" x14ac:dyDescent="0.2">
      <c r="A4160" s="12"/>
      <c r="B4160" s="13"/>
    </row>
    <row r="4161" spans="1:2" x14ac:dyDescent="0.2">
      <c r="A4161" s="12"/>
      <c r="B4161" s="13"/>
    </row>
    <row r="4162" spans="1:2" x14ac:dyDescent="0.2">
      <c r="A4162" s="12"/>
      <c r="B4162" s="13"/>
    </row>
    <row r="4163" spans="1:2" x14ac:dyDescent="0.2">
      <c r="A4163" s="12"/>
      <c r="B4163" s="13"/>
    </row>
    <row r="4164" spans="1:2" x14ac:dyDescent="0.2">
      <c r="A4164" s="12"/>
      <c r="B4164" s="13"/>
    </row>
    <row r="4165" spans="1:2" x14ac:dyDescent="0.2">
      <c r="A4165" s="12"/>
      <c r="B4165" s="13"/>
    </row>
    <row r="4166" spans="1:2" x14ac:dyDescent="0.2">
      <c r="A4166" s="12"/>
      <c r="B4166" s="13"/>
    </row>
    <row r="4167" spans="1:2" x14ac:dyDescent="0.2">
      <c r="A4167" s="12"/>
      <c r="B4167" s="13"/>
    </row>
    <row r="4168" spans="1:2" x14ac:dyDescent="0.2">
      <c r="A4168" s="12"/>
      <c r="B4168" s="13"/>
    </row>
    <row r="4169" spans="1:2" x14ac:dyDescent="0.2">
      <c r="A4169" s="12"/>
      <c r="B4169" s="13"/>
    </row>
    <row r="4170" spans="1:2" x14ac:dyDescent="0.2">
      <c r="A4170" s="12"/>
      <c r="B4170" s="13"/>
    </row>
    <row r="4171" spans="1:2" x14ac:dyDescent="0.2">
      <c r="A4171" s="12"/>
      <c r="B4171" s="13"/>
    </row>
    <row r="4172" spans="1:2" x14ac:dyDescent="0.2">
      <c r="A4172" s="12"/>
      <c r="B4172" s="13"/>
    </row>
    <row r="4173" spans="1:2" x14ac:dyDescent="0.2">
      <c r="A4173" s="12"/>
      <c r="B4173" s="13"/>
    </row>
    <row r="4174" spans="1:2" x14ac:dyDescent="0.2">
      <c r="A4174" s="12"/>
      <c r="B4174" s="13"/>
    </row>
    <row r="4175" spans="1:2" x14ac:dyDescent="0.2">
      <c r="A4175" s="12"/>
      <c r="B4175" s="13"/>
    </row>
    <row r="4176" spans="1:2" x14ac:dyDescent="0.2">
      <c r="A4176" s="12"/>
      <c r="B4176" s="13"/>
    </row>
    <row r="4177" spans="1:2" x14ac:dyDescent="0.2">
      <c r="A4177" s="12"/>
      <c r="B4177" s="13"/>
    </row>
    <row r="4178" spans="1:2" x14ac:dyDescent="0.2">
      <c r="A4178" s="12"/>
      <c r="B4178" s="13"/>
    </row>
    <row r="4179" spans="1:2" x14ac:dyDescent="0.2">
      <c r="A4179" s="12"/>
      <c r="B4179" s="13"/>
    </row>
    <row r="4180" spans="1:2" x14ac:dyDescent="0.2">
      <c r="A4180" s="12"/>
      <c r="B4180" s="13"/>
    </row>
    <row r="4181" spans="1:2" x14ac:dyDescent="0.2">
      <c r="A4181" s="12"/>
      <c r="B4181" s="13"/>
    </row>
    <row r="4182" spans="1:2" x14ac:dyDescent="0.2">
      <c r="A4182" s="12"/>
      <c r="B4182" s="13"/>
    </row>
    <row r="4183" spans="1:2" x14ac:dyDescent="0.2">
      <c r="A4183" s="12"/>
      <c r="B4183" s="13"/>
    </row>
    <row r="4184" spans="1:2" x14ac:dyDescent="0.2">
      <c r="A4184" s="12"/>
      <c r="B4184" s="13"/>
    </row>
    <row r="4185" spans="1:2" x14ac:dyDescent="0.2">
      <c r="A4185" s="12"/>
      <c r="B4185" s="13"/>
    </row>
    <row r="4186" spans="1:2" x14ac:dyDescent="0.2">
      <c r="A4186" s="12"/>
      <c r="B4186" s="13"/>
    </row>
    <row r="4187" spans="1:2" x14ac:dyDescent="0.2">
      <c r="A4187" s="12"/>
      <c r="B4187" s="13"/>
    </row>
    <row r="4188" spans="1:2" x14ac:dyDescent="0.2">
      <c r="A4188" s="12"/>
      <c r="B4188" s="13"/>
    </row>
    <row r="4189" spans="1:2" x14ac:dyDescent="0.2">
      <c r="A4189" s="12"/>
      <c r="B4189" s="13"/>
    </row>
    <row r="4190" spans="1:2" x14ac:dyDescent="0.2">
      <c r="A4190" s="12"/>
      <c r="B4190" s="13"/>
    </row>
    <row r="4191" spans="1:2" x14ac:dyDescent="0.2">
      <c r="A4191" s="12"/>
      <c r="B4191" s="13"/>
    </row>
    <row r="4192" spans="1:2" x14ac:dyDescent="0.2">
      <c r="A4192" s="12"/>
      <c r="B4192" s="13"/>
    </row>
    <row r="4193" spans="1:2" x14ac:dyDescent="0.2">
      <c r="A4193" s="12"/>
      <c r="B4193" s="13"/>
    </row>
    <row r="4194" spans="1:2" x14ac:dyDescent="0.2">
      <c r="A4194" s="12"/>
      <c r="B4194" s="13"/>
    </row>
    <row r="4195" spans="1:2" x14ac:dyDescent="0.2">
      <c r="A4195" s="12"/>
      <c r="B4195" s="13"/>
    </row>
    <row r="4196" spans="1:2" x14ac:dyDescent="0.2">
      <c r="A4196" s="12"/>
      <c r="B4196" s="13"/>
    </row>
    <row r="4197" spans="1:2" x14ac:dyDescent="0.2">
      <c r="A4197" s="12"/>
      <c r="B4197" s="13"/>
    </row>
    <row r="4198" spans="1:2" x14ac:dyDescent="0.2">
      <c r="A4198" s="12"/>
      <c r="B4198" s="13"/>
    </row>
    <row r="4199" spans="1:2" x14ac:dyDescent="0.2">
      <c r="A4199" s="12"/>
      <c r="B4199" s="13"/>
    </row>
    <row r="4200" spans="1:2" x14ac:dyDescent="0.2">
      <c r="A4200" s="12"/>
      <c r="B4200" s="13"/>
    </row>
    <row r="4201" spans="1:2" x14ac:dyDescent="0.2">
      <c r="A4201" s="12"/>
      <c r="B4201" s="13"/>
    </row>
    <row r="4202" spans="1:2" x14ac:dyDescent="0.2">
      <c r="A4202" s="12"/>
      <c r="B4202" s="13"/>
    </row>
    <row r="4203" spans="1:2" x14ac:dyDescent="0.2">
      <c r="A4203" s="12"/>
      <c r="B4203" s="13"/>
    </row>
    <row r="4204" spans="1:2" x14ac:dyDescent="0.2">
      <c r="A4204" s="12"/>
      <c r="B4204" s="13"/>
    </row>
    <row r="4205" spans="1:2" x14ac:dyDescent="0.2">
      <c r="A4205" s="12"/>
      <c r="B4205" s="13"/>
    </row>
    <row r="4206" spans="1:2" x14ac:dyDescent="0.2">
      <c r="A4206" s="12"/>
      <c r="B4206" s="13"/>
    </row>
    <row r="4207" spans="1:2" x14ac:dyDescent="0.2">
      <c r="A4207" s="12"/>
      <c r="B4207" s="13"/>
    </row>
    <row r="4208" spans="1:2" x14ac:dyDescent="0.2">
      <c r="A4208" s="12"/>
      <c r="B4208" s="13"/>
    </row>
    <row r="4209" spans="1:2" x14ac:dyDescent="0.2">
      <c r="A4209" s="12"/>
      <c r="B4209" s="13"/>
    </row>
    <row r="4210" spans="1:2" x14ac:dyDescent="0.2">
      <c r="A4210" s="12"/>
      <c r="B4210" s="13"/>
    </row>
    <row r="4211" spans="1:2" x14ac:dyDescent="0.2">
      <c r="A4211" s="12"/>
      <c r="B4211" s="13"/>
    </row>
    <row r="4212" spans="1:2" x14ac:dyDescent="0.2">
      <c r="A4212" s="12"/>
      <c r="B4212" s="13"/>
    </row>
    <row r="4213" spans="1:2" x14ac:dyDescent="0.2">
      <c r="A4213" s="12"/>
      <c r="B4213" s="13"/>
    </row>
    <row r="4214" spans="1:2" x14ac:dyDescent="0.2">
      <c r="A4214" s="12"/>
      <c r="B4214" s="13"/>
    </row>
    <row r="4215" spans="1:2" x14ac:dyDescent="0.2">
      <c r="A4215" s="12"/>
      <c r="B4215" s="13"/>
    </row>
    <row r="4216" spans="1:2" x14ac:dyDescent="0.2">
      <c r="A4216" s="12"/>
      <c r="B4216" s="13"/>
    </row>
    <row r="4217" spans="1:2" x14ac:dyDescent="0.2">
      <c r="A4217" s="12"/>
      <c r="B4217" s="13"/>
    </row>
    <row r="4218" spans="1:2" x14ac:dyDescent="0.2">
      <c r="A4218" s="12"/>
      <c r="B4218" s="13"/>
    </row>
    <row r="4219" spans="1:2" x14ac:dyDescent="0.2">
      <c r="A4219" s="12"/>
      <c r="B4219" s="13"/>
    </row>
    <row r="4220" spans="1:2" x14ac:dyDescent="0.2">
      <c r="A4220" s="12"/>
      <c r="B4220" s="13"/>
    </row>
    <row r="4221" spans="1:2" x14ac:dyDescent="0.2">
      <c r="A4221" s="12"/>
      <c r="B4221" s="13"/>
    </row>
    <row r="4222" spans="1:2" x14ac:dyDescent="0.2">
      <c r="A4222" s="12"/>
      <c r="B4222" s="13"/>
    </row>
    <row r="4223" spans="1:2" x14ac:dyDescent="0.2">
      <c r="A4223" s="12"/>
      <c r="B4223" s="13"/>
    </row>
    <row r="4224" spans="1:2" x14ac:dyDescent="0.2">
      <c r="A4224" s="12"/>
      <c r="B4224" s="13"/>
    </row>
    <row r="4225" spans="1:2" x14ac:dyDescent="0.2">
      <c r="A4225" s="12"/>
      <c r="B4225" s="13"/>
    </row>
    <row r="4226" spans="1:2" x14ac:dyDescent="0.2">
      <c r="A4226" s="12"/>
      <c r="B4226" s="13"/>
    </row>
    <row r="4227" spans="1:2" x14ac:dyDescent="0.2">
      <c r="A4227" s="12"/>
      <c r="B4227" s="13"/>
    </row>
    <row r="4228" spans="1:2" x14ac:dyDescent="0.2">
      <c r="A4228" s="12"/>
      <c r="B4228" s="13"/>
    </row>
    <row r="4229" spans="1:2" x14ac:dyDescent="0.2">
      <c r="A4229" s="12"/>
      <c r="B4229" s="13"/>
    </row>
    <row r="4230" spans="1:2" x14ac:dyDescent="0.2">
      <c r="A4230" s="12"/>
      <c r="B4230" s="13"/>
    </row>
    <row r="4231" spans="1:2" x14ac:dyDescent="0.2">
      <c r="A4231" s="12"/>
      <c r="B4231" s="13"/>
    </row>
    <row r="4232" spans="1:2" x14ac:dyDescent="0.2">
      <c r="A4232" s="12"/>
      <c r="B4232" s="13"/>
    </row>
    <row r="4233" spans="1:2" x14ac:dyDescent="0.2">
      <c r="A4233" s="12"/>
      <c r="B4233" s="13"/>
    </row>
    <row r="4234" spans="1:2" x14ac:dyDescent="0.2">
      <c r="A4234" s="12"/>
      <c r="B4234" s="13"/>
    </row>
    <row r="4235" spans="1:2" x14ac:dyDescent="0.2">
      <c r="A4235" s="12"/>
      <c r="B4235" s="13"/>
    </row>
    <row r="4236" spans="1:2" x14ac:dyDescent="0.2">
      <c r="A4236" s="12"/>
      <c r="B4236" s="13"/>
    </row>
    <row r="4237" spans="1:2" x14ac:dyDescent="0.2">
      <c r="A4237" s="12"/>
      <c r="B4237" s="13"/>
    </row>
    <row r="4238" spans="1:2" x14ac:dyDescent="0.2">
      <c r="A4238" s="12"/>
      <c r="B4238" s="13"/>
    </row>
    <row r="4239" spans="1:2" x14ac:dyDescent="0.2">
      <c r="A4239" s="12"/>
      <c r="B4239" s="13"/>
    </row>
    <row r="4240" spans="1:2" x14ac:dyDescent="0.2">
      <c r="A4240" s="12"/>
      <c r="B4240" s="13"/>
    </row>
    <row r="4241" spans="1:2" x14ac:dyDescent="0.2">
      <c r="A4241" s="12"/>
      <c r="B4241" s="13"/>
    </row>
    <row r="4242" spans="1:2" x14ac:dyDescent="0.2">
      <c r="A4242" s="12"/>
      <c r="B4242" s="13"/>
    </row>
    <row r="4243" spans="1:2" x14ac:dyDescent="0.2">
      <c r="A4243" s="12"/>
      <c r="B4243" s="13"/>
    </row>
    <row r="4244" spans="1:2" x14ac:dyDescent="0.2">
      <c r="A4244" s="12"/>
      <c r="B4244" s="13"/>
    </row>
    <row r="4245" spans="1:2" x14ac:dyDescent="0.2">
      <c r="A4245" s="12"/>
      <c r="B4245" s="13"/>
    </row>
    <row r="4246" spans="1:2" x14ac:dyDescent="0.2">
      <c r="A4246" s="12"/>
      <c r="B4246" s="13"/>
    </row>
    <row r="4247" spans="1:2" x14ac:dyDescent="0.2">
      <c r="A4247" s="12"/>
      <c r="B4247" s="13"/>
    </row>
    <row r="4248" spans="1:2" x14ac:dyDescent="0.2">
      <c r="A4248" s="12"/>
      <c r="B4248" s="13"/>
    </row>
    <row r="4249" spans="1:2" x14ac:dyDescent="0.2">
      <c r="A4249" s="12"/>
      <c r="B4249" s="13"/>
    </row>
    <row r="4250" spans="1:2" x14ac:dyDescent="0.2">
      <c r="A4250" s="12"/>
      <c r="B4250" s="13"/>
    </row>
    <row r="4251" spans="1:2" x14ac:dyDescent="0.2">
      <c r="A4251" s="12"/>
      <c r="B4251" s="13"/>
    </row>
    <row r="4252" spans="1:2" x14ac:dyDescent="0.2">
      <c r="A4252" s="12"/>
      <c r="B4252" s="13"/>
    </row>
    <row r="4253" spans="1:2" x14ac:dyDescent="0.2">
      <c r="A4253" s="12"/>
      <c r="B4253" s="13"/>
    </row>
    <row r="4254" spans="1:2" x14ac:dyDescent="0.2">
      <c r="A4254" s="12"/>
      <c r="B4254" s="13"/>
    </row>
    <row r="4255" spans="1:2" x14ac:dyDescent="0.2">
      <c r="A4255" s="12"/>
      <c r="B4255" s="13"/>
    </row>
    <row r="4256" spans="1:2" x14ac:dyDescent="0.2">
      <c r="A4256" s="12"/>
      <c r="B4256" s="13"/>
    </row>
    <row r="4257" spans="1:2" x14ac:dyDescent="0.2">
      <c r="A4257" s="12"/>
      <c r="B4257" s="13"/>
    </row>
    <row r="4258" spans="1:2" x14ac:dyDescent="0.2">
      <c r="A4258" s="12"/>
      <c r="B4258" s="13"/>
    </row>
    <row r="4259" spans="1:2" x14ac:dyDescent="0.2">
      <c r="A4259" s="12"/>
      <c r="B4259" s="13"/>
    </row>
    <row r="4260" spans="1:2" x14ac:dyDescent="0.2">
      <c r="A4260" s="12"/>
      <c r="B4260" s="13"/>
    </row>
    <row r="4261" spans="1:2" x14ac:dyDescent="0.2">
      <c r="A4261" s="12"/>
      <c r="B4261" s="13"/>
    </row>
    <row r="4262" spans="1:2" x14ac:dyDescent="0.2">
      <c r="A4262" s="12"/>
      <c r="B4262" s="13"/>
    </row>
    <row r="4263" spans="1:2" x14ac:dyDescent="0.2">
      <c r="A4263" s="12"/>
      <c r="B4263" s="13"/>
    </row>
    <row r="4264" spans="1:2" x14ac:dyDescent="0.2">
      <c r="A4264" s="12"/>
      <c r="B4264" s="13"/>
    </row>
    <row r="4265" spans="1:2" x14ac:dyDescent="0.2">
      <c r="A4265" s="12"/>
      <c r="B4265" s="13"/>
    </row>
    <row r="4266" spans="1:2" x14ac:dyDescent="0.2">
      <c r="A4266" s="12"/>
      <c r="B4266" s="13"/>
    </row>
    <row r="4267" spans="1:2" x14ac:dyDescent="0.2">
      <c r="A4267" s="12"/>
      <c r="B4267" s="13"/>
    </row>
    <row r="4268" spans="1:2" x14ac:dyDescent="0.2">
      <c r="A4268" s="12"/>
      <c r="B4268" s="13"/>
    </row>
    <row r="4269" spans="1:2" x14ac:dyDescent="0.2">
      <c r="A4269" s="12"/>
      <c r="B4269" s="13"/>
    </row>
    <row r="4270" spans="1:2" x14ac:dyDescent="0.2">
      <c r="A4270" s="12"/>
      <c r="B4270" s="13"/>
    </row>
    <row r="4271" spans="1:2" x14ac:dyDescent="0.2">
      <c r="A4271" s="12"/>
      <c r="B4271" s="13"/>
    </row>
    <row r="4272" spans="1:2" x14ac:dyDescent="0.2">
      <c r="A4272" s="12"/>
      <c r="B4272" s="13"/>
    </row>
    <row r="4273" spans="1:2" x14ac:dyDescent="0.2">
      <c r="A4273" s="12"/>
      <c r="B4273" s="13"/>
    </row>
    <row r="4274" spans="1:2" x14ac:dyDescent="0.2">
      <c r="A4274" s="12"/>
      <c r="B4274" s="13"/>
    </row>
    <row r="4275" spans="1:2" x14ac:dyDescent="0.2">
      <c r="A4275" s="12"/>
      <c r="B4275" s="13"/>
    </row>
    <row r="4276" spans="1:2" x14ac:dyDescent="0.2">
      <c r="A4276" s="12"/>
      <c r="B4276" s="13"/>
    </row>
    <row r="4277" spans="1:2" x14ac:dyDescent="0.2">
      <c r="A4277" s="12"/>
      <c r="B4277" s="13"/>
    </row>
    <row r="4278" spans="1:2" x14ac:dyDescent="0.2">
      <c r="A4278" s="12"/>
      <c r="B4278" s="13"/>
    </row>
    <row r="4279" spans="1:2" x14ac:dyDescent="0.2">
      <c r="A4279" s="12"/>
      <c r="B4279" s="13"/>
    </row>
    <row r="4280" spans="1:2" x14ac:dyDescent="0.2">
      <c r="A4280" s="12"/>
      <c r="B4280" s="13"/>
    </row>
    <row r="4281" spans="1:2" x14ac:dyDescent="0.2">
      <c r="A4281" s="12"/>
      <c r="B4281" s="13"/>
    </row>
    <row r="4282" spans="1:2" x14ac:dyDescent="0.2">
      <c r="A4282" s="12"/>
      <c r="B4282" s="13"/>
    </row>
    <row r="4283" spans="1:2" x14ac:dyDescent="0.2">
      <c r="A4283" s="12"/>
      <c r="B4283" s="13"/>
    </row>
    <row r="4284" spans="1:2" x14ac:dyDescent="0.2">
      <c r="A4284" s="12"/>
      <c r="B4284" s="13"/>
    </row>
    <row r="4285" spans="1:2" x14ac:dyDescent="0.2">
      <c r="A4285" s="12"/>
      <c r="B4285" s="13"/>
    </row>
    <row r="4286" spans="1:2" x14ac:dyDescent="0.2">
      <c r="A4286" s="12"/>
      <c r="B4286" s="13"/>
    </row>
    <row r="4287" spans="1:2" x14ac:dyDescent="0.2">
      <c r="A4287" s="12"/>
      <c r="B4287" s="13"/>
    </row>
    <row r="4288" spans="1:2" x14ac:dyDescent="0.2">
      <c r="A4288" s="12"/>
      <c r="B4288" s="13"/>
    </row>
    <row r="4289" spans="1:2" x14ac:dyDescent="0.2">
      <c r="A4289" s="12"/>
      <c r="B4289" s="13"/>
    </row>
    <row r="4290" spans="1:2" x14ac:dyDescent="0.2">
      <c r="A4290" s="12"/>
      <c r="B4290" s="13"/>
    </row>
    <row r="4291" spans="1:2" x14ac:dyDescent="0.2">
      <c r="A4291" s="12"/>
      <c r="B4291" s="13"/>
    </row>
    <row r="4292" spans="1:2" x14ac:dyDescent="0.2">
      <c r="A4292" s="12"/>
      <c r="B4292" s="13"/>
    </row>
    <row r="4293" spans="1:2" x14ac:dyDescent="0.2">
      <c r="A4293" s="12"/>
      <c r="B4293" s="13"/>
    </row>
    <row r="4294" spans="1:2" x14ac:dyDescent="0.2">
      <c r="A4294" s="12"/>
      <c r="B4294" s="13"/>
    </row>
    <row r="4295" spans="1:2" x14ac:dyDescent="0.2">
      <c r="A4295" s="12"/>
      <c r="B4295" s="13"/>
    </row>
    <row r="4296" spans="1:2" x14ac:dyDescent="0.2">
      <c r="A4296" s="12"/>
      <c r="B4296" s="13"/>
    </row>
    <row r="4297" spans="1:2" x14ac:dyDescent="0.2">
      <c r="A4297" s="12"/>
      <c r="B4297" s="13"/>
    </row>
    <row r="4298" spans="1:2" x14ac:dyDescent="0.2">
      <c r="A4298" s="12"/>
      <c r="B4298" s="13"/>
    </row>
    <row r="4299" spans="1:2" x14ac:dyDescent="0.2">
      <c r="A4299" s="12"/>
      <c r="B4299" s="13"/>
    </row>
    <row r="4300" spans="1:2" x14ac:dyDescent="0.2">
      <c r="A4300" s="12"/>
      <c r="B4300" s="13"/>
    </row>
    <row r="4301" spans="1:2" x14ac:dyDescent="0.2">
      <c r="A4301" s="12"/>
      <c r="B4301" s="13"/>
    </row>
    <row r="4302" spans="1:2" x14ac:dyDescent="0.2">
      <c r="A4302" s="12"/>
      <c r="B4302" s="13"/>
    </row>
    <row r="4303" spans="1:2" x14ac:dyDescent="0.2">
      <c r="A4303" s="12"/>
      <c r="B4303" s="13"/>
    </row>
    <row r="4304" spans="1:2" x14ac:dyDescent="0.2">
      <c r="A4304" s="12"/>
      <c r="B4304" s="13"/>
    </row>
    <row r="4305" spans="1:2" x14ac:dyDescent="0.2">
      <c r="A4305" s="12"/>
      <c r="B4305" s="13"/>
    </row>
    <row r="4306" spans="1:2" x14ac:dyDescent="0.2">
      <c r="A4306" s="12"/>
      <c r="B4306" s="13"/>
    </row>
    <row r="4307" spans="1:2" x14ac:dyDescent="0.2">
      <c r="A4307" s="12"/>
      <c r="B4307" s="13"/>
    </row>
    <row r="4308" spans="1:2" x14ac:dyDescent="0.2">
      <c r="A4308" s="12"/>
      <c r="B4308" s="13"/>
    </row>
    <row r="4309" spans="1:2" x14ac:dyDescent="0.2">
      <c r="A4309" s="12"/>
      <c r="B4309" s="13"/>
    </row>
    <row r="4310" spans="1:2" x14ac:dyDescent="0.2">
      <c r="A4310" s="12"/>
      <c r="B4310" s="13"/>
    </row>
    <row r="4311" spans="1:2" x14ac:dyDescent="0.2">
      <c r="A4311" s="12"/>
      <c r="B4311" s="13"/>
    </row>
    <row r="4312" spans="1:2" x14ac:dyDescent="0.2">
      <c r="A4312" s="12"/>
      <c r="B4312" s="13"/>
    </row>
    <row r="4313" spans="1:2" x14ac:dyDescent="0.2">
      <c r="A4313" s="12"/>
      <c r="B4313" s="13"/>
    </row>
    <row r="4314" spans="1:2" x14ac:dyDescent="0.2">
      <c r="A4314" s="12"/>
      <c r="B4314" s="13"/>
    </row>
    <row r="4315" spans="1:2" x14ac:dyDescent="0.2">
      <c r="A4315" s="12"/>
      <c r="B4315" s="13"/>
    </row>
    <row r="4316" spans="1:2" x14ac:dyDescent="0.2">
      <c r="A4316" s="12"/>
      <c r="B4316" s="13"/>
    </row>
    <row r="4317" spans="1:2" x14ac:dyDescent="0.2">
      <c r="A4317" s="12"/>
      <c r="B4317" s="13"/>
    </row>
    <row r="4318" spans="1:2" x14ac:dyDescent="0.2">
      <c r="A4318" s="12"/>
      <c r="B4318" s="13"/>
    </row>
    <row r="4319" spans="1:2" x14ac:dyDescent="0.2">
      <c r="A4319" s="12"/>
      <c r="B4319" s="13"/>
    </row>
    <row r="4320" spans="1:2" x14ac:dyDescent="0.2">
      <c r="A4320" s="12"/>
      <c r="B4320" s="13"/>
    </row>
    <row r="4321" spans="1:2" x14ac:dyDescent="0.2">
      <c r="A4321" s="12"/>
      <c r="B4321" s="13"/>
    </row>
    <row r="4322" spans="1:2" x14ac:dyDescent="0.2">
      <c r="A4322" s="12"/>
      <c r="B4322" s="13"/>
    </row>
    <row r="4323" spans="1:2" x14ac:dyDescent="0.2">
      <c r="A4323" s="12"/>
      <c r="B4323" s="13"/>
    </row>
    <row r="4324" spans="1:2" x14ac:dyDescent="0.2">
      <c r="A4324" s="12"/>
      <c r="B4324" s="13"/>
    </row>
    <row r="4325" spans="1:2" x14ac:dyDescent="0.2">
      <c r="A4325" s="12"/>
      <c r="B4325" s="13"/>
    </row>
    <row r="4326" spans="1:2" x14ac:dyDescent="0.2">
      <c r="A4326" s="12"/>
      <c r="B4326" s="13"/>
    </row>
    <row r="4327" spans="1:2" x14ac:dyDescent="0.2">
      <c r="A4327" s="12"/>
      <c r="B4327" s="13"/>
    </row>
    <row r="4328" spans="1:2" x14ac:dyDescent="0.2">
      <c r="A4328" s="12"/>
      <c r="B4328" s="13"/>
    </row>
    <row r="4329" spans="1:2" x14ac:dyDescent="0.2">
      <c r="A4329" s="12"/>
      <c r="B4329" s="13"/>
    </row>
    <row r="4330" spans="1:2" x14ac:dyDescent="0.2">
      <c r="A4330" s="12"/>
      <c r="B4330" s="13"/>
    </row>
    <row r="4331" spans="1:2" x14ac:dyDescent="0.2">
      <c r="A4331" s="12"/>
      <c r="B4331" s="13"/>
    </row>
    <row r="4332" spans="1:2" x14ac:dyDescent="0.2">
      <c r="A4332" s="12"/>
      <c r="B4332" s="13"/>
    </row>
    <row r="4333" spans="1:2" x14ac:dyDescent="0.2">
      <c r="A4333" s="12"/>
      <c r="B4333" s="13"/>
    </row>
    <row r="4334" spans="1:2" x14ac:dyDescent="0.2">
      <c r="A4334" s="12"/>
      <c r="B4334" s="13"/>
    </row>
    <row r="4335" spans="1:2" x14ac:dyDescent="0.2">
      <c r="A4335" s="12"/>
      <c r="B4335" s="13"/>
    </row>
    <row r="4336" spans="1:2" x14ac:dyDescent="0.2">
      <c r="A4336" s="12"/>
      <c r="B4336" s="13"/>
    </row>
    <row r="4337" spans="1:2" x14ac:dyDescent="0.2">
      <c r="A4337" s="12"/>
      <c r="B4337" s="13"/>
    </row>
    <row r="4338" spans="1:2" x14ac:dyDescent="0.2">
      <c r="A4338" s="12"/>
      <c r="B4338" s="13"/>
    </row>
    <row r="4339" spans="1:2" x14ac:dyDescent="0.2">
      <c r="A4339" s="12"/>
      <c r="B4339" s="13"/>
    </row>
    <row r="4340" spans="1:2" x14ac:dyDescent="0.2">
      <c r="A4340" s="12"/>
      <c r="B4340" s="13"/>
    </row>
    <row r="4341" spans="1:2" x14ac:dyDescent="0.2">
      <c r="A4341" s="12"/>
      <c r="B4341" s="13"/>
    </row>
    <row r="4342" spans="1:2" x14ac:dyDescent="0.2">
      <c r="A4342" s="12"/>
      <c r="B4342" s="13"/>
    </row>
    <row r="4343" spans="1:2" x14ac:dyDescent="0.2">
      <c r="A4343" s="12"/>
      <c r="B4343" s="13"/>
    </row>
    <row r="4344" spans="1:2" x14ac:dyDescent="0.2">
      <c r="A4344" s="12"/>
      <c r="B4344" s="13"/>
    </row>
    <row r="4345" spans="1:2" x14ac:dyDescent="0.2">
      <c r="A4345" s="12"/>
      <c r="B4345" s="13"/>
    </row>
    <row r="4346" spans="1:2" x14ac:dyDescent="0.2">
      <c r="A4346" s="12"/>
      <c r="B4346" s="13"/>
    </row>
    <row r="4347" spans="1:2" x14ac:dyDescent="0.2">
      <c r="A4347" s="12"/>
      <c r="B4347" s="13"/>
    </row>
    <row r="4348" spans="1:2" x14ac:dyDescent="0.2">
      <c r="A4348" s="12"/>
      <c r="B4348" s="13"/>
    </row>
    <row r="4349" spans="1:2" x14ac:dyDescent="0.2">
      <c r="A4349" s="12"/>
      <c r="B4349" s="13"/>
    </row>
    <row r="4350" spans="1:2" x14ac:dyDescent="0.2">
      <c r="A4350" s="12"/>
      <c r="B4350" s="13"/>
    </row>
    <row r="4351" spans="1:2" x14ac:dyDescent="0.2">
      <c r="A4351" s="12"/>
      <c r="B4351" s="13"/>
    </row>
    <row r="4352" spans="1:2" x14ac:dyDescent="0.2">
      <c r="A4352" s="12"/>
      <c r="B4352" s="13"/>
    </row>
    <row r="4353" spans="1:2" x14ac:dyDescent="0.2">
      <c r="A4353" s="12"/>
      <c r="B4353" s="13"/>
    </row>
    <row r="4354" spans="1:2" x14ac:dyDescent="0.2">
      <c r="A4354" s="12"/>
      <c r="B4354" s="13"/>
    </row>
    <row r="4355" spans="1:2" x14ac:dyDescent="0.2">
      <c r="A4355" s="12"/>
      <c r="B4355" s="13"/>
    </row>
    <row r="4356" spans="1:2" x14ac:dyDescent="0.2">
      <c r="A4356" s="12"/>
      <c r="B4356" s="13"/>
    </row>
    <row r="4357" spans="1:2" x14ac:dyDescent="0.2">
      <c r="A4357" s="12"/>
      <c r="B4357" s="13"/>
    </row>
    <row r="4358" spans="1:2" x14ac:dyDescent="0.2">
      <c r="A4358" s="12"/>
      <c r="B4358" s="13"/>
    </row>
    <row r="4359" spans="1:2" x14ac:dyDescent="0.2">
      <c r="A4359" s="12"/>
      <c r="B4359" s="13"/>
    </row>
    <row r="4360" spans="1:2" x14ac:dyDescent="0.2">
      <c r="A4360" s="12"/>
      <c r="B4360" s="13"/>
    </row>
    <row r="4361" spans="1:2" x14ac:dyDescent="0.2">
      <c r="A4361" s="12"/>
      <c r="B4361" s="13"/>
    </row>
    <row r="4362" spans="1:2" x14ac:dyDescent="0.2">
      <c r="A4362" s="12"/>
      <c r="B4362" s="13"/>
    </row>
    <row r="4363" spans="1:2" x14ac:dyDescent="0.2">
      <c r="A4363" s="12"/>
      <c r="B4363" s="13"/>
    </row>
    <row r="4364" spans="1:2" x14ac:dyDescent="0.2">
      <c r="A4364" s="12"/>
      <c r="B4364" s="13"/>
    </row>
    <row r="4365" spans="1:2" x14ac:dyDescent="0.2">
      <c r="A4365" s="12"/>
      <c r="B4365" s="13"/>
    </row>
    <row r="4366" spans="1:2" x14ac:dyDescent="0.2">
      <c r="A4366" s="12"/>
      <c r="B4366" s="13"/>
    </row>
    <row r="4367" spans="1:2" x14ac:dyDescent="0.2">
      <c r="A4367" s="12"/>
      <c r="B4367" s="13"/>
    </row>
    <row r="4368" spans="1:2" x14ac:dyDescent="0.2">
      <c r="A4368" s="12"/>
      <c r="B4368" s="13"/>
    </row>
    <row r="4369" spans="1:2" x14ac:dyDescent="0.2">
      <c r="A4369" s="12"/>
      <c r="B4369" s="13"/>
    </row>
    <row r="4370" spans="1:2" x14ac:dyDescent="0.2">
      <c r="A4370" s="12"/>
      <c r="B4370" s="13"/>
    </row>
    <row r="4371" spans="1:2" x14ac:dyDescent="0.2">
      <c r="A4371" s="12"/>
      <c r="B4371" s="13"/>
    </row>
    <row r="4372" spans="1:2" x14ac:dyDescent="0.2">
      <c r="A4372" s="12"/>
      <c r="B4372" s="13"/>
    </row>
    <row r="4373" spans="1:2" x14ac:dyDescent="0.2">
      <c r="A4373" s="12"/>
      <c r="B4373" s="13"/>
    </row>
    <row r="4374" spans="1:2" x14ac:dyDescent="0.2">
      <c r="A4374" s="12"/>
      <c r="B4374" s="13"/>
    </row>
    <row r="4375" spans="1:2" x14ac:dyDescent="0.2">
      <c r="A4375" s="12"/>
      <c r="B4375" s="13"/>
    </row>
    <row r="4376" spans="1:2" x14ac:dyDescent="0.2">
      <c r="A4376" s="12"/>
      <c r="B4376" s="13"/>
    </row>
    <row r="4377" spans="1:2" x14ac:dyDescent="0.2">
      <c r="A4377" s="12"/>
      <c r="B4377" s="13"/>
    </row>
    <row r="4378" spans="1:2" x14ac:dyDescent="0.2">
      <c r="A4378" s="12"/>
      <c r="B4378" s="13"/>
    </row>
    <row r="4379" spans="1:2" x14ac:dyDescent="0.2">
      <c r="A4379" s="12"/>
      <c r="B4379" s="13"/>
    </row>
    <row r="4380" spans="1:2" x14ac:dyDescent="0.2">
      <c r="A4380" s="12"/>
      <c r="B4380" s="13"/>
    </row>
    <row r="4381" spans="1:2" x14ac:dyDescent="0.2">
      <c r="A4381" s="12"/>
      <c r="B4381" s="13"/>
    </row>
    <row r="4382" spans="1:2" x14ac:dyDescent="0.2">
      <c r="A4382" s="12"/>
      <c r="B4382" s="13"/>
    </row>
    <row r="4383" spans="1:2" x14ac:dyDescent="0.2">
      <c r="A4383" s="12"/>
      <c r="B4383" s="13"/>
    </row>
    <row r="4384" spans="1:2" x14ac:dyDescent="0.2">
      <c r="A4384" s="12"/>
      <c r="B4384" s="13"/>
    </row>
    <row r="4385" spans="1:2" x14ac:dyDescent="0.2">
      <c r="A4385" s="12"/>
      <c r="B4385" s="13"/>
    </row>
    <row r="4386" spans="1:2" x14ac:dyDescent="0.2">
      <c r="A4386" s="12"/>
      <c r="B4386" s="13"/>
    </row>
    <row r="4387" spans="1:2" x14ac:dyDescent="0.2">
      <c r="A4387" s="12"/>
      <c r="B4387" s="13"/>
    </row>
    <row r="4388" spans="1:2" x14ac:dyDescent="0.2">
      <c r="A4388" s="12"/>
      <c r="B4388" s="13"/>
    </row>
    <row r="4389" spans="1:2" x14ac:dyDescent="0.2">
      <c r="A4389" s="12"/>
      <c r="B4389" s="13"/>
    </row>
    <row r="4390" spans="1:2" x14ac:dyDescent="0.2">
      <c r="A4390" s="12"/>
      <c r="B4390" s="13"/>
    </row>
    <row r="4391" spans="1:2" x14ac:dyDescent="0.2">
      <c r="A4391" s="12"/>
      <c r="B4391" s="13"/>
    </row>
    <row r="4392" spans="1:2" x14ac:dyDescent="0.2">
      <c r="A4392" s="12"/>
      <c r="B4392" s="13"/>
    </row>
    <row r="4393" spans="1:2" x14ac:dyDescent="0.2">
      <c r="A4393" s="12"/>
      <c r="B4393" s="13"/>
    </row>
    <row r="4394" spans="1:2" x14ac:dyDescent="0.2">
      <c r="A4394" s="12"/>
      <c r="B4394" s="13"/>
    </row>
    <row r="4395" spans="1:2" x14ac:dyDescent="0.2">
      <c r="A4395" s="12"/>
      <c r="B4395" s="13"/>
    </row>
    <row r="4396" spans="1:2" x14ac:dyDescent="0.2">
      <c r="A4396" s="12"/>
      <c r="B4396" s="13"/>
    </row>
    <row r="4397" spans="1:2" x14ac:dyDescent="0.2">
      <c r="A4397" s="12"/>
      <c r="B4397" s="13"/>
    </row>
    <row r="4398" spans="1:2" x14ac:dyDescent="0.2">
      <c r="A4398" s="12"/>
      <c r="B4398" s="13"/>
    </row>
    <row r="4399" spans="1:2" x14ac:dyDescent="0.2">
      <c r="A4399" s="12"/>
      <c r="B4399" s="13"/>
    </row>
    <row r="4400" spans="1:2" x14ac:dyDescent="0.2">
      <c r="A4400" s="12"/>
      <c r="B4400" s="13"/>
    </row>
    <row r="4401" spans="1:2" x14ac:dyDescent="0.2">
      <c r="A4401" s="12"/>
      <c r="B4401" s="13"/>
    </row>
    <row r="4402" spans="1:2" x14ac:dyDescent="0.2">
      <c r="A4402" s="12"/>
      <c r="B4402" s="13"/>
    </row>
    <row r="4403" spans="1:2" x14ac:dyDescent="0.2">
      <c r="A4403" s="12"/>
      <c r="B4403" s="13"/>
    </row>
    <row r="4404" spans="1:2" x14ac:dyDescent="0.2">
      <c r="A4404" s="12"/>
      <c r="B4404" s="13"/>
    </row>
    <row r="4405" spans="1:2" x14ac:dyDescent="0.2">
      <c r="A4405" s="12"/>
      <c r="B4405" s="13"/>
    </row>
    <row r="4406" spans="1:2" x14ac:dyDescent="0.2">
      <c r="A4406" s="12"/>
      <c r="B4406" s="13"/>
    </row>
    <row r="4407" spans="1:2" x14ac:dyDescent="0.2">
      <c r="A4407" s="12"/>
      <c r="B4407" s="13"/>
    </row>
    <row r="4408" spans="1:2" x14ac:dyDescent="0.2">
      <c r="A4408" s="12"/>
      <c r="B4408" s="13"/>
    </row>
    <row r="4409" spans="1:2" x14ac:dyDescent="0.2">
      <c r="A4409" s="12"/>
      <c r="B4409" s="13"/>
    </row>
    <row r="4410" spans="1:2" x14ac:dyDescent="0.2">
      <c r="A4410" s="12"/>
      <c r="B4410" s="13"/>
    </row>
    <row r="4411" spans="1:2" x14ac:dyDescent="0.2">
      <c r="A4411" s="12"/>
      <c r="B4411" s="13"/>
    </row>
    <row r="4412" spans="1:2" x14ac:dyDescent="0.2">
      <c r="A4412" s="12"/>
      <c r="B4412" s="13"/>
    </row>
    <row r="4413" spans="1:2" x14ac:dyDescent="0.2">
      <c r="A4413" s="12"/>
      <c r="B4413" s="13"/>
    </row>
    <row r="4414" spans="1:2" x14ac:dyDescent="0.2">
      <c r="A4414" s="12"/>
      <c r="B4414" s="13"/>
    </row>
    <row r="4415" spans="1:2" x14ac:dyDescent="0.2">
      <c r="A4415" s="12"/>
      <c r="B4415" s="13"/>
    </row>
    <row r="4416" spans="1:2" x14ac:dyDescent="0.2">
      <c r="A4416" s="12"/>
      <c r="B4416" s="13"/>
    </row>
    <row r="4417" spans="1:2" x14ac:dyDescent="0.2">
      <c r="A4417" s="12"/>
      <c r="B4417" s="13"/>
    </row>
    <row r="4418" spans="1:2" x14ac:dyDescent="0.2">
      <c r="A4418" s="12"/>
      <c r="B4418" s="13"/>
    </row>
    <row r="4419" spans="1:2" x14ac:dyDescent="0.2">
      <c r="A4419" s="12"/>
      <c r="B4419" s="13"/>
    </row>
    <row r="4420" spans="1:2" x14ac:dyDescent="0.2">
      <c r="A4420" s="12"/>
      <c r="B4420" s="13"/>
    </row>
    <row r="4421" spans="1:2" x14ac:dyDescent="0.2">
      <c r="A4421" s="12"/>
      <c r="B4421" s="13"/>
    </row>
    <row r="4422" spans="1:2" x14ac:dyDescent="0.2">
      <c r="A4422" s="12"/>
      <c r="B4422" s="13"/>
    </row>
    <row r="4423" spans="1:2" x14ac:dyDescent="0.2">
      <c r="A4423" s="12"/>
      <c r="B4423" s="13"/>
    </row>
    <row r="4424" spans="1:2" x14ac:dyDescent="0.2">
      <c r="A4424" s="12"/>
      <c r="B4424" s="13"/>
    </row>
    <row r="4425" spans="1:2" x14ac:dyDescent="0.2">
      <c r="A4425" s="12"/>
      <c r="B4425" s="13"/>
    </row>
    <row r="4426" spans="1:2" x14ac:dyDescent="0.2">
      <c r="A4426" s="12"/>
      <c r="B4426" s="13"/>
    </row>
    <row r="4427" spans="1:2" x14ac:dyDescent="0.2">
      <c r="A4427" s="12"/>
      <c r="B4427" s="13"/>
    </row>
    <row r="4428" spans="1:2" x14ac:dyDescent="0.2">
      <c r="A4428" s="12"/>
      <c r="B4428" s="13"/>
    </row>
    <row r="4429" spans="1:2" x14ac:dyDescent="0.2">
      <c r="A4429" s="12"/>
      <c r="B4429" s="13"/>
    </row>
    <row r="4430" spans="1:2" x14ac:dyDescent="0.2">
      <c r="A4430" s="12"/>
      <c r="B4430" s="13"/>
    </row>
    <row r="4431" spans="1:2" x14ac:dyDescent="0.2">
      <c r="A4431" s="12"/>
      <c r="B4431" s="13"/>
    </row>
    <row r="4432" spans="1:2" x14ac:dyDescent="0.2">
      <c r="A4432" s="12"/>
      <c r="B4432" s="13"/>
    </row>
    <row r="4433" spans="1:2" x14ac:dyDescent="0.2">
      <c r="A4433" s="12"/>
      <c r="B4433" s="13"/>
    </row>
    <row r="4434" spans="1:2" x14ac:dyDescent="0.2">
      <c r="A4434" s="12"/>
      <c r="B4434" s="13"/>
    </row>
    <row r="4435" spans="1:2" x14ac:dyDescent="0.2">
      <c r="A4435" s="12"/>
      <c r="B4435" s="13"/>
    </row>
    <row r="4436" spans="1:2" x14ac:dyDescent="0.2">
      <c r="A4436" s="12"/>
      <c r="B4436" s="13"/>
    </row>
    <row r="4437" spans="1:2" x14ac:dyDescent="0.2">
      <c r="A4437" s="12"/>
      <c r="B4437" s="13"/>
    </row>
    <row r="4438" spans="1:2" x14ac:dyDescent="0.2">
      <c r="A4438" s="12"/>
      <c r="B4438" s="13"/>
    </row>
    <row r="4439" spans="1:2" x14ac:dyDescent="0.2">
      <c r="A4439" s="12"/>
      <c r="B4439" s="13"/>
    </row>
    <row r="4440" spans="1:2" x14ac:dyDescent="0.2">
      <c r="A4440" s="12"/>
      <c r="B4440" s="13"/>
    </row>
    <row r="4441" spans="1:2" x14ac:dyDescent="0.2">
      <c r="A4441" s="12"/>
      <c r="B4441" s="13"/>
    </row>
    <row r="4442" spans="1:2" x14ac:dyDescent="0.2">
      <c r="A4442" s="12"/>
      <c r="B4442" s="13"/>
    </row>
    <row r="4443" spans="1:2" x14ac:dyDescent="0.2">
      <c r="A4443" s="12"/>
      <c r="B4443" s="13"/>
    </row>
    <row r="4444" spans="1:2" x14ac:dyDescent="0.2">
      <c r="A4444" s="12"/>
      <c r="B4444" s="13"/>
    </row>
    <row r="4445" spans="1:2" x14ac:dyDescent="0.2">
      <c r="A4445" s="12"/>
      <c r="B4445" s="13"/>
    </row>
    <row r="4446" spans="1:2" x14ac:dyDescent="0.2">
      <c r="A4446" s="12"/>
      <c r="B4446" s="13"/>
    </row>
    <row r="4447" spans="1:2" x14ac:dyDescent="0.2">
      <c r="A4447" s="12"/>
      <c r="B4447" s="13"/>
    </row>
    <row r="4448" spans="1:2" x14ac:dyDescent="0.2">
      <c r="A4448" s="12"/>
      <c r="B4448" s="13"/>
    </row>
    <row r="4449" spans="1:2" x14ac:dyDescent="0.2">
      <c r="A4449" s="12"/>
      <c r="B4449" s="13"/>
    </row>
    <row r="4450" spans="1:2" x14ac:dyDescent="0.2">
      <c r="A4450" s="12"/>
      <c r="B4450" s="13"/>
    </row>
    <row r="4451" spans="1:2" x14ac:dyDescent="0.2">
      <c r="A4451" s="12"/>
      <c r="B4451" s="13"/>
    </row>
    <row r="4452" spans="1:2" x14ac:dyDescent="0.2">
      <c r="A4452" s="12"/>
      <c r="B4452" s="13"/>
    </row>
    <row r="4453" spans="1:2" x14ac:dyDescent="0.2">
      <c r="A4453" s="12"/>
      <c r="B4453" s="13"/>
    </row>
    <row r="4454" spans="1:2" x14ac:dyDescent="0.2">
      <c r="A4454" s="12"/>
      <c r="B4454" s="13"/>
    </row>
    <row r="4455" spans="1:2" x14ac:dyDescent="0.2">
      <c r="A4455" s="12"/>
      <c r="B4455" s="13"/>
    </row>
    <row r="4456" spans="1:2" x14ac:dyDescent="0.2">
      <c r="A4456" s="12"/>
      <c r="B4456" s="13"/>
    </row>
    <row r="4457" spans="1:2" x14ac:dyDescent="0.2">
      <c r="A4457" s="12"/>
      <c r="B4457" s="13"/>
    </row>
    <row r="4458" spans="1:2" x14ac:dyDescent="0.2">
      <c r="A4458" s="12"/>
      <c r="B4458" s="13"/>
    </row>
    <row r="4459" spans="1:2" x14ac:dyDescent="0.2">
      <c r="A4459" s="12"/>
      <c r="B4459" s="13"/>
    </row>
    <row r="4460" spans="1:2" x14ac:dyDescent="0.2">
      <c r="A4460" s="12"/>
      <c r="B4460" s="13"/>
    </row>
    <row r="4461" spans="1:2" x14ac:dyDescent="0.2">
      <c r="A4461" s="12"/>
      <c r="B4461" s="13"/>
    </row>
    <row r="4462" spans="1:2" x14ac:dyDescent="0.2">
      <c r="A4462" s="12"/>
      <c r="B4462" s="13"/>
    </row>
    <row r="4463" spans="1:2" x14ac:dyDescent="0.2">
      <c r="A4463" s="12"/>
      <c r="B4463" s="13"/>
    </row>
    <row r="4464" spans="1:2" x14ac:dyDescent="0.2">
      <c r="A4464" s="12"/>
      <c r="B4464" s="13"/>
    </row>
    <row r="4465" spans="1:2" x14ac:dyDescent="0.2">
      <c r="A4465" s="12"/>
      <c r="B4465" s="13"/>
    </row>
    <row r="4466" spans="1:2" x14ac:dyDescent="0.2">
      <c r="A4466" s="12"/>
      <c r="B4466" s="13"/>
    </row>
    <row r="4467" spans="1:2" x14ac:dyDescent="0.2">
      <c r="A4467" s="12"/>
      <c r="B4467" s="13"/>
    </row>
    <row r="4468" spans="1:2" x14ac:dyDescent="0.2">
      <c r="A4468" s="12"/>
      <c r="B4468" s="13"/>
    </row>
    <row r="4469" spans="1:2" x14ac:dyDescent="0.2">
      <c r="A4469" s="12"/>
      <c r="B4469" s="13"/>
    </row>
    <row r="4470" spans="1:2" x14ac:dyDescent="0.2">
      <c r="A4470" s="12"/>
      <c r="B4470" s="13"/>
    </row>
    <row r="4471" spans="1:2" x14ac:dyDescent="0.2">
      <c r="A4471" s="12"/>
      <c r="B4471" s="13"/>
    </row>
    <row r="4472" spans="1:2" x14ac:dyDescent="0.2">
      <c r="A4472" s="12"/>
      <c r="B4472" s="13"/>
    </row>
    <row r="4473" spans="1:2" x14ac:dyDescent="0.2">
      <c r="A4473" s="12"/>
      <c r="B4473" s="13"/>
    </row>
    <row r="4474" spans="1:2" x14ac:dyDescent="0.2">
      <c r="A4474" s="12"/>
      <c r="B4474" s="13"/>
    </row>
    <row r="4475" spans="1:2" x14ac:dyDescent="0.2">
      <c r="A4475" s="12"/>
      <c r="B4475" s="13"/>
    </row>
    <row r="4476" spans="1:2" x14ac:dyDescent="0.2">
      <c r="A4476" s="12"/>
      <c r="B4476" s="13"/>
    </row>
    <row r="4477" spans="1:2" x14ac:dyDescent="0.2">
      <c r="A4477" s="12"/>
      <c r="B4477" s="13"/>
    </row>
    <row r="4478" spans="1:2" x14ac:dyDescent="0.2">
      <c r="A4478" s="12"/>
      <c r="B4478" s="13"/>
    </row>
    <row r="4479" spans="1:2" x14ac:dyDescent="0.2">
      <c r="A4479" s="12"/>
      <c r="B4479" s="13"/>
    </row>
    <row r="4480" spans="1:2" x14ac:dyDescent="0.2">
      <c r="A4480" s="12"/>
      <c r="B4480" s="13"/>
    </row>
    <row r="4481" spans="1:2" x14ac:dyDescent="0.2">
      <c r="A4481" s="12"/>
      <c r="B4481" s="13"/>
    </row>
    <row r="4482" spans="1:2" x14ac:dyDescent="0.2">
      <c r="A4482" s="12"/>
      <c r="B4482" s="13"/>
    </row>
    <row r="4483" spans="1:2" x14ac:dyDescent="0.2">
      <c r="A4483" s="12"/>
      <c r="B4483" s="13"/>
    </row>
    <row r="4484" spans="1:2" x14ac:dyDescent="0.2">
      <c r="A4484" s="12"/>
      <c r="B4484" s="13"/>
    </row>
    <row r="4485" spans="1:2" x14ac:dyDescent="0.2">
      <c r="A4485" s="12"/>
      <c r="B4485" s="13"/>
    </row>
    <row r="4486" spans="1:2" x14ac:dyDescent="0.2">
      <c r="A4486" s="12"/>
      <c r="B4486" s="13"/>
    </row>
    <row r="4487" spans="1:2" x14ac:dyDescent="0.2">
      <c r="A4487" s="12"/>
      <c r="B4487" s="13"/>
    </row>
    <row r="4488" spans="1:2" x14ac:dyDescent="0.2">
      <c r="A4488" s="12"/>
      <c r="B4488" s="13"/>
    </row>
    <row r="4489" spans="1:2" x14ac:dyDescent="0.2">
      <c r="A4489" s="12"/>
      <c r="B4489" s="13"/>
    </row>
    <row r="4490" spans="1:2" x14ac:dyDescent="0.2">
      <c r="A4490" s="12"/>
      <c r="B4490" s="13"/>
    </row>
    <row r="4491" spans="1:2" x14ac:dyDescent="0.2">
      <c r="A4491" s="12"/>
      <c r="B4491" s="13"/>
    </row>
    <row r="4492" spans="1:2" x14ac:dyDescent="0.2">
      <c r="A4492" s="12"/>
      <c r="B4492" s="13"/>
    </row>
    <row r="4493" spans="1:2" x14ac:dyDescent="0.2">
      <c r="A4493" s="12"/>
      <c r="B4493" s="13"/>
    </row>
    <row r="4494" spans="1:2" x14ac:dyDescent="0.2">
      <c r="A4494" s="12"/>
      <c r="B4494" s="13"/>
    </row>
    <row r="4495" spans="1:2" x14ac:dyDescent="0.2">
      <c r="A4495" s="12"/>
      <c r="B4495" s="13"/>
    </row>
    <row r="4496" spans="1:2" x14ac:dyDescent="0.2">
      <c r="A4496" s="12"/>
      <c r="B4496" s="13"/>
    </row>
    <row r="4497" spans="1:2" x14ac:dyDescent="0.2">
      <c r="A4497" s="12"/>
      <c r="B4497" s="13"/>
    </row>
    <row r="4498" spans="1:2" x14ac:dyDescent="0.2">
      <c r="A4498" s="12"/>
      <c r="B4498" s="13"/>
    </row>
    <row r="4499" spans="1:2" x14ac:dyDescent="0.2">
      <c r="A4499" s="12"/>
      <c r="B4499" s="13"/>
    </row>
    <row r="4500" spans="1:2" x14ac:dyDescent="0.2">
      <c r="A4500" s="12"/>
      <c r="B4500" s="13"/>
    </row>
    <row r="4501" spans="1:2" x14ac:dyDescent="0.2">
      <c r="A4501" s="12"/>
      <c r="B4501" s="13"/>
    </row>
    <row r="4502" spans="1:2" x14ac:dyDescent="0.2">
      <c r="A4502" s="12"/>
      <c r="B4502" s="13"/>
    </row>
    <row r="4503" spans="1:2" x14ac:dyDescent="0.2">
      <c r="A4503" s="12"/>
      <c r="B4503" s="13"/>
    </row>
    <row r="4504" spans="1:2" x14ac:dyDescent="0.2">
      <c r="A4504" s="12"/>
      <c r="B4504" s="13"/>
    </row>
    <row r="4505" spans="1:2" x14ac:dyDescent="0.2">
      <c r="A4505" s="12"/>
      <c r="B4505" s="13"/>
    </row>
    <row r="4506" spans="1:2" x14ac:dyDescent="0.2">
      <c r="A4506" s="12"/>
      <c r="B4506" s="13"/>
    </row>
    <row r="4507" spans="1:2" x14ac:dyDescent="0.2">
      <c r="A4507" s="12"/>
      <c r="B4507" s="13"/>
    </row>
    <row r="4508" spans="1:2" x14ac:dyDescent="0.2">
      <c r="A4508" s="12"/>
      <c r="B4508" s="13"/>
    </row>
    <row r="4509" spans="1:2" x14ac:dyDescent="0.2">
      <c r="A4509" s="12"/>
      <c r="B4509" s="13"/>
    </row>
    <row r="4510" spans="1:2" x14ac:dyDescent="0.2">
      <c r="A4510" s="12"/>
      <c r="B4510" s="13"/>
    </row>
    <row r="4511" spans="1:2" x14ac:dyDescent="0.2">
      <c r="A4511" s="12"/>
      <c r="B4511" s="13"/>
    </row>
    <row r="4512" spans="1:2" x14ac:dyDescent="0.2">
      <c r="A4512" s="12"/>
      <c r="B4512" s="13"/>
    </row>
    <row r="4513" spans="1:2" x14ac:dyDescent="0.2">
      <c r="A4513" s="12"/>
      <c r="B4513" s="13"/>
    </row>
    <row r="4514" spans="1:2" x14ac:dyDescent="0.2">
      <c r="A4514" s="12"/>
      <c r="B4514" s="13"/>
    </row>
    <row r="4515" spans="1:2" x14ac:dyDescent="0.2">
      <c r="A4515" s="12"/>
      <c r="B4515" s="13"/>
    </row>
    <row r="4516" spans="1:2" x14ac:dyDescent="0.2">
      <c r="A4516" s="12"/>
      <c r="B4516" s="13"/>
    </row>
    <row r="4517" spans="1:2" x14ac:dyDescent="0.2">
      <c r="A4517" s="12"/>
      <c r="B4517" s="13"/>
    </row>
    <row r="4518" spans="1:2" x14ac:dyDescent="0.2">
      <c r="A4518" s="12"/>
      <c r="B4518" s="13"/>
    </row>
    <row r="4519" spans="1:2" x14ac:dyDescent="0.2">
      <c r="A4519" s="12"/>
      <c r="B4519" s="13"/>
    </row>
    <row r="4520" spans="1:2" x14ac:dyDescent="0.2">
      <c r="A4520" s="12"/>
      <c r="B4520" s="13"/>
    </row>
    <row r="4521" spans="1:2" x14ac:dyDescent="0.2">
      <c r="A4521" s="12"/>
      <c r="B4521" s="13"/>
    </row>
    <row r="4522" spans="1:2" x14ac:dyDescent="0.2">
      <c r="A4522" s="12"/>
      <c r="B4522" s="13"/>
    </row>
    <row r="4523" spans="1:2" x14ac:dyDescent="0.2">
      <c r="A4523" s="12"/>
      <c r="B4523" s="13"/>
    </row>
    <row r="4524" spans="1:2" x14ac:dyDescent="0.2">
      <c r="A4524" s="12"/>
      <c r="B4524" s="13"/>
    </row>
    <row r="4525" spans="1:2" x14ac:dyDescent="0.2">
      <c r="A4525" s="12"/>
      <c r="B4525" s="13"/>
    </row>
    <row r="4526" spans="1:2" x14ac:dyDescent="0.2">
      <c r="A4526" s="12"/>
      <c r="B4526" s="13"/>
    </row>
    <row r="4527" spans="1:2" x14ac:dyDescent="0.2">
      <c r="A4527" s="12"/>
      <c r="B4527" s="13"/>
    </row>
    <row r="4528" spans="1:2" x14ac:dyDescent="0.2">
      <c r="A4528" s="12"/>
      <c r="B4528" s="13"/>
    </row>
    <row r="4529" spans="1:2" x14ac:dyDescent="0.2">
      <c r="A4529" s="12"/>
      <c r="B4529" s="13"/>
    </row>
    <row r="4530" spans="1:2" x14ac:dyDescent="0.2">
      <c r="A4530" s="12"/>
      <c r="B4530" s="13"/>
    </row>
    <row r="4531" spans="1:2" x14ac:dyDescent="0.2">
      <c r="A4531" s="12"/>
      <c r="B4531" s="13"/>
    </row>
    <row r="4532" spans="1:2" x14ac:dyDescent="0.2">
      <c r="A4532" s="12"/>
      <c r="B4532" s="13"/>
    </row>
    <row r="4533" spans="1:2" x14ac:dyDescent="0.2">
      <c r="A4533" s="12"/>
      <c r="B4533" s="13"/>
    </row>
    <row r="4534" spans="1:2" x14ac:dyDescent="0.2">
      <c r="A4534" s="12"/>
      <c r="B4534" s="13"/>
    </row>
    <row r="4535" spans="1:2" x14ac:dyDescent="0.2">
      <c r="A4535" s="12"/>
      <c r="B4535" s="13"/>
    </row>
    <row r="4536" spans="1:2" x14ac:dyDescent="0.2">
      <c r="A4536" s="12"/>
      <c r="B4536" s="13"/>
    </row>
    <row r="4537" spans="1:2" x14ac:dyDescent="0.2">
      <c r="A4537" s="12"/>
      <c r="B4537" s="13"/>
    </row>
    <row r="4538" spans="1:2" x14ac:dyDescent="0.2">
      <c r="A4538" s="12"/>
      <c r="B4538" s="13"/>
    </row>
    <row r="4539" spans="1:2" x14ac:dyDescent="0.2">
      <c r="A4539" s="12"/>
      <c r="B4539" s="13"/>
    </row>
    <row r="4540" spans="1:2" x14ac:dyDescent="0.2">
      <c r="A4540" s="12"/>
      <c r="B4540" s="13"/>
    </row>
    <row r="4541" spans="1:2" x14ac:dyDescent="0.2">
      <c r="A4541" s="12"/>
      <c r="B4541" s="13"/>
    </row>
    <row r="4542" spans="1:2" x14ac:dyDescent="0.2">
      <c r="A4542" s="12"/>
      <c r="B4542" s="13"/>
    </row>
    <row r="4543" spans="1:2" x14ac:dyDescent="0.2">
      <c r="A4543" s="12"/>
      <c r="B4543" s="13"/>
    </row>
    <row r="4544" spans="1:2" x14ac:dyDescent="0.2">
      <c r="A4544" s="12"/>
      <c r="B4544" s="13"/>
    </row>
    <row r="4545" spans="1:2" x14ac:dyDescent="0.2">
      <c r="A4545" s="12"/>
      <c r="B4545" s="13"/>
    </row>
    <row r="4546" spans="1:2" x14ac:dyDescent="0.2">
      <c r="A4546" s="12"/>
      <c r="B4546" s="13"/>
    </row>
    <row r="4547" spans="1:2" x14ac:dyDescent="0.2">
      <c r="A4547" s="12"/>
      <c r="B4547" s="13"/>
    </row>
    <row r="4548" spans="1:2" x14ac:dyDescent="0.2">
      <c r="A4548" s="12"/>
      <c r="B4548" s="13"/>
    </row>
    <row r="4549" spans="1:2" x14ac:dyDescent="0.2">
      <c r="A4549" s="12"/>
      <c r="B4549" s="13"/>
    </row>
    <row r="4550" spans="1:2" x14ac:dyDescent="0.2">
      <c r="A4550" s="12"/>
      <c r="B4550" s="13"/>
    </row>
    <row r="4551" spans="1:2" x14ac:dyDescent="0.2">
      <c r="A4551" s="12"/>
      <c r="B4551" s="13"/>
    </row>
    <row r="4552" spans="1:2" x14ac:dyDescent="0.2">
      <c r="A4552" s="12"/>
      <c r="B4552" s="13"/>
    </row>
    <row r="4553" spans="1:2" x14ac:dyDescent="0.2">
      <c r="A4553" s="12"/>
      <c r="B4553" s="13"/>
    </row>
    <row r="4554" spans="1:2" x14ac:dyDescent="0.2">
      <c r="A4554" s="12"/>
      <c r="B4554" s="13"/>
    </row>
    <row r="4555" spans="1:2" x14ac:dyDescent="0.2">
      <c r="A4555" s="12"/>
      <c r="B4555" s="13"/>
    </row>
    <row r="4556" spans="1:2" x14ac:dyDescent="0.2">
      <c r="A4556" s="12"/>
      <c r="B4556" s="13"/>
    </row>
    <row r="4557" spans="1:2" x14ac:dyDescent="0.2">
      <c r="A4557" s="12"/>
      <c r="B4557" s="13"/>
    </row>
    <row r="4558" spans="1:2" x14ac:dyDescent="0.2">
      <c r="A4558" s="12"/>
      <c r="B4558" s="13"/>
    </row>
    <row r="4559" spans="1:2" x14ac:dyDescent="0.2">
      <c r="A4559" s="12"/>
      <c r="B4559" s="13"/>
    </row>
    <row r="4560" spans="1:2" x14ac:dyDescent="0.2">
      <c r="A4560" s="12"/>
      <c r="B4560" s="13"/>
    </row>
    <row r="4561" spans="1:2" x14ac:dyDescent="0.2">
      <c r="A4561" s="12"/>
      <c r="B4561" s="13"/>
    </row>
    <row r="4562" spans="1:2" x14ac:dyDescent="0.2">
      <c r="A4562" s="12"/>
      <c r="B4562" s="13"/>
    </row>
    <row r="4563" spans="1:2" x14ac:dyDescent="0.2">
      <c r="A4563" s="12"/>
      <c r="B4563" s="13"/>
    </row>
    <row r="4564" spans="1:2" x14ac:dyDescent="0.2">
      <c r="A4564" s="12"/>
      <c r="B4564" s="13"/>
    </row>
    <row r="4565" spans="1:2" x14ac:dyDescent="0.2">
      <c r="A4565" s="12"/>
      <c r="B4565" s="13"/>
    </row>
    <row r="4566" spans="1:2" x14ac:dyDescent="0.2">
      <c r="A4566" s="12"/>
      <c r="B4566" s="13"/>
    </row>
    <row r="4567" spans="1:2" x14ac:dyDescent="0.2">
      <c r="A4567" s="12"/>
      <c r="B4567" s="13"/>
    </row>
    <row r="4568" spans="1:2" x14ac:dyDescent="0.2">
      <c r="A4568" s="12"/>
      <c r="B4568" s="13"/>
    </row>
    <row r="4569" spans="1:2" x14ac:dyDescent="0.2">
      <c r="A4569" s="12"/>
      <c r="B4569" s="13"/>
    </row>
    <row r="4570" spans="1:2" x14ac:dyDescent="0.2">
      <c r="A4570" s="12"/>
      <c r="B4570" s="13"/>
    </row>
    <row r="4571" spans="1:2" x14ac:dyDescent="0.2">
      <c r="A4571" s="12"/>
      <c r="B4571" s="13"/>
    </row>
    <row r="4572" spans="1:2" x14ac:dyDescent="0.2">
      <c r="A4572" s="12"/>
      <c r="B4572" s="13"/>
    </row>
    <row r="4573" spans="1:2" x14ac:dyDescent="0.2">
      <c r="A4573" s="12"/>
      <c r="B4573" s="13"/>
    </row>
    <row r="4574" spans="1:2" x14ac:dyDescent="0.2">
      <c r="A4574" s="12"/>
      <c r="B4574" s="13"/>
    </row>
    <row r="4575" spans="1:2" x14ac:dyDescent="0.2">
      <c r="A4575" s="12"/>
      <c r="B4575" s="13"/>
    </row>
    <row r="4576" spans="1:2" x14ac:dyDescent="0.2">
      <c r="A4576" s="12"/>
      <c r="B4576" s="13"/>
    </row>
    <row r="4577" spans="1:2" x14ac:dyDescent="0.2">
      <c r="A4577" s="12"/>
      <c r="B4577" s="13"/>
    </row>
    <row r="4578" spans="1:2" x14ac:dyDescent="0.2">
      <c r="A4578" s="12"/>
      <c r="B4578" s="13"/>
    </row>
    <row r="4579" spans="1:2" x14ac:dyDescent="0.2">
      <c r="A4579" s="12"/>
      <c r="B4579" s="13"/>
    </row>
    <row r="4580" spans="1:2" x14ac:dyDescent="0.2">
      <c r="A4580" s="12"/>
      <c r="B4580" s="13"/>
    </row>
    <row r="4581" spans="1:2" x14ac:dyDescent="0.2">
      <c r="A4581" s="12"/>
      <c r="B4581" s="13"/>
    </row>
    <row r="4582" spans="1:2" x14ac:dyDescent="0.2">
      <c r="A4582" s="12"/>
      <c r="B4582" s="13"/>
    </row>
    <row r="4583" spans="1:2" x14ac:dyDescent="0.2">
      <c r="A4583" s="12"/>
      <c r="B4583" s="13"/>
    </row>
    <row r="4584" spans="1:2" x14ac:dyDescent="0.2">
      <c r="A4584" s="12"/>
      <c r="B4584" s="13"/>
    </row>
    <row r="4585" spans="1:2" x14ac:dyDescent="0.2">
      <c r="A4585" s="12"/>
      <c r="B4585" s="13"/>
    </row>
    <row r="4586" spans="1:2" x14ac:dyDescent="0.2">
      <c r="A4586" s="12"/>
      <c r="B4586" s="13"/>
    </row>
    <row r="4587" spans="1:2" x14ac:dyDescent="0.2">
      <c r="A4587" s="12"/>
      <c r="B4587" s="13"/>
    </row>
    <row r="4588" spans="1:2" x14ac:dyDescent="0.2">
      <c r="A4588" s="12"/>
      <c r="B4588" s="13"/>
    </row>
    <row r="4589" spans="1:2" x14ac:dyDescent="0.2">
      <c r="A4589" s="12"/>
      <c r="B4589" s="13"/>
    </row>
    <row r="4590" spans="1:2" x14ac:dyDescent="0.2">
      <c r="A4590" s="12"/>
      <c r="B4590" s="13"/>
    </row>
    <row r="4591" spans="1:2" x14ac:dyDescent="0.2">
      <c r="A4591" s="12"/>
      <c r="B4591" s="13"/>
    </row>
    <row r="4592" spans="1:2" x14ac:dyDescent="0.2">
      <c r="A4592" s="12"/>
      <c r="B4592" s="13"/>
    </row>
    <row r="4593" spans="1:2" x14ac:dyDescent="0.2">
      <c r="A4593" s="12"/>
      <c r="B4593" s="13"/>
    </row>
    <row r="4594" spans="1:2" x14ac:dyDescent="0.2">
      <c r="A4594" s="12"/>
      <c r="B4594" s="13"/>
    </row>
    <row r="4595" spans="1:2" x14ac:dyDescent="0.2">
      <c r="A4595" s="12"/>
      <c r="B4595" s="13"/>
    </row>
    <row r="4596" spans="1:2" x14ac:dyDescent="0.2">
      <c r="A4596" s="12"/>
      <c r="B4596" s="13"/>
    </row>
    <row r="4597" spans="1:2" x14ac:dyDescent="0.2">
      <c r="A4597" s="12"/>
      <c r="B4597" s="13"/>
    </row>
    <row r="4598" spans="1:2" x14ac:dyDescent="0.2">
      <c r="A4598" s="12"/>
      <c r="B4598" s="13"/>
    </row>
    <row r="4599" spans="1:2" x14ac:dyDescent="0.2">
      <c r="A4599" s="12"/>
      <c r="B4599" s="13"/>
    </row>
    <row r="4600" spans="1:2" x14ac:dyDescent="0.2">
      <c r="A4600" s="12"/>
      <c r="B4600" s="13"/>
    </row>
    <row r="4601" spans="1:2" x14ac:dyDescent="0.2">
      <c r="A4601" s="12"/>
      <c r="B4601" s="13"/>
    </row>
    <row r="4602" spans="1:2" x14ac:dyDescent="0.2">
      <c r="A4602" s="12"/>
      <c r="B4602" s="13"/>
    </row>
    <row r="4603" spans="1:2" x14ac:dyDescent="0.2">
      <c r="A4603" s="12"/>
      <c r="B4603" s="13"/>
    </row>
    <row r="4604" spans="1:2" x14ac:dyDescent="0.2">
      <c r="A4604" s="12"/>
      <c r="B4604" s="13"/>
    </row>
    <row r="4605" spans="1:2" x14ac:dyDescent="0.2">
      <c r="A4605" s="12"/>
      <c r="B4605" s="13"/>
    </row>
    <row r="4606" spans="1:2" x14ac:dyDescent="0.2">
      <c r="A4606" s="12"/>
      <c r="B4606" s="13"/>
    </row>
    <row r="4607" spans="1:2" x14ac:dyDescent="0.2">
      <c r="A4607" s="12"/>
      <c r="B4607" s="13"/>
    </row>
    <row r="4608" spans="1:2" x14ac:dyDescent="0.2">
      <c r="A4608" s="12"/>
      <c r="B4608" s="13"/>
    </row>
    <row r="4609" spans="1:2" x14ac:dyDescent="0.2">
      <c r="A4609" s="12"/>
      <c r="B4609" s="13"/>
    </row>
    <row r="4610" spans="1:2" x14ac:dyDescent="0.2">
      <c r="A4610" s="12"/>
      <c r="B4610" s="13"/>
    </row>
    <row r="4611" spans="1:2" x14ac:dyDescent="0.2">
      <c r="A4611" s="12"/>
      <c r="B4611" s="13"/>
    </row>
    <row r="4612" spans="1:2" x14ac:dyDescent="0.2">
      <c r="A4612" s="12"/>
      <c r="B4612" s="13"/>
    </row>
    <row r="4613" spans="1:2" x14ac:dyDescent="0.2">
      <c r="A4613" s="12"/>
      <c r="B4613" s="13"/>
    </row>
    <row r="4614" spans="1:2" x14ac:dyDescent="0.2">
      <c r="A4614" s="12"/>
      <c r="B4614" s="13"/>
    </row>
    <row r="4615" spans="1:2" x14ac:dyDescent="0.2">
      <c r="A4615" s="12"/>
      <c r="B4615" s="13"/>
    </row>
    <row r="4616" spans="1:2" x14ac:dyDescent="0.2">
      <c r="A4616" s="12"/>
      <c r="B4616" s="13"/>
    </row>
    <row r="4617" spans="1:2" x14ac:dyDescent="0.2">
      <c r="A4617" s="12"/>
      <c r="B4617" s="13"/>
    </row>
    <row r="4618" spans="1:2" x14ac:dyDescent="0.2">
      <c r="A4618" s="12"/>
      <c r="B4618" s="13"/>
    </row>
    <row r="4619" spans="1:2" x14ac:dyDescent="0.2">
      <c r="A4619" s="12"/>
      <c r="B4619" s="13"/>
    </row>
    <row r="4620" spans="1:2" x14ac:dyDescent="0.2">
      <c r="A4620" s="12"/>
      <c r="B4620" s="13"/>
    </row>
    <row r="4621" spans="1:2" x14ac:dyDescent="0.2">
      <c r="A4621" s="12"/>
      <c r="B4621" s="13"/>
    </row>
    <row r="4622" spans="1:2" x14ac:dyDescent="0.2">
      <c r="A4622" s="12"/>
      <c r="B4622" s="13"/>
    </row>
    <row r="4623" spans="1:2" x14ac:dyDescent="0.2">
      <c r="A4623" s="12"/>
      <c r="B4623" s="13"/>
    </row>
    <row r="4624" spans="1:2" x14ac:dyDescent="0.2">
      <c r="A4624" s="12"/>
      <c r="B4624" s="13"/>
    </row>
    <row r="4625" spans="1:2" x14ac:dyDescent="0.2">
      <c r="A4625" s="12"/>
      <c r="B4625" s="13"/>
    </row>
    <row r="4626" spans="1:2" x14ac:dyDescent="0.2">
      <c r="A4626" s="12"/>
      <c r="B4626" s="13"/>
    </row>
    <row r="4627" spans="1:2" x14ac:dyDescent="0.2">
      <c r="A4627" s="12"/>
      <c r="B4627" s="13"/>
    </row>
    <row r="4628" spans="1:2" x14ac:dyDescent="0.2">
      <c r="A4628" s="12"/>
      <c r="B4628" s="13"/>
    </row>
    <row r="4629" spans="1:2" x14ac:dyDescent="0.2">
      <c r="A4629" s="12"/>
      <c r="B4629" s="13"/>
    </row>
    <row r="4630" spans="1:2" x14ac:dyDescent="0.2">
      <c r="A4630" s="12"/>
      <c r="B4630" s="13"/>
    </row>
    <row r="4631" spans="1:2" x14ac:dyDescent="0.2">
      <c r="A4631" s="12"/>
      <c r="B4631" s="13"/>
    </row>
    <row r="4632" spans="1:2" x14ac:dyDescent="0.2">
      <c r="A4632" s="12"/>
      <c r="B4632" s="13"/>
    </row>
    <row r="4633" spans="1:2" x14ac:dyDescent="0.2">
      <c r="A4633" s="12"/>
      <c r="B4633" s="13"/>
    </row>
    <row r="4634" spans="1:2" x14ac:dyDescent="0.2">
      <c r="A4634" s="12"/>
      <c r="B4634" s="13"/>
    </row>
    <row r="4635" spans="1:2" x14ac:dyDescent="0.2">
      <c r="A4635" s="12"/>
      <c r="B4635" s="13"/>
    </row>
    <row r="4636" spans="1:2" x14ac:dyDescent="0.2">
      <c r="A4636" s="12"/>
      <c r="B4636" s="13"/>
    </row>
    <row r="4637" spans="1:2" x14ac:dyDescent="0.2">
      <c r="A4637" s="12"/>
      <c r="B4637" s="13"/>
    </row>
    <row r="4638" spans="1:2" x14ac:dyDescent="0.2">
      <c r="A4638" s="12"/>
      <c r="B4638" s="13"/>
    </row>
    <row r="4639" spans="1:2" x14ac:dyDescent="0.2">
      <c r="A4639" s="12"/>
      <c r="B4639" s="13"/>
    </row>
    <row r="4640" spans="1:2" x14ac:dyDescent="0.2">
      <c r="A4640" s="12"/>
      <c r="B4640" s="13"/>
    </row>
    <row r="4641" spans="1:2" x14ac:dyDescent="0.2">
      <c r="A4641" s="12"/>
      <c r="B4641" s="13"/>
    </row>
    <row r="4642" spans="1:2" x14ac:dyDescent="0.2">
      <c r="A4642" s="12"/>
      <c r="B4642" s="13"/>
    </row>
    <row r="4643" spans="1:2" x14ac:dyDescent="0.2">
      <c r="A4643" s="12"/>
      <c r="B4643" s="13"/>
    </row>
    <row r="4644" spans="1:2" x14ac:dyDescent="0.2">
      <c r="A4644" s="12"/>
      <c r="B4644" s="13"/>
    </row>
    <row r="4645" spans="1:2" x14ac:dyDescent="0.2">
      <c r="A4645" s="12"/>
      <c r="B4645" s="13"/>
    </row>
    <row r="4646" spans="1:2" x14ac:dyDescent="0.2">
      <c r="A4646" s="12"/>
      <c r="B4646" s="13"/>
    </row>
    <row r="4647" spans="1:2" x14ac:dyDescent="0.2">
      <c r="A4647" s="12"/>
      <c r="B4647" s="13"/>
    </row>
    <row r="4648" spans="1:2" x14ac:dyDescent="0.2">
      <c r="A4648" s="12"/>
      <c r="B4648" s="13"/>
    </row>
    <row r="4649" spans="1:2" x14ac:dyDescent="0.2">
      <c r="A4649" s="12"/>
      <c r="B4649" s="13"/>
    </row>
    <row r="4650" spans="1:2" x14ac:dyDescent="0.2">
      <c r="A4650" s="12"/>
      <c r="B4650" s="13"/>
    </row>
    <row r="4651" spans="1:2" x14ac:dyDescent="0.2">
      <c r="A4651" s="12"/>
      <c r="B4651" s="13"/>
    </row>
    <row r="4652" spans="1:2" x14ac:dyDescent="0.2">
      <c r="A4652" s="12"/>
      <c r="B4652" s="13"/>
    </row>
    <row r="4653" spans="1:2" x14ac:dyDescent="0.2">
      <c r="A4653" s="12"/>
      <c r="B4653" s="13"/>
    </row>
    <row r="4654" spans="1:2" x14ac:dyDescent="0.2">
      <c r="A4654" s="12"/>
      <c r="B4654" s="13"/>
    </row>
    <row r="4655" spans="1:2" x14ac:dyDescent="0.2">
      <c r="A4655" s="12"/>
      <c r="B4655" s="13"/>
    </row>
    <row r="4656" spans="1:2" x14ac:dyDescent="0.2">
      <c r="A4656" s="12"/>
      <c r="B4656" s="13"/>
    </row>
    <row r="4657" spans="1:2" x14ac:dyDescent="0.2">
      <c r="A4657" s="12"/>
      <c r="B4657" s="13"/>
    </row>
    <row r="4658" spans="1:2" x14ac:dyDescent="0.2">
      <c r="A4658" s="12"/>
      <c r="B4658" s="13"/>
    </row>
    <row r="4659" spans="1:2" x14ac:dyDescent="0.2">
      <c r="A4659" s="12"/>
      <c r="B4659" s="13"/>
    </row>
    <row r="4660" spans="1:2" x14ac:dyDescent="0.2">
      <c r="A4660" s="12"/>
      <c r="B4660" s="13"/>
    </row>
    <row r="4661" spans="1:2" x14ac:dyDescent="0.2">
      <c r="A4661" s="12"/>
      <c r="B4661" s="13"/>
    </row>
    <row r="4662" spans="1:2" x14ac:dyDescent="0.2">
      <c r="A4662" s="12"/>
      <c r="B4662" s="13"/>
    </row>
    <row r="4663" spans="1:2" x14ac:dyDescent="0.2">
      <c r="A4663" s="12"/>
      <c r="B4663" s="13"/>
    </row>
    <row r="4664" spans="1:2" x14ac:dyDescent="0.2">
      <c r="A4664" s="12"/>
      <c r="B4664" s="13"/>
    </row>
    <row r="4665" spans="1:2" x14ac:dyDescent="0.2">
      <c r="A4665" s="12"/>
      <c r="B4665" s="13"/>
    </row>
    <row r="4666" spans="1:2" x14ac:dyDescent="0.2">
      <c r="A4666" s="12"/>
      <c r="B4666" s="13"/>
    </row>
    <row r="4667" spans="1:2" x14ac:dyDescent="0.2">
      <c r="A4667" s="12"/>
      <c r="B4667" s="13"/>
    </row>
    <row r="4668" spans="1:2" x14ac:dyDescent="0.2">
      <c r="A4668" s="12"/>
      <c r="B4668" s="13"/>
    </row>
    <row r="4669" spans="1:2" x14ac:dyDescent="0.2">
      <c r="A4669" s="12"/>
      <c r="B4669" s="13"/>
    </row>
    <row r="4670" spans="1:2" x14ac:dyDescent="0.2">
      <c r="A4670" s="12"/>
      <c r="B4670" s="13"/>
    </row>
    <row r="4671" spans="1:2" x14ac:dyDescent="0.2">
      <c r="A4671" s="12"/>
      <c r="B4671" s="13"/>
    </row>
    <row r="4672" spans="1:2" x14ac:dyDescent="0.2">
      <c r="A4672" s="12"/>
      <c r="B4672" s="13"/>
    </row>
    <row r="4673" spans="1:2" x14ac:dyDescent="0.2">
      <c r="A4673" s="12"/>
      <c r="B4673" s="13"/>
    </row>
    <row r="4674" spans="1:2" x14ac:dyDescent="0.2">
      <c r="A4674" s="12"/>
      <c r="B4674" s="13"/>
    </row>
    <row r="4675" spans="1:2" x14ac:dyDescent="0.2">
      <c r="A4675" s="12"/>
      <c r="B4675" s="13"/>
    </row>
    <row r="4676" spans="1:2" x14ac:dyDescent="0.2">
      <c r="A4676" s="12"/>
      <c r="B4676" s="13"/>
    </row>
    <row r="4677" spans="1:2" x14ac:dyDescent="0.2">
      <c r="A4677" s="12"/>
      <c r="B4677" s="13"/>
    </row>
    <row r="4678" spans="1:2" x14ac:dyDescent="0.2">
      <c r="A4678" s="12"/>
      <c r="B4678" s="13"/>
    </row>
    <row r="4679" spans="1:2" x14ac:dyDescent="0.2">
      <c r="A4679" s="12"/>
      <c r="B4679" s="13"/>
    </row>
    <row r="4680" spans="1:2" x14ac:dyDescent="0.2">
      <c r="A4680" s="12"/>
      <c r="B4680" s="13"/>
    </row>
    <row r="4681" spans="1:2" x14ac:dyDescent="0.2">
      <c r="A4681" s="12"/>
      <c r="B4681" s="13"/>
    </row>
    <row r="4682" spans="1:2" x14ac:dyDescent="0.2">
      <c r="A4682" s="12"/>
      <c r="B4682" s="13"/>
    </row>
    <row r="4683" spans="1:2" x14ac:dyDescent="0.2">
      <c r="A4683" s="12"/>
      <c r="B4683" s="13"/>
    </row>
    <row r="4684" spans="1:2" x14ac:dyDescent="0.2">
      <c r="A4684" s="12"/>
      <c r="B4684" s="13"/>
    </row>
    <row r="4685" spans="1:2" x14ac:dyDescent="0.2">
      <c r="A4685" s="12"/>
      <c r="B4685" s="13"/>
    </row>
    <row r="4686" spans="1:2" x14ac:dyDescent="0.2">
      <c r="A4686" s="12"/>
      <c r="B4686" s="13"/>
    </row>
    <row r="4687" spans="1:2" x14ac:dyDescent="0.2">
      <c r="A4687" s="12"/>
      <c r="B4687" s="13"/>
    </row>
    <row r="4688" spans="1:2" x14ac:dyDescent="0.2">
      <c r="A4688" s="12"/>
      <c r="B4688" s="13"/>
    </row>
    <row r="4689" spans="1:2" x14ac:dyDescent="0.2">
      <c r="A4689" s="12"/>
      <c r="B4689" s="13"/>
    </row>
    <row r="4690" spans="1:2" x14ac:dyDescent="0.2">
      <c r="A4690" s="12"/>
      <c r="B4690" s="13"/>
    </row>
    <row r="4691" spans="1:2" x14ac:dyDescent="0.2">
      <c r="A4691" s="12"/>
      <c r="B4691" s="13"/>
    </row>
    <row r="4692" spans="1:2" x14ac:dyDescent="0.2">
      <c r="A4692" s="12"/>
      <c r="B4692" s="13"/>
    </row>
    <row r="4693" spans="1:2" x14ac:dyDescent="0.2">
      <c r="A4693" s="12"/>
      <c r="B4693" s="13"/>
    </row>
    <row r="4694" spans="1:2" x14ac:dyDescent="0.2">
      <c r="A4694" s="12"/>
      <c r="B4694" s="13"/>
    </row>
    <row r="4695" spans="1:2" x14ac:dyDescent="0.2">
      <c r="A4695" s="12"/>
      <c r="B4695" s="13"/>
    </row>
    <row r="4696" spans="1:2" x14ac:dyDescent="0.2">
      <c r="A4696" s="12"/>
      <c r="B4696" s="13"/>
    </row>
    <row r="4697" spans="1:2" x14ac:dyDescent="0.2">
      <c r="A4697" s="12"/>
      <c r="B4697" s="13"/>
    </row>
    <row r="4698" spans="1:2" x14ac:dyDescent="0.2">
      <c r="A4698" s="12"/>
      <c r="B4698" s="13"/>
    </row>
    <row r="4699" spans="1:2" x14ac:dyDescent="0.2">
      <c r="A4699" s="12"/>
      <c r="B4699" s="13"/>
    </row>
    <row r="4700" spans="1:2" x14ac:dyDescent="0.2">
      <c r="A4700" s="12"/>
      <c r="B4700" s="13"/>
    </row>
    <row r="4701" spans="1:2" x14ac:dyDescent="0.2">
      <c r="A4701" s="12"/>
      <c r="B4701" s="13"/>
    </row>
    <row r="4702" spans="1:2" x14ac:dyDescent="0.2">
      <c r="A4702" s="12"/>
      <c r="B4702" s="13"/>
    </row>
    <row r="4703" spans="1:2" x14ac:dyDescent="0.2">
      <c r="A4703" s="12"/>
      <c r="B4703" s="13"/>
    </row>
    <row r="4704" spans="1:2" x14ac:dyDescent="0.2">
      <c r="A4704" s="12"/>
      <c r="B4704" s="13"/>
    </row>
    <row r="4705" spans="1:2" x14ac:dyDescent="0.2">
      <c r="A4705" s="12"/>
      <c r="B4705" s="13"/>
    </row>
    <row r="4706" spans="1:2" x14ac:dyDescent="0.2">
      <c r="A4706" s="12"/>
      <c r="B4706" s="13"/>
    </row>
    <row r="4707" spans="1:2" x14ac:dyDescent="0.2">
      <c r="A4707" s="12"/>
      <c r="B4707" s="13"/>
    </row>
    <row r="4708" spans="1:2" x14ac:dyDescent="0.2">
      <c r="A4708" s="12"/>
      <c r="B4708" s="13"/>
    </row>
    <row r="4709" spans="1:2" x14ac:dyDescent="0.2">
      <c r="A4709" s="12"/>
      <c r="B4709" s="13"/>
    </row>
    <row r="4710" spans="1:2" x14ac:dyDescent="0.2">
      <c r="A4710" s="12"/>
      <c r="B4710" s="13"/>
    </row>
    <row r="4711" spans="1:2" x14ac:dyDescent="0.2">
      <c r="A4711" s="12"/>
      <c r="B4711" s="13"/>
    </row>
    <row r="4712" spans="1:2" x14ac:dyDescent="0.2">
      <c r="A4712" s="12"/>
      <c r="B4712" s="13"/>
    </row>
    <row r="4713" spans="1:2" x14ac:dyDescent="0.2">
      <c r="A4713" s="12"/>
      <c r="B4713" s="13"/>
    </row>
    <row r="4714" spans="1:2" x14ac:dyDescent="0.2">
      <c r="A4714" s="12"/>
      <c r="B4714" s="13"/>
    </row>
    <row r="4715" spans="1:2" x14ac:dyDescent="0.2">
      <c r="A4715" s="12"/>
      <c r="B4715" s="13"/>
    </row>
    <row r="4716" spans="1:2" x14ac:dyDescent="0.2">
      <c r="A4716" s="12"/>
      <c r="B4716" s="13"/>
    </row>
    <row r="4717" spans="1:2" x14ac:dyDescent="0.2">
      <c r="A4717" s="12"/>
      <c r="B4717" s="13"/>
    </row>
    <row r="4718" spans="1:2" x14ac:dyDescent="0.2">
      <c r="A4718" s="12"/>
      <c r="B4718" s="13"/>
    </row>
    <row r="4719" spans="1:2" x14ac:dyDescent="0.2">
      <c r="A4719" s="12"/>
      <c r="B4719" s="13"/>
    </row>
    <row r="4720" spans="1:2" x14ac:dyDescent="0.2">
      <c r="A4720" s="12"/>
      <c r="B4720" s="13"/>
    </row>
    <row r="4721" spans="1:2" x14ac:dyDescent="0.2">
      <c r="A4721" s="12"/>
      <c r="B4721" s="13"/>
    </row>
    <row r="4722" spans="1:2" x14ac:dyDescent="0.2">
      <c r="A4722" s="12"/>
      <c r="B4722" s="13"/>
    </row>
    <row r="4723" spans="1:2" x14ac:dyDescent="0.2">
      <c r="A4723" s="12"/>
      <c r="B4723" s="13"/>
    </row>
    <row r="4724" spans="1:2" x14ac:dyDescent="0.2">
      <c r="A4724" s="12"/>
      <c r="B4724" s="13"/>
    </row>
    <row r="4725" spans="1:2" x14ac:dyDescent="0.2">
      <c r="A4725" s="12"/>
      <c r="B4725" s="13"/>
    </row>
    <row r="4726" spans="1:2" x14ac:dyDescent="0.2">
      <c r="A4726" s="12"/>
      <c r="B4726" s="13"/>
    </row>
    <row r="4727" spans="1:2" x14ac:dyDescent="0.2">
      <c r="A4727" s="12"/>
      <c r="B4727" s="13"/>
    </row>
    <row r="4728" spans="1:2" x14ac:dyDescent="0.2">
      <c r="A4728" s="12"/>
      <c r="B4728" s="13"/>
    </row>
    <row r="4729" spans="1:2" x14ac:dyDescent="0.2">
      <c r="A4729" s="12"/>
      <c r="B4729" s="13"/>
    </row>
    <row r="4730" spans="1:2" x14ac:dyDescent="0.2">
      <c r="A4730" s="12"/>
      <c r="B4730" s="13"/>
    </row>
    <row r="4731" spans="1:2" x14ac:dyDescent="0.2">
      <c r="A4731" s="12"/>
      <c r="B4731" s="13"/>
    </row>
    <row r="4732" spans="1:2" x14ac:dyDescent="0.2">
      <c r="A4732" s="12"/>
      <c r="B4732" s="13"/>
    </row>
    <row r="4733" spans="1:2" x14ac:dyDescent="0.2">
      <c r="A4733" s="12"/>
      <c r="B4733" s="13"/>
    </row>
    <row r="4734" spans="1:2" x14ac:dyDescent="0.2">
      <c r="A4734" s="12"/>
      <c r="B4734" s="13"/>
    </row>
    <row r="4735" spans="1:2" x14ac:dyDescent="0.2">
      <c r="A4735" s="12"/>
      <c r="B4735" s="13"/>
    </row>
    <row r="4736" spans="1:2" x14ac:dyDescent="0.2">
      <c r="A4736" s="12"/>
      <c r="B4736" s="13"/>
    </row>
    <row r="4737" spans="1:2" x14ac:dyDescent="0.2">
      <c r="A4737" s="12"/>
      <c r="B4737" s="13"/>
    </row>
    <row r="4738" spans="1:2" x14ac:dyDescent="0.2">
      <c r="A4738" s="12"/>
      <c r="B4738" s="13"/>
    </row>
    <row r="4739" spans="1:2" x14ac:dyDescent="0.2">
      <c r="A4739" s="12"/>
      <c r="B4739" s="13"/>
    </row>
    <row r="4740" spans="1:2" x14ac:dyDescent="0.2">
      <c r="A4740" s="12"/>
      <c r="B4740" s="13"/>
    </row>
    <row r="4741" spans="1:2" x14ac:dyDescent="0.2">
      <c r="A4741" s="12"/>
      <c r="B4741" s="13"/>
    </row>
    <row r="4742" spans="1:2" x14ac:dyDescent="0.2">
      <c r="A4742" s="12"/>
      <c r="B4742" s="13"/>
    </row>
    <row r="4743" spans="1:2" x14ac:dyDescent="0.2">
      <c r="A4743" s="12"/>
      <c r="B4743" s="13"/>
    </row>
    <row r="4744" spans="1:2" x14ac:dyDescent="0.2">
      <c r="A4744" s="12"/>
      <c r="B4744" s="13"/>
    </row>
    <row r="4745" spans="1:2" x14ac:dyDescent="0.2">
      <c r="A4745" s="12"/>
      <c r="B4745" s="13"/>
    </row>
    <row r="4746" spans="1:2" x14ac:dyDescent="0.2">
      <c r="A4746" s="12"/>
      <c r="B4746" s="13"/>
    </row>
    <row r="4747" spans="1:2" x14ac:dyDescent="0.2">
      <c r="A4747" s="12"/>
      <c r="B4747" s="13"/>
    </row>
    <row r="4748" spans="1:2" x14ac:dyDescent="0.2">
      <c r="A4748" s="12"/>
      <c r="B4748" s="13"/>
    </row>
    <row r="4749" spans="1:2" x14ac:dyDescent="0.2">
      <c r="A4749" s="12"/>
      <c r="B4749" s="13"/>
    </row>
    <row r="4750" spans="1:2" x14ac:dyDescent="0.2">
      <c r="A4750" s="12"/>
      <c r="B4750" s="13"/>
    </row>
    <row r="4751" spans="1:2" x14ac:dyDescent="0.2">
      <c r="A4751" s="12"/>
      <c r="B4751" s="13"/>
    </row>
    <row r="4752" spans="1:2" x14ac:dyDescent="0.2">
      <c r="A4752" s="12"/>
      <c r="B4752" s="13"/>
    </row>
    <row r="4753" spans="1:2" x14ac:dyDescent="0.2">
      <c r="A4753" s="12"/>
      <c r="B4753" s="13"/>
    </row>
    <row r="4754" spans="1:2" x14ac:dyDescent="0.2">
      <c r="A4754" s="12"/>
      <c r="B4754" s="13"/>
    </row>
    <row r="4755" spans="1:2" x14ac:dyDescent="0.2">
      <c r="A4755" s="12"/>
      <c r="B4755" s="13"/>
    </row>
    <row r="4756" spans="1:2" x14ac:dyDescent="0.2">
      <c r="A4756" s="12"/>
      <c r="B4756" s="13"/>
    </row>
    <row r="4757" spans="1:2" x14ac:dyDescent="0.2">
      <c r="A4757" s="12"/>
      <c r="B4757" s="13"/>
    </row>
    <row r="4758" spans="1:2" x14ac:dyDescent="0.2">
      <c r="A4758" s="12"/>
      <c r="B4758" s="13"/>
    </row>
    <row r="4759" spans="1:2" x14ac:dyDescent="0.2">
      <c r="A4759" s="12"/>
      <c r="B4759" s="13"/>
    </row>
    <row r="4760" spans="1:2" x14ac:dyDescent="0.2">
      <c r="A4760" s="12"/>
      <c r="B4760" s="13"/>
    </row>
    <row r="4761" spans="1:2" x14ac:dyDescent="0.2">
      <c r="A4761" s="12"/>
      <c r="B4761" s="13"/>
    </row>
    <row r="4762" spans="1:2" x14ac:dyDescent="0.2">
      <c r="A4762" s="12"/>
      <c r="B4762" s="13"/>
    </row>
    <row r="4763" spans="1:2" x14ac:dyDescent="0.2">
      <c r="A4763" s="12"/>
      <c r="B4763" s="13"/>
    </row>
    <row r="4764" spans="1:2" x14ac:dyDescent="0.2">
      <c r="A4764" s="12"/>
      <c r="B4764" s="13"/>
    </row>
    <row r="4765" spans="1:2" x14ac:dyDescent="0.2">
      <c r="A4765" s="12"/>
      <c r="B4765" s="13"/>
    </row>
    <row r="4766" spans="1:2" x14ac:dyDescent="0.2">
      <c r="A4766" s="12"/>
      <c r="B4766" s="13"/>
    </row>
    <row r="4767" spans="1:2" x14ac:dyDescent="0.2">
      <c r="A4767" s="12"/>
      <c r="B4767" s="13"/>
    </row>
    <row r="4768" spans="1:2" x14ac:dyDescent="0.2">
      <c r="A4768" s="12"/>
      <c r="B4768" s="13"/>
    </row>
    <row r="4769" spans="1:2" x14ac:dyDescent="0.2">
      <c r="A4769" s="12"/>
      <c r="B4769" s="13"/>
    </row>
    <row r="4770" spans="1:2" x14ac:dyDescent="0.2">
      <c r="A4770" s="12"/>
      <c r="B4770" s="13"/>
    </row>
    <row r="4771" spans="1:2" x14ac:dyDescent="0.2">
      <c r="A4771" s="12"/>
      <c r="B4771" s="13"/>
    </row>
    <row r="4772" spans="1:2" x14ac:dyDescent="0.2">
      <c r="A4772" s="12"/>
      <c r="B4772" s="13"/>
    </row>
    <row r="4773" spans="1:2" x14ac:dyDescent="0.2">
      <c r="A4773" s="12"/>
      <c r="B4773" s="13"/>
    </row>
    <row r="4774" spans="1:2" x14ac:dyDescent="0.2">
      <c r="A4774" s="12"/>
      <c r="B4774" s="13"/>
    </row>
    <row r="4775" spans="1:2" x14ac:dyDescent="0.2">
      <c r="A4775" s="12"/>
      <c r="B4775" s="13"/>
    </row>
    <row r="4776" spans="1:2" x14ac:dyDescent="0.2">
      <c r="A4776" s="12"/>
      <c r="B4776" s="13"/>
    </row>
    <row r="4777" spans="1:2" x14ac:dyDescent="0.2">
      <c r="A4777" s="12"/>
      <c r="B4777" s="13"/>
    </row>
    <row r="4778" spans="1:2" x14ac:dyDescent="0.2">
      <c r="A4778" s="12"/>
      <c r="B4778" s="13"/>
    </row>
    <row r="4779" spans="1:2" x14ac:dyDescent="0.2">
      <c r="A4779" s="12"/>
      <c r="B4779" s="13"/>
    </row>
    <row r="4780" spans="1:2" x14ac:dyDescent="0.2">
      <c r="A4780" s="12"/>
      <c r="B4780" s="13"/>
    </row>
    <row r="4781" spans="1:2" x14ac:dyDescent="0.2">
      <c r="A4781" s="12"/>
      <c r="B4781" s="13"/>
    </row>
    <row r="4782" spans="1:2" x14ac:dyDescent="0.2">
      <c r="A4782" s="12"/>
      <c r="B4782" s="13"/>
    </row>
    <row r="4783" spans="1:2" x14ac:dyDescent="0.2">
      <c r="A4783" s="12"/>
      <c r="B4783" s="13"/>
    </row>
    <row r="4784" spans="1:2" x14ac:dyDescent="0.2">
      <c r="A4784" s="12"/>
      <c r="B4784" s="13"/>
    </row>
    <row r="4785" spans="1:2" x14ac:dyDescent="0.2">
      <c r="A4785" s="12"/>
      <c r="B4785" s="13"/>
    </row>
    <row r="4786" spans="1:2" x14ac:dyDescent="0.2">
      <c r="A4786" s="12"/>
      <c r="B4786" s="13"/>
    </row>
    <row r="4787" spans="1:2" x14ac:dyDescent="0.2">
      <c r="A4787" s="12"/>
      <c r="B4787" s="13"/>
    </row>
    <row r="4788" spans="1:2" x14ac:dyDescent="0.2">
      <c r="A4788" s="12"/>
      <c r="B4788" s="13"/>
    </row>
    <row r="4789" spans="1:2" x14ac:dyDescent="0.2">
      <c r="A4789" s="12"/>
      <c r="B4789" s="13"/>
    </row>
    <row r="4790" spans="1:2" x14ac:dyDescent="0.2">
      <c r="A4790" s="12"/>
      <c r="B4790" s="13"/>
    </row>
    <row r="4791" spans="1:2" x14ac:dyDescent="0.2">
      <c r="A4791" s="12"/>
      <c r="B4791" s="13"/>
    </row>
    <row r="4792" spans="1:2" x14ac:dyDescent="0.2">
      <c r="A4792" s="12"/>
      <c r="B4792" s="13"/>
    </row>
    <row r="4793" spans="1:2" x14ac:dyDescent="0.2">
      <c r="A4793" s="12"/>
      <c r="B4793" s="13"/>
    </row>
    <row r="4794" spans="1:2" x14ac:dyDescent="0.2">
      <c r="A4794" s="12"/>
      <c r="B4794" s="13"/>
    </row>
    <row r="4795" spans="1:2" x14ac:dyDescent="0.2">
      <c r="A4795" s="12"/>
      <c r="B4795" s="13"/>
    </row>
    <row r="4796" spans="1:2" x14ac:dyDescent="0.2">
      <c r="A4796" s="12"/>
      <c r="B4796" s="13"/>
    </row>
    <row r="4797" spans="1:2" x14ac:dyDescent="0.2">
      <c r="A4797" s="12"/>
      <c r="B4797" s="13"/>
    </row>
    <row r="4798" spans="1:2" x14ac:dyDescent="0.2">
      <c r="A4798" s="12"/>
      <c r="B4798" s="13"/>
    </row>
    <row r="4799" spans="1:2" x14ac:dyDescent="0.2">
      <c r="A4799" s="12"/>
      <c r="B4799" s="13"/>
    </row>
    <row r="4800" spans="1:2" x14ac:dyDescent="0.2">
      <c r="A4800" s="12"/>
      <c r="B4800" s="13"/>
    </row>
    <row r="4801" spans="1:2" x14ac:dyDescent="0.2">
      <c r="A4801" s="12"/>
      <c r="B4801" s="13"/>
    </row>
    <row r="4802" spans="1:2" x14ac:dyDescent="0.2">
      <c r="A4802" s="12"/>
      <c r="B4802" s="13"/>
    </row>
    <row r="4803" spans="1:2" x14ac:dyDescent="0.2">
      <c r="A4803" s="12"/>
      <c r="B4803" s="13"/>
    </row>
    <row r="4804" spans="1:2" x14ac:dyDescent="0.2">
      <c r="A4804" s="12"/>
      <c r="B4804" s="13"/>
    </row>
    <row r="4805" spans="1:2" x14ac:dyDescent="0.2">
      <c r="A4805" s="12"/>
      <c r="B4805" s="13"/>
    </row>
    <row r="4806" spans="1:2" x14ac:dyDescent="0.2">
      <c r="A4806" s="12"/>
      <c r="B4806" s="13"/>
    </row>
    <row r="4807" spans="1:2" x14ac:dyDescent="0.2">
      <c r="A4807" s="12"/>
      <c r="B4807" s="13"/>
    </row>
    <row r="4808" spans="1:2" x14ac:dyDescent="0.2">
      <c r="A4808" s="12"/>
      <c r="B4808" s="13"/>
    </row>
    <row r="4809" spans="1:2" x14ac:dyDescent="0.2">
      <c r="A4809" s="12"/>
      <c r="B4809" s="13"/>
    </row>
    <row r="4810" spans="1:2" x14ac:dyDescent="0.2">
      <c r="A4810" s="12"/>
      <c r="B4810" s="13"/>
    </row>
    <row r="4811" spans="1:2" x14ac:dyDescent="0.2">
      <c r="A4811" s="12"/>
      <c r="B4811" s="13"/>
    </row>
    <row r="4812" spans="1:2" x14ac:dyDescent="0.2">
      <c r="A4812" s="12"/>
      <c r="B4812" s="13"/>
    </row>
    <row r="4813" spans="1:2" x14ac:dyDescent="0.2">
      <c r="A4813" s="12"/>
      <c r="B4813" s="13"/>
    </row>
    <row r="4814" spans="1:2" x14ac:dyDescent="0.2">
      <c r="A4814" s="12"/>
      <c r="B4814" s="13"/>
    </row>
    <row r="4815" spans="1:2" x14ac:dyDescent="0.2">
      <c r="A4815" s="12"/>
      <c r="B4815" s="13"/>
    </row>
    <row r="4816" spans="1:2" x14ac:dyDescent="0.2">
      <c r="A4816" s="12"/>
      <c r="B4816" s="13"/>
    </row>
    <row r="4817" spans="1:2" x14ac:dyDescent="0.2">
      <c r="A4817" s="12"/>
      <c r="B4817" s="13"/>
    </row>
    <row r="4818" spans="1:2" x14ac:dyDescent="0.2">
      <c r="A4818" s="12"/>
      <c r="B4818" s="13"/>
    </row>
    <row r="4819" spans="1:2" x14ac:dyDescent="0.2">
      <c r="A4819" s="12"/>
      <c r="B4819" s="13"/>
    </row>
    <row r="4820" spans="1:2" x14ac:dyDescent="0.2">
      <c r="A4820" s="12"/>
      <c r="B4820" s="13"/>
    </row>
    <row r="4821" spans="1:2" x14ac:dyDescent="0.2">
      <c r="A4821" s="12"/>
      <c r="B4821" s="13"/>
    </row>
    <row r="4822" spans="1:2" x14ac:dyDescent="0.2">
      <c r="A4822" s="12"/>
      <c r="B4822" s="13"/>
    </row>
    <row r="4823" spans="1:2" x14ac:dyDescent="0.2">
      <c r="A4823" s="12"/>
      <c r="B4823" s="13"/>
    </row>
    <row r="4824" spans="1:2" x14ac:dyDescent="0.2">
      <c r="A4824" s="12"/>
      <c r="B4824" s="13"/>
    </row>
    <row r="4825" spans="1:2" x14ac:dyDescent="0.2">
      <c r="A4825" s="12"/>
      <c r="B4825" s="13"/>
    </row>
    <row r="4826" spans="1:2" x14ac:dyDescent="0.2">
      <c r="A4826" s="12"/>
      <c r="B4826" s="13"/>
    </row>
    <row r="4827" spans="1:2" x14ac:dyDescent="0.2">
      <c r="A4827" s="12"/>
      <c r="B4827" s="13"/>
    </row>
    <row r="4828" spans="1:2" x14ac:dyDescent="0.2">
      <c r="A4828" s="12"/>
      <c r="B4828" s="13"/>
    </row>
    <row r="4829" spans="1:2" x14ac:dyDescent="0.2">
      <c r="A4829" s="12"/>
      <c r="B4829" s="13"/>
    </row>
    <row r="4830" spans="1:2" x14ac:dyDescent="0.2">
      <c r="A4830" s="12"/>
      <c r="B4830" s="13"/>
    </row>
    <row r="4831" spans="1:2" x14ac:dyDescent="0.2">
      <c r="A4831" s="12"/>
      <c r="B4831" s="13"/>
    </row>
    <row r="4832" spans="1:2" x14ac:dyDescent="0.2">
      <c r="A4832" s="12"/>
      <c r="B4832" s="13"/>
    </row>
    <row r="4833" spans="1:2" x14ac:dyDescent="0.2">
      <c r="A4833" s="12"/>
      <c r="B4833" s="13"/>
    </row>
    <row r="4834" spans="1:2" x14ac:dyDescent="0.2">
      <c r="A4834" s="12"/>
      <c r="B4834" s="13"/>
    </row>
    <row r="4835" spans="1:2" x14ac:dyDescent="0.2">
      <c r="A4835" s="12"/>
      <c r="B4835" s="13"/>
    </row>
    <row r="4836" spans="1:2" x14ac:dyDescent="0.2">
      <c r="A4836" s="12"/>
      <c r="B4836" s="13"/>
    </row>
    <row r="4837" spans="1:2" x14ac:dyDescent="0.2">
      <c r="A4837" s="12"/>
      <c r="B4837" s="13"/>
    </row>
    <row r="4838" spans="1:2" x14ac:dyDescent="0.2">
      <c r="A4838" s="12"/>
      <c r="B4838" s="13"/>
    </row>
    <row r="4839" spans="1:2" x14ac:dyDescent="0.2">
      <c r="A4839" s="12"/>
      <c r="B4839" s="13"/>
    </row>
    <row r="4840" spans="1:2" x14ac:dyDescent="0.2">
      <c r="A4840" s="12"/>
      <c r="B4840" s="13"/>
    </row>
    <row r="4841" spans="1:2" x14ac:dyDescent="0.2">
      <c r="A4841" s="12"/>
      <c r="B4841" s="13"/>
    </row>
    <row r="4842" spans="1:2" x14ac:dyDescent="0.2">
      <c r="A4842" s="12"/>
      <c r="B4842" s="13"/>
    </row>
    <row r="4843" spans="1:2" x14ac:dyDescent="0.2">
      <c r="A4843" s="12"/>
      <c r="B4843" s="13"/>
    </row>
    <row r="4844" spans="1:2" x14ac:dyDescent="0.2">
      <c r="A4844" s="12"/>
      <c r="B4844" s="13"/>
    </row>
    <row r="4845" spans="1:2" x14ac:dyDescent="0.2">
      <c r="A4845" s="12"/>
      <c r="B4845" s="13"/>
    </row>
    <row r="4846" spans="1:2" x14ac:dyDescent="0.2">
      <c r="A4846" s="12"/>
      <c r="B4846" s="13"/>
    </row>
    <row r="4847" spans="1:2" x14ac:dyDescent="0.2">
      <c r="A4847" s="12"/>
      <c r="B4847" s="13"/>
    </row>
    <row r="4848" spans="1:2" x14ac:dyDescent="0.2">
      <c r="A4848" s="12"/>
      <c r="B4848" s="13"/>
    </row>
    <row r="4849" spans="1:2" x14ac:dyDescent="0.2">
      <c r="A4849" s="12"/>
      <c r="B4849" s="13"/>
    </row>
    <row r="4850" spans="1:2" x14ac:dyDescent="0.2">
      <c r="A4850" s="12"/>
      <c r="B4850" s="13"/>
    </row>
    <row r="4851" spans="1:2" x14ac:dyDescent="0.2">
      <c r="A4851" s="12"/>
      <c r="B4851" s="13"/>
    </row>
    <row r="4852" spans="1:2" x14ac:dyDescent="0.2">
      <c r="A4852" s="12"/>
      <c r="B4852" s="13"/>
    </row>
    <row r="4853" spans="1:2" x14ac:dyDescent="0.2">
      <c r="A4853" s="12"/>
      <c r="B4853" s="13"/>
    </row>
    <row r="4854" spans="1:2" x14ac:dyDescent="0.2">
      <c r="A4854" s="12"/>
      <c r="B4854" s="13"/>
    </row>
    <row r="4855" spans="1:2" x14ac:dyDescent="0.2">
      <c r="A4855" s="12"/>
      <c r="B4855" s="13"/>
    </row>
    <row r="4856" spans="1:2" x14ac:dyDescent="0.2">
      <c r="A4856" s="12"/>
      <c r="B4856" s="13"/>
    </row>
    <row r="4857" spans="1:2" x14ac:dyDescent="0.2">
      <c r="A4857" s="12"/>
      <c r="B4857" s="13"/>
    </row>
    <row r="4858" spans="1:2" x14ac:dyDescent="0.2">
      <c r="A4858" s="12"/>
      <c r="B4858" s="13"/>
    </row>
    <row r="4859" spans="1:2" x14ac:dyDescent="0.2">
      <c r="A4859" s="12"/>
      <c r="B4859" s="13"/>
    </row>
    <row r="4860" spans="1:2" x14ac:dyDescent="0.2">
      <c r="A4860" s="12"/>
      <c r="B4860" s="13"/>
    </row>
    <row r="4861" spans="1:2" x14ac:dyDescent="0.2">
      <c r="A4861" s="12"/>
      <c r="B4861" s="13"/>
    </row>
    <row r="4862" spans="1:2" x14ac:dyDescent="0.2">
      <c r="A4862" s="12"/>
      <c r="B4862" s="13"/>
    </row>
    <row r="4863" spans="1:2" x14ac:dyDescent="0.2">
      <c r="A4863" s="12"/>
      <c r="B4863" s="13"/>
    </row>
    <row r="4864" spans="1:2" x14ac:dyDescent="0.2">
      <c r="A4864" s="12"/>
      <c r="B4864" s="13"/>
    </row>
    <row r="4865" spans="1:2" x14ac:dyDescent="0.2">
      <c r="A4865" s="12"/>
      <c r="B4865" s="13"/>
    </row>
    <row r="4866" spans="1:2" x14ac:dyDescent="0.2">
      <c r="A4866" s="12"/>
      <c r="B4866" s="13"/>
    </row>
    <row r="4867" spans="1:2" x14ac:dyDescent="0.2">
      <c r="A4867" s="12"/>
      <c r="B4867" s="13"/>
    </row>
    <row r="4868" spans="1:2" x14ac:dyDescent="0.2">
      <c r="A4868" s="12"/>
      <c r="B4868" s="13"/>
    </row>
    <row r="4869" spans="1:2" x14ac:dyDescent="0.2">
      <c r="A4869" s="12"/>
      <c r="B4869" s="13"/>
    </row>
    <row r="4870" spans="1:2" x14ac:dyDescent="0.2">
      <c r="A4870" s="12"/>
      <c r="B4870" s="13"/>
    </row>
    <row r="4871" spans="1:2" x14ac:dyDescent="0.2">
      <c r="A4871" s="12"/>
      <c r="B4871" s="13"/>
    </row>
    <row r="4872" spans="1:2" x14ac:dyDescent="0.2">
      <c r="A4872" s="12"/>
      <c r="B4872" s="13"/>
    </row>
    <row r="4873" spans="1:2" x14ac:dyDescent="0.2">
      <c r="A4873" s="12"/>
      <c r="B4873" s="13"/>
    </row>
    <row r="4874" spans="1:2" x14ac:dyDescent="0.2">
      <c r="A4874" s="12"/>
      <c r="B4874" s="13"/>
    </row>
    <row r="4875" spans="1:2" x14ac:dyDescent="0.2">
      <c r="A4875" s="12"/>
      <c r="B4875" s="13"/>
    </row>
    <row r="4876" spans="1:2" x14ac:dyDescent="0.2">
      <c r="A4876" s="12"/>
      <c r="B4876" s="13"/>
    </row>
    <row r="4877" spans="1:2" x14ac:dyDescent="0.2">
      <c r="A4877" s="12"/>
      <c r="B4877" s="13"/>
    </row>
    <row r="4878" spans="1:2" x14ac:dyDescent="0.2">
      <c r="A4878" s="12"/>
      <c r="B4878" s="13"/>
    </row>
    <row r="4879" spans="1:2" x14ac:dyDescent="0.2">
      <c r="A4879" s="12"/>
      <c r="B4879" s="13"/>
    </row>
    <row r="4880" spans="1:2" x14ac:dyDescent="0.2">
      <c r="A4880" s="12"/>
      <c r="B4880" s="13"/>
    </row>
    <row r="4881" spans="1:2" x14ac:dyDescent="0.2">
      <c r="A4881" s="12"/>
      <c r="B4881" s="13"/>
    </row>
    <row r="4882" spans="1:2" x14ac:dyDescent="0.2">
      <c r="A4882" s="12"/>
      <c r="B4882" s="13"/>
    </row>
    <row r="4883" spans="1:2" x14ac:dyDescent="0.2">
      <c r="A4883" s="12"/>
      <c r="B4883" s="13"/>
    </row>
    <row r="4884" spans="1:2" x14ac:dyDescent="0.2">
      <c r="A4884" s="12"/>
      <c r="B4884" s="13"/>
    </row>
    <row r="4885" spans="1:2" x14ac:dyDescent="0.2">
      <c r="A4885" s="12"/>
      <c r="B4885" s="13"/>
    </row>
    <row r="4886" spans="1:2" x14ac:dyDescent="0.2">
      <c r="A4886" s="12"/>
      <c r="B4886" s="13"/>
    </row>
    <row r="4887" spans="1:2" x14ac:dyDescent="0.2">
      <c r="A4887" s="12"/>
      <c r="B4887" s="13"/>
    </row>
    <row r="4888" spans="1:2" x14ac:dyDescent="0.2">
      <c r="A4888" s="12"/>
      <c r="B4888" s="13"/>
    </row>
    <row r="4889" spans="1:2" x14ac:dyDescent="0.2">
      <c r="A4889" s="12"/>
      <c r="B4889" s="13"/>
    </row>
    <row r="4890" spans="1:2" x14ac:dyDescent="0.2">
      <c r="A4890" s="12"/>
      <c r="B4890" s="13"/>
    </row>
    <row r="4891" spans="1:2" x14ac:dyDescent="0.2">
      <c r="A4891" s="12"/>
      <c r="B4891" s="13"/>
    </row>
    <row r="4892" spans="1:2" x14ac:dyDescent="0.2">
      <c r="A4892" s="12"/>
      <c r="B4892" s="13"/>
    </row>
    <row r="4893" spans="1:2" x14ac:dyDescent="0.2">
      <c r="A4893" s="12"/>
      <c r="B4893" s="13"/>
    </row>
    <row r="4894" spans="1:2" x14ac:dyDescent="0.2">
      <c r="A4894" s="12"/>
      <c r="B4894" s="13"/>
    </row>
    <row r="4895" spans="1:2" x14ac:dyDescent="0.2">
      <c r="A4895" s="12"/>
      <c r="B4895" s="13"/>
    </row>
    <row r="4896" spans="1:2" x14ac:dyDescent="0.2">
      <c r="A4896" s="12"/>
      <c r="B4896" s="13"/>
    </row>
    <row r="4897" spans="1:2" x14ac:dyDescent="0.2">
      <c r="A4897" s="12"/>
      <c r="B4897" s="13"/>
    </row>
    <row r="4898" spans="1:2" x14ac:dyDescent="0.2">
      <c r="A4898" s="12"/>
      <c r="B4898" s="13"/>
    </row>
    <row r="4899" spans="1:2" x14ac:dyDescent="0.2">
      <c r="A4899" s="12"/>
      <c r="B4899" s="13"/>
    </row>
    <row r="4900" spans="1:2" x14ac:dyDescent="0.2">
      <c r="A4900" s="12"/>
      <c r="B4900" s="13"/>
    </row>
    <row r="4901" spans="1:2" x14ac:dyDescent="0.2">
      <c r="A4901" s="12"/>
      <c r="B4901" s="13"/>
    </row>
    <row r="4902" spans="1:2" x14ac:dyDescent="0.2">
      <c r="A4902" s="12"/>
      <c r="B4902" s="13"/>
    </row>
    <row r="4903" spans="1:2" x14ac:dyDescent="0.2">
      <c r="A4903" s="12"/>
      <c r="B4903" s="13"/>
    </row>
    <row r="4904" spans="1:2" x14ac:dyDescent="0.2">
      <c r="A4904" s="12"/>
      <c r="B4904" s="13"/>
    </row>
    <row r="4905" spans="1:2" x14ac:dyDescent="0.2">
      <c r="A4905" s="12"/>
      <c r="B4905" s="13"/>
    </row>
    <row r="4906" spans="1:2" x14ac:dyDescent="0.2">
      <c r="A4906" s="12"/>
      <c r="B4906" s="13"/>
    </row>
    <row r="4907" spans="1:2" x14ac:dyDescent="0.2">
      <c r="A4907" s="12"/>
      <c r="B4907" s="13"/>
    </row>
    <row r="4908" spans="1:2" x14ac:dyDescent="0.2">
      <c r="A4908" s="12"/>
      <c r="B4908" s="13"/>
    </row>
    <row r="4909" spans="1:2" x14ac:dyDescent="0.2">
      <c r="A4909" s="12"/>
      <c r="B4909" s="13"/>
    </row>
    <row r="4910" spans="1:2" x14ac:dyDescent="0.2">
      <c r="A4910" s="12"/>
      <c r="B4910" s="13"/>
    </row>
    <row r="4911" spans="1:2" x14ac:dyDescent="0.2">
      <c r="A4911" s="12"/>
      <c r="B4911" s="13"/>
    </row>
    <row r="4912" spans="1:2" x14ac:dyDescent="0.2">
      <c r="A4912" s="12"/>
      <c r="B4912" s="13"/>
    </row>
    <row r="4913" spans="1:2" x14ac:dyDescent="0.2">
      <c r="A4913" s="12"/>
      <c r="B4913" s="13"/>
    </row>
    <row r="4914" spans="1:2" x14ac:dyDescent="0.2">
      <c r="A4914" s="12"/>
      <c r="B4914" s="13"/>
    </row>
    <row r="4915" spans="1:2" x14ac:dyDescent="0.2">
      <c r="A4915" s="12"/>
      <c r="B4915" s="13"/>
    </row>
    <row r="4916" spans="1:2" x14ac:dyDescent="0.2">
      <c r="A4916" s="12"/>
      <c r="B4916" s="13"/>
    </row>
    <row r="4917" spans="1:2" x14ac:dyDescent="0.2">
      <c r="A4917" s="12"/>
      <c r="B4917" s="13"/>
    </row>
    <row r="4918" spans="1:2" x14ac:dyDescent="0.2">
      <c r="A4918" s="12"/>
      <c r="B4918" s="13"/>
    </row>
    <row r="4919" spans="1:2" x14ac:dyDescent="0.2">
      <c r="A4919" s="12"/>
      <c r="B4919" s="13"/>
    </row>
    <row r="4920" spans="1:2" x14ac:dyDescent="0.2">
      <c r="A4920" s="12"/>
      <c r="B4920" s="13"/>
    </row>
    <row r="4921" spans="1:2" x14ac:dyDescent="0.2">
      <c r="A4921" s="12"/>
      <c r="B4921" s="13"/>
    </row>
    <row r="4922" spans="1:2" x14ac:dyDescent="0.2">
      <c r="A4922" s="12"/>
      <c r="B4922" s="13"/>
    </row>
    <row r="4923" spans="1:2" x14ac:dyDescent="0.2">
      <c r="A4923" s="12"/>
      <c r="B4923" s="13"/>
    </row>
    <row r="4924" spans="1:2" x14ac:dyDescent="0.2">
      <c r="A4924" s="12"/>
      <c r="B4924" s="13"/>
    </row>
    <row r="4925" spans="1:2" x14ac:dyDescent="0.2">
      <c r="A4925" s="12"/>
      <c r="B4925" s="13"/>
    </row>
    <row r="4926" spans="1:2" x14ac:dyDescent="0.2">
      <c r="A4926" s="12"/>
      <c r="B4926" s="13"/>
    </row>
    <row r="4927" spans="1:2" x14ac:dyDescent="0.2">
      <c r="A4927" s="12"/>
      <c r="B4927" s="13"/>
    </row>
    <row r="4928" spans="1:2" x14ac:dyDescent="0.2">
      <c r="A4928" s="12"/>
      <c r="B4928" s="13"/>
    </row>
    <row r="4929" spans="1:2" x14ac:dyDescent="0.2">
      <c r="A4929" s="12"/>
      <c r="B4929" s="13"/>
    </row>
    <row r="4930" spans="1:2" x14ac:dyDescent="0.2">
      <c r="A4930" s="12"/>
      <c r="B4930" s="13"/>
    </row>
    <row r="4931" spans="1:2" x14ac:dyDescent="0.2">
      <c r="A4931" s="12"/>
      <c r="B4931" s="13"/>
    </row>
    <row r="4932" spans="1:2" x14ac:dyDescent="0.2">
      <c r="A4932" s="12"/>
      <c r="B4932" s="13"/>
    </row>
    <row r="4933" spans="1:2" x14ac:dyDescent="0.2">
      <c r="A4933" s="12"/>
      <c r="B4933" s="13"/>
    </row>
    <row r="4934" spans="1:2" x14ac:dyDescent="0.2">
      <c r="A4934" s="12"/>
      <c r="B4934" s="13"/>
    </row>
    <row r="4935" spans="1:2" x14ac:dyDescent="0.2">
      <c r="A4935" s="12"/>
      <c r="B4935" s="13"/>
    </row>
    <row r="4936" spans="1:2" x14ac:dyDescent="0.2">
      <c r="A4936" s="12"/>
      <c r="B4936" s="13"/>
    </row>
    <row r="4937" spans="1:2" x14ac:dyDescent="0.2">
      <c r="A4937" s="12"/>
      <c r="B4937" s="13"/>
    </row>
    <row r="4938" spans="1:2" x14ac:dyDescent="0.2">
      <c r="A4938" s="12"/>
      <c r="B4938" s="13"/>
    </row>
    <row r="4939" spans="1:2" x14ac:dyDescent="0.2">
      <c r="A4939" s="12"/>
      <c r="B4939" s="13"/>
    </row>
    <row r="4940" spans="1:2" x14ac:dyDescent="0.2">
      <c r="A4940" s="12"/>
      <c r="B4940" s="13"/>
    </row>
    <row r="4941" spans="1:2" x14ac:dyDescent="0.2">
      <c r="A4941" s="12"/>
      <c r="B4941" s="13"/>
    </row>
    <row r="4942" spans="1:2" x14ac:dyDescent="0.2">
      <c r="A4942" s="12"/>
      <c r="B4942" s="13"/>
    </row>
    <row r="4943" spans="1:2" x14ac:dyDescent="0.2">
      <c r="A4943" s="12"/>
      <c r="B4943" s="13"/>
    </row>
    <row r="4944" spans="1:2" x14ac:dyDescent="0.2">
      <c r="A4944" s="12"/>
      <c r="B4944" s="13"/>
    </row>
    <row r="4945" spans="1:2" x14ac:dyDescent="0.2">
      <c r="A4945" s="12"/>
      <c r="B4945" s="13"/>
    </row>
    <row r="4946" spans="1:2" x14ac:dyDescent="0.2">
      <c r="A4946" s="12"/>
      <c r="B4946" s="13"/>
    </row>
    <row r="4947" spans="1:2" x14ac:dyDescent="0.2">
      <c r="A4947" s="12"/>
      <c r="B4947" s="13"/>
    </row>
    <row r="4948" spans="1:2" x14ac:dyDescent="0.2">
      <c r="A4948" s="12"/>
      <c r="B4948" s="13"/>
    </row>
    <row r="4949" spans="1:2" x14ac:dyDescent="0.2">
      <c r="A4949" s="12"/>
      <c r="B4949" s="13"/>
    </row>
    <row r="4950" spans="1:2" x14ac:dyDescent="0.2">
      <c r="A4950" s="12"/>
      <c r="B4950" s="13"/>
    </row>
    <row r="4951" spans="1:2" x14ac:dyDescent="0.2">
      <c r="A4951" s="12"/>
      <c r="B4951" s="13"/>
    </row>
    <row r="4952" spans="1:2" x14ac:dyDescent="0.2">
      <c r="A4952" s="12"/>
      <c r="B4952" s="13"/>
    </row>
    <row r="4953" spans="1:2" x14ac:dyDescent="0.2">
      <c r="A4953" s="12"/>
      <c r="B4953" s="13"/>
    </row>
    <row r="4954" spans="1:2" x14ac:dyDescent="0.2">
      <c r="A4954" s="12"/>
      <c r="B4954" s="13"/>
    </row>
    <row r="4955" spans="1:2" x14ac:dyDescent="0.2">
      <c r="A4955" s="12"/>
      <c r="B4955" s="13"/>
    </row>
    <row r="4956" spans="1:2" x14ac:dyDescent="0.2">
      <c r="A4956" s="12"/>
      <c r="B4956" s="13"/>
    </row>
    <row r="4957" spans="1:2" x14ac:dyDescent="0.2">
      <c r="A4957" s="12"/>
      <c r="B4957" s="13"/>
    </row>
    <row r="4958" spans="1:2" x14ac:dyDescent="0.2">
      <c r="A4958" s="12"/>
      <c r="B4958" s="13"/>
    </row>
    <row r="4959" spans="1:2" x14ac:dyDescent="0.2">
      <c r="A4959" s="12"/>
      <c r="B4959" s="13"/>
    </row>
    <row r="4960" spans="1:2" x14ac:dyDescent="0.2">
      <c r="A4960" s="12"/>
      <c r="B4960" s="13"/>
    </row>
    <row r="4961" spans="1:2" x14ac:dyDescent="0.2">
      <c r="A4961" s="12"/>
      <c r="B4961" s="13"/>
    </row>
    <row r="4962" spans="1:2" x14ac:dyDescent="0.2">
      <c r="A4962" s="12"/>
      <c r="B4962" s="13"/>
    </row>
    <row r="4963" spans="1:2" x14ac:dyDescent="0.2">
      <c r="A4963" s="12"/>
      <c r="B4963" s="13"/>
    </row>
    <row r="4964" spans="1:2" x14ac:dyDescent="0.2">
      <c r="A4964" s="12"/>
      <c r="B4964" s="13"/>
    </row>
    <row r="4965" spans="1:2" x14ac:dyDescent="0.2">
      <c r="A4965" s="12"/>
      <c r="B4965" s="13"/>
    </row>
    <row r="4966" spans="1:2" x14ac:dyDescent="0.2">
      <c r="A4966" s="12"/>
      <c r="B4966" s="13"/>
    </row>
    <row r="4967" spans="1:2" x14ac:dyDescent="0.2">
      <c r="A4967" s="12"/>
      <c r="B4967" s="13"/>
    </row>
    <row r="4968" spans="1:2" x14ac:dyDescent="0.2">
      <c r="A4968" s="12"/>
      <c r="B4968" s="13"/>
    </row>
    <row r="4969" spans="1:2" x14ac:dyDescent="0.2">
      <c r="A4969" s="12"/>
      <c r="B4969" s="13"/>
    </row>
    <row r="4970" spans="1:2" x14ac:dyDescent="0.2">
      <c r="A4970" s="12"/>
      <c r="B4970" s="13"/>
    </row>
    <row r="4971" spans="1:2" x14ac:dyDescent="0.2">
      <c r="A4971" s="12"/>
      <c r="B4971" s="13"/>
    </row>
    <row r="4972" spans="1:2" x14ac:dyDescent="0.2">
      <c r="A4972" s="12"/>
      <c r="B4972" s="13"/>
    </row>
    <row r="4973" spans="1:2" x14ac:dyDescent="0.2">
      <c r="A4973" s="12"/>
      <c r="B4973" s="13"/>
    </row>
    <row r="4974" spans="1:2" x14ac:dyDescent="0.2">
      <c r="A4974" s="12"/>
      <c r="B4974" s="13"/>
    </row>
    <row r="4975" spans="1:2" x14ac:dyDescent="0.2">
      <c r="A4975" s="12"/>
      <c r="B4975" s="13"/>
    </row>
    <row r="4976" spans="1:2" x14ac:dyDescent="0.2">
      <c r="A4976" s="12"/>
      <c r="B4976" s="13"/>
    </row>
    <row r="4977" spans="1:2" x14ac:dyDescent="0.2">
      <c r="A4977" s="12"/>
      <c r="B4977" s="13"/>
    </row>
    <row r="4978" spans="1:2" x14ac:dyDescent="0.2">
      <c r="A4978" s="12"/>
      <c r="B4978" s="13"/>
    </row>
    <row r="4979" spans="1:2" x14ac:dyDescent="0.2">
      <c r="A4979" s="12"/>
      <c r="B4979" s="13"/>
    </row>
    <row r="4980" spans="1:2" x14ac:dyDescent="0.2">
      <c r="A4980" s="12"/>
      <c r="B4980" s="13"/>
    </row>
    <row r="4981" spans="1:2" x14ac:dyDescent="0.2">
      <c r="A4981" s="12"/>
      <c r="B4981" s="13"/>
    </row>
    <row r="4982" spans="1:2" x14ac:dyDescent="0.2">
      <c r="A4982" s="12"/>
      <c r="B4982" s="13"/>
    </row>
    <row r="4983" spans="1:2" x14ac:dyDescent="0.2">
      <c r="A4983" s="12"/>
      <c r="B4983" s="13"/>
    </row>
    <row r="4984" spans="1:2" x14ac:dyDescent="0.2">
      <c r="A4984" s="12"/>
      <c r="B4984" s="13"/>
    </row>
    <row r="4985" spans="1:2" x14ac:dyDescent="0.2">
      <c r="A4985" s="12"/>
      <c r="B4985" s="13"/>
    </row>
    <row r="4986" spans="1:2" x14ac:dyDescent="0.2">
      <c r="A4986" s="12"/>
      <c r="B4986" s="13"/>
    </row>
    <row r="4987" spans="1:2" x14ac:dyDescent="0.2">
      <c r="A4987" s="12"/>
      <c r="B4987" s="13"/>
    </row>
    <row r="4988" spans="1:2" x14ac:dyDescent="0.2">
      <c r="A4988" s="12"/>
      <c r="B4988" s="13"/>
    </row>
    <row r="4989" spans="1:2" x14ac:dyDescent="0.2">
      <c r="A4989" s="12"/>
      <c r="B4989" s="13"/>
    </row>
    <row r="4990" spans="1:2" x14ac:dyDescent="0.2">
      <c r="A4990" s="12"/>
      <c r="B4990" s="13"/>
    </row>
    <row r="4991" spans="1:2" x14ac:dyDescent="0.2">
      <c r="A4991" s="12"/>
      <c r="B4991" s="13"/>
    </row>
    <row r="4992" spans="1:2" x14ac:dyDescent="0.2">
      <c r="A4992" s="12"/>
      <c r="B4992" s="13"/>
    </row>
    <row r="4993" spans="1:2" x14ac:dyDescent="0.2">
      <c r="A4993" s="12"/>
      <c r="B4993" s="13"/>
    </row>
    <row r="4994" spans="1:2" x14ac:dyDescent="0.2">
      <c r="A4994" s="12"/>
      <c r="B4994" s="13"/>
    </row>
    <row r="4995" spans="1:2" x14ac:dyDescent="0.2">
      <c r="A4995" s="12"/>
      <c r="B4995" s="13"/>
    </row>
    <row r="4996" spans="1:2" x14ac:dyDescent="0.2">
      <c r="A4996" s="12"/>
      <c r="B4996" s="13"/>
    </row>
    <row r="4997" spans="1:2" x14ac:dyDescent="0.2">
      <c r="A4997" s="12"/>
      <c r="B4997" s="13"/>
    </row>
    <row r="4998" spans="1:2" x14ac:dyDescent="0.2">
      <c r="A4998" s="12"/>
      <c r="B4998" s="13"/>
    </row>
    <row r="4999" spans="1:2" x14ac:dyDescent="0.2">
      <c r="A4999" s="12"/>
      <c r="B4999" s="13"/>
    </row>
    <row r="5000" spans="1:2" x14ac:dyDescent="0.2">
      <c r="A5000" s="12"/>
      <c r="B5000" s="13"/>
    </row>
    <row r="5001" spans="1:2" x14ac:dyDescent="0.2">
      <c r="A5001" s="12"/>
      <c r="B5001" s="13"/>
    </row>
    <row r="5002" spans="1:2" x14ac:dyDescent="0.2">
      <c r="A5002" s="12"/>
      <c r="B5002" s="13"/>
    </row>
    <row r="5003" spans="1:2" x14ac:dyDescent="0.2">
      <c r="A5003" s="12"/>
      <c r="B5003" s="13"/>
    </row>
    <row r="5004" spans="1:2" x14ac:dyDescent="0.2">
      <c r="A5004" s="12"/>
      <c r="B5004" s="13"/>
    </row>
    <row r="5005" spans="1:2" x14ac:dyDescent="0.2">
      <c r="A5005" s="12"/>
      <c r="B5005" s="13"/>
    </row>
    <row r="5006" spans="1:2" x14ac:dyDescent="0.2">
      <c r="A5006" s="12"/>
      <c r="B5006" s="13"/>
    </row>
    <row r="5007" spans="1:2" x14ac:dyDescent="0.2">
      <c r="A5007" s="12"/>
      <c r="B5007" s="13"/>
    </row>
    <row r="5008" spans="1:2" x14ac:dyDescent="0.2">
      <c r="A5008" s="12"/>
      <c r="B5008" s="13"/>
    </row>
    <row r="5009" spans="1:2" x14ac:dyDescent="0.2">
      <c r="A5009" s="12"/>
      <c r="B5009" s="13"/>
    </row>
    <row r="5010" spans="1:2" x14ac:dyDescent="0.2">
      <c r="A5010" s="12"/>
      <c r="B5010" s="13"/>
    </row>
    <row r="5011" spans="1:2" x14ac:dyDescent="0.2">
      <c r="A5011" s="12"/>
      <c r="B5011" s="13"/>
    </row>
    <row r="5012" spans="1:2" x14ac:dyDescent="0.2">
      <c r="A5012" s="12"/>
      <c r="B5012" s="13"/>
    </row>
    <row r="5013" spans="1:2" x14ac:dyDescent="0.2">
      <c r="A5013" s="12"/>
      <c r="B5013" s="13"/>
    </row>
    <row r="5014" spans="1:2" x14ac:dyDescent="0.2">
      <c r="A5014" s="12"/>
      <c r="B5014" s="13"/>
    </row>
    <row r="5015" spans="1:2" x14ac:dyDescent="0.2">
      <c r="A5015" s="12"/>
      <c r="B5015" s="13"/>
    </row>
    <row r="5016" spans="1:2" x14ac:dyDescent="0.2">
      <c r="A5016" s="12"/>
      <c r="B5016" s="13"/>
    </row>
    <row r="5017" spans="1:2" x14ac:dyDescent="0.2">
      <c r="A5017" s="12"/>
      <c r="B5017" s="13"/>
    </row>
    <row r="5018" spans="1:2" x14ac:dyDescent="0.2">
      <c r="A5018" s="12"/>
      <c r="B5018" s="13"/>
    </row>
    <row r="5019" spans="1:2" x14ac:dyDescent="0.2">
      <c r="A5019" s="12"/>
      <c r="B5019" s="13"/>
    </row>
    <row r="5020" spans="1:2" x14ac:dyDescent="0.2">
      <c r="A5020" s="12"/>
      <c r="B5020" s="13"/>
    </row>
    <row r="5021" spans="1:2" x14ac:dyDescent="0.2">
      <c r="A5021" s="12"/>
      <c r="B5021" s="13"/>
    </row>
    <row r="5022" spans="1:2" x14ac:dyDescent="0.2">
      <c r="A5022" s="12"/>
      <c r="B5022" s="13"/>
    </row>
    <row r="5023" spans="1:2" x14ac:dyDescent="0.2">
      <c r="A5023" s="12"/>
      <c r="B5023" s="13"/>
    </row>
    <row r="5024" spans="1:2" x14ac:dyDescent="0.2">
      <c r="A5024" s="12"/>
      <c r="B5024" s="13"/>
    </row>
    <row r="5025" spans="1:2" x14ac:dyDescent="0.2">
      <c r="A5025" s="12"/>
      <c r="B5025" s="13"/>
    </row>
    <row r="5026" spans="1:2" x14ac:dyDescent="0.2">
      <c r="A5026" s="12"/>
      <c r="B5026" s="13"/>
    </row>
    <row r="5027" spans="1:2" x14ac:dyDescent="0.2">
      <c r="A5027" s="12"/>
      <c r="B5027" s="13"/>
    </row>
    <row r="5028" spans="1:2" x14ac:dyDescent="0.2">
      <c r="A5028" s="12"/>
      <c r="B5028" s="13"/>
    </row>
    <row r="5029" spans="1:2" x14ac:dyDescent="0.2">
      <c r="A5029" s="12"/>
      <c r="B5029" s="13"/>
    </row>
    <row r="5030" spans="1:2" x14ac:dyDescent="0.2">
      <c r="A5030" s="12"/>
      <c r="B5030" s="13"/>
    </row>
    <row r="5031" spans="1:2" x14ac:dyDescent="0.2">
      <c r="A5031" s="12"/>
      <c r="B5031" s="13"/>
    </row>
    <row r="5032" spans="1:2" x14ac:dyDescent="0.2">
      <c r="A5032" s="12"/>
      <c r="B5032" s="13"/>
    </row>
    <row r="5033" spans="1:2" x14ac:dyDescent="0.2">
      <c r="A5033" s="12"/>
      <c r="B5033" s="13"/>
    </row>
    <row r="5034" spans="1:2" x14ac:dyDescent="0.2">
      <c r="A5034" s="12"/>
      <c r="B5034" s="13"/>
    </row>
    <row r="5035" spans="1:2" x14ac:dyDescent="0.2">
      <c r="A5035" s="12"/>
      <c r="B5035" s="13"/>
    </row>
    <row r="5036" spans="1:2" x14ac:dyDescent="0.2">
      <c r="A5036" s="12"/>
      <c r="B5036" s="13"/>
    </row>
    <row r="5037" spans="1:2" x14ac:dyDescent="0.2">
      <c r="A5037" s="12"/>
      <c r="B5037" s="13"/>
    </row>
    <row r="5038" spans="1:2" x14ac:dyDescent="0.2">
      <c r="A5038" s="12"/>
      <c r="B5038" s="13"/>
    </row>
    <row r="5039" spans="1:2" x14ac:dyDescent="0.2">
      <c r="A5039" s="12"/>
      <c r="B5039" s="13"/>
    </row>
    <row r="5040" spans="1:2" x14ac:dyDescent="0.2">
      <c r="A5040" s="12"/>
      <c r="B5040" s="13"/>
    </row>
    <row r="5041" spans="1:2" x14ac:dyDescent="0.2">
      <c r="A5041" s="12"/>
      <c r="B5041" s="13"/>
    </row>
    <row r="5042" spans="1:2" x14ac:dyDescent="0.2">
      <c r="A5042" s="12"/>
      <c r="B5042" s="13"/>
    </row>
    <row r="5043" spans="1:2" x14ac:dyDescent="0.2">
      <c r="A5043" s="12"/>
      <c r="B5043" s="13"/>
    </row>
    <row r="5044" spans="1:2" x14ac:dyDescent="0.2">
      <c r="A5044" s="12"/>
      <c r="B5044" s="13"/>
    </row>
    <row r="5045" spans="1:2" x14ac:dyDescent="0.2">
      <c r="A5045" s="12"/>
      <c r="B5045" s="13"/>
    </row>
    <row r="5046" spans="1:2" x14ac:dyDescent="0.2">
      <c r="A5046" s="12"/>
      <c r="B5046" s="13"/>
    </row>
    <row r="5047" spans="1:2" x14ac:dyDescent="0.2">
      <c r="A5047" s="12"/>
      <c r="B5047" s="13"/>
    </row>
    <row r="5048" spans="1:2" x14ac:dyDescent="0.2">
      <c r="A5048" s="12"/>
      <c r="B5048" s="13"/>
    </row>
    <row r="5049" spans="1:2" x14ac:dyDescent="0.2">
      <c r="A5049" s="12"/>
      <c r="B5049" s="13"/>
    </row>
    <row r="5050" spans="1:2" x14ac:dyDescent="0.2">
      <c r="A5050" s="12"/>
      <c r="B5050" s="13"/>
    </row>
    <row r="5051" spans="1:2" x14ac:dyDescent="0.2">
      <c r="A5051" s="12"/>
      <c r="B5051" s="13"/>
    </row>
    <row r="5052" spans="1:2" x14ac:dyDescent="0.2">
      <c r="A5052" s="12"/>
      <c r="B5052" s="13"/>
    </row>
    <row r="5053" spans="1:2" x14ac:dyDescent="0.2">
      <c r="A5053" s="12"/>
      <c r="B5053" s="13"/>
    </row>
    <row r="5054" spans="1:2" x14ac:dyDescent="0.2">
      <c r="A5054" s="12"/>
      <c r="B5054" s="13"/>
    </row>
    <row r="5055" spans="1:2" x14ac:dyDescent="0.2">
      <c r="A5055" s="12"/>
      <c r="B5055" s="13"/>
    </row>
    <row r="5056" spans="1:2" x14ac:dyDescent="0.2">
      <c r="A5056" s="12"/>
      <c r="B5056" s="13"/>
    </row>
    <row r="5057" spans="1:2" x14ac:dyDescent="0.2">
      <c r="A5057" s="12"/>
      <c r="B5057" s="13"/>
    </row>
    <row r="5058" spans="1:2" x14ac:dyDescent="0.2">
      <c r="A5058" s="12"/>
      <c r="B5058" s="13"/>
    </row>
    <row r="5059" spans="1:2" x14ac:dyDescent="0.2">
      <c r="A5059" s="12"/>
      <c r="B5059" s="13"/>
    </row>
    <row r="5060" spans="1:2" x14ac:dyDescent="0.2">
      <c r="A5060" s="12"/>
      <c r="B5060" s="13"/>
    </row>
    <row r="5061" spans="1:2" x14ac:dyDescent="0.2">
      <c r="A5061" s="12"/>
      <c r="B5061" s="13"/>
    </row>
    <row r="5062" spans="1:2" x14ac:dyDescent="0.2">
      <c r="A5062" s="12"/>
      <c r="B5062" s="13"/>
    </row>
    <row r="5063" spans="1:2" x14ac:dyDescent="0.2">
      <c r="A5063" s="12"/>
      <c r="B5063" s="13"/>
    </row>
    <row r="5064" spans="1:2" x14ac:dyDescent="0.2">
      <c r="A5064" s="12"/>
      <c r="B5064" s="13"/>
    </row>
    <row r="5065" spans="1:2" x14ac:dyDescent="0.2">
      <c r="A5065" s="12"/>
      <c r="B5065" s="13"/>
    </row>
    <row r="5066" spans="1:2" x14ac:dyDescent="0.2">
      <c r="A5066" s="12"/>
      <c r="B5066" s="13"/>
    </row>
    <row r="5067" spans="1:2" x14ac:dyDescent="0.2">
      <c r="A5067" s="12"/>
      <c r="B5067" s="13"/>
    </row>
    <row r="5068" spans="1:2" x14ac:dyDescent="0.2">
      <c r="A5068" s="12"/>
      <c r="B5068" s="13"/>
    </row>
    <row r="5069" spans="1:2" x14ac:dyDescent="0.2">
      <c r="A5069" s="12"/>
      <c r="B5069" s="13"/>
    </row>
    <row r="5070" spans="1:2" x14ac:dyDescent="0.2">
      <c r="A5070" s="12"/>
      <c r="B5070" s="13"/>
    </row>
    <row r="5071" spans="1:2" x14ac:dyDescent="0.2">
      <c r="A5071" s="12"/>
      <c r="B5071" s="13"/>
    </row>
    <row r="5072" spans="1:2" x14ac:dyDescent="0.2">
      <c r="A5072" s="12"/>
      <c r="B5072" s="13"/>
    </row>
    <row r="5073" spans="1:2" x14ac:dyDescent="0.2">
      <c r="A5073" s="12"/>
      <c r="B5073" s="13"/>
    </row>
    <row r="5074" spans="1:2" x14ac:dyDescent="0.2">
      <c r="A5074" s="12"/>
      <c r="B5074" s="13"/>
    </row>
    <row r="5075" spans="1:2" x14ac:dyDescent="0.2">
      <c r="A5075" s="12"/>
      <c r="B5075" s="13"/>
    </row>
    <row r="5076" spans="1:2" x14ac:dyDescent="0.2">
      <c r="A5076" s="12"/>
      <c r="B5076" s="13"/>
    </row>
    <row r="5077" spans="1:2" x14ac:dyDescent="0.2">
      <c r="A5077" s="12"/>
      <c r="B5077" s="13"/>
    </row>
    <row r="5078" spans="1:2" x14ac:dyDescent="0.2">
      <c r="A5078" s="12"/>
      <c r="B5078" s="13"/>
    </row>
    <row r="5079" spans="1:2" x14ac:dyDescent="0.2">
      <c r="A5079" s="12"/>
      <c r="B5079" s="13"/>
    </row>
    <row r="5080" spans="1:2" x14ac:dyDescent="0.2">
      <c r="A5080" s="12"/>
      <c r="B5080" s="13"/>
    </row>
    <row r="5081" spans="1:2" x14ac:dyDescent="0.2">
      <c r="A5081" s="12"/>
      <c r="B5081" s="13"/>
    </row>
    <row r="5082" spans="1:2" x14ac:dyDescent="0.2">
      <c r="A5082" s="12"/>
      <c r="B5082" s="13"/>
    </row>
    <row r="5083" spans="1:2" x14ac:dyDescent="0.2">
      <c r="A5083" s="12"/>
      <c r="B5083" s="13"/>
    </row>
    <row r="5084" spans="1:2" x14ac:dyDescent="0.2">
      <c r="A5084" s="12"/>
      <c r="B5084" s="13"/>
    </row>
    <row r="5085" spans="1:2" x14ac:dyDescent="0.2">
      <c r="A5085" s="12"/>
      <c r="B5085" s="13"/>
    </row>
    <row r="5086" spans="1:2" x14ac:dyDescent="0.2">
      <c r="A5086" s="12"/>
      <c r="B5086" s="13"/>
    </row>
    <row r="5087" spans="1:2" x14ac:dyDescent="0.2">
      <c r="A5087" s="12"/>
      <c r="B5087" s="13"/>
    </row>
    <row r="5088" spans="1:2" x14ac:dyDescent="0.2">
      <c r="A5088" s="12"/>
      <c r="B5088" s="13"/>
    </row>
    <row r="5089" spans="1:2" x14ac:dyDescent="0.2">
      <c r="A5089" s="12"/>
      <c r="B5089" s="13"/>
    </row>
    <row r="5090" spans="1:2" x14ac:dyDescent="0.2">
      <c r="A5090" s="12"/>
      <c r="B5090" s="13"/>
    </row>
    <row r="5091" spans="1:2" x14ac:dyDescent="0.2">
      <c r="A5091" s="12"/>
      <c r="B5091" s="13"/>
    </row>
    <row r="5092" spans="1:2" x14ac:dyDescent="0.2">
      <c r="A5092" s="12"/>
      <c r="B5092" s="13"/>
    </row>
    <row r="5093" spans="1:2" x14ac:dyDescent="0.2">
      <c r="A5093" s="12"/>
      <c r="B5093" s="13"/>
    </row>
    <row r="5094" spans="1:2" x14ac:dyDescent="0.2">
      <c r="A5094" s="12"/>
      <c r="B5094" s="13"/>
    </row>
    <row r="5095" spans="1:2" x14ac:dyDescent="0.2">
      <c r="A5095" s="12"/>
      <c r="B5095" s="13"/>
    </row>
    <row r="5096" spans="1:2" x14ac:dyDescent="0.2">
      <c r="A5096" s="12"/>
      <c r="B5096" s="13"/>
    </row>
    <row r="5097" spans="1:2" x14ac:dyDescent="0.2">
      <c r="A5097" s="12"/>
      <c r="B5097" s="13"/>
    </row>
    <row r="5098" spans="1:2" x14ac:dyDescent="0.2">
      <c r="A5098" s="12"/>
      <c r="B5098" s="13"/>
    </row>
    <row r="5099" spans="1:2" x14ac:dyDescent="0.2">
      <c r="A5099" s="12"/>
      <c r="B5099" s="13"/>
    </row>
    <row r="5100" spans="1:2" x14ac:dyDescent="0.2">
      <c r="A5100" s="12"/>
      <c r="B5100" s="13"/>
    </row>
    <row r="5101" spans="1:2" x14ac:dyDescent="0.2">
      <c r="A5101" s="12"/>
      <c r="B5101" s="13"/>
    </row>
    <row r="5102" spans="1:2" x14ac:dyDescent="0.2">
      <c r="A5102" s="12"/>
      <c r="B5102" s="13"/>
    </row>
    <row r="5103" spans="1:2" x14ac:dyDescent="0.2">
      <c r="A5103" s="12"/>
      <c r="B5103" s="13"/>
    </row>
    <row r="5104" spans="1:2" x14ac:dyDescent="0.2">
      <c r="A5104" s="12"/>
      <c r="B5104" s="13"/>
    </row>
    <row r="5105" spans="1:2" x14ac:dyDescent="0.2">
      <c r="A5105" s="12"/>
      <c r="B5105" s="13"/>
    </row>
    <row r="5106" spans="1:2" x14ac:dyDescent="0.2">
      <c r="A5106" s="12"/>
      <c r="B5106" s="13"/>
    </row>
    <row r="5107" spans="1:2" x14ac:dyDescent="0.2">
      <c r="A5107" s="12"/>
      <c r="B5107" s="13"/>
    </row>
    <row r="5108" spans="1:2" x14ac:dyDescent="0.2">
      <c r="A5108" s="12"/>
      <c r="B5108" s="13"/>
    </row>
    <row r="5109" spans="1:2" x14ac:dyDescent="0.2">
      <c r="A5109" s="12"/>
      <c r="B5109" s="13"/>
    </row>
    <row r="5110" spans="1:2" x14ac:dyDescent="0.2">
      <c r="A5110" s="12"/>
      <c r="B5110" s="13"/>
    </row>
    <row r="5111" spans="1:2" x14ac:dyDescent="0.2">
      <c r="A5111" s="12"/>
      <c r="B5111" s="13"/>
    </row>
    <row r="5112" spans="1:2" x14ac:dyDescent="0.2">
      <c r="A5112" s="12"/>
      <c r="B5112" s="13"/>
    </row>
    <row r="5113" spans="1:2" x14ac:dyDescent="0.2">
      <c r="A5113" s="12"/>
      <c r="B5113" s="13"/>
    </row>
    <row r="5114" spans="1:2" x14ac:dyDescent="0.2">
      <c r="A5114" s="12"/>
      <c r="B5114" s="13"/>
    </row>
    <row r="5115" spans="1:2" x14ac:dyDescent="0.2">
      <c r="A5115" s="12"/>
      <c r="B5115" s="13"/>
    </row>
    <row r="5116" spans="1:2" x14ac:dyDescent="0.2">
      <c r="A5116" s="12"/>
      <c r="B5116" s="13"/>
    </row>
    <row r="5117" spans="1:2" x14ac:dyDescent="0.2">
      <c r="A5117" s="12"/>
      <c r="B5117" s="13"/>
    </row>
    <row r="5118" spans="1:2" x14ac:dyDescent="0.2">
      <c r="A5118" s="12"/>
      <c r="B5118" s="13"/>
    </row>
    <row r="5119" spans="1:2" x14ac:dyDescent="0.2">
      <c r="A5119" s="12"/>
      <c r="B5119" s="13"/>
    </row>
    <row r="5120" spans="1:2" x14ac:dyDescent="0.2">
      <c r="A5120" s="12"/>
      <c r="B5120" s="13"/>
    </row>
    <row r="5121" spans="1:2" x14ac:dyDescent="0.2">
      <c r="A5121" s="12"/>
      <c r="B5121" s="13"/>
    </row>
    <row r="5122" spans="1:2" x14ac:dyDescent="0.2">
      <c r="A5122" s="12"/>
      <c r="B5122" s="13"/>
    </row>
    <row r="5123" spans="1:2" x14ac:dyDescent="0.2">
      <c r="A5123" s="12"/>
      <c r="B5123" s="13"/>
    </row>
    <row r="5124" spans="1:2" x14ac:dyDescent="0.2">
      <c r="A5124" s="12"/>
      <c r="B5124" s="13"/>
    </row>
    <row r="5125" spans="1:2" x14ac:dyDescent="0.2">
      <c r="A5125" s="12"/>
      <c r="B5125" s="13"/>
    </row>
    <row r="5126" spans="1:2" x14ac:dyDescent="0.2">
      <c r="A5126" s="12"/>
      <c r="B5126" s="13"/>
    </row>
    <row r="5127" spans="1:2" x14ac:dyDescent="0.2">
      <c r="A5127" s="12"/>
      <c r="B5127" s="13"/>
    </row>
    <row r="5128" spans="1:2" x14ac:dyDescent="0.2">
      <c r="A5128" s="12"/>
      <c r="B5128" s="13"/>
    </row>
    <row r="5129" spans="1:2" x14ac:dyDescent="0.2">
      <c r="A5129" s="12"/>
      <c r="B5129" s="13"/>
    </row>
    <row r="5130" spans="1:2" x14ac:dyDescent="0.2">
      <c r="A5130" s="12"/>
      <c r="B5130" s="13"/>
    </row>
    <row r="5131" spans="1:2" x14ac:dyDescent="0.2">
      <c r="A5131" s="12"/>
      <c r="B5131" s="13"/>
    </row>
    <row r="5132" spans="1:2" x14ac:dyDescent="0.2">
      <c r="A5132" s="12"/>
      <c r="B5132" s="13"/>
    </row>
    <row r="5133" spans="1:2" x14ac:dyDescent="0.2">
      <c r="A5133" s="12"/>
      <c r="B5133" s="13"/>
    </row>
    <row r="5134" spans="1:2" x14ac:dyDescent="0.2">
      <c r="A5134" s="12"/>
      <c r="B5134" s="13"/>
    </row>
    <row r="5135" spans="1:2" x14ac:dyDescent="0.2">
      <c r="A5135" s="12"/>
      <c r="B5135" s="13"/>
    </row>
    <row r="5136" spans="1:2" x14ac:dyDescent="0.2">
      <c r="A5136" s="12"/>
      <c r="B5136" s="13"/>
    </row>
    <row r="5137" spans="1:2" x14ac:dyDescent="0.2">
      <c r="A5137" s="12"/>
      <c r="B5137" s="13"/>
    </row>
    <row r="5138" spans="1:2" x14ac:dyDescent="0.2">
      <c r="A5138" s="12"/>
      <c r="B5138" s="13"/>
    </row>
    <row r="5139" spans="1:2" x14ac:dyDescent="0.2">
      <c r="A5139" s="12"/>
      <c r="B5139" s="13"/>
    </row>
    <row r="5140" spans="1:2" x14ac:dyDescent="0.2">
      <c r="A5140" s="12"/>
      <c r="B5140" s="13"/>
    </row>
    <row r="5141" spans="1:2" x14ac:dyDescent="0.2">
      <c r="A5141" s="12"/>
      <c r="B5141" s="13"/>
    </row>
    <row r="5142" spans="1:2" x14ac:dyDescent="0.2">
      <c r="A5142" s="12"/>
      <c r="B5142" s="13"/>
    </row>
    <row r="5143" spans="1:2" x14ac:dyDescent="0.2">
      <c r="A5143" s="12"/>
      <c r="B5143" s="13"/>
    </row>
    <row r="5144" spans="1:2" x14ac:dyDescent="0.2">
      <c r="A5144" s="12"/>
      <c r="B5144" s="13"/>
    </row>
    <row r="5145" spans="1:2" x14ac:dyDescent="0.2">
      <c r="A5145" s="12"/>
      <c r="B5145" s="13"/>
    </row>
    <row r="5146" spans="1:2" x14ac:dyDescent="0.2">
      <c r="A5146" s="12"/>
      <c r="B5146" s="13"/>
    </row>
    <row r="5147" spans="1:2" x14ac:dyDescent="0.2">
      <c r="A5147" s="12"/>
      <c r="B5147" s="13"/>
    </row>
    <row r="5148" spans="1:2" x14ac:dyDescent="0.2">
      <c r="A5148" s="12"/>
      <c r="B5148" s="13"/>
    </row>
    <row r="5149" spans="1:2" x14ac:dyDescent="0.2">
      <c r="A5149" s="12"/>
      <c r="B5149" s="13"/>
    </row>
    <row r="5150" spans="1:2" x14ac:dyDescent="0.2">
      <c r="A5150" s="12"/>
      <c r="B5150" s="13"/>
    </row>
    <row r="5151" spans="1:2" x14ac:dyDescent="0.2">
      <c r="A5151" s="12"/>
      <c r="B5151" s="13"/>
    </row>
    <row r="5152" spans="1:2" x14ac:dyDescent="0.2">
      <c r="A5152" s="12"/>
      <c r="B5152" s="13"/>
    </row>
    <row r="5153" spans="1:2" x14ac:dyDescent="0.2">
      <c r="A5153" s="12"/>
      <c r="B5153" s="13"/>
    </row>
    <row r="5154" spans="1:2" x14ac:dyDescent="0.2">
      <c r="A5154" s="12"/>
      <c r="B5154" s="13"/>
    </row>
    <row r="5155" spans="1:2" x14ac:dyDescent="0.2">
      <c r="A5155" s="12"/>
      <c r="B5155" s="13"/>
    </row>
    <row r="5156" spans="1:2" x14ac:dyDescent="0.2">
      <c r="A5156" s="12"/>
      <c r="B5156" s="13"/>
    </row>
    <row r="5157" spans="1:2" x14ac:dyDescent="0.2">
      <c r="A5157" s="12"/>
      <c r="B5157" s="13"/>
    </row>
    <row r="5158" spans="1:2" x14ac:dyDescent="0.2">
      <c r="A5158" s="12"/>
      <c r="B5158" s="13"/>
    </row>
    <row r="5159" spans="1:2" x14ac:dyDescent="0.2">
      <c r="A5159" s="12"/>
      <c r="B5159" s="13"/>
    </row>
    <row r="5160" spans="1:2" x14ac:dyDescent="0.2">
      <c r="A5160" s="12"/>
      <c r="B5160" s="13"/>
    </row>
    <row r="5161" spans="1:2" x14ac:dyDescent="0.2">
      <c r="A5161" s="12"/>
      <c r="B5161" s="13"/>
    </row>
    <row r="5162" spans="1:2" x14ac:dyDescent="0.2">
      <c r="A5162" s="12"/>
      <c r="B5162" s="13"/>
    </row>
    <row r="5163" spans="1:2" x14ac:dyDescent="0.2">
      <c r="A5163" s="12"/>
      <c r="B5163" s="13"/>
    </row>
    <row r="5164" spans="1:2" x14ac:dyDescent="0.2">
      <c r="A5164" s="12"/>
      <c r="B5164" s="13"/>
    </row>
    <row r="5165" spans="1:2" x14ac:dyDescent="0.2">
      <c r="A5165" s="12"/>
      <c r="B5165" s="13"/>
    </row>
    <row r="5166" spans="1:2" x14ac:dyDescent="0.2">
      <c r="A5166" s="12"/>
      <c r="B5166" s="13"/>
    </row>
    <row r="5167" spans="1:2" x14ac:dyDescent="0.2">
      <c r="A5167" s="12"/>
      <c r="B5167" s="13"/>
    </row>
    <row r="5168" spans="1:2" x14ac:dyDescent="0.2">
      <c r="A5168" s="12"/>
      <c r="B5168" s="13"/>
    </row>
    <row r="5169" spans="1:2" x14ac:dyDescent="0.2">
      <c r="A5169" s="12"/>
      <c r="B5169" s="13"/>
    </row>
    <row r="5170" spans="1:2" x14ac:dyDescent="0.2">
      <c r="A5170" s="12"/>
      <c r="B5170" s="13"/>
    </row>
    <row r="5171" spans="1:2" x14ac:dyDescent="0.2">
      <c r="A5171" s="12"/>
      <c r="B5171" s="13"/>
    </row>
    <row r="5172" spans="1:2" x14ac:dyDescent="0.2">
      <c r="A5172" s="12"/>
      <c r="B5172" s="13"/>
    </row>
    <row r="5173" spans="1:2" x14ac:dyDescent="0.2">
      <c r="A5173" s="12"/>
      <c r="B5173" s="13"/>
    </row>
    <row r="5174" spans="1:2" x14ac:dyDescent="0.2">
      <c r="A5174" s="12"/>
      <c r="B5174" s="13"/>
    </row>
    <row r="5175" spans="1:2" x14ac:dyDescent="0.2">
      <c r="A5175" s="12"/>
      <c r="B5175" s="13"/>
    </row>
    <row r="5176" spans="1:2" x14ac:dyDescent="0.2">
      <c r="A5176" s="12"/>
      <c r="B5176" s="13"/>
    </row>
    <row r="5177" spans="1:2" x14ac:dyDescent="0.2">
      <c r="A5177" s="12"/>
      <c r="B5177" s="13"/>
    </row>
    <row r="5178" spans="1:2" x14ac:dyDescent="0.2">
      <c r="A5178" s="12"/>
      <c r="B5178" s="13"/>
    </row>
    <row r="5179" spans="1:2" x14ac:dyDescent="0.2">
      <c r="A5179" s="12"/>
      <c r="B5179" s="13"/>
    </row>
    <row r="5180" spans="1:2" x14ac:dyDescent="0.2">
      <c r="A5180" s="12"/>
      <c r="B5180" s="13"/>
    </row>
    <row r="5181" spans="1:2" x14ac:dyDescent="0.2">
      <c r="A5181" s="12"/>
      <c r="B5181" s="13"/>
    </row>
    <row r="5182" spans="1:2" x14ac:dyDescent="0.2">
      <c r="A5182" s="12"/>
      <c r="B5182" s="13"/>
    </row>
    <row r="5183" spans="1:2" x14ac:dyDescent="0.2">
      <c r="A5183" s="12"/>
      <c r="B5183" s="13"/>
    </row>
    <row r="5184" spans="1:2" x14ac:dyDescent="0.2">
      <c r="A5184" s="12"/>
      <c r="B5184" s="13"/>
    </row>
    <row r="5185" spans="1:2" x14ac:dyDescent="0.2">
      <c r="A5185" s="12"/>
      <c r="B5185" s="13"/>
    </row>
    <row r="5186" spans="1:2" x14ac:dyDescent="0.2">
      <c r="A5186" s="12"/>
      <c r="B5186" s="13"/>
    </row>
    <row r="5187" spans="1:2" x14ac:dyDescent="0.2">
      <c r="A5187" s="12"/>
      <c r="B5187" s="13"/>
    </row>
    <row r="5188" spans="1:2" x14ac:dyDescent="0.2">
      <c r="A5188" s="12"/>
      <c r="B5188" s="13"/>
    </row>
    <row r="5189" spans="1:2" x14ac:dyDescent="0.2">
      <c r="A5189" s="12"/>
      <c r="B5189" s="13"/>
    </row>
    <row r="5190" spans="1:2" x14ac:dyDescent="0.2">
      <c r="A5190" s="12"/>
      <c r="B5190" s="13"/>
    </row>
    <row r="5191" spans="1:2" x14ac:dyDescent="0.2">
      <c r="A5191" s="12"/>
      <c r="B5191" s="13"/>
    </row>
    <row r="5192" spans="1:2" x14ac:dyDescent="0.2">
      <c r="A5192" s="12"/>
      <c r="B5192" s="13"/>
    </row>
    <row r="5193" spans="1:2" x14ac:dyDescent="0.2">
      <c r="A5193" s="12"/>
      <c r="B5193" s="13"/>
    </row>
    <row r="5194" spans="1:2" x14ac:dyDescent="0.2">
      <c r="A5194" s="12"/>
      <c r="B5194" s="13"/>
    </row>
    <row r="5195" spans="1:2" x14ac:dyDescent="0.2">
      <c r="A5195" s="12"/>
      <c r="B5195" s="13"/>
    </row>
    <row r="5196" spans="1:2" x14ac:dyDescent="0.2">
      <c r="A5196" s="12"/>
      <c r="B5196" s="13"/>
    </row>
    <row r="5197" spans="1:2" x14ac:dyDescent="0.2">
      <c r="A5197" s="12"/>
      <c r="B5197" s="13"/>
    </row>
    <row r="5198" spans="1:2" x14ac:dyDescent="0.2">
      <c r="A5198" s="12"/>
      <c r="B5198" s="13"/>
    </row>
    <row r="5199" spans="1:2" x14ac:dyDescent="0.2">
      <c r="A5199" s="12"/>
      <c r="B5199" s="13"/>
    </row>
    <row r="5200" spans="1:2" x14ac:dyDescent="0.2">
      <c r="A5200" s="12"/>
      <c r="B5200" s="13"/>
    </row>
    <row r="5201" spans="1:2" x14ac:dyDescent="0.2">
      <c r="A5201" s="12"/>
      <c r="B5201" s="13"/>
    </row>
    <row r="5202" spans="1:2" x14ac:dyDescent="0.2">
      <c r="A5202" s="12"/>
      <c r="B5202" s="13"/>
    </row>
    <row r="5203" spans="1:2" x14ac:dyDescent="0.2">
      <c r="A5203" s="12"/>
      <c r="B5203" s="13"/>
    </row>
    <row r="5204" spans="1:2" x14ac:dyDescent="0.2">
      <c r="A5204" s="12"/>
      <c r="B5204" s="13"/>
    </row>
    <row r="5205" spans="1:2" x14ac:dyDescent="0.2">
      <c r="A5205" s="12"/>
      <c r="B5205" s="13"/>
    </row>
    <row r="5206" spans="1:2" x14ac:dyDescent="0.2">
      <c r="A5206" s="12"/>
      <c r="B5206" s="13"/>
    </row>
    <row r="5207" spans="1:2" x14ac:dyDescent="0.2">
      <c r="A5207" s="12"/>
      <c r="B5207" s="13"/>
    </row>
    <row r="5208" spans="1:2" x14ac:dyDescent="0.2">
      <c r="A5208" s="12"/>
      <c r="B5208" s="13"/>
    </row>
    <row r="5209" spans="1:2" x14ac:dyDescent="0.2">
      <c r="A5209" s="12"/>
      <c r="B5209" s="13"/>
    </row>
    <row r="5210" spans="1:2" x14ac:dyDescent="0.2">
      <c r="A5210" s="12"/>
      <c r="B5210" s="13"/>
    </row>
    <row r="5211" spans="1:2" x14ac:dyDescent="0.2">
      <c r="A5211" s="12"/>
      <c r="B5211" s="13"/>
    </row>
    <row r="5212" spans="1:2" x14ac:dyDescent="0.2">
      <c r="A5212" s="12"/>
      <c r="B5212" s="13"/>
    </row>
    <row r="5213" spans="1:2" x14ac:dyDescent="0.2">
      <c r="A5213" s="12"/>
      <c r="B5213" s="13"/>
    </row>
    <row r="5214" spans="1:2" x14ac:dyDescent="0.2">
      <c r="A5214" s="12"/>
      <c r="B5214" s="13"/>
    </row>
    <row r="5215" spans="1:2" x14ac:dyDescent="0.2">
      <c r="A5215" s="12"/>
      <c r="B5215" s="13"/>
    </row>
    <row r="5216" spans="1:2" x14ac:dyDescent="0.2">
      <c r="A5216" s="12"/>
      <c r="B5216" s="13"/>
    </row>
    <row r="5217" spans="1:2" x14ac:dyDescent="0.2">
      <c r="A5217" s="12"/>
      <c r="B5217" s="13"/>
    </row>
    <row r="5218" spans="1:2" x14ac:dyDescent="0.2">
      <c r="A5218" s="12"/>
      <c r="B5218" s="13"/>
    </row>
    <row r="5219" spans="1:2" x14ac:dyDescent="0.2">
      <c r="A5219" s="12"/>
      <c r="B5219" s="13"/>
    </row>
    <row r="5220" spans="1:2" x14ac:dyDescent="0.2">
      <c r="A5220" s="12"/>
      <c r="B5220" s="13"/>
    </row>
    <row r="5221" spans="1:2" x14ac:dyDescent="0.2">
      <c r="A5221" s="12"/>
      <c r="B5221" s="13"/>
    </row>
    <row r="5222" spans="1:2" x14ac:dyDescent="0.2">
      <c r="A5222" s="12"/>
      <c r="B5222" s="13"/>
    </row>
    <row r="5223" spans="1:2" x14ac:dyDescent="0.2">
      <c r="A5223" s="12"/>
      <c r="B5223" s="13"/>
    </row>
    <row r="5224" spans="1:2" x14ac:dyDescent="0.2">
      <c r="A5224" s="12"/>
      <c r="B5224" s="13"/>
    </row>
    <row r="5225" spans="1:2" x14ac:dyDescent="0.2">
      <c r="A5225" s="12"/>
      <c r="B5225" s="13"/>
    </row>
    <row r="5226" spans="1:2" x14ac:dyDescent="0.2">
      <c r="A5226" s="12"/>
      <c r="B5226" s="13"/>
    </row>
    <row r="5227" spans="1:2" x14ac:dyDescent="0.2">
      <c r="A5227" s="12"/>
      <c r="B5227" s="13"/>
    </row>
    <row r="5228" spans="1:2" x14ac:dyDescent="0.2">
      <c r="A5228" s="12"/>
      <c r="B5228" s="13"/>
    </row>
    <row r="5229" spans="1:2" x14ac:dyDescent="0.2">
      <c r="A5229" s="12"/>
      <c r="B5229" s="13"/>
    </row>
    <row r="5230" spans="1:2" x14ac:dyDescent="0.2">
      <c r="A5230" s="12"/>
      <c r="B5230" s="13"/>
    </row>
    <row r="5231" spans="1:2" x14ac:dyDescent="0.2">
      <c r="A5231" s="12"/>
      <c r="B5231" s="13"/>
    </row>
    <row r="5232" spans="1:2" x14ac:dyDescent="0.2">
      <c r="A5232" s="12"/>
      <c r="B5232" s="13"/>
    </row>
    <row r="5233" spans="1:2" x14ac:dyDescent="0.2">
      <c r="A5233" s="12"/>
      <c r="B5233" s="13"/>
    </row>
    <row r="5234" spans="1:2" x14ac:dyDescent="0.2">
      <c r="A5234" s="12"/>
      <c r="B5234" s="13"/>
    </row>
    <row r="5235" spans="1:2" x14ac:dyDescent="0.2">
      <c r="A5235" s="12"/>
      <c r="B5235" s="13"/>
    </row>
    <row r="5236" spans="1:2" x14ac:dyDescent="0.2">
      <c r="A5236" s="12"/>
      <c r="B5236" s="13"/>
    </row>
    <row r="5237" spans="1:2" x14ac:dyDescent="0.2">
      <c r="A5237" s="12"/>
      <c r="B5237" s="13"/>
    </row>
    <row r="5238" spans="1:2" x14ac:dyDescent="0.2">
      <c r="A5238" s="12"/>
      <c r="B5238" s="13"/>
    </row>
    <row r="5239" spans="1:2" x14ac:dyDescent="0.2">
      <c r="A5239" s="12"/>
      <c r="B5239" s="13"/>
    </row>
    <row r="5240" spans="1:2" x14ac:dyDescent="0.2">
      <c r="A5240" s="12"/>
      <c r="B5240" s="13"/>
    </row>
    <row r="5241" spans="1:2" x14ac:dyDescent="0.2">
      <c r="A5241" s="12"/>
      <c r="B5241" s="13"/>
    </row>
    <row r="5242" spans="1:2" x14ac:dyDescent="0.2">
      <c r="A5242" s="12"/>
      <c r="B5242" s="13"/>
    </row>
    <row r="5243" spans="1:2" x14ac:dyDescent="0.2">
      <c r="A5243" s="12"/>
      <c r="B5243" s="13"/>
    </row>
    <row r="5244" spans="1:2" x14ac:dyDescent="0.2">
      <c r="A5244" s="12"/>
      <c r="B5244" s="13"/>
    </row>
    <row r="5245" spans="1:2" x14ac:dyDescent="0.2">
      <c r="A5245" s="12"/>
      <c r="B5245" s="13"/>
    </row>
    <row r="5246" spans="1:2" x14ac:dyDescent="0.2">
      <c r="A5246" s="12"/>
      <c r="B5246" s="13"/>
    </row>
    <row r="5247" spans="1:2" x14ac:dyDescent="0.2">
      <c r="A5247" s="12"/>
      <c r="B5247" s="13"/>
    </row>
    <row r="5248" spans="1:2" x14ac:dyDescent="0.2">
      <c r="A5248" s="12"/>
      <c r="B5248" s="13"/>
    </row>
    <row r="5249" spans="1:2" x14ac:dyDescent="0.2">
      <c r="A5249" s="12"/>
      <c r="B5249" s="13"/>
    </row>
    <row r="5250" spans="1:2" x14ac:dyDescent="0.2">
      <c r="A5250" s="12"/>
      <c r="B5250" s="13"/>
    </row>
    <row r="5251" spans="1:2" x14ac:dyDescent="0.2">
      <c r="A5251" s="12"/>
      <c r="B5251" s="13"/>
    </row>
    <row r="5252" spans="1:2" x14ac:dyDescent="0.2">
      <c r="A5252" s="12"/>
      <c r="B5252" s="13"/>
    </row>
    <row r="5253" spans="1:2" x14ac:dyDescent="0.2">
      <c r="A5253" s="12"/>
      <c r="B5253" s="13"/>
    </row>
    <row r="5254" spans="1:2" x14ac:dyDescent="0.2">
      <c r="A5254" s="12"/>
      <c r="B5254" s="13"/>
    </row>
    <row r="5255" spans="1:2" x14ac:dyDescent="0.2">
      <c r="A5255" s="12"/>
      <c r="B5255" s="13"/>
    </row>
    <row r="5256" spans="1:2" x14ac:dyDescent="0.2">
      <c r="A5256" s="12"/>
      <c r="B5256" s="13"/>
    </row>
    <row r="5257" spans="1:2" x14ac:dyDescent="0.2">
      <c r="A5257" s="12"/>
      <c r="B5257" s="13"/>
    </row>
    <row r="5258" spans="1:2" x14ac:dyDescent="0.2">
      <c r="A5258" s="12"/>
      <c r="B5258" s="13"/>
    </row>
    <row r="5259" spans="1:2" x14ac:dyDescent="0.2">
      <c r="A5259" s="12"/>
      <c r="B5259" s="13"/>
    </row>
    <row r="5260" spans="1:2" x14ac:dyDescent="0.2">
      <c r="A5260" s="12"/>
      <c r="B5260" s="13"/>
    </row>
    <row r="5261" spans="1:2" x14ac:dyDescent="0.2">
      <c r="A5261" s="12"/>
      <c r="B5261" s="13"/>
    </row>
    <row r="5262" spans="1:2" x14ac:dyDescent="0.2">
      <c r="A5262" s="12"/>
      <c r="B5262" s="13"/>
    </row>
    <row r="5263" spans="1:2" x14ac:dyDescent="0.2">
      <c r="A5263" s="12"/>
      <c r="B5263" s="13"/>
    </row>
    <row r="5264" spans="1:2" x14ac:dyDescent="0.2">
      <c r="A5264" s="12"/>
      <c r="B5264" s="13"/>
    </row>
    <row r="5265" spans="1:2" x14ac:dyDescent="0.2">
      <c r="A5265" s="12"/>
      <c r="B5265" s="13"/>
    </row>
    <row r="5266" spans="1:2" x14ac:dyDescent="0.2">
      <c r="A5266" s="12"/>
      <c r="B5266" s="13"/>
    </row>
    <row r="5267" spans="1:2" x14ac:dyDescent="0.2">
      <c r="A5267" s="12"/>
      <c r="B5267" s="13"/>
    </row>
    <row r="5268" spans="1:2" x14ac:dyDescent="0.2">
      <c r="A5268" s="12"/>
      <c r="B5268" s="13"/>
    </row>
    <row r="5269" spans="1:2" x14ac:dyDescent="0.2">
      <c r="A5269" s="12"/>
      <c r="B5269" s="13"/>
    </row>
    <row r="5270" spans="1:2" x14ac:dyDescent="0.2">
      <c r="A5270" s="12"/>
      <c r="B5270" s="13"/>
    </row>
    <row r="5271" spans="1:2" x14ac:dyDescent="0.2">
      <c r="A5271" s="12"/>
      <c r="B5271" s="13"/>
    </row>
    <row r="5272" spans="1:2" x14ac:dyDescent="0.2">
      <c r="A5272" s="12"/>
      <c r="B5272" s="13"/>
    </row>
    <row r="5273" spans="1:2" x14ac:dyDescent="0.2">
      <c r="A5273" s="12"/>
      <c r="B5273" s="13"/>
    </row>
    <row r="5274" spans="1:2" x14ac:dyDescent="0.2">
      <c r="A5274" s="12"/>
      <c r="B5274" s="13"/>
    </row>
    <row r="5275" spans="1:2" x14ac:dyDescent="0.2">
      <c r="A5275" s="12"/>
      <c r="B5275" s="13"/>
    </row>
    <row r="5276" spans="1:2" x14ac:dyDescent="0.2">
      <c r="A5276" s="12"/>
      <c r="B5276" s="13"/>
    </row>
    <row r="5277" spans="1:2" x14ac:dyDescent="0.2">
      <c r="A5277" s="12"/>
      <c r="B5277" s="13"/>
    </row>
    <row r="5278" spans="1:2" x14ac:dyDescent="0.2">
      <c r="A5278" s="12"/>
      <c r="B5278" s="13"/>
    </row>
    <row r="5279" spans="1:2" x14ac:dyDescent="0.2">
      <c r="A5279" s="12"/>
      <c r="B5279" s="13"/>
    </row>
    <row r="5280" spans="1:2" x14ac:dyDescent="0.2">
      <c r="A5280" s="12"/>
      <c r="B5280" s="13"/>
    </row>
    <row r="5281" spans="1:2" x14ac:dyDescent="0.2">
      <c r="A5281" s="12"/>
      <c r="B5281" s="13"/>
    </row>
    <row r="5282" spans="1:2" x14ac:dyDescent="0.2">
      <c r="A5282" s="12"/>
      <c r="B5282" s="13"/>
    </row>
    <row r="5283" spans="1:2" x14ac:dyDescent="0.2">
      <c r="A5283" s="12"/>
      <c r="B5283" s="13"/>
    </row>
    <row r="5284" spans="1:2" x14ac:dyDescent="0.2">
      <c r="A5284" s="12"/>
      <c r="B5284" s="13"/>
    </row>
    <row r="5285" spans="1:2" x14ac:dyDescent="0.2">
      <c r="A5285" s="12"/>
      <c r="B5285" s="13"/>
    </row>
    <row r="5286" spans="1:2" x14ac:dyDescent="0.2">
      <c r="A5286" s="12"/>
      <c r="B5286" s="13"/>
    </row>
    <row r="5287" spans="1:2" x14ac:dyDescent="0.2">
      <c r="A5287" s="12"/>
      <c r="B5287" s="13"/>
    </row>
    <row r="5288" spans="1:2" x14ac:dyDescent="0.2">
      <c r="A5288" s="12"/>
      <c r="B5288" s="13"/>
    </row>
    <row r="5289" spans="1:2" x14ac:dyDescent="0.2">
      <c r="A5289" s="12"/>
      <c r="B5289" s="13"/>
    </row>
    <row r="5290" spans="1:2" x14ac:dyDescent="0.2">
      <c r="A5290" s="12"/>
      <c r="B5290" s="13"/>
    </row>
    <row r="5291" spans="1:2" x14ac:dyDescent="0.2">
      <c r="A5291" s="12"/>
      <c r="B5291" s="13"/>
    </row>
    <row r="5292" spans="1:2" x14ac:dyDescent="0.2">
      <c r="A5292" s="12"/>
      <c r="B5292" s="13"/>
    </row>
    <row r="5293" spans="1:2" x14ac:dyDescent="0.2">
      <c r="A5293" s="12"/>
      <c r="B5293" s="13"/>
    </row>
    <row r="5294" spans="1:2" x14ac:dyDescent="0.2">
      <c r="A5294" s="12"/>
      <c r="B5294" s="13"/>
    </row>
    <row r="5295" spans="1:2" x14ac:dyDescent="0.2">
      <c r="A5295" s="12"/>
      <c r="B5295" s="13"/>
    </row>
    <row r="5296" spans="1:2" x14ac:dyDescent="0.2">
      <c r="A5296" s="12"/>
      <c r="B5296" s="13"/>
    </row>
    <row r="5297" spans="1:2" x14ac:dyDescent="0.2">
      <c r="A5297" s="12"/>
      <c r="B5297" s="13"/>
    </row>
    <row r="5298" spans="1:2" x14ac:dyDescent="0.2">
      <c r="A5298" s="12"/>
      <c r="B5298" s="13"/>
    </row>
    <row r="5299" spans="1:2" x14ac:dyDescent="0.2">
      <c r="A5299" s="12"/>
      <c r="B5299" s="13"/>
    </row>
    <row r="5300" spans="1:2" x14ac:dyDescent="0.2">
      <c r="A5300" s="12"/>
      <c r="B5300" s="13"/>
    </row>
    <row r="5301" spans="1:2" x14ac:dyDescent="0.2">
      <c r="A5301" s="12"/>
      <c r="B5301" s="13"/>
    </row>
    <row r="5302" spans="1:2" x14ac:dyDescent="0.2">
      <c r="A5302" s="12"/>
      <c r="B5302" s="13"/>
    </row>
    <row r="5303" spans="1:2" x14ac:dyDescent="0.2">
      <c r="A5303" s="12"/>
      <c r="B5303" s="13"/>
    </row>
    <row r="5304" spans="1:2" x14ac:dyDescent="0.2">
      <c r="A5304" s="12"/>
      <c r="B5304" s="13"/>
    </row>
    <row r="5305" spans="1:2" x14ac:dyDescent="0.2">
      <c r="A5305" s="12"/>
      <c r="B5305" s="13"/>
    </row>
    <row r="5306" spans="1:2" x14ac:dyDescent="0.2">
      <c r="A5306" s="12"/>
      <c r="B5306" s="13"/>
    </row>
    <row r="5307" spans="1:2" x14ac:dyDescent="0.2">
      <c r="A5307" s="12"/>
      <c r="B5307" s="13"/>
    </row>
    <row r="5308" spans="1:2" x14ac:dyDescent="0.2">
      <c r="A5308" s="12"/>
      <c r="B5308" s="13"/>
    </row>
    <row r="5309" spans="1:2" x14ac:dyDescent="0.2">
      <c r="A5309" s="12"/>
      <c r="B5309" s="13"/>
    </row>
    <row r="5310" spans="1:2" x14ac:dyDescent="0.2">
      <c r="A5310" s="12"/>
      <c r="B5310" s="13"/>
    </row>
    <row r="5311" spans="1:2" x14ac:dyDescent="0.2">
      <c r="A5311" s="12"/>
      <c r="B5311" s="13"/>
    </row>
    <row r="5312" spans="1:2" x14ac:dyDescent="0.2">
      <c r="A5312" s="12"/>
      <c r="B5312" s="13"/>
    </row>
    <row r="5313" spans="1:2" x14ac:dyDescent="0.2">
      <c r="A5313" s="12"/>
      <c r="B5313" s="13"/>
    </row>
    <row r="5314" spans="1:2" x14ac:dyDescent="0.2">
      <c r="A5314" s="12"/>
      <c r="B5314" s="13"/>
    </row>
    <row r="5315" spans="1:2" x14ac:dyDescent="0.2">
      <c r="A5315" s="12"/>
      <c r="B5315" s="13"/>
    </row>
    <row r="5316" spans="1:2" x14ac:dyDescent="0.2">
      <c r="A5316" s="12"/>
      <c r="B5316" s="13"/>
    </row>
    <row r="5317" spans="1:2" x14ac:dyDescent="0.2">
      <c r="A5317" s="12"/>
      <c r="B5317" s="13"/>
    </row>
    <row r="5318" spans="1:2" x14ac:dyDescent="0.2">
      <c r="A5318" s="12"/>
      <c r="B5318" s="13"/>
    </row>
    <row r="5319" spans="1:2" x14ac:dyDescent="0.2">
      <c r="A5319" s="12"/>
      <c r="B5319" s="13"/>
    </row>
    <row r="5320" spans="1:2" x14ac:dyDescent="0.2">
      <c r="A5320" s="12"/>
      <c r="B5320" s="13"/>
    </row>
    <row r="5321" spans="1:2" x14ac:dyDescent="0.2">
      <c r="A5321" s="12"/>
      <c r="B5321" s="13"/>
    </row>
    <row r="5322" spans="1:2" x14ac:dyDescent="0.2">
      <c r="A5322" s="12"/>
      <c r="B5322" s="13"/>
    </row>
    <row r="5323" spans="1:2" x14ac:dyDescent="0.2">
      <c r="A5323" s="12"/>
      <c r="B5323" s="13"/>
    </row>
    <row r="5324" spans="1:2" x14ac:dyDescent="0.2">
      <c r="A5324" s="12"/>
      <c r="B5324" s="13"/>
    </row>
    <row r="5325" spans="1:2" x14ac:dyDescent="0.2">
      <c r="A5325" s="12"/>
      <c r="B5325" s="13"/>
    </row>
    <row r="5326" spans="1:2" x14ac:dyDescent="0.2">
      <c r="A5326" s="12"/>
      <c r="B5326" s="13"/>
    </row>
    <row r="5327" spans="1:2" x14ac:dyDescent="0.2">
      <c r="A5327" s="12"/>
      <c r="B5327" s="13"/>
    </row>
    <row r="5328" spans="1:2" x14ac:dyDescent="0.2">
      <c r="A5328" s="12"/>
      <c r="B5328" s="13"/>
    </row>
    <row r="5329" spans="1:2" x14ac:dyDescent="0.2">
      <c r="A5329" s="12"/>
      <c r="B5329" s="13"/>
    </row>
    <row r="5330" spans="1:2" x14ac:dyDescent="0.2">
      <c r="A5330" s="12"/>
      <c r="B5330" s="13"/>
    </row>
    <row r="5331" spans="1:2" x14ac:dyDescent="0.2">
      <c r="A5331" s="12"/>
      <c r="B5331" s="13"/>
    </row>
    <row r="5332" spans="1:2" x14ac:dyDescent="0.2">
      <c r="A5332" s="12"/>
      <c r="B5332" s="13"/>
    </row>
    <row r="5333" spans="1:2" x14ac:dyDescent="0.2">
      <c r="A5333" s="12"/>
      <c r="B5333" s="13"/>
    </row>
    <row r="5334" spans="1:2" x14ac:dyDescent="0.2">
      <c r="A5334" s="12"/>
      <c r="B5334" s="13"/>
    </row>
    <row r="5335" spans="1:2" x14ac:dyDescent="0.2">
      <c r="A5335" s="12"/>
      <c r="B5335" s="13"/>
    </row>
    <row r="5336" spans="1:2" x14ac:dyDescent="0.2">
      <c r="A5336" s="12"/>
      <c r="B5336" s="13"/>
    </row>
    <row r="5337" spans="1:2" x14ac:dyDescent="0.2">
      <c r="A5337" s="12"/>
      <c r="B5337" s="13"/>
    </row>
    <row r="5338" spans="1:2" x14ac:dyDescent="0.2">
      <c r="A5338" s="12"/>
      <c r="B5338" s="13"/>
    </row>
    <row r="5339" spans="1:2" x14ac:dyDescent="0.2">
      <c r="A5339" s="12"/>
      <c r="B5339" s="13"/>
    </row>
    <row r="5340" spans="1:2" x14ac:dyDescent="0.2">
      <c r="A5340" s="12"/>
      <c r="B5340" s="13"/>
    </row>
    <row r="5341" spans="1:2" x14ac:dyDescent="0.2">
      <c r="A5341" s="12"/>
      <c r="B5341" s="13"/>
    </row>
    <row r="5342" spans="1:2" x14ac:dyDescent="0.2">
      <c r="A5342" s="12"/>
      <c r="B5342" s="13"/>
    </row>
    <row r="5343" spans="1:2" x14ac:dyDescent="0.2">
      <c r="A5343" s="12"/>
      <c r="B5343" s="13"/>
    </row>
    <row r="5344" spans="1:2" x14ac:dyDescent="0.2">
      <c r="A5344" s="12"/>
      <c r="B5344" s="13"/>
    </row>
    <row r="5345" spans="1:2" x14ac:dyDescent="0.2">
      <c r="A5345" s="12"/>
      <c r="B5345" s="13"/>
    </row>
    <row r="5346" spans="1:2" x14ac:dyDescent="0.2">
      <c r="A5346" s="12"/>
      <c r="B5346" s="13"/>
    </row>
    <row r="5347" spans="1:2" x14ac:dyDescent="0.2">
      <c r="A5347" s="12"/>
      <c r="B5347" s="13"/>
    </row>
    <row r="5348" spans="1:2" x14ac:dyDescent="0.2">
      <c r="A5348" s="12"/>
      <c r="B5348" s="13"/>
    </row>
    <row r="5349" spans="1:2" x14ac:dyDescent="0.2">
      <c r="A5349" s="12"/>
      <c r="B5349" s="13"/>
    </row>
    <row r="5350" spans="1:2" x14ac:dyDescent="0.2">
      <c r="A5350" s="12"/>
      <c r="B5350" s="13"/>
    </row>
    <row r="5351" spans="1:2" x14ac:dyDescent="0.2">
      <c r="A5351" s="12"/>
      <c r="B5351" s="13"/>
    </row>
    <row r="5352" spans="1:2" x14ac:dyDescent="0.2">
      <c r="A5352" s="12"/>
      <c r="B5352" s="13"/>
    </row>
    <row r="5353" spans="1:2" x14ac:dyDescent="0.2">
      <c r="A5353" s="12"/>
      <c r="B5353" s="13"/>
    </row>
    <row r="5354" spans="1:2" x14ac:dyDescent="0.2">
      <c r="A5354" s="12"/>
      <c r="B5354" s="13"/>
    </row>
    <row r="5355" spans="1:2" x14ac:dyDescent="0.2">
      <c r="A5355" s="12"/>
      <c r="B5355" s="13"/>
    </row>
    <row r="5356" spans="1:2" x14ac:dyDescent="0.2">
      <c r="A5356" s="12"/>
      <c r="B5356" s="13"/>
    </row>
    <row r="5357" spans="1:2" x14ac:dyDescent="0.2">
      <c r="A5357" s="12"/>
      <c r="B5357" s="13"/>
    </row>
    <row r="5358" spans="1:2" x14ac:dyDescent="0.2">
      <c r="A5358" s="12"/>
      <c r="B5358" s="13"/>
    </row>
    <row r="5359" spans="1:2" x14ac:dyDescent="0.2">
      <c r="A5359" s="12"/>
      <c r="B5359" s="13"/>
    </row>
    <row r="5360" spans="1:2" x14ac:dyDescent="0.2">
      <c r="A5360" s="12"/>
      <c r="B5360" s="13"/>
    </row>
    <row r="5361" spans="1:2" x14ac:dyDescent="0.2">
      <c r="A5361" s="12"/>
      <c r="B5361" s="13"/>
    </row>
    <row r="5362" spans="1:2" x14ac:dyDescent="0.2">
      <c r="A5362" s="12"/>
      <c r="B5362" s="13"/>
    </row>
    <row r="5363" spans="1:2" x14ac:dyDescent="0.2">
      <c r="A5363" s="12"/>
      <c r="B5363" s="13"/>
    </row>
    <row r="5364" spans="1:2" x14ac:dyDescent="0.2">
      <c r="A5364" s="12"/>
      <c r="B5364" s="13"/>
    </row>
    <row r="5365" spans="1:2" x14ac:dyDescent="0.2">
      <c r="A5365" s="12"/>
      <c r="B5365" s="13"/>
    </row>
    <row r="5366" spans="1:2" x14ac:dyDescent="0.2">
      <c r="A5366" s="12"/>
      <c r="B5366" s="13"/>
    </row>
    <row r="5367" spans="1:2" x14ac:dyDescent="0.2">
      <c r="A5367" s="12"/>
      <c r="B5367" s="13"/>
    </row>
    <row r="5368" spans="1:2" x14ac:dyDescent="0.2">
      <c r="A5368" s="12"/>
      <c r="B5368" s="13"/>
    </row>
    <row r="5369" spans="1:2" x14ac:dyDescent="0.2">
      <c r="A5369" s="12"/>
      <c r="B5369" s="13"/>
    </row>
    <row r="5370" spans="1:2" x14ac:dyDescent="0.2">
      <c r="A5370" s="12"/>
      <c r="B5370" s="13"/>
    </row>
    <row r="5371" spans="1:2" x14ac:dyDescent="0.2">
      <c r="A5371" s="12"/>
      <c r="B5371" s="13"/>
    </row>
    <row r="5372" spans="1:2" x14ac:dyDescent="0.2">
      <c r="A5372" s="12"/>
      <c r="B5372" s="13"/>
    </row>
    <row r="5373" spans="1:2" x14ac:dyDescent="0.2">
      <c r="A5373" s="12"/>
      <c r="B5373" s="13"/>
    </row>
    <row r="5374" spans="1:2" x14ac:dyDescent="0.2">
      <c r="A5374" s="12"/>
      <c r="B5374" s="13"/>
    </row>
    <row r="5375" spans="1:2" x14ac:dyDescent="0.2">
      <c r="A5375" s="12"/>
      <c r="B5375" s="13"/>
    </row>
    <row r="5376" spans="1:2" x14ac:dyDescent="0.2">
      <c r="A5376" s="12"/>
      <c r="B5376" s="13"/>
    </row>
    <row r="5377" spans="1:2" x14ac:dyDescent="0.2">
      <c r="A5377" s="12"/>
      <c r="B5377" s="13"/>
    </row>
    <row r="5378" spans="1:2" x14ac:dyDescent="0.2">
      <c r="A5378" s="12"/>
      <c r="B5378" s="13"/>
    </row>
    <row r="5379" spans="1:2" x14ac:dyDescent="0.2">
      <c r="A5379" s="12"/>
      <c r="B5379" s="13"/>
    </row>
    <row r="5380" spans="1:2" x14ac:dyDescent="0.2">
      <c r="A5380" s="12"/>
      <c r="B5380" s="13"/>
    </row>
    <row r="5381" spans="1:2" x14ac:dyDescent="0.2">
      <c r="A5381" s="12"/>
      <c r="B5381" s="13"/>
    </row>
    <row r="5382" spans="1:2" x14ac:dyDescent="0.2">
      <c r="A5382" s="12"/>
      <c r="B5382" s="13"/>
    </row>
    <row r="5383" spans="1:2" x14ac:dyDescent="0.2">
      <c r="A5383" s="12"/>
      <c r="B5383" s="13"/>
    </row>
    <row r="5384" spans="1:2" x14ac:dyDescent="0.2">
      <c r="A5384" s="12"/>
      <c r="B5384" s="13"/>
    </row>
    <row r="5385" spans="1:2" x14ac:dyDescent="0.2">
      <c r="A5385" s="12"/>
      <c r="B5385" s="13"/>
    </row>
    <row r="5386" spans="1:2" x14ac:dyDescent="0.2">
      <c r="A5386" s="12"/>
      <c r="B5386" s="13"/>
    </row>
    <row r="5387" spans="1:2" x14ac:dyDescent="0.2">
      <c r="A5387" s="12"/>
      <c r="B5387" s="13"/>
    </row>
    <row r="5388" spans="1:2" x14ac:dyDescent="0.2">
      <c r="A5388" s="12"/>
      <c r="B5388" s="13"/>
    </row>
    <row r="5389" spans="1:2" x14ac:dyDescent="0.2">
      <c r="A5389" s="12"/>
      <c r="B5389" s="13"/>
    </row>
    <row r="5390" spans="1:2" x14ac:dyDescent="0.2">
      <c r="A5390" s="12"/>
      <c r="B5390" s="13"/>
    </row>
    <row r="5391" spans="1:2" x14ac:dyDescent="0.2">
      <c r="A5391" s="12"/>
      <c r="B5391" s="13"/>
    </row>
    <row r="5392" spans="1:2" x14ac:dyDescent="0.2">
      <c r="A5392" s="12"/>
      <c r="B5392" s="13"/>
    </row>
    <row r="5393" spans="1:2" x14ac:dyDescent="0.2">
      <c r="A5393" s="12"/>
      <c r="B5393" s="13"/>
    </row>
    <row r="5394" spans="1:2" x14ac:dyDescent="0.2">
      <c r="A5394" s="12"/>
      <c r="B5394" s="13"/>
    </row>
    <row r="5395" spans="1:2" x14ac:dyDescent="0.2">
      <c r="A5395" s="12"/>
      <c r="B5395" s="13"/>
    </row>
    <row r="5396" spans="1:2" x14ac:dyDescent="0.2">
      <c r="A5396" s="12"/>
      <c r="B5396" s="13"/>
    </row>
    <row r="5397" spans="1:2" x14ac:dyDescent="0.2">
      <c r="A5397" s="12"/>
      <c r="B5397" s="13"/>
    </row>
    <row r="5398" spans="1:2" x14ac:dyDescent="0.2">
      <c r="A5398" s="12"/>
      <c r="B5398" s="13"/>
    </row>
    <row r="5399" spans="1:2" x14ac:dyDescent="0.2">
      <c r="A5399" s="12"/>
      <c r="B5399" s="13"/>
    </row>
    <row r="5400" spans="1:2" x14ac:dyDescent="0.2">
      <c r="A5400" s="12"/>
      <c r="B5400" s="13"/>
    </row>
    <row r="5401" spans="1:2" x14ac:dyDescent="0.2">
      <c r="A5401" s="12"/>
      <c r="B5401" s="13"/>
    </row>
    <row r="5402" spans="1:2" x14ac:dyDescent="0.2">
      <c r="A5402" s="12"/>
      <c r="B5402" s="13"/>
    </row>
    <row r="5403" spans="1:2" x14ac:dyDescent="0.2">
      <c r="A5403" s="12"/>
      <c r="B5403" s="13"/>
    </row>
    <row r="5404" spans="1:2" x14ac:dyDescent="0.2">
      <c r="A5404" s="12"/>
      <c r="B5404" s="13"/>
    </row>
    <row r="5405" spans="1:2" x14ac:dyDescent="0.2">
      <c r="A5405" s="12"/>
      <c r="B5405" s="13"/>
    </row>
    <row r="5406" spans="1:2" x14ac:dyDescent="0.2">
      <c r="A5406" s="12"/>
      <c r="B5406" s="13"/>
    </row>
    <row r="5407" spans="1:2" x14ac:dyDescent="0.2">
      <c r="A5407" s="12"/>
      <c r="B5407" s="13"/>
    </row>
    <row r="5408" spans="1:2" x14ac:dyDescent="0.2">
      <c r="A5408" s="12"/>
      <c r="B5408" s="13"/>
    </row>
    <row r="5409" spans="1:2" x14ac:dyDescent="0.2">
      <c r="A5409" s="12"/>
      <c r="B5409" s="13"/>
    </row>
    <row r="5410" spans="1:2" x14ac:dyDescent="0.2">
      <c r="A5410" s="12"/>
      <c r="B5410" s="13"/>
    </row>
    <row r="5411" spans="1:2" x14ac:dyDescent="0.2">
      <c r="A5411" s="12"/>
      <c r="B5411" s="13"/>
    </row>
    <row r="5412" spans="1:2" x14ac:dyDescent="0.2">
      <c r="A5412" s="12"/>
      <c r="B5412" s="13"/>
    </row>
    <row r="5413" spans="1:2" x14ac:dyDescent="0.2">
      <c r="A5413" s="12"/>
      <c r="B5413" s="13"/>
    </row>
    <row r="5414" spans="1:2" x14ac:dyDescent="0.2">
      <c r="A5414" s="12"/>
      <c r="B5414" s="13"/>
    </row>
    <row r="5415" spans="1:2" x14ac:dyDescent="0.2">
      <c r="A5415" s="12"/>
      <c r="B5415" s="13"/>
    </row>
    <row r="5416" spans="1:2" x14ac:dyDescent="0.2">
      <c r="A5416" s="12"/>
      <c r="B5416" s="13"/>
    </row>
    <row r="5417" spans="1:2" x14ac:dyDescent="0.2">
      <c r="A5417" s="12"/>
      <c r="B5417" s="13"/>
    </row>
    <row r="5418" spans="1:2" x14ac:dyDescent="0.2">
      <c r="A5418" s="12"/>
      <c r="B5418" s="13"/>
    </row>
    <row r="5419" spans="1:2" x14ac:dyDescent="0.2">
      <c r="A5419" s="12"/>
      <c r="B5419" s="13"/>
    </row>
    <row r="5420" spans="1:2" x14ac:dyDescent="0.2">
      <c r="A5420" s="12"/>
      <c r="B5420" s="13"/>
    </row>
    <row r="5421" spans="1:2" x14ac:dyDescent="0.2">
      <c r="A5421" s="12"/>
      <c r="B5421" s="13"/>
    </row>
    <row r="5422" spans="1:2" x14ac:dyDescent="0.2">
      <c r="A5422" s="12"/>
      <c r="B5422" s="13"/>
    </row>
    <row r="5423" spans="1:2" x14ac:dyDescent="0.2">
      <c r="A5423" s="12"/>
      <c r="B5423" s="13"/>
    </row>
    <row r="5424" spans="1:2" x14ac:dyDescent="0.2">
      <c r="A5424" s="12"/>
      <c r="B5424" s="13"/>
    </row>
    <row r="5425" spans="1:2" x14ac:dyDescent="0.2">
      <c r="A5425" s="12"/>
      <c r="B5425" s="13"/>
    </row>
    <row r="5426" spans="1:2" x14ac:dyDescent="0.2">
      <c r="A5426" s="12"/>
      <c r="B5426" s="13"/>
    </row>
    <row r="5427" spans="1:2" x14ac:dyDescent="0.2">
      <c r="A5427" s="12"/>
      <c r="B5427" s="13"/>
    </row>
    <row r="5428" spans="1:2" x14ac:dyDescent="0.2">
      <c r="A5428" s="12"/>
      <c r="B5428" s="13"/>
    </row>
    <row r="5429" spans="1:2" x14ac:dyDescent="0.2">
      <c r="A5429" s="12"/>
      <c r="B5429" s="13"/>
    </row>
    <row r="5430" spans="1:2" x14ac:dyDescent="0.2">
      <c r="A5430" s="12"/>
      <c r="B5430" s="13"/>
    </row>
    <row r="5431" spans="1:2" x14ac:dyDescent="0.2">
      <c r="A5431" s="12"/>
      <c r="B5431" s="13"/>
    </row>
    <row r="5432" spans="1:2" x14ac:dyDescent="0.2">
      <c r="A5432" s="12"/>
      <c r="B5432" s="13"/>
    </row>
    <row r="5433" spans="1:2" x14ac:dyDescent="0.2">
      <c r="A5433" s="12"/>
      <c r="B5433" s="13"/>
    </row>
    <row r="5434" spans="1:2" x14ac:dyDescent="0.2">
      <c r="A5434" s="12"/>
      <c r="B5434" s="13"/>
    </row>
    <row r="5435" spans="1:2" x14ac:dyDescent="0.2">
      <c r="A5435" s="12"/>
      <c r="B5435" s="13"/>
    </row>
    <row r="5436" spans="1:2" x14ac:dyDescent="0.2">
      <c r="A5436" s="12"/>
      <c r="B5436" s="13"/>
    </row>
    <row r="5437" spans="1:2" x14ac:dyDescent="0.2">
      <c r="A5437" s="12"/>
      <c r="B5437" s="13"/>
    </row>
    <row r="5438" spans="1:2" x14ac:dyDescent="0.2">
      <c r="A5438" s="12"/>
      <c r="B5438" s="13"/>
    </row>
    <row r="5439" spans="1:2" x14ac:dyDescent="0.2">
      <c r="A5439" s="12"/>
      <c r="B5439" s="13"/>
    </row>
    <row r="5440" spans="1:2" x14ac:dyDescent="0.2">
      <c r="A5440" s="12"/>
      <c r="B5440" s="13"/>
    </row>
    <row r="5441" spans="1:2" x14ac:dyDescent="0.2">
      <c r="A5441" s="12"/>
      <c r="B5441" s="13"/>
    </row>
    <row r="5442" spans="1:2" x14ac:dyDescent="0.2">
      <c r="A5442" s="12"/>
      <c r="B5442" s="13"/>
    </row>
    <row r="5443" spans="1:2" x14ac:dyDescent="0.2">
      <c r="A5443" s="12"/>
      <c r="B5443" s="13"/>
    </row>
    <row r="5444" spans="1:2" x14ac:dyDescent="0.2">
      <c r="A5444" s="12"/>
      <c r="B5444" s="13"/>
    </row>
    <row r="5445" spans="1:2" x14ac:dyDescent="0.2">
      <c r="A5445" s="12"/>
      <c r="B5445" s="13"/>
    </row>
    <row r="5446" spans="1:2" x14ac:dyDescent="0.2">
      <c r="A5446" s="12"/>
      <c r="B5446" s="13"/>
    </row>
    <row r="5447" spans="1:2" x14ac:dyDescent="0.2">
      <c r="A5447" s="12"/>
      <c r="B5447" s="13"/>
    </row>
    <row r="5448" spans="1:2" x14ac:dyDescent="0.2">
      <c r="A5448" s="12"/>
      <c r="B5448" s="13"/>
    </row>
    <row r="5449" spans="1:2" x14ac:dyDescent="0.2">
      <c r="A5449" s="12"/>
      <c r="B5449" s="13"/>
    </row>
    <row r="5450" spans="1:2" x14ac:dyDescent="0.2">
      <c r="A5450" s="12"/>
      <c r="B5450" s="13"/>
    </row>
    <row r="5451" spans="1:2" x14ac:dyDescent="0.2">
      <c r="A5451" s="12"/>
      <c r="B5451" s="13"/>
    </row>
    <row r="5452" spans="1:2" x14ac:dyDescent="0.2">
      <c r="A5452" s="12"/>
      <c r="B5452" s="13"/>
    </row>
    <row r="5453" spans="1:2" x14ac:dyDescent="0.2">
      <c r="A5453" s="12"/>
      <c r="B5453" s="13"/>
    </row>
    <row r="5454" spans="1:2" x14ac:dyDescent="0.2">
      <c r="A5454" s="12"/>
      <c r="B5454" s="13"/>
    </row>
    <row r="5455" spans="1:2" x14ac:dyDescent="0.2">
      <c r="A5455" s="12"/>
      <c r="B5455" s="13"/>
    </row>
    <row r="5456" spans="1:2" x14ac:dyDescent="0.2">
      <c r="A5456" s="12"/>
      <c r="B5456" s="13"/>
    </row>
    <row r="5457" spans="1:2" x14ac:dyDescent="0.2">
      <c r="A5457" s="12"/>
      <c r="B5457" s="13"/>
    </row>
    <row r="5458" spans="1:2" x14ac:dyDescent="0.2">
      <c r="A5458" s="12"/>
      <c r="B5458" s="13"/>
    </row>
    <row r="5459" spans="1:2" x14ac:dyDescent="0.2">
      <c r="A5459" s="12"/>
      <c r="B5459" s="13"/>
    </row>
    <row r="5460" spans="1:2" x14ac:dyDescent="0.2">
      <c r="A5460" s="12"/>
      <c r="B5460" s="13"/>
    </row>
    <row r="5461" spans="1:2" x14ac:dyDescent="0.2">
      <c r="A5461" s="12"/>
      <c r="B5461" s="13"/>
    </row>
    <row r="5462" spans="1:2" x14ac:dyDescent="0.2">
      <c r="A5462" s="12"/>
      <c r="B5462" s="13"/>
    </row>
    <row r="5463" spans="1:2" x14ac:dyDescent="0.2">
      <c r="A5463" s="12"/>
      <c r="B5463" s="13"/>
    </row>
    <row r="5464" spans="1:2" x14ac:dyDescent="0.2">
      <c r="A5464" s="12"/>
      <c r="B5464" s="13"/>
    </row>
    <row r="5465" spans="1:2" x14ac:dyDescent="0.2">
      <c r="A5465" s="12"/>
      <c r="B5465" s="13"/>
    </row>
    <row r="5466" spans="1:2" x14ac:dyDescent="0.2">
      <c r="A5466" s="12"/>
      <c r="B5466" s="13"/>
    </row>
    <row r="5467" spans="1:2" x14ac:dyDescent="0.2">
      <c r="A5467" s="12"/>
      <c r="B5467" s="13"/>
    </row>
    <row r="5468" spans="1:2" x14ac:dyDescent="0.2">
      <c r="A5468" s="12"/>
      <c r="B5468" s="13"/>
    </row>
    <row r="5469" spans="1:2" x14ac:dyDescent="0.2">
      <c r="A5469" s="12"/>
      <c r="B5469" s="13"/>
    </row>
    <row r="5470" spans="1:2" x14ac:dyDescent="0.2">
      <c r="A5470" s="12"/>
      <c r="B5470" s="13"/>
    </row>
    <row r="5471" spans="1:2" x14ac:dyDescent="0.2">
      <c r="A5471" s="12"/>
      <c r="B5471" s="13"/>
    </row>
    <row r="5472" spans="1:2" x14ac:dyDescent="0.2">
      <c r="A5472" s="12"/>
      <c r="B5472" s="13"/>
    </row>
    <row r="5473" spans="1:2" x14ac:dyDescent="0.2">
      <c r="A5473" s="12"/>
      <c r="B5473" s="13"/>
    </row>
    <row r="5474" spans="1:2" x14ac:dyDescent="0.2">
      <c r="A5474" s="12"/>
      <c r="B5474" s="13"/>
    </row>
    <row r="5475" spans="1:2" x14ac:dyDescent="0.2">
      <c r="A5475" s="12"/>
      <c r="B5475" s="13"/>
    </row>
    <row r="5476" spans="1:2" x14ac:dyDescent="0.2">
      <c r="A5476" s="12"/>
      <c r="B5476" s="13"/>
    </row>
    <row r="5477" spans="1:2" x14ac:dyDescent="0.2">
      <c r="A5477" s="12"/>
      <c r="B5477" s="13"/>
    </row>
    <row r="5478" spans="1:2" x14ac:dyDescent="0.2">
      <c r="A5478" s="12"/>
      <c r="B5478" s="13"/>
    </row>
    <row r="5479" spans="1:2" x14ac:dyDescent="0.2">
      <c r="A5479" s="12"/>
      <c r="B5479" s="13"/>
    </row>
    <row r="5480" spans="1:2" x14ac:dyDescent="0.2">
      <c r="A5480" s="12"/>
      <c r="B5480" s="13"/>
    </row>
    <row r="5481" spans="1:2" x14ac:dyDescent="0.2">
      <c r="A5481" s="12"/>
      <c r="B5481" s="13"/>
    </row>
    <row r="5482" spans="1:2" x14ac:dyDescent="0.2">
      <c r="A5482" s="12"/>
      <c r="B5482" s="13"/>
    </row>
    <row r="5483" spans="1:2" x14ac:dyDescent="0.2">
      <c r="A5483" s="12"/>
      <c r="B5483" s="13"/>
    </row>
    <row r="5484" spans="1:2" x14ac:dyDescent="0.2">
      <c r="A5484" s="12"/>
      <c r="B5484" s="13"/>
    </row>
    <row r="5485" spans="1:2" x14ac:dyDescent="0.2">
      <c r="A5485" s="12"/>
      <c r="B5485" s="13"/>
    </row>
    <row r="5486" spans="1:2" x14ac:dyDescent="0.2">
      <c r="A5486" s="12"/>
      <c r="B5486" s="13"/>
    </row>
    <row r="5487" spans="1:2" x14ac:dyDescent="0.2">
      <c r="A5487" s="12"/>
      <c r="B5487" s="13"/>
    </row>
    <row r="5488" spans="1:2" x14ac:dyDescent="0.2">
      <c r="A5488" s="12"/>
      <c r="B5488" s="13"/>
    </row>
    <row r="5489" spans="1:2" x14ac:dyDescent="0.2">
      <c r="A5489" s="12"/>
      <c r="B5489" s="13"/>
    </row>
    <row r="5490" spans="1:2" x14ac:dyDescent="0.2">
      <c r="A5490" s="12"/>
      <c r="B5490" s="13"/>
    </row>
    <row r="5491" spans="1:2" x14ac:dyDescent="0.2">
      <c r="A5491" s="12"/>
      <c r="B5491" s="13"/>
    </row>
    <row r="5492" spans="1:2" x14ac:dyDescent="0.2">
      <c r="A5492" s="12"/>
      <c r="B5492" s="13"/>
    </row>
    <row r="5493" spans="1:2" x14ac:dyDescent="0.2">
      <c r="A5493" s="12"/>
      <c r="B5493" s="13"/>
    </row>
    <row r="5494" spans="1:2" x14ac:dyDescent="0.2">
      <c r="A5494" s="12"/>
      <c r="B5494" s="13"/>
    </row>
    <row r="5495" spans="1:2" x14ac:dyDescent="0.2">
      <c r="A5495" s="12"/>
      <c r="B5495" s="13"/>
    </row>
    <row r="5496" spans="1:2" x14ac:dyDescent="0.2">
      <c r="A5496" s="12"/>
      <c r="B5496" s="13"/>
    </row>
    <row r="5497" spans="1:2" x14ac:dyDescent="0.2">
      <c r="A5497" s="12"/>
      <c r="B5497" s="13"/>
    </row>
    <row r="5498" spans="1:2" x14ac:dyDescent="0.2">
      <c r="A5498" s="12"/>
      <c r="B5498" s="13"/>
    </row>
    <row r="5499" spans="1:2" x14ac:dyDescent="0.2">
      <c r="A5499" s="12"/>
      <c r="B5499" s="13"/>
    </row>
    <row r="5500" spans="1:2" x14ac:dyDescent="0.2">
      <c r="A5500" s="12"/>
      <c r="B5500" s="13"/>
    </row>
    <row r="5501" spans="1:2" x14ac:dyDescent="0.2">
      <c r="A5501" s="12"/>
      <c r="B5501" s="13"/>
    </row>
    <row r="5502" spans="1:2" x14ac:dyDescent="0.2">
      <c r="A5502" s="12"/>
      <c r="B5502" s="13"/>
    </row>
    <row r="5503" spans="1:2" x14ac:dyDescent="0.2">
      <c r="A5503" s="12"/>
      <c r="B5503" s="13"/>
    </row>
    <row r="5504" spans="1:2" x14ac:dyDescent="0.2">
      <c r="A5504" s="12"/>
      <c r="B5504" s="13"/>
    </row>
    <row r="5505" spans="1:2" x14ac:dyDescent="0.2">
      <c r="A5505" s="12"/>
      <c r="B5505" s="13"/>
    </row>
    <row r="5506" spans="1:2" x14ac:dyDescent="0.2">
      <c r="A5506" s="12"/>
      <c r="B5506" s="13"/>
    </row>
    <row r="5507" spans="1:2" x14ac:dyDescent="0.2">
      <c r="A5507" s="12"/>
      <c r="B5507" s="13"/>
    </row>
    <row r="5508" spans="1:2" x14ac:dyDescent="0.2">
      <c r="A5508" s="12"/>
      <c r="B5508" s="13"/>
    </row>
    <row r="5509" spans="1:2" x14ac:dyDescent="0.2">
      <c r="A5509" s="12"/>
      <c r="B5509" s="13"/>
    </row>
    <row r="5510" spans="1:2" x14ac:dyDescent="0.2">
      <c r="A5510" s="12"/>
      <c r="B5510" s="13"/>
    </row>
    <row r="5511" spans="1:2" x14ac:dyDescent="0.2">
      <c r="A5511" s="12"/>
      <c r="B5511" s="13"/>
    </row>
    <row r="5512" spans="1:2" x14ac:dyDescent="0.2">
      <c r="A5512" s="12"/>
      <c r="B5512" s="13"/>
    </row>
    <row r="5513" spans="1:2" x14ac:dyDescent="0.2">
      <c r="A5513" s="12"/>
      <c r="B5513" s="13"/>
    </row>
    <row r="5514" spans="1:2" x14ac:dyDescent="0.2">
      <c r="A5514" s="12"/>
      <c r="B5514" s="13"/>
    </row>
    <row r="5515" spans="1:2" x14ac:dyDescent="0.2">
      <c r="A5515" s="12"/>
      <c r="B5515" s="13"/>
    </row>
    <row r="5516" spans="1:2" x14ac:dyDescent="0.2">
      <c r="A5516" s="12"/>
      <c r="B5516" s="13"/>
    </row>
    <row r="5517" spans="1:2" x14ac:dyDescent="0.2">
      <c r="A5517" s="12"/>
      <c r="B5517" s="13"/>
    </row>
    <row r="5518" spans="1:2" x14ac:dyDescent="0.2">
      <c r="A5518" s="12"/>
      <c r="B5518" s="13"/>
    </row>
    <row r="5519" spans="1:2" x14ac:dyDescent="0.2">
      <c r="A5519" s="12"/>
      <c r="B5519" s="13"/>
    </row>
    <row r="5520" spans="1:2" x14ac:dyDescent="0.2">
      <c r="A5520" s="12"/>
      <c r="B5520" s="13"/>
    </row>
    <row r="5521" spans="1:2" x14ac:dyDescent="0.2">
      <c r="A5521" s="12"/>
      <c r="B5521" s="13"/>
    </row>
    <row r="5522" spans="1:2" x14ac:dyDescent="0.2">
      <c r="A5522" s="12"/>
      <c r="B5522" s="13"/>
    </row>
    <row r="5523" spans="1:2" x14ac:dyDescent="0.2">
      <c r="A5523" s="12"/>
      <c r="B5523" s="13"/>
    </row>
    <row r="5524" spans="1:2" x14ac:dyDescent="0.2">
      <c r="A5524" s="12"/>
      <c r="B5524" s="13"/>
    </row>
    <row r="5525" spans="1:2" x14ac:dyDescent="0.2">
      <c r="A5525" s="12"/>
      <c r="B5525" s="13"/>
    </row>
    <row r="5526" spans="1:2" x14ac:dyDescent="0.2">
      <c r="A5526" s="12"/>
      <c r="B5526" s="13"/>
    </row>
    <row r="5527" spans="1:2" x14ac:dyDescent="0.2">
      <c r="A5527" s="12"/>
      <c r="B5527" s="13"/>
    </row>
    <row r="5528" spans="1:2" x14ac:dyDescent="0.2">
      <c r="A5528" s="12"/>
      <c r="B5528" s="13"/>
    </row>
    <row r="5529" spans="1:2" x14ac:dyDescent="0.2">
      <c r="A5529" s="12"/>
      <c r="B5529" s="13"/>
    </row>
    <row r="5530" spans="1:2" x14ac:dyDescent="0.2">
      <c r="A5530" s="12"/>
      <c r="B5530" s="13"/>
    </row>
    <row r="5531" spans="1:2" x14ac:dyDescent="0.2">
      <c r="A5531" s="12"/>
      <c r="B5531" s="13"/>
    </row>
    <row r="5532" spans="1:2" x14ac:dyDescent="0.2">
      <c r="A5532" s="12"/>
      <c r="B5532" s="13"/>
    </row>
    <row r="5533" spans="1:2" x14ac:dyDescent="0.2">
      <c r="A5533" s="12"/>
      <c r="B5533" s="13"/>
    </row>
    <row r="5534" spans="1:2" x14ac:dyDescent="0.2">
      <c r="A5534" s="12"/>
      <c r="B5534" s="13"/>
    </row>
    <row r="5535" spans="1:2" x14ac:dyDescent="0.2">
      <c r="A5535" s="12"/>
      <c r="B5535" s="13"/>
    </row>
    <row r="5536" spans="1:2" x14ac:dyDescent="0.2">
      <c r="A5536" s="12"/>
      <c r="B5536" s="13"/>
    </row>
    <row r="5537" spans="1:2" x14ac:dyDescent="0.2">
      <c r="A5537" s="12"/>
      <c r="B5537" s="13"/>
    </row>
    <row r="5538" spans="1:2" x14ac:dyDescent="0.2">
      <c r="A5538" s="12"/>
      <c r="B5538" s="13"/>
    </row>
    <row r="5539" spans="1:2" x14ac:dyDescent="0.2">
      <c r="A5539" s="12"/>
      <c r="B5539" s="13"/>
    </row>
    <row r="5540" spans="1:2" x14ac:dyDescent="0.2">
      <c r="A5540" s="12"/>
      <c r="B5540" s="13"/>
    </row>
    <row r="5541" spans="1:2" x14ac:dyDescent="0.2">
      <c r="A5541" s="12"/>
      <c r="B5541" s="13"/>
    </row>
    <row r="5542" spans="1:2" x14ac:dyDescent="0.2">
      <c r="A5542" s="12"/>
      <c r="B5542" s="13"/>
    </row>
    <row r="5543" spans="1:2" x14ac:dyDescent="0.2">
      <c r="A5543" s="12"/>
      <c r="B5543" s="13"/>
    </row>
    <row r="5544" spans="1:2" x14ac:dyDescent="0.2">
      <c r="A5544" s="12"/>
      <c r="B5544" s="13"/>
    </row>
    <row r="5545" spans="1:2" x14ac:dyDescent="0.2">
      <c r="A5545" s="12"/>
      <c r="B5545" s="13"/>
    </row>
    <row r="5546" spans="1:2" x14ac:dyDescent="0.2">
      <c r="A5546" s="12"/>
      <c r="B5546" s="13"/>
    </row>
    <row r="5547" spans="1:2" x14ac:dyDescent="0.2">
      <c r="A5547" s="12"/>
      <c r="B5547" s="13"/>
    </row>
    <row r="5548" spans="1:2" x14ac:dyDescent="0.2">
      <c r="A5548" s="12"/>
      <c r="B5548" s="13"/>
    </row>
    <row r="5549" spans="1:2" x14ac:dyDescent="0.2">
      <c r="A5549" s="12"/>
      <c r="B5549" s="13"/>
    </row>
    <row r="5550" spans="1:2" x14ac:dyDescent="0.2">
      <c r="A5550" s="12"/>
      <c r="B5550" s="13"/>
    </row>
    <row r="5551" spans="1:2" x14ac:dyDescent="0.2">
      <c r="A5551" s="12"/>
      <c r="B5551" s="13"/>
    </row>
    <row r="5552" spans="1:2" x14ac:dyDescent="0.2">
      <c r="A5552" s="12"/>
      <c r="B5552" s="13"/>
    </row>
    <row r="5553" spans="1:2" x14ac:dyDescent="0.2">
      <c r="A5553" s="12"/>
      <c r="B5553" s="13"/>
    </row>
    <row r="5554" spans="1:2" x14ac:dyDescent="0.2">
      <c r="A5554" s="12"/>
      <c r="B5554" s="13"/>
    </row>
    <row r="5555" spans="1:2" x14ac:dyDescent="0.2">
      <c r="A5555" s="12"/>
      <c r="B5555" s="13"/>
    </row>
    <row r="5556" spans="1:2" x14ac:dyDescent="0.2">
      <c r="A5556" s="12"/>
      <c r="B5556" s="13"/>
    </row>
    <row r="5557" spans="1:2" x14ac:dyDescent="0.2">
      <c r="A5557" s="12"/>
      <c r="B5557" s="13"/>
    </row>
    <row r="5558" spans="1:2" x14ac:dyDescent="0.2">
      <c r="A5558" s="12"/>
      <c r="B5558" s="13"/>
    </row>
    <row r="5559" spans="1:2" x14ac:dyDescent="0.2">
      <c r="A5559" s="12"/>
      <c r="B5559" s="13"/>
    </row>
    <row r="5560" spans="1:2" x14ac:dyDescent="0.2">
      <c r="A5560" s="12"/>
      <c r="B5560" s="13"/>
    </row>
    <row r="5561" spans="1:2" x14ac:dyDescent="0.2">
      <c r="A5561" s="12"/>
      <c r="B5561" s="13"/>
    </row>
    <row r="5562" spans="1:2" x14ac:dyDescent="0.2">
      <c r="A5562" s="12"/>
      <c r="B5562" s="13"/>
    </row>
    <row r="5563" spans="1:2" x14ac:dyDescent="0.2">
      <c r="A5563" s="12"/>
      <c r="B5563" s="13"/>
    </row>
    <row r="5564" spans="1:2" x14ac:dyDescent="0.2">
      <c r="A5564" s="12"/>
      <c r="B5564" s="13"/>
    </row>
    <row r="5565" spans="1:2" x14ac:dyDescent="0.2">
      <c r="A5565" s="12"/>
      <c r="B5565" s="13"/>
    </row>
    <row r="5566" spans="1:2" x14ac:dyDescent="0.2">
      <c r="A5566" s="12"/>
      <c r="B5566" s="13"/>
    </row>
    <row r="5567" spans="1:2" x14ac:dyDescent="0.2">
      <c r="A5567" s="12"/>
      <c r="B5567" s="13"/>
    </row>
    <row r="5568" spans="1:2" x14ac:dyDescent="0.2">
      <c r="A5568" s="12"/>
      <c r="B5568" s="13"/>
    </row>
    <row r="5569" spans="1:2" x14ac:dyDescent="0.2">
      <c r="A5569" s="12"/>
      <c r="B5569" s="13"/>
    </row>
    <row r="5570" spans="1:2" x14ac:dyDescent="0.2">
      <c r="A5570" s="12"/>
      <c r="B5570" s="13"/>
    </row>
    <row r="5571" spans="1:2" x14ac:dyDescent="0.2">
      <c r="A5571" s="12"/>
      <c r="B5571" s="13"/>
    </row>
    <row r="5572" spans="1:2" x14ac:dyDescent="0.2">
      <c r="A5572" s="12"/>
      <c r="B5572" s="13"/>
    </row>
    <row r="5573" spans="1:2" x14ac:dyDescent="0.2">
      <c r="A5573" s="12"/>
      <c r="B5573" s="13"/>
    </row>
    <row r="5574" spans="1:2" x14ac:dyDescent="0.2">
      <c r="A5574" s="12"/>
      <c r="B5574" s="13"/>
    </row>
    <row r="5575" spans="1:2" x14ac:dyDescent="0.2">
      <c r="A5575" s="12"/>
      <c r="B5575" s="13"/>
    </row>
    <row r="5576" spans="1:2" x14ac:dyDescent="0.2">
      <c r="A5576" s="12"/>
      <c r="B5576" s="13"/>
    </row>
    <row r="5577" spans="1:2" x14ac:dyDescent="0.2">
      <c r="A5577" s="12"/>
      <c r="B5577" s="13"/>
    </row>
    <row r="5578" spans="1:2" x14ac:dyDescent="0.2">
      <c r="A5578" s="12"/>
      <c r="B5578" s="13"/>
    </row>
    <row r="5579" spans="1:2" x14ac:dyDescent="0.2">
      <c r="A5579" s="12"/>
      <c r="B5579" s="13"/>
    </row>
    <row r="5580" spans="1:2" x14ac:dyDescent="0.2">
      <c r="A5580" s="12"/>
      <c r="B5580" s="13"/>
    </row>
    <row r="5581" spans="1:2" x14ac:dyDescent="0.2">
      <c r="A5581" s="12"/>
      <c r="B5581" s="13"/>
    </row>
    <row r="5582" spans="1:2" x14ac:dyDescent="0.2">
      <c r="A5582" s="12"/>
      <c r="B5582" s="13"/>
    </row>
    <row r="5583" spans="1:2" x14ac:dyDescent="0.2">
      <c r="A5583" s="12"/>
      <c r="B5583" s="13"/>
    </row>
    <row r="5584" spans="1:2" x14ac:dyDescent="0.2">
      <c r="A5584" s="12"/>
      <c r="B5584" s="13"/>
    </row>
    <row r="5585" spans="1:2" x14ac:dyDescent="0.2">
      <c r="A5585" s="12"/>
      <c r="B5585" s="13"/>
    </row>
    <row r="5586" spans="1:2" x14ac:dyDescent="0.2">
      <c r="A5586" s="12"/>
      <c r="B5586" s="13"/>
    </row>
    <row r="5587" spans="1:2" x14ac:dyDescent="0.2">
      <c r="A5587" s="12"/>
      <c r="B5587" s="13"/>
    </row>
    <row r="5588" spans="1:2" x14ac:dyDescent="0.2">
      <c r="A5588" s="12"/>
      <c r="B5588" s="13"/>
    </row>
    <row r="5589" spans="1:2" x14ac:dyDescent="0.2">
      <c r="A5589" s="12"/>
      <c r="B5589" s="13"/>
    </row>
    <row r="5590" spans="1:2" x14ac:dyDescent="0.2">
      <c r="A5590" s="12"/>
      <c r="B5590" s="13"/>
    </row>
    <row r="5591" spans="1:2" x14ac:dyDescent="0.2">
      <c r="A5591" s="12"/>
      <c r="B5591" s="13"/>
    </row>
    <row r="5592" spans="1:2" x14ac:dyDescent="0.2">
      <c r="A5592" s="12"/>
      <c r="B5592" s="13"/>
    </row>
    <row r="5593" spans="1:2" x14ac:dyDescent="0.2">
      <c r="A5593" s="12"/>
      <c r="B5593" s="13"/>
    </row>
    <row r="5594" spans="1:2" x14ac:dyDescent="0.2">
      <c r="A5594" s="12"/>
      <c r="B5594" s="13"/>
    </row>
    <row r="5595" spans="1:2" x14ac:dyDescent="0.2">
      <c r="A5595" s="12"/>
      <c r="B5595" s="13"/>
    </row>
    <row r="5596" spans="1:2" x14ac:dyDescent="0.2">
      <c r="A5596" s="12"/>
      <c r="B5596" s="13"/>
    </row>
    <row r="5597" spans="1:2" x14ac:dyDescent="0.2">
      <c r="A5597" s="12"/>
      <c r="B5597" s="13"/>
    </row>
    <row r="5598" spans="1:2" x14ac:dyDescent="0.2">
      <c r="A5598" s="12"/>
      <c r="B5598" s="13"/>
    </row>
    <row r="5599" spans="1:2" x14ac:dyDescent="0.2">
      <c r="A5599" s="12"/>
      <c r="B5599" s="13"/>
    </row>
    <row r="5600" spans="1:2" x14ac:dyDescent="0.2">
      <c r="A5600" s="12"/>
      <c r="B5600" s="13"/>
    </row>
    <row r="5601" spans="1:2" x14ac:dyDescent="0.2">
      <c r="A5601" s="12"/>
      <c r="B5601" s="13"/>
    </row>
    <row r="5602" spans="1:2" x14ac:dyDescent="0.2">
      <c r="A5602" s="12"/>
      <c r="B5602" s="13"/>
    </row>
    <row r="5603" spans="1:2" x14ac:dyDescent="0.2">
      <c r="A5603" s="12"/>
      <c r="B5603" s="13"/>
    </row>
    <row r="5604" spans="1:2" x14ac:dyDescent="0.2">
      <c r="A5604" s="12"/>
      <c r="B5604" s="13"/>
    </row>
    <row r="5605" spans="1:2" x14ac:dyDescent="0.2">
      <c r="A5605" s="12"/>
      <c r="B5605" s="13"/>
    </row>
    <row r="5606" spans="1:2" x14ac:dyDescent="0.2">
      <c r="A5606" s="12"/>
      <c r="B5606" s="13"/>
    </row>
    <row r="5607" spans="1:2" x14ac:dyDescent="0.2">
      <c r="A5607" s="12"/>
      <c r="B5607" s="13"/>
    </row>
    <row r="5608" spans="1:2" x14ac:dyDescent="0.2">
      <c r="A5608" s="12"/>
      <c r="B5608" s="13"/>
    </row>
    <row r="5609" spans="1:2" x14ac:dyDescent="0.2">
      <c r="A5609" s="12"/>
      <c r="B5609" s="13"/>
    </row>
    <row r="5610" spans="1:2" x14ac:dyDescent="0.2">
      <c r="A5610" s="12"/>
      <c r="B5610" s="13"/>
    </row>
    <row r="5611" spans="1:2" x14ac:dyDescent="0.2">
      <c r="A5611" s="12"/>
      <c r="B5611" s="13"/>
    </row>
    <row r="5612" spans="1:2" x14ac:dyDescent="0.2">
      <c r="A5612" s="12"/>
      <c r="B5612" s="13"/>
    </row>
    <row r="5613" spans="1:2" x14ac:dyDescent="0.2">
      <c r="A5613" s="12"/>
      <c r="B5613" s="13"/>
    </row>
    <row r="5614" spans="1:2" x14ac:dyDescent="0.2">
      <c r="A5614" s="12"/>
      <c r="B5614" s="13"/>
    </row>
    <row r="5615" spans="1:2" x14ac:dyDescent="0.2">
      <c r="A5615" s="12"/>
      <c r="B5615" s="13"/>
    </row>
    <row r="5616" spans="1:2" x14ac:dyDescent="0.2">
      <c r="A5616" s="12"/>
      <c r="B5616" s="13"/>
    </row>
    <row r="5617" spans="1:2" x14ac:dyDescent="0.2">
      <c r="A5617" s="12"/>
      <c r="B5617" s="13"/>
    </row>
    <row r="5618" spans="1:2" x14ac:dyDescent="0.2">
      <c r="A5618" s="12"/>
      <c r="B5618" s="13"/>
    </row>
    <row r="5619" spans="1:2" x14ac:dyDescent="0.2">
      <c r="A5619" s="12"/>
      <c r="B5619" s="13"/>
    </row>
    <row r="5620" spans="1:2" x14ac:dyDescent="0.2">
      <c r="A5620" s="12"/>
      <c r="B5620" s="13"/>
    </row>
    <row r="5621" spans="1:2" x14ac:dyDescent="0.2">
      <c r="A5621" s="12"/>
      <c r="B5621" s="13"/>
    </row>
    <row r="5622" spans="1:2" x14ac:dyDescent="0.2">
      <c r="A5622" s="12"/>
      <c r="B5622" s="13"/>
    </row>
    <row r="5623" spans="1:2" x14ac:dyDescent="0.2">
      <c r="A5623" s="12"/>
      <c r="B5623" s="13"/>
    </row>
    <row r="5624" spans="1:2" x14ac:dyDescent="0.2">
      <c r="A5624" s="12"/>
      <c r="B5624" s="13"/>
    </row>
    <row r="5625" spans="1:2" x14ac:dyDescent="0.2">
      <c r="A5625" s="12"/>
      <c r="B5625" s="13"/>
    </row>
    <row r="5626" spans="1:2" x14ac:dyDescent="0.2">
      <c r="A5626" s="12"/>
      <c r="B5626" s="13"/>
    </row>
    <row r="5627" spans="1:2" x14ac:dyDescent="0.2">
      <c r="A5627" s="12"/>
      <c r="B5627" s="13"/>
    </row>
    <row r="5628" spans="1:2" x14ac:dyDescent="0.2">
      <c r="A5628" s="12"/>
      <c r="B5628" s="13"/>
    </row>
    <row r="5629" spans="1:2" x14ac:dyDescent="0.2">
      <c r="A5629" s="12"/>
      <c r="B5629" s="13"/>
    </row>
    <row r="5630" spans="1:2" x14ac:dyDescent="0.2">
      <c r="A5630" s="12"/>
      <c r="B5630" s="13"/>
    </row>
    <row r="5631" spans="1:2" x14ac:dyDescent="0.2">
      <c r="A5631" s="12"/>
      <c r="B5631" s="13"/>
    </row>
    <row r="5632" spans="1:2" x14ac:dyDescent="0.2">
      <c r="A5632" s="12"/>
      <c r="B5632" s="13"/>
    </row>
    <row r="5633" spans="1:2" x14ac:dyDescent="0.2">
      <c r="A5633" s="12"/>
      <c r="B5633" s="13"/>
    </row>
    <row r="5634" spans="1:2" x14ac:dyDescent="0.2">
      <c r="A5634" s="12"/>
      <c r="B5634" s="13"/>
    </row>
    <row r="5635" spans="1:2" x14ac:dyDescent="0.2">
      <c r="A5635" s="12"/>
      <c r="B5635" s="13"/>
    </row>
    <row r="5636" spans="1:2" x14ac:dyDescent="0.2">
      <c r="A5636" s="12"/>
      <c r="B5636" s="13"/>
    </row>
    <row r="5637" spans="1:2" x14ac:dyDescent="0.2">
      <c r="A5637" s="12"/>
      <c r="B5637" s="13"/>
    </row>
    <row r="5638" spans="1:2" x14ac:dyDescent="0.2">
      <c r="A5638" s="12"/>
      <c r="B5638" s="13"/>
    </row>
    <row r="5639" spans="1:2" x14ac:dyDescent="0.2">
      <c r="A5639" s="12"/>
      <c r="B5639" s="13"/>
    </row>
    <row r="5640" spans="1:2" x14ac:dyDescent="0.2">
      <c r="A5640" s="12"/>
      <c r="B5640" s="13"/>
    </row>
    <row r="5641" spans="1:2" x14ac:dyDescent="0.2">
      <c r="A5641" s="12"/>
      <c r="B5641" s="13"/>
    </row>
    <row r="5642" spans="1:2" x14ac:dyDescent="0.2">
      <c r="A5642" s="12"/>
      <c r="B5642" s="13"/>
    </row>
    <row r="5643" spans="1:2" x14ac:dyDescent="0.2">
      <c r="A5643" s="12"/>
      <c r="B5643" s="13"/>
    </row>
    <row r="5644" spans="1:2" x14ac:dyDescent="0.2">
      <c r="A5644" s="12"/>
      <c r="B5644" s="13"/>
    </row>
    <row r="5645" spans="1:2" x14ac:dyDescent="0.2">
      <c r="A5645" s="12"/>
      <c r="B5645" s="13"/>
    </row>
    <row r="5646" spans="1:2" x14ac:dyDescent="0.2">
      <c r="A5646" s="12"/>
      <c r="B5646" s="13"/>
    </row>
    <row r="5647" spans="1:2" x14ac:dyDescent="0.2">
      <c r="A5647" s="12"/>
      <c r="B5647" s="13"/>
    </row>
    <row r="5648" spans="1:2" x14ac:dyDescent="0.2">
      <c r="A5648" s="12"/>
      <c r="B5648" s="13"/>
    </row>
    <row r="5649" spans="1:2" x14ac:dyDescent="0.2">
      <c r="A5649" s="12"/>
      <c r="B5649" s="13"/>
    </row>
    <row r="5650" spans="1:2" x14ac:dyDescent="0.2">
      <c r="A5650" s="12"/>
      <c r="B5650" s="13"/>
    </row>
    <row r="5651" spans="1:2" x14ac:dyDescent="0.2">
      <c r="A5651" s="12"/>
      <c r="B5651" s="13"/>
    </row>
    <row r="5652" spans="1:2" x14ac:dyDescent="0.2">
      <c r="A5652" s="12"/>
      <c r="B5652" s="13"/>
    </row>
    <row r="5653" spans="1:2" x14ac:dyDescent="0.2">
      <c r="A5653" s="12"/>
      <c r="B5653" s="13"/>
    </row>
    <row r="5654" spans="1:2" x14ac:dyDescent="0.2">
      <c r="A5654" s="12"/>
      <c r="B5654" s="13"/>
    </row>
    <row r="5655" spans="1:2" x14ac:dyDescent="0.2">
      <c r="A5655" s="12"/>
      <c r="B5655" s="13"/>
    </row>
    <row r="5656" spans="1:2" x14ac:dyDescent="0.2">
      <c r="A5656" s="12"/>
      <c r="B5656" s="13"/>
    </row>
    <row r="5657" spans="1:2" x14ac:dyDescent="0.2">
      <c r="A5657" s="12"/>
      <c r="B5657" s="13"/>
    </row>
    <row r="5658" spans="1:2" x14ac:dyDescent="0.2">
      <c r="A5658" s="12"/>
      <c r="B5658" s="13"/>
    </row>
    <row r="5659" spans="1:2" x14ac:dyDescent="0.2">
      <c r="A5659" s="12"/>
      <c r="B5659" s="13"/>
    </row>
    <row r="5660" spans="1:2" x14ac:dyDescent="0.2">
      <c r="A5660" s="12"/>
      <c r="B5660" s="13"/>
    </row>
    <row r="5661" spans="1:2" x14ac:dyDescent="0.2">
      <c r="A5661" s="12"/>
      <c r="B5661" s="13"/>
    </row>
    <row r="5662" spans="1:2" x14ac:dyDescent="0.2">
      <c r="A5662" s="12"/>
      <c r="B5662" s="13"/>
    </row>
    <row r="5663" spans="1:2" x14ac:dyDescent="0.2">
      <c r="A5663" s="12"/>
      <c r="B5663" s="13"/>
    </row>
    <row r="5664" spans="1:2" x14ac:dyDescent="0.2">
      <c r="A5664" s="12"/>
      <c r="B5664" s="13"/>
    </row>
    <row r="5665" spans="1:2" x14ac:dyDescent="0.2">
      <c r="A5665" s="12"/>
      <c r="B5665" s="13"/>
    </row>
    <row r="5666" spans="1:2" x14ac:dyDescent="0.2">
      <c r="A5666" s="12"/>
      <c r="B5666" s="13"/>
    </row>
    <row r="5667" spans="1:2" x14ac:dyDescent="0.2">
      <c r="A5667" s="12"/>
      <c r="B5667" s="13"/>
    </row>
    <row r="5668" spans="1:2" x14ac:dyDescent="0.2">
      <c r="A5668" s="12"/>
      <c r="B5668" s="13"/>
    </row>
    <row r="5669" spans="1:2" x14ac:dyDescent="0.2">
      <c r="A5669" s="12"/>
      <c r="B5669" s="13"/>
    </row>
    <row r="5670" spans="1:2" x14ac:dyDescent="0.2">
      <c r="A5670" s="12"/>
      <c r="B5670" s="13"/>
    </row>
    <row r="5671" spans="1:2" x14ac:dyDescent="0.2">
      <c r="A5671" s="12"/>
      <c r="B5671" s="13"/>
    </row>
    <row r="5672" spans="1:2" x14ac:dyDescent="0.2">
      <c r="A5672" s="12"/>
      <c r="B5672" s="13"/>
    </row>
    <row r="5673" spans="1:2" x14ac:dyDescent="0.2">
      <c r="A5673" s="12"/>
      <c r="B5673" s="13"/>
    </row>
    <row r="5674" spans="1:2" x14ac:dyDescent="0.2">
      <c r="A5674" s="12"/>
      <c r="B5674" s="13"/>
    </row>
    <row r="5675" spans="1:2" x14ac:dyDescent="0.2">
      <c r="A5675" s="12"/>
      <c r="B5675" s="13"/>
    </row>
    <row r="5676" spans="1:2" x14ac:dyDescent="0.2">
      <c r="A5676" s="12"/>
      <c r="B5676" s="13"/>
    </row>
    <row r="5677" spans="1:2" x14ac:dyDescent="0.2">
      <c r="A5677" s="12"/>
      <c r="B5677" s="13"/>
    </row>
    <row r="5678" spans="1:2" x14ac:dyDescent="0.2">
      <c r="A5678" s="12"/>
      <c r="B5678" s="13"/>
    </row>
    <row r="5679" spans="1:2" x14ac:dyDescent="0.2">
      <c r="A5679" s="12"/>
      <c r="B5679" s="13"/>
    </row>
    <row r="5680" spans="1:2" x14ac:dyDescent="0.2">
      <c r="A5680" s="12"/>
      <c r="B5680" s="13"/>
    </row>
    <row r="5681" spans="1:2" x14ac:dyDescent="0.2">
      <c r="A5681" s="12"/>
      <c r="B5681" s="13"/>
    </row>
    <row r="5682" spans="1:2" x14ac:dyDescent="0.2">
      <c r="A5682" s="12"/>
      <c r="B5682" s="13"/>
    </row>
    <row r="5683" spans="1:2" x14ac:dyDescent="0.2">
      <c r="A5683" s="12"/>
      <c r="B5683" s="13"/>
    </row>
    <row r="5684" spans="1:2" x14ac:dyDescent="0.2">
      <c r="A5684" s="12"/>
      <c r="B5684" s="13"/>
    </row>
    <row r="5685" spans="1:2" x14ac:dyDescent="0.2">
      <c r="A5685" s="12"/>
      <c r="B5685" s="13"/>
    </row>
    <row r="5686" spans="1:2" x14ac:dyDescent="0.2">
      <c r="A5686" s="12"/>
      <c r="B5686" s="13"/>
    </row>
    <row r="5687" spans="1:2" x14ac:dyDescent="0.2">
      <c r="A5687" s="12"/>
      <c r="B5687" s="13"/>
    </row>
    <row r="5688" spans="1:2" x14ac:dyDescent="0.2">
      <c r="A5688" s="12"/>
      <c r="B5688" s="13"/>
    </row>
    <row r="5689" spans="1:2" x14ac:dyDescent="0.2">
      <c r="A5689" s="12"/>
      <c r="B5689" s="13"/>
    </row>
    <row r="5690" spans="1:2" x14ac:dyDescent="0.2">
      <c r="A5690" s="12"/>
      <c r="B5690" s="13"/>
    </row>
    <row r="5691" spans="1:2" x14ac:dyDescent="0.2">
      <c r="A5691" s="12"/>
      <c r="B5691" s="13"/>
    </row>
    <row r="5692" spans="1:2" x14ac:dyDescent="0.2">
      <c r="A5692" s="12"/>
      <c r="B5692" s="13"/>
    </row>
    <row r="5693" spans="1:2" x14ac:dyDescent="0.2">
      <c r="A5693" s="12"/>
      <c r="B5693" s="13"/>
    </row>
    <row r="5694" spans="1:2" x14ac:dyDescent="0.2">
      <c r="A5694" s="12"/>
      <c r="B5694" s="13"/>
    </row>
    <row r="5695" spans="1:2" x14ac:dyDescent="0.2">
      <c r="A5695" s="12"/>
      <c r="B5695" s="13"/>
    </row>
    <row r="5696" spans="1:2" x14ac:dyDescent="0.2">
      <c r="A5696" s="12"/>
      <c r="B5696" s="13"/>
    </row>
    <row r="5697" spans="1:2" x14ac:dyDescent="0.2">
      <c r="A5697" s="12"/>
      <c r="B5697" s="13"/>
    </row>
    <row r="5698" spans="1:2" x14ac:dyDescent="0.2">
      <c r="A5698" s="12"/>
      <c r="B5698" s="13"/>
    </row>
    <row r="5699" spans="1:2" x14ac:dyDescent="0.2">
      <c r="A5699" s="12"/>
      <c r="B5699" s="13"/>
    </row>
    <row r="5700" spans="1:2" x14ac:dyDescent="0.2">
      <c r="A5700" s="12"/>
      <c r="B5700" s="13"/>
    </row>
    <row r="5701" spans="1:2" x14ac:dyDescent="0.2">
      <c r="A5701" s="12"/>
      <c r="B5701" s="13"/>
    </row>
    <row r="5702" spans="1:2" x14ac:dyDescent="0.2">
      <c r="A5702" s="12"/>
      <c r="B5702" s="13"/>
    </row>
    <row r="5703" spans="1:2" x14ac:dyDescent="0.2">
      <c r="A5703" s="12"/>
      <c r="B5703" s="13"/>
    </row>
    <row r="5704" spans="1:2" x14ac:dyDescent="0.2">
      <c r="A5704" s="12"/>
      <c r="B5704" s="13"/>
    </row>
    <row r="5705" spans="1:2" x14ac:dyDescent="0.2">
      <c r="A5705" s="12"/>
      <c r="B5705" s="13"/>
    </row>
    <row r="5706" spans="1:2" x14ac:dyDescent="0.2">
      <c r="A5706" s="12"/>
      <c r="B5706" s="13"/>
    </row>
    <row r="5707" spans="1:2" x14ac:dyDescent="0.2">
      <c r="A5707" s="12"/>
      <c r="B5707" s="13"/>
    </row>
    <row r="5708" spans="1:2" x14ac:dyDescent="0.2">
      <c r="A5708" s="12"/>
      <c r="B5708" s="13"/>
    </row>
    <row r="5709" spans="1:2" x14ac:dyDescent="0.2">
      <c r="A5709" s="12"/>
      <c r="B5709" s="13"/>
    </row>
    <row r="5710" spans="1:2" x14ac:dyDescent="0.2">
      <c r="A5710" s="12"/>
      <c r="B5710" s="13"/>
    </row>
    <row r="5711" spans="1:2" x14ac:dyDescent="0.2">
      <c r="A5711" s="12"/>
      <c r="B5711" s="13"/>
    </row>
    <row r="5712" spans="1:2" x14ac:dyDescent="0.2">
      <c r="A5712" s="12"/>
      <c r="B5712" s="13"/>
    </row>
    <row r="5713" spans="1:2" x14ac:dyDescent="0.2">
      <c r="A5713" s="12"/>
      <c r="B5713" s="13"/>
    </row>
    <row r="5714" spans="1:2" x14ac:dyDescent="0.2">
      <c r="A5714" s="12"/>
      <c r="B5714" s="13"/>
    </row>
    <row r="5715" spans="1:2" x14ac:dyDescent="0.2">
      <c r="A5715" s="12"/>
      <c r="B5715" s="13"/>
    </row>
    <row r="5716" spans="1:2" x14ac:dyDescent="0.2">
      <c r="A5716" s="12"/>
      <c r="B5716" s="13"/>
    </row>
    <row r="5717" spans="1:2" x14ac:dyDescent="0.2">
      <c r="A5717" s="12"/>
      <c r="B5717" s="13"/>
    </row>
    <row r="5718" spans="1:2" x14ac:dyDescent="0.2">
      <c r="A5718" s="12"/>
      <c r="B5718" s="13"/>
    </row>
    <row r="5719" spans="1:2" x14ac:dyDescent="0.2">
      <c r="A5719" s="12"/>
      <c r="B5719" s="13"/>
    </row>
    <row r="5720" spans="1:2" x14ac:dyDescent="0.2">
      <c r="A5720" s="12"/>
      <c r="B5720" s="13"/>
    </row>
    <row r="5721" spans="1:2" x14ac:dyDescent="0.2">
      <c r="A5721" s="12"/>
      <c r="B5721" s="13"/>
    </row>
    <row r="5722" spans="1:2" x14ac:dyDescent="0.2">
      <c r="A5722" s="12"/>
      <c r="B5722" s="13"/>
    </row>
    <row r="5723" spans="1:2" x14ac:dyDescent="0.2">
      <c r="A5723" s="12"/>
      <c r="B5723" s="13"/>
    </row>
    <row r="5724" spans="1:2" x14ac:dyDescent="0.2">
      <c r="A5724" s="12"/>
      <c r="B5724" s="13"/>
    </row>
    <row r="5725" spans="1:2" x14ac:dyDescent="0.2">
      <c r="A5725" s="12"/>
      <c r="B5725" s="13"/>
    </row>
    <row r="5726" spans="1:2" x14ac:dyDescent="0.2">
      <c r="A5726" s="12"/>
      <c r="B5726" s="13"/>
    </row>
    <row r="5727" spans="1:2" x14ac:dyDescent="0.2">
      <c r="A5727" s="12"/>
      <c r="B5727" s="13"/>
    </row>
    <row r="5728" spans="1:2" x14ac:dyDescent="0.2">
      <c r="A5728" s="12"/>
      <c r="B5728" s="13"/>
    </row>
    <row r="5729" spans="1:2" x14ac:dyDescent="0.2">
      <c r="A5729" s="12"/>
      <c r="B5729" s="13"/>
    </row>
    <row r="5730" spans="1:2" x14ac:dyDescent="0.2">
      <c r="A5730" s="12"/>
      <c r="B5730" s="13"/>
    </row>
    <row r="5731" spans="1:2" x14ac:dyDescent="0.2">
      <c r="A5731" s="12"/>
      <c r="B5731" s="13"/>
    </row>
    <row r="5732" spans="1:2" x14ac:dyDescent="0.2">
      <c r="A5732" s="12"/>
      <c r="B5732" s="13"/>
    </row>
    <row r="5733" spans="1:2" x14ac:dyDescent="0.2">
      <c r="A5733" s="12"/>
      <c r="B5733" s="13"/>
    </row>
    <row r="5734" spans="1:2" x14ac:dyDescent="0.2">
      <c r="A5734" s="12"/>
      <c r="B5734" s="13"/>
    </row>
    <row r="5735" spans="1:2" x14ac:dyDescent="0.2">
      <c r="A5735" s="12"/>
      <c r="B5735" s="13"/>
    </row>
    <row r="5736" spans="1:2" x14ac:dyDescent="0.2">
      <c r="A5736" s="12"/>
      <c r="B5736" s="13"/>
    </row>
    <row r="5737" spans="1:2" x14ac:dyDescent="0.2">
      <c r="A5737" s="12"/>
      <c r="B5737" s="13"/>
    </row>
    <row r="5738" spans="1:2" x14ac:dyDescent="0.2">
      <c r="A5738" s="12"/>
      <c r="B5738" s="13"/>
    </row>
    <row r="5739" spans="1:2" x14ac:dyDescent="0.2">
      <c r="A5739" s="12"/>
      <c r="B5739" s="13"/>
    </row>
    <row r="5740" spans="1:2" x14ac:dyDescent="0.2">
      <c r="A5740" s="12"/>
      <c r="B5740" s="13"/>
    </row>
    <row r="5741" spans="1:2" x14ac:dyDescent="0.2">
      <c r="A5741" s="12"/>
      <c r="B5741" s="13"/>
    </row>
    <row r="5742" spans="1:2" x14ac:dyDescent="0.2">
      <c r="A5742" s="12"/>
      <c r="B5742" s="13"/>
    </row>
    <row r="5743" spans="1:2" x14ac:dyDescent="0.2">
      <c r="A5743" s="12"/>
      <c r="B5743" s="13"/>
    </row>
    <row r="5744" spans="1:2" x14ac:dyDescent="0.2">
      <c r="A5744" s="12"/>
      <c r="B5744" s="13"/>
    </row>
    <row r="5745" spans="1:2" x14ac:dyDescent="0.2">
      <c r="A5745" s="12"/>
      <c r="B5745" s="13"/>
    </row>
    <row r="5746" spans="1:2" x14ac:dyDescent="0.2">
      <c r="A5746" s="12"/>
      <c r="B5746" s="13"/>
    </row>
    <row r="5747" spans="1:2" x14ac:dyDescent="0.2">
      <c r="A5747" s="12"/>
      <c r="B5747" s="13"/>
    </row>
    <row r="5748" spans="1:2" x14ac:dyDescent="0.2">
      <c r="A5748" s="12"/>
      <c r="B5748" s="13"/>
    </row>
    <row r="5749" spans="1:2" x14ac:dyDescent="0.2">
      <c r="A5749" s="12"/>
      <c r="B5749" s="13"/>
    </row>
    <row r="5750" spans="1:2" x14ac:dyDescent="0.2">
      <c r="A5750" s="12"/>
      <c r="B5750" s="13"/>
    </row>
    <row r="5751" spans="1:2" x14ac:dyDescent="0.2">
      <c r="A5751" s="12"/>
      <c r="B5751" s="13"/>
    </row>
    <row r="5752" spans="1:2" x14ac:dyDescent="0.2">
      <c r="A5752" s="12"/>
      <c r="B5752" s="13"/>
    </row>
    <row r="5753" spans="1:2" x14ac:dyDescent="0.2">
      <c r="A5753" s="12"/>
      <c r="B5753" s="13"/>
    </row>
    <row r="5754" spans="1:2" x14ac:dyDescent="0.2">
      <c r="A5754" s="12"/>
      <c r="B5754" s="13"/>
    </row>
    <row r="5755" spans="1:2" x14ac:dyDescent="0.2">
      <c r="A5755" s="12"/>
      <c r="B5755" s="13"/>
    </row>
    <row r="5756" spans="1:2" x14ac:dyDescent="0.2">
      <c r="A5756" s="12"/>
      <c r="B5756" s="13"/>
    </row>
    <row r="5757" spans="1:2" x14ac:dyDescent="0.2">
      <c r="A5757" s="12"/>
      <c r="B5757" s="13"/>
    </row>
    <row r="5758" spans="1:2" x14ac:dyDescent="0.2">
      <c r="A5758" s="12"/>
      <c r="B5758" s="13"/>
    </row>
    <row r="5759" spans="1:2" x14ac:dyDescent="0.2">
      <c r="A5759" s="12"/>
      <c r="B5759" s="13"/>
    </row>
    <row r="5760" spans="1:2" x14ac:dyDescent="0.2">
      <c r="A5760" s="12"/>
      <c r="B5760" s="13"/>
    </row>
    <row r="5761" spans="1:2" x14ac:dyDescent="0.2">
      <c r="A5761" s="12"/>
      <c r="B5761" s="13"/>
    </row>
    <row r="5762" spans="1:2" x14ac:dyDescent="0.2">
      <c r="A5762" s="12"/>
      <c r="B5762" s="13"/>
    </row>
    <row r="5763" spans="1:2" x14ac:dyDescent="0.2">
      <c r="A5763" s="12"/>
      <c r="B5763" s="13"/>
    </row>
    <row r="5764" spans="1:2" x14ac:dyDescent="0.2">
      <c r="A5764" s="12"/>
      <c r="B5764" s="13"/>
    </row>
    <row r="5765" spans="1:2" x14ac:dyDescent="0.2">
      <c r="A5765" s="12"/>
      <c r="B5765" s="13"/>
    </row>
    <row r="5766" spans="1:2" x14ac:dyDescent="0.2">
      <c r="A5766" s="12"/>
      <c r="B5766" s="13"/>
    </row>
    <row r="5767" spans="1:2" x14ac:dyDescent="0.2">
      <c r="A5767" s="12"/>
      <c r="B5767" s="13"/>
    </row>
    <row r="5768" spans="1:2" x14ac:dyDescent="0.2">
      <c r="A5768" s="12"/>
      <c r="B5768" s="13"/>
    </row>
    <row r="5769" spans="1:2" x14ac:dyDescent="0.2">
      <c r="A5769" s="12"/>
      <c r="B5769" s="13"/>
    </row>
    <row r="5770" spans="1:2" x14ac:dyDescent="0.2">
      <c r="A5770" s="12"/>
      <c r="B5770" s="13"/>
    </row>
    <row r="5771" spans="1:2" x14ac:dyDescent="0.2">
      <c r="A5771" s="12"/>
      <c r="B5771" s="13"/>
    </row>
    <row r="5772" spans="1:2" x14ac:dyDescent="0.2">
      <c r="A5772" s="12"/>
      <c r="B5772" s="13"/>
    </row>
    <row r="5773" spans="1:2" x14ac:dyDescent="0.2">
      <c r="A5773" s="12"/>
      <c r="B5773" s="13"/>
    </row>
    <row r="5774" spans="1:2" x14ac:dyDescent="0.2">
      <c r="A5774" s="12"/>
      <c r="B5774" s="13"/>
    </row>
    <row r="5775" spans="1:2" x14ac:dyDescent="0.2">
      <c r="A5775" s="12"/>
      <c r="B5775" s="13"/>
    </row>
    <row r="5776" spans="1:2" x14ac:dyDescent="0.2">
      <c r="A5776" s="12"/>
      <c r="B5776" s="13"/>
    </row>
    <row r="5777" spans="1:2" x14ac:dyDescent="0.2">
      <c r="A5777" s="12"/>
      <c r="B5777" s="13"/>
    </row>
    <row r="5778" spans="1:2" x14ac:dyDescent="0.2">
      <c r="A5778" s="12"/>
      <c r="B5778" s="13"/>
    </row>
    <row r="5779" spans="1:2" x14ac:dyDescent="0.2">
      <c r="A5779" s="12"/>
      <c r="B5779" s="13"/>
    </row>
    <row r="5780" spans="1:2" x14ac:dyDescent="0.2">
      <c r="A5780" s="12"/>
      <c r="B5780" s="13"/>
    </row>
    <row r="5781" spans="1:2" x14ac:dyDescent="0.2">
      <c r="A5781" s="12"/>
      <c r="B5781" s="13"/>
    </row>
    <row r="5782" spans="1:2" x14ac:dyDescent="0.2">
      <c r="A5782" s="12"/>
      <c r="B5782" s="13"/>
    </row>
    <row r="5783" spans="1:2" x14ac:dyDescent="0.2">
      <c r="A5783" s="12"/>
      <c r="B5783" s="13"/>
    </row>
    <row r="5784" spans="1:2" x14ac:dyDescent="0.2">
      <c r="A5784" s="12"/>
      <c r="B5784" s="13"/>
    </row>
    <row r="5785" spans="1:2" x14ac:dyDescent="0.2">
      <c r="A5785" s="12"/>
      <c r="B5785" s="13"/>
    </row>
    <row r="5786" spans="1:2" x14ac:dyDescent="0.2">
      <c r="A5786" s="12"/>
      <c r="B5786" s="13"/>
    </row>
    <row r="5787" spans="1:2" x14ac:dyDescent="0.2">
      <c r="A5787" s="12"/>
      <c r="B5787" s="13"/>
    </row>
    <row r="5788" spans="1:2" x14ac:dyDescent="0.2">
      <c r="A5788" s="12"/>
      <c r="B5788" s="13"/>
    </row>
    <row r="5789" spans="1:2" x14ac:dyDescent="0.2">
      <c r="A5789" s="12"/>
      <c r="B5789" s="13"/>
    </row>
    <row r="5790" spans="1:2" x14ac:dyDescent="0.2">
      <c r="A5790" s="12"/>
      <c r="B5790" s="13"/>
    </row>
    <row r="5791" spans="1:2" x14ac:dyDescent="0.2">
      <c r="A5791" s="12"/>
      <c r="B5791" s="13"/>
    </row>
    <row r="5792" spans="1:2" x14ac:dyDescent="0.2">
      <c r="A5792" s="12"/>
      <c r="B5792" s="13"/>
    </row>
    <row r="5793" spans="1:2" x14ac:dyDescent="0.2">
      <c r="A5793" s="12"/>
      <c r="B5793" s="13"/>
    </row>
    <row r="5794" spans="1:2" x14ac:dyDescent="0.2">
      <c r="A5794" s="12"/>
      <c r="B5794" s="13"/>
    </row>
    <row r="5795" spans="1:2" x14ac:dyDescent="0.2">
      <c r="A5795" s="12"/>
      <c r="B5795" s="13"/>
    </row>
    <row r="5796" spans="1:2" x14ac:dyDescent="0.2">
      <c r="A5796" s="12"/>
      <c r="B5796" s="13"/>
    </row>
    <row r="5797" spans="1:2" x14ac:dyDescent="0.2">
      <c r="A5797" s="12"/>
      <c r="B5797" s="13"/>
    </row>
    <row r="5798" spans="1:2" x14ac:dyDescent="0.2">
      <c r="A5798" s="12"/>
      <c r="B5798" s="13"/>
    </row>
    <row r="5799" spans="1:2" x14ac:dyDescent="0.2">
      <c r="A5799" s="12"/>
      <c r="B5799" s="13"/>
    </row>
    <row r="5800" spans="1:2" x14ac:dyDescent="0.2">
      <c r="A5800" s="12"/>
      <c r="B5800" s="13"/>
    </row>
    <row r="5801" spans="1:2" x14ac:dyDescent="0.2">
      <c r="A5801" s="12"/>
      <c r="B5801" s="13"/>
    </row>
    <row r="5802" spans="1:2" x14ac:dyDescent="0.2">
      <c r="A5802" s="12"/>
      <c r="B5802" s="13"/>
    </row>
    <row r="5803" spans="1:2" x14ac:dyDescent="0.2">
      <c r="A5803" s="12"/>
      <c r="B5803" s="13"/>
    </row>
    <row r="5804" spans="1:2" x14ac:dyDescent="0.2">
      <c r="A5804" s="12"/>
      <c r="B5804" s="13"/>
    </row>
    <row r="5805" spans="1:2" x14ac:dyDescent="0.2">
      <c r="A5805" s="12"/>
      <c r="B5805" s="13"/>
    </row>
    <row r="5806" spans="1:2" x14ac:dyDescent="0.2">
      <c r="A5806" s="12"/>
      <c r="B5806" s="13"/>
    </row>
    <row r="5807" spans="1:2" x14ac:dyDescent="0.2">
      <c r="A5807" s="12"/>
      <c r="B5807" s="13"/>
    </row>
    <row r="5808" spans="1:2" x14ac:dyDescent="0.2">
      <c r="A5808" s="12"/>
      <c r="B5808" s="13"/>
    </row>
    <row r="5809" spans="1:2" x14ac:dyDescent="0.2">
      <c r="A5809" s="12"/>
      <c r="B5809" s="13"/>
    </row>
    <row r="5810" spans="1:2" x14ac:dyDescent="0.2">
      <c r="A5810" s="12"/>
      <c r="B5810" s="13"/>
    </row>
    <row r="5811" spans="1:2" x14ac:dyDescent="0.2">
      <c r="A5811" s="12"/>
      <c r="B5811" s="13"/>
    </row>
    <row r="5812" spans="1:2" x14ac:dyDescent="0.2">
      <c r="A5812" s="12"/>
      <c r="B5812" s="13"/>
    </row>
    <row r="5813" spans="1:2" x14ac:dyDescent="0.2">
      <c r="A5813" s="12"/>
      <c r="B5813" s="13"/>
    </row>
    <row r="5814" spans="1:2" x14ac:dyDescent="0.2">
      <c r="A5814" s="12"/>
      <c r="B5814" s="13"/>
    </row>
    <row r="5815" spans="1:2" x14ac:dyDescent="0.2">
      <c r="A5815" s="12"/>
      <c r="B5815" s="13"/>
    </row>
    <row r="5816" spans="1:2" x14ac:dyDescent="0.2">
      <c r="A5816" s="12"/>
      <c r="B5816" s="13"/>
    </row>
    <row r="5817" spans="1:2" x14ac:dyDescent="0.2">
      <c r="A5817" s="12"/>
      <c r="B5817" s="13"/>
    </row>
    <row r="5818" spans="1:2" x14ac:dyDescent="0.2">
      <c r="A5818" s="12"/>
      <c r="B5818" s="13"/>
    </row>
    <row r="5819" spans="1:2" x14ac:dyDescent="0.2">
      <c r="A5819" s="12"/>
      <c r="B5819" s="13"/>
    </row>
    <row r="5820" spans="1:2" x14ac:dyDescent="0.2">
      <c r="A5820" s="12"/>
      <c r="B5820" s="13"/>
    </row>
    <row r="5821" spans="1:2" x14ac:dyDescent="0.2">
      <c r="A5821" s="12"/>
      <c r="B5821" s="13"/>
    </row>
    <row r="5822" spans="1:2" x14ac:dyDescent="0.2">
      <c r="A5822" s="12"/>
      <c r="B5822" s="13"/>
    </row>
    <row r="5823" spans="1:2" x14ac:dyDescent="0.2">
      <c r="A5823" s="12"/>
      <c r="B5823" s="13"/>
    </row>
    <row r="5824" spans="1:2" x14ac:dyDescent="0.2">
      <c r="A5824" s="12"/>
      <c r="B5824" s="13"/>
    </row>
    <row r="5825" spans="1:2" x14ac:dyDescent="0.2">
      <c r="A5825" s="12"/>
      <c r="B5825" s="13"/>
    </row>
    <row r="5826" spans="1:2" x14ac:dyDescent="0.2">
      <c r="A5826" s="12"/>
      <c r="B5826" s="13"/>
    </row>
    <row r="5827" spans="1:2" x14ac:dyDescent="0.2">
      <c r="A5827" s="12"/>
      <c r="B5827" s="13"/>
    </row>
    <row r="5828" spans="1:2" x14ac:dyDescent="0.2">
      <c r="A5828" s="12"/>
      <c r="B5828" s="13"/>
    </row>
    <row r="5829" spans="1:2" x14ac:dyDescent="0.2">
      <c r="A5829" s="12"/>
      <c r="B5829" s="13"/>
    </row>
    <row r="5830" spans="1:2" x14ac:dyDescent="0.2">
      <c r="A5830" s="12"/>
      <c r="B5830" s="13"/>
    </row>
    <row r="5831" spans="1:2" x14ac:dyDescent="0.2">
      <c r="A5831" s="12"/>
      <c r="B5831" s="13"/>
    </row>
    <row r="5832" spans="1:2" x14ac:dyDescent="0.2">
      <c r="A5832" s="12"/>
      <c r="B5832" s="13"/>
    </row>
    <row r="5833" spans="1:2" x14ac:dyDescent="0.2">
      <c r="A5833" s="12"/>
      <c r="B5833" s="13"/>
    </row>
    <row r="5834" spans="1:2" x14ac:dyDescent="0.2">
      <c r="A5834" s="12"/>
      <c r="B5834" s="13"/>
    </row>
    <row r="5835" spans="1:2" x14ac:dyDescent="0.2">
      <c r="A5835" s="12"/>
      <c r="B5835" s="13"/>
    </row>
    <row r="5836" spans="1:2" x14ac:dyDescent="0.2">
      <c r="A5836" s="12"/>
      <c r="B5836" s="13"/>
    </row>
    <row r="5837" spans="1:2" x14ac:dyDescent="0.2">
      <c r="A5837" s="12"/>
      <c r="B5837" s="13"/>
    </row>
    <row r="5838" spans="1:2" x14ac:dyDescent="0.2">
      <c r="A5838" s="12"/>
      <c r="B5838" s="13"/>
    </row>
    <row r="5839" spans="1:2" x14ac:dyDescent="0.2">
      <c r="A5839" s="12"/>
      <c r="B5839" s="13"/>
    </row>
    <row r="5840" spans="1:2" x14ac:dyDescent="0.2">
      <c r="A5840" s="12"/>
      <c r="B5840" s="13"/>
    </row>
    <row r="5841" spans="1:2" x14ac:dyDescent="0.2">
      <c r="A5841" s="12"/>
      <c r="B5841" s="13"/>
    </row>
    <row r="5842" spans="1:2" x14ac:dyDescent="0.2">
      <c r="A5842" s="12"/>
      <c r="B5842" s="13"/>
    </row>
    <row r="5843" spans="1:2" x14ac:dyDescent="0.2">
      <c r="A5843" s="12"/>
      <c r="B5843" s="13"/>
    </row>
    <row r="5844" spans="1:2" x14ac:dyDescent="0.2">
      <c r="A5844" s="12"/>
      <c r="B5844" s="13"/>
    </row>
    <row r="5845" spans="1:2" x14ac:dyDescent="0.2">
      <c r="A5845" s="12"/>
      <c r="B5845" s="13"/>
    </row>
    <row r="5846" spans="1:2" x14ac:dyDescent="0.2">
      <c r="A5846" s="12"/>
      <c r="B5846" s="13"/>
    </row>
    <row r="5847" spans="1:2" x14ac:dyDescent="0.2">
      <c r="A5847" s="12"/>
      <c r="B5847" s="13"/>
    </row>
    <row r="5848" spans="1:2" x14ac:dyDescent="0.2">
      <c r="A5848" s="12"/>
      <c r="B5848" s="13"/>
    </row>
    <row r="5849" spans="1:2" x14ac:dyDescent="0.2">
      <c r="A5849" s="12"/>
      <c r="B5849" s="13"/>
    </row>
    <row r="5850" spans="1:2" x14ac:dyDescent="0.2">
      <c r="A5850" s="12"/>
      <c r="B5850" s="13"/>
    </row>
    <row r="5851" spans="1:2" x14ac:dyDescent="0.2">
      <c r="A5851" s="12"/>
      <c r="B5851" s="13"/>
    </row>
    <row r="5852" spans="1:2" x14ac:dyDescent="0.2">
      <c r="A5852" s="12"/>
      <c r="B5852" s="13"/>
    </row>
    <row r="5853" spans="1:2" x14ac:dyDescent="0.2">
      <c r="A5853" s="12"/>
      <c r="B5853" s="13"/>
    </row>
    <row r="5854" spans="1:2" x14ac:dyDescent="0.2">
      <c r="A5854" s="12"/>
      <c r="B5854" s="13"/>
    </row>
    <row r="5855" spans="1:2" x14ac:dyDescent="0.2">
      <c r="A5855" s="12"/>
      <c r="B5855" s="13"/>
    </row>
    <row r="5856" spans="1:2" x14ac:dyDescent="0.2">
      <c r="A5856" s="12"/>
      <c r="B5856" s="13"/>
    </row>
    <row r="5857" spans="1:2" x14ac:dyDescent="0.2">
      <c r="A5857" s="12"/>
      <c r="B5857" s="13"/>
    </row>
    <row r="5858" spans="1:2" x14ac:dyDescent="0.2">
      <c r="A5858" s="12"/>
      <c r="B5858" s="13"/>
    </row>
    <row r="5859" spans="1:2" x14ac:dyDescent="0.2">
      <c r="A5859" s="12"/>
      <c r="B5859" s="13"/>
    </row>
    <row r="5860" spans="1:2" x14ac:dyDescent="0.2">
      <c r="A5860" s="12"/>
      <c r="B5860" s="13"/>
    </row>
    <row r="5861" spans="1:2" x14ac:dyDescent="0.2">
      <c r="A5861" s="12"/>
      <c r="B5861" s="13"/>
    </row>
    <row r="5862" spans="1:2" x14ac:dyDescent="0.2">
      <c r="A5862" s="12"/>
      <c r="B5862" s="13"/>
    </row>
    <row r="5863" spans="1:2" x14ac:dyDescent="0.2">
      <c r="A5863" s="12"/>
      <c r="B5863" s="13"/>
    </row>
    <row r="5864" spans="1:2" x14ac:dyDescent="0.2">
      <c r="A5864" s="12"/>
      <c r="B5864" s="13"/>
    </row>
    <row r="5865" spans="1:2" x14ac:dyDescent="0.2">
      <c r="A5865" s="12"/>
      <c r="B5865" s="13"/>
    </row>
    <row r="5866" spans="1:2" x14ac:dyDescent="0.2">
      <c r="A5866" s="12"/>
      <c r="B5866" s="13"/>
    </row>
    <row r="5867" spans="1:2" x14ac:dyDescent="0.2">
      <c r="A5867" s="12"/>
      <c r="B5867" s="13"/>
    </row>
    <row r="5868" spans="1:2" x14ac:dyDescent="0.2">
      <c r="A5868" s="12"/>
      <c r="B5868" s="13"/>
    </row>
    <row r="5869" spans="1:2" x14ac:dyDescent="0.2">
      <c r="A5869" s="12"/>
      <c r="B5869" s="13"/>
    </row>
    <row r="5870" spans="1:2" x14ac:dyDescent="0.2">
      <c r="A5870" s="12"/>
      <c r="B5870" s="13"/>
    </row>
    <row r="5871" spans="1:2" x14ac:dyDescent="0.2">
      <c r="A5871" s="12"/>
      <c r="B5871" s="13"/>
    </row>
    <row r="5872" spans="1:2" x14ac:dyDescent="0.2">
      <c r="A5872" s="12"/>
      <c r="B5872" s="13"/>
    </row>
    <row r="5873" spans="1:2" x14ac:dyDescent="0.2">
      <c r="A5873" s="12"/>
      <c r="B5873" s="13"/>
    </row>
    <row r="5874" spans="1:2" x14ac:dyDescent="0.2">
      <c r="A5874" s="12"/>
      <c r="B5874" s="13"/>
    </row>
    <row r="5875" spans="1:2" x14ac:dyDescent="0.2">
      <c r="A5875" s="12"/>
      <c r="B5875" s="13"/>
    </row>
    <row r="5876" spans="1:2" x14ac:dyDescent="0.2">
      <c r="A5876" s="12"/>
      <c r="B5876" s="13"/>
    </row>
    <row r="5877" spans="1:2" x14ac:dyDescent="0.2">
      <c r="A5877" s="12"/>
      <c r="B5877" s="13"/>
    </row>
    <row r="5878" spans="1:2" x14ac:dyDescent="0.2">
      <c r="A5878" s="12"/>
      <c r="B5878" s="13"/>
    </row>
    <row r="5879" spans="1:2" x14ac:dyDescent="0.2">
      <c r="A5879" s="12"/>
      <c r="B5879" s="13"/>
    </row>
    <row r="5880" spans="1:2" x14ac:dyDescent="0.2">
      <c r="A5880" s="12"/>
      <c r="B5880" s="13"/>
    </row>
    <row r="5881" spans="1:2" x14ac:dyDescent="0.2">
      <c r="A5881" s="12"/>
      <c r="B5881" s="13"/>
    </row>
    <row r="5882" spans="1:2" x14ac:dyDescent="0.2">
      <c r="A5882" s="12"/>
      <c r="B5882" s="13"/>
    </row>
    <row r="5883" spans="1:2" x14ac:dyDescent="0.2">
      <c r="A5883" s="12"/>
      <c r="B5883" s="13"/>
    </row>
    <row r="5884" spans="1:2" x14ac:dyDescent="0.2">
      <c r="A5884" s="12"/>
      <c r="B5884" s="13"/>
    </row>
    <row r="5885" spans="1:2" x14ac:dyDescent="0.2">
      <c r="A5885" s="12"/>
      <c r="B5885" s="13"/>
    </row>
    <row r="5886" spans="1:2" x14ac:dyDescent="0.2">
      <c r="A5886" s="12"/>
      <c r="B5886" s="13"/>
    </row>
    <row r="5887" spans="1:2" x14ac:dyDescent="0.2">
      <c r="A5887" s="12"/>
      <c r="B5887" s="13"/>
    </row>
    <row r="5888" spans="1:2" x14ac:dyDescent="0.2">
      <c r="A5888" s="12"/>
      <c r="B5888" s="13"/>
    </row>
    <row r="5889" spans="1:2" x14ac:dyDescent="0.2">
      <c r="A5889" s="12"/>
      <c r="B5889" s="13"/>
    </row>
    <row r="5890" spans="1:2" x14ac:dyDescent="0.2">
      <c r="A5890" s="12"/>
      <c r="B5890" s="13"/>
    </row>
    <row r="5891" spans="1:2" x14ac:dyDescent="0.2">
      <c r="A5891" s="12"/>
      <c r="B5891" s="13"/>
    </row>
    <row r="5892" spans="1:2" x14ac:dyDescent="0.2">
      <c r="A5892" s="12"/>
      <c r="B5892" s="13"/>
    </row>
    <row r="5893" spans="1:2" x14ac:dyDescent="0.2">
      <c r="A5893" s="12"/>
      <c r="B5893" s="13"/>
    </row>
    <row r="5894" spans="1:2" x14ac:dyDescent="0.2">
      <c r="A5894" s="12"/>
      <c r="B5894" s="13"/>
    </row>
    <row r="5895" spans="1:2" x14ac:dyDescent="0.2">
      <c r="A5895" s="12"/>
      <c r="B5895" s="13"/>
    </row>
    <row r="5896" spans="1:2" x14ac:dyDescent="0.2">
      <c r="A5896" s="12"/>
      <c r="B5896" s="13"/>
    </row>
    <row r="5897" spans="1:2" x14ac:dyDescent="0.2">
      <c r="A5897" s="12"/>
      <c r="B5897" s="13"/>
    </row>
    <row r="5898" spans="1:2" x14ac:dyDescent="0.2">
      <c r="A5898" s="12"/>
      <c r="B5898" s="13"/>
    </row>
    <row r="5899" spans="1:2" x14ac:dyDescent="0.2">
      <c r="A5899" s="12"/>
      <c r="B5899" s="13"/>
    </row>
    <row r="5900" spans="1:2" x14ac:dyDescent="0.2">
      <c r="A5900" s="12"/>
      <c r="B5900" s="13"/>
    </row>
    <row r="5901" spans="1:2" x14ac:dyDescent="0.2">
      <c r="A5901" s="12"/>
      <c r="B5901" s="13"/>
    </row>
    <row r="5902" spans="1:2" x14ac:dyDescent="0.2">
      <c r="A5902" s="12"/>
      <c r="B5902" s="13"/>
    </row>
    <row r="5903" spans="1:2" x14ac:dyDescent="0.2">
      <c r="A5903" s="12"/>
      <c r="B5903" s="13"/>
    </row>
    <row r="5904" spans="1:2" x14ac:dyDescent="0.2">
      <c r="A5904" s="12"/>
      <c r="B5904" s="13"/>
    </row>
    <row r="5905" spans="1:2" x14ac:dyDescent="0.2">
      <c r="A5905" s="12"/>
      <c r="B5905" s="13"/>
    </row>
    <row r="5906" spans="1:2" x14ac:dyDescent="0.2">
      <c r="A5906" s="12"/>
      <c r="B5906" s="13"/>
    </row>
    <row r="5907" spans="1:2" x14ac:dyDescent="0.2">
      <c r="A5907" s="12"/>
      <c r="B5907" s="13"/>
    </row>
    <row r="5908" spans="1:2" x14ac:dyDescent="0.2">
      <c r="A5908" s="12"/>
      <c r="B5908" s="13"/>
    </row>
    <row r="5909" spans="1:2" x14ac:dyDescent="0.2">
      <c r="A5909" s="12"/>
      <c r="B5909" s="13"/>
    </row>
    <row r="5910" spans="1:2" x14ac:dyDescent="0.2">
      <c r="A5910" s="12"/>
      <c r="B5910" s="13"/>
    </row>
    <row r="5911" spans="1:2" x14ac:dyDescent="0.2">
      <c r="A5911" s="12"/>
      <c r="B5911" s="13"/>
    </row>
    <row r="5912" spans="1:2" x14ac:dyDescent="0.2">
      <c r="A5912" s="12"/>
      <c r="B5912" s="13"/>
    </row>
    <row r="5913" spans="1:2" x14ac:dyDescent="0.2">
      <c r="A5913" s="12"/>
      <c r="B5913" s="13"/>
    </row>
    <row r="5914" spans="1:2" x14ac:dyDescent="0.2">
      <c r="A5914" s="12"/>
      <c r="B5914" s="13"/>
    </row>
    <row r="5915" spans="1:2" x14ac:dyDescent="0.2">
      <c r="A5915" s="12"/>
      <c r="B5915" s="13"/>
    </row>
    <row r="5916" spans="1:2" x14ac:dyDescent="0.2">
      <c r="A5916" s="12"/>
      <c r="B5916" s="13"/>
    </row>
    <row r="5917" spans="1:2" x14ac:dyDescent="0.2">
      <c r="A5917" s="12"/>
      <c r="B5917" s="13"/>
    </row>
    <row r="5918" spans="1:2" x14ac:dyDescent="0.2">
      <c r="A5918" s="12"/>
      <c r="B5918" s="13"/>
    </row>
    <row r="5919" spans="1:2" x14ac:dyDescent="0.2">
      <c r="A5919" s="12"/>
      <c r="B5919" s="13"/>
    </row>
    <row r="5920" spans="1:2" x14ac:dyDescent="0.2">
      <c r="A5920" s="12"/>
      <c r="B5920" s="13"/>
    </row>
    <row r="5921" spans="1:2" x14ac:dyDescent="0.2">
      <c r="A5921" s="12"/>
      <c r="B5921" s="13"/>
    </row>
    <row r="5922" spans="1:2" x14ac:dyDescent="0.2">
      <c r="A5922" s="12"/>
      <c r="B5922" s="13"/>
    </row>
    <row r="5923" spans="1:2" x14ac:dyDescent="0.2">
      <c r="A5923" s="12"/>
      <c r="B5923" s="13"/>
    </row>
    <row r="5924" spans="1:2" x14ac:dyDescent="0.2">
      <c r="A5924" s="12"/>
      <c r="B5924" s="13"/>
    </row>
    <row r="5925" spans="1:2" x14ac:dyDescent="0.2">
      <c r="A5925" s="12"/>
      <c r="B5925" s="13"/>
    </row>
    <row r="5926" spans="1:2" x14ac:dyDescent="0.2">
      <c r="A5926" s="12"/>
      <c r="B5926" s="13"/>
    </row>
    <row r="5927" spans="1:2" x14ac:dyDescent="0.2">
      <c r="A5927" s="12"/>
      <c r="B5927" s="13"/>
    </row>
    <row r="5928" spans="1:2" x14ac:dyDescent="0.2">
      <c r="A5928" s="12"/>
      <c r="B5928" s="13"/>
    </row>
    <row r="5929" spans="1:2" x14ac:dyDescent="0.2">
      <c r="A5929" s="12"/>
      <c r="B5929" s="13"/>
    </row>
    <row r="5930" spans="1:2" x14ac:dyDescent="0.2">
      <c r="A5930" s="12"/>
      <c r="B5930" s="13"/>
    </row>
    <row r="5931" spans="1:2" x14ac:dyDescent="0.2">
      <c r="A5931" s="12"/>
      <c r="B5931" s="13"/>
    </row>
    <row r="5932" spans="1:2" x14ac:dyDescent="0.2">
      <c r="A5932" s="12"/>
      <c r="B5932" s="13"/>
    </row>
    <row r="5933" spans="1:2" x14ac:dyDescent="0.2">
      <c r="A5933" s="12"/>
      <c r="B5933" s="13"/>
    </row>
    <row r="5934" spans="1:2" x14ac:dyDescent="0.2">
      <c r="A5934" s="12"/>
      <c r="B5934" s="13"/>
    </row>
    <row r="5935" spans="1:2" x14ac:dyDescent="0.2">
      <c r="A5935" s="12"/>
      <c r="B5935" s="13"/>
    </row>
    <row r="5936" spans="1:2" x14ac:dyDescent="0.2">
      <c r="A5936" s="12"/>
      <c r="B5936" s="13"/>
    </row>
    <row r="5937" spans="1:2" x14ac:dyDescent="0.2">
      <c r="A5937" s="12"/>
      <c r="B5937" s="13"/>
    </row>
    <row r="5938" spans="1:2" x14ac:dyDescent="0.2">
      <c r="A5938" s="12"/>
      <c r="B5938" s="13"/>
    </row>
    <row r="5939" spans="1:2" x14ac:dyDescent="0.2">
      <c r="A5939" s="12"/>
      <c r="B5939" s="13"/>
    </row>
    <row r="5940" spans="1:2" x14ac:dyDescent="0.2">
      <c r="A5940" s="12"/>
      <c r="B5940" s="13"/>
    </row>
    <row r="5941" spans="1:2" x14ac:dyDescent="0.2">
      <c r="A5941" s="12"/>
      <c r="B5941" s="13"/>
    </row>
    <row r="5942" spans="1:2" x14ac:dyDescent="0.2">
      <c r="A5942" s="12"/>
      <c r="B5942" s="13"/>
    </row>
    <row r="5943" spans="1:2" x14ac:dyDescent="0.2">
      <c r="A5943" s="12"/>
      <c r="B5943" s="13"/>
    </row>
    <row r="5944" spans="1:2" x14ac:dyDescent="0.2">
      <c r="A5944" s="12"/>
      <c r="B5944" s="13"/>
    </row>
    <row r="5945" spans="1:2" x14ac:dyDescent="0.2">
      <c r="A5945" s="12"/>
      <c r="B5945" s="13"/>
    </row>
    <row r="5946" spans="1:2" x14ac:dyDescent="0.2">
      <c r="A5946" s="12"/>
      <c r="B5946" s="13"/>
    </row>
    <row r="5947" spans="1:2" x14ac:dyDescent="0.2">
      <c r="A5947" s="12"/>
      <c r="B5947" s="13"/>
    </row>
    <row r="5948" spans="1:2" x14ac:dyDescent="0.2">
      <c r="A5948" s="12"/>
      <c r="B5948" s="13"/>
    </row>
    <row r="5949" spans="1:2" x14ac:dyDescent="0.2">
      <c r="A5949" s="12"/>
      <c r="B5949" s="13"/>
    </row>
    <row r="5950" spans="1:2" x14ac:dyDescent="0.2">
      <c r="A5950" s="12"/>
      <c r="B5950" s="13"/>
    </row>
    <row r="5951" spans="1:2" x14ac:dyDescent="0.2">
      <c r="A5951" s="12"/>
      <c r="B5951" s="13"/>
    </row>
    <row r="5952" spans="1:2" x14ac:dyDescent="0.2">
      <c r="A5952" s="12"/>
      <c r="B5952" s="13"/>
    </row>
    <row r="5953" spans="1:2" x14ac:dyDescent="0.2">
      <c r="A5953" s="12"/>
      <c r="B5953" s="13"/>
    </row>
    <row r="5954" spans="1:2" x14ac:dyDescent="0.2">
      <c r="A5954" s="12"/>
      <c r="B5954" s="13"/>
    </row>
    <row r="5955" spans="1:2" x14ac:dyDescent="0.2">
      <c r="A5955" s="12"/>
      <c r="B5955" s="13"/>
    </row>
    <row r="5956" spans="1:2" x14ac:dyDescent="0.2">
      <c r="A5956" s="12"/>
      <c r="B5956" s="13"/>
    </row>
    <row r="5957" spans="1:2" x14ac:dyDescent="0.2">
      <c r="A5957" s="12"/>
      <c r="B5957" s="13"/>
    </row>
    <row r="5958" spans="1:2" x14ac:dyDescent="0.2">
      <c r="A5958" s="12"/>
      <c r="B5958" s="13"/>
    </row>
    <row r="5959" spans="1:2" x14ac:dyDescent="0.2">
      <c r="A5959" s="12"/>
      <c r="B5959" s="13"/>
    </row>
    <row r="5960" spans="1:2" x14ac:dyDescent="0.2">
      <c r="A5960" s="12"/>
      <c r="B5960" s="13"/>
    </row>
    <row r="5961" spans="1:2" x14ac:dyDescent="0.2">
      <c r="A5961" s="12"/>
      <c r="B5961" s="13"/>
    </row>
    <row r="5962" spans="1:2" x14ac:dyDescent="0.2">
      <c r="A5962" s="12"/>
      <c r="B5962" s="13"/>
    </row>
    <row r="5963" spans="1:2" x14ac:dyDescent="0.2">
      <c r="A5963" s="12"/>
      <c r="B5963" s="13"/>
    </row>
    <row r="5964" spans="1:2" x14ac:dyDescent="0.2">
      <c r="A5964" s="12"/>
      <c r="B5964" s="13"/>
    </row>
    <row r="5965" spans="1:2" x14ac:dyDescent="0.2">
      <c r="A5965" s="12"/>
      <c r="B5965" s="13"/>
    </row>
    <row r="5966" spans="1:2" x14ac:dyDescent="0.2">
      <c r="A5966" s="12"/>
      <c r="B5966" s="13"/>
    </row>
    <row r="5967" spans="1:2" x14ac:dyDescent="0.2">
      <c r="A5967" s="12"/>
      <c r="B5967" s="13"/>
    </row>
    <row r="5968" spans="1:2" x14ac:dyDescent="0.2">
      <c r="A5968" s="12"/>
      <c r="B5968" s="13"/>
    </row>
    <row r="5969" spans="1:2" x14ac:dyDescent="0.2">
      <c r="A5969" s="12"/>
      <c r="B5969" s="13"/>
    </row>
    <row r="5970" spans="1:2" x14ac:dyDescent="0.2">
      <c r="A5970" s="12"/>
      <c r="B5970" s="13"/>
    </row>
    <row r="5971" spans="1:2" x14ac:dyDescent="0.2">
      <c r="A5971" s="12"/>
      <c r="B5971" s="13"/>
    </row>
    <row r="5972" spans="1:2" x14ac:dyDescent="0.2">
      <c r="A5972" s="12"/>
      <c r="B5972" s="13"/>
    </row>
    <row r="5973" spans="1:2" x14ac:dyDescent="0.2">
      <c r="A5973" s="12"/>
      <c r="B5973" s="13"/>
    </row>
    <row r="5974" spans="1:2" x14ac:dyDescent="0.2">
      <c r="A5974" s="12"/>
      <c r="B5974" s="13"/>
    </row>
    <row r="5975" spans="1:2" x14ac:dyDescent="0.2">
      <c r="A5975" s="12"/>
      <c r="B5975" s="13"/>
    </row>
    <row r="5976" spans="1:2" x14ac:dyDescent="0.2">
      <c r="A5976" s="12"/>
      <c r="B5976" s="13"/>
    </row>
    <row r="5977" spans="1:2" x14ac:dyDescent="0.2">
      <c r="A5977" s="12"/>
      <c r="B5977" s="13"/>
    </row>
    <row r="5978" spans="1:2" x14ac:dyDescent="0.2">
      <c r="A5978" s="12"/>
      <c r="B5978" s="13"/>
    </row>
    <row r="5979" spans="1:2" x14ac:dyDescent="0.2">
      <c r="A5979" s="12"/>
      <c r="B5979" s="13"/>
    </row>
    <row r="5980" spans="1:2" x14ac:dyDescent="0.2">
      <c r="A5980" s="12"/>
      <c r="B5980" s="13"/>
    </row>
    <row r="5981" spans="1:2" x14ac:dyDescent="0.2">
      <c r="A5981" s="12"/>
      <c r="B5981" s="13"/>
    </row>
    <row r="5982" spans="1:2" x14ac:dyDescent="0.2">
      <c r="A5982" s="12"/>
      <c r="B5982" s="13"/>
    </row>
    <row r="5983" spans="1:2" x14ac:dyDescent="0.2">
      <c r="A5983" s="12"/>
      <c r="B5983" s="13"/>
    </row>
    <row r="5984" spans="1:2" x14ac:dyDescent="0.2">
      <c r="A5984" s="12"/>
      <c r="B5984" s="13"/>
    </row>
    <row r="5985" spans="1:2" x14ac:dyDescent="0.2">
      <c r="A5985" s="12"/>
      <c r="B5985" s="13"/>
    </row>
    <row r="5986" spans="1:2" x14ac:dyDescent="0.2">
      <c r="A5986" s="12"/>
      <c r="B5986" s="13"/>
    </row>
    <row r="5987" spans="1:2" x14ac:dyDescent="0.2">
      <c r="A5987" s="12"/>
      <c r="B5987" s="13"/>
    </row>
    <row r="5988" spans="1:2" x14ac:dyDescent="0.2">
      <c r="A5988" s="12"/>
      <c r="B5988" s="13"/>
    </row>
    <row r="5989" spans="1:2" x14ac:dyDescent="0.2">
      <c r="A5989" s="12"/>
      <c r="B5989" s="13"/>
    </row>
    <row r="5990" spans="1:2" x14ac:dyDescent="0.2">
      <c r="A5990" s="12"/>
      <c r="B5990" s="13"/>
    </row>
    <row r="5991" spans="1:2" x14ac:dyDescent="0.2">
      <c r="A5991" s="12"/>
      <c r="B5991" s="13"/>
    </row>
    <row r="5992" spans="1:2" x14ac:dyDescent="0.2">
      <c r="A5992" s="12"/>
      <c r="B5992" s="13"/>
    </row>
    <row r="5993" spans="1:2" x14ac:dyDescent="0.2">
      <c r="A5993" s="12"/>
      <c r="B5993" s="13"/>
    </row>
    <row r="5994" spans="1:2" x14ac:dyDescent="0.2">
      <c r="A5994" s="12"/>
      <c r="B5994" s="13"/>
    </row>
    <row r="5995" spans="1:2" x14ac:dyDescent="0.2">
      <c r="A5995" s="12"/>
      <c r="B5995" s="13"/>
    </row>
    <row r="5996" spans="1:2" x14ac:dyDescent="0.2">
      <c r="A5996" s="12"/>
      <c r="B5996" s="13"/>
    </row>
    <row r="5997" spans="1:2" x14ac:dyDescent="0.2">
      <c r="A5997" s="12"/>
      <c r="B5997" s="13"/>
    </row>
    <row r="5998" spans="1:2" x14ac:dyDescent="0.2">
      <c r="A5998" s="12"/>
      <c r="B5998" s="13"/>
    </row>
    <row r="5999" spans="1:2" x14ac:dyDescent="0.2">
      <c r="A5999" s="12"/>
      <c r="B5999" s="13"/>
    </row>
    <row r="6000" spans="1:2" x14ac:dyDescent="0.2">
      <c r="A6000" s="12"/>
      <c r="B6000" s="13"/>
    </row>
    <row r="6001" spans="1:2" x14ac:dyDescent="0.2">
      <c r="A6001" s="12"/>
      <c r="B6001" s="13"/>
    </row>
    <row r="6002" spans="1:2" x14ac:dyDescent="0.2">
      <c r="A6002" s="12"/>
      <c r="B6002" s="13"/>
    </row>
    <row r="6003" spans="1:2" x14ac:dyDescent="0.2">
      <c r="A6003" s="12"/>
      <c r="B6003" s="13"/>
    </row>
    <row r="6004" spans="1:2" x14ac:dyDescent="0.2">
      <c r="A6004" s="12"/>
      <c r="B6004" s="13"/>
    </row>
    <row r="6005" spans="1:2" x14ac:dyDescent="0.2">
      <c r="A6005" s="12"/>
      <c r="B6005" s="13"/>
    </row>
    <row r="6006" spans="1:2" x14ac:dyDescent="0.2">
      <c r="A6006" s="12"/>
      <c r="B6006" s="13"/>
    </row>
    <row r="6007" spans="1:2" x14ac:dyDescent="0.2">
      <c r="A6007" s="12"/>
      <c r="B6007" s="13"/>
    </row>
    <row r="6008" spans="1:2" x14ac:dyDescent="0.2">
      <c r="A6008" s="12"/>
      <c r="B6008" s="13"/>
    </row>
    <row r="6009" spans="1:2" x14ac:dyDescent="0.2">
      <c r="A6009" s="12"/>
      <c r="B6009" s="13"/>
    </row>
    <row r="6010" spans="1:2" x14ac:dyDescent="0.2">
      <c r="A6010" s="12"/>
      <c r="B6010" s="13"/>
    </row>
    <row r="6011" spans="1:2" x14ac:dyDescent="0.2">
      <c r="A6011" s="12"/>
      <c r="B6011" s="13"/>
    </row>
    <row r="6012" spans="1:2" x14ac:dyDescent="0.2">
      <c r="A6012" s="12"/>
      <c r="B6012" s="13"/>
    </row>
    <row r="6013" spans="1:2" x14ac:dyDescent="0.2">
      <c r="A6013" s="12"/>
      <c r="B6013" s="13"/>
    </row>
    <row r="6014" spans="1:2" x14ac:dyDescent="0.2">
      <c r="A6014" s="12"/>
      <c r="B6014" s="13"/>
    </row>
    <row r="6015" spans="1:2" x14ac:dyDescent="0.2">
      <c r="A6015" s="12"/>
      <c r="B6015" s="13"/>
    </row>
    <row r="6016" spans="1:2" x14ac:dyDescent="0.2">
      <c r="A6016" s="12"/>
      <c r="B6016" s="13"/>
    </row>
    <row r="6017" spans="1:2" x14ac:dyDescent="0.2">
      <c r="A6017" s="12"/>
      <c r="B6017" s="13"/>
    </row>
    <row r="6018" spans="1:2" x14ac:dyDescent="0.2">
      <c r="A6018" s="12"/>
      <c r="B6018" s="13"/>
    </row>
    <row r="6019" spans="1:2" x14ac:dyDescent="0.2">
      <c r="A6019" s="12"/>
      <c r="B6019" s="13"/>
    </row>
    <row r="6020" spans="1:2" x14ac:dyDescent="0.2">
      <c r="A6020" s="12"/>
      <c r="B6020" s="13"/>
    </row>
    <row r="6021" spans="1:2" x14ac:dyDescent="0.2">
      <c r="A6021" s="12"/>
      <c r="B6021" s="13"/>
    </row>
    <row r="6022" spans="1:2" x14ac:dyDescent="0.2">
      <c r="A6022" s="12"/>
      <c r="B6022" s="13"/>
    </row>
    <row r="6023" spans="1:2" x14ac:dyDescent="0.2">
      <c r="A6023" s="12"/>
      <c r="B6023" s="13"/>
    </row>
    <row r="6024" spans="1:2" x14ac:dyDescent="0.2">
      <c r="A6024" s="12"/>
      <c r="B6024" s="13"/>
    </row>
    <row r="6025" spans="1:2" x14ac:dyDescent="0.2">
      <c r="A6025" s="12"/>
      <c r="B6025" s="13"/>
    </row>
    <row r="6026" spans="1:2" x14ac:dyDescent="0.2">
      <c r="A6026" s="12"/>
      <c r="B6026" s="13"/>
    </row>
    <row r="6027" spans="1:2" x14ac:dyDescent="0.2">
      <c r="A6027" s="12"/>
      <c r="B6027" s="13"/>
    </row>
    <row r="6028" spans="1:2" x14ac:dyDescent="0.2">
      <c r="A6028" s="12"/>
      <c r="B6028" s="13"/>
    </row>
    <row r="6029" spans="1:2" x14ac:dyDescent="0.2">
      <c r="A6029" s="12"/>
      <c r="B6029" s="13"/>
    </row>
    <row r="6030" spans="1:2" x14ac:dyDescent="0.2">
      <c r="A6030" s="12"/>
      <c r="B6030" s="13"/>
    </row>
    <row r="6031" spans="1:2" x14ac:dyDescent="0.2">
      <c r="A6031" s="12"/>
      <c r="B6031" s="13"/>
    </row>
    <row r="6032" spans="1:2" x14ac:dyDescent="0.2">
      <c r="A6032" s="12"/>
      <c r="B6032" s="13"/>
    </row>
    <row r="6033" spans="1:2" x14ac:dyDescent="0.2">
      <c r="A6033" s="12"/>
      <c r="B6033" s="13"/>
    </row>
    <row r="6034" spans="1:2" x14ac:dyDescent="0.2">
      <c r="A6034" s="12"/>
      <c r="B6034" s="13"/>
    </row>
    <row r="6035" spans="1:2" x14ac:dyDescent="0.2">
      <c r="A6035" s="12"/>
      <c r="B6035" s="13"/>
    </row>
    <row r="6036" spans="1:2" x14ac:dyDescent="0.2">
      <c r="A6036" s="12"/>
      <c r="B6036" s="13"/>
    </row>
    <row r="6037" spans="1:2" x14ac:dyDescent="0.2">
      <c r="A6037" s="12"/>
      <c r="B6037" s="13"/>
    </row>
    <row r="6038" spans="1:2" x14ac:dyDescent="0.2">
      <c r="A6038" s="12"/>
      <c r="B6038" s="13"/>
    </row>
    <row r="6039" spans="1:2" x14ac:dyDescent="0.2">
      <c r="A6039" s="12"/>
      <c r="B6039" s="13"/>
    </row>
    <row r="6040" spans="1:2" x14ac:dyDescent="0.2">
      <c r="A6040" s="12"/>
      <c r="B6040" s="13"/>
    </row>
    <row r="6041" spans="1:2" x14ac:dyDescent="0.2">
      <c r="A6041" s="12"/>
      <c r="B6041" s="13"/>
    </row>
    <row r="6042" spans="1:2" x14ac:dyDescent="0.2">
      <c r="A6042" s="12"/>
      <c r="B6042" s="13"/>
    </row>
    <row r="6043" spans="1:2" x14ac:dyDescent="0.2">
      <c r="A6043" s="12"/>
      <c r="B6043" s="13"/>
    </row>
    <row r="6044" spans="1:2" x14ac:dyDescent="0.2">
      <c r="A6044" s="12"/>
      <c r="B6044" s="13"/>
    </row>
    <row r="6045" spans="1:2" x14ac:dyDescent="0.2">
      <c r="A6045" s="12"/>
      <c r="B6045" s="13"/>
    </row>
    <row r="6046" spans="1:2" x14ac:dyDescent="0.2">
      <c r="A6046" s="12"/>
      <c r="B6046" s="13"/>
    </row>
    <row r="6047" spans="1:2" x14ac:dyDescent="0.2">
      <c r="A6047" s="12"/>
      <c r="B6047" s="13"/>
    </row>
    <row r="6048" spans="1:2" x14ac:dyDescent="0.2">
      <c r="A6048" s="12"/>
      <c r="B6048" s="13"/>
    </row>
    <row r="6049" spans="1:2" x14ac:dyDescent="0.2">
      <c r="A6049" s="12"/>
      <c r="B6049" s="13"/>
    </row>
    <row r="6050" spans="1:2" x14ac:dyDescent="0.2">
      <c r="A6050" s="12"/>
      <c r="B6050" s="13"/>
    </row>
    <row r="6051" spans="1:2" x14ac:dyDescent="0.2">
      <c r="A6051" s="12"/>
      <c r="B6051" s="13"/>
    </row>
    <row r="6052" spans="1:2" x14ac:dyDescent="0.2">
      <c r="A6052" s="12"/>
      <c r="B6052" s="13"/>
    </row>
    <row r="6053" spans="1:2" x14ac:dyDescent="0.2">
      <c r="A6053" s="12"/>
      <c r="B6053" s="13"/>
    </row>
    <row r="6054" spans="1:2" x14ac:dyDescent="0.2">
      <c r="A6054" s="12"/>
      <c r="B6054" s="13"/>
    </row>
    <row r="6055" spans="1:2" x14ac:dyDescent="0.2">
      <c r="A6055" s="12"/>
      <c r="B6055" s="13"/>
    </row>
    <row r="6056" spans="1:2" x14ac:dyDescent="0.2">
      <c r="A6056" s="12"/>
      <c r="B6056" s="13"/>
    </row>
    <row r="6057" spans="1:2" x14ac:dyDescent="0.2">
      <c r="A6057" s="12"/>
      <c r="B6057" s="13"/>
    </row>
    <row r="6058" spans="1:2" x14ac:dyDescent="0.2">
      <c r="A6058" s="12"/>
      <c r="B6058" s="13"/>
    </row>
    <row r="6059" spans="1:2" x14ac:dyDescent="0.2">
      <c r="A6059" s="12"/>
      <c r="B6059" s="13"/>
    </row>
    <row r="6060" spans="1:2" x14ac:dyDescent="0.2">
      <c r="A6060" s="12"/>
      <c r="B6060" s="13"/>
    </row>
    <row r="6061" spans="1:2" x14ac:dyDescent="0.2">
      <c r="A6061" s="12"/>
      <c r="B6061" s="13"/>
    </row>
    <row r="6062" spans="1:2" x14ac:dyDescent="0.2">
      <c r="A6062" s="12"/>
      <c r="B6062" s="13"/>
    </row>
    <row r="6063" spans="1:2" x14ac:dyDescent="0.2">
      <c r="A6063" s="12"/>
      <c r="B6063" s="13"/>
    </row>
    <row r="6064" spans="1:2" x14ac:dyDescent="0.2">
      <c r="A6064" s="12"/>
      <c r="B6064" s="13"/>
    </row>
    <row r="6065" spans="1:2" x14ac:dyDescent="0.2">
      <c r="A6065" s="12"/>
      <c r="B6065" s="13"/>
    </row>
    <row r="6066" spans="1:2" x14ac:dyDescent="0.2">
      <c r="A6066" s="12"/>
      <c r="B6066" s="13"/>
    </row>
    <row r="6067" spans="1:2" x14ac:dyDescent="0.2">
      <c r="A6067" s="12"/>
      <c r="B6067" s="13"/>
    </row>
    <row r="6068" spans="1:2" x14ac:dyDescent="0.2">
      <c r="A6068" s="12"/>
      <c r="B6068" s="13"/>
    </row>
    <row r="6069" spans="1:2" x14ac:dyDescent="0.2">
      <c r="A6069" s="12"/>
      <c r="B6069" s="13"/>
    </row>
    <row r="6070" spans="1:2" x14ac:dyDescent="0.2">
      <c r="A6070" s="12"/>
      <c r="B6070" s="13"/>
    </row>
    <row r="6071" spans="1:2" x14ac:dyDescent="0.2">
      <c r="A6071" s="12"/>
      <c r="B6071" s="13"/>
    </row>
    <row r="6072" spans="1:2" x14ac:dyDescent="0.2">
      <c r="A6072" s="12"/>
      <c r="B6072" s="13"/>
    </row>
    <row r="6073" spans="1:2" x14ac:dyDescent="0.2">
      <c r="A6073" s="12"/>
      <c r="B6073" s="13"/>
    </row>
    <row r="6074" spans="1:2" x14ac:dyDescent="0.2">
      <c r="A6074" s="12"/>
      <c r="B6074" s="13"/>
    </row>
    <row r="6075" spans="1:2" x14ac:dyDescent="0.2">
      <c r="A6075" s="12"/>
      <c r="B6075" s="13"/>
    </row>
    <row r="6076" spans="1:2" x14ac:dyDescent="0.2">
      <c r="A6076" s="12"/>
      <c r="B6076" s="13"/>
    </row>
    <row r="6077" spans="1:2" x14ac:dyDescent="0.2">
      <c r="A6077" s="12"/>
      <c r="B6077" s="13"/>
    </row>
    <row r="6078" spans="1:2" x14ac:dyDescent="0.2">
      <c r="A6078" s="12"/>
      <c r="B6078" s="13"/>
    </row>
    <row r="6079" spans="1:2" x14ac:dyDescent="0.2">
      <c r="A6079" s="12"/>
      <c r="B6079" s="13"/>
    </row>
    <row r="6080" spans="1:2" x14ac:dyDescent="0.2">
      <c r="A6080" s="12"/>
      <c r="B6080" s="13"/>
    </row>
    <row r="6081" spans="1:2" x14ac:dyDescent="0.2">
      <c r="A6081" s="12"/>
      <c r="B6081" s="13"/>
    </row>
    <row r="6082" spans="1:2" x14ac:dyDescent="0.2">
      <c r="A6082" s="12"/>
      <c r="B6082" s="13"/>
    </row>
    <row r="6083" spans="1:2" x14ac:dyDescent="0.2">
      <c r="A6083" s="12"/>
      <c r="B6083" s="13"/>
    </row>
    <row r="6084" spans="1:2" x14ac:dyDescent="0.2">
      <c r="A6084" s="12"/>
      <c r="B6084" s="13"/>
    </row>
    <row r="6085" spans="1:2" x14ac:dyDescent="0.2">
      <c r="A6085" s="12"/>
      <c r="B6085" s="13"/>
    </row>
    <row r="6086" spans="1:2" x14ac:dyDescent="0.2">
      <c r="A6086" s="12"/>
      <c r="B6086" s="13"/>
    </row>
    <row r="6087" spans="1:2" x14ac:dyDescent="0.2">
      <c r="A6087" s="12"/>
      <c r="B6087" s="13"/>
    </row>
    <row r="6088" spans="1:2" x14ac:dyDescent="0.2">
      <c r="A6088" s="12"/>
      <c r="B6088" s="13"/>
    </row>
    <row r="6089" spans="1:2" x14ac:dyDescent="0.2">
      <c r="A6089" s="12"/>
      <c r="B6089" s="13"/>
    </row>
    <row r="6090" spans="1:2" x14ac:dyDescent="0.2">
      <c r="A6090" s="12"/>
      <c r="B6090" s="13"/>
    </row>
    <row r="6091" spans="1:2" x14ac:dyDescent="0.2">
      <c r="A6091" s="12"/>
      <c r="B6091" s="13"/>
    </row>
    <row r="6092" spans="1:2" x14ac:dyDescent="0.2">
      <c r="A6092" s="12"/>
      <c r="B6092" s="13"/>
    </row>
    <row r="6093" spans="1:2" x14ac:dyDescent="0.2">
      <c r="A6093" s="12"/>
      <c r="B6093" s="13"/>
    </row>
    <row r="6094" spans="1:2" x14ac:dyDescent="0.2">
      <c r="A6094" s="12"/>
      <c r="B6094" s="13"/>
    </row>
    <row r="6095" spans="1:2" x14ac:dyDescent="0.2">
      <c r="A6095" s="12"/>
      <c r="B6095" s="13"/>
    </row>
    <row r="6096" spans="1:2" x14ac:dyDescent="0.2">
      <c r="A6096" s="12"/>
      <c r="B6096" s="13"/>
    </row>
    <row r="6097" spans="1:2" x14ac:dyDescent="0.2">
      <c r="A6097" s="12"/>
      <c r="B6097" s="13"/>
    </row>
    <row r="6098" spans="1:2" x14ac:dyDescent="0.2">
      <c r="A6098" s="12"/>
      <c r="B6098" s="13"/>
    </row>
    <row r="6099" spans="1:2" x14ac:dyDescent="0.2">
      <c r="A6099" s="12"/>
      <c r="B6099" s="13"/>
    </row>
    <row r="6100" spans="1:2" x14ac:dyDescent="0.2">
      <c r="A6100" s="12"/>
      <c r="B6100" s="13"/>
    </row>
    <row r="6101" spans="1:2" x14ac:dyDescent="0.2">
      <c r="A6101" s="12"/>
      <c r="B6101" s="13"/>
    </row>
    <row r="6102" spans="1:2" x14ac:dyDescent="0.2">
      <c r="A6102" s="12"/>
      <c r="B6102" s="13"/>
    </row>
    <row r="6103" spans="1:2" x14ac:dyDescent="0.2">
      <c r="A6103" s="12"/>
      <c r="B6103" s="13"/>
    </row>
    <row r="6104" spans="1:2" x14ac:dyDescent="0.2">
      <c r="A6104" s="12"/>
      <c r="B6104" s="13"/>
    </row>
    <row r="6105" spans="1:2" x14ac:dyDescent="0.2">
      <c r="A6105" s="12"/>
      <c r="B6105" s="13"/>
    </row>
    <row r="6106" spans="1:2" x14ac:dyDescent="0.2">
      <c r="A6106" s="12"/>
      <c r="B6106" s="13"/>
    </row>
    <row r="6107" spans="1:2" x14ac:dyDescent="0.2">
      <c r="A6107" s="12"/>
      <c r="B6107" s="13"/>
    </row>
    <row r="6108" spans="1:2" x14ac:dyDescent="0.2">
      <c r="A6108" s="12"/>
      <c r="B6108" s="13"/>
    </row>
    <row r="6109" spans="1:2" x14ac:dyDescent="0.2">
      <c r="A6109" s="12"/>
      <c r="B6109" s="13"/>
    </row>
    <row r="6110" spans="1:2" x14ac:dyDescent="0.2">
      <c r="A6110" s="12"/>
      <c r="B6110" s="13"/>
    </row>
    <row r="6111" spans="1:2" x14ac:dyDescent="0.2">
      <c r="A6111" s="12"/>
      <c r="B6111" s="13"/>
    </row>
    <row r="6112" spans="1:2" x14ac:dyDescent="0.2">
      <c r="A6112" s="12"/>
      <c r="B6112" s="13"/>
    </row>
    <row r="6113" spans="1:2" x14ac:dyDescent="0.2">
      <c r="A6113" s="12"/>
      <c r="B6113" s="13"/>
    </row>
    <row r="6114" spans="1:2" x14ac:dyDescent="0.2">
      <c r="A6114" s="12"/>
      <c r="B6114" s="13"/>
    </row>
    <row r="6115" spans="1:2" x14ac:dyDescent="0.2">
      <c r="A6115" s="12"/>
      <c r="B6115" s="13"/>
    </row>
    <row r="6116" spans="1:2" x14ac:dyDescent="0.2">
      <c r="A6116" s="12"/>
      <c r="B6116" s="13"/>
    </row>
    <row r="6117" spans="1:2" x14ac:dyDescent="0.2">
      <c r="A6117" s="12"/>
      <c r="B6117" s="13"/>
    </row>
    <row r="6118" spans="1:2" x14ac:dyDescent="0.2">
      <c r="A6118" s="12"/>
      <c r="B6118" s="13"/>
    </row>
    <row r="6119" spans="1:2" x14ac:dyDescent="0.2">
      <c r="A6119" s="12"/>
      <c r="B6119" s="13"/>
    </row>
    <row r="6120" spans="1:2" x14ac:dyDescent="0.2">
      <c r="A6120" s="12"/>
      <c r="B6120" s="13"/>
    </row>
    <row r="6121" spans="1:2" x14ac:dyDescent="0.2">
      <c r="A6121" s="12"/>
      <c r="B6121" s="13"/>
    </row>
    <row r="6122" spans="1:2" x14ac:dyDescent="0.2">
      <c r="A6122" s="12"/>
      <c r="B6122" s="13"/>
    </row>
    <row r="6123" spans="1:2" x14ac:dyDescent="0.2">
      <c r="A6123" s="12"/>
      <c r="B6123" s="13"/>
    </row>
    <row r="6124" spans="1:2" x14ac:dyDescent="0.2">
      <c r="A6124" s="12"/>
      <c r="B6124" s="13"/>
    </row>
    <row r="6125" spans="1:2" x14ac:dyDescent="0.2">
      <c r="A6125" s="12"/>
      <c r="B6125" s="13"/>
    </row>
    <row r="6126" spans="1:2" x14ac:dyDescent="0.2">
      <c r="A6126" s="12"/>
      <c r="B6126" s="13"/>
    </row>
    <row r="6127" spans="1:2" x14ac:dyDescent="0.2">
      <c r="A6127" s="12"/>
      <c r="B6127" s="13"/>
    </row>
    <row r="6128" spans="1:2" x14ac:dyDescent="0.2">
      <c r="A6128" s="12"/>
      <c r="B6128" s="13"/>
    </row>
    <row r="6129" spans="1:2" x14ac:dyDescent="0.2">
      <c r="A6129" s="12"/>
      <c r="B6129" s="13"/>
    </row>
    <row r="6130" spans="1:2" x14ac:dyDescent="0.2">
      <c r="A6130" s="12"/>
      <c r="B6130" s="13"/>
    </row>
    <row r="6131" spans="1:2" x14ac:dyDescent="0.2">
      <c r="A6131" s="12"/>
      <c r="B6131" s="13"/>
    </row>
    <row r="6132" spans="1:2" x14ac:dyDescent="0.2">
      <c r="A6132" s="12"/>
      <c r="B6132" s="13"/>
    </row>
    <row r="6133" spans="1:2" x14ac:dyDescent="0.2">
      <c r="A6133" s="12"/>
      <c r="B6133" s="13"/>
    </row>
    <row r="6134" spans="1:2" x14ac:dyDescent="0.2">
      <c r="A6134" s="12"/>
      <c r="B6134" s="13"/>
    </row>
    <row r="6135" spans="1:2" x14ac:dyDescent="0.2">
      <c r="A6135" s="12"/>
      <c r="B6135" s="13"/>
    </row>
    <row r="6136" spans="1:2" x14ac:dyDescent="0.2">
      <c r="A6136" s="12"/>
      <c r="B6136" s="13"/>
    </row>
    <row r="6137" spans="1:2" x14ac:dyDescent="0.2">
      <c r="A6137" s="12"/>
      <c r="B6137" s="13"/>
    </row>
    <row r="6138" spans="1:2" x14ac:dyDescent="0.2">
      <c r="A6138" s="12"/>
      <c r="B6138" s="13"/>
    </row>
    <row r="6139" spans="1:2" x14ac:dyDescent="0.2">
      <c r="A6139" s="12"/>
      <c r="B6139" s="13"/>
    </row>
    <row r="6140" spans="1:2" x14ac:dyDescent="0.2">
      <c r="A6140" s="12"/>
      <c r="B6140" s="13"/>
    </row>
    <row r="6141" spans="1:2" x14ac:dyDescent="0.2">
      <c r="A6141" s="12"/>
      <c r="B6141" s="13"/>
    </row>
    <row r="6142" spans="1:2" x14ac:dyDescent="0.2">
      <c r="A6142" s="12"/>
      <c r="B6142" s="13"/>
    </row>
    <row r="6143" spans="1:2" x14ac:dyDescent="0.2">
      <c r="A6143" s="12"/>
      <c r="B6143" s="13"/>
    </row>
    <row r="6144" spans="1:2" x14ac:dyDescent="0.2">
      <c r="A6144" s="12"/>
      <c r="B6144" s="13"/>
    </row>
    <row r="6145" spans="1:2" x14ac:dyDescent="0.2">
      <c r="A6145" s="12"/>
      <c r="B6145" s="13"/>
    </row>
    <row r="6146" spans="1:2" x14ac:dyDescent="0.2">
      <c r="A6146" s="12"/>
      <c r="B6146" s="13"/>
    </row>
    <row r="6147" spans="1:2" x14ac:dyDescent="0.2">
      <c r="A6147" s="12"/>
      <c r="B6147" s="13"/>
    </row>
    <row r="6148" spans="1:2" x14ac:dyDescent="0.2">
      <c r="A6148" s="12"/>
      <c r="B6148" s="13"/>
    </row>
    <row r="6149" spans="1:2" x14ac:dyDescent="0.2">
      <c r="A6149" s="12"/>
      <c r="B6149" s="13"/>
    </row>
    <row r="6150" spans="1:2" x14ac:dyDescent="0.2">
      <c r="A6150" s="12"/>
      <c r="B6150" s="13"/>
    </row>
    <row r="6151" spans="1:2" x14ac:dyDescent="0.2">
      <c r="A6151" s="12"/>
      <c r="B6151" s="13"/>
    </row>
    <row r="6152" spans="1:2" x14ac:dyDescent="0.2">
      <c r="A6152" s="12"/>
      <c r="B6152" s="13"/>
    </row>
    <row r="6153" spans="1:2" x14ac:dyDescent="0.2">
      <c r="A6153" s="12"/>
      <c r="B6153" s="13"/>
    </row>
    <row r="6154" spans="1:2" x14ac:dyDescent="0.2">
      <c r="A6154" s="12"/>
      <c r="B6154" s="13"/>
    </row>
    <row r="6155" spans="1:2" x14ac:dyDescent="0.2">
      <c r="A6155" s="12"/>
      <c r="B6155" s="13"/>
    </row>
    <row r="6156" spans="1:2" x14ac:dyDescent="0.2">
      <c r="A6156" s="12"/>
      <c r="B6156" s="13"/>
    </row>
    <row r="6157" spans="1:2" x14ac:dyDescent="0.2">
      <c r="A6157" s="12"/>
      <c r="B6157" s="13"/>
    </row>
    <row r="6158" spans="1:2" x14ac:dyDescent="0.2">
      <c r="A6158" s="12"/>
      <c r="B6158" s="13"/>
    </row>
    <row r="6159" spans="1:2" x14ac:dyDescent="0.2">
      <c r="A6159" s="12"/>
      <c r="B6159" s="13"/>
    </row>
    <row r="6160" spans="1:2" x14ac:dyDescent="0.2">
      <c r="A6160" s="12"/>
      <c r="B6160" s="13"/>
    </row>
    <row r="6161" spans="1:2" x14ac:dyDescent="0.2">
      <c r="A6161" s="12"/>
      <c r="B6161" s="13"/>
    </row>
    <row r="6162" spans="1:2" x14ac:dyDescent="0.2">
      <c r="A6162" s="12"/>
      <c r="B6162" s="13"/>
    </row>
    <row r="6163" spans="1:2" x14ac:dyDescent="0.2">
      <c r="A6163" s="12"/>
      <c r="B6163" s="13"/>
    </row>
    <row r="6164" spans="1:2" x14ac:dyDescent="0.2">
      <c r="A6164" s="12"/>
      <c r="B6164" s="13"/>
    </row>
    <row r="6165" spans="1:2" x14ac:dyDescent="0.2">
      <c r="A6165" s="12"/>
      <c r="B6165" s="13"/>
    </row>
    <row r="6166" spans="1:2" x14ac:dyDescent="0.2">
      <c r="A6166" s="12"/>
      <c r="B6166" s="13"/>
    </row>
    <row r="6167" spans="1:2" x14ac:dyDescent="0.2">
      <c r="A6167" s="12"/>
      <c r="B6167" s="13"/>
    </row>
    <row r="6168" spans="1:2" x14ac:dyDescent="0.2">
      <c r="A6168" s="12"/>
      <c r="B6168" s="13"/>
    </row>
    <row r="6169" spans="1:2" x14ac:dyDescent="0.2">
      <c r="A6169" s="12"/>
      <c r="B6169" s="13"/>
    </row>
    <row r="6170" spans="1:2" x14ac:dyDescent="0.2">
      <c r="A6170" s="12"/>
      <c r="B6170" s="13"/>
    </row>
    <row r="6171" spans="1:2" x14ac:dyDescent="0.2">
      <c r="A6171" s="12"/>
      <c r="B6171" s="13"/>
    </row>
    <row r="6172" spans="1:2" x14ac:dyDescent="0.2">
      <c r="A6172" s="12"/>
      <c r="B6172" s="13"/>
    </row>
    <row r="6173" spans="1:2" x14ac:dyDescent="0.2">
      <c r="A6173" s="12"/>
      <c r="B6173" s="13"/>
    </row>
    <row r="6174" spans="1:2" x14ac:dyDescent="0.2">
      <c r="A6174" s="12"/>
      <c r="B6174" s="13"/>
    </row>
    <row r="6175" spans="1:2" x14ac:dyDescent="0.2">
      <c r="A6175" s="12"/>
      <c r="B6175" s="13"/>
    </row>
    <row r="6176" spans="1:2" x14ac:dyDescent="0.2">
      <c r="A6176" s="12"/>
      <c r="B6176" s="13"/>
    </row>
    <row r="6177" spans="1:2" x14ac:dyDescent="0.2">
      <c r="A6177" s="12"/>
      <c r="B6177" s="13"/>
    </row>
    <row r="6178" spans="1:2" x14ac:dyDescent="0.2">
      <c r="A6178" s="12"/>
      <c r="B6178" s="13"/>
    </row>
    <row r="6179" spans="1:2" x14ac:dyDescent="0.2">
      <c r="A6179" s="12"/>
      <c r="B6179" s="13"/>
    </row>
    <row r="6180" spans="1:2" x14ac:dyDescent="0.2">
      <c r="A6180" s="12"/>
      <c r="B6180" s="13"/>
    </row>
    <row r="6181" spans="1:2" x14ac:dyDescent="0.2">
      <c r="A6181" s="12"/>
      <c r="B6181" s="13"/>
    </row>
    <row r="6182" spans="1:2" x14ac:dyDescent="0.2">
      <c r="A6182" s="12"/>
      <c r="B6182" s="13"/>
    </row>
    <row r="6183" spans="1:2" x14ac:dyDescent="0.2">
      <c r="A6183" s="12"/>
      <c r="B6183" s="13"/>
    </row>
    <row r="6184" spans="1:2" x14ac:dyDescent="0.2">
      <c r="A6184" s="12"/>
      <c r="B6184" s="13"/>
    </row>
    <row r="6185" spans="1:2" x14ac:dyDescent="0.2">
      <c r="A6185" s="12"/>
      <c r="B6185" s="13"/>
    </row>
    <row r="6186" spans="1:2" x14ac:dyDescent="0.2">
      <c r="A6186" s="12"/>
      <c r="B6186" s="13"/>
    </row>
    <row r="6187" spans="1:2" x14ac:dyDescent="0.2">
      <c r="A6187" s="12"/>
      <c r="B6187" s="13"/>
    </row>
    <row r="6188" spans="1:2" x14ac:dyDescent="0.2">
      <c r="A6188" s="12"/>
      <c r="B6188" s="13"/>
    </row>
    <row r="6189" spans="1:2" x14ac:dyDescent="0.2">
      <c r="A6189" s="12"/>
      <c r="B6189" s="13"/>
    </row>
    <row r="6190" spans="1:2" x14ac:dyDescent="0.2">
      <c r="A6190" s="12"/>
      <c r="B6190" s="13"/>
    </row>
    <row r="6191" spans="1:2" x14ac:dyDescent="0.2">
      <c r="A6191" s="12"/>
      <c r="B6191" s="13"/>
    </row>
    <row r="6192" spans="1:2" x14ac:dyDescent="0.2">
      <c r="A6192" s="12"/>
      <c r="B6192" s="13"/>
    </row>
    <row r="6193" spans="1:2" x14ac:dyDescent="0.2">
      <c r="A6193" s="12"/>
      <c r="B6193" s="13"/>
    </row>
    <row r="6194" spans="1:2" x14ac:dyDescent="0.2">
      <c r="A6194" s="12"/>
      <c r="B6194" s="13"/>
    </row>
    <row r="6195" spans="1:2" x14ac:dyDescent="0.2">
      <c r="A6195" s="12"/>
      <c r="B6195" s="13"/>
    </row>
    <row r="6196" spans="1:2" x14ac:dyDescent="0.2">
      <c r="A6196" s="12"/>
      <c r="B6196" s="13"/>
    </row>
    <row r="6197" spans="1:2" x14ac:dyDescent="0.2">
      <c r="A6197" s="12"/>
      <c r="B6197" s="13"/>
    </row>
    <row r="6198" spans="1:2" x14ac:dyDescent="0.2">
      <c r="A6198" s="12"/>
      <c r="B6198" s="13"/>
    </row>
    <row r="6199" spans="1:2" x14ac:dyDescent="0.2">
      <c r="A6199" s="12"/>
      <c r="B6199" s="13"/>
    </row>
    <row r="6200" spans="1:2" x14ac:dyDescent="0.2">
      <c r="A6200" s="12"/>
      <c r="B6200" s="13"/>
    </row>
    <row r="6201" spans="1:2" x14ac:dyDescent="0.2">
      <c r="A6201" s="12"/>
      <c r="B6201" s="13"/>
    </row>
    <row r="6202" spans="1:2" x14ac:dyDescent="0.2">
      <c r="A6202" s="12"/>
      <c r="B6202" s="13"/>
    </row>
    <row r="6203" spans="1:2" x14ac:dyDescent="0.2">
      <c r="A6203" s="12"/>
      <c r="B6203" s="13"/>
    </row>
    <row r="6204" spans="1:2" x14ac:dyDescent="0.2">
      <c r="A6204" s="12"/>
      <c r="B6204" s="13"/>
    </row>
    <row r="6205" spans="1:2" x14ac:dyDescent="0.2">
      <c r="A6205" s="12"/>
      <c r="B6205" s="13"/>
    </row>
    <row r="6206" spans="1:2" x14ac:dyDescent="0.2">
      <c r="A6206" s="12"/>
      <c r="B6206" s="13"/>
    </row>
    <row r="6207" spans="1:2" x14ac:dyDescent="0.2">
      <c r="A6207" s="12"/>
      <c r="B6207" s="13"/>
    </row>
    <row r="6208" spans="1:2" x14ac:dyDescent="0.2">
      <c r="A6208" s="12"/>
      <c r="B6208" s="13"/>
    </row>
    <row r="6209" spans="1:2" x14ac:dyDescent="0.2">
      <c r="A6209" s="12"/>
      <c r="B6209" s="13"/>
    </row>
    <row r="6210" spans="1:2" x14ac:dyDescent="0.2">
      <c r="A6210" s="12"/>
      <c r="B6210" s="13"/>
    </row>
    <row r="6211" spans="1:2" x14ac:dyDescent="0.2">
      <c r="A6211" s="12"/>
      <c r="B6211" s="13"/>
    </row>
    <row r="6212" spans="1:2" x14ac:dyDescent="0.2">
      <c r="A6212" s="12"/>
      <c r="B6212" s="13"/>
    </row>
    <row r="6213" spans="1:2" x14ac:dyDescent="0.2">
      <c r="A6213" s="12"/>
      <c r="B6213" s="13"/>
    </row>
    <row r="6214" spans="1:2" x14ac:dyDescent="0.2">
      <c r="A6214" s="12"/>
      <c r="B6214" s="13"/>
    </row>
    <row r="6215" spans="1:2" x14ac:dyDescent="0.2">
      <c r="A6215" s="12"/>
      <c r="B6215" s="13"/>
    </row>
    <row r="6216" spans="1:2" x14ac:dyDescent="0.2">
      <c r="A6216" s="12"/>
      <c r="B6216" s="13"/>
    </row>
    <row r="6217" spans="1:2" x14ac:dyDescent="0.2">
      <c r="A6217" s="12"/>
      <c r="B6217" s="13"/>
    </row>
    <row r="6218" spans="1:2" x14ac:dyDescent="0.2">
      <c r="A6218" s="12"/>
      <c r="B6218" s="13"/>
    </row>
    <row r="6219" spans="1:2" x14ac:dyDescent="0.2">
      <c r="A6219" s="12"/>
      <c r="B6219" s="13"/>
    </row>
    <row r="6220" spans="1:2" x14ac:dyDescent="0.2">
      <c r="A6220" s="12"/>
      <c r="B6220" s="13"/>
    </row>
    <row r="6221" spans="1:2" x14ac:dyDescent="0.2">
      <c r="A6221" s="12"/>
      <c r="B6221" s="13"/>
    </row>
    <row r="6222" spans="1:2" x14ac:dyDescent="0.2">
      <c r="A6222" s="12"/>
      <c r="B6222" s="13"/>
    </row>
    <row r="6223" spans="1:2" x14ac:dyDescent="0.2">
      <c r="A6223" s="12"/>
      <c r="B6223" s="13"/>
    </row>
    <row r="6224" spans="1:2" x14ac:dyDescent="0.2">
      <c r="A6224" s="12"/>
      <c r="B6224" s="13"/>
    </row>
    <row r="6225" spans="1:2" x14ac:dyDescent="0.2">
      <c r="A6225" s="12"/>
      <c r="B6225" s="13"/>
    </row>
    <row r="6226" spans="1:2" x14ac:dyDescent="0.2">
      <c r="A6226" s="12"/>
      <c r="B6226" s="13"/>
    </row>
    <row r="6227" spans="1:2" x14ac:dyDescent="0.2">
      <c r="A6227" s="12"/>
      <c r="B6227" s="13"/>
    </row>
    <row r="6228" spans="1:2" x14ac:dyDescent="0.2">
      <c r="A6228" s="12"/>
      <c r="B6228" s="13"/>
    </row>
    <row r="6229" spans="1:2" x14ac:dyDescent="0.2">
      <c r="A6229" s="12"/>
      <c r="B6229" s="13"/>
    </row>
    <row r="6230" spans="1:2" x14ac:dyDescent="0.2">
      <c r="A6230" s="12"/>
      <c r="B6230" s="13"/>
    </row>
    <row r="6231" spans="1:2" x14ac:dyDescent="0.2">
      <c r="A6231" s="12"/>
      <c r="B6231" s="13"/>
    </row>
    <row r="6232" spans="1:2" x14ac:dyDescent="0.2">
      <c r="A6232" s="12"/>
      <c r="B6232" s="13"/>
    </row>
    <row r="6233" spans="1:2" x14ac:dyDescent="0.2">
      <c r="A6233" s="12"/>
      <c r="B6233" s="13"/>
    </row>
    <row r="6234" spans="1:2" x14ac:dyDescent="0.2">
      <c r="A6234" s="12"/>
      <c r="B6234" s="13"/>
    </row>
    <row r="6235" spans="1:2" x14ac:dyDescent="0.2">
      <c r="A6235" s="12"/>
      <c r="B6235" s="13"/>
    </row>
    <row r="6236" spans="1:2" x14ac:dyDescent="0.2">
      <c r="A6236" s="12"/>
      <c r="B6236" s="13"/>
    </row>
    <row r="6237" spans="1:2" x14ac:dyDescent="0.2">
      <c r="A6237" s="12"/>
      <c r="B6237" s="13"/>
    </row>
    <row r="6238" spans="1:2" x14ac:dyDescent="0.2">
      <c r="A6238" s="12"/>
      <c r="B6238" s="13"/>
    </row>
    <row r="6239" spans="1:2" x14ac:dyDescent="0.2">
      <c r="A6239" s="12"/>
      <c r="B6239" s="13"/>
    </row>
    <row r="6240" spans="1:2" x14ac:dyDescent="0.2">
      <c r="A6240" s="12"/>
      <c r="B6240" s="13"/>
    </row>
    <row r="6241" spans="1:2" x14ac:dyDescent="0.2">
      <c r="A6241" s="12"/>
      <c r="B6241" s="13"/>
    </row>
    <row r="6242" spans="1:2" x14ac:dyDescent="0.2">
      <c r="A6242" s="12"/>
      <c r="B6242" s="13"/>
    </row>
    <row r="6243" spans="1:2" x14ac:dyDescent="0.2">
      <c r="A6243" s="12"/>
      <c r="B6243" s="13"/>
    </row>
    <row r="6244" spans="1:2" x14ac:dyDescent="0.2">
      <c r="A6244" s="12"/>
      <c r="B6244" s="13"/>
    </row>
    <row r="6245" spans="1:2" x14ac:dyDescent="0.2">
      <c r="A6245" s="12"/>
      <c r="B6245" s="13"/>
    </row>
    <row r="6246" spans="1:2" x14ac:dyDescent="0.2">
      <c r="A6246" s="12"/>
      <c r="B6246" s="13"/>
    </row>
    <row r="6247" spans="1:2" x14ac:dyDescent="0.2">
      <c r="A6247" s="12"/>
      <c r="B6247" s="13"/>
    </row>
    <row r="6248" spans="1:2" x14ac:dyDescent="0.2">
      <c r="A6248" s="12"/>
      <c r="B6248" s="13"/>
    </row>
    <row r="6249" spans="1:2" x14ac:dyDescent="0.2">
      <c r="A6249" s="12"/>
      <c r="B6249" s="13"/>
    </row>
    <row r="6250" spans="1:2" x14ac:dyDescent="0.2">
      <c r="A6250" s="12"/>
      <c r="B6250" s="13"/>
    </row>
    <row r="6251" spans="1:2" x14ac:dyDescent="0.2">
      <c r="A6251" s="12"/>
      <c r="B6251" s="13"/>
    </row>
    <row r="6252" spans="1:2" x14ac:dyDescent="0.2">
      <c r="A6252" s="12"/>
      <c r="B6252" s="13"/>
    </row>
    <row r="6253" spans="1:2" x14ac:dyDescent="0.2">
      <c r="A6253" s="12"/>
      <c r="B6253" s="13"/>
    </row>
    <row r="6254" spans="1:2" x14ac:dyDescent="0.2">
      <c r="A6254" s="12"/>
      <c r="B6254" s="13"/>
    </row>
    <row r="6255" spans="1:2" x14ac:dyDescent="0.2">
      <c r="A6255" s="12"/>
      <c r="B6255" s="13"/>
    </row>
    <row r="6256" spans="1:2" x14ac:dyDescent="0.2">
      <c r="A6256" s="12"/>
      <c r="B6256" s="13"/>
    </row>
    <row r="6257" spans="1:2" x14ac:dyDescent="0.2">
      <c r="A6257" s="12"/>
      <c r="B6257" s="13"/>
    </row>
    <row r="6258" spans="1:2" x14ac:dyDescent="0.2">
      <c r="A6258" s="12"/>
      <c r="B6258" s="13"/>
    </row>
    <row r="6259" spans="1:2" x14ac:dyDescent="0.2">
      <c r="A6259" s="12"/>
      <c r="B6259" s="13"/>
    </row>
    <row r="6260" spans="1:2" x14ac:dyDescent="0.2">
      <c r="A6260" s="12"/>
      <c r="B6260" s="13"/>
    </row>
    <row r="6261" spans="1:2" x14ac:dyDescent="0.2">
      <c r="A6261" s="12"/>
      <c r="B6261" s="13"/>
    </row>
    <row r="6262" spans="1:2" x14ac:dyDescent="0.2">
      <c r="A6262" s="12"/>
      <c r="B6262" s="13"/>
    </row>
    <row r="6263" spans="1:2" x14ac:dyDescent="0.2">
      <c r="A6263" s="12"/>
      <c r="B6263" s="13"/>
    </row>
    <row r="6264" spans="1:2" x14ac:dyDescent="0.2">
      <c r="A6264" s="12"/>
      <c r="B6264" s="13"/>
    </row>
    <row r="6265" spans="1:2" x14ac:dyDescent="0.2">
      <c r="A6265" s="12"/>
      <c r="B6265" s="13"/>
    </row>
    <row r="6266" spans="1:2" x14ac:dyDescent="0.2">
      <c r="A6266" s="12"/>
      <c r="B6266" s="13"/>
    </row>
    <row r="6267" spans="1:2" x14ac:dyDescent="0.2">
      <c r="A6267" s="12"/>
      <c r="B6267" s="13"/>
    </row>
    <row r="6268" spans="1:2" x14ac:dyDescent="0.2">
      <c r="A6268" s="12"/>
      <c r="B6268" s="13"/>
    </row>
    <row r="6269" spans="1:2" x14ac:dyDescent="0.2">
      <c r="A6269" s="12"/>
      <c r="B6269" s="13"/>
    </row>
    <row r="6270" spans="1:2" x14ac:dyDescent="0.2">
      <c r="A6270" s="12"/>
      <c r="B6270" s="13"/>
    </row>
    <row r="6271" spans="1:2" x14ac:dyDescent="0.2">
      <c r="A6271" s="12"/>
      <c r="B6271" s="13"/>
    </row>
    <row r="6272" spans="1:2" x14ac:dyDescent="0.2">
      <c r="A6272" s="12"/>
      <c r="B6272" s="13"/>
    </row>
    <row r="6273" spans="1:2" x14ac:dyDescent="0.2">
      <c r="A6273" s="12"/>
      <c r="B6273" s="13"/>
    </row>
    <row r="6274" spans="1:2" x14ac:dyDescent="0.2">
      <c r="A6274" s="12"/>
      <c r="B6274" s="13"/>
    </row>
    <row r="6275" spans="1:2" x14ac:dyDescent="0.2">
      <c r="A6275" s="12"/>
      <c r="B6275" s="13"/>
    </row>
    <row r="6276" spans="1:2" x14ac:dyDescent="0.2">
      <c r="A6276" s="12"/>
      <c r="B6276" s="13"/>
    </row>
    <row r="6277" spans="1:2" x14ac:dyDescent="0.2">
      <c r="A6277" s="12"/>
      <c r="B6277" s="13"/>
    </row>
    <row r="6278" spans="1:2" x14ac:dyDescent="0.2">
      <c r="A6278" s="12"/>
      <c r="B6278" s="13"/>
    </row>
    <row r="6279" spans="1:2" x14ac:dyDescent="0.2">
      <c r="A6279" s="12"/>
      <c r="B6279" s="13"/>
    </row>
    <row r="6280" spans="1:2" x14ac:dyDescent="0.2">
      <c r="A6280" s="12"/>
      <c r="B6280" s="13"/>
    </row>
    <row r="6281" spans="1:2" x14ac:dyDescent="0.2">
      <c r="A6281" s="12"/>
      <c r="B6281" s="13"/>
    </row>
    <row r="6282" spans="1:2" x14ac:dyDescent="0.2">
      <c r="A6282" s="12"/>
      <c r="B6282" s="13"/>
    </row>
    <row r="6283" spans="1:2" x14ac:dyDescent="0.2">
      <c r="A6283" s="12"/>
      <c r="B6283" s="13"/>
    </row>
    <row r="6284" spans="1:2" x14ac:dyDescent="0.2">
      <c r="A6284" s="12"/>
      <c r="B6284" s="13"/>
    </row>
    <row r="6285" spans="1:2" x14ac:dyDescent="0.2">
      <c r="A6285" s="12"/>
      <c r="B6285" s="13"/>
    </row>
    <row r="6286" spans="1:2" x14ac:dyDescent="0.2">
      <c r="A6286" s="12"/>
      <c r="B6286" s="13"/>
    </row>
    <row r="6287" spans="1:2" x14ac:dyDescent="0.2">
      <c r="A6287" s="12"/>
      <c r="B6287" s="13"/>
    </row>
    <row r="6288" spans="1:2" x14ac:dyDescent="0.2">
      <c r="A6288" s="12"/>
      <c r="B6288" s="13"/>
    </row>
    <row r="6289" spans="1:2" x14ac:dyDescent="0.2">
      <c r="A6289" s="12"/>
      <c r="B6289" s="13"/>
    </row>
    <row r="6290" spans="1:2" x14ac:dyDescent="0.2">
      <c r="A6290" s="12"/>
      <c r="B6290" s="13"/>
    </row>
    <row r="6291" spans="1:2" x14ac:dyDescent="0.2">
      <c r="A6291" s="12"/>
      <c r="B6291" s="13"/>
    </row>
    <row r="6292" spans="1:2" x14ac:dyDescent="0.2">
      <c r="A6292" s="12"/>
      <c r="B6292" s="13"/>
    </row>
    <row r="6293" spans="1:2" x14ac:dyDescent="0.2">
      <c r="A6293" s="12"/>
      <c r="B6293" s="13"/>
    </row>
    <row r="6294" spans="1:2" x14ac:dyDescent="0.2">
      <c r="A6294" s="12"/>
      <c r="B6294" s="13"/>
    </row>
    <row r="6295" spans="1:2" x14ac:dyDescent="0.2">
      <c r="A6295" s="12"/>
      <c r="B6295" s="13"/>
    </row>
    <row r="6296" spans="1:2" x14ac:dyDescent="0.2">
      <c r="A6296" s="12"/>
      <c r="B6296" s="13"/>
    </row>
    <row r="6297" spans="1:2" x14ac:dyDescent="0.2">
      <c r="A6297" s="12"/>
      <c r="B6297" s="13"/>
    </row>
    <row r="6298" spans="1:2" x14ac:dyDescent="0.2">
      <c r="A6298" s="12"/>
      <c r="B6298" s="13"/>
    </row>
    <row r="6299" spans="1:2" x14ac:dyDescent="0.2">
      <c r="A6299" s="12"/>
      <c r="B6299" s="13"/>
    </row>
    <row r="6300" spans="1:2" x14ac:dyDescent="0.2">
      <c r="A6300" s="12"/>
      <c r="B6300" s="13"/>
    </row>
    <row r="6301" spans="1:2" x14ac:dyDescent="0.2">
      <c r="A6301" s="12"/>
      <c r="B6301" s="13"/>
    </row>
    <row r="6302" spans="1:2" x14ac:dyDescent="0.2">
      <c r="A6302" s="12"/>
      <c r="B6302" s="13"/>
    </row>
    <row r="6303" spans="1:2" x14ac:dyDescent="0.2">
      <c r="A6303" s="12"/>
      <c r="B6303" s="13"/>
    </row>
    <row r="6304" spans="1:2" x14ac:dyDescent="0.2">
      <c r="A6304" s="12"/>
      <c r="B6304" s="13"/>
    </row>
    <row r="6305" spans="1:2" x14ac:dyDescent="0.2">
      <c r="A6305" s="12"/>
      <c r="B6305" s="13"/>
    </row>
    <row r="6306" spans="1:2" x14ac:dyDescent="0.2">
      <c r="A6306" s="12"/>
      <c r="B6306" s="13"/>
    </row>
    <row r="6307" spans="1:2" x14ac:dyDescent="0.2">
      <c r="A6307" s="12"/>
      <c r="B6307" s="13"/>
    </row>
    <row r="6308" spans="1:2" x14ac:dyDescent="0.2">
      <c r="A6308" s="12"/>
      <c r="B6308" s="13"/>
    </row>
    <row r="6309" spans="1:2" x14ac:dyDescent="0.2">
      <c r="A6309" s="12"/>
      <c r="B6309" s="13"/>
    </row>
    <row r="6310" spans="1:2" x14ac:dyDescent="0.2">
      <c r="A6310" s="12"/>
      <c r="B6310" s="13"/>
    </row>
    <row r="6311" spans="1:2" x14ac:dyDescent="0.2">
      <c r="A6311" s="12"/>
      <c r="B6311" s="13"/>
    </row>
    <row r="6312" spans="1:2" x14ac:dyDescent="0.2">
      <c r="A6312" s="12"/>
      <c r="B6312" s="13"/>
    </row>
    <row r="6313" spans="1:2" x14ac:dyDescent="0.2">
      <c r="A6313" s="12"/>
      <c r="B6313" s="13"/>
    </row>
    <row r="6314" spans="1:2" x14ac:dyDescent="0.2">
      <c r="A6314" s="12"/>
      <c r="B6314" s="13"/>
    </row>
    <row r="6315" spans="1:2" x14ac:dyDescent="0.2">
      <c r="A6315" s="12"/>
      <c r="B6315" s="13"/>
    </row>
    <row r="6316" spans="1:2" x14ac:dyDescent="0.2">
      <c r="A6316" s="12"/>
      <c r="B6316" s="13"/>
    </row>
    <row r="6317" spans="1:2" x14ac:dyDescent="0.2">
      <c r="A6317" s="12"/>
      <c r="B6317" s="13"/>
    </row>
    <row r="6318" spans="1:2" x14ac:dyDescent="0.2">
      <c r="A6318" s="12"/>
      <c r="B6318" s="13"/>
    </row>
    <row r="6319" spans="1:2" x14ac:dyDescent="0.2">
      <c r="A6319" s="12"/>
      <c r="B6319" s="13"/>
    </row>
    <row r="6320" spans="1:2" x14ac:dyDescent="0.2">
      <c r="A6320" s="12"/>
      <c r="B6320" s="13"/>
    </row>
    <row r="6321" spans="1:2" x14ac:dyDescent="0.2">
      <c r="A6321" s="12"/>
      <c r="B6321" s="13"/>
    </row>
    <row r="6322" spans="1:2" x14ac:dyDescent="0.2">
      <c r="A6322" s="12"/>
      <c r="B6322" s="13"/>
    </row>
    <row r="6323" spans="1:2" x14ac:dyDescent="0.2">
      <c r="A6323" s="12"/>
      <c r="B6323" s="13"/>
    </row>
    <row r="6324" spans="1:2" x14ac:dyDescent="0.2">
      <c r="A6324" s="12"/>
      <c r="B6324" s="13"/>
    </row>
    <row r="6325" spans="1:2" x14ac:dyDescent="0.2">
      <c r="A6325" s="12"/>
      <c r="B6325" s="13"/>
    </row>
    <row r="6326" spans="1:2" x14ac:dyDescent="0.2">
      <c r="A6326" s="12"/>
      <c r="B6326" s="13"/>
    </row>
    <row r="6327" spans="1:2" x14ac:dyDescent="0.2">
      <c r="A6327" s="12"/>
      <c r="B6327" s="13"/>
    </row>
    <row r="6328" spans="1:2" x14ac:dyDescent="0.2">
      <c r="A6328" s="12"/>
      <c r="B6328" s="13"/>
    </row>
    <row r="6329" spans="1:2" x14ac:dyDescent="0.2">
      <c r="A6329" s="12"/>
      <c r="B6329" s="13"/>
    </row>
    <row r="6330" spans="1:2" x14ac:dyDescent="0.2">
      <c r="A6330" s="12"/>
      <c r="B6330" s="13"/>
    </row>
    <row r="6331" spans="1:2" x14ac:dyDescent="0.2">
      <c r="A6331" s="12"/>
      <c r="B6331" s="13"/>
    </row>
    <row r="6332" spans="1:2" x14ac:dyDescent="0.2">
      <c r="A6332" s="12"/>
      <c r="B6332" s="13"/>
    </row>
    <row r="6333" spans="1:2" x14ac:dyDescent="0.2">
      <c r="A6333" s="12"/>
      <c r="B6333" s="13"/>
    </row>
    <row r="6334" spans="1:2" x14ac:dyDescent="0.2">
      <c r="A6334" s="12"/>
      <c r="B6334" s="13"/>
    </row>
    <row r="6335" spans="1:2" x14ac:dyDescent="0.2">
      <c r="A6335" s="12"/>
      <c r="B6335" s="13"/>
    </row>
    <row r="6336" spans="1:2" x14ac:dyDescent="0.2">
      <c r="A6336" s="12"/>
      <c r="B6336" s="13"/>
    </row>
    <row r="6337" spans="1:2" x14ac:dyDescent="0.2">
      <c r="A6337" s="12"/>
      <c r="B6337" s="13"/>
    </row>
    <row r="6338" spans="1:2" x14ac:dyDescent="0.2">
      <c r="A6338" s="12"/>
      <c r="B6338" s="13"/>
    </row>
    <row r="6339" spans="1:2" x14ac:dyDescent="0.2">
      <c r="A6339" s="12"/>
      <c r="B6339" s="13"/>
    </row>
    <row r="6340" spans="1:2" x14ac:dyDescent="0.2">
      <c r="A6340" s="12"/>
      <c r="B6340" s="13"/>
    </row>
    <row r="6341" spans="1:2" x14ac:dyDescent="0.2">
      <c r="A6341" s="12"/>
      <c r="B6341" s="13"/>
    </row>
    <row r="6342" spans="1:2" x14ac:dyDescent="0.2">
      <c r="A6342" s="12"/>
      <c r="B6342" s="13"/>
    </row>
    <row r="6343" spans="1:2" x14ac:dyDescent="0.2">
      <c r="A6343" s="12"/>
      <c r="B6343" s="13"/>
    </row>
    <row r="6344" spans="1:2" x14ac:dyDescent="0.2">
      <c r="A6344" s="12"/>
      <c r="B6344" s="13"/>
    </row>
    <row r="6345" spans="1:2" x14ac:dyDescent="0.2">
      <c r="A6345" s="12"/>
      <c r="B6345" s="13"/>
    </row>
    <row r="6346" spans="1:2" x14ac:dyDescent="0.2">
      <c r="A6346" s="12"/>
      <c r="B6346" s="13"/>
    </row>
    <row r="6347" spans="1:2" x14ac:dyDescent="0.2">
      <c r="A6347" s="12"/>
      <c r="B6347" s="13"/>
    </row>
    <row r="6348" spans="1:2" x14ac:dyDescent="0.2">
      <c r="A6348" s="12"/>
      <c r="B6348" s="13"/>
    </row>
    <row r="6349" spans="1:2" x14ac:dyDescent="0.2">
      <c r="A6349" s="12"/>
      <c r="B6349" s="13"/>
    </row>
    <row r="6350" spans="1:2" x14ac:dyDescent="0.2">
      <c r="A6350" s="12"/>
      <c r="B6350" s="13"/>
    </row>
    <row r="6351" spans="1:2" x14ac:dyDescent="0.2">
      <c r="A6351" s="12"/>
      <c r="B6351" s="13"/>
    </row>
    <row r="6352" spans="1:2" x14ac:dyDescent="0.2">
      <c r="A6352" s="12"/>
      <c r="B6352" s="13"/>
    </row>
    <row r="6353" spans="1:2" x14ac:dyDescent="0.2">
      <c r="A6353" s="12"/>
      <c r="B6353" s="13"/>
    </row>
    <row r="6354" spans="1:2" x14ac:dyDescent="0.2">
      <c r="A6354" s="12"/>
      <c r="B6354" s="13"/>
    </row>
    <row r="6355" spans="1:2" x14ac:dyDescent="0.2">
      <c r="A6355" s="12"/>
      <c r="B6355" s="13"/>
    </row>
    <row r="6356" spans="1:2" x14ac:dyDescent="0.2">
      <c r="A6356" s="12"/>
      <c r="B6356" s="13"/>
    </row>
    <row r="6357" spans="1:2" x14ac:dyDescent="0.2">
      <c r="A6357" s="12"/>
      <c r="B6357" s="13"/>
    </row>
    <row r="6358" spans="1:2" x14ac:dyDescent="0.2">
      <c r="A6358" s="12"/>
      <c r="B6358" s="13"/>
    </row>
    <row r="6359" spans="1:2" x14ac:dyDescent="0.2">
      <c r="A6359" s="12"/>
      <c r="B6359" s="13"/>
    </row>
    <row r="6360" spans="1:2" x14ac:dyDescent="0.2">
      <c r="A6360" s="12"/>
      <c r="B6360" s="13"/>
    </row>
    <row r="6361" spans="1:2" x14ac:dyDescent="0.2">
      <c r="A6361" s="12"/>
      <c r="B6361" s="13"/>
    </row>
    <row r="6362" spans="1:2" x14ac:dyDescent="0.2">
      <c r="A6362" s="12"/>
      <c r="B6362" s="13"/>
    </row>
    <row r="6363" spans="1:2" x14ac:dyDescent="0.2">
      <c r="A6363" s="12"/>
      <c r="B6363" s="13"/>
    </row>
    <row r="6364" spans="1:2" x14ac:dyDescent="0.2">
      <c r="A6364" s="12"/>
      <c r="B6364" s="13"/>
    </row>
    <row r="6365" spans="1:2" x14ac:dyDescent="0.2">
      <c r="A6365" s="12"/>
      <c r="B6365" s="13"/>
    </row>
    <row r="6366" spans="1:2" x14ac:dyDescent="0.2">
      <c r="A6366" s="12"/>
      <c r="B6366" s="13"/>
    </row>
    <row r="6367" spans="1:2" x14ac:dyDescent="0.2">
      <c r="A6367" s="12"/>
      <c r="B6367" s="13"/>
    </row>
    <row r="6368" spans="1:2" x14ac:dyDescent="0.2">
      <c r="A6368" s="12"/>
      <c r="B6368" s="13"/>
    </row>
    <row r="6369" spans="1:2" x14ac:dyDescent="0.2">
      <c r="A6369" s="12"/>
      <c r="B6369" s="13"/>
    </row>
    <row r="6370" spans="1:2" x14ac:dyDescent="0.2">
      <c r="A6370" s="12"/>
      <c r="B6370" s="13"/>
    </row>
    <row r="6371" spans="1:2" x14ac:dyDescent="0.2">
      <c r="A6371" s="12"/>
      <c r="B6371" s="13"/>
    </row>
    <row r="6372" spans="1:2" x14ac:dyDescent="0.2">
      <c r="A6372" s="12"/>
      <c r="B6372" s="13"/>
    </row>
    <row r="6373" spans="1:2" x14ac:dyDescent="0.2">
      <c r="A6373" s="12"/>
      <c r="B6373" s="13"/>
    </row>
    <row r="6374" spans="1:2" x14ac:dyDescent="0.2">
      <c r="A6374" s="12"/>
      <c r="B6374" s="13"/>
    </row>
    <row r="6375" spans="1:2" x14ac:dyDescent="0.2">
      <c r="A6375" s="12"/>
      <c r="B6375" s="13"/>
    </row>
    <row r="6376" spans="1:2" x14ac:dyDescent="0.2">
      <c r="A6376" s="12"/>
      <c r="B6376" s="13"/>
    </row>
    <row r="6377" spans="1:2" x14ac:dyDescent="0.2">
      <c r="A6377" s="12"/>
      <c r="B6377" s="13"/>
    </row>
    <row r="6378" spans="1:2" x14ac:dyDescent="0.2">
      <c r="A6378" s="12"/>
      <c r="B6378" s="13"/>
    </row>
    <row r="6379" spans="1:2" x14ac:dyDescent="0.2">
      <c r="A6379" s="12"/>
      <c r="B6379" s="13"/>
    </row>
    <row r="6380" spans="1:2" x14ac:dyDescent="0.2">
      <c r="A6380" s="12"/>
      <c r="B6380" s="13"/>
    </row>
    <row r="6381" spans="1:2" x14ac:dyDescent="0.2">
      <c r="A6381" s="12"/>
      <c r="B6381" s="13"/>
    </row>
    <row r="6382" spans="1:2" x14ac:dyDescent="0.2">
      <c r="A6382" s="12"/>
      <c r="B6382" s="13"/>
    </row>
    <row r="6383" spans="1:2" x14ac:dyDescent="0.2">
      <c r="A6383" s="12"/>
      <c r="B6383" s="13"/>
    </row>
    <row r="6384" spans="1:2" x14ac:dyDescent="0.2">
      <c r="A6384" s="12"/>
      <c r="B6384" s="13"/>
    </row>
    <row r="6385" spans="1:2" x14ac:dyDescent="0.2">
      <c r="A6385" s="12"/>
      <c r="B6385" s="13"/>
    </row>
    <row r="6386" spans="1:2" x14ac:dyDescent="0.2">
      <c r="A6386" s="12"/>
      <c r="B6386" s="13"/>
    </row>
    <row r="6387" spans="1:2" x14ac:dyDescent="0.2">
      <c r="A6387" s="12"/>
      <c r="B6387" s="13"/>
    </row>
    <row r="6388" spans="1:2" x14ac:dyDescent="0.2">
      <c r="A6388" s="12"/>
      <c r="B6388" s="13"/>
    </row>
    <row r="6389" spans="1:2" x14ac:dyDescent="0.2">
      <c r="A6389" s="12"/>
      <c r="B6389" s="13"/>
    </row>
    <row r="6390" spans="1:2" x14ac:dyDescent="0.2">
      <c r="A6390" s="12"/>
      <c r="B6390" s="13"/>
    </row>
    <row r="6391" spans="1:2" x14ac:dyDescent="0.2">
      <c r="A6391" s="12"/>
      <c r="B6391" s="13"/>
    </row>
    <row r="6392" spans="1:2" x14ac:dyDescent="0.2">
      <c r="A6392" s="12"/>
      <c r="B6392" s="13"/>
    </row>
    <row r="6393" spans="1:2" x14ac:dyDescent="0.2">
      <c r="A6393" s="12"/>
      <c r="B6393" s="13"/>
    </row>
    <row r="6394" spans="1:2" x14ac:dyDescent="0.2">
      <c r="A6394" s="12"/>
      <c r="B6394" s="13"/>
    </row>
    <row r="6395" spans="1:2" x14ac:dyDescent="0.2">
      <c r="A6395" s="12"/>
      <c r="B6395" s="13"/>
    </row>
    <row r="6396" spans="1:2" x14ac:dyDescent="0.2">
      <c r="A6396" s="12"/>
      <c r="B6396" s="13"/>
    </row>
    <row r="6397" spans="1:2" x14ac:dyDescent="0.2">
      <c r="A6397" s="12"/>
      <c r="B6397" s="13"/>
    </row>
    <row r="6398" spans="1:2" x14ac:dyDescent="0.2">
      <c r="A6398" s="12"/>
      <c r="B6398" s="13"/>
    </row>
    <row r="6399" spans="1:2" x14ac:dyDescent="0.2">
      <c r="A6399" s="12"/>
      <c r="B6399" s="13"/>
    </row>
    <row r="6400" spans="1:2" x14ac:dyDescent="0.2">
      <c r="A6400" s="12"/>
      <c r="B6400" s="13"/>
    </row>
    <row r="6401" spans="1:2" x14ac:dyDescent="0.2">
      <c r="A6401" s="12"/>
      <c r="B6401" s="13"/>
    </row>
    <row r="6402" spans="1:2" x14ac:dyDescent="0.2">
      <c r="A6402" s="12"/>
      <c r="B6402" s="13"/>
    </row>
    <row r="6403" spans="1:2" x14ac:dyDescent="0.2">
      <c r="A6403" s="12"/>
      <c r="B6403" s="13"/>
    </row>
    <row r="6404" spans="1:2" x14ac:dyDescent="0.2">
      <c r="A6404" s="12"/>
      <c r="B6404" s="13"/>
    </row>
    <row r="6405" spans="1:2" x14ac:dyDescent="0.2">
      <c r="A6405" s="12"/>
      <c r="B6405" s="13"/>
    </row>
    <row r="6406" spans="1:2" x14ac:dyDescent="0.2">
      <c r="A6406" s="12"/>
      <c r="B6406" s="13"/>
    </row>
    <row r="6407" spans="1:2" x14ac:dyDescent="0.2">
      <c r="A6407" s="12"/>
      <c r="B6407" s="13"/>
    </row>
    <row r="6408" spans="1:2" x14ac:dyDescent="0.2">
      <c r="A6408" s="12"/>
      <c r="B6408" s="13"/>
    </row>
    <row r="6409" spans="1:2" x14ac:dyDescent="0.2">
      <c r="A6409" s="12"/>
      <c r="B6409" s="13"/>
    </row>
    <row r="6410" spans="1:2" x14ac:dyDescent="0.2">
      <c r="A6410" s="12"/>
      <c r="B6410" s="13"/>
    </row>
    <row r="6411" spans="1:2" x14ac:dyDescent="0.2">
      <c r="A6411" s="12"/>
      <c r="B6411" s="13"/>
    </row>
    <row r="6412" spans="1:2" x14ac:dyDescent="0.2">
      <c r="A6412" s="12"/>
      <c r="B6412" s="13"/>
    </row>
    <row r="6413" spans="1:2" x14ac:dyDescent="0.2">
      <c r="A6413" s="12"/>
      <c r="B6413" s="13"/>
    </row>
    <row r="6414" spans="1:2" x14ac:dyDescent="0.2">
      <c r="A6414" s="12"/>
      <c r="B6414" s="13"/>
    </row>
    <row r="6415" spans="1:2" x14ac:dyDescent="0.2">
      <c r="A6415" s="12"/>
      <c r="B6415" s="13"/>
    </row>
    <row r="6416" spans="1:2" x14ac:dyDescent="0.2">
      <c r="A6416" s="12"/>
      <c r="B6416" s="13"/>
    </row>
    <row r="6417" spans="1:2" x14ac:dyDescent="0.2">
      <c r="A6417" s="12"/>
      <c r="B6417" s="13"/>
    </row>
    <row r="6418" spans="1:2" x14ac:dyDescent="0.2">
      <c r="A6418" s="12"/>
      <c r="B6418" s="13"/>
    </row>
    <row r="6419" spans="1:2" x14ac:dyDescent="0.2">
      <c r="A6419" s="12"/>
      <c r="B6419" s="13"/>
    </row>
    <row r="6420" spans="1:2" x14ac:dyDescent="0.2">
      <c r="A6420" s="12"/>
      <c r="B6420" s="13"/>
    </row>
    <row r="6421" spans="1:2" x14ac:dyDescent="0.2">
      <c r="A6421" s="12"/>
      <c r="B6421" s="13"/>
    </row>
    <row r="6422" spans="1:2" x14ac:dyDescent="0.2">
      <c r="A6422" s="12"/>
      <c r="B6422" s="13"/>
    </row>
    <row r="6423" spans="1:2" x14ac:dyDescent="0.2">
      <c r="A6423" s="12"/>
      <c r="B6423" s="13"/>
    </row>
    <row r="6424" spans="1:2" x14ac:dyDescent="0.2">
      <c r="A6424" s="12"/>
      <c r="B6424" s="13"/>
    </row>
    <row r="6425" spans="1:2" x14ac:dyDescent="0.2">
      <c r="A6425" s="12"/>
      <c r="B6425" s="13"/>
    </row>
    <row r="6426" spans="1:2" x14ac:dyDescent="0.2">
      <c r="A6426" s="12"/>
      <c r="B6426" s="13"/>
    </row>
    <row r="6427" spans="1:2" x14ac:dyDescent="0.2">
      <c r="A6427" s="12"/>
      <c r="B6427" s="13"/>
    </row>
    <row r="6428" spans="1:2" x14ac:dyDescent="0.2">
      <c r="A6428" s="12"/>
      <c r="B6428" s="13"/>
    </row>
    <row r="6429" spans="1:2" x14ac:dyDescent="0.2">
      <c r="A6429" s="12"/>
      <c r="B6429" s="13"/>
    </row>
    <row r="6430" spans="1:2" x14ac:dyDescent="0.2">
      <c r="A6430" s="12"/>
      <c r="B6430" s="13"/>
    </row>
    <row r="6431" spans="1:2" x14ac:dyDescent="0.2">
      <c r="A6431" s="12"/>
      <c r="B6431" s="13"/>
    </row>
    <row r="6432" spans="1:2" x14ac:dyDescent="0.2">
      <c r="A6432" s="12"/>
      <c r="B6432" s="13"/>
    </row>
    <row r="6433" spans="1:2" x14ac:dyDescent="0.2">
      <c r="A6433" s="12"/>
      <c r="B6433" s="13"/>
    </row>
    <row r="6434" spans="1:2" x14ac:dyDescent="0.2">
      <c r="A6434" s="12"/>
      <c r="B6434" s="13"/>
    </row>
    <row r="6435" spans="1:2" x14ac:dyDescent="0.2">
      <c r="A6435" s="12"/>
      <c r="B6435" s="13"/>
    </row>
    <row r="6436" spans="1:2" x14ac:dyDescent="0.2">
      <c r="A6436" s="12"/>
      <c r="B6436" s="13"/>
    </row>
    <row r="6437" spans="1:2" x14ac:dyDescent="0.2">
      <c r="A6437" s="12"/>
      <c r="B6437" s="13"/>
    </row>
    <row r="6438" spans="1:2" x14ac:dyDescent="0.2">
      <c r="A6438" s="12"/>
      <c r="B6438" s="13"/>
    </row>
    <row r="6439" spans="1:2" x14ac:dyDescent="0.2">
      <c r="A6439" s="12"/>
      <c r="B6439" s="13"/>
    </row>
    <row r="6440" spans="1:2" x14ac:dyDescent="0.2">
      <c r="A6440" s="12"/>
      <c r="B6440" s="13"/>
    </row>
    <row r="6441" spans="1:2" x14ac:dyDescent="0.2">
      <c r="A6441" s="12"/>
      <c r="B6441" s="13"/>
    </row>
    <row r="6442" spans="1:2" x14ac:dyDescent="0.2">
      <c r="A6442" s="12"/>
      <c r="B6442" s="13"/>
    </row>
    <row r="6443" spans="1:2" x14ac:dyDescent="0.2">
      <c r="A6443" s="12"/>
      <c r="B6443" s="13"/>
    </row>
    <row r="6444" spans="1:2" x14ac:dyDescent="0.2">
      <c r="A6444" s="12"/>
      <c r="B6444" s="13"/>
    </row>
    <row r="6445" spans="1:2" x14ac:dyDescent="0.2">
      <c r="A6445" s="12"/>
      <c r="B6445" s="13"/>
    </row>
    <row r="6446" spans="1:2" x14ac:dyDescent="0.2">
      <c r="A6446" s="12"/>
      <c r="B6446" s="13"/>
    </row>
    <row r="6447" spans="1:2" x14ac:dyDescent="0.2">
      <c r="A6447" s="12"/>
      <c r="B6447" s="13"/>
    </row>
    <row r="6448" spans="1:2" x14ac:dyDescent="0.2">
      <c r="A6448" s="12"/>
      <c r="B6448" s="13"/>
    </row>
    <row r="6449" spans="1:2" x14ac:dyDescent="0.2">
      <c r="A6449" s="12"/>
      <c r="B6449" s="13"/>
    </row>
    <row r="6450" spans="1:2" x14ac:dyDescent="0.2">
      <c r="A6450" s="12"/>
      <c r="B6450" s="13"/>
    </row>
    <row r="6451" spans="1:2" x14ac:dyDescent="0.2">
      <c r="A6451" s="12"/>
      <c r="B6451" s="13"/>
    </row>
    <row r="6452" spans="1:2" x14ac:dyDescent="0.2">
      <c r="A6452" s="12"/>
      <c r="B6452" s="13"/>
    </row>
    <row r="6453" spans="1:2" x14ac:dyDescent="0.2">
      <c r="A6453" s="12"/>
      <c r="B6453" s="13"/>
    </row>
    <row r="6454" spans="1:2" x14ac:dyDescent="0.2">
      <c r="A6454" s="12"/>
      <c r="B6454" s="13"/>
    </row>
    <row r="6455" spans="1:2" x14ac:dyDescent="0.2">
      <c r="A6455" s="12"/>
      <c r="B6455" s="13"/>
    </row>
    <row r="6456" spans="1:2" x14ac:dyDescent="0.2">
      <c r="A6456" s="12"/>
      <c r="B6456" s="13"/>
    </row>
    <row r="6457" spans="1:2" x14ac:dyDescent="0.2">
      <c r="A6457" s="12"/>
      <c r="B6457" s="13"/>
    </row>
    <row r="6458" spans="1:2" x14ac:dyDescent="0.2">
      <c r="A6458" s="12"/>
      <c r="B6458" s="13"/>
    </row>
    <row r="6459" spans="1:2" x14ac:dyDescent="0.2">
      <c r="A6459" s="12"/>
      <c r="B6459" s="13"/>
    </row>
    <row r="6460" spans="1:2" x14ac:dyDescent="0.2">
      <c r="A6460" s="12"/>
      <c r="B6460" s="13"/>
    </row>
    <row r="6461" spans="1:2" x14ac:dyDescent="0.2">
      <c r="A6461" s="12"/>
      <c r="B6461" s="13"/>
    </row>
    <row r="6462" spans="1:2" x14ac:dyDescent="0.2">
      <c r="A6462" s="12"/>
      <c r="B6462" s="13"/>
    </row>
    <row r="6463" spans="1:2" x14ac:dyDescent="0.2">
      <c r="A6463" s="12"/>
      <c r="B6463" s="13"/>
    </row>
    <row r="6464" spans="1:2" x14ac:dyDescent="0.2">
      <c r="A6464" s="12"/>
      <c r="B6464" s="13"/>
    </row>
    <row r="6465" spans="1:2" x14ac:dyDescent="0.2">
      <c r="A6465" s="12"/>
      <c r="B6465" s="13"/>
    </row>
    <row r="6466" spans="1:2" x14ac:dyDescent="0.2">
      <c r="A6466" s="12"/>
      <c r="B6466" s="13"/>
    </row>
    <row r="6467" spans="1:2" x14ac:dyDescent="0.2">
      <c r="A6467" s="12"/>
      <c r="B6467" s="13"/>
    </row>
    <row r="6468" spans="1:2" x14ac:dyDescent="0.2">
      <c r="A6468" s="12"/>
      <c r="B6468" s="13"/>
    </row>
    <row r="6469" spans="1:2" x14ac:dyDescent="0.2">
      <c r="A6469" s="12"/>
      <c r="B6469" s="13"/>
    </row>
    <row r="6470" spans="1:2" x14ac:dyDescent="0.2">
      <c r="A6470" s="12"/>
      <c r="B6470" s="13"/>
    </row>
    <row r="6471" spans="1:2" x14ac:dyDescent="0.2">
      <c r="A6471" s="12"/>
      <c r="B6471" s="13"/>
    </row>
    <row r="6472" spans="1:2" x14ac:dyDescent="0.2">
      <c r="A6472" s="12"/>
      <c r="B6472" s="13"/>
    </row>
    <row r="6473" spans="1:2" x14ac:dyDescent="0.2">
      <c r="A6473" s="12"/>
      <c r="B6473" s="13"/>
    </row>
    <row r="6474" spans="1:2" x14ac:dyDescent="0.2">
      <c r="A6474" s="12"/>
      <c r="B6474" s="13"/>
    </row>
    <row r="6475" spans="1:2" x14ac:dyDescent="0.2">
      <c r="A6475" s="12"/>
      <c r="B6475" s="13"/>
    </row>
    <row r="6476" spans="1:2" x14ac:dyDescent="0.2">
      <c r="A6476" s="12"/>
      <c r="B6476" s="13"/>
    </row>
    <row r="6477" spans="1:2" x14ac:dyDescent="0.2">
      <c r="A6477" s="12"/>
      <c r="B6477" s="13"/>
    </row>
    <row r="6478" spans="1:2" x14ac:dyDescent="0.2">
      <c r="A6478" s="12"/>
      <c r="B6478" s="13"/>
    </row>
    <row r="6479" spans="1:2" x14ac:dyDescent="0.2">
      <c r="A6479" s="12"/>
      <c r="B6479" s="13"/>
    </row>
    <row r="6480" spans="1:2" x14ac:dyDescent="0.2">
      <c r="A6480" s="12"/>
      <c r="B6480" s="13"/>
    </row>
    <row r="6481" spans="1:2" x14ac:dyDescent="0.2">
      <c r="A6481" s="12"/>
      <c r="B6481" s="13"/>
    </row>
    <row r="6482" spans="1:2" x14ac:dyDescent="0.2">
      <c r="A6482" s="12"/>
      <c r="B6482" s="13"/>
    </row>
    <row r="6483" spans="1:2" x14ac:dyDescent="0.2">
      <c r="A6483" s="12"/>
      <c r="B6483" s="13"/>
    </row>
    <row r="6484" spans="1:2" x14ac:dyDescent="0.2">
      <c r="A6484" s="12"/>
      <c r="B6484" s="13"/>
    </row>
    <row r="6485" spans="1:2" x14ac:dyDescent="0.2">
      <c r="A6485" s="12"/>
      <c r="B6485" s="13"/>
    </row>
    <row r="6486" spans="1:2" x14ac:dyDescent="0.2">
      <c r="A6486" s="12"/>
      <c r="B6486" s="13"/>
    </row>
    <row r="6487" spans="1:2" x14ac:dyDescent="0.2">
      <c r="A6487" s="12"/>
      <c r="B6487" s="13"/>
    </row>
    <row r="6488" spans="1:2" x14ac:dyDescent="0.2">
      <c r="A6488" s="12"/>
      <c r="B6488" s="13"/>
    </row>
    <row r="6489" spans="1:2" x14ac:dyDescent="0.2">
      <c r="A6489" s="12"/>
      <c r="B6489" s="13"/>
    </row>
    <row r="6490" spans="1:2" x14ac:dyDescent="0.2">
      <c r="A6490" s="12"/>
      <c r="B6490" s="13"/>
    </row>
    <row r="6491" spans="1:2" x14ac:dyDescent="0.2">
      <c r="A6491" s="12"/>
      <c r="B6491" s="13"/>
    </row>
    <row r="6492" spans="1:2" x14ac:dyDescent="0.2">
      <c r="A6492" s="12"/>
      <c r="B6492" s="13"/>
    </row>
    <row r="6493" spans="1:2" x14ac:dyDescent="0.2">
      <c r="A6493" s="12"/>
      <c r="B6493" s="13"/>
    </row>
    <row r="6494" spans="1:2" x14ac:dyDescent="0.2">
      <c r="A6494" s="12"/>
      <c r="B6494" s="13"/>
    </row>
    <row r="6495" spans="1:2" x14ac:dyDescent="0.2">
      <c r="A6495" s="12"/>
      <c r="B6495" s="13"/>
    </row>
    <row r="6496" spans="1:2" x14ac:dyDescent="0.2">
      <c r="A6496" s="12"/>
      <c r="B6496" s="13"/>
    </row>
    <row r="6497" spans="1:2" x14ac:dyDescent="0.2">
      <c r="A6497" s="12"/>
      <c r="B6497" s="13"/>
    </row>
    <row r="6498" spans="1:2" x14ac:dyDescent="0.2">
      <c r="A6498" s="12"/>
      <c r="B6498" s="13"/>
    </row>
    <row r="6499" spans="1:2" x14ac:dyDescent="0.2">
      <c r="A6499" s="12"/>
      <c r="B6499" s="13"/>
    </row>
    <row r="6500" spans="1:2" x14ac:dyDescent="0.2">
      <c r="A6500" s="12"/>
      <c r="B6500" s="13"/>
    </row>
    <row r="6501" spans="1:2" x14ac:dyDescent="0.2">
      <c r="A6501" s="12"/>
      <c r="B6501" s="13"/>
    </row>
    <row r="6502" spans="1:2" x14ac:dyDescent="0.2">
      <c r="A6502" s="12"/>
      <c r="B6502" s="13"/>
    </row>
    <row r="6503" spans="1:2" x14ac:dyDescent="0.2">
      <c r="A6503" s="12"/>
      <c r="B6503" s="13"/>
    </row>
    <row r="6504" spans="1:2" x14ac:dyDescent="0.2">
      <c r="A6504" s="12"/>
      <c r="B6504" s="13"/>
    </row>
    <row r="6505" spans="1:2" x14ac:dyDescent="0.2">
      <c r="A6505" s="12"/>
      <c r="B6505" s="13"/>
    </row>
    <row r="6506" spans="1:2" x14ac:dyDescent="0.2">
      <c r="A6506" s="12"/>
      <c r="B6506" s="13"/>
    </row>
    <row r="6507" spans="1:2" x14ac:dyDescent="0.2">
      <c r="A6507" s="12"/>
      <c r="B6507" s="13"/>
    </row>
    <row r="6508" spans="1:2" x14ac:dyDescent="0.2">
      <c r="A6508" s="12"/>
      <c r="B6508" s="13"/>
    </row>
    <row r="6509" spans="1:2" x14ac:dyDescent="0.2">
      <c r="A6509" s="12"/>
      <c r="B6509" s="13"/>
    </row>
    <row r="6510" spans="1:2" x14ac:dyDescent="0.2">
      <c r="A6510" s="12"/>
      <c r="B6510" s="13"/>
    </row>
    <row r="6511" spans="1:2" x14ac:dyDescent="0.2">
      <c r="A6511" s="12"/>
      <c r="B6511" s="13"/>
    </row>
    <row r="6512" spans="1:2" x14ac:dyDescent="0.2">
      <c r="A6512" s="12"/>
      <c r="B6512" s="13"/>
    </row>
    <row r="6513" spans="1:2" x14ac:dyDescent="0.2">
      <c r="A6513" s="12"/>
      <c r="B6513" s="13"/>
    </row>
    <row r="6514" spans="1:2" x14ac:dyDescent="0.2">
      <c r="A6514" s="12"/>
      <c r="B6514" s="13"/>
    </row>
    <row r="6515" spans="1:2" x14ac:dyDescent="0.2">
      <c r="A6515" s="12"/>
      <c r="B6515" s="13"/>
    </row>
    <row r="6516" spans="1:2" x14ac:dyDescent="0.2">
      <c r="A6516" s="12"/>
      <c r="B6516" s="13"/>
    </row>
    <row r="6517" spans="1:2" x14ac:dyDescent="0.2">
      <c r="A6517" s="12"/>
      <c r="B6517" s="13"/>
    </row>
    <row r="6518" spans="1:2" x14ac:dyDescent="0.2">
      <c r="A6518" s="12"/>
      <c r="B6518" s="13"/>
    </row>
    <row r="6519" spans="1:2" x14ac:dyDescent="0.2">
      <c r="A6519" s="12"/>
      <c r="B6519" s="13"/>
    </row>
    <row r="6520" spans="1:2" x14ac:dyDescent="0.2">
      <c r="A6520" s="12"/>
      <c r="B6520" s="13"/>
    </row>
    <row r="6521" spans="1:2" x14ac:dyDescent="0.2">
      <c r="A6521" s="12"/>
      <c r="B6521" s="13"/>
    </row>
    <row r="6522" spans="1:2" x14ac:dyDescent="0.2">
      <c r="A6522" s="12"/>
      <c r="B6522" s="13"/>
    </row>
    <row r="6523" spans="1:2" x14ac:dyDescent="0.2">
      <c r="A6523" s="12"/>
      <c r="B6523" s="13"/>
    </row>
    <row r="6524" spans="1:2" x14ac:dyDescent="0.2">
      <c r="A6524" s="12"/>
      <c r="B6524" s="13"/>
    </row>
    <row r="6525" spans="1:2" x14ac:dyDescent="0.2">
      <c r="A6525" s="12"/>
      <c r="B6525" s="13"/>
    </row>
    <row r="6526" spans="1:2" x14ac:dyDescent="0.2">
      <c r="A6526" s="12"/>
      <c r="B6526" s="13"/>
    </row>
    <row r="6527" spans="1:2" x14ac:dyDescent="0.2">
      <c r="A6527" s="12"/>
      <c r="B6527" s="13"/>
    </row>
    <row r="6528" spans="1:2" x14ac:dyDescent="0.2">
      <c r="A6528" s="12"/>
      <c r="B6528" s="13"/>
    </row>
    <row r="6529" spans="1:2" x14ac:dyDescent="0.2">
      <c r="A6529" s="12"/>
      <c r="B6529" s="13"/>
    </row>
    <row r="6530" spans="1:2" x14ac:dyDescent="0.2">
      <c r="A6530" s="12"/>
      <c r="B6530" s="13"/>
    </row>
    <row r="6531" spans="1:2" x14ac:dyDescent="0.2">
      <c r="A6531" s="12"/>
      <c r="B6531" s="13"/>
    </row>
    <row r="6532" spans="1:2" x14ac:dyDescent="0.2">
      <c r="A6532" s="12"/>
      <c r="B6532" s="13"/>
    </row>
    <row r="6533" spans="1:2" x14ac:dyDescent="0.2">
      <c r="A6533" s="12"/>
      <c r="B6533" s="13"/>
    </row>
    <row r="6534" spans="1:2" x14ac:dyDescent="0.2">
      <c r="A6534" s="12"/>
      <c r="B6534" s="13"/>
    </row>
    <row r="6535" spans="1:2" x14ac:dyDescent="0.2">
      <c r="A6535" s="12"/>
      <c r="B6535" s="13"/>
    </row>
    <row r="6536" spans="1:2" x14ac:dyDescent="0.2">
      <c r="A6536" s="12"/>
      <c r="B6536" s="13"/>
    </row>
    <row r="6537" spans="1:2" x14ac:dyDescent="0.2">
      <c r="A6537" s="12"/>
      <c r="B6537" s="13"/>
    </row>
    <row r="6538" spans="1:2" x14ac:dyDescent="0.2">
      <c r="A6538" s="12"/>
      <c r="B6538" s="13"/>
    </row>
    <row r="6539" spans="1:2" x14ac:dyDescent="0.2">
      <c r="A6539" s="12"/>
      <c r="B6539" s="13"/>
    </row>
    <row r="6540" spans="1:2" x14ac:dyDescent="0.2">
      <c r="A6540" s="12"/>
      <c r="B6540" s="13"/>
    </row>
    <row r="6541" spans="1:2" x14ac:dyDescent="0.2">
      <c r="A6541" s="12"/>
      <c r="B6541" s="13"/>
    </row>
    <row r="6542" spans="1:2" x14ac:dyDescent="0.2">
      <c r="A6542" s="12"/>
      <c r="B6542" s="13"/>
    </row>
    <row r="6543" spans="1:2" x14ac:dyDescent="0.2">
      <c r="A6543" s="12"/>
      <c r="B6543" s="13"/>
    </row>
    <row r="6544" spans="1:2" x14ac:dyDescent="0.2">
      <c r="A6544" s="12"/>
      <c r="B6544" s="13"/>
    </row>
    <row r="6545" spans="1:2" x14ac:dyDescent="0.2">
      <c r="A6545" s="12"/>
      <c r="B6545" s="13"/>
    </row>
    <row r="6546" spans="1:2" x14ac:dyDescent="0.2">
      <c r="A6546" s="12"/>
      <c r="B6546" s="13"/>
    </row>
    <row r="6547" spans="1:2" x14ac:dyDescent="0.2">
      <c r="A6547" s="12"/>
      <c r="B6547" s="13"/>
    </row>
    <row r="6548" spans="1:2" x14ac:dyDescent="0.2">
      <c r="A6548" s="12"/>
      <c r="B6548" s="13"/>
    </row>
    <row r="6549" spans="1:2" x14ac:dyDescent="0.2">
      <c r="A6549" s="12"/>
      <c r="B6549" s="13"/>
    </row>
    <row r="6550" spans="1:2" x14ac:dyDescent="0.2">
      <c r="A6550" s="12"/>
      <c r="B6550" s="13"/>
    </row>
    <row r="6551" spans="1:2" x14ac:dyDescent="0.2">
      <c r="A6551" s="12"/>
      <c r="B6551" s="13"/>
    </row>
    <row r="6552" spans="1:2" x14ac:dyDescent="0.2">
      <c r="A6552" s="12"/>
      <c r="B6552" s="13"/>
    </row>
    <row r="6553" spans="1:2" x14ac:dyDescent="0.2">
      <c r="A6553" s="12"/>
      <c r="B6553" s="13"/>
    </row>
    <row r="6554" spans="1:2" x14ac:dyDescent="0.2">
      <c r="A6554" s="12"/>
      <c r="B6554" s="13"/>
    </row>
    <row r="6555" spans="1:2" x14ac:dyDescent="0.2">
      <c r="A6555" s="12"/>
      <c r="B6555" s="13"/>
    </row>
    <row r="6556" spans="1:2" x14ac:dyDescent="0.2">
      <c r="A6556" s="12"/>
      <c r="B6556" s="13"/>
    </row>
    <row r="6557" spans="1:2" x14ac:dyDescent="0.2">
      <c r="A6557" s="12"/>
      <c r="B6557" s="13"/>
    </row>
    <row r="6558" spans="1:2" x14ac:dyDescent="0.2">
      <c r="A6558" s="12"/>
      <c r="B6558" s="13"/>
    </row>
    <row r="6559" spans="1:2" x14ac:dyDescent="0.2">
      <c r="A6559" s="12"/>
      <c r="B6559" s="13"/>
    </row>
    <row r="6560" spans="1:2" x14ac:dyDescent="0.2">
      <c r="A6560" s="12"/>
      <c r="B6560" s="13"/>
    </row>
    <row r="6561" spans="1:2" x14ac:dyDescent="0.2">
      <c r="A6561" s="12"/>
      <c r="B6561" s="13"/>
    </row>
    <row r="6562" spans="1:2" x14ac:dyDescent="0.2">
      <c r="A6562" s="12"/>
      <c r="B6562" s="13"/>
    </row>
    <row r="6563" spans="1:2" x14ac:dyDescent="0.2">
      <c r="A6563" s="12"/>
      <c r="B6563" s="13"/>
    </row>
    <row r="6564" spans="1:2" x14ac:dyDescent="0.2">
      <c r="A6564" s="12"/>
      <c r="B6564" s="13"/>
    </row>
    <row r="6565" spans="1:2" x14ac:dyDescent="0.2">
      <c r="A6565" s="12"/>
      <c r="B6565" s="13"/>
    </row>
    <row r="6566" spans="1:2" x14ac:dyDescent="0.2">
      <c r="A6566" s="12"/>
      <c r="B6566" s="13"/>
    </row>
    <row r="6567" spans="1:2" x14ac:dyDescent="0.2">
      <c r="A6567" s="12"/>
      <c r="B6567" s="13"/>
    </row>
    <row r="6568" spans="1:2" x14ac:dyDescent="0.2">
      <c r="A6568" s="12"/>
      <c r="B6568" s="13"/>
    </row>
    <row r="6569" spans="1:2" x14ac:dyDescent="0.2">
      <c r="A6569" s="12"/>
      <c r="B6569" s="13"/>
    </row>
    <row r="6570" spans="1:2" x14ac:dyDescent="0.2">
      <c r="A6570" s="12"/>
      <c r="B6570" s="13"/>
    </row>
    <row r="6571" spans="1:2" x14ac:dyDescent="0.2">
      <c r="A6571" s="12"/>
      <c r="B6571" s="13"/>
    </row>
    <row r="6572" spans="1:2" x14ac:dyDescent="0.2">
      <c r="A6572" s="12"/>
      <c r="B6572" s="13"/>
    </row>
    <row r="6573" spans="1:2" x14ac:dyDescent="0.2">
      <c r="A6573" s="12"/>
      <c r="B6573" s="13"/>
    </row>
    <row r="6574" spans="1:2" x14ac:dyDescent="0.2">
      <c r="A6574" s="12"/>
      <c r="B6574" s="13"/>
    </row>
    <row r="6575" spans="1:2" x14ac:dyDescent="0.2">
      <c r="A6575" s="12"/>
      <c r="B6575" s="13"/>
    </row>
    <row r="6576" spans="1:2" x14ac:dyDescent="0.2">
      <c r="A6576" s="12"/>
      <c r="B6576" s="13"/>
    </row>
    <row r="6577" spans="1:2" x14ac:dyDescent="0.2">
      <c r="A6577" s="12"/>
      <c r="B6577" s="13"/>
    </row>
    <row r="6578" spans="1:2" x14ac:dyDescent="0.2">
      <c r="A6578" s="12"/>
      <c r="B6578" s="13"/>
    </row>
    <row r="6579" spans="1:2" x14ac:dyDescent="0.2">
      <c r="A6579" s="12"/>
      <c r="B6579" s="13"/>
    </row>
    <row r="6580" spans="1:2" x14ac:dyDescent="0.2">
      <c r="A6580" s="12"/>
      <c r="B6580" s="13"/>
    </row>
    <row r="6581" spans="1:2" x14ac:dyDescent="0.2">
      <c r="A6581" s="12"/>
      <c r="B6581" s="13"/>
    </row>
    <row r="6582" spans="1:2" x14ac:dyDescent="0.2">
      <c r="A6582" s="12"/>
      <c r="B6582" s="13"/>
    </row>
    <row r="6583" spans="1:2" x14ac:dyDescent="0.2">
      <c r="A6583" s="12"/>
      <c r="B6583" s="13"/>
    </row>
    <row r="6584" spans="1:2" x14ac:dyDescent="0.2">
      <c r="A6584" s="12"/>
      <c r="B6584" s="13"/>
    </row>
    <row r="6585" spans="1:2" x14ac:dyDescent="0.2">
      <c r="A6585" s="12"/>
      <c r="B6585" s="13"/>
    </row>
    <row r="6586" spans="1:2" x14ac:dyDescent="0.2">
      <c r="A6586" s="12"/>
      <c r="B6586" s="13"/>
    </row>
    <row r="6587" spans="1:2" x14ac:dyDescent="0.2">
      <c r="A6587" s="12"/>
      <c r="B6587" s="13"/>
    </row>
    <row r="6588" spans="1:2" x14ac:dyDescent="0.2">
      <c r="A6588" s="12"/>
      <c r="B6588" s="13"/>
    </row>
    <row r="6589" spans="1:2" x14ac:dyDescent="0.2">
      <c r="A6589" s="12"/>
      <c r="B6589" s="13"/>
    </row>
    <row r="6590" spans="1:2" x14ac:dyDescent="0.2">
      <c r="A6590" s="12"/>
      <c r="B6590" s="13"/>
    </row>
    <row r="6591" spans="1:2" x14ac:dyDescent="0.2">
      <c r="A6591" s="12"/>
      <c r="B6591" s="13"/>
    </row>
    <row r="6592" spans="1:2" x14ac:dyDescent="0.2">
      <c r="A6592" s="12"/>
      <c r="B6592" s="13"/>
    </row>
    <row r="6593" spans="1:2" x14ac:dyDescent="0.2">
      <c r="A6593" s="12"/>
      <c r="B6593" s="13"/>
    </row>
    <row r="6594" spans="1:2" x14ac:dyDescent="0.2">
      <c r="A6594" s="12"/>
      <c r="B6594" s="13"/>
    </row>
    <row r="6595" spans="1:2" x14ac:dyDescent="0.2">
      <c r="A6595" s="12"/>
      <c r="B6595" s="13"/>
    </row>
    <row r="6596" spans="1:2" x14ac:dyDescent="0.2">
      <c r="A6596" s="12"/>
      <c r="B6596" s="13"/>
    </row>
    <row r="6597" spans="1:2" x14ac:dyDescent="0.2">
      <c r="A6597" s="12"/>
      <c r="B6597" s="13"/>
    </row>
    <row r="6598" spans="1:2" x14ac:dyDescent="0.2">
      <c r="A6598" s="12"/>
      <c r="B6598" s="13"/>
    </row>
    <row r="6599" spans="1:2" x14ac:dyDescent="0.2">
      <c r="A6599" s="12"/>
      <c r="B6599" s="13"/>
    </row>
    <row r="6600" spans="1:2" x14ac:dyDescent="0.2">
      <c r="A6600" s="12"/>
      <c r="B6600" s="13"/>
    </row>
    <row r="6601" spans="1:2" x14ac:dyDescent="0.2">
      <c r="A6601" s="12"/>
      <c r="B6601" s="13"/>
    </row>
    <row r="6602" spans="1:2" x14ac:dyDescent="0.2">
      <c r="A6602" s="12"/>
      <c r="B6602" s="13"/>
    </row>
    <row r="6603" spans="1:2" x14ac:dyDescent="0.2">
      <c r="A6603" s="12"/>
      <c r="B6603" s="13"/>
    </row>
    <row r="6604" spans="1:2" x14ac:dyDescent="0.2">
      <c r="A6604" s="12"/>
      <c r="B6604" s="13"/>
    </row>
    <row r="6605" spans="1:2" x14ac:dyDescent="0.2">
      <c r="A6605" s="12"/>
      <c r="B6605" s="13"/>
    </row>
    <row r="6606" spans="1:2" x14ac:dyDescent="0.2">
      <c r="A6606" s="12"/>
      <c r="B6606" s="13"/>
    </row>
    <row r="6607" spans="1:2" x14ac:dyDescent="0.2">
      <c r="A6607" s="12"/>
      <c r="B6607" s="13"/>
    </row>
    <row r="6608" spans="1:2" x14ac:dyDescent="0.2">
      <c r="A6608" s="12"/>
      <c r="B6608" s="13"/>
    </row>
    <row r="6609" spans="1:2" x14ac:dyDescent="0.2">
      <c r="A6609" s="12"/>
      <c r="B6609" s="13"/>
    </row>
    <row r="6610" spans="1:2" x14ac:dyDescent="0.2">
      <c r="A6610" s="12"/>
      <c r="B6610" s="13"/>
    </row>
    <row r="6611" spans="1:2" x14ac:dyDescent="0.2">
      <c r="A6611" s="12"/>
      <c r="B6611" s="13"/>
    </row>
    <row r="6612" spans="1:2" x14ac:dyDescent="0.2">
      <c r="A6612" s="12"/>
      <c r="B6612" s="13"/>
    </row>
    <row r="6613" spans="1:2" x14ac:dyDescent="0.2">
      <c r="A6613" s="12"/>
      <c r="B6613" s="13"/>
    </row>
    <row r="6614" spans="1:2" x14ac:dyDescent="0.2">
      <c r="A6614" s="12"/>
      <c r="B6614" s="13"/>
    </row>
    <row r="6615" spans="1:2" x14ac:dyDescent="0.2">
      <c r="A6615" s="12"/>
      <c r="B6615" s="13"/>
    </row>
    <row r="6616" spans="1:2" x14ac:dyDescent="0.2">
      <c r="A6616" s="12"/>
      <c r="B6616" s="13"/>
    </row>
    <row r="6617" spans="1:2" x14ac:dyDescent="0.2">
      <c r="A6617" s="12"/>
      <c r="B6617" s="13"/>
    </row>
    <row r="6618" spans="1:2" x14ac:dyDescent="0.2">
      <c r="A6618" s="12"/>
      <c r="B6618" s="13"/>
    </row>
    <row r="6619" spans="1:2" x14ac:dyDescent="0.2">
      <c r="A6619" s="12"/>
      <c r="B6619" s="13"/>
    </row>
    <row r="6620" spans="1:2" x14ac:dyDescent="0.2">
      <c r="A6620" s="12"/>
      <c r="B6620" s="13"/>
    </row>
    <row r="6621" spans="1:2" x14ac:dyDescent="0.2">
      <c r="A6621" s="12"/>
      <c r="B6621" s="13"/>
    </row>
    <row r="6622" spans="1:2" x14ac:dyDescent="0.2">
      <c r="A6622" s="12"/>
      <c r="B6622" s="13"/>
    </row>
    <row r="6623" spans="1:2" x14ac:dyDescent="0.2">
      <c r="A6623" s="12"/>
      <c r="B6623" s="13"/>
    </row>
    <row r="6624" spans="1:2" x14ac:dyDescent="0.2">
      <c r="A6624" s="12"/>
      <c r="B6624" s="13"/>
    </row>
    <row r="6625" spans="1:2" x14ac:dyDescent="0.2">
      <c r="A6625" s="12"/>
      <c r="B6625" s="13"/>
    </row>
    <row r="6626" spans="1:2" x14ac:dyDescent="0.2">
      <c r="A6626" s="12"/>
      <c r="B6626" s="13"/>
    </row>
    <row r="6627" spans="1:2" x14ac:dyDescent="0.2">
      <c r="A6627" s="12"/>
      <c r="B6627" s="13"/>
    </row>
    <row r="6628" spans="1:2" x14ac:dyDescent="0.2">
      <c r="A6628" s="12"/>
      <c r="B6628" s="13"/>
    </row>
    <row r="6629" spans="1:2" x14ac:dyDescent="0.2">
      <c r="A6629" s="12"/>
      <c r="B6629" s="13"/>
    </row>
    <row r="6630" spans="1:2" x14ac:dyDescent="0.2">
      <c r="A6630" s="12"/>
      <c r="B6630" s="13"/>
    </row>
    <row r="6631" spans="1:2" x14ac:dyDescent="0.2">
      <c r="A6631" s="12"/>
      <c r="B6631" s="13"/>
    </row>
    <row r="6632" spans="1:2" x14ac:dyDescent="0.2">
      <c r="A6632" s="12"/>
      <c r="B6632" s="13"/>
    </row>
    <row r="6633" spans="1:2" x14ac:dyDescent="0.2">
      <c r="A6633" s="12"/>
      <c r="B6633" s="13"/>
    </row>
    <row r="6634" spans="1:2" x14ac:dyDescent="0.2">
      <c r="A6634" s="12"/>
      <c r="B6634" s="13"/>
    </row>
    <row r="6635" spans="1:2" x14ac:dyDescent="0.2">
      <c r="A6635" s="12"/>
      <c r="B6635" s="13"/>
    </row>
    <row r="6636" spans="1:2" x14ac:dyDescent="0.2">
      <c r="A6636" s="12"/>
      <c r="B6636" s="13"/>
    </row>
    <row r="6637" spans="1:2" x14ac:dyDescent="0.2">
      <c r="A6637" s="12"/>
      <c r="B6637" s="13"/>
    </row>
    <row r="6638" spans="1:2" x14ac:dyDescent="0.2">
      <c r="A6638" s="12"/>
      <c r="B6638" s="13"/>
    </row>
    <row r="6639" spans="1:2" x14ac:dyDescent="0.2">
      <c r="A6639" s="12"/>
      <c r="B6639" s="13"/>
    </row>
    <row r="6640" spans="1:2" x14ac:dyDescent="0.2">
      <c r="A6640" s="12"/>
      <c r="B6640" s="13"/>
    </row>
    <row r="6641" spans="1:2" x14ac:dyDescent="0.2">
      <c r="A6641" s="12"/>
      <c r="B6641" s="13"/>
    </row>
    <row r="6642" spans="1:2" x14ac:dyDescent="0.2">
      <c r="A6642" s="12"/>
      <c r="B6642" s="13"/>
    </row>
    <row r="6643" spans="1:2" x14ac:dyDescent="0.2">
      <c r="A6643" s="12"/>
      <c r="B6643" s="13"/>
    </row>
    <row r="6644" spans="1:2" x14ac:dyDescent="0.2">
      <c r="A6644" s="12"/>
      <c r="B6644" s="13"/>
    </row>
    <row r="6645" spans="1:2" x14ac:dyDescent="0.2">
      <c r="A6645" s="12"/>
      <c r="B6645" s="13"/>
    </row>
    <row r="6646" spans="1:2" x14ac:dyDescent="0.2">
      <c r="A6646" s="12"/>
      <c r="B6646" s="13"/>
    </row>
    <row r="6647" spans="1:2" x14ac:dyDescent="0.2">
      <c r="A6647" s="12"/>
      <c r="B6647" s="13"/>
    </row>
    <row r="6648" spans="1:2" x14ac:dyDescent="0.2">
      <c r="A6648" s="12"/>
      <c r="B6648" s="13"/>
    </row>
    <row r="6649" spans="1:2" x14ac:dyDescent="0.2">
      <c r="A6649" s="12"/>
      <c r="B6649" s="13"/>
    </row>
    <row r="6650" spans="1:2" x14ac:dyDescent="0.2">
      <c r="A6650" s="12"/>
      <c r="B6650" s="13"/>
    </row>
    <row r="6651" spans="1:2" x14ac:dyDescent="0.2">
      <c r="A6651" s="12"/>
      <c r="B6651" s="13"/>
    </row>
    <row r="6652" spans="1:2" x14ac:dyDescent="0.2">
      <c r="A6652" s="12"/>
      <c r="B6652" s="13"/>
    </row>
    <row r="6653" spans="1:2" x14ac:dyDescent="0.2">
      <c r="A6653" s="12"/>
      <c r="B6653" s="13"/>
    </row>
    <row r="6654" spans="1:2" x14ac:dyDescent="0.2">
      <c r="A6654" s="12"/>
      <c r="B6654" s="13"/>
    </row>
    <row r="6655" spans="1:2" x14ac:dyDescent="0.2">
      <c r="A6655" s="12"/>
      <c r="B6655" s="13"/>
    </row>
    <row r="6656" spans="1:2" x14ac:dyDescent="0.2">
      <c r="A6656" s="12"/>
      <c r="B6656" s="13"/>
    </row>
    <row r="6657" spans="1:2" x14ac:dyDescent="0.2">
      <c r="A6657" s="12"/>
      <c r="B6657" s="13"/>
    </row>
    <row r="6658" spans="1:2" x14ac:dyDescent="0.2">
      <c r="A6658" s="12"/>
      <c r="B6658" s="13"/>
    </row>
    <row r="6659" spans="1:2" x14ac:dyDescent="0.2">
      <c r="A6659" s="12"/>
      <c r="B6659" s="13"/>
    </row>
    <row r="6660" spans="1:2" x14ac:dyDescent="0.2">
      <c r="A6660" s="12"/>
      <c r="B6660" s="13"/>
    </row>
    <row r="6661" spans="1:2" x14ac:dyDescent="0.2">
      <c r="A6661" s="12"/>
      <c r="B6661" s="13"/>
    </row>
    <row r="6662" spans="1:2" x14ac:dyDescent="0.2">
      <c r="A6662" s="12"/>
      <c r="B6662" s="13"/>
    </row>
    <row r="6663" spans="1:2" x14ac:dyDescent="0.2">
      <c r="A6663" s="12"/>
      <c r="B6663" s="13"/>
    </row>
    <row r="6664" spans="1:2" x14ac:dyDescent="0.2">
      <c r="A6664" s="12"/>
      <c r="B6664" s="13"/>
    </row>
    <row r="6665" spans="1:2" x14ac:dyDescent="0.2">
      <c r="A6665" s="12"/>
      <c r="B6665" s="13"/>
    </row>
    <row r="6666" spans="1:2" x14ac:dyDescent="0.2">
      <c r="A6666" s="12"/>
      <c r="B6666" s="13"/>
    </row>
    <row r="6667" spans="1:2" x14ac:dyDescent="0.2">
      <c r="A6667" s="12"/>
      <c r="B6667" s="13"/>
    </row>
    <row r="6668" spans="1:2" x14ac:dyDescent="0.2">
      <c r="A6668" s="12"/>
      <c r="B6668" s="13"/>
    </row>
    <row r="6669" spans="1:2" x14ac:dyDescent="0.2">
      <c r="A6669" s="12"/>
      <c r="B6669" s="13"/>
    </row>
    <row r="6670" spans="1:2" x14ac:dyDescent="0.2">
      <c r="A6670" s="12"/>
      <c r="B6670" s="13"/>
    </row>
    <row r="6671" spans="1:2" x14ac:dyDescent="0.2">
      <c r="A6671" s="12"/>
      <c r="B6671" s="13"/>
    </row>
    <row r="6672" spans="1:2" x14ac:dyDescent="0.2">
      <c r="A6672" s="12"/>
      <c r="B6672" s="13"/>
    </row>
    <row r="6673" spans="1:2" x14ac:dyDescent="0.2">
      <c r="A6673" s="12"/>
      <c r="B6673" s="13"/>
    </row>
    <row r="6674" spans="1:2" x14ac:dyDescent="0.2">
      <c r="A6674" s="12"/>
      <c r="B6674" s="13"/>
    </row>
    <row r="6675" spans="1:2" x14ac:dyDescent="0.2">
      <c r="A6675" s="12"/>
      <c r="B6675" s="13"/>
    </row>
    <row r="6676" spans="1:2" x14ac:dyDescent="0.2">
      <c r="A6676" s="12"/>
      <c r="B6676" s="13"/>
    </row>
    <row r="6677" spans="1:2" x14ac:dyDescent="0.2">
      <c r="A6677" s="12"/>
      <c r="B6677" s="13"/>
    </row>
    <row r="6678" spans="1:2" x14ac:dyDescent="0.2">
      <c r="A6678" s="12"/>
      <c r="B6678" s="13"/>
    </row>
    <row r="6679" spans="1:2" x14ac:dyDescent="0.2">
      <c r="A6679" s="12"/>
      <c r="B6679" s="13"/>
    </row>
    <row r="6680" spans="1:2" x14ac:dyDescent="0.2">
      <c r="A6680" s="12"/>
      <c r="B6680" s="13"/>
    </row>
    <row r="6681" spans="1:2" x14ac:dyDescent="0.2">
      <c r="A6681" s="12"/>
      <c r="B6681" s="13"/>
    </row>
    <row r="6682" spans="1:2" x14ac:dyDescent="0.2">
      <c r="A6682" s="12"/>
      <c r="B6682" s="13"/>
    </row>
    <row r="6683" spans="1:2" x14ac:dyDescent="0.2">
      <c r="A6683" s="12"/>
      <c r="B6683" s="13"/>
    </row>
    <row r="6684" spans="1:2" x14ac:dyDescent="0.2">
      <c r="A6684" s="12"/>
      <c r="B6684" s="13"/>
    </row>
    <row r="6685" spans="1:2" x14ac:dyDescent="0.2">
      <c r="A6685" s="12"/>
      <c r="B6685" s="13"/>
    </row>
    <row r="6686" spans="1:2" x14ac:dyDescent="0.2">
      <c r="A6686" s="12"/>
      <c r="B6686" s="13"/>
    </row>
    <row r="6687" spans="1:2" x14ac:dyDescent="0.2">
      <c r="A6687" s="12"/>
      <c r="B6687" s="13"/>
    </row>
    <row r="6688" spans="1:2" x14ac:dyDescent="0.2">
      <c r="A6688" s="12"/>
      <c r="B6688" s="13"/>
    </row>
    <row r="6689" spans="1:2" x14ac:dyDescent="0.2">
      <c r="A6689" s="12"/>
      <c r="B6689" s="13"/>
    </row>
    <row r="6690" spans="1:2" x14ac:dyDescent="0.2">
      <c r="A6690" s="12"/>
      <c r="B6690" s="13"/>
    </row>
    <row r="6691" spans="1:2" x14ac:dyDescent="0.2">
      <c r="A6691" s="12"/>
      <c r="B6691" s="13"/>
    </row>
    <row r="6692" spans="1:2" x14ac:dyDescent="0.2">
      <c r="A6692" s="12"/>
      <c r="B6692" s="13"/>
    </row>
    <row r="6693" spans="1:2" x14ac:dyDescent="0.2">
      <c r="A6693" s="12"/>
      <c r="B6693" s="13"/>
    </row>
    <row r="6694" spans="1:2" x14ac:dyDescent="0.2">
      <c r="A6694" s="12"/>
      <c r="B6694" s="13"/>
    </row>
    <row r="6695" spans="1:2" x14ac:dyDescent="0.2">
      <c r="A6695" s="12"/>
      <c r="B6695" s="13"/>
    </row>
    <row r="6696" spans="1:2" x14ac:dyDescent="0.2">
      <c r="A6696" s="12"/>
      <c r="B6696" s="13"/>
    </row>
    <row r="6697" spans="1:2" x14ac:dyDescent="0.2">
      <c r="A6697" s="12"/>
      <c r="B6697" s="13"/>
    </row>
    <row r="6698" spans="1:2" x14ac:dyDescent="0.2">
      <c r="A6698" s="12"/>
      <c r="B6698" s="13"/>
    </row>
    <row r="6699" spans="1:2" x14ac:dyDescent="0.2">
      <c r="A6699" s="12"/>
      <c r="B6699" s="13"/>
    </row>
    <row r="6700" spans="1:2" x14ac:dyDescent="0.2">
      <c r="A6700" s="12"/>
      <c r="B6700" s="13"/>
    </row>
    <row r="6701" spans="1:2" x14ac:dyDescent="0.2">
      <c r="A6701" s="12"/>
      <c r="B6701" s="13"/>
    </row>
    <row r="6702" spans="1:2" x14ac:dyDescent="0.2">
      <c r="A6702" s="12"/>
      <c r="B6702" s="13"/>
    </row>
    <row r="6703" spans="1:2" x14ac:dyDescent="0.2">
      <c r="A6703" s="12"/>
      <c r="B6703" s="13"/>
    </row>
    <row r="6704" spans="1:2" x14ac:dyDescent="0.2">
      <c r="A6704" s="12"/>
      <c r="B6704" s="13"/>
    </row>
    <row r="6705" spans="1:2" x14ac:dyDescent="0.2">
      <c r="A6705" s="12"/>
      <c r="B6705" s="13"/>
    </row>
    <row r="6706" spans="1:2" x14ac:dyDescent="0.2">
      <c r="A6706" s="12"/>
      <c r="B6706" s="13"/>
    </row>
    <row r="6707" spans="1:2" x14ac:dyDescent="0.2">
      <c r="A6707" s="12"/>
      <c r="B6707" s="13"/>
    </row>
    <row r="6708" spans="1:2" x14ac:dyDescent="0.2">
      <c r="A6708" s="12"/>
      <c r="B6708" s="13"/>
    </row>
    <row r="6709" spans="1:2" x14ac:dyDescent="0.2">
      <c r="A6709" s="12"/>
      <c r="B6709" s="13"/>
    </row>
    <row r="6710" spans="1:2" x14ac:dyDescent="0.2">
      <c r="A6710" s="12"/>
      <c r="B6710" s="13"/>
    </row>
    <row r="6711" spans="1:2" x14ac:dyDescent="0.2">
      <c r="A6711" s="12"/>
      <c r="B6711" s="13"/>
    </row>
    <row r="6712" spans="1:2" x14ac:dyDescent="0.2">
      <c r="A6712" s="12"/>
      <c r="B6712" s="13"/>
    </row>
    <row r="6713" spans="1:2" x14ac:dyDescent="0.2">
      <c r="A6713" s="12"/>
      <c r="B6713" s="13"/>
    </row>
    <row r="6714" spans="1:2" x14ac:dyDescent="0.2">
      <c r="A6714" s="12"/>
      <c r="B6714" s="13"/>
    </row>
    <row r="6715" spans="1:2" x14ac:dyDescent="0.2">
      <c r="A6715" s="12"/>
      <c r="B6715" s="13"/>
    </row>
    <row r="6716" spans="1:2" x14ac:dyDescent="0.2">
      <c r="A6716" s="12"/>
      <c r="B6716" s="13"/>
    </row>
    <row r="6717" spans="1:2" x14ac:dyDescent="0.2">
      <c r="A6717" s="12"/>
      <c r="B6717" s="13"/>
    </row>
    <row r="6718" spans="1:2" x14ac:dyDescent="0.2">
      <c r="A6718" s="12"/>
      <c r="B6718" s="13"/>
    </row>
    <row r="6719" spans="1:2" x14ac:dyDescent="0.2">
      <c r="A6719" s="12"/>
      <c r="B6719" s="13"/>
    </row>
    <row r="6720" spans="1:2" x14ac:dyDescent="0.2">
      <c r="A6720" s="12"/>
      <c r="B6720" s="13"/>
    </row>
    <row r="6721" spans="1:2" x14ac:dyDescent="0.2">
      <c r="A6721" s="12"/>
      <c r="B6721" s="13"/>
    </row>
    <row r="6722" spans="1:2" x14ac:dyDescent="0.2">
      <c r="A6722" s="12"/>
      <c r="B6722" s="13"/>
    </row>
    <row r="6723" spans="1:2" x14ac:dyDescent="0.2">
      <c r="A6723" s="12"/>
      <c r="B6723" s="13"/>
    </row>
    <row r="6724" spans="1:2" x14ac:dyDescent="0.2">
      <c r="A6724" s="12"/>
      <c r="B6724" s="13"/>
    </row>
    <row r="6725" spans="1:2" x14ac:dyDescent="0.2">
      <c r="A6725" s="12"/>
      <c r="B6725" s="13"/>
    </row>
    <row r="6726" spans="1:2" x14ac:dyDescent="0.2">
      <c r="A6726" s="12"/>
      <c r="B6726" s="13"/>
    </row>
    <row r="6727" spans="1:2" x14ac:dyDescent="0.2">
      <c r="A6727" s="12"/>
      <c r="B6727" s="13"/>
    </row>
    <row r="6728" spans="1:2" x14ac:dyDescent="0.2">
      <c r="A6728" s="12"/>
      <c r="B6728" s="13"/>
    </row>
    <row r="6729" spans="1:2" x14ac:dyDescent="0.2">
      <c r="A6729" s="12"/>
      <c r="B6729" s="13"/>
    </row>
    <row r="6730" spans="1:2" x14ac:dyDescent="0.2">
      <c r="A6730" s="12"/>
      <c r="B6730" s="13"/>
    </row>
    <row r="6731" spans="1:2" x14ac:dyDescent="0.2">
      <c r="A6731" s="12"/>
      <c r="B6731" s="13"/>
    </row>
    <row r="6732" spans="1:2" x14ac:dyDescent="0.2">
      <c r="A6732" s="12"/>
      <c r="B6732" s="13"/>
    </row>
    <row r="6733" spans="1:2" x14ac:dyDescent="0.2">
      <c r="A6733" s="12"/>
      <c r="B6733" s="13"/>
    </row>
    <row r="6734" spans="1:2" x14ac:dyDescent="0.2">
      <c r="A6734" s="12"/>
      <c r="B6734" s="13"/>
    </row>
    <row r="6735" spans="1:2" x14ac:dyDescent="0.2">
      <c r="A6735" s="12"/>
      <c r="B6735" s="13"/>
    </row>
    <row r="6736" spans="1:2" x14ac:dyDescent="0.2">
      <c r="A6736" s="12"/>
      <c r="B6736" s="13"/>
    </row>
    <row r="6737" spans="1:2" x14ac:dyDescent="0.2">
      <c r="A6737" s="12"/>
      <c r="B6737" s="13"/>
    </row>
    <row r="6738" spans="1:2" x14ac:dyDescent="0.2">
      <c r="A6738" s="12"/>
      <c r="B6738" s="13"/>
    </row>
    <row r="6739" spans="1:2" x14ac:dyDescent="0.2">
      <c r="A6739" s="12"/>
      <c r="B6739" s="13"/>
    </row>
    <row r="6740" spans="1:2" x14ac:dyDescent="0.2">
      <c r="A6740" s="12"/>
      <c r="B6740" s="13"/>
    </row>
    <row r="6741" spans="1:2" x14ac:dyDescent="0.2">
      <c r="A6741" s="12"/>
      <c r="B6741" s="13"/>
    </row>
    <row r="6742" spans="1:2" x14ac:dyDescent="0.2">
      <c r="A6742" s="12"/>
      <c r="B6742" s="13"/>
    </row>
    <row r="6743" spans="1:2" x14ac:dyDescent="0.2">
      <c r="A6743" s="12"/>
      <c r="B6743" s="13"/>
    </row>
    <row r="6744" spans="1:2" x14ac:dyDescent="0.2">
      <c r="A6744" s="12"/>
      <c r="B6744" s="13"/>
    </row>
    <row r="6745" spans="1:2" x14ac:dyDescent="0.2">
      <c r="A6745" s="12"/>
      <c r="B6745" s="13"/>
    </row>
    <row r="6746" spans="1:2" x14ac:dyDescent="0.2">
      <c r="A6746" s="12"/>
      <c r="B6746" s="13"/>
    </row>
    <row r="6747" spans="1:2" x14ac:dyDescent="0.2">
      <c r="A6747" s="12"/>
      <c r="B6747" s="13"/>
    </row>
    <row r="6748" spans="1:2" x14ac:dyDescent="0.2">
      <c r="A6748" s="12"/>
      <c r="B6748" s="13"/>
    </row>
    <row r="6749" spans="1:2" x14ac:dyDescent="0.2">
      <c r="A6749" s="12"/>
      <c r="B6749" s="13"/>
    </row>
    <row r="6750" spans="1:2" x14ac:dyDescent="0.2">
      <c r="A6750" s="12"/>
      <c r="B6750" s="13"/>
    </row>
    <row r="6751" spans="1:2" x14ac:dyDescent="0.2">
      <c r="A6751" s="12"/>
      <c r="B6751" s="13"/>
    </row>
    <row r="6752" spans="1:2" x14ac:dyDescent="0.2">
      <c r="A6752" s="12"/>
      <c r="B6752" s="13"/>
    </row>
    <row r="6753" spans="1:2" x14ac:dyDescent="0.2">
      <c r="A6753" s="12"/>
      <c r="B6753" s="13"/>
    </row>
    <row r="6754" spans="1:2" x14ac:dyDescent="0.2">
      <c r="A6754" s="12"/>
      <c r="B6754" s="13"/>
    </row>
    <row r="6755" spans="1:2" x14ac:dyDescent="0.2">
      <c r="A6755" s="12"/>
      <c r="B6755" s="13"/>
    </row>
    <row r="6756" spans="1:2" x14ac:dyDescent="0.2">
      <c r="A6756" s="12"/>
      <c r="B6756" s="13"/>
    </row>
    <row r="6757" spans="1:2" x14ac:dyDescent="0.2">
      <c r="A6757" s="12"/>
      <c r="B6757" s="13"/>
    </row>
    <row r="6758" spans="1:2" x14ac:dyDescent="0.2">
      <c r="A6758" s="12"/>
      <c r="B6758" s="13"/>
    </row>
    <row r="6759" spans="1:2" x14ac:dyDescent="0.2">
      <c r="A6759" s="12"/>
      <c r="B6759" s="13"/>
    </row>
    <row r="6760" spans="1:2" x14ac:dyDescent="0.2">
      <c r="A6760" s="12"/>
      <c r="B6760" s="13"/>
    </row>
    <row r="6761" spans="1:2" x14ac:dyDescent="0.2">
      <c r="A6761" s="12"/>
      <c r="B6761" s="13"/>
    </row>
    <row r="6762" spans="1:2" x14ac:dyDescent="0.2">
      <c r="A6762" s="12"/>
      <c r="B6762" s="13"/>
    </row>
    <row r="6763" spans="1:2" x14ac:dyDescent="0.2">
      <c r="A6763" s="12"/>
      <c r="B6763" s="13"/>
    </row>
    <row r="6764" spans="1:2" x14ac:dyDescent="0.2">
      <c r="A6764" s="12"/>
      <c r="B6764" s="13"/>
    </row>
    <row r="6765" spans="1:2" x14ac:dyDescent="0.2">
      <c r="A6765" s="12"/>
      <c r="B6765" s="13"/>
    </row>
    <row r="6766" spans="1:2" x14ac:dyDescent="0.2">
      <c r="A6766" s="12"/>
      <c r="B6766" s="13"/>
    </row>
    <row r="6767" spans="1:2" x14ac:dyDescent="0.2">
      <c r="A6767" s="12"/>
      <c r="B6767" s="13"/>
    </row>
    <row r="6768" spans="1:2" x14ac:dyDescent="0.2">
      <c r="A6768" s="12"/>
      <c r="B6768" s="13"/>
    </row>
    <row r="6769" spans="1:2" x14ac:dyDescent="0.2">
      <c r="A6769" s="12"/>
      <c r="B6769" s="13"/>
    </row>
    <row r="6770" spans="1:2" x14ac:dyDescent="0.2">
      <c r="A6770" s="12"/>
      <c r="B6770" s="13"/>
    </row>
    <row r="6771" spans="1:2" x14ac:dyDescent="0.2">
      <c r="A6771" s="12"/>
      <c r="B6771" s="13"/>
    </row>
    <row r="6772" spans="1:2" x14ac:dyDescent="0.2">
      <c r="A6772" s="12"/>
      <c r="B6772" s="13"/>
    </row>
    <row r="6773" spans="1:2" x14ac:dyDescent="0.2">
      <c r="A6773" s="12"/>
      <c r="B6773" s="13"/>
    </row>
    <row r="6774" spans="1:2" x14ac:dyDescent="0.2">
      <c r="A6774" s="12"/>
      <c r="B6774" s="13"/>
    </row>
    <row r="6775" spans="1:2" x14ac:dyDescent="0.2">
      <c r="A6775" s="12"/>
      <c r="B6775" s="13"/>
    </row>
    <row r="6776" spans="1:2" x14ac:dyDescent="0.2">
      <c r="A6776" s="12"/>
      <c r="B6776" s="13"/>
    </row>
    <row r="6777" spans="1:2" x14ac:dyDescent="0.2">
      <c r="A6777" s="12"/>
      <c r="B6777" s="13"/>
    </row>
    <row r="6778" spans="1:2" x14ac:dyDescent="0.2">
      <c r="A6778" s="12"/>
      <c r="B6778" s="13"/>
    </row>
    <row r="6779" spans="1:2" x14ac:dyDescent="0.2">
      <c r="A6779" s="12"/>
      <c r="B6779" s="13"/>
    </row>
    <row r="6780" spans="1:2" x14ac:dyDescent="0.2">
      <c r="A6780" s="12"/>
      <c r="B6780" s="13"/>
    </row>
    <row r="6781" spans="1:2" x14ac:dyDescent="0.2">
      <c r="A6781" s="12"/>
      <c r="B6781" s="13"/>
    </row>
    <row r="6782" spans="1:2" x14ac:dyDescent="0.2">
      <c r="A6782" s="12"/>
      <c r="B6782" s="13"/>
    </row>
    <row r="6783" spans="1:2" x14ac:dyDescent="0.2">
      <c r="A6783" s="12"/>
      <c r="B6783" s="13"/>
    </row>
    <row r="6784" spans="1:2" x14ac:dyDescent="0.2">
      <c r="A6784" s="12"/>
      <c r="B6784" s="13"/>
    </row>
    <row r="6785" spans="1:2" x14ac:dyDescent="0.2">
      <c r="A6785" s="12"/>
      <c r="B6785" s="13"/>
    </row>
    <row r="6786" spans="1:2" x14ac:dyDescent="0.2">
      <c r="A6786" s="12"/>
      <c r="B6786" s="13"/>
    </row>
    <row r="6787" spans="1:2" x14ac:dyDescent="0.2">
      <c r="A6787" s="12"/>
      <c r="B6787" s="13"/>
    </row>
    <row r="6788" spans="1:2" x14ac:dyDescent="0.2">
      <c r="A6788" s="12"/>
      <c r="B6788" s="13"/>
    </row>
    <row r="6789" spans="1:2" x14ac:dyDescent="0.2">
      <c r="A6789" s="12"/>
      <c r="B6789" s="13"/>
    </row>
    <row r="6790" spans="1:2" x14ac:dyDescent="0.2">
      <c r="A6790" s="12"/>
      <c r="B6790" s="13"/>
    </row>
    <row r="6791" spans="1:2" x14ac:dyDescent="0.2">
      <c r="A6791" s="12"/>
      <c r="B6791" s="13"/>
    </row>
    <row r="6792" spans="1:2" x14ac:dyDescent="0.2">
      <c r="A6792" s="12"/>
      <c r="B6792" s="13"/>
    </row>
    <row r="6793" spans="1:2" x14ac:dyDescent="0.2">
      <c r="A6793" s="12"/>
      <c r="B6793" s="13"/>
    </row>
    <row r="6794" spans="1:2" x14ac:dyDescent="0.2">
      <c r="A6794" s="12"/>
      <c r="B6794" s="13"/>
    </row>
    <row r="6795" spans="1:2" x14ac:dyDescent="0.2">
      <c r="A6795" s="12"/>
      <c r="B6795" s="13"/>
    </row>
    <row r="6796" spans="1:2" x14ac:dyDescent="0.2">
      <c r="A6796" s="12"/>
      <c r="B6796" s="13"/>
    </row>
    <row r="6797" spans="1:2" x14ac:dyDescent="0.2">
      <c r="A6797" s="12"/>
      <c r="B6797" s="13"/>
    </row>
    <row r="6798" spans="1:2" x14ac:dyDescent="0.2">
      <c r="A6798" s="12"/>
      <c r="B6798" s="13"/>
    </row>
    <row r="6799" spans="1:2" x14ac:dyDescent="0.2">
      <c r="A6799" s="12"/>
      <c r="B6799" s="13"/>
    </row>
    <row r="6800" spans="1:2" x14ac:dyDescent="0.2">
      <c r="A6800" s="12"/>
      <c r="B6800" s="13"/>
    </row>
    <row r="6801" spans="1:2" x14ac:dyDescent="0.2">
      <c r="A6801" s="12"/>
      <c r="B6801" s="13"/>
    </row>
    <row r="6802" spans="1:2" x14ac:dyDescent="0.2">
      <c r="A6802" s="12"/>
      <c r="B6802" s="13"/>
    </row>
    <row r="6803" spans="1:2" x14ac:dyDescent="0.2">
      <c r="A6803" s="12"/>
      <c r="B6803" s="13"/>
    </row>
    <row r="6804" spans="1:2" x14ac:dyDescent="0.2">
      <c r="A6804" s="12"/>
      <c r="B6804" s="13"/>
    </row>
    <row r="6805" spans="1:2" x14ac:dyDescent="0.2">
      <c r="A6805" s="12"/>
      <c r="B6805" s="13"/>
    </row>
    <row r="6806" spans="1:2" x14ac:dyDescent="0.2">
      <c r="A6806" s="12"/>
      <c r="B6806" s="13"/>
    </row>
    <row r="6807" spans="1:2" x14ac:dyDescent="0.2">
      <c r="A6807" s="12"/>
      <c r="B6807" s="13"/>
    </row>
    <row r="6808" spans="1:2" x14ac:dyDescent="0.2">
      <c r="A6808" s="12"/>
      <c r="B6808" s="13"/>
    </row>
    <row r="6809" spans="1:2" x14ac:dyDescent="0.2">
      <c r="A6809" s="12"/>
      <c r="B6809" s="13"/>
    </row>
    <row r="6810" spans="1:2" x14ac:dyDescent="0.2">
      <c r="A6810" s="12"/>
      <c r="B6810" s="13"/>
    </row>
    <row r="6811" spans="1:2" x14ac:dyDescent="0.2">
      <c r="A6811" s="12"/>
      <c r="B6811" s="13"/>
    </row>
    <row r="6812" spans="1:2" x14ac:dyDescent="0.2">
      <c r="A6812" s="12"/>
      <c r="B6812" s="13"/>
    </row>
    <row r="6813" spans="1:2" x14ac:dyDescent="0.2">
      <c r="A6813" s="12"/>
      <c r="B6813" s="13"/>
    </row>
    <row r="6814" spans="1:2" x14ac:dyDescent="0.2">
      <c r="A6814" s="12"/>
      <c r="B6814" s="13"/>
    </row>
    <row r="6815" spans="1:2" x14ac:dyDescent="0.2">
      <c r="A6815" s="12"/>
      <c r="B6815" s="13"/>
    </row>
    <row r="6816" spans="1:2" x14ac:dyDescent="0.2">
      <c r="A6816" s="12"/>
      <c r="B6816" s="13"/>
    </row>
    <row r="6817" spans="1:2" x14ac:dyDescent="0.2">
      <c r="A6817" s="12"/>
      <c r="B6817" s="13"/>
    </row>
    <row r="6818" spans="1:2" x14ac:dyDescent="0.2">
      <c r="A6818" s="12"/>
      <c r="B6818" s="13"/>
    </row>
    <row r="6819" spans="1:2" x14ac:dyDescent="0.2">
      <c r="A6819" s="12"/>
      <c r="B6819" s="13"/>
    </row>
    <row r="6820" spans="1:2" x14ac:dyDescent="0.2">
      <c r="A6820" s="12"/>
      <c r="B6820" s="13"/>
    </row>
    <row r="6821" spans="1:2" x14ac:dyDescent="0.2">
      <c r="A6821" s="12"/>
      <c r="B6821" s="13"/>
    </row>
    <row r="6822" spans="1:2" x14ac:dyDescent="0.2">
      <c r="A6822" s="12"/>
      <c r="B6822" s="13"/>
    </row>
    <row r="6823" spans="1:2" x14ac:dyDescent="0.2">
      <c r="A6823" s="12"/>
      <c r="B6823" s="13"/>
    </row>
    <row r="6824" spans="1:2" x14ac:dyDescent="0.2">
      <c r="A6824" s="12"/>
      <c r="B6824" s="13"/>
    </row>
    <row r="6825" spans="1:2" x14ac:dyDescent="0.2">
      <c r="A6825" s="12"/>
      <c r="B6825" s="13"/>
    </row>
    <row r="6826" spans="1:2" x14ac:dyDescent="0.2">
      <c r="A6826" s="12"/>
      <c r="B6826" s="13"/>
    </row>
    <row r="6827" spans="1:2" x14ac:dyDescent="0.2">
      <c r="A6827" s="12"/>
      <c r="B6827" s="13"/>
    </row>
    <row r="6828" spans="1:2" x14ac:dyDescent="0.2">
      <c r="A6828" s="12"/>
      <c r="B6828" s="13"/>
    </row>
    <row r="6829" spans="1:2" x14ac:dyDescent="0.2">
      <c r="A6829" s="12"/>
      <c r="B6829" s="13"/>
    </row>
    <row r="6830" spans="1:2" x14ac:dyDescent="0.2">
      <c r="A6830" s="12"/>
      <c r="B6830" s="13"/>
    </row>
    <row r="6831" spans="1:2" x14ac:dyDescent="0.2">
      <c r="A6831" s="12"/>
      <c r="B6831" s="13"/>
    </row>
    <row r="6832" spans="1:2" x14ac:dyDescent="0.2">
      <c r="A6832" s="12"/>
      <c r="B6832" s="13"/>
    </row>
    <row r="6833" spans="1:2" x14ac:dyDescent="0.2">
      <c r="A6833" s="12"/>
      <c r="B6833" s="13"/>
    </row>
    <row r="6834" spans="1:2" x14ac:dyDescent="0.2">
      <c r="A6834" s="12"/>
      <c r="B6834" s="13"/>
    </row>
    <row r="6835" spans="1:2" x14ac:dyDescent="0.2">
      <c r="A6835" s="12"/>
      <c r="B6835" s="13"/>
    </row>
    <row r="6836" spans="1:2" x14ac:dyDescent="0.2">
      <c r="A6836" s="12"/>
      <c r="B6836" s="13"/>
    </row>
    <row r="6837" spans="1:2" x14ac:dyDescent="0.2">
      <c r="A6837" s="12"/>
      <c r="B6837" s="13"/>
    </row>
    <row r="6838" spans="1:2" x14ac:dyDescent="0.2">
      <c r="A6838" s="12"/>
      <c r="B6838" s="13"/>
    </row>
    <row r="6839" spans="1:2" x14ac:dyDescent="0.2">
      <c r="A6839" s="12"/>
      <c r="B6839" s="13"/>
    </row>
    <row r="6840" spans="1:2" x14ac:dyDescent="0.2">
      <c r="A6840" s="12"/>
      <c r="B6840" s="13"/>
    </row>
    <row r="6841" spans="1:2" x14ac:dyDescent="0.2">
      <c r="A6841" s="12"/>
      <c r="B6841" s="13"/>
    </row>
    <row r="6842" spans="1:2" x14ac:dyDescent="0.2">
      <c r="A6842" s="12"/>
      <c r="B6842" s="13"/>
    </row>
    <row r="6843" spans="1:2" x14ac:dyDescent="0.2">
      <c r="A6843" s="12"/>
      <c r="B6843" s="13"/>
    </row>
    <row r="6844" spans="1:2" x14ac:dyDescent="0.2">
      <c r="A6844" s="12"/>
      <c r="B6844" s="13"/>
    </row>
    <row r="6845" spans="1:2" x14ac:dyDescent="0.2">
      <c r="A6845" s="12"/>
      <c r="B6845" s="13"/>
    </row>
    <row r="6846" spans="1:2" x14ac:dyDescent="0.2">
      <c r="A6846" s="12"/>
      <c r="B6846" s="13"/>
    </row>
    <row r="6847" spans="1:2" x14ac:dyDescent="0.2">
      <c r="A6847" s="12"/>
      <c r="B6847" s="13"/>
    </row>
    <row r="6848" spans="1:2" x14ac:dyDescent="0.2">
      <c r="A6848" s="12"/>
      <c r="B6848" s="13"/>
    </row>
    <row r="6849" spans="1:2" x14ac:dyDescent="0.2">
      <c r="A6849" s="12"/>
      <c r="B6849" s="13"/>
    </row>
    <row r="6850" spans="1:2" x14ac:dyDescent="0.2">
      <c r="A6850" s="12"/>
      <c r="B6850" s="13"/>
    </row>
    <row r="6851" spans="1:2" x14ac:dyDescent="0.2">
      <c r="A6851" s="12"/>
      <c r="B6851" s="13"/>
    </row>
    <row r="6852" spans="1:2" x14ac:dyDescent="0.2">
      <c r="A6852" s="12"/>
      <c r="B6852" s="13"/>
    </row>
    <row r="6853" spans="1:2" x14ac:dyDescent="0.2">
      <c r="A6853" s="12"/>
      <c r="B6853" s="13"/>
    </row>
    <row r="6854" spans="1:2" x14ac:dyDescent="0.2">
      <c r="A6854" s="12"/>
      <c r="B6854" s="13"/>
    </row>
    <row r="6855" spans="1:2" x14ac:dyDescent="0.2">
      <c r="A6855" s="12"/>
      <c r="B6855" s="13"/>
    </row>
    <row r="6856" spans="1:2" x14ac:dyDescent="0.2">
      <c r="A6856" s="12"/>
      <c r="B6856" s="13"/>
    </row>
    <row r="6857" spans="1:2" x14ac:dyDescent="0.2">
      <c r="A6857" s="12"/>
      <c r="B6857" s="13"/>
    </row>
    <row r="6858" spans="1:2" x14ac:dyDescent="0.2">
      <c r="A6858" s="12"/>
      <c r="B6858" s="13"/>
    </row>
    <row r="6859" spans="1:2" x14ac:dyDescent="0.2">
      <c r="A6859" s="12"/>
      <c r="B6859" s="13"/>
    </row>
    <row r="6860" spans="1:2" x14ac:dyDescent="0.2">
      <c r="A6860" s="12"/>
      <c r="B6860" s="13"/>
    </row>
    <row r="6861" spans="1:2" x14ac:dyDescent="0.2">
      <c r="A6861" s="12"/>
      <c r="B6861" s="13"/>
    </row>
    <row r="6862" spans="1:2" x14ac:dyDescent="0.2">
      <c r="A6862" s="12"/>
      <c r="B6862" s="13"/>
    </row>
    <row r="6863" spans="1:2" x14ac:dyDescent="0.2">
      <c r="A6863" s="12"/>
      <c r="B6863" s="13"/>
    </row>
    <row r="6864" spans="1:2" x14ac:dyDescent="0.2">
      <c r="A6864" s="12"/>
      <c r="B6864" s="13"/>
    </row>
    <row r="6865" spans="1:2" x14ac:dyDescent="0.2">
      <c r="A6865" s="12"/>
      <c r="B6865" s="13"/>
    </row>
    <row r="6866" spans="1:2" x14ac:dyDescent="0.2">
      <c r="A6866" s="12"/>
      <c r="B6866" s="13"/>
    </row>
    <row r="6867" spans="1:2" x14ac:dyDescent="0.2">
      <c r="A6867" s="12"/>
      <c r="B6867" s="13"/>
    </row>
    <row r="6868" spans="1:2" x14ac:dyDescent="0.2">
      <c r="A6868" s="12"/>
      <c r="B6868" s="13"/>
    </row>
    <row r="6869" spans="1:2" x14ac:dyDescent="0.2">
      <c r="A6869" s="12"/>
      <c r="B6869" s="13"/>
    </row>
    <row r="6870" spans="1:2" x14ac:dyDescent="0.2">
      <c r="A6870" s="12"/>
      <c r="B6870" s="13"/>
    </row>
    <row r="6871" spans="1:2" x14ac:dyDescent="0.2">
      <c r="A6871" s="12"/>
      <c r="B6871" s="13"/>
    </row>
    <row r="6872" spans="1:2" x14ac:dyDescent="0.2">
      <c r="A6872" s="12"/>
      <c r="B6872" s="13"/>
    </row>
    <row r="6873" spans="1:2" x14ac:dyDescent="0.2">
      <c r="A6873" s="12"/>
      <c r="B6873" s="13"/>
    </row>
    <row r="6874" spans="1:2" x14ac:dyDescent="0.2">
      <c r="A6874" s="12"/>
      <c r="B6874" s="13"/>
    </row>
    <row r="6875" spans="1:2" x14ac:dyDescent="0.2">
      <c r="A6875" s="12"/>
      <c r="B6875" s="13"/>
    </row>
    <row r="6876" spans="1:2" x14ac:dyDescent="0.2">
      <c r="A6876" s="12"/>
      <c r="B6876" s="13"/>
    </row>
    <row r="6877" spans="1:2" x14ac:dyDescent="0.2">
      <c r="A6877" s="12"/>
      <c r="B6877" s="13"/>
    </row>
    <row r="6878" spans="1:2" x14ac:dyDescent="0.2">
      <c r="A6878" s="12"/>
      <c r="B6878" s="13"/>
    </row>
    <row r="6879" spans="1:2" x14ac:dyDescent="0.2">
      <c r="A6879" s="12"/>
      <c r="B6879" s="13"/>
    </row>
    <row r="6880" spans="1:2" x14ac:dyDescent="0.2">
      <c r="A6880" s="12"/>
      <c r="B6880" s="13"/>
    </row>
    <row r="6881" spans="1:2" x14ac:dyDescent="0.2">
      <c r="A6881" s="12"/>
      <c r="B6881" s="13"/>
    </row>
    <row r="6882" spans="1:2" x14ac:dyDescent="0.2">
      <c r="A6882" s="12"/>
      <c r="B6882" s="13"/>
    </row>
    <row r="6883" spans="1:2" x14ac:dyDescent="0.2">
      <c r="A6883" s="12"/>
      <c r="B6883" s="13"/>
    </row>
    <row r="6884" spans="1:2" x14ac:dyDescent="0.2">
      <c r="A6884" s="12"/>
      <c r="B6884" s="13"/>
    </row>
    <row r="6885" spans="1:2" x14ac:dyDescent="0.2">
      <c r="A6885" s="12"/>
      <c r="B6885" s="13"/>
    </row>
    <row r="6886" spans="1:2" x14ac:dyDescent="0.2">
      <c r="A6886" s="12"/>
      <c r="B6886" s="13"/>
    </row>
    <row r="6887" spans="1:2" x14ac:dyDescent="0.2">
      <c r="A6887" s="12"/>
      <c r="B6887" s="13"/>
    </row>
    <row r="6888" spans="1:2" x14ac:dyDescent="0.2">
      <c r="A6888" s="12"/>
      <c r="B6888" s="13"/>
    </row>
    <row r="6889" spans="1:2" x14ac:dyDescent="0.2">
      <c r="A6889" s="12"/>
      <c r="B6889" s="13"/>
    </row>
    <row r="6890" spans="1:2" x14ac:dyDescent="0.2">
      <c r="A6890" s="12"/>
      <c r="B6890" s="13"/>
    </row>
    <row r="6891" spans="1:2" x14ac:dyDescent="0.2">
      <c r="A6891" s="12"/>
      <c r="B6891" s="13"/>
    </row>
    <row r="6892" spans="1:2" x14ac:dyDescent="0.2">
      <c r="A6892" s="12"/>
      <c r="B6892" s="13"/>
    </row>
    <row r="6893" spans="1:2" x14ac:dyDescent="0.2">
      <c r="A6893" s="12"/>
      <c r="B6893" s="13"/>
    </row>
    <row r="6894" spans="1:2" x14ac:dyDescent="0.2">
      <c r="A6894" s="12"/>
      <c r="B6894" s="13"/>
    </row>
    <row r="6895" spans="1:2" x14ac:dyDescent="0.2">
      <c r="A6895" s="12"/>
      <c r="B6895" s="13"/>
    </row>
    <row r="6896" spans="1:2" x14ac:dyDescent="0.2">
      <c r="A6896" s="12"/>
      <c r="B6896" s="13"/>
    </row>
    <row r="6897" spans="1:2" x14ac:dyDescent="0.2">
      <c r="A6897" s="12"/>
      <c r="B6897" s="13"/>
    </row>
    <row r="6898" spans="1:2" x14ac:dyDescent="0.2">
      <c r="A6898" s="12"/>
      <c r="B6898" s="13"/>
    </row>
    <row r="6899" spans="1:2" x14ac:dyDescent="0.2">
      <c r="A6899" s="12"/>
      <c r="B6899" s="13"/>
    </row>
    <row r="6900" spans="1:2" x14ac:dyDescent="0.2">
      <c r="A6900" s="12"/>
      <c r="B6900" s="13"/>
    </row>
    <row r="6901" spans="1:2" x14ac:dyDescent="0.2">
      <c r="A6901" s="12"/>
      <c r="B6901" s="13"/>
    </row>
    <row r="6902" spans="1:2" x14ac:dyDescent="0.2">
      <c r="A6902" s="12"/>
      <c r="B6902" s="13"/>
    </row>
    <row r="6903" spans="1:2" x14ac:dyDescent="0.2">
      <c r="A6903" s="12"/>
      <c r="B6903" s="13"/>
    </row>
    <row r="6904" spans="1:2" x14ac:dyDescent="0.2">
      <c r="A6904" s="12"/>
      <c r="B6904" s="13"/>
    </row>
    <row r="6905" spans="1:2" x14ac:dyDescent="0.2">
      <c r="A6905" s="12"/>
      <c r="B6905" s="13"/>
    </row>
    <row r="6906" spans="1:2" x14ac:dyDescent="0.2">
      <c r="A6906" s="12"/>
      <c r="B6906" s="13"/>
    </row>
    <row r="6907" spans="1:2" x14ac:dyDescent="0.2">
      <c r="A6907" s="12"/>
      <c r="B6907" s="13"/>
    </row>
    <row r="6908" spans="1:2" x14ac:dyDescent="0.2">
      <c r="A6908" s="12"/>
      <c r="B6908" s="13"/>
    </row>
    <row r="6909" spans="1:2" x14ac:dyDescent="0.2">
      <c r="A6909" s="12"/>
      <c r="B6909" s="13"/>
    </row>
    <row r="6910" spans="1:2" x14ac:dyDescent="0.2">
      <c r="A6910" s="12"/>
      <c r="B6910" s="13"/>
    </row>
    <row r="6911" spans="1:2" x14ac:dyDescent="0.2">
      <c r="A6911" s="12"/>
      <c r="B6911" s="13"/>
    </row>
    <row r="6912" spans="1:2" x14ac:dyDescent="0.2">
      <c r="A6912" s="12"/>
      <c r="B6912" s="13"/>
    </row>
    <row r="6913" spans="1:2" x14ac:dyDescent="0.2">
      <c r="A6913" s="12"/>
      <c r="B6913" s="13"/>
    </row>
    <row r="6914" spans="1:2" x14ac:dyDescent="0.2">
      <c r="A6914" s="12"/>
      <c r="B6914" s="13"/>
    </row>
    <row r="6915" spans="1:2" x14ac:dyDescent="0.2">
      <c r="A6915" s="12"/>
      <c r="B6915" s="13"/>
    </row>
    <row r="6916" spans="1:2" x14ac:dyDescent="0.2">
      <c r="A6916" s="12"/>
      <c r="B6916" s="13"/>
    </row>
    <row r="6917" spans="1:2" x14ac:dyDescent="0.2">
      <c r="A6917" s="12"/>
      <c r="B6917" s="13"/>
    </row>
    <row r="6918" spans="1:2" x14ac:dyDescent="0.2">
      <c r="A6918" s="12"/>
      <c r="B6918" s="13"/>
    </row>
    <row r="6919" spans="1:2" x14ac:dyDescent="0.2">
      <c r="A6919" s="12"/>
      <c r="B6919" s="13"/>
    </row>
    <row r="6920" spans="1:2" x14ac:dyDescent="0.2">
      <c r="A6920" s="12"/>
      <c r="B6920" s="13"/>
    </row>
    <row r="6921" spans="1:2" x14ac:dyDescent="0.2">
      <c r="A6921" s="12"/>
      <c r="B6921" s="13"/>
    </row>
    <row r="6922" spans="1:2" x14ac:dyDescent="0.2">
      <c r="A6922" s="12"/>
      <c r="B6922" s="13"/>
    </row>
    <row r="6923" spans="1:2" x14ac:dyDescent="0.2">
      <c r="A6923" s="12"/>
      <c r="B6923" s="13"/>
    </row>
    <row r="6924" spans="1:2" x14ac:dyDescent="0.2">
      <c r="A6924" s="12"/>
      <c r="B6924" s="13"/>
    </row>
    <row r="6925" spans="1:2" x14ac:dyDescent="0.2">
      <c r="A6925" s="12"/>
      <c r="B6925" s="13"/>
    </row>
    <row r="6926" spans="1:2" x14ac:dyDescent="0.2">
      <c r="A6926" s="12"/>
      <c r="B6926" s="13"/>
    </row>
    <row r="6927" spans="1:2" x14ac:dyDescent="0.2">
      <c r="A6927" s="12"/>
      <c r="B6927" s="13"/>
    </row>
    <row r="6928" spans="1:2" x14ac:dyDescent="0.2">
      <c r="A6928" s="12"/>
      <c r="B6928" s="13"/>
    </row>
    <row r="6929" spans="1:2" x14ac:dyDescent="0.2">
      <c r="A6929" s="12"/>
      <c r="B6929" s="13"/>
    </row>
    <row r="6930" spans="1:2" x14ac:dyDescent="0.2">
      <c r="A6930" s="12"/>
      <c r="B6930" s="13"/>
    </row>
    <row r="6931" spans="1:2" x14ac:dyDescent="0.2">
      <c r="A6931" s="12"/>
      <c r="B6931" s="13"/>
    </row>
    <row r="6932" spans="1:2" x14ac:dyDescent="0.2">
      <c r="A6932" s="12"/>
      <c r="B6932" s="13"/>
    </row>
    <row r="6933" spans="1:2" x14ac:dyDescent="0.2">
      <c r="A6933" s="12"/>
      <c r="B6933" s="13"/>
    </row>
    <row r="6934" spans="1:2" x14ac:dyDescent="0.2">
      <c r="A6934" s="12"/>
      <c r="B6934" s="13"/>
    </row>
    <row r="6935" spans="1:2" x14ac:dyDescent="0.2">
      <c r="A6935" s="12"/>
      <c r="B6935" s="13"/>
    </row>
    <row r="6936" spans="1:2" x14ac:dyDescent="0.2">
      <c r="A6936" s="12"/>
      <c r="B6936" s="13"/>
    </row>
    <row r="6937" spans="1:2" x14ac:dyDescent="0.2">
      <c r="A6937" s="12"/>
      <c r="B6937" s="13"/>
    </row>
    <row r="6938" spans="1:2" x14ac:dyDescent="0.2">
      <c r="A6938" s="12"/>
      <c r="B6938" s="13"/>
    </row>
    <row r="6939" spans="1:2" x14ac:dyDescent="0.2">
      <c r="A6939" s="12"/>
      <c r="B6939" s="13"/>
    </row>
    <row r="6940" spans="1:2" x14ac:dyDescent="0.2">
      <c r="A6940" s="12"/>
      <c r="B6940" s="13"/>
    </row>
    <row r="6941" spans="1:2" x14ac:dyDescent="0.2">
      <c r="A6941" s="12"/>
      <c r="B6941" s="13"/>
    </row>
    <row r="6942" spans="1:2" x14ac:dyDescent="0.2">
      <c r="A6942" s="12"/>
      <c r="B6942" s="13"/>
    </row>
    <row r="6943" spans="1:2" x14ac:dyDescent="0.2">
      <c r="A6943" s="12"/>
      <c r="B6943" s="13"/>
    </row>
    <row r="6944" spans="1:2" x14ac:dyDescent="0.2">
      <c r="A6944" s="12"/>
      <c r="B6944" s="13"/>
    </row>
    <row r="6945" spans="1:2" x14ac:dyDescent="0.2">
      <c r="A6945" s="12"/>
      <c r="B6945" s="13"/>
    </row>
    <row r="6946" spans="1:2" x14ac:dyDescent="0.2">
      <c r="A6946" s="12"/>
      <c r="B6946" s="13"/>
    </row>
    <row r="6947" spans="1:2" x14ac:dyDescent="0.2">
      <c r="A6947" s="12"/>
      <c r="B6947" s="13"/>
    </row>
    <row r="6948" spans="1:2" x14ac:dyDescent="0.2">
      <c r="A6948" s="12"/>
      <c r="B6948" s="13"/>
    </row>
    <row r="6949" spans="1:2" x14ac:dyDescent="0.2">
      <c r="A6949" s="12"/>
      <c r="B6949" s="13"/>
    </row>
    <row r="6950" spans="1:2" x14ac:dyDescent="0.2">
      <c r="A6950" s="12"/>
      <c r="B6950" s="13"/>
    </row>
    <row r="6951" spans="1:2" x14ac:dyDescent="0.2">
      <c r="A6951" s="12"/>
      <c r="B6951" s="13"/>
    </row>
    <row r="6952" spans="1:2" x14ac:dyDescent="0.2">
      <c r="A6952" s="12"/>
      <c r="B6952" s="13"/>
    </row>
    <row r="6953" spans="1:2" x14ac:dyDescent="0.2">
      <c r="A6953" s="12"/>
      <c r="B6953" s="13"/>
    </row>
    <row r="6954" spans="1:2" x14ac:dyDescent="0.2">
      <c r="A6954" s="12"/>
      <c r="B6954" s="13"/>
    </row>
    <row r="6955" spans="1:2" x14ac:dyDescent="0.2">
      <c r="A6955" s="12"/>
      <c r="B6955" s="13"/>
    </row>
    <row r="6956" spans="1:2" x14ac:dyDescent="0.2">
      <c r="A6956" s="12"/>
      <c r="B6956" s="13"/>
    </row>
    <row r="6957" spans="1:2" x14ac:dyDescent="0.2">
      <c r="A6957" s="12"/>
      <c r="B6957" s="13"/>
    </row>
    <row r="6958" spans="1:2" x14ac:dyDescent="0.2">
      <c r="A6958" s="12"/>
      <c r="B6958" s="13"/>
    </row>
    <row r="6959" spans="1:2" x14ac:dyDescent="0.2">
      <c r="A6959" s="12"/>
      <c r="B6959" s="13"/>
    </row>
    <row r="6960" spans="1:2" x14ac:dyDescent="0.2">
      <c r="A6960" s="12"/>
      <c r="B6960" s="13"/>
    </row>
    <row r="6961" spans="1:2" x14ac:dyDescent="0.2">
      <c r="A6961" s="12"/>
      <c r="B6961" s="13"/>
    </row>
    <row r="6962" spans="1:2" x14ac:dyDescent="0.2">
      <c r="A6962" s="12"/>
      <c r="B6962" s="13"/>
    </row>
    <row r="6963" spans="1:2" x14ac:dyDescent="0.2">
      <c r="A6963" s="12"/>
      <c r="B6963" s="13"/>
    </row>
    <row r="6964" spans="1:2" x14ac:dyDescent="0.2">
      <c r="A6964" s="12"/>
      <c r="B6964" s="13"/>
    </row>
    <row r="6965" spans="1:2" x14ac:dyDescent="0.2">
      <c r="A6965" s="12"/>
      <c r="B6965" s="13"/>
    </row>
    <row r="6966" spans="1:2" x14ac:dyDescent="0.2">
      <c r="A6966" s="12"/>
      <c r="B6966" s="13"/>
    </row>
    <row r="6967" spans="1:2" x14ac:dyDescent="0.2">
      <c r="A6967" s="12"/>
      <c r="B6967" s="13"/>
    </row>
    <row r="6968" spans="1:2" x14ac:dyDescent="0.2">
      <c r="A6968" s="12"/>
      <c r="B6968" s="13"/>
    </row>
    <row r="6969" spans="1:2" x14ac:dyDescent="0.2">
      <c r="A6969" s="12"/>
      <c r="B6969" s="13"/>
    </row>
    <row r="6970" spans="1:2" x14ac:dyDescent="0.2">
      <c r="A6970" s="12"/>
      <c r="B6970" s="13"/>
    </row>
    <row r="6971" spans="1:2" x14ac:dyDescent="0.2">
      <c r="A6971" s="12"/>
      <c r="B6971" s="13"/>
    </row>
    <row r="6972" spans="1:2" x14ac:dyDescent="0.2">
      <c r="A6972" s="12"/>
      <c r="B6972" s="13"/>
    </row>
    <row r="6973" spans="1:2" x14ac:dyDescent="0.2">
      <c r="A6973" s="12"/>
      <c r="B6973" s="13"/>
    </row>
    <row r="6974" spans="1:2" x14ac:dyDescent="0.2">
      <c r="A6974" s="12"/>
      <c r="B6974" s="13"/>
    </row>
    <row r="6975" spans="1:2" x14ac:dyDescent="0.2">
      <c r="A6975" s="12"/>
      <c r="B6975" s="13"/>
    </row>
    <row r="6976" spans="1:2" x14ac:dyDescent="0.2">
      <c r="A6976" s="12"/>
      <c r="B6976" s="13"/>
    </row>
    <row r="6977" spans="1:2" x14ac:dyDescent="0.2">
      <c r="A6977" s="12"/>
      <c r="B6977" s="13"/>
    </row>
    <row r="6978" spans="1:2" x14ac:dyDescent="0.2">
      <c r="A6978" s="12"/>
      <c r="B6978" s="13"/>
    </row>
    <row r="6979" spans="1:2" x14ac:dyDescent="0.2">
      <c r="A6979" s="12"/>
      <c r="B6979" s="13"/>
    </row>
    <row r="6980" spans="1:2" x14ac:dyDescent="0.2">
      <c r="A6980" s="12"/>
      <c r="B6980" s="13"/>
    </row>
    <row r="6981" spans="1:2" x14ac:dyDescent="0.2">
      <c r="A6981" s="12"/>
      <c r="B6981" s="13"/>
    </row>
    <row r="6982" spans="1:2" x14ac:dyDescent="0.2">
      <c r="A6982" s="12"/>
      <c r="B6982" s="13"/>
    </row>
    <row r="6983" spans="1:2" x14ac:dyDescent="0.2">
      <c r="A6983" s="12"/>
      <c r="B6983" s="13"/>
    </row>
    <row r="6984" spans="1:2" x14ac:dyDescent="0.2">
      <c r="A6984" s="12"/>
      <c r="B6984" s="13"/>
    </row>
    <row r="6985" spans="1:2" x14ac:dyDescent="0.2">
      <c r="A6985" s="12"/>
      <c r="B6985" s="13"/>
    </row>
    <row r="6986" spans="1:2" x14ac:dyDescent="0.2">
      <c r="A6986" s="12"/>
      <c r="B6986" s="13"/>
    </row>
    <row r="6987" spans="1:2" x14ac:dyDescent="0.2">
      <c r="A6987" s="12"/>
      <c r="B6987" s="13"/>
    </row>
    <row r="6988" spans="1:2" x14ac:dyDescent="0.2">
      <c r="A6988" s="12"/>
      <c r="B6988" s="13"/>
    </row>
    <row r="6989" spans="1:2" x14ac:dyDescent="0.2">
      <c r="A6989" s="12"/>
      <c r="B6989" s="13"/>
    </row>
    <row r="6990" spans="1:2" x14ac:dyDescent="0.2">
      <c r="A6990" s="12"/>
      <c r="B6990" s="13"/>
    </row>
    <row r="6991" spans="1:2" x14ac:dyDescent="0.2">
      <c r="A6991" s="12"/>
      <c r="B6991" s="13"/>
    </row>
    <row r="6992" spans="1:2" x14ac:dyDescent="0.2">
      <c r="A6992" s="12"/>
      <c r="B6992" s="13"/>
    </row>
    <row r="6993" spans="1:2" x14ac:dyDescent="0.2">
      <c r="A6993" s="12"/>
      <c r="B6993" s="13"/>
    </row>
    <row r="6994" spans="1:2" x14ac:dyDescent="0.2">
      <c r="A6994" s="12"/>
      <c r="B6994" s="13"/>
    </row>
    <row r="6995" spans="1:2" x14ac:dyDescent="0.2">
      <c r="A6995" s="12"/>
      <c r="B6995" s="13"/>
    </row>
    <row r="6996" spans="1:2" x14ac:dyDescent="0.2">
      <c r="A6996" s="12"/>
      <c r="B6996" s="13"/>
    </row>
    <row r="6997" spans="1:2" x14ac:dyDescent="0.2">
      <c r="A6997" s="12"/>
      <c r="B6997" s="13"/>
    </row>
    <row r="6998" spans="1:2" x14ac:dyDescent="0.2">
      <c r="A6998" s="12"/>
      <c r="B6998" s="13"/>
    </row>
    <row r="6999" spans="1:2" x14ac:dyDescent="0.2">
      <c r="A6999" s="12"/>
      <c r="B6999" s="13"/>
    </row>
    <row r="7000" spans="1:2" x14ac:dyDescent="0.2">
      <c r="A7000" s="12"/>
      <c r="B7000" s="13"/>
    </row>
    <row r="7001" spans="1:2" x14ac:dyDescent="0.2">
      <c r="A7001" s="12"/>
      <c r="B7001" s="13"/>
    </row>
    <row r="7002" spans="1:2" x14ac:dyDescent="0.2">
      <c r="A7002" s="12"/>
      <c r="B7002" s="13"/>
    </row>
    <row r="7003" spans="1:2" x14ac:dyDescent="0.2">
      <c r="A7003" s="12"/>
      <c r="B7003" s="13"/>
    </row>
    <row r="7004" spans="1:2" x14ac:dyDescent="0.2">
      <c r="A7004" s="12"/>
      <c r="B7004" s="13"/>
    </row>
    <row r="7005" spans="1:2" x14ac:dyDescent="0.2">
      <c r="A7005" s="12"/>
      <c r="B7005" s="13"/>
    </row>
    <row r="7006" spans="1:2" x14ac:dyDescent="0.2">
      <c r="A7006" s="12"/>
      <c r="B7006" s="13"/>
    </row>
    <row r="7007" spans="1:2" x14ac:dyDescent="0.2">
      <c r="A7007" s="12"/>
      <c r="B7007" s="13"/>
    </row>
    <row r="7008" spans="1:2" x14ac:dyDescent="0.2">
      <c r="A7008" s="12"/>
      <c r="B7008" s="13"/>
    </row>
    <row r="7009" spans="1:2" x14ac:dyDescent="0.2">
      <c r="A7009" s="12"/>
      <c r="B7009" s="13"/>
    </row>
    <row r="7010" spans="1:2" x14ac:dyDescent="0.2">
      <c r="A7010" s="12"/>
      <c r="B7010" s="13"/>
    </row>
    <row r="7011" spans="1:2" x14ac:dyDescent="0.2">
      <c r="A7011" s="12"/>
      <c r="B7011" s="13"/>
    </row>
    <row r="7012" spans="1:2" x14ac:dyDescent="0.2">
      <c r="A7012" s="12"/>
      <c r="B7012" s="13"/>
    </row>
    <row r="7013" spans="1:2" x14ac:dyDescent="0.2">
      <c r="A7013" s="12"/>
      <c r="B7013" s="13"/>
    </row>
    <row r="7014" spans="1:2" x14ac:dyDescent="0.2">
      <c r="A7014" s="12"/>
      <c r="B7014" s="13"/>
    </row>
    <row r="7015" spans="1:2" x14ac:dyDescent="0.2">
      <c r="A7015" s="12"/>
      <c r="B7015" s="13"/>
    </row>
    <row r="7016" spans="1:2" x14ac:dyDescent="0.2">
      <c r="A7016" s="12"/>
      <c r="B7016" s="13"/>
    </row>
    <row r="7017" spans="1:2" x14ac:dyDescent="0.2">
      <c r="A7017" s="12"/>
      <c r="B7017" s="13"/>
    </row>
    <row r="7018" spans="1:2" x14ac:dyDescent="0.2">
      <c r="A7018" s="12"/>
      <c r="B7018" s="13"/>
    </row>
    <row r="7019" spans="1:2" x14ac:dyDescent="0.2">
      <c r="A7019" s="12"/>
      <c r="B7019" s="13"/>
    </row>
    <row r="7020" spans="1:2" x14ac:dyDescent="0.2">
      <c r="A7020" s="12"/>
      <c r="B7020" s="13"/>
    </row>
    <row r="7021" spans="1:2" x14ac:dyDescent="0.2">
      <c r="A7021" s="12"/>
      <c r="B7021" s="13"/>
    </row>
    <row r="7022" spans="1:2" x14ac:dyDescent="0.2">
      <c r="A7022" s="12"/>
      <c r="B7022" s="13"/>
    </row>
    <row r="7023" spans="1:2" x14ac:dyDescent="0.2">
      <c r="A7023" s="12"/>
      <c r="B7023" s="13"/>
    </row>
    <row r="7024" spans="1:2" x14ac:dyDescent="0.2">
      <c r="A7024" s="12"/>
      <c r="B7024" s="13"/>
    </row>
    <row r="7025" spans="1:2" x14ac:dyDescent="0.2">
      <c r="A7025" s="12"/>
      <c r="B7025" s="13"/>
    </row>
    <row r="7026" spans="1:2" x14ac:dyDescent="0.2">
      <c r="A7026" s="12"/>
      <c r="B7026" s="13"/>
    </row>
    <row r="7027" spans="1:2" x14ac:dyDescent="0.2">
      <c r="A7027" s="12"/>
      <c r="B7027" s="13"/>
    </row>
    <row r="7028" spans="1:2" x14ac:dyDescent="0.2">
      <c r="A7028" s="12"/>
      <c r="B7028" s="13"/>
    </row>
    <row r="7029" spans="1:2" x14ac:dyDescent="0.2">
      <c r="A7029" s="12"/>
      <c r="B7029" s="13"/>
    </row>
    <row r="7030" spans="1:2" x14ac:dyDescent="0.2">
      <c r="A7030" s="12"/>
      <c r="B7030" s="13"/>
    </row>
    <row r="7031" spans="1:2" x14ac:dyDescent="0.2">
      <c r="A7031" s="12"/>
      <c r="B7031" s="13"/>
    </row>
    <row r="7032" spans="1:2" x14ac:dyDescent="0.2">
      <c r="A7032" s="12"/>
      <c r="B7032" s="13"/>
    </row>
    <row r="7033" spans="1:2" x14ac:dyDescent="0.2">
      <c r="A7033" s="12"/>
      <c r="B7033" s="13"/>
    </row>
    <row r="7034" spans="1:2" x14ac:dyDescent="0.2">
      <c r="A7034" s="12"/>
      <c r="B7034" s="13"/>
    </row>
    <row r="7035" spans="1:2" x14ac:dyDescent="0.2">
      <c r="A7035" s="12"/>
      <c r="B7035" s="13"/>
    </row>
    <row r="7036" spans="1:2" x14ac:dyDescent="0.2">
      <c r="A7036" s="12"/>
      <c r="B7036" s="13"/>
    </row>
    <row r="7037" spans="1:2" x14ac:dyDescent="0.2">
      <c r="A7037" s="12"/>
      <c r="B7037" s="13"/>
    </row>
    <row r="7038" spans="1:2" x14ac:dyDescent="0.2">
      <c r="A7038" s="12"/>
      <c r="B7038" s="13"/>
    </row>
    <row r="7039" spans="1:2" x14ac:dyDescent="0.2">
      <c r="A7039" s="12"/>
      <c r="B7039" s="13"/>
    </row>
    <row r="7040" spans="1:2" x14ac:dyDescent="0.2">
      <c r="A7040" s="12"/>
      <c r="B7040" s="13"/>
    </row>
    <row r="7041" spans="1:2" x14ac:dyDescent="0.2">
      <c r="A7041" s="12"/>
      <c r="B7041" s="13"/>
    </row>
    <row r="7042" spans="1:2" x14ac:dyDescent="0.2">
      <c r="A7042" s="12"/>
      <c r="B7042" s="13"/>
    </row>
    <row r="7043" spans="1:2" x14ac:dyDescent="0.2">
      <c r="A7043" s="12"/>
      <c r="B7043" s="13"/>
    </row>
    <row r="7044" spans="1:2" x14ac:dyDescent="0.2">
      <c r="A7044" s="12"/>
      <c r="B7044" s="13"/>
    </row>
    <row r="7045" spans="1:2" x14ac:dyDescent="0.2">
      <c r="A7045" s="12"/>
      <c r="B7045" s="13"/>
    </row>
    <row r="7046" spans="1:2" x14ac:dyDescent="0.2">
      <c r="A7046" s="12"/>
      <c r="B7046" s="13"/>
    </row>
    <row r="7047" spans="1:2" x14ac:dyDescent="0.2">
      <c r="A7047" s="12"/>
      <c r="B7047" s="13"/>
    </row>
    <row r="7048" spans="1:2" x14ac:dyDescent="0.2">
      <c r="A7048" s="12"/>
      <c r="B7048" s="13"/>
    </row>
    <row r="7049" spans="1:2" x14ac:dyDescent="0.2">
      <c r="A7049" s="12"/>
      <c r="B7049" s="13"/>
    </row>
    <row r="7050" spans="1:2" x14ac:dyDescent="0.2">
      <c r="A7050" s="12"/>
      <c r="B7050" s="13"/>
    </row>
    <row r="7051" spans="1:2" x14ac:dyDescent="0.2">
      <c r="A7051" s="12"/>
      <c r="B7051" s="13"/>
    </row>
    <row r="7052" spans="1:2" x14ac:dyDescent="0.2">
      <c r="A7052" s="12"/>
      <c r="B7052" s="13"/>
    </row>
    <row r="7053" spans="1:2" x14ac:dyDescent="0.2">
      <c r="A7053" s="12"/>
      <c r="B7053" s="13"/>
    </row>
    <row r="7054" spans="1:2" x14ac:dyDescent="0.2">
      <c r="A7054" s="12"/>
      <c r="B7054" s="13"/>
    </row>
    <row r="7055" spans="1:2" x14ac:dyDescent="0.2">
      <c r="A7055" s="12"/>
      <c r="B7055" s="13"/>
    </row>
    <row r="7056" spans="1:2" x14ac:dyDescent="0.2">
      <c r="A7056" s="12"/>
      <c r="B7056" s="13"/>
    </row>
    <row r="7057" spans="1:2" x14ac:dyDescent="0.2">
      <c r="A7057" s="12"/>
      <c r="B7057" s="13"/>
    </row>
    <row r="7058" spans="1:2" x14ac:dyDescent="0.2">
      <c r="A7058" s="12"/>
      <c r="B7058" s="13"/>
    </row>
    <row r="7059" spans="1:2" x14ac:dyDescent="0.2">
      <c r="A7059" s="12"/>
      <c r="B7059" s="13"/>
    </row>
    <row r="7060" spans="1:2" x14ac:dyDescent="0.2">
      <c r="A7060" s="12"/>
      <c r="B7060" s="13"/>
    </row>
    <row r="7061" spans="1:2" x14ac:dyDescent="0.2">
      <c r="A7061" s="12"/>
      <c r="B7061" s="13"/>
    </row>
    <row r="7062" spans="1:2" x14ac:dyDescent="0.2">
      <c r="A7062" s="12"/>
      <c r="B7062" s="13"/>
    </row>
    <row r="7063" spans="1:2" x14ac:dyDescent="0.2">
      <c r="A7063" s="12"/>
      <c r="B7063" s="13"/>
    </row>
    <row r="7064" spans="1:2" x14ac:dyDescent="0.2">
      <c r="A7064" s="12"/>
      <c r="B7064" s="13"/>
    </row>
    <row r="7065" spans="1:2" x14ac:dyDescent="0.2">
      <c r="A7065" s="12"/>
      <c r="B7065" s="13"/>
    </row>
    <row r="7066" spans="1:2" x14ac:dyDescent="0.2">
      <c r="A7066" s="12"/>
      <c r="B7066" s="13"/>
    </row>
    <row r="7067" spans="1:2" x14ac:dyDescent="0.2">
      <c r="A7067" s="12"/>
      <c r="B7067" s="13"/>
    </row>
    <row r="7068" spans="1:2" x14ac:dyDescent="0.2">
      <c r="A7068" s="12"/>
      <c r="B7068" s="13"/>
    </row>
    <row r="7069" spans="1:2" x14ac:dyDescent="0.2">
      <c r="A7069" s="12"/>
      <c r="B7069" s="13"/>
    </row>
    <row r="7070" spans="1:2" x14ac:dyDescent="0.2">
      <c r="A7070" s="12"/>
      <c r="B7070" s="13"/>
    </row>
    <row r="7071" spans="1:2" x14ac:dyDescent="0.2">
      <c r="A7071" s="12"/>
      <c r="B7071" s="13"/>
    </row>
    <row r="7072" spans="1:2" x14ac:dyDescent="0.2">
      <c r="A7072" s="12"/>
      <c r="B7072" s="13"/>
    </row>
    <row r="7073" spans="1:2" x14ac:dyDescent="0.2">
      <c r="A7073" s="12"/>
      <c r="B7073" s="13"/>
    </row>
    <row r="7074" spans="1:2" x14ac:dyDescent="0.2">
      <c r="A7074" s="12"/>
      <c r="B7074" s="13"/>
    </row>
    <row r="7075" spans="1:2" x14ac:dyDescent="0.2">
      <c r="A7075" s="12"/>
      <c r="B7075" s="13"/>
    </row>
    <row r="7076" spans="1:2" x14ac:dyDescent="0.2">
      <c r="A7076" s="12"/>
      <c r="B7076" s="13"/>
    </row>
    <row r="7077" spans="1:2" x14ac:dyDescent="0.2">
      <c r="A7077" s="12"/>
      <c r="B7077" s="13"/>
    </row>
    <row r="7078" spans="1:2" x14ac:dyDescent="0.2">
      <c r="A7078" s="12"/>
      <c r="B7078" s="13"/>
    </row>
    <row r="7079" spans="1:2" x14ac:dyDescent="0.2">
      <c r="A7079" s="12"/>
      <c r="B7079" s="13"/>
    </row>
    <row r="7080" spans="1:2" x14ac:dyDescent="0.2">
      <c r="A7080" s="12"/>
      <c r="B7080" s="13"/>
    </row>
    <row r="7081" spans="1:2" x14ac:dyDescent="0.2">
      <c r="A7081" s="12"/>
      <c r="B7081" s="13"/>
    </row>
    <row r="7082" spans="1:2" x14ac:dyDescent="0.2">
      <c r="A7082" s="12"/>
      <c r="B7082" s="13"/>
    </row>
    <row r="7083" spans="1:2" x14ac:dyDescent="0.2">
      <c r="A7083" s="12"/>
      <c r="B7083" s="13"/>
    </row>
    <row r="7084" spans="1:2" x14ac:dyDescent="0.2">
      <c r="A7084" s="12"/>
      <c r="B7084" s="13"/>
    </row>
    <row r="7085" spans="1:2" x14ac:dyDescent="0.2">
      <c r="A7085" s="12"/>
      <c r="B7085" s="13"/>
    </row>
    <row r="7086" spans="1:2" x14ac:dyDescent="0.2">
      <c r="A7086" s="12"/>
      <c r="B7086" s="13"/>
    </row>
    <row r="7087" spans="1:2" x14ac:dyDescent="0.2">
      <c r="A7087" s="12"/>
      <c r="B7087" s="13"/>
    </row>
    <row r="7088" spans="1:2" x14ac:dyDescent="0.2">
      <c r="A7088" s="12"/>
      <c r="B7088" s="13"/>
    </row>
    <row r="7089" spans="1:2" x14ac:dyDescent="0.2">
      <c r="A7089" s="12"/>
      <c r="B7089" s="13"/>
    </row>
    <row r="7090" spans="1:2" x14ac:dyDescent="0.2">
      <c r="A7090" s="12"/>
      <c r="B7090" s="13"/>
    </row>
    <row r="7091" spans="1:2" x14ac:dyDescent="0.2">
      <c r="A7091" s="12"/>
      <c r="B7091" s="13"/>
    </row>
    <row r="7092" spans="1:2" x14ac:dyDescent="0.2">
      <c r="A7092" s="12"/>
      <c r="B7092" s="13"/>
    </row>
    <row r="7093" spans="1:2" x14ac:dyDescent="0.2">
      <c r="A7093" s="12"/>
      <c r="B7093" s="13"/>
    </row>
    <row r="7094" spans="1:2" x14ac:dyDescent="0.2">
      <c r="A7094" s="12"/>
      <c r="B7094" s="13"/>
    </row>
    <row r="7095" spans="1:2" x14ac:dyDescent="0.2">
      <c r="A7095" s="12"/>
      <c r="B7095" s="13"/>
    </row>
    <row r="7096" spans="1:2" x14ac:dyDescent="0.2">
      <c r="A7096" s="12"/>
      <c r="B7096" s="13"/>
    </row>
    <row r="7097" spans="1:2" x14ac:dyDescent="0.2">
      <c r="A7097" s="12"/>
      <c r="B7097" s="13"/>
    </row>
    <row r="7098" spans="1:2" x14ac:dyDescent="0.2">
      <c r="A7098" s="12"/>
      <c r="B7098" s="13"/>
    </row>
    <row r="7099" spans="1:2" x14ac:dyDescent="0.2">
      <c r="A7099" s="12"/>
      <c r="B7099" s="13"/>
    </row>
    <row r="7100" spans="1:2" x14ac:dyDescent="0.2">
      <c r="A7100" s="12"/>
      <c r="B7100" s="13"/>
    </row>
    <row r="7101" spans="1:2" x14ac:dyDescent="0.2">
      <c r="A7101" s="12"/>
      <c r="B7101" s="13"/>
    </row>
    <row r="7102" spans="1:2" x14ac:dyDescent="0.2">
      <c r="A7102" s="12"/>
      <c r="B7102" s="13"/>
    </row>
    <row r="7103" spans="1:2" x14ac:dyDescent="0.2">
      <c r="A7103" s="12"/>
      <c r="B7103" s="13"/>
    </row>
    <row r="7104" spans="1:2" x14ac:dyDescent="0.2">
      <c r="A7104" s="12"/>
      <c r="B7104" s="13"/>
    </row>
    <row r="7105" spans="1:2" x14ac:dyDescent="0.2">
      <c r="A7105" s="12"/>
      <c r="B7105" s="13"/>
    </row>
    <row r="7106" spans="1:2" x14ac:dyDescent="0.2">
      <c r="A7106" s="12"/>
      <c r="B7106" s="13"/>
    </row>
    <row r="7107" spans="1:2" x14ac:dyDescent="0.2">
      <c r="A7107" s="12"/>
      <c r="B7107" s="13"/>
    </row>
    <row r="7108" spans="1:2" x14ac:dyDescent="0.2">
      <c r="A7108" s="12"/>
      <c r="B7108" s="13"/>
    </row>
    <row r="7109" spans="1:2" x14ac:dyDescent="0.2">
      <c r="A7109" s="12"/>
      <c r="B7109" s="13"/>
    </row>
    <row r="7110" spans="1:2" x14ac:dyDescent="0.2">
      <c r="A7110" s="12"/>
      <c r="B7110" s="13"/>
    </row>
    <row r="7111" spans="1:2" x14ac:dyDescent="0.2">
      <c r="A7111" s="12"/>
      <c r="B7111" s="13"/>
    </row>
    <row r="7112" spans="1:2" x14ac:dyDescent="0.2">
      <c r="A7112" s="12"/>
      <c r="B7112" s="13"/>
    </row>
    <row r="7113" spans="1:2" x14ac:dyDescent="0.2">
      <c r="A7113" s="12"/>
      <c r="B7113" s="13"/>
    </row>
    <row r="7114" spans="1:2" x14ac:dyDescent="0.2">
      <c r="A7114" s="12"/>
      <c r="B7114" s="13"/>
    </row>
    <row r="7115" spans="1:2" x14ac:dyDescent="0.2">
      <c r="A7115" s="12"/>
      <c r="B7115" s="13"/>
    </row>
    <row r="7116" spans="1:2" x14ac:dyDescent="0.2">
      <c r="A7116" s="12"/>
      <c r="B7116" s="13"/>
    </row>
    <row r="7117" spans="1:2" x14ac:dyDescent="0.2">
      <c r="A7117" s="12"/>
      <c r="B7117" s="13"/>
    </row>
    <row r="7118" spans="1:2" x14ac:dyDescent="0.2">
      <c r="A7118" s="12"/>
      <c r="B7118" s="13"/>
    </row>
    <row r="7119" spans="1:2" x14ac:dyDescent="0.2">
      <c r="A7119" s="12"/>
      <c r="B7119" s="13"/>
    </row>
    <row r="7120" spans="1:2" x14ac:dyDescent="0.2">
      <c r="A7120" s="12"/>
      <c r="B7120" s="13"/>
    </row>
    <row r="7121" spans="1:2" x14ac:dyDescent="0.2">
      <c r="A7121" s="12"/>
      <c r="B7121" s="13"/>
    </row>
    <row r="7122" spans="1:2" x14ac:dyDescent="0.2">
      <c r="A7122" s="12"/>
      <c r="B7122" s="13"/>
    </row>
    <row r="7123" spans="1:2" x14ac:dyDescent="0.2">
      <c r="A7123" s="12"/>
      <c r="B7123" s="13"/>
    </row>
    <row r="7124" spans="1:2" x14ac:dyDescent="0.2">
      <c r="A7124" s="12"/>
      <c r="B7124" s="13"/>
    </row>
    <row r="7125" spans="1:2" x14ac:dyDescent="0.2">
      <c r="A7125" s="12"/>
      <c r="B7125" s="13"/>
    </row>
    <row r="7126" spans="1:2" x14ac:dyDescent="0.2">
      <c r="A7126" s="12"/>
      <c r="B7126" s="13"/>
    </row>
    <row r="7127" spans="1:2" x14ac:dyDescent="0.2">
      <c r="A7127" s="12"/>
      <c r="B7127" s="13"/>
    </row>
    <row r="7128" spans="1:2" x14ac:dyDescent="0.2">
      <c r="A7128" s="12"/>
      <c r="B7128" s="13"/>
    </row>
    <row r="7129" spans="1:2" x14ac:dyDescent="0.2">
      <c r="A7129" s="12"/>
      <c r="B7129" s="13"/>
    </row>
    <row r="7130" spans="1:2" x14ac:dyDescent="0.2">
      <c r="A7130" s="12"/>
      <c r="B7130" s="13"/>
    </row>
    <row r="7131" spans="1:2" x14ac:dyDescent="0.2">
      <c r="A7131" s="12"/>
      <c r="B7131" s="13"/>
    </row>
    <row r="7132" spans="1:2" x14ac:dyDescent="0.2">
      <c r="A7132" s="12"/>
      <c r="B7132" s="13"/>
    </row>
    <row r="7133" spans="1:2" x14ac:dyDescent="0.2">
      <c r="A7133" s="12"/>
      <c r="B7133" s="13"/>
    </row>
    <row r="7134" spans="1:2" x14ac:dyDescent="0.2">
      <c r="A7134" s="12"/>
      <c r="B7134" s="13"/>
    </row>
    <row r="7135" spans="1:2" x14ac:dyDescent="0.2">
      <c r="A7135" s="12"/>
      <c r="B7135" s="13"/>
    </row>
    <row r="7136" spans="1:2" x14ac:dyDescent="0.2">
      <c r="A7136" s="12"/>
      <c r="B7136" s="13"/>
    </row>
    <row r="7137" spans="1:2" x14ac:dyDescent="0.2">
      <c r="A7137" s="12"/>
      <c r="B7137" s="13"/>
    </row>
    <row r="7138" spans="1:2" x14ac:dyDescent="0.2">
      <c r="A7138" s="12"/>
      <c r="B7138" s="13"/>
    </row>
    <row r="7139" spans="1:2" x14ac:dyDescent="0.2">
      <c r="A7139" s="12"/>
      <c r="B7139" s="13"/>
    </row>
    <row r="7140" spans="1:2" x14ac:dyDescent="0.2">
      <c r="A7140" s="12"/>
      <c r="B7140" s="13"/>
    </row>
    <row r="7141" spans="1:2" x14ac:dyDescent="0.2">
      <c r="A7141" s="12"/>
      <c r="B7141" s="13"/>
    </row>
    <row r="7142" spans="1:2" x14ac:dyDescent="0.2">
      <c r="A7142" s="12"/>
      <c r="B7142" s="13"/>
    </row>
    <row r="7143" spans="1:2" x14ac:dyDescent="0.2">
      <c r="A7143" s="12"/>
      <c r="B7143" s="13"/>
    </row>
    <row r="7144" spans="1:2" x14ac:dyDescent="0.2">
      <c r="A7144" s="12"/>
      <c r="B7144" s="13"/>
    </row>
    <row r="7145" spans="1:2" x14ac:dyDescent="0.2">
      <c r="A7145" s="12"/>
      <c r="B7145" s="13"/>
    </row>
    <row r="7146" spans="1:2" x14ac:dyDescent="0.2">
      <c r="A7146" s="12"/>
      <c r="B7146" s="13"/>
    </row>
    <row r="7147" spans="1:2" x14ac:dyDescent="0.2">
      <c r="A7147" s="12"/>
      <c r="B7147" s="13"/>
    </row>
    <row r="7148" spans="1:2" x14ac:dyDescent="0.2">
      <c r="A7148" s="12"/>
      <c r="B7148" s="13"/>
    </row>
    <row r="7149" spans="1:2" x14ac:dyDescent="0.2">
      <c r="A7149" s="12"/>
      <c r="B7149" s="13"/>
    </row>
    <row r="7150" spans="1:2" x14ac:dyDescent="0.2">
      <c r="A7150" s="12"/>
      <c r="B7150" s="13"/>
    </row>
    <row r="7151" spans="1:2" x14ac:dyDescent="0.2">
      <c r="A7151" s="12"/>
      <c r="B7151" s="13"/>
    </row>
    <row r="7152" spans="1:2" x14ac:dyDescent="0.2">
      <c r="A7152" s="12"/>
      <c r="B7152" s="13"/>
    </row>
    <row r="7153" spans="1:2" x14ac:dyDescent="0.2">
      <c r="A7153" s="12"/>
      <c r="B7153" s="13"/>
    </row>
    <row r="7154" spans="1:2" x14ac:dyDescent="0.2">
      <c r="A7154" s="12"/>
      <c r="B7154" s="13"/>
    </row>
    <row r="7155" spans="1:2" x14ac:dyDescent="0.2">
      <c r="A7155" s="12"/>
      <c r="B7155" s="13"/>
    </row>
    <row r="7156" spans="1:2" x14ac:dyDescent="0.2">
      <c r="A7156" s="12"/>
      <c r="B7156" s="13"/>
    </row>
    <row r="7157" spans="1:2" x14ac:dyDescent="0.2">
      <c r="A7157" s="12"/>
      <c r="B7157" s="13"/>
    </row>
    <row r="7158" spans="1:2" x14ac:dyDescent="0.2">
      <c r="A7158" s="12"/>
      <c r="B7158" s="13"/>
    </row>
    <row r="7159" spans="1:2" x14ac:dyDescent="0.2">
      <c r="A7159" s="12"/>
      <c r="B7159" s="13"/>
    </row>
    <row r="7160" spans="1:2" x14ac:dyDescent="0.2">
      <c r="A7160" s="12"/>
      <c r="B7160" s="13"/>
    </row>
    <row r="7161" spans="1:2" x14ac:dyDescent="0.2">
      <c r="A7161" s="12"/>
      <c r="B7161" s="13"/>
    </row>
    <row r="7162" spans="1:2" x14ac:dyDescent="0.2">
      <c r="A7162" s="12"/>
      <c r="B7162" s="13"/>
    </row>
    <row r="7163" spans="1:2" x14ac:dyDescent="0.2">
      <c r="A7163" s="12"/>
      <c r="B7163" s="13"/>
    </row>
    <row r="7164" spans="1:2" x14ac:dyDescent="0.2">
      <c r="A7164" s="12"/>
      <c r="B7164" s="13"/>
    </row>
    <row r="7165" spans="1:2" x14ac:dyDescent="0.2">
      <c r="A7165" s="12"/>
      <c r="B7165" s="13"/>
    </row>
    <row r="7166" spans="1:2" x14ac:dyDescent="0.2">
      <c r="A7166" s="12"/>
      <c r="B7166" s="13"/>
    </row>
    <row r="7167" spans="1:2" x14ac:dyDescent="0.2">
      <c r="A7167" s="12"/>
      <c r="B7167" s="13"/>
    </row>
    <row r="7168" spans="1:2" x14ac:dyDescent="0.2">
      <c r="A7168" s="12"/>
      <c r="B7168" s="13"/>
    </row>
    <row r="7169" spans="1:2" x14ac:dyDescent="0.2">
      <c r="A7169" s="12"/>
      <c r="B7169" s="13"/>
    </row>
    <row r="7170" spans="1:2" x14ac:dyDescent="0.2">
      <c r="A7170" s="12"/>
      <c r="B7170" s="13"/>
    </row>
    <row r="7171" spans="1:2" x14ac:dyDescent="0.2">
      <c r="A7171" s="12"/>
      <c r="B7171" s="13"/>
    </row>
    <row r="7172" spans="1:2" x14ac:dyDescent="0.2">
      <c r="A7172" s="12"/>
      <c r="B7172" s="13"/>
    </row>
    <row r="7173" spans="1:2" x14ac:dyDescent="0.2">
      <c r="A7173" s="12"/>
      <c r="B7173" s="13"/>
    </row>
    <row r="7174" spans="1:2" x14ac:dyDescent="0.2">
      <c r="A7174" s="12"/>
      <c r="B7174" s="13"/>
    </row>
    <row r="7175" spans="1:2" x14ac:dyDescent="0.2">
      <c r="A7175" s="12"/>
      <c r="B7175" s="13"/>
    </row>
    <row r="7176" spans="1:2" x14ac:dyDescent="0.2">
      <c r="A7176" s="12"/>
      <c r="B7176" s="13"/>
    </row>
    <row r="7177" spans="1:2" x14ac:dyDescent="0.2">
      <c r="A7177" s="12"/>
      <c r="B7177" s="13"/>
    </row>
    <row r="7178" spans="1:2" x14ac:dyDescent="0.2">
      <c r="A7178" s="12"/>
      <c r="B7178" s="13"/>
    </row>
    <row r="7179" spans="1:2" x14ac:dyDescent="0.2">
      <c r="A7179" s="12"/>
      <c r="B7179" s="13"/>
    </row>
    <row r="7180" spans="1:2" x14ac:dyDescent="0.2">
      <c r="A7180" s="12"/>
      <c r="B7180" s="13"/>
    </row>
    <row r="7181" spans="1:2" x14ac:dyDescent="0.2">
      <c r="A7181" s="12"/>
      <c r="B7181" s="13"/>
    </row>
    <row r="7182" spans="1:2" x14ac:dyDescent="0.2">
      <c r="A7182" s="12"/>
      <c r="B7182" s="13"/>
    </row>
    <row r="7183" spans="1:2" x14ac:dyDescent="0.2">
      <c r="A7183" s="12"/>
      <c r="B7183" s="13"/>
    </row>
    <row r="7184" spans="1:2" x14ac:dyDescent="0.2">
      <c r="A7184" s="12"/>
      <c r="B7184" s="13"/>
    </row>
    <row r="7185" spans="1:2" x14ac:dyDescent="0.2">
      <c r="A7185" s="12"/>
      <c r="B7185" s="13"/>
    </row>
    <row r="7186" spans="1:2" x14ac:dyDescent="0.2">
      <c r="A7186" s="12"/>
      <c r="B7186" s="13"/>
    </row>
    <row r="7187" spans="1:2" x14ac:dyDescent="0.2">
      <c r="A7187" s="12"/>
      <c r="B7187" s="13"/>
    </row>
    <row r="7188" spans="1:2" x14ac:dyDescent="0.2">
      <c r="A7188" s="12"/>
      <c r="B7188" s="13"/>
    </row>
    <row r="7189" spans="1:2" x14ac:dyDescent="0.2">
      <c r="A7189" s="12"/>
      <c r="B7189" s="13"/>
    </row>
    <row r="7190" spans="1:2" x14ac:dyDescent="0.2">
      <c r="A7190" s="12"/>
      <c r="B7190" s="13"/>
    </row>
    <row r="7191" spans="1:2" x14ac:dyDescent="0.2">
      <c r="A7191" s="12"/>
      <c r="B7191" s="13"/>
    </row>
    <row r="7192" spans="1:2" x14ac:dyDescent="0.2">
      <c r="A7192" s="12"/>
      <c r="B7192" s="13"/>
    </row>
    <row r="7193" spans="1:2" x14ac:dyDescent="0.2">
      <c r="A7193" s="12"/>
      <c r="B7193" s="13"/>
    </row>
    <row r="7194" spans="1:2" x14ac:dyDescent="0.2">
      <c r="A7194" s="12"/>
      <c r="B7194" s="13"/>
    </row>
    <row r="7195" spans="1:2" x14ac:dyDescent="0.2">
      <c r="A7195" s="12"/>
      <c r="B7195" s="13"/>
    </row>
    <row r="7196" spans="1:2" x14ac:dyDescent="0.2">
      <c r="A7196" s="12"/>
      <c r="B7196" s="13"/>
    </row>
    <row r="7197" spans="1:2" x14ac:dyDescent="0.2">
      <c r="A7197" s="12"/>
      <c r="B7197" s="13"/>
    </row>
    <row r="7198" spans="1:2" x14ac:dyDescent="0.2">
      <c r="A7198" s="12"/>
      <c r="B7198" s="13"/>
    </row>
    <row r="7199" spans="1:2" x14ac:dyDescent="0.2">
      <c r="A7199" s="12"/>
      <c r="B7199" s="13"/>
    </row>
    <row r="7200" spans="1:2" x14ac:dyDescent="0.2">
      <c r="A7200" s="12"/>
      <c r="B7200" s="13"/>
    </row>
    <row r="7201" spans="1:2" x14ac:dyDescent="0.2">
      <c r="A7201" s="12"/>
      <c r="B7201" s="13"/>
    </row>
    <row r="7202" spans="1:2" x14ac:dyDescent="0.2">
      <c r="A7202" s="12"/>
      <c r="B7202" s="13"/>
    </row>
    <row r="7203" spans="1:2" x14ac:dyDescent="0.2">
      <c r="A7203" s="12"/>
      <c r="B7203" s="13"/>
    </row>
    <row r="7204" spans="1:2" x14ac:dyDescent="0.2">
      <c r="A7204" s="12"/>
      <c r="B7204" s="13"/>
    </row>
    <row r="7205" spans="1:2" x14ac:dyDescent="0.2">
      <c r="A7205" s="12"/>
      <c r="B7205" s="13"/>
    </row>
    <row r="7206" spans="1:2" x14ac:dyDescent="0.2">
      <c r="A7206" s="12"/>
      <c r="B7206" s="13"/>
    </row>
    <row r="7207" spans="1:2" x14ac:dyDescent="0.2">
      <c r="A7207" s="12"/>
      <c r="B7207" s="13"/>
    </row>
    <row r="7208" spans="1:2" x14ac:dyDescent="0.2">
      <c r="A7208" s="12"/>
      <c r="B7208" s="13"/>
    </row>
    <row r="7209" spans="1:2" x14ac:dyDescent="0.2">
      <c r="A7209" s="12"/>
      <c r="B7209" s="13"/>
    </row>
    <row r="7210" spans="1:2" x14ac:dyDescent="0.2">
      <c r="A7210" s="12"/>
      <c r="B7210" s="13"/>
    </row>
    <row r="7211" spans="1:2" x14ac:dyDescent="0.2">
      <c r="A7211" s="12"/>
      <c r="B7211" s="13"/>
    </row>
    <row r="7212" spans="1:2" x14ac:dyDescent="0.2">
      <c r="A7212" s="12"/>
      <c r="B7212" s="13"/>
    </row>
    <row r="7213" spans="1:2" x14ac:dyDescent="0.2">
      <c r="A7213" s="12"/>
      <c r="B7213" s="13"/>
    </row>
    <row r="7214" spans="1:2" x14ac:dyDescent="0.2">
      <c r="A7214" s="12"/>
      <c r="B7214" s="13"/>
    </row>
    <row r="7215" spans="1:2" x14ac:dyDescent="0.2">
      <c r="A7215" s="12"/>
      <c r="B7215" s="13"/>
    </row>
    <row r="7216" spans="1:2" x14ac:dyDescent="0.2">
      <c r="A7216" s="12"/>
      <c r="B7216" s="13"/>
    </row>
    <row r="7217" spans="1:2" x14ac:dyDescent="0.2">
      <c r="A7217" s="12"/>
      <c r="B7217" s="13"/>
    </row>
    <row r="7218" spans="1:2" x14ac:dyDescent="0.2">
      <c r="A7218" s="12"/>
      <c r="B7218" s="13"/>
    </row>
    <row r="7219" spans="1:2" x14ac:dyDescent="0.2">
      <c r="A7219" s="12"/>
      <c r="B7219" s="13"/>
    </row>
    <row r="7220" spans="1:2" x14ac:dyDescent="0.2">
      <c r="A7220" s="12"/>
      <c r="B7220" s="13"/>
    </row>
    <row r="7221" spans="1:2" x14ac:dyDescent="0.2">
      <c r="A7221" s="12"/>
      <c r="B7221" s="13"/>
    </row>
    <row r="7222" spans="1:2" x14ac:dyDescent="0.2">
      <c r="A7222" s="12"/>
      <c r="B7222" s="13"/>
    </row>
    <row r="7223" spans="1:2" x14ac:dyDescent="0.2">
      <c r="A7223" s="12"/>
      <c r="B7223" s="13"/>
    </row>
    <row r="7224" spans="1:2" x14ac:dyDescent="0.2">
      <c r="A7224" s="12"/>
      <c r="B7224" s="13"/>
    </row>
    <row r="7225" spans="1:2" x14ac:dyDescent="0.2">
      <c r="A7225" s="12"/>
      <c r="B7225" s="13"/>
    </row>
    <row r="7226" spans="1:2" x14ac:dyDescent="0.2">
      <c r="A7226" s="12"/>
      <c r="B7226" s="13"/>
    </row>
    <row r="7227" spans="1:2" x14ac:dyDescent="0.2">
      <c r="A7227" s="12"/>
      <c r="B7227" s="13"/>
    </row>
    <row r="7228" spans="1:2" x14ac:dyDescent="0.2">
      <c r="A7228" s="12"/>
      <c r="B7228" s="13"/>
    </row>
    <row r="7229" spans="1:2" x14ac:dyDescent="0.2">
      <c r="A7229" s="12"/>
      <c r="B7229" s="13"/>
    </row>
    <row r="7230" spans="1:2" x14ac:dyDescent="0.2">
      <c r="A7230" s="12"/>
      <c r="B7230" s="13"/>
    </row>
    <row r="7231" spans="1:2" x14ac:dyDescent="0.2">
      <c r="A7231" s="12"/>
      <c r="B7231" s="13"/>
    </row>
    <row r="7232" spans="1:2" x14ac:dyDescent="0.2">
      <c r="A7232" s="12"/>
      <c r="B7232" s="13"/>
    </row>
    <row r="7233" spans="1:2" x14ac:dyDescent="0.2">
      <c r="A7233" s="12"/>
      <c r="B7233" s="13"/>
    </row>
    <row r="7234" spans="1:2" x14ac:dyDescent="0.2">
      <c r="A7234" s="12"/>
      <c r="B7234" s="13"/>
    </row>
    <row r="7235" spans="1:2" x14ac:dyDescent="0.2">
      <c r="A7235" s="12"/>
      <c r="B7235" s="13"/>
    </row>
    <row r="7236" spans="1:2" x14ac:dyDescent="0.2">
      <c r="A7236" s="12"/>
      <c r="B7236" s="13"/>
    </row>
    <row r="7237" spans="1:2" x14ac:dyDescent="0.2">
      <c r="A7237" s="12"/>
      <c r="B7237" s="13"/>
    </row>
    <row r="7238" spans="1:2" x14ac:dyDescent="0.2">
      <c r="A7238" s="12"/>
      <c r="B7238" s="13"/>
    </row>
    <row r="7239" spans="1:2" x14ac:dyDescent="0.2">
      <c r="A7239" s="12"/>
      <c r="B7239" s="13"/>
    </row>
    <row r="7240" spans="1:2" x14ac:dyDescent="0.2">
      <c r="A7240" s="12"/>
      <c r="B7240" s="13"/>
    </row>
    <row r="7241" spans="1:2" x14ac:dyDescent="0.2">
      <c r="A7241" s="12"/>
      <c r="B7241" s="13"/>
    </row>
    <row r="7242" spans="1:2" x14ac:dyDescent="0.2">
      <c r="A7242" s="12"/>
      <c r="B7242" s="13"/>
    </row>
    <row r="7243" spans="1:2" x14ac:dyDescent="0.2">
      <c r="A7243" s="12"/>
      <c r="B7243" s="13"/>
    </row>
    <row r="7244" spans="1:2" x14ac:dyDescent="0.2">
      <c r="A7244" s="12"/>
      <c r="B7244" s="13"/>
    </row>
    <row r="7245" spans="1:2" x14ac:dyDescent="0.2">
      <c r="A7245" s="12"/>
      <c r="B7245" s="13"/>
    </row>
    <row r="7246" spans="1:2" x14ac:dyDescent="0.2">
      <c r="A7246" s="12"/>
      <c r="B7246" s="13"/>
    </row>
    <row r="7247" spans="1:2" x14ac:dyDescent="0.2">
      <c r="A7247" s="12"/>
      <c r="B7247" s="13"/>
    </row>
    <row r="7248" spans="1:2" x14ac:dyDescent="0.2">
      <c r="A7248" s="12"/>
      <c r="B7248" s="13"/>
    </row>
    <row r="7249" spans="1:2" x14ac:dyDescent="0.2">
      <c r="A7249" s="12"/>
      <c r="B7249" s="13"/>
    </row>
    <row r="7250" spans="1:2" x14ac:dyDescent="0.2">
      <c r="A7250" s="12"/>
      <c r="B7250" s="13"/>
    </row>
    <row r="7251" spans="1:2" x14ac:dyDescent="0.2">
      <c r="A7251" s="12"/>
      <c r="B7251" s="13"/>
    </row>
    <row r="7252" spans="1:2" x14ac:dyDescent="0.2">
      <c r="A7252" s="12"/>
      <c r="B7252" s="13"/>
    </row>
    <row r="7253" spans="1:2" x14ac:dyDescent="0.2">
      <c r="A7253" s="12"/>
      <c r="B7253" s="13"/>
    </row>
    <row r="7254" spans="1:2" x14ac:dyDescent="0.2">
      <c r="A7254" s="12"/>
      <c r="B7254" s="13"/>
    </row>
    <row r="7255" spans="1:2" x14ac:dyDescent="0.2">
      <c r="A7255" s="12"/>
      <c r="B7255" s="13"/>
    </row>
    <row r="7256" spans="1:2" x14ac:dyDescent="0.2">
      <c r="A7256" s="12"/>
      <c r="B7256" s="13"/>
    </row>
    <row r="7257" spans="1:2" x14ac:dyDescent="0.2">
      <c r="A7257" s="12"/>
      <c r="B7257" s="13"/>
    </row>
    <row r="7258" spans="1:2" x14ac:dyDescent="0.2">
      <c r="A7258" s="12"/>
      <c r="B7258" s="13"/>
    </row>
    <row r="7259" spans="1:2" x14ac:dyDescent="0.2">
      <c r="A7259" s="12"/>
      <c r="B7259" s="13"/>
    </row>
    <row r="7260" spans="1:2" x14ac:dyDescent="0.2">
      <c r="A7260" s="12"/>
      <c r="B7260" s="13"/>
    </row>
    <row r="7261" spans="1:2" x14ac:dyDescent="0.2">
      <c r="A7261" s="12"/>
      <c r="B7261" s="13"/>
    </row>
    <row r="7262" spans="1:2" x14ac:dyDescent="0.2">
      <c r="A7262" s="12"/>
      <c r="B7262" s="13"/>
    </row>
    <row r="7263" spans="1:2" x14ac:dyDescent="0.2">
      <c r="A7263" s="12"/>
      <c r="B7263" s="13"/>
    </row>
    <row r="7264" spans="1:2" x14ac:dyDescent="0.2">
      <c r="A7264" s="12"/>
      <c r="B7264" s="13"/>
    </row>
    <row r="7265" spans="1:2" x14ac:dyDescent="0.2">
      <c r="A7265" s="12"/>
      <c r="B7265" s="13"/>
    </row>
    <row r="7266" spans="1:2" x14ac:dyDescent="0.2">
      <c r="A7266" s="12"/>
      <c r="B7266" s="13"/>
    </row>
    <row r="7267" spans="1:2" x14ac:dyDescent="0.2">
      <c r="A7267" s="12"/>
      <c r="B7267" s="13"/>
    </row>
    <row r="7268" spans="1:2" x14ac:dyDescent="0.2">
      <c r="A7268" s="12"/>
      <c r="B7268" s="13"/>
    </row>
    <row r="7269" spans="1:2" x14ac:dyDescent="0.2">
      <c r="A7269" s="12"/>
      <c r="B7269" s="13"/>
    </row>
    <row r="7270" spans="1:2" x14ac:dyDescent="0.2">
      <c r="A7270" s="12"/>
      <c r="B7270" s="13"/>
    </row>
    <row r="7271" spans="1:2" x14ac:dyDescent="0.2">
      <c r="A7271" s="12"/>
      <c r="B7271" s="13"/>
    </row>
    <row r="7272" spans="1:2" x14ac:dyDescent="0.2">
      <c r="A7272" s="12"/>
      <c r="B7272" s="13"/>
    </row>
    <row r="7273" spans="1:2" x14ac:dyDescent="0.2">
      <c r="A7273" s="12"/>
      <c r="B7273" s="13"/>
    </row>
    <row r="7274" spans="1:2" x14ac:dyDescent="0.2">
      <c r="A7274" s="12"/>
      <c r="B7274" s="13"/>
    </row>
    <row r="7275" spans="1:2" x14ac:dyDescent="0.2">
      <c r="A7275" s="12"/>
      <c r="B7275" s="13"/>
    </row>
    <row r="7276" spans="1:2" x14ac:dyDescent="0.2">
      <c r="A7276" s="12"/>
      <c r="B7276" s="13"/>
    </row>
    <row r="7277" spans="1:2" x14ac:dyDescent="0.2">
      <c r="A7277" s="12"/>
      <c r="B7277" s="13"/>
    </row>
    <row r="7278" spans="1:2" x14ac:dyDescent="0.2">
      <c r="A7278" s="12"/>
      <c r="B7278" s="13"/>
    </row>
    <row r="7279" spans="1:2" x14ac:dyDescent="0.2">
      <c r="A7279" s="12"/>
      <c r="B7279" s="13"/>
    </row>
    <row r="7280" spans="1:2" x14ac:dyDescent="0.2">
      <c r="A7280" s="12"/>
      <c r="B7280" s="13"/>
    </row>
    <row r="7281" spans="1:2" x14ac:dyDescent="0.2">
      <c r="A7281" s="12"/>
      <c r="B7281" s="13"/>
    </row>
    <row r="7282" spans="1:2" x14ac:dyDescent="0.2">
      <c r="A7282" s="12"/>
      <c r="B7282" s="13"/>
    </row>
    <row r="7283" spans="1:2" x14ac:dyDescent="0.2">
      <c r="A7283" s="12"/>
      <c r="B7283" s="13"/>
    </row>
    <row r="7284" spans="1:2" x14ac:dyDescent="0.2">
      <c r="A7284" s="12"/>
      <c r="B7284" s="13"/>
    </row>
    <row r="7285" spans="1:2" x14ac:dyDescent="0.2">
      <c r="A7285" s="12"/>
      <c r="B7285" s="13"/>
    </row>
    <row r="7286" spans="1:2" x14ac:dyDescent="0.2">
      <c r="A7286" s="12"/>
      <c r="B7286" s="13"/>
    </row>
    <row r="7287" spans="1:2" x14ac:dyDescent="0.2">
      <c r="A7287" s="12"/>
      <c r="B7287" s="13"/>
    </row>
    <row r="7288" spans="1:2" x14ac:dyDescent="0.2">
      <c r="A7288" s="12"/>
      <c r="B7288" s="13"/>
    </row>
    <row r="7289" spans="1:2" x14ac:dyDescent="0.2">
      <c r="A7289" s="12"/>
      <c r="B7289" s="13"/>
    </row>
    <row r="7290" spans="1:2" x14ac:dyDescent="0.2">
      <c r="A7290" s="12"/>
      <c r="B7290" s="13"/>
    </row>
    <row r="7291" spans="1:2" x14ac:dyDescent="0.2">
      <c r="A7291" s="12"/>
      <c r="B7291" s="13"/>
    </row>
    <row r="7292" spans="1:2" x14ac:dyDescent="0.2">
      <c r="A7292" s="12"/>
      <c r="B7292" s="13"/>
    </row>
    <row r="7293" spans="1:2" x14ac:dyDescent="0.2">
      <c r="A7293" s="12"/>
      <c r="B7293" s="13"/>
    </row>
    <row r="7294" spans="1:2" x14ac:dyDescent="0.2">
      <c r="A7294" s="12"/>
      <c r="B7294" s="13"/>
    </row>
    <row r="7295" spans="1:2" x14ac:dyDescent="0.2">
      <c r="A7295" s="12"/>
      <c r="B7295" s="13"/>
    </row>
    <row r="7296" spans="1:2" x14ac:dyDescent="0.2">
      <c r="A7296" s="12"/>
      <c r="B7296" s="13"/>
    </row>
    <row r="7297" spans="1:2" x14ac:dyDescent="0.2">
      <c r="A7297" s="12"/>
      <c r="B7297" s="13"/>
    </row>
    <row r="7298" spans="1:2" x14ac:dyDescent="0.2">
      <c r="A7298" s="12"/>
      <c r="B7298" s="13"/>
    </row>
    <row r="7299" spans="1:2" x14ac:dyDescent="0.2">
      <c r="A7299" s="12"/>
      <c r="B7299" s="13"/>
    </row>
    <row r="7300" spans="1:2" x14ac:dyDescent="0.2">
      <c r="A7300" s="12"/>
      <c r="B7300" s="13"/>
    </row>
    <row r="7301" spans="1:2" x14ac:dyDescent="0.2">
      <c r="A7301" s="12"/>
      <c r="B7301" s="13"/>
    </row>
    <row r="7302" spans="1:2" x14ac:dyDescent="0.2">
      <c r="A7302" s="12"/>
      <c r="B7302" s="13"/>
    </row>
    <row r="7303" spans="1:2" x14ac:dyDescent="0.2">
      <c r="A7303" s="12"/>
      <c r="B7303" s="13"/>
    </row>
    <row r="7304" spans="1:2" x14ac:dyDescent="0.2">
      <c r="A7304" s="12"/>
      <c r="B7304" s="13"/>
    </row>
    <row r="7305" spans="1:2" x14ac:dyDescent="0.2">
      <c r="A7305" s="12"/>
      <c r="B7305" s="13"/>
    </row>
    <row r="7306" spans="1:2" x14ac:dyDescent="0.2">
      <c r="A7306" s="12"/>
      <c r="B7306" s="13"/>
    </row>
    <row r="7307" spans="1:2" x14ac:dyDescent="0.2">
      <c r="A7307" s="12"/>
      <c r="B7307" s="13"/>
    </row>
    <row r="7308" spans="1:2" x14ac:dyDescent="0.2">
      <c r="A7308" s="12"/>
      <c r="B7308" s="13"/>
    </row>
    <row r="7309" spans="1:2" x14ac:dyDescent="0.2">
      <c r="A7309" s="12"/>
      <c r="B7309" s="13"/>
    </row>
    <row r="7310" spans="1:2" x14ac:dyDescent="0.2">
      <c r="A7310" s="12"/>
      <c r="B7310" s="13"/>
    </row>
    <row r="7311" spans="1:2" x14ac:dyDescent="0.2">
      <c r="A7311" s="12"/>
      <c r="B7311" s="13"/>
    </row>
    <row r="7312" spans="1:2" x14ac:dyDescent="0.2">
      <c r="A7312" s="12"/>
      <c r="B7312" s="13"/>
    </row>
    <row r="7313" spans="1:2" x14ac:dyDescent="0.2">
      <c r="A7313" s="12"/>
      <c r="B7313" s="13"/>
    </row>
    <row r="7314" spans="1:2" x14ac:dyDescent="0.2">
      <c r="A7314" s="12"/>
      <c r="B7314" s="13"/>
    </row>
    <row r="7315" spans="1:2" x14ac:dyDescent="0.2">
      <c r="A7315" s="12"/>
      <c r="B7315" s="13"/>
    </row>
    <row r="7316" spans="1:2" x14ac:dyDescent="0.2">
      <c r="A7316" s="12"/>
      <c r="B7316" s="13"/>
    </row>
    <row r="7317" spans="1:2" x14ac:dyDescent="0.2">
      <c r="A7317" s="12"/>
      <c r="B7317" s="13"/>
    </row>
    <row r="7318" spans="1:2" x14ac:dyDescent="0.2">
      <c r="A7318" s="12"/>
      <c r="B7318" s="13"/>
    </row>
    <row r="7319" spans="1:2" x14ac:dyDescent="0.2">
      <c r="A7319" s="12"/>
      <c r="B7319" s="13"/>
    </row>
    <row r="7320" spans="1:2" x14ac:dyDescent="0.2">
      <c r="A7320" s="12"/>
      <c r="B7320" s="13"/>
    </row>
    <row r="7321" spans="1:2" x14ac:dyDescent="0.2">
      <c r="A7321" s="12"/>
      <c r="B7321" s="13"/>
    </row>
    <row r="7322" spans="1:2" x14ac:dyDescent="0.2">
      <c r="A7322" s="12"/>
      <c r="B7322" s="13"/>
    </row>
    <row r="7323" spans="1:2" x14ac:dyDescent="0.2">
      <c r="A7323" s="12"/>
      <c r="B7323" s="13"/>
    </row>
    <row r="7324" spans="1:2" x14ac:dyDescent="0.2">
      <c r="A7324" s="12"/>
      <c r="B7324" s="13"/>
    </row>
    <row r="7325" spans="1:2" x14ac:dyDescent="0.2">
      <c r="A7325" s="12"/>
      <c r="B7325" s="13"/>
    </row>
    <row r="7326" spans="1:2" x14ac:dyDescent="0.2">
      <c r="A7326" s="12"/>
      <c r="B7326" s="13"/>
    </row>
    <row r="7327" spans="1:2" x14ac:dyDescent="0.2">
      <c r="A7327" s="12"/>
      <c r="B7327" s="13"/>
    </row>
    <row r="7328" spans="1:2" x14ac:dyDescent="0.2">
      <c r="A7328" s="12"/>
      <c r="B7328" s="13"/>
    </row>
    <row r="7329" spans="1:2" x14ac:dyDescent="0.2">
      <c r="A7329" s="12"/>
      <c r="B7329" s="13"/>
    </row>
    <row r="7330" spans="1:2" x14ac:dyDescent="0.2">
      <c r="A7330" s="12"/>
      <c r="B7330" s="13"/>
    </row>
    <row r="7331" spans="1:2" x14ac:dyDescent="0.2">
      <c r="A7331" s="12"/>
      <c r="B7331" s="13"/>
    </row>
    <row r="7332" spans="1:2" x14ac:dyDescent="0.2">
      <c r="A7332" s="12"/>
      <c r="B7332" s="13"/>
    </row>
    <row r="7333" spans="1:2" x14ac:dyDescent="0.2">
      <c r="A7333" s="12"/>
      <c r="B7333" s="13"/>
    </row>
    <row r="7334" spans="1:2" x14ac:dyDescent="0.2">
      <c r="A7334" s="12"/>
      <c r="B7334" s="13"/>
    </row>
    <row r="7335" spans="1:2" x14ac:dyDescent="0.2">
      <c r="A7335" s="12"/>
      <c r="B7335" s="13"/>
    </row>
    <row r="7336" spans="1:2" x14ac:dyDescent="0.2">
      <c r="A7336" s="12"/>
      <c r="B7336" s="13"/>
    </row>
    <row r="7337" spans="1:2" x14ac:dyDescent="0.2">
      <c r="A7337" s="12"/>
      <c r="B7337" s="13"/>
    </row>
    <row r="7338" spans="1:2" x14ac:dyDescent="0.2">
      <c r="A7338" s="12"/>
      <c r="B7338" s="13"/>
    </row>
    <row r="7339" spans="1:2" x14ac:dyDescent="0.2">
      <c r="A7339" s="12"/>
      <c r="B7339" s="13"/>
    </row>
    <row r="7340" spans="1:2" x14ac:dyDescent="0.2">
      <c r="A7340" s="12"/>
      <c r="B7340" s="13"/>
    </row>
    <row r="7341" spans="1:2" x14ac:dyDescent="0.2">
      <c r="A7341" s="12"/>
      <c r="B7341" s="13"/>
    </row>
    <row r="7342" spans="1:2" x14ac:dyDescent="0.2">
      <c r="A7342" s="12"/>
      <c r="B7342" s="13"/>
    </row>
    <row r="7343" spans="1:2" x14ac:dyDescent="0.2">
      <c r="A7343" s="12"/>
      <c r="B7343" s="13"/>
    </row>
    <row r="7344" spans="1:2" x14ac:dyDescent="0.2">
      <c r="A7344" s="12"/>
      <c r="B7344" s="13"/>
    </row>
    <row r="7345" spans="1:2" x14ac:dyDescent="0.2">
      <c r="A7345" s="12"/>
      <c r="B7345" s="13"/>
    </row>
    <row r="7346" spans="1:2" x14ac:dyDescent="0.2">
      <c r="A7346" s="12"/>
      <c r="B7346" s="13"/>
    </row>
    <row r="7347" spans="1:2" x14ac:dyDescent="0.2">
      <c r="A7347" s="12"/>
      <c r="B7347" s="13"/>
    </row>
    <row r="7348" spans="1:2" x14ac:dyDescent="0.2">
      <c r="A7348" s="12"/>
      <c r="B7348" s="13"/>
    </row>
    <row r="7349" spans="1:2" x14ac:dyDescent="0.2">
      <c r="A7349" s="12"/>
      <c r="B7349" s="13"/>
    </row>
    <row r="7350" spans="1:2" x14ac:dyDescent="0.2">
      <c r="A7350" s="12"/>
      <c r="B7350" s="13"/>
    </row>
    <row r="7351" spans="1:2" x14ac:dyDescent="0.2">
      <c r="A7351" s="12"/>
      <c r="B7351" s="13"/>
    </row>
    <row r="7352" spans="1:2" x14ac:dyDescent="0.2">
      <c r="A7352" s="12"/>
      <c r="B7352" s="13"/>
    </row>
    <row r="7353" spans="1:2" x14ac:dyDescent="0.2">
      <c r="A7353" s="12"/>
      <c r="B7353" s="13"/>
    </row>
    <row r="7354" spans="1:2" x14ac:dyDescent="0.2">
      <c r="A7354" s="12"/>
      <c r="B7354" s="13"/>
    </row>
    <row r="7355" spans="1:2" x14ac:dyDescent="0.2">
      <c r="A7355" s="12"/>
      <c r="B7355" s="13"/>
    </row>
    <row r="7356" spans="1:2" x14ac:dyDescent="0.2">
      <c r="A7356" s="12"/>
      <c r="B7356" s="13"/>
    </row>
    <row r="7357" spans="1:2" x14ac:dyDescent="0.2">
      <c r="A7357" s="12"/>
      <c r="B7357" s="13"/>
    </row>
    <row r="7358" spans="1:2" x14ac:dyDescent="0.2">
      <c r="A7358" s="12"/>
      <c r="B7358" s="13"/>
    </row>
    <row r="7359" spans="1:2" x14ac:dyDescent="0.2">
      <c r="A7359" s="12"/>
      <c r="B7359" s="13"/>
    </row>
    <row r="7360" spans="1:2" x14ac:dyDescent="0.2">
      <c r="A7360" s="12"/>
      <c r="B7360" s="13"/>
    </row>
    <row r="7361" spans="1:2" x14ac:dyDescent="0.2">
      <c r="A7361" s="12"/>
      <c r="B7361" s="13"/>
    </row>
    <row r="7362" spans="1:2" x14ac:dyDescent="0.2">
      <c r="A7362" s="12"/>
      <c r="B7362" s="13"/>
    </row>
    <row r="7363" spans="1:2" x14ac:dyDescent="0.2">
      <c r="A7363" s="12"/>
      <c r="B7363" s="13"/>
    </row>
    <row r="7364" spans="1:2" x14ac:dyDescent="0.2">
      <c r="A7364" s="12"/>
      <c r="B7364" s="13"/>
    </row>
    <row r="7365" spans="1:2" x14ac:dyDescent="0.2">
      <c r="A7365" s="12"/>
      <c r="B7365" s="13"/>
    </row>
    <row r="7366" spans="1:2" x14ac:dyDescent="0.2">
      <c r="A7366" s="12"/>
      <c r="B7366" s="13"/>
    </row>
    <row r="7367" spans="1:2" x14ac:dyDescent="0.2">
      <c r="A7367" s="12"/>
      <c r="B7367" s="13"/>
    </row>
    <row r="7368" spans="1:2" x14ac:dyDescent="0.2">
      <c r="A7368" s="12"/>
      <c r="B7368" s="13"/>
    </row>
    <row r="7369" spans="1:2" x14ac:dyDescent="0.2">
      <c r="A7369" s="12"/>
      <c r="B7369" s="13"/>
    </row>
    <row r="7370" spans="1:2" x14ac:dyDescent="0.2">
      <c r="A7370" s="12"/>
      <c r="B7370" s="13"/>
    </row>
    <row r="7371" spans="1:2" x14ac:dyDescent="0.2">
      <c r="A7371" s="12"/>
      <c r="B7371" s="13"/>
    </row>
    <row r="7372" spans="1:2" x14ac:dyDescent="0.2">
      <c r="A7372" s="12"/>
      <c r="B7372" s="13"/>
    </row>
    <row r="7373" spans="1:2" x14ac:dyDescent="0.2">
      <c r="A7373" s="12"/>
      <c r="B7373" s="13"/>
    </row>
    <row r="7374" spans="1:2" x14ac:dyDescent="0.2">
      <c r="A7374" s="12"/>
      <c r="B7374" s="13"/>
    </row>
    <row r="7375" spans="1:2" x14ac:dyDescent="0.2">
      <c r="A7375" s="12"/>
      <c r="B7375" s="13"/>
    </row>
    <row r="7376" spans="1:2" x14ac:dyDescent="0.2">
      <c r="A7376" s="12"/>
      <c r="B7376" s="13"/>
    </row>
    <row r="7377" spans="1:2" x14ac:dyDescent="0.2">
      <c r="A7377" s="12"/>
      <c r="B7377" s="13"/>
    </row>
    <row r="7378" spans="1:2" x14ac:dyDescent="0.2">
      <c r="A7378" s="12"/>
      <c r="B7378" s="13"/>
    </row>
    <row r="7379" spans="1:2" x14ac:dyDescent="0.2">
      <c r="A7379" s="12"/>
      <c r="B7379" s="13"/>
    </row>
    <row r="7380" spans="1:2" x14ac:dyDescent="0.2">
      <c r="A7380" s="12"/>
      <c r="B7380" s="13"/>
    </row>
    <row r="7381" spans="1:2" x14ac:dyDescent="0.2">
      <c r="A7381" s="12"/>
      <c r="B7381" s="13"/>
    </row>
    <row r="7382" spans="1:2" x14ac:dyDescent="0.2">
      <c r="A7382" s="12"/>
      <c r="B7382" s="13"/>
    </row>
    <row r="7383" spans="1:2" x14ac:dyDescent="0.2">
      <c r="A7383" s="12"/>
      <c r="B7383" s="13"/>
    </row>
    <row r="7384" spans="1:2" x14ac:dyDescent="0.2">
      <c r="A7384" s="12"/>
      <c r="B7384" s="13"/>
    </row>
    <row r="7385" spans="1:2" x14ac:dyDescent="0.2">
      <c r="A7385" s="12"/>
      <c r="B7385" s="13"/>
    </row>
    <row r="7386" spans="1:2" x14ac:dyDescent="0.2">
      <c r="A7386" s="12"/>
      <c r="B7386" s="13"/>
    </row>
    <row r="7387" spans="1:2" x14ac:dyDescent="0.2">
      <c r="A7387" s="12"/>
      <c r="B7387" s="13"/>
    </row>
    <row r="7388" spans="1:2" x14ac:dyDescent="0.2">
      <c r="A7388" s="12"/>
      <c r="B7388" s="13"/>
    </row>
    <row r="7389" spans="1:2" x14ac:dyDescent="0.2">
      <c r="A7389" s="12"/>
      <c r="B7389" s="13"/>
    </row>
    <row r="7390" spans="1:2" x14ac:dyDescent="0.2">
      <c r="A7390" s="12"/>
      <c r="B7390" s="13"/>
    </row>
    <row r="7391" spans="1:2" x14ac:dyDescent="0.2">
      <c r="A7391" s="12"/>
      <c r="B7391" s="13"/>
    </row>
    <row r="7392" spans="1:2" x14ac:dyDescent="0.2">
      <c r="A7392" s="12"/>
      <c r="B7392" s="13"/>
    </row>
    <row r="7393" spans="1:2" x14ac:dyDescent="0.2">
      <c r="A7393" s="12"/>
      <c r="B7393" s="13"/>
    </row>
    <row r="7394" spans="1:2" x14ac:dyDescent="0.2">
      <c r="A7394" s="12"/>
      <c r="B7394" s="13"/>
    </row>
    <row r="7395" spans="1:2" x14ac:dyDescent="0.2">
      <c r="A7395" s="12"/>
      <c r="B7395" s="13"/>
    </row>
    <row r="7396" spans="1:2" x14ac:dyDescent="0.2">
      <c r="A7396" s="12"/>
      <c r="B7396" s="13"/>
    </row>
    <row r="7397" spans="1:2" x14ac:dyDescent="0.2">
      <c r="A7397" s="12"/>
      <c r="B7397" s="13"/>
    </row>
    <row r="7398" spans="1:2" x14ac:dyDescent="0.2">
      <c r="A7398" s="12"/>
      <c r="B7398" s="13"/>
    </row>
    <row r="7399" spans="1:2" x14ac:dyDescent="0.2">
      <c r="A7399" s="12"/>
      <c r="B7399" s="13"/>
    </row>
    <row r="7400" spans="1:2" x14ac:dyDescent="0.2">
      <c r="A7400" s="12"/>
      <c r="B7400" s="13"/>
    </row>
    <row r="7401" spans="1:2" x14ac:dyDescent="0.2">
      <c r="A7401" s="12"/>
      <c r="B7401" s="13"/>
    </row>
    <row r="7402" spans="1:2" x14ac:dyDescent="0.2">
      <c r="A7402" s="12"/>
      <c r="B7402" s="13"/>
    </row>
    <row r="7403" spans="1:2" x14ac:dyDescent="0.2">
      <c r="A7403" s="12"/>
      <c r="B7403" s="13"/>
    </row>
    <row r="7404" spans="1:2" x14ac:dyDescent="0.2">
      <c r="A7404" s="12"/>
      <c r="B7404" s="13"/>
    </row>
    <row r="7405" spans="1:2" x14ac:dyDescent="0.2">
      <c r="A7405" s="12"/>
      <c r="B7405" s="13"/>
    </row>
    <row r="7406" spans="1:2" x14ac:dyDescent="0.2">
      <c r="A7406" s="12"/>
      <c r="B7406" s="13"/>
    </row>
    <row r="7407" spans="1:2" x14ac:dyDescent="0.2">
      <c r="A7407" s="12"/>
      <c r="B7407" s="13"/>
    </row>
    <row r="7408" spans="1:2" x14ac:dyDescent="0.2">
      <c r="A7408" s="12"/>
      <c r="B7408" s="13"/>
    </row>
    <row r="7409" spans="1:2" x14ac:dyDescent="0.2">
      <c r="A7409" s="12"/>
      <c r="B7409" s="13"/>
    </row>
    <row r="7410" spans="1:2" x14ac:dyDescent="0.2">
      <c r="A7410" s="12"/>
      <c r="B7410" s="13"/>
    </row>
    <row r="7411" spans="1:2" x14ac:dyDescent="0.2">
      <c r="A7411" s="12"/>
      <c r="B7411" s="13"/>
    </row>
    <row r="7412" spans="1:2" x14ac:dyDescent="0.2">
      <c r="A7412" s="12"/>
      <c r="B7412" s="13"/>
    </row>
    <row r="7413" spans="1:2" x14ac:dyDescent="0.2">
      <c r="A7413" s="12"/>
      <c r="B7413" s="13"/>
    </row>
    <row r="7414" spans="1:2" x14ac:dyDescent="0.2">
      <c r="A7414" s="12"/>
      <c r="B7414" s="13"/>
    </row>
    <row r="7415" spans="1:2" x14ac:dyDescent="0.2">
      <c r="A7415" s="12"/>
      <c r="B7415" s="13"/>
    </row>
    <row r="7416" spans="1:2" x14ac:dyDescent="0.2">
      <c r="A7416" s="12"/>
      <c r="B7416" s="13"/>
    </row>
    <row r="7417" spans="1:2" x14ac:dyDescent="0.2">
      <c r="A7417" s="12"/>
      <c r="B7417" s="13"/>
    </row>
    <row r="7418" spans="1:2" x14ac:dyDescent="0.2">
      <c r="A7418" s="12"/>
      <c r="B7418" s="13"/>
    </row>
    <row r="7419" spans="1:2" x14ac:dyDescent="0.2">
      <c r="A7419" s="12"/>
      <c r="B7419" s="13"/>
    </row>
    <row r="7420" spans="1:2" x14ac:dyDescent="0.2">
      <c r="A7420" s="12"/>
      <c r="B7420" s="13"/>
    </row>
    <row r="7421" spans="1:2" x14ac:dyDescent="0.2">
      <c r="A7421" s="12"/>
      <c r="B7421" s="13"/>
    </row>
    <row r="7422" spans="1:2" x14ac:dyDescent="0.2">
      <c r="A7422" s="12"/>
      <c r="B7422" s="13"/>
    </row>
    <row r="7423" spans="1:2" x14ac:dyDescent="0.2">
      <c r="A7423" s="12"/>
      <c r="B7423" s="13"/>
    </row>
    <row r="7424" spans="1:2" x14ac:dyDescent="0.2">
      <c r="A7424" s="12"/>
      <c r="B7424" s="13"/>
    </row>
    <row r="7425" spans="1:2" x14ac:dyDescent="0.2">
      <c r="A7425" s="12"/>
      <c r="B7425" s="13"/>
    </row>
    <row r="7426" spans="1:2" x14ac:dyDescent="0.2">
      <c r="A7426" s="12"/>
      <c r="B7426" s="13"/>
    </row>
    <row r="7427" spans="1:2" x14ac:dyDescent="0.2">
      <c r="A7427" s="12"/>
      <c r="B7427" s="13"/>
    </row>
    <row r="7428" spans="1:2" x14ac:dyDescent="0.2">
      <c r="A7428" s="12"/>
      <c r="B7428" s="13"/>
    </row>
    <row r="7429" spans="1:2" x14ac:dyDescent="0.2">
      <c r="A7429" s="12"/>
      <c r="B7429" s="13"/>
    </row>
    <row r="7430" spans="1:2" x14ac:dyDescent="0.2">
      <c r="A7430" s="12"/>
      <c r="B7430" s="13"/>
    </row>
    <row r="7431" spans="1:2" x14ac:dyDescent="0.2">
      <c r="A7431" s="12"/>
      <c r="B7431" s="13"/>
    </row>
    <row r="7432" spans="1:2" x14ac:dyDescent="0.2">
      <c r="A7432" s="12"/>
      <c r="B7432" s="13"/>
    </row>
    <row r="7433" spans="1:2" x14ac:dyDescent="0.2">
      <c r="A7433" s="12"/>
      <c r="B7433" s="13"/>
    </row>
    <row r="7434" spans="1:2" x14ac:dyDescent="0.2">
      <c r="A7434" s="12"/>
      <c r="B7434" s="13"/>
    </row>
    <row r="7435" spans="1:2" x14ac:dyDescent="0.2">
      <c r="A7435" s="12"/>
      <c r="B7435" s="13"/>
    </row>
    <row r="7436" spans="1:2" x14ac:dyDescent="0.2">
      <c r="A7436" s="12"/>
      <c r="B7436" s="13"/>
    </row>
    <row r="7437" spans="1:2" x14ac:dyDescent="0.2">
      <c r="A7437" s="12"/>
      <c r="B7437" s="13"/>
    </row>
    <row r="7438" spans="1:2" x14ac:dyDescent="0.2">
      <c r="A7438" s="12"/>
      <c r="B7438" s="13"/>
    </row>
    <row r="7439" spans="1:2" x14ac:dyDescent="0.2">
      <c r="A7439" s="12"/>
      <c r="B7439" s="13"/>
    </row>
    <row r="7440" spans="1:2" x14ac:dyDescent="0.2">
      <c r="A7440" s="12"/>
      <c r="B7440" s="13"/>
    </row>
    <row r="7441" spans="1:2" x14ac:dyDescent="0.2">
      <c r="A7441" s="12"/>
      <c r="B7441" s="13"/>
    </row>
    <row r="7442" spans="1:2" x14ac:dyDescent="0.2">
      <c r="A7442" s="12"/>
      <c r="B7442" s="13"/>
    </row>
    <row r="7443" spans="1:2" x14ac:dyDescent="0.2">
      <c r="A7443" s="12"/>
      <c r="B7443" s="13"/>
    </row>
    <row r="7444" spans="1:2" x14ac:dyDescent="0.2">
      <c r="A7444" s="12"/>
      <c r="B7444" s="13"/>
    </row>
    <row r="7445" spans="1:2" x14ac:dyDescent="0.2">
      <c r="A7445" s="12"/>
      <c r="B7445" s="13"/>
    </row>
    <row r="7446" spans="1:2" x14ac:dyDescent="0.2">
      <c r="A7446" s="12"/>
      <c r="B7446" s="13"/>
    </row>
    <row r="7447" spans="1:2" x14ac:dyDescent="0.2">
      <c r="A7447" s="12"/>
      <c r="B7447" s="13"/>
    </row>
    <row r="7448" spans="1:2" x14ac:dyDescent="0.2">
      <c r="A7448" s="12"/>
      <c r="B7448" s="13"/>
    </row>
    <row r="7449" spans="1:2" x14ac:dyDescent="0.2">
      <c r="A7449" s="12"/>
      <c r="B7449" s="13"/>
    </row>
    <row r="7450" spans="1:2" x14ac:dyDescent="0.2">
      <c r="A7450" s="12"/>
      <c r="B7450" s="13"/>
    </row>
    <row r="7451" spans="1:2" x14ac:dyDescent="0.2">
      <c r="A7451" s="12"/>
      <c r="B7451" s="13"/>
    </row>
    <row r="7452" spans="1:2" x14ac:dyDescent="0.2">
      <c r="A7452" s="12"/>
      <c r="B7452" s="13"/>
    </row>
    <row r="7453" spans="1:2" x14ac:dyDescent="0.2">
      <c r="A7453" s="12"/>
      <c r="B7453" s="13"/>
    </row>
    <row r="7454" spans="1:2" x14ac:dyDescent="0.2">
      <c r="A7454" s="12"/>
      <c r="B7454" s="13"/>
    </row>
    <row r="7455" spans="1:2" x14ac:dyDescent="0.2">
      <c r="A7455" s="12"/>
      <c r="B7455" s="13"/>
    </row>
    <row r="7456" spans="1:2" x14ac:dyDescent="0.2">
      <c r="A7456" s="12"/>
      <c r="B7456" s="13"/>
    </row>
    <row r="7457" spans="1:2" x14ac:dyDescent="0.2">
      <c r="A7457" s="12"/>
      <c r="B7457" s="13"/>
    </row>
    <row r="7458" spans="1:2" x14ac:dyDescent="0.2">
      <c r="A7458" s="12"/>
      <c r="B7458" s="13"/>
    </row>
    <row r="7459" spans="1:2" x14ac:dyDescent="0.2">
      <c r="A7459" s="12"/>
      <c r="B7459" s="13"/>
    </row>
    <row r="7460" spans="1:2" x14ac:dyDescent="0.2">
      <c r="A7460" s="12"/>
      <c r="B7460" s="13"/>
    </row>
    <row r="7461" spans="1:2" x14ac:dyDescent="0.2">
      <c r="A7461" s="12"/>
      <c r="B7461" s="13"/>
    </row>
    <row r="7462" spans="1:2" x14ac:dyDescent="0.2">
      <c r="A7462" s="12"/>
      <c r="B7462" s="13"/>
    </row>
    <row r="7463" spans="1:2" x14ac:dyDescent="0.2">
      <c r="A7463" s="12"/>
      <c r="B7463" s="13"/>
    </row>
    <row r="7464" spans="1:2" x14ac:dyDescent="0.2">
      <c r="A7464" s="12"/>
      <c r="B7464" s="13"/>
    </row>
    <row r="7465" spans="1:2" x14ac:dyDescent="0.2">
      <c r="A7465" s="12"/>
      <c r="B7465" s="13"/>
    </row>
    <row r="7466" spans="1:2" x14ac:dyDescent="0.2">
      <c r="A7466" s="12"/>
      <c r="B7466" s="13"/>
    </row>
    <row r="7467" spans="1:2" x14ac:dyDescent="0.2">
      <c r="A7467" s="12"/>
      <c r="B7467" s="13"/>
    </row>
    <row r="7468" spans="1:2" x14ac:dyDescent="0.2">
      <c r="A7468" s="12"/>
      <c r="B7468" s="13"/>
    </row>
    <row r="7469" spans="1:2" x14ac:dyDescent="0.2">
      <c r="A7469" s="12"/>
      <c r="B7469" s="13"/>
    </row>
    <row r="7470" spans="1:2" x14ac:dyDescent="0.2">
      <c r="A7470" s="12"/>
      <c r="B7470" s="13"/>
    </row>
    <row r="7471" spans="1:2" x14ac:dyDescent="0.2">
      <c r="A7471" s="12"/>
      <c r="B7471" s="13"/>
    </row>
    <row r="7472" spans="1:2" x14ac:dyDescent="0.2">
      <c r="A7472" s="12"/>
      <c r="B7472" s="13"/>
    </row>
    <row r="7473" spans="1:2" x14ac:dyDescent="0.2">
      <c r="A7473" s="12"/>
      <c r="B7473" s="13"/>
    </row>
    <row r="7474" spans="1:2" x14ac:dyDescent="0.2">
      <c r="A7474" s="12"/>
      <c r="B7474" s="13"/>
    </row>
    <row r="7475" spans="1:2" x14ac:dyDescent="0.2">
      <c r="A7475" s="12"/>
      <c r="B7475" s="13"/>
    </row>
    <row r="7476" spans="1:2" x14ac:dyDescent="0.2">
      <c r="A7476" s="12"/>
      <c r="B7476" s="13"/>
    </row>
    <row r="7477" spans="1:2" x14ac:dyDescent="0.2">
      <c r="A7477" s="12"/>
      <c r="B7477" s="13"/>
    </row>
    <row r="7478" spans="1:2" x14ac:dyDescent="0.2">
      <c r="A7478" s="12"/>
      <c r="B7478" s="13"/>
    </row>
    <row r="7479" spans="1:2" x14ac:dyDescent="0.2">
      <c r="A7479" s="12"/>
      <c r="B7479" s="13"/>
    </row>
    <row r="7480" spans="1:2" x14ac:dyDescent="0.2">
      <c r="A7480" s="12"/>
      <c r="B7480" s="13"/>
    </row>
    <row r="7481" spans="1:2" x14ac:dyDescent="0.2">
      <c r="A7481" s="12"/>
      <c r="B7481" s="13"/>
    </row>
    <row r="7482" spans="1:2" x14ac:dyDescent="0.2">
      <c r="A7482" s="12"/>
      <c r="B7482" s="13"/>
    </row>
    <row r="7483" spans="1:2" x14ac:dyDescent="0.2">
      <c r="A7483" s="12"/>
      <c r="B7483" s="13"/>
    </row>
    <row r="7484" spans="1:2" x14ac:dyDescent="0.2">
      <c r="A7484" s="12"/>
      <c r="B7484" s="13"/>
    </row>
    <row r="7485" spans="1:2" x14ac:dyDescent="0.2">
      <c r="A7485" s="12"/>
      <c r="B7485" s="13"/>
    </row>
    <row r="7486" spans="1:2" x14ac:dyDescent="0.2">
      <c r="A7486" s="12"/>
      <c r="B7486" s="13"/>
    </row>
    <row r="7487" spans="1:2" x14ac:dyDescent="0.2">
      <c r="A7487" s="12"/>
      <c r="B7487" s="13"/>
    </row>
    <row r="7488" spans="1:2" x14ac:dyDescent="0.2">
      <c r="A7488" s="12"/>
      <c r="B7488" s="13"/>
    </row>
    <row r="7489" spans="1:2" x14ac:dyDescent="0.2">
      <c r="A7489" s="12"/>
      <c r="B7489" s="13"/>
    </row>
    <row r="7490" spans="1:2" x14ac:dyDescent="0.2">
      <c r="A7490" s="12"/>
      <c r="B7490" s="13"/>
    </row>
    <row r="7491" spans="1:2" x14ac:dyDescent="0.2">
      <c r="A7491" s="12"/>
      <c r="B7491" s="13"/>
    </row>
    <row r="7492" spans="1:2" x14ac:dyDescent="0.2">
      <c r="A7492" s="12"/>
      <c r="B7492" s="13"/>
    </row>
    <row r="7493" spans="1:2" x14ac:dyDescent="0.2">
      <c r="A7493" s="12"/>
      <c r="B7493" s="13"/>
    </row>
    <row r="7494" spans="1:2" x14ac:dyDescent="0.2">
      <c r="A7494" s="12"/>
      <c r="B7494" s="13"/>
    </row>
    <row r="7495" spans="1:2" x14ac:dyDescent="0.2">
      <c r="A7495" s="12"/>
      <c r="B7495" s="13"/>
    </row>
    <row r="7496" spans="1:2" x14ac:dyDescent="0.2">
      <c r="A7496" s="12"/>
      <c r="B7496" s="13"/>
    </row>
    <row r="7497" spans="1:2" x14ac:dyDescent="0.2">
      <c r="A7497" s="12"/>
      <c r="B7497" s="13"/>
    </row>
    <row r="7498" spans="1:2" x14ac:dyDescent="0.2">
      <c r="A7498" s="12"/>
      <c r="B7498" s="13"/>
    </row>
    <row r="7499" spans="1:2" x14ac:dyDescent="0.2">
      <c r="A7499" s="12"/>
      <c r="B7499" s="13"/>
    </row>
    <row r="7500" spans="1:2" x14ac:dyDescent="0.2">
      <c r="A7500" s="12"/>
      <c r="B7500" s="13"/>
    </row>
    <row r="7501" spans="1:2" x14ac:dyDescent="0.2">
      <c r="A7501" s="12"/>
      <c r="B7501" s="13"/>
    </row>
    <row r="7502" spans="1:2" x14ac:dyDescent="0.2">
      <c r="A7502" s="12"/>
      <c r="B7502" s="13"/>
    </row>
    <row r="7503" spans="1:2" x14ac:dyDescent="0.2">
      <c r="A7503" s="12"/>
      <c r="B7503" s="13"/>
    </row>
    <row r="7504" spans="1:2" x14ac:dyDescent="0.2">
      <c r="A7504" s="12"/>
      <c r="B7504" s="13"/>
    </row>
    <row r="7505" spans="1:2" x14ac:dyDescent="0.2">
      <c r="A7505" s="12"/>
      <c r="B7505" s="13"/>
    </row>
    <row r="7506" spans="1:2" x14ac:dyDescent="0.2">
      <c r="A7506" s="12"/>
      <c r="B7506" s="13"/>
    </row>
    <row r="7507" spans="1:2" x14ac:dyDescent="0.2">
      <c r="A7507" s="12"/>
      <c r="B7507" s="13"/>
    </row>
    <row r="7508" spans="1:2" x14ac:dyDescent="0.2">
      <c r="A7508" s="12"/>
      <c r="B7508" s="13"/>
    </row>
    <row r="7509" spans="1:2" x14ac:dyDescent="0.2">
      <c r="A7509" s="12"/>
      <c r="B7509" s="13"/>
    </row>
    <row r="7510" spans="1:2" x14ac:dyDescent="0.2">
      <c r="A7510" s="12"/>
      <c r="B7510" s="13"/>
    </row>
    <row r="7511" spans="1:2" x14ac:dyDescent="0.2">
      <c r="A7511" s="12"/>
      <c r="B7511" s="13"/>
    </row>
    <row r="7512" spans="1:2" x14ac:dyDescent="0.2">
      <c r="A7512" s="12"/>
      <c r="B7512" s="13"/>
    </row>
    <row r="7513" spans="1:2" x14ac:dyDescent="0.2">
      <c r="A7513" s="12"/>
      <c r="B7513" s="13"/>
    </row>
    <row r="7514" spans="1:2" x14ac:dyDescent="0.2">
      <c r="A7514" s="12"/>
      <c r="B7514" s="13"/>
    </row>
    <row r="7515" spans="1:2" x14ac:dyDescent="0.2">
      <c r="A7515" s="12"/>
      <c r="B7515" s="13"/>
    </row>
    <row r="7516" spans="1:2" x14ac:dyDescent="0.2">
      <c r="A7516" s="12"/>
      <c r="B7516" s="13"/>
    </row>
    <row r="7517" spans="1:2" x14ac:dyDescent="0.2">
      <c r="A7517" s="12"/>
      <c r="B7517" s="13"/>
    </row>
    <row r="7518" spans="1:2" x14ac:dyDescent="0.2">
      <c r="A7518" s="12"/>
      <c r="B7518" s="13"/>
    </row>
    <row r="7519" spans="1:2" x14ac:dyDescent="0.2">
      <c r="A7519" s="12"/>
      <c r="B7519" s="13"/>
    </row>
    <row r="7520" spans="1:2" x14ac:dyDescent="0.2">
      <c r="A7520" s="12"/>
      <c r="B7520" s="13"/>
    </row>
    <row r="7521" spans="1:2" x14ac:dyDescent="0.2">
      <c r="A7521" s="12"/>
      <c r="B7521" s="13"/>
    </row>
    <row r="7522" spans="1:2" x14ac:dyDescent="0.2">
      <c r="A7522" s="12"/>
      <c r="B7522" s="13"/>
    </row>
    <row r="7523" spans="1:2" x14ac:dyDescent="0.2">
      <c r="A7523" s="12"/>
      <c r="B7523" s="13"/>
    </row>
    <row r="7524" spans="1:2" x14ac:dyDescent="0.2">
      <c r="A7524" s="12"/>
      <c r="B7524" s="13"/>
    </row>
    <row r="7525" spans="1:2" x14ac:dyDescent="0.2">
      <c r="A7525" s="12"/>
      <c r="B7525" s="13"/>
    </row>
    <row r="7526" spans="1:2" x14ac:dyDescent="0.2">
      <c r="A7526" s="12"/>
      <c r="B7526" s="13"/>
    </row>
    <row r="7527" spans="1:2" x14ac:dyDescent="0.2">
      <c r="A7527" s="12"/>
      <c r="B7527" s="13"/>
    </row>
    <row r="7528" spans="1:2" x14ac:dyDescent="0.2">
      <c r="A7528" s="12"/>
      <c r="B7528" s="13"/>
    </row>
    <row r="7529" spans="1:2" x14ac:dyDescent="0.2">
      <c r="A7529" s="12"/>
      <c r="B7529" s="13"/>
    </row>
    <row r="7530" spans="1:2" x14ac:dyDescent="0.2">
      <c r="A7530" s="12"/>
      <c r="B7530" s="13"/>
    </row>
    <row r="7531" spans="1:2" x14ac:dyDescent="0.2">
      <c r="A7531" s="12"/>
      <c r="B7531" s="13"/>
    </row>
    <row r="7532" spans="1:2" x14ac:dyDescent="0.2">
      <c r="A7532" s="12"/>
      <c r="B7532" s="13"/>
    </row>
    <row r="7533" spans="1:2" x14ac:dyDescent="0.2">
      <c r="A7533" s="12"/>
      <c r="B7533" s="13"/>
    </row>
    <row r="7534" spans="1:2" x14ac:dyDescent="0.2">
      <c r="A7534" s="12"/>
      <c r="B7534" s="13"/>
    </row>
    <row r="7535" spans="1:2" x14ac:dyDescent="0.2">
      <c r="A7535" s="12"/>
      <c r="B7535" s="13"/>
    </row>
    <row r="7536" spans="1:2" x14ac:dyDescent="0.2">
      <c r="A7536" s="12"/>
      <c r="B7536" s="13"/>
    </row>
    <row r="7537" spans="1:2" x14ac:dyDescent="0.2">
      <c r="A7537" s="12"/>
      <c r="B7537" s="13"/>
    </row>
    <row r="7538" spans="1:2" x14ac:dyDescent="0.2">
      <c r="A7538" s="12"/>
      <c r="B7538" s="13"/>
    </row>
    <row r="7539" spans="1:2" x14ac:dyDescent="0.2">
      <c r="A7539" s="12"/>
      <c r="B7539" s="13"/>
    </row>
    <row r="7540" spans="1:2" x14ac:dyDescent="0.2">
      <c r="A7540" s="12"/>
      <c r="B7540" s="13"/>
    </row>
    <row r="7541" spans="1:2" x14ac:dyDescent="0.2">
      <c r="A7541" s="12"/>
      <c r="B7541" s="13"/>
    </row>
    <row r="7542" spans="1:2" x14ac:dyDescent="0.2">
      <c r="A7542" s="12"/>
      <c r="B7542" s="13"/>
    </row>
    <row r="7543" spans="1:2" x14ac:dyDescent="0.2">
      <c r="A7543" s="12"/>
      <c r="B7543" s="13"/>
    </row>
    <row r="7544" spans="1:2" x14ac:dyDescent="0.2">
      <c r="A7544" s="12"/>
      <c r="B7544" s="13"/>
    </row>
    <row r="7545" spans="1:2" x14ac:dyDescent="0.2">
      <c r="A7545" s="12"/>
      <c r="B7545" s="13"/>
    </row>
    <row r="7546" spans="1:2" x14ac:dyDescent="0.2">
      <c r="A7546" s="12"/>
      <c r="B7546" s="13"/>
    </row>
    <row r="7547" spans="1:2" x14ac:dyDescent="0.2">
      <c r="A7547" s="12"/>
      <c r="B7547" s="13"/>
    </row>
    <row r="7548" spans="1:2" x14ac:dyDescent="0.2">
      <c r="A7548" s="12"/>
      <c r="B7548" s="13"/>
    </row>
    <row r="7549" spans="1:2" x14ac:dyDescent="0.2">
      <c r="A7549" s="12"/>
      <c r="B7549" s="13"/>
    </row>
    <row r="7550" spans="1:2" x14ac:dyDescent="0.2">
      <c r="A7550" s="12"/>
      <c r="B7550" s="13"/>
    </row>
    <row r="7551" spans="1:2" x14ac:dyDescent="0.2">
      <c r="A7551" s="12"/>
      <c r="B7551" s="13"/>
    </row>
    <row r="7552" spans="1:2" x14ac:dyDescent="0.2">
      <c r="A7552" s="12"/>
      <c r="B7552" s="13"/>
    </row>
    <row r="7553" spans="1:2" x14ac:dyDescent="0.2">
      <c r="A7553" s="12"/>
      <c r="B7553" s="13"/>
    </row>
    <row r="7554" spans="1:2" x14ac:dyDescent="0.2">
      <c r="A7554" s="12"/>
      <c r="B7554" s="13"/>
    </row>
    <row r="7555" spans="1:2" x14ac:dyDescent="0.2">
      <c r="A7555" s="12"/>
      <c r="B7555" s="13"/>
    </row>
    <row r="7556" spans="1:2" x14ac:dyDescent="0.2">
      <c r="A7556" s="12"/>
      <c r="B7556" s="13"/>
    </row>
    <row r="7557" spans="1:2" x14ac:dyDescent="0.2">
      <c r="A7557" s="12"/>
      <c r="B7557" s="13"/>
    </row>
    <row r="7558" spans="1:2" x14ac:dyDescent="0.2">
      <c r="A7558" s="12"/>
      <c r="B7558" s="13"/>
    </row>
    <row r="7559" spans="1:2" x14ac:dyDescent="0.2">
      <c r="A7559" s="12"/>
      <c r="B7559" s="13"/>
    </row>
    <row r="7560" spans="1:2" x14ac:dyDescent="0.2">
      <c r="A7560" s="12"/>
      <c r="B7560" s="13"/>
    </row>
    <row r="7561" spans="1:2" x14ac:dyDescent="0.2">
      <c r="A7561" s="12"/>
      <c r="B7561" s="13"/>
    </row>
    <row r="7562" spans="1:2" x14ac:dyDescent="0.2">
      <c r="A7562" s="12"/>
      <c r="B7562" s="13"/>
    </row>
    <row r="7563" spans="1:2" x14ac:dyDescent="0.2">
      <c r="A7563" s="12"/>
      <c r="B7563" s="13"/>
    </row>
    <row r="7564" spans="1:2" x14ac:dyDescent="0.2">
      <c r="A7564" s="12"/>
      <c r="B7564" s="13"/>
    </row>
    <row r="7565" spans="1:2" x14ac:dyDescent="0.2">
      <c r="A7565" s="12"/>
      <c r="B7565" s="13"/>
    </row>
    <row r="7566" spans="1:2" x14ac:dyDescent="0.2">
      <c r="A7566" s="12"/>
      <c r="B7566" s="13"/>
    </row>
    <row r="7567" spans="1:2" x14ac:dyDescent="0.2">
      <c r="A7567" s="12"/>
      <c r="B7567" s="13"/>
    </row>
    <row r="7568" spans="1:2" x14ac:dyDescent="0.2">
      <c r="A7568" s="12"/>
      <c r="B7568" s="13"/>
    </row>
    <row r="7569" spans="1:2" x14ac:dyDescent="0.2">
      <c r="A7569" s="12"/>
      <c r="B7569" s="13"/>
    </row>
    <row r="7570" spans="1:2" x14ac:dyDescent="0.2">
      <c r="A7570" s="12"/>
      <c r="B7570" s="13"/>
    </row>
    <row r="7571" spans="1:2" x14ac:dyDescent="0.2">
      <c r="A7571" s="12"/>
      <c r="B7571" s="13"/>
    </row>
    <row r="7572" spans="1:2" x14ac:dyDescent="0.2">
      <c r="A7572" s="12"/>
      <c r="B7572" s="13"/>
    </row>
    <row r="7573" spans="1:2" x14ac:dyDescent="0.2">
      <c r="A7573" s="12"/>
      <c r="B7573" s="13"/>
    </row>
    <row r="7574" spans="1:2" x14ac:dyDescent="0.2">
      <c r="A7574" s="12"/>
      <c r="B7574" s="13"/>
    </row>
    <row r="7575" spans="1:2" x14ac:dyDescent="0.2">
      <c r="A7575" s="12"/>
      <c r="B7575" s="13"/>
    </row>
    <row r="7576" spans="1:2" x14ac:dyDescent="0.2">
      <c r="A7576" s="12"/>
      <c r="B7576" s="13"/>
    </row>
    <row r="7577" spans="1:2" x14ac:dyDescent="0.2">
      <c r="A7577" s="12"/>
      <c r="B7577" s="13"/>
    </row>
    <row r="7578" spans="1:2" x14ac:dyDescent="0.2">
      <c r="A7578" s="12"/>
      <c r="B7578" s="13"/>
    </row>
    <row r="7579" spans="1:2" x14ac:dyDescent="0.2">
      <c r="A7579" s="12"/>
      <c r="B7579" s="13"/>
    </row>
    <row r="7580" spans="1:2" x14ac:dyDescent="0.2">
      <c r="A7580" s="12"/>
      <c r="B7580" s="13"/>
    </row>
    <row r="7581" spans="1:2" x14ac:dyDescent="0.2">
      <c r="A7581" s="12"/>
      <c r="B7581" s="13"/>
    </row>
    <row r="7582" spans="1:2" x14ac:dyDescent="0.2">
      <c r="A7582" s="12"/>
      <c r="B7582" s="13"/>
    </row>
    <row r="7583" spans="1:2" x14ac:dyDescent="0.2">
      <c r="A7583" s="12"/>
      <c r="B7583" s="13"/>
    </row>
    <row r="7584" spans="1:2" x14ac:dyDescent="0.2">
      <c r="A7584" s="12"/>
      <c r="B7584" s="13"/>
    </row>
    <row r="7585" spans="1:2" x14ac:dyDescent="0.2">
      <c r="A7585" s="12"/>
      <c r="B7585" s="13"/>
    </row>
    <row r="7586" spans="1:2" x14ac:dyDescent="0.2">
      <c r="A7586" s="12"/>
      <c r="B7586" s="13"/>
    </row>
    <row r="7587" spans="1:2" x14ac:dyDescent="0.2">
      <c r="A7587" s="12"/>
      <c r="B7587" s="13"/>
    </row>
    <row r="7588" spans="1:2" x14ac:dyDescent="0.2">
      <c r="A7588" s="12"/>
      <c r="B7588" s="13"/>
    </row>
    <row r="7589" spans="1:2" x14ac:dyDescent="0.2">
      <c r="A7589" s="12"/>
      <c r="B7589" s="13"/>
    </row>
    <row r="7590" spans="1:2" x14ac:dyDescent="0.2">
      <c r="A7590" s="12"/>
      <c r="B7590" s="13"/>
    </row>
    <row r="7591" spans="1:2" x14ac:dyDescent="0.2">
      <c r="A7591" s="12"/>
      <c r="B7591" s="13"/>
    </row>
    <row r="7592" spans="1:2" x14ac:dyDescent="0.2">
      <c r="A7592" s="12"/>
      <c r="B7592" s="13"/>
    </row>
    <row r="7593" spans="1:2" x14ac:dyDescent="0.2">
      <c r="A7593" s="12"/>
      <c r="B7593" s="13"/>
    </row>
    <row r="7594" spans="1:2" x14ac:dyDescent="0.2">
      <c r="A7594" s="12"/>
      <c r="B7594" s="13"/>
    </row>
    <row r="7595" spans="1:2" x14ac:dyDescent="0.2">
      <c r="A7595" s="12"/>
      <c r="B7595" s="13"/>
    </row>
    <row r="7596" spans="1:2" x14ac:dyDescent="0.2">
      <c r="A7596" s="12"/>
      <c r="B7596" s="13"/>
    </row>
    <row r="7597" spans="1:2" x14ac:dyDescent="0.2">
      <c r="A7597" s="12"/>
      <c r="B7597" s="13"/>
    </row>
    <row r="7598" spans="1:2" x14ac:dyDescent="0.2">
      <c r="A7598" s="12"/>
      <c r="B7598" s="13"/>
    </row>
    <row r="7599" spans="1:2" x14ac:dyDescent="0.2">
      <c r="A7599" s="12"/>
      <c r="B7599" s="13"/>
    </row>
    <row r="7600" spans="1:2" x14ac:dyDescent="0.2">
      <c r="A7600" s="12"/>
      <c r="B7600" s="13"/>
    </row>
    <row r="7601" spans="1:2" x14ac:dyDescent="0.2">
      <c r="A7601" s="12"/>
      <c r="B7601" s="13"/>
    </row>
    <row r="7602" spans="1:2" x14ac:dyDescent="0.2">
      <c r="A7602" s="12"/>
      <c r="B7602" s="13"/>
    </row>
    <row r="7603" spans="1:2" x14ac:dyDescent="0.2">
      <c r="A7603" s="12"/>
      <c r="B7603" s="13"/>
    </row>
    <row r="7604" spans="1:2" x14ac:dyDescent="0.2">
      <c r="A7604" s="12"/>
      <c r="B7604" s="13"/>
    </row>
    <row r="7605" spans="1:2" x14ac:dyDescent="0.2">
      <c r="A7605" s="12"/>
      <c r="B7605" s="13"/>
    </row>
    <row r="7606" spans="1:2" x14ac:dyDescent="0.2">
      <c r="A7606" s="12"/>
      <c r="B7606" s="13"/>
    </row>
    <row r="7607" spans="1:2" x14ac:dyDescent="0.2">
      <c r="A7607" s="12"/>
      <c r="B7607" s="13"/>
    </row>
    <row r="7608" spans="1:2" x14ac:dyDescent="0.2">
      <c r="A7608" s="12"/>
      <c r="B7608" s="13"/>
    </row>
    <row r="7609" spans="1:2" x14ac:dyDescent="0.2">
      <c r="A7609" s="12"/>
      <c r="B7609" s="13"/>
    </row>
    <row r="7610" spans="1:2" x14ac:dyDescent="0.2">
      <c r="A7610" s="12"/>
      <c r="B7610" s="13"/>
    </row>
    <row r="7611" spans="1:2" x14ac:dyDescent="0.2">
      <c r="A7611" s="12"/>
      <c r="B7611" s="13"/>
    </row>
    <row r="7612" spans="1:2" x14ac:dyDescent="0.2">
      <c r="A7612" s="12"/>
      <c r="B7612" s="13"/>
    </row>
    <row r="7613" spans="1:2" x14ac:dyDescent="0.2">
      <c r="A7613" s="12"/>
      <c r="B7613" s="13"/>
    </row>
    <row r="7614" spans="1:2" x14ac:dyDescent="0.2">
      <c r="A7614" s="12"/>
      <c r="B7614" s="13"/>
    </row>
    <row r="7615" spans="1:2" x14ac:dyDescent="0.2">
      <c r="A7615" s="12"/>
      <c r="B7615" s="13"/>
    </row>
    <row r="7616" spans="1:2" x14ac:dyDescent="0.2">
      <c r="A7616" s="12"/>
      <c r="B7616" s="13"/>
    </row>
    <row r="7617" spans="1:2" x14ac:dyDescent="0.2">
      <c r="A7617" s="12"/>
      <c r="B7617" s="13"/>
    </row>
    <row r="7618" spans="1:2" x14ac:dyDescent="0.2">
      <c r="A7618" s="12"/>
      <c r="B7618" s="13"/>
    </row>
    <row r="7619" spans="1:2" x14ac:dyDescent="0.2">
      <c r="A7619" s="12"/>
      <c r="B7619" s="13"/>
    </row>
    <row r="7620" spans="1:2" x14ac:dyDescent="0.2">
      <c r="A7620" s="12"/>
      <c r="B7620" s="13"/>
    </row>
    <row r="7621" spans="1:2" x14ac:dyDescent="0.2">
      <c r="A7621" s="12"/>
      <c r="B7621" s="13"/>
    </row>
    <row r="7622" spans="1:2" x14ac:dyDescent="0.2">
      <c r="A7622" s="12"/>
      <c r="B7622" s="13"/>
    </row>
    <row r="7623" spans="1:2" x14ac:dyDescent="0.2">
      <c r="A7623" s="12"/>
      <c r="B7623" s="13"/>
    </row>
    <row r="7624" spans="1:2" x14ac:dyDescent="0.2">
      <c r="A7624" s="12"/>
      <c r="B7624" s="13"/>
    </row>
    <row r="7625" spans="1:2" x14ac:dyDescent="0.2">
      <c r="A7625" s="12"/>
      <c r="B7625" s="13"/>
    </row>
    <row r="7626" spans="1:2" x14ac:dyDescent="0.2">
      <c r="A7626" s="12"/>
      <c r="B7626" s="13"/>
    </row>
    <row r="7627" spans="1:2" x14ac:dyDescent="0.2">
      <c r="A7627" s="12"/>
      <c r="B7627" s="13"/>
    </row>
    <row r="7628" spans="1:2" x14ac:dyDescent="0.2">
      <c r="A7628" s="12"/>
      <c r="B7628" s="13"/>
    </row>
    <row r="7629" spans="1:2" x14ac:dyDescent="0.2">
      <c r="A7629" s="12"/>
      <c r="B7629" s="13"/>
    </row>
    <row r="7630" spans="1:2" x14ac:dyDescent="0.2">
      <c r="A7630" s="12"/>
      <c r="B7630" s="13"/>
    </row>
    <row r="7631" spans="1:2" x14ac:dyDescent="0.2">
      <c r="A7631" s="12"/>
      <c r="B7631" s="13"/>
    </row>
    <row r="7632" spans="1:2" x14ac:dyDescent="0.2">
      <c r="A7632" s="12"/>
      <c r="B7632" s="13"/>
    </row>
    <row r="7633" spans="1:2" x14ac:dyDescent="0.2">
      <c r="A7633" s="12"/>
      <c r="B7633" s="13"/>
    </row>
    <row r="7634" spans="1:2" x14ac:dyDescent="0.2">
      <c r="A7634" s="12"/>
      <c r="B7634" s="13"/>
    </row>
    <row r="7635" spans="1:2" x14ac:dyDescent="0.2">
      <c r="A7635" s="12"/>
      <c r="B7635" s="13"/>
    </row>
    <row r="7636" spans="1:2" x14ac:dyDescent="0.2">
      <c r="A7636" s="12"/>
      <c r="B7636" s="13"/>
    </row>
    <row r="7637" spans="1:2" x14ac:dyDescent="0.2">
      <c r="A7637" s="12"/>
      <c r="B7637" s="13"/>
    </row>
    <row r="7638" spans="1:2" x14ac:dyDescent="0.2">
      <c r="A7638" s="12"/>
      <c r="B7638" s="13"/>
    </row>
    <row r="7639" spans="1:2" x14ac:dyDescent="0.2">
      <c r="A7639" s="12"/>
      <c r="B7639" s="13"/>
    </row>
    <row r="7640" spans="1:2" x14ac:dyDescent="0.2">
      <c r="A7640" s="12"/>
      <c r="B7640" s="13"/>
    </row>
    <row r="7641" spans="1:2" x14ac:dyDescent="0.2">
      <c r="A7641" s="12"/>
      <c r="B7641" s="13"/>
    </row>
    <row r="7642" spans="1:2" x14ac:dyDescent="0.2">
      <c r="A7642" s="12"/>
      <c r="B7642" s="13"/>
    </row>
    <row r="7643" spans="1:2" x14ac:dyDescent="0.2">
      <c r="A7643" s="12"/>
      <c r="B7643" s="13"/>
    </row>
    <row r="7644" spans="1:2" x14ac:dyDescent="0.2">
      <c r="A7644" s="12"/>
      <c r="B7644" s="13"/>
    </row>
    <row r="7645" spans="1:2" x14ac:dyDescent="0.2">
      <c r="A7645" s="12"/>
      <c r="B7645" s="13"/>
    </row>
    <row r="7646" spans="1:2" x14ac:dyDescent="0.2">
      <c r="A7646" s="12"/>
      <c r="B7646" s="13"/>
    </row>
    <row r="7647" spans="1:2" x14ac:dyDescent="0.2">
      <c r="A7647" s="12"/>
      <c r="B7647" s="13"/>
    </row>
    <row r="7648" spans="1:2" x14ac:dyDescent="0.2">
      <c r="A7648" s="12"/>
      <c r="B7648" s="13"/>
    </row>
    <row r="7649" spans="1:2" x14ac:dyDescent="0.2">
      <c r="A7649" s="12"/>
      <c r="B7649" s="13"/>
    </row>
    <row r="7650" spans="1:2" x14ac:dyDescent="0.2">
      <c r="A7650" s="12"/>
      <c r="B7650" s="13"/>
    </row>
    <row r="7651" spans="1:2" x14ac:dyDescent="0.2">
      <c r="A7651" s="12"/>
      <c r="B7651" s="13"/>
    </row>
    <row r="7652" spans="1:2" x14ac:dyDescent="0.2">
      <c r="A7652" s="12"/>
      <c r="B7652" s="13"/>
    </row>
    <row r="7653" spans="1:2" x14ac:dyDescent="0.2">
      <c r="A7653" s="12"/>
      <c r="B7653" s="13"/>
    </row>
    <row r="7654" spans="1:2" x14ac:dyDescent="0.2">
      <c r="A7654" s="12"/>
      <c r="B7654" s="13"/>
    </row>
    <row r="7655" spans="1:2" x14ac:dyDescent="0.2">
      <c r="A7655" s="12"/>
      <c r="B7655" s="13"/>
    </row>
    <row r="7656" spans="1:2" x14ac:dyDescent="0.2">
      <c r="A7656" s="12"/>
      <c r="B7656" s="13"/>
    </row>
    <row r="7657" spans="1:2" x14ac:dyDescent="0.2">
      <c r="A7657" s="12"/>
      <c r="B7657" s="13"/>
    </row>
    <row r="7658" spans="1:2" x14ac:dyDescent="0.2">
      <c r="A7658" s="12"/>
      <c r="B7658" s="13"/>
    </row>
    <row r="7659" spans="1:2" x14ac:dyDescent="0.2">
      <c r="A7659" s="12"/>
      <c r="B7659" s="13"/>
    </row>
    <row r="7660" spans="1:2" x14ac:dyDescent="0.2">
      <c r="A7660" s="12"/>
      <c r="B7660" s="13"/>
    </row>
    <row r="7661" spans="1:2" x14ac:dyDescent="0.2">
      <c r="A7661" s="12"/>
      <c r="B7661" s="13"/>
    </row>
    <row r="7662" spans="1:2" x14ac:dyDescent="0.2">
      <c r="A7662" s="12"/>
      <c r="B7662" s="13"/>
    </row>
    <row r="7663" spans="1:2" x14ac:dyDescent="0.2">
      <c r="A7663" s="12"/>
      <c r="B7663" s="13"/>
    </row>
    <row r="7664" spans="1:2" x14ac:dyDescent="0.2">
      <c r="A7664" s="12"/>
      <c r="B7664" s="13"/>
    </row>
    <row r="7665" spans="1:2" x14ac:dyDescent="0.2">
      <c r="A7665" s="12"/>
      <c r="B7665" s="13"/>
    </row>
    <row r="7666" spans="1:2" x14ac:dyDescent="0.2">
      <c r="A7666" s="12"/>
      <c r="B7666" s="13"/>
    </row>
    <row r="7667" spans="1:2" x14ac:dyDescent="0.2">
      <c r="A7667" s="12"/>
      <c r="B7667" s="13"/>
    </row>
    <row r="7668" spans="1:2" x14ac:dyDescent="0.2">
      <c r="A7668" s="12"/>
      <c r="B7668" s="13"/>
    </row>
    <row r="7669" spans="1:2" x14ac:dyDescent="0.2">
      <c r="A7669" s="12"/>
      <c r="B7669" s="13"/>
    </row>
    <row r="7670" spans="1:2" x14ac:dyDescent="0.2">
      <c r="A7670" s="12"/>
      <c r="B7670" s="13"/>
    </row>
    <row r="7671" spans="1:2" x14ac:dyDescent="0.2">
      <c r="A7671" s="12"/>
      <c r="B7671" s="13"/>
    </row>
    <row r="7672" spans="1:2" x14ac:dyDescent="0.2">
      <c r="A7672" s="12"/>
      <c r="B7672" s="13"/>
    </row>
    <row r="7673" spans="1:2" x14ac:dyDescent="0.2">
      <c r="A7673" s="12"/>
      <c r="B7673" s="13"/>
    </row>
    <row r="7674" spans="1:2" x14ac:dyDescent="0.2">
      <c r="A7674" s="12"/>
      <c r="B7674" s="13"/>
    </row>
    <row r="7675" spans="1:2" x14ac:dyDescent="0.2">
      <c r="A7675" s="12"/>
      <c r="B7675" s="13"/>
    </row>
    <row r="7676" spans="1:2" x14ac:dyDescent="0.2">
      <c r="A7676" s="12"/>
      <c r="B7676" s="13"/>
    </row>
    <row r="7677" spans="1:2" x14ac:dyDescent="0.2">
      <c r="A7677" s="12"/>
      <c r="B7677" s="13"/>
    </row>
    <row r="7678" spans="1:2" x14ac:dyDescent="0.2">
      <c r="A7678" s="12"/>
      <c r="B7678" s="13"/>
    </row>
    <row r="7679" spans="1:2" x14ac:dyDescent="0.2">
      <c r="A7679" s="12"/>
      <c r="B7679" s="13"/>
    </row>
    <row r="7680" spans="1:2" x14ac:dyDescent="0.2">
      <c r="A7680" s="12"/>
      <c r="B7680" s="13"/>
    </row>
    <row r="7681" spans="1:2" x14ac:dyDescent="0.2">
      <c r="A7681" s="12"/>
      <c r="B7681" s="13"/>
    </row>
    <row r="7682" spans="1:2" x14ac:dyDescent="0.2">
      <c r="A7682" s="12"/>
      <c r="B7682" s="13"/>
    </row>
    <row r="7683" spans="1:2" x14ac:dyDescent="0.2">
      <c r="A7683" s="12"/>
      <c r="B7683" s="13"/>
    </row>
    <row r="7684" spans="1:2" x14ac:dyDescent="0.2">
      <c r="A7684" s="12"/>
      <c r="B7684" s="13"/>
    </row>
    <row r="7685" spans="1:2" x14ac:dyDescent="0.2">
      <c r="A7685" s="12"/>
      <c r="B7685" s="13"/>
    </row>
    <row r="7686" spans="1:2" x14ac:dyDescent="0.2">
      <c r="A7686" s="12"/>
      <c r="B7686" s="13"/>
    </row>
    <row r="7687" spans="1:2" x14ac:dyDescent="0.2">
      <c r="A7687" s="12"/>
      <c r="B7687" s="13"/>
    </row>
    <row r="7688" spans="1:2" x14ac:dyDescent="0.2">
      <c r="A7688" s="12"/>
      <c r="B7688" s="13"/>
    </row>
    <row r="7689" spans="1:2" x14ac:dyDescent="0.2">
      <c r="A7689" s="12"/>
      <c r="B7689" s="13"/>
    </row>
    <row r="7690" spans="1:2" x14ac:dyDescent="0.2">
      <c r="A7690" s="12"/>
      <c r="B7690" s="13"/>
    </row>
    <row r="7691" spans="1:2" x14ac:dyDescent="0.2">
      <c r="A7691" s="12"/>
      <c r="B7691" s="13"/>
    </row>
    <row r="7692" spans="1:2" x14ac:dyDescent="0.2">
      <c r="A7692" s="12"/>
      <c r="B7692" s="13"/>
    </row>
    <row r="7693" spans="1:2" x14ac:dyDescent="0.2">
      <c r="A7693" s="12"/>
      <c r="B7693" s="13"/>
    </row>
    <row r="7694" spans="1:2" x14ac:dyDescent="0.2">
      <c r="A7694" s="12"/>
      <c r="B7694" s="13"/>
    </row>
    <row r="7695" spans="1:2" x14ac:dyDescent="0.2">
      <c r="A7695" s="12"/>
      <c r="B7695" s="13"/>
    </row>
    <row r="7696" spans="1:2" x14ac:dyDescent="0.2">
      <c r="A7696" s="12"/>
      <c r="B7696" s="13"/>
    </row>
    <row r="7697" spans="1:2" x14ac:dyDescent="0.2">
      <c r="A7697" s="12"/>
      <c r="B7697" s="13"/>
    </row>
    <row r="7698" spans="1:2" x14ac:dyDescent="0.2">
      <c r="A7698" s="12"/>
      <c r="B7698" s="13"/>
    </row>
    <row r="7699" spans="1:2" x14ac:dyDescent="0.2">
      <c r="A7699" s="12"/>
      <c r="B7699" s="13"/>
    </row>
    <row r="7700" spans="1:2" x14ac:dyDescent="0.2">
      <c r="A7700" s="12"/>
      <c r="B7700" s="13"/>
    </row>
    <row r="7701" spans="1:2" x14ac:dyDescent="0.2">
      <c r="A7701" s="12"/>
      <c r="B7701" s="13"/>
    </row>
    <row r="7702" spans="1:2" x14ac:dyDescent="0.2">
      <c r="A7702" s="12"/>
      <c r="B7702" s="13"/>
    </row>
    <row r="7703" spans="1:2" x14ac:dyDescent="0.2">
      <c r="A7703" s="12"/>
      <c r="B7703" s="13"/>
    </row>
    <row r="7704" spans="1:2" x14ac:dyDescent="0.2">
      <c r="A7704" s="12"/>
      <c r="B7704" s="13"/>
    </row>
    <row r="7705" spans="1:2" x14ac:dyDescent="0.2">
      <c r="A7705" s="12"/>
      <c r="B7705" s="13"/>
    </row>
    <row r="7706" spans="1:2" x14ac:dyDescent="0.2">
      <c r="A7706" s="12"/>
      <c r="B7706" s="13"/>
    </row>
    <row r="7707" spans="1:2" x14ac:dyDescent="0.2">
      <c r="A7707" s="12"/>
      <c r="B7707" s="13"/>
    </row>
    <row r="7708" spans="1:2" x14ac:dyDescent="0.2">
      <c r="A7708" s="12"/>
      <c r="B7708" s="13"/>
    </row>
    <row r="7709" spans="1:2" x14ac:dyDescent="0.2">
      <c r="A7709" s="12"/>
      <c r="B7709" s="13"/>
    </row>
    <row r="7710" spans="1:2" x14ac:dyDescent="0.2">
      <c r="A7710" s="12"/>
      <c r="B7710" s="13"/>
    </row>
    <row r="7711" spans="1:2" x14ac:dyDescent="0.2">
      <c r="A7711" s="12"/>
      <c r="B7711" s="13"/>
    </row>
    <row r="7712" spans="1:2" x14ac:dyDescent="0.2">
      <c r="A7712" s="12"/>
      <c r="B7712" s="13"/>
    </row>
    <row r="7713" spans="1:2" x14ac:dyDescent="0.2">
      <c r="A7713" s="12"/>
      <c r="B7713" s="13"/>
    </row>
    <row r="7714" spans="1:2" x14ac:dyDescent="0.2">
      <c r="A7714" s="12"/>
      <c r="B7714" s="13"/>
    </row>
    <row r="7715" spans="1:2" x14ac:dyDescent="0.2">
      <c r="A7715" s="12"/>
      <c r="B7715" s="13"/>
    </row>
    <row r="7716" spans="1:2" x14ac:dyDescent="0.2">
      <c r="A7716" s="12"/>
      <c r="B7716" s="13"/>
    </row>
    <row r="7717" spans="1:2" x14ac:dyDescent="0.2">
      <c r="A7717" s="12"/>
      <c r="B7717" s="13"/>
    </row>
    <row r="7718" spans="1:2" x14ac:dyDescent="0.2">
      <c r="A7718" s="12"/>
      <c r="B7718" s="13"/>
    </row>
    <row r="7719" spans="1:2" x14ac:dyDescent="0.2">
      <c r="A7719" s="12"/>
      <c r="B7719" s="13"/>
    </row>
    <row r="7720" spans="1:2" x14ac:dyDescent="0.2">
      <c r="A7720" s="12"/>
      <c r="B7720" s="13"/>
    </row>
    <row r="7721" spans="1:2" x14ac:dyDescent="0.2">
      <c r="A7721" s="12"/>
      <c r="B7721" s="13"/>
    </row>
    <row r="7722" spans="1:2" x14ac:dyDescent="0.2">
      <c r="A7722" s="12"/>
      <c r="B7722" s="13"/>
    </row>
    <row r="7723" spans="1:2" x14ac:dyDescent="0.2">
      <c r="A7723" s="12"/>
      <c r="B7723" s="13"/>
    </row>
    <row r="7724" spans="1:2" x14ac:dyDescent="0.2">
      <c r="A7724" s="12"/>
      <c r="B7724" s="13"/>
    </row>
    <row r="7725" spans="1:2" x14ac:dyDescent="0.2">
      <c r="A7725" s="12"/>
      <c r="B7725" s="13"/>
    </row>
    <row r="7726" spans="1:2" x14ac:dyDescent="0.2">
      <c r="A7726" s="12"/>
      <c r="B7726" s="13"/>
    </row>
    <row r="7727" spans="1:2" x14ac:dyDescent="0.2">
      <c r="A7727" s="12"/>
      <c r="B7727" s="13"/>
    </row>
    <row r="7728" spans="1:2" x14ac:dyDescent="0.2">
      <c r="A7728" s="12"/>
      <c r="B7728" s="13"/>
    </row>
    <row r="7729" spans="1:2" x14ac:dyDescent="0.2">
      <c r="A7729" s="12"/>
      <c r="B7729" s="13"/>
    </row>
    <row r="7730" spans="1:2" x14ac:dyDescent="0.2">
      <c r="A7730" s="12"/>
      <c r="B7730" s="13"/>
    </row>
    <row r="7731" spans="1:2" x14ac:dyDescent="0.2">
      <c r="A7731" s="12"/>
      <c r="B7731" s="13"/>
    </row>
    <row r="7732" spans="1:2" x14ac:dyDescent="0.2">
      <c r="A7732" s="12"/>
      <c r="B7732" s="13"/>
    </row>
    <row r="7733" spans="1:2" x14ac:dyDescent="0.2">
      <c r="A7733" s="12"/>
      <c r="B7733" s="13"/>
    </row>
    <row r="7734" spans="1:2" x14ac:dyDescent="0.2">
      <c r="A7734" s="12"/>
      <c r="B7734" s="13"/>
    </row>
    <row r="7735" spans="1:2" x14ac:dyDescent="0.2">
      <c r="A7735" s="12"/>
      <c r="B7735" s="13"/>
    </row>
    <row r="7736" spans="1:2" x14ac:dyDescent="0.2">
      <c r="A7736" s="12"/>
      <c r="B7736" s="13"/>
    </row>
    <row r="7737" spans="1:2" x14ac:dyDescent="0.2">
      <c r="A7737" s="12"/>
      <c r="B7737" s="13"/>
    </row>
    <row r="7738" spans="1:2" x14ac:dyDescent="0.2">
      <c r="A7738" s="12"/>
      <c r="B7738" s="13"/>
    </row>
    <row r="7739" spans="1:2" x14ac:dyDescent="0.2">
      <c r="A7739" s="12"/>
      <c r="B7739" s="13"/>
    </row>
    <row r="7740" spans="1:2" x14ac:dyDescent="0.2">
      <c r="A7740" s="12"/>
      <c r="B7740" s="13"/>
    </row>
    <row r="7741" spans="1:2" x14ac:dyDescent="0.2">
      <c r="A7741" s="12"/>
      <c r="B7741" s="13"/>
    </row>
    <row r="7742" spans="1:2" x14ac:dyDescent="0.2">
      <c r="A7742" s="12"/>
      <c r="B7742" s="13"/>
    </row>
    <row r="7743" spans="1:2" x14ac:dyDescent="0.2">
      <c r="A7743" s="12"/>
      <c r="B7743" s="13"/>
    </row>
    <row r="7744" spans="1:2" x14ac:dyDescent="0.2">
      <c r="A7744" s="12"/>
      <c r="B7744" s="13"/>
    </row>
    <row r="7745" spans="1:2" x14ac:dyDescent="0.2">
      <c r="A7745" s="12"/>
      <c r="B7745" s="13"/>
    </row>
    <row r="7746" spans="1:2" x14ac:dyDescent="0.2">
      <c r="A7746" s="12"/>
      <c r="B7746" s="13"/>
    </row>
    <row r="7747" spans="1:2" x14ac:dyDescent="0.2">
      <c r="A7747" s="12"/>
      <c r="B7747" s="13"/>
    </row>
    <row r="7748" spans="1:2" x14ac:dyDescent="0.2">
      <c r="A7748" s="12"/>
      <c r="B7748" s="13"/>
    </row>
    <row r="7749" spans="1:2" x14ac:dyDescent="0.2">
      <c r="A7749" s="12"/>
      <c r="B7749" s="13"/>
    </row>
    <row r="7750" spans="1:2" x14ac:dyDescent="0.2">
      <c r="A7750" s="12"/>
      <c r="B7750" s="13"/>
    </row>
    <row r="7751" spans="1:2" x14ac:dyDescent="0.2">
      <c r="A7751" s="12"/>
      <c r="B7751" s="13"/>
    </row>
    <row r="7752" spans="1:2" x14ac:dyDescent="0.2">
      <c r="A7752" s="12"/>
      <c r="B7752" s="13"/>
    </row>
    <row r="7753" spans="1:2" x14ac:dyDescent="0.2">
      <c r="A7753" s="12"/>
      <c r="B7753" s="13"/>
    </row>
    <row r="7754" spans="1:2" x14ac:dyDescent="0.2">
      <c r="A7754" s="12"/>
      <c r="B7754" s="13"/>
    </row>
    <row r="7755" spans="1:2" x14ac:dyDescent="0.2">
      <c r="A7755" s="12"/>
      <c r="B7755" s="13"/>
    </row>
    <row r="7756" spans="1:2" x14ac:dyDescent="0.2">
      <c r="A7756" s="12"/>
      <c r="B7756" s="13"/>
    </row>
    <row r="7757" spans="1:2" x14ac:dyDescent="0.2">
      <c r="A7757" s="12"/>
      <c r="B7757" s="13"/>
    </row>
    <row r="7758" spans="1:2" x14ac:dyDescent="0.2">
      <c r="A7758" s="12"/>
      <c r="B7758" s="13"/>
    </row>
    <row r="7759" spans="1:2" x14ac:dyDescent="0.2">
      <c r="A7759" s="12"/>
      <c r="B7759" s="13"/>
    </row>
    <row r="7760" spans="1:2" x14ac:dyDescent="0.2">
      <c r="A7760" s="12"/>
      <c r="B7760" s="13"/>
    </row>
    <row r="7761" spans="1:2" x14ac:dyDescent="0.2">
      <c r="A7761" s="12"/>
      <c r="B7761" s="13"/>
    </row>
    <row r="7762" spans="1:2" x14ac:dyDescent="0.2">
      <c r="A7762" s="12"/>
      <c r="B7762" s="13"/>
    </row>
    <row r="7763" spans="1:2" x14ac:dyDescent="0.2">
      <c r="A7763" s="12"/>
      <c r="B7763" s="13"/>
    </row>
    <row r="7764" spans="1:2" x14ac:dyDescent="0.2">
      <c r="A7764" s="12"/>
      <c r="B7764" s="13"/>
    </row>
    <row r="7765" spans="1:2" x14ac:dyDescent="0.2">
      <c r="A7765" s="12"/>
      <c r="B7765" s="13"/>
    </row>
    <row r="7766" spans="1:2" x14ac:dyDescent="0.2">
      <c r="A7766" s="12"/>
      <c r="B7766" s="13"/>
    </row>
    <row r="7767" spans="1:2" x14ac:dyDescent="0.2">
      <c r="A7767" s="12"/>
      <c r="B7767" s="13"/>
    </row>
    <row r="7768" spans="1:2" x14ac:dyDescent="0.2">
      <c r="A7768" s="12"/>
      <c r="B7768" s="13"/>
    </row>
    <row r="7769" spans="1:2" x14ac:dyDescent="0.2">
      <c r="A7769" s="12"/>
      <c r="B7769" s="13"/>
    </row>
    <row r="7770" spans="1:2" x14ac:dyDescent="0.2">
      <c r="A7770" s="12"/>
      <c r="B7770" s="13"/>
    </row>
    <row r="7771" spans="1:2" x14ac:dyDescent="0.2">
      <c r="A7771" s="12"/>
      <c r="B7771" s="13"/>
    </row>
    <row r="7772" spans="1:2" x14ac:dyDescent="0.2">
      <c r="A7772" s="12"/>
      <c r="B7772" s="13"/>
    </row>
    <row r="7773" spans="1:2" x14ac:dyDescent="0.2">
      <c r="A7773" s="12"/>
      <c r="B7773" s="13"/>
    </row>
    <row r="7774" spans="1:2" x14ac:dyDescent="0.2">
      <c r="A7774" s="12"/>
      <c r="B7774" s="13"/>
    </row>
    <row r="7775" spans="1:2" x14ac:dyDescent="0.2">
      <c r="A7775" s="12"/>
      <c r="B7775" s="13"/>
    </row>
    <row r="7776" spans="1:2" x14ac:dyDescent="0.2">
      <c r="A7776" s="12"/>
      <c r="B7776" s="13"/>
    </row>
    <row r="7777" spans="1:2" x14ac:dyDescent="0.2">
      <c r="A7777" s="12"/>
      <c r="B7777" s="13"/>
    </row>
    <row r="7778" spans="1:2" x14ac:dyDescent="0.2">
      <c r="A7778" s="12"/>
      <c r="B7778" s="13"/>
    </row>
    <row r="7779" spans="1:2" x14ac:dyDescent="0.2">
      <c r="A7779" s="12"/>
      <c r="B7779" s="13"/>
    </row>
    <row r="7780" spans="1:2" x14ac:dyDescent="0.2">
      <c r="A7780" s="12"/>
      <c r="B7780" s="13"/>
    </row>
    <row r="7781" spans="1:2" x14ac:dyDescent="0.2">
      <c r="A7781" s="12"/>
      <c r="B7781" s="13"/>
    </row>
    <row r="7782" spans="1:2" x14ac:dyDescent="0.2">
      <c r="A7782" s="12"/>
      <c r="B7782" s="13"/>
    </row>
    <row r="7783" spans="1:2" x14ac:dyDescent="0.2">
      <c r="A7783" s="12"/>
      <c r="B7783" s="13"/>
    </row>
    <row r="7784" spans="1:2" x14ac:dyDescent="0.2">
      <c r="A7784" s="12"/>
      <c r="B7784" s="13"/>
    </row>
    <row r="7785" spans="1:2" x14ac:dyDescent="0.2">
      <c r="A7785" s="12"/>
      <c r="B7785" s="13"/>
    </row>
    <row r="7786" spans="1:2" x14ac:dyDescent="0.2">
      <c r="A7786" s="12"/>
      <c r="B7786" s="13"/>
    </row>
    <row r="7787" spans="1:2" x14ac:dyDescent="0.2">
      <c r="A7787" s="12"/>
      <c r="B7787" s="13"/>
    </row>
    <row r="7788" spans="1:2" x14ac:dyDescent="0.2">
      <c r="A7788" s="12"/>
      <c r="B7788" s="13"/>
    </row>
    <row r="7789" spans="1:2" x14ac:dyDescent="0.2">
      <c r="A7789" s="12"/>
      <c r="B7789" s="13"/>
    </row>
    <row r="7790" spans="1:2" x14ac:dyDescent="0.2">
      <c r="A7790" s="12"/>
      <c r="B7790" s="13"/>
    </row>
    <row r="7791" spans="1:2" x14ac:dyDescent="0.2">
      <c r="A7791" s="12"/>
      <c r="B7791" s="13"/>
    </row>
    <row r="7792" spans="1:2" x14ac:dyDescent="0.2">
      <c r="A7792" s="12"/>
      <c r="B7792" s="13"/>
    </row>
    <row r="7793" spans="1:2" x14ac:dyDescent="0.2">
      <c r="A7793" s="12"/>
      <c r="B7793" s="13"/>
    </row>
    <row r="7794" spans="1:2" x14ac:dyDescent="0.2">
      <c r="A7794" s="12"/>
      <c r="B7794" s="13"/>
    </row>
    <row r="7795" spans="1:2" x14ac:dyDescent="0.2">
      <c r="A7795" s="12"/>
      <c r="B7795" s="13"/>
    </row>
    <row r="7796" spans="1:2" x14ac:dyDescent="0.2">
      <c r="A7796" s="12"/>
      <c r="B7796" s="13"/>
    </row>
    <row r="7797" spans="1:2" x14ac:dyDescent="0.2">
      <c r="A7797" s="12"/>
      <c r="B7797" s="13"/>
    </row>
    <row r="7798" spans="1:2" x14ac:dyDescent="0.2">
      <c r="A7798" s="12"/>
      <c r="B7798" s="13"/>
    </row>
    <row r="7799" spans="1:2" x14ac:dyDescent="0.2">
      <c r="A7799" s="12"/>
      <c r="B7799" s="13"/>
    </row>
    <row r="7800" spans="1:2" x14ac:dyDescent="0.2">
      <c r="A7800" s="12"/>
      <c r="B7800" s="13"/>
    </row>
    <row r="7801" spans="1:2" x14ac:dyDescent="0.2">
      <c r="A7801" s="12"/>
      <c r="B7801" s="13"/>
    </row>
    <row r="7802" spans="1:2" x14ac:dyDescent="0.2">
      <c r="A7802" s="12"/>
      <c r="B7802" s="13"/>
    </row>
    <row r="7803" spans="1:2" x14ac:dyDescent="0.2">
      <c r="A7803" s="12"/>
      <c r="B7803" s="13"/>
    </row>
    <row r="7804" spans="1:2" x14ac:dyDescent="0.2">
      <c r="A7804" s="12"/>
      <c r="B7804" s="13"/>
    </row>
    <row r="7805" spans="1:2" x14ac:dyDescent="0.2">
      <c r="A7805" s="12"/>
      <c r="B7805" s="13"/>
    </row>
    <row r="7806" spans="1:2" x14ac:dyDescent="0.2">
      <c r="A7806" s="12"/>
      <c r="B7806" s="13"/>
    </row>
    <row r="7807" spans="1:2" x14ac:dyDescent="0.2">
      <c r="A7807" s="12"/>
      <c r="B7807" s="13"/>
    </row>
    <row r="7808" spans="1:2" x14ac:dyDescent="0.2">
      <c r="A7808" s="12"/>
      <c r="B7808" s="13"/>
    </row>
    <row r="7809" spans="1:2" x14ac:dyDescent="0.2">
      <c r="A7809" s="12"/>
      <c r="B7809" s="13"/>
    </row>
    <row r="7810" spans="1:2" x14ac:dyDescent="0.2">
      <c r="A7810" s="12"/>
      <c r="B7810" s="13"/>
    </row>
    <row r="7811" spans="1:2" x14ac:dyDescent="0.2">
      <c r="A7811" s="12"/>
      <c r="B7811" s="13"/>
    </row>
    <row r="7812" spans="1:2" x14ac:dyDescent="0.2">
      <c r="A7812" s="12"/>
      <c r="B7812" s="13"/>
    </row>
    <row r="7813" spans="1:2" x14ac:dyDescent="0.2">
      <c r="A7813" s="12"/>
      <c r="B7813" s="13"/>
    </row>
    <row r="7814" spans="1:2" x14ac:dyDescent="0.2">
      <c r="A7814" s="12"/>
      <c r="B7814" s="13"/>
    </row>
    <row r="7815" spans="1:2" x14ac:dyDescent="0.2">
      <c r="A7815" s="12"/>
      <c r="B7815" s="13"/>
    </row>
    <row r="7816" spans="1:2" x14ac:dyDescent="0.2">
      <c r="A7816" s="12"/>
      <c r="B7816" s="13"/>
    </row>
    <row r="7817" spans="1:2" x14ac:dyDescent="0.2">
      <c r="A7817" s="12"/>
      <c r="B7817" s="13"/>
    </row>
    <row r="7818" spans="1:2" x14ac:dyDescent="0.2">
      <c r="A7818" s="12"/>
      <c r="B7818" s="13"/>
    </row>
    <row r="7819" spans="1:2" x14ac:dyDescent="0.2">
      <c r="A7819" s="12"/>
      <c r="B7819" s="13"/>
    </row>
    <row r="7820" spans="1:2" x14ac:dyDescent="0.2">
      <c r="A7820" s="12"/>
      <c r="B7820" s="13"/>
    </row>
    <row r="7821" spans="1:2" x14ac:dyDescent="0.2">
      <c r="A7821" s="12"/>
      <c r="B7821" s="13"/>
    </row>
    <row r="7822" spans="1:2" x14ac:dyDescent="0.2">
      <c r="A7822" s="12"/>
      <c r="B7822" s="13"/>
    </row>
    <row r="7823" spans="1:2" x14ac:dyDescent="0.2">
      <c r="A7823" s="12"/>
      <c r="B7823" s="13"/>
    </row>
    <row r="7824" spans="1:2" x14ac:dyDescent="0.2">
      <c r="A7824" s="12"/>
      <c r="B7824" s="13"/>
    </row>
    <row r="7825" spans="1:2" x14ac:dyDescent="0.2">
      <c r="A7825" s="12"/>
      <c r="B7825" s="13"/>
    </row>
    <row r="7826" spans="1:2" x14ac:dyDescent="0.2">
      <c r="A7826" s="12"/>
      <c r="B7826" s="13"/>
    </row>
    <row r="7827" spans="1:2" x14ac:dyDescent="0.2">
      <c r="A7827" s="12"/>
      <c r="B7827" s="13"/>
    </row>
    <row r="7828" spans="1:2" x14ac:dyDescent="0.2">
      <c r="A7828" s="12"/>
      <c r="B7828" s="13"/>
    </row>
    <row r="7829" spans="1:2" x14ac:dyDescent="0.2">
      <c r="A7829" s="12"/>
      <c r="B7829" s="13"/>
    </row>
    <row r="7830" spans="1:2" x14ac:dyDescent="0.2">
      <c r="A7830" s="12"/>
      <c r="B7830" s="13"/>
    </row>
    <row r="7831" spans="1:2" x14ac:dyDescent="0.2">
      <c r="A7831" s="12"/>
      <c r="B7831" s="13"/>
    </row>
    <row r="7832" spans="1:2" x14ac:dyDescent="0.2">
      <c r="A7832" s="12"/>
      <c r="B7832" s="13"/>
    </row>
    <row r="7833" spans="1:2" x14ac:dyDescent="0.2">
      <c r="A7833" s="12"/>
      <c r="B7833" s="13"/>
    </row>
    <row r="7834" spans="1:2" x14ac:dyDescent="0.2">
      <c r="A7834" s="12"/>
      <c r="B7834" s="13"/>
    </row>
    <row r="7835" spans="1:2" x14ac:dyDescent="0.2">
      <c r="A7835" s="12"/>
      <c r="B7835" s="13"/>
    </row>
    <row r="7836" spans="1:2" x14ac:dyDescent="0.2">
      <c r="A7836" s="12"/>
      <c r="B7836" s="13"/>
    </row>
    <row r="7837" spans="1:2" x14ac:dyDescent="0.2">
      <c r="A7837" s="12"/>
      <c r="B7837" s="13"/>
    </row>
    <row r="7838" spans="1:2" x14ac:dyDescent="0.2">
      <c r="A7838" s="12"/>
      <c r="B7838" s="13"/>
    </row>
    <row r="7839" spans="1:2" x14ac:dyDescent="0.2">
      <c r="A7839" s="12"/>
      <c r="B7839" s="13"/>
    </row>
    <row r="7840" spans="1:2" x14ac:dyDescent="0.2">
      <c r="A7840" s="12"/>
      <c r="B7840" s="13"/>
    </row>
    <row r="7841" spans="1:2" x14ac:dyDescent="0.2">
      <c r="A7841" s="12"/>
      <c r="B7841" s="13"/>
    </row>
    <row r="7842" spans="1:2" x14ac:dyDescent="0.2">
      <c r="A7842" s="12"/>
      <c r="B7842" s="13"/>
    </row>
    <row r="7843" spans="1:2" x14ac:dyDescent="0.2">
      <c r="A7843" s="12"/>
      <c r="B7843" s="13"/>
    </row>
    <row r="7844" spans="1:2" x14ac:dyDescent="0.2">
      <c r="A7844" s="12"/>
      <c r="B7844" s="13"/>
    </row>
    <row r="7845" spans="1:2" x14ac:dyDescent="0.2">
      <c r="A7845" s="12"/>
      <c r="B7845" s="13"/>
    </row>
    <row r="7846" spans="1:2" x14ac:dyDescent="0.2">
      <c r="A7846" s="12"/>
      <c r="B7846" s="13"/>
    </row>
    <row r="7847" spans="1:2" x14ac:dyDescent="0.2">
      <c r="A7847" s="12"/>
      <c r="B7847" s="13"/>
    </row>
    <row r="7848" spans="1:2" x14ac:dyDescent="0.2">
      <c r="A7848" s="12"/>
      <c r="B7848" s="13"/>
    </row>
    <row r="7849" spans="1:2" x14ac:dyDescent="0.2">
      <c r="A7849" s="12"/>
      <c r="B7849" s="13"/>
    </row>
    <row r="7850" spans="1:2" x14ac:dyDescent="0.2">
      <c r="A7850" s="12"/>
      <c r="B7850" s="13"/>
    </row>
    <row r="7851" spans="1:2" x14ac:dyDescent="0.2">
      <c r="A7851" s="12"/>
      <c r="B7851" s="13"/>
    </row>
    <row r="7852" spans="1:2" x14ac:dyDescent="0.2">
      <c r="A7852" s="12"/>
      <c r="B7852" s="13"/>
    </row>
    <row r="7853" spans="1:2" x14ac:dyDescent="0.2">
      <c r="A7853" s="12"/>
      <c r="B7853" s="13"/>
    </row>
    <row r="7854" spans="1:2" x14ac:dyDescent="0.2">
      <c r="A7854" s="12"/>
      <c r="B7854" s="13"/>
    </row>
    <row r="7855" spans="1:2" x14ac:dyDescent="0.2">
      <c r="A7855" s="12"/>
      <c r="B7855" s="13"/>
    </row>
    <row r="7856" spans="1:2" x14ac:dyDescent="0.2">
      <c r="A7856" s="12"/>
      <c r="B7856" s="13"/>
    </row>
    <row r="7857" spans="1:2" x14ac:dyDescent="0.2">
      <c r="A7857" s="12"/>
      <c r="B7857" s="13"/>
    </row>
    <row r="7858" spans="1:2" x14ac:dyDescent="0.2">
      <c r="A7858" s="12"/>
      <c r="B7858" s="13"/>
    </row>
    <row r="7859" spans="1:2" x14ac:dyDescent="0.2">
      <c r="A7859" s="12"/>
      <c r="B7859" s="13"/>
    </row>
    <row r="7860" spans="1:2" x14ac:dyDescent="0.2">
      <c r="A7860" s="12"/>
      <c r="B7860" s="13"/>
    </row>
    <row r="7861" spans="1:2" x14ac:dyDescent="0.2">
      <c r="A7861" s="12"/>
      <c r="B7861" s="13"/>
    </row>
    <row r="7862" spans="1:2" x14ac:dyDescent="0.2">
      <c r="A7862" s="12"/>
      <c r="B7862" s="13"/>
    </row>
    <row r="7863" spans="1:2" x14ac:dyDescent="0.2">
      <c r="A7863" s="12"/>
      <c r="B7863" s="13"/>
    </row>
    <row r="7864" spans="1:2" x14ac:dyDescent="0.2">
      <c r="A7864" s="12"/>
      <c r="B7864" s="13"/>
    </row>
    <row r="7865" spans="1:2" x14ac:dyDescent="0.2">
      <c r="A7865" s="12"/>
      <c r="B7865" s="13"/>
    </row>
    <row r="7866" spans="1:2" x14ac:dyDescent="0.2">
      <c r="A7866" s="12"/>
      <c r="B7866" s="13"/>
    </row>
    <row r="7867" spans="1:2" x14ac:dyDescent="0.2">
      <c r="A7867" s="12"/>
      <c r="B7867" s="13"/>
    </row>
    <row r="7868" spans="1:2" x14ac:dyDescent="0.2">
      <c r="A7868" s="12"/>
      <c r="B7868" s="13"/>
    </row>
    <row r="7869" spans="1:2" x14ac:dyDescent="0.2">
      <c r="A7869" s="12"/>
      <c r="B7869" s="13"/>
    </row>
    <row r="7870" spans="1:2" x14ac:dyDescent="0.2">
      <c r="A7870" s="12"/>
      <c r="B7870" s="13"/>
    </row>
    <row r="7871" spans="1:2" x14ac:dyDescent="0.2">
      <c r="A7871" s="12"/>
      <c r="B7871" s="13"/>
    </row>
    <row r="7872" spans="1:2" x14ac:dyDescent="0.2">
      <c r="A7872" s="12"/>
      <c r="B7872" s="13"/>
    </row>
    <row r="7873" spans="1:2" x14ac:dyDescent="0.2">
      <c r="A7873" s="12"/>
      <c r="B7873" s="13"/>
    </row>
    <row r="7874" spans="1:2" x14ac:dyDescent="0.2">
      <c r="A7874" s="12"/>
      <c r="B7874" s="13"/>
    </row>
    <row r="7875" spans="1:2" x14ac:dyDescent="0.2">
      <c r="A7875" s="12"/>
      <c r="B7875" s="13"/>
    </row>
    <row r="7876" spans="1:2" x14ac:dyDescent="0.2">
      <c r="A7876" s="12"/>
      <c r="B7876" s="13"/>
    </row>
    <row r="7877" spans="1:2" x14ac:dyDescent="0.2">
      <c r="A7877" s="12"/>
      <c r="B7877" s="13"/>
    </row>
    <row r="7878" spans="1:2" x14ac:dyDescent="0.2">
      <c r="A7878" s="12"/>
      <c r="B7878" s="13"/>
    </row>
    <row r="7879" spans="1:2" x14ac:dyDescent="0.2">
      <c r="A7879" s="12"/>
      <c r="B7879" s="13"/>
    </row>
    <row r="7880" spans="1:2" x14ac:dyDescent="0.2">
      <c r="A7880" s="12"/>
      <c r="B7880" s="13"/>
    </row>
    <row r="7881" spans="1:2" x14ac:dyDescent="0.2">
      <c r="A7881" s="12"/>
      <c r="B7881" s="13"/>
    </row>
    <row r="7882" spans="1:2" x14ac:dyDescent="0.2">
      <c r="A7882" s="12"/>
      <c r="B7882" s="13"/>
    </row>
    <row r="7883" spans="1:2" x14ac:dyDescent="0.2">
      <c r="A7883" s="12"/>
      <c r="B7883" s="13"/>
    </row>
    <row r="7884" spans="1:2" x14ac:dyDescent="0.2">
      <c r="A7884" s="12"/>
      <c r="B7884" s="13"/>
    </row>
    <row r="7885" spans="1:2" x14ac:dyDescent="0.2">
      <c r="A7885" s="12"/>
      <c r="B7885" s="13"/>
    </row>
    <row r="7886" spans="1:2" x14ac:dyDescent="0.2">
      <c r="A7886" s="12"/>
      <c r="B7886" s="13"/>
    </row>
    <row r="7887" spans="1:2" x14ac:dyDescent="0.2">
      <c r="A7887" s="12"/>
      <c r="B7887" s="13"/>
    </row>
    <row r="7888" spans="1:2" x14ac:dyDescent="0.2">
      <c r="A7888" s="12"/>
      <c r="B7888" s="13"/>
    </row>
    <row r="7889" spans="1:2" x14ac:dyDescent="0.2">
      <c r="A7889" s="12"/>
      <c r="B7889" s="13"/>
    </row>
    <row r="7890" spans="1:2" x14ac:dyDescent="0.2">
      <c r="A7890" s="12"/>
      <c r="B7890" s="13"/>
    </row>
    <row r="7891" spans="1:2" x14ac:dyDescent="0.2">
      <c r="A7891" s="12"/>
      <c r="B7891" s="13"/>
    </row>
    <row r="7892" spans="1:2" x14ac:dyDescent="0.2">
      <c r="A7892" s="12"/>
      <c r="B7892" s="13"/>
    </row>
    <row r="7893" spans="1:2" x14ac:dyDescent="0.2">
      <c r="A7893" s="12"/>
      <c r="B7893" s="13"/>
    </row>
    <row r="7894" spans="1:2" x14ac:dyDescent="0.2">
      <c r="A7894" s="12"/>
      <c r="B7894" s="13"/>
    </row>
    <row r="7895" spans="1:2" x14ac:dyDescent="0.2">
      <c r="A7895" s="12"/>
      <c r="B7895" s="13"/>
    </row>
    <row r="7896" spans="1:2" x14ac:dyDescent="0.2">
      <c r="A7896" s="12"/>
      <c r="B7896" s="13"/>
    </row>
    <row r="7897" spans="1:2" x14ac:dyDescent="0.2">
      <c r="A7897" s="12"/>
      <c r="B7897" s="13"/>
    </row>
    <row r="7898" spans="1:2" x14ac:dyDescent="0.2">
      <c r="A7898" s="12"/>
      <c r="B7898" s="13"/>
    </row>
    <row r="7899" spans="1:2" x14ac:dyDescent="0.2">
      <c r="A7899" s="12"/>
      <c r="B7899" s="13"/>
    </row>
    <row r="7900" spans="1:2" x14ac:dyDescent="0.2">
      <c r="A7900" s="12"/>
      <c r="B7900" s="13"/>
    </row>
    <row r="7901" spans="1:2" x14ac:dyDescent="0.2">
      <c r="A7901" s="12"/>
      <c r="B7901" s="13"/>
    </row>
    <row r="7902" spans="1:2" x14ac:dyDescent="0.2">
      <c r="A7902" s="12"/>
      <c r="B7902" s="13"/>
    </row>
    <row r="7903" spans="1:2" x14ac:dyDescent="0.2">
      <c r="A7903" s="12"/>
      <c r="B7903" s="13"/>
    </row>
    <row r="7904" spans="1:2" x14ac:dyDescent="0.2">
      <c r="A7904" s="12"/>
      <c r="B7904" s="13"/>
    </row>
    <row r="7905" spans="1:2" x14ac:dyDescent="0.2">
      <c r="A7905" s="12"/>
      <c r="B7905" s="13"/>
    </row>
    <row r="7906" spans="1:2" x14ac:dyDescent="0.2">
      <c r="A7906" s="12"/>
      <c r="B7906" s="13"/>
    </row>
    <row r="7907" spans="1:2" x14ac:dyDescent="0.2">
      <c r="A7907" s="12"/>
      <c r="B7907" s="13"/>
    </row>
    <row r="7908" spans="1:2" x14ac:dyDescent="0.2">
      <c r="A7908" s="12"/>
      <c r="B7908" s="13"/>
    </row>
    <row r="7909" spans="1:2" x14ac:dyDescent="0.2">
      <c r="A7909" s="12"/>
      <c r="B7909" s="13"/>
    </row>
    <row r="7910" spans="1:2" x14ac:dyDescent="0.2">
      <c r="A7910" s="12"/>
      <c r="B7910" s="13"/>
    </row>
    <row r="7911" spans="1:2" x14ac:dyDescent="0.2">
      <c r="A7911" s="12"/>
      <c r="B7911" s="13"/>
    </row>
    <row r="7912" spans="1:2" x14ac:dyDescent="0.2">
      <c r="A7912" s="12"/>
      <c r="B7912" s="13"/>
    </row>
    <row r="7913" spans="1:2" x14ac:dyDescent="0.2">
      <c r="A7913" s="12"/>
      <c r="B7913" s="13"/>
    </row>
    <row r="7914" spans="1:2" x14ac:dyDescent="0.2">
      <c r="A7914" s="12"/>
      <c r="B7914" s="13"/>
    </row>
    <row r="7915" spans="1:2" x14ac:dyDescent="0.2">
      <c r="A7915" s="12"/>
      <c r="B7915" s="13"/>
    </row>
    <row r="7916" spans="1:2" x14ac:dyDescent="0.2">
      <c r="A7916" s="12"/>
      <c r="B7916" s="13"/>
    </row>
    <row r="7917" spans="1:2" x14ac:dyDescent="0.2">
      <c r="A7917" s="12"/>
      <c r="B7917" s="13"/>
    </row>
    <row r="7918" spans="1:2" x14ac:dyDescent="0.2">
      <c r="A7918" s="12"/>
      <c r="B7918" s="13"/>
    </row>
    <row r="7919" spans="1:2" x14ac:dyDescent="0.2">
      <c r="A7919" s="12"/>
      <c r="B7919" s="13"/>
    </row>
    <row r="7920" spans="1:2" x14ac:dyDescent="0.2">
      <c r="A7920" s="12"/>
      <c r="B7920" s="13"/>
    </row>
    <row r="7921" spans="1:2" x14ac:dyDescent="0.2">
      <c r="A7921" s="12"/>
      <c r="B7921" s="13"/>
    </row>
    <row r="7922" spans="1:2" x14ac:dyDescent="0.2">
      <c r="A7922" s="12"/>
      <c r="B7922" s="13"/>
    </row>
    <row r="7923" spans="1:2" x14ac:dyDescent="0.2">
      <c r="A7923" s="12"/>
      <c r="B7923" s="13"/>
    </row>
    <row r="7924" spans="1:2" x14ac:dyDescent="0.2">
      <c r="A7924" s="12"/>
      <c r="B7924" s="13"/>
    </row>
    <row r="7925" spans="1:2" x14ac:dyDescent="0.2">
      <c r="A7925" s="12"/>
      <c r="B7925" s="13"/>
    </row>
    <row r="7926" spans="1:2" x14ac:dyDescent="0.2">
      <c r="A7926" s="12"/>
      <c r="B7926" s="13"/>
    </row>
    <row r="7927" spans="1:2" x14ac:dyDescent="0.2">
      <c r="A7927" s="12"/>
      <c r="B7927" s="13"/>
    </row>
    <row r="7928" spans="1:2" x14ac:dyDescent="0.2">
      <c r="A7928" s="12"/>
      <c r="B7928" s="13"/>
    </row>
    <row r="7929" spans="1:2" x14ac:dyDescent="0.2">
      <c r="A7929" s="12"/>
      <c r="B7929" s="13"/>
    </row>
    <row r="7930" spans="1:2" x14ac:dyDescent="0.2">
      <c r="A7930" s="12"/>
      <c r="B7930" s="13"/>
    </row>
    <row r="7931" spans="1:2" x14ac:dyDescent="0.2">
      <c r="A7931" s="12"/>
      <c r="B7931" s="13"/>
    </row>
    <row r="7932" spans="1:2" x14ac:dyDescent="0.2">
      <c r="A7932" s="12"/>
      <c r="B7932" s="13"/>
    </row>
    <row r="7933" spans="1:2" x14ac:dyDescent="0.2">
      <c r="A7933" s="12"/>
      <c r="B7933" s="13"/>
    </row>
    <row r="7934" spans="1:2" x14ac:dyDescent="0.2">
      <c r="A7934" s="12"/>
      <c r="B7934" s="13"/>
    </row>
    <row r="7935" spans="1:2" x14ac:dyDescent="0.2">
      <c r="A7935" s="12"/>
      <c r="B7935" s="13"/>
    </row>
    <row r="7936" spans="1:2" x14ac:dyDescent="0.2">
      <c r="A7936" s="12"/>
      <c r="B7936" s="13"/>
    </row>
    <row r="7937" spans="1:2" x14ac:dyDescent="0.2">
      <c r="A7937" s="12"/>
      <c r="B7937" s="13"/>
    </row>
    <row r="7938" spans="1:2" x14ac:dyDescent="0.2">
      <c r="A7938" s="12"/>
      <c r="B7938" s="13"/>
    </row>
    <row r="7939" spans="1:2" x14ac:dyDescent="0.2">
      <c r="A7939" s="12"/>
      <c r="B7939" s="13"/>
    </row>
    <row r="7940" spans="1:2" x14ac:dyDescent="0.2">
      <c r="A7940" s="12"/>
      <c r="B7940" s="13"/>
    </row>
    <row r="7941" spans="1:2" x14ac:dyDescent="0.2">
      <c r="A7941" s="12"/>
      <c r="B7941" s="13"/>
    </row>
    <row r="7942" spans="1:2" x14ac:dyDescent="0.2">
      <c r="A7942" s="12"/>
      <c r="B7942" s="13"/>
    </row>
    <row r="7943" spans="1:2" x14ac:dyDescent="0.2">
      <c r="A7943" s="12"/>
      <c r="B7943" s="13"/>
    </row>
    <row r="7944" spans="1:2" x14ac:dyDescent="0.2">
      <c r="A7944" s="12"/>
      <c r="B7944" s="13"/>
    </row>
    <row r="7945" spans="1:2" x14ac:dyDescent="0.2">
      <c r="A7945" s="12"/>
      <c r="B7945" s="13"/>
    </row>
    <row r="7946" spans="1:2" x14ac:dyDescent="0.2">
      <c r="A7946" s="12"/>
      <c r="B7946" s="13"/>
    </row>
    <row r="7947" spans="1:2" x14ac:dyDescent="0.2">
      <c r="A7947" s="12"/>
      <c r="B7947" s="13"/>
    </row>
    <row r="7948" spans="1:2" x14ac:dyDescent="0.2">
      <c r="A7948" s="12"/>
      <c r="B7948" s="13"/>
    </row>
    <row r="7949" spans="1:2" x14ac:dyDescent="0.2">
      <c r="A7949" s="12"/>
      <c r="B7949" s="13"/>
    </row>
    <row r="7950" spans="1:2" x14ac:dyDescent="0.2">
      <c r="A7950" s="12"/>
      <c r="B7950" s="13"/>
    </row>
    <row r="7951" spans="1:2" x14ac:dyDescent="0.2">
      <c r="A7951" s="12"/>
      <c r="B7951" s="13"/>
    </row>
    <row r="7952" spans="1:2" x14ac:dyDescent="0.2">
      <c r="A7952" s="12"/>
      <c r="B7952" s="13"/>
    </row>
    <row r="7953" spans="1:2" x14ac:dyDescent="0.2">
      <c r="A7953" s="12"/>
      <c r="B7953" s="13"/>
    </row>
    <row r="7954" spans="1:2" x14ac:dyDescent="0.2">
      <c r="A7954" s="12"/>
      <c r="B7954" s="13"/>
    </row>
    <row r="7955" spans="1:2" x14ac:dyDescent="0.2">
      <c r="A7955" s="12"/>
      <c r="B7955" s="13"/>
    </row>
    <row r="7956" spans="1:2" x14ac:dyDescent="0.2">
      <c r="A7956" s="12"/>
      <c r="B7956" s="13"/>
    </row>
    <row r="7957" spans="1:2" x14ac:dyDescent="0.2">
      <c r="A7957" s="12"/>
      <c r="B7957" s="13"/>
    </row>
    <row r="7958" spans="1:2" x14ac:dyDescent="0.2">
      <c r="A7958" s="12"/>
      <c r="B7958" s="13"/>
    </row>
    <row r="7959" spans="1:2" x14ac:dyDescent="0.2">
      <c r="A7959" s="12"/>
      <c r="B7959" s="13"/>
    </row>
    <row r="7960" spans="1:2" x14ac:dyDescent="0.2">
      <c r="A7960" s="12"/>
      <c r="B7960" s="13"/>
    </row>
    <row r="7961" spans="1:2" x14ac:dyDescent="0.2">
      <c r="A7961" s="12"/>
      <c r="B7961" s="13"/>
    </row>
    <row r="7962" spans="1:2" x14ac:dyDescent="0.2">
      <c r="A7962" s="12"/>
      <c r="B7962" s="13"/>
    </row>
    <row r="7963" spans="1:2" x14ac:dyDescent="0.2">
      <c r="A7963" s="12"/>
      <c r="B7963" s="13"/>
    </row>
    <row r="7964" spans="1:2" x14ac:dyDescent="0.2">
      <c r="A7964" s="12"/>
      <c r="B7964" s="13"/>
    </row>
    <row r="7965" spans="1:2" x14ac:dyDescent="0.2">
      <c r="A7965" s="12"/>
      <c r="B7965" s="13"/>
    </row>
    <row r="7966" spans="1:2" x14ac:dyDescent="0.2">
      <c r="A7966" s="12"/>
      <c r="B7966" s="13"/>
    </row>
    <row r="7967" spans="1:2" x14ac:dyDescent="0.2">
      <c r="A7967" s="12"/>
      <c r="B7967" s="13"/>
    </row>
    <row r="7968" spans="1:2" x14ac:dyDescent="0.2">
      <c r="A7968" s="12"/>
      <c r="B7968" s="13"/>
    </row>
    <row r="7969" spans="1:2" x14ac:dyDescent="0.2">
      <c r="A7969" s="12"/>
      <c r="B7969" s="13"/>
    </row>
    <row r="7970" spans="1:2" x14ac:dyDescent="0.2">
      <c r="A7970" s="12"/>
      <c r="B7970" s="13"/>
    </row>
    <row r="7971" spans="1:2" x14ac:dyDescent="0.2">
      <c r="A7971" s="12"/>
      <c r="B7971" s="13"/>
    </row>
    <row r="7972" spans="1:2" x14ac:dyDescent="0.2">
      <c r="A7972" s="12"/>
      <c r="B7972" s="13"/>
    </row>
    <row r="7973" spans="1:2" x14ac:dyDescent="0.2">
      <c r="A7973" s="12"/>
      <c r="B7973" s="13"/>
    </row>
    <row r="7974" spans="1:2" x14ac:dyDescent="0.2">
      <c r="A7974" s="12"/>
      <c r="B7974" s="13"/>
    </row>
    <row r="7975" spans="1:2" x14ac:dyDescent="0.2">
      <c r="A7975" s="12"/>
      <c r="B7975" s="13"/>
    </row>
    <row r="7976" spans="1:2" x14ac:dyDescent="0.2">
      <c r="A7976" s="12"/>
      <c r="B7976" s="13"/>
    </row>
    <row r="7977" spans="1:2" x14ac:dyDescent="0.2">
      <c r="A7977" s="12"/>
      <c r="B7977" s="13"/>
    </row>
    <row r="7978" spans="1:2" x14ac:dyDescent="0.2">
      <c r="A7978" s="12"/>
      <c r="B7978" s="13"/>
    </row>
    <row r="7979" spans="1:2" x14ac:dyDescent="0.2">
      <c r="A7979" s="12"/>
      <c r="B7979" s="13"/>
    </row>
    <row r="7980" spans="1:2" x14ac:dyDescent="0.2">
      <c r="A7980" s="12"/>
      <c r="B7980" s="13"/>
    </row>
    <row r="7981" spans="1:2" x14ac:dyDescent="0.2">
      <c r="A7981" s="12"/>
      <c r="B7981" s="13"/>
    </row>
    <row r="7982" spans="1:2" x14ac:dyDescent="0.2">
      <c r="A7982" s="12"/>
      <c r="B7982" s="13"/>
    </row>
    <row r="7983" spans="1:2" x14ac:dyDescent="0.2">
      <c r="A7983" s="12"/>
      <c r="B7983" s="13"/>
    </row>
    <row r="7984" spans="1:2" x14ac:dyDescent="0.2">
      <c r="A7984" s="12"/>
      <c r="B7984" s="13"/>
    </row>
    <row r="7985" spans="1:2" x14ac:dyDescent="0.2">
      <c r="A7985" s="12"/>
      <c r="B7985" s="13"/>
    </row>
    <row r="7986" spans="1:2" x14ac:dyDescent="0.2">
      <c r="A7986" s="12"/>
      <c r="B7986" s="13"/>
    </row>
    <row r="7987" spans="1:2" x14ac:dyDescent="0.2">
      <c r="A7987" s="12"/>
      <c r="B7987" s="13"/>
    </row>
    <row r="7988" spans="1:2" x14ac:dyDescent="0.2">
      <c r="A7988" s="12"/>
      <c r="B7988" s="13"/>
    </row>
    <row r="7989" spans="1:2" x14ac:dyDescent="0.2">
      <c r="A7989" s="12"/>
      <c r="B7989" s="13"/>
    </row>
    <row r="7990" spans="1:2" x14ac:dyDescent="0.2">
      <c r="A7990" s="12"/>
      <c r="B7990" s="13"/>
    </row>
    <row r="7991" spans="1:2" x14ac:dyDescent="0.2">
      <c r="A7991" s="12"/>
      <c r="B7991" s="13"/>
    </row>
    <row r="7992" spans="1:2" x14ac:dyDescent="0.2">
      <c r="A7992" s="12"/>
      <c r="B7992" s="13"/>
    </row>
    <row r="7993" spans="1:2" x14ac:dyDescent="0.2">
      <c r="A7993" s="12"/>
      <c r="B7993" s="13"/>
    </row>
    <row r="7994" spans="1:2" x14ac:dyDescent="0.2">
      <c r="A7994" s="12"/>
      <c r="B7994" s="13"/>
    </row>
    <row r="7995" spans="1:2" x14ac:dyDescent="0.2">
      <c r="A7995" s="12"/>
      <c r="B7995" s="13"/>
    </row>
    <row r="7996" spans="1:2" x14ac:dyDescent="0.2">
      <c r="A7996" s="12"/>
      <c r="B7996" s="13"/>
    </row>
    <row r="7997" spans="1:2" x14ac:dyDescent="0.2">
      <c r="A7997" s="12"/>
      <c r="B7997" s="13"/>
    </row>
    <row r="7998" spans="1:2" x14ac:dyDescent="0.2">
      <c r="A7998" s="12"/>
      <c r="B7998" s="13"/>
    </row>
    <row r="7999" spans="1:2" x14ac:dyDescent="0.2">
      <c r="A7999" s="12"/>
      <c r="B7999" s="13"/>
    </row>
    <row r="8000" spans="1:2" x14ac:dyDescent="0.2">
      <c r="A8000" s="12"/>
      <c r="B8000" s="13"/>
    </row>
    <row r="8001" spans="1:2" x14ac:dyDescent="0.2">
      <c r="A8001" s="12"/>
      <c r="B8001" s="13"/>
    </row>
    <row r="8002" spans="1:2" x14ac:dyDescent="0.2">
      <c r="A8002" s="12"/>
      <c r="B8002" s="13"/>
    </row>
    <row r="8003" spans="1:2" x14ac:dyDescent="0.2">
      <c r="A8003" s="12"/>
      <c r="B8003" s="13"/>
    </row>
    <row r="8004" spans="1:2" x14ac:dyDescent="0.2">
      <c r="A8004" s="12"/>
      <c r="B8004" s="13"/>
    </row>
    <row r="8005" spans="1:2" x14ac:dyDescent="0.2">
      <c r="A8005" s="12"/>
      <c r="B8005" s="13"/>
    </row>
    <row r="8006" spans="1:2" x14ac:dyDescent="0.2">
      <c r="A8006" s="12"/>
      <c r="B8006" s="13"/>
    </row>
    <row r="8007" spans="1:2" x14ac:dyDescent="0.2">
      <c r="A8007" s="12"/>
      <c r="B8007" s="13"/>
    </row>
    <row r="8008" spans="1:2" x14ac:dyDescent="0.2">
      <c r="A8008" s="12"/>
      <c r="B8008" s="13"/>
    </row>
    <row r="8009" spans="1:2" x14ac:dyDescent="0.2">
      <c r="A8009" s="12"/>
      <c r="B8009" s="13"/>
    </row>
    <row r="8010" spans="1:2" x14ac:dyDescent="0.2">
      <c r="A8010" s="12"/>
      <c r="B8010" s="13"/>
    </row>
    <row r="8011" spans="1:2" x14ac:dyDescent="0.2">
      <c r="A8011" s="12"/>
      <c r="B8011" s="13"/>
    </row>
    <row r="8012" spans="1:2" x14ac:dyDescent="0.2">
      <c r="A8012" s="12"/>
      <c r="B8012" s="13"/>
    </row>
    <row r="8013" spans="1:2" x14ac:dyDescent="0.2">
      <c r="A8013" s="12"/>
      <c r="B8013" s="13"/>
    </row>
    <row r="8014" spans="1:2" x14ac:dyDescent="0.2">
      <c r="A8014" s="12"/>
      <c r="B8014" s="13"/>
    </row>
    <row r="8015" spans="1:2" x14ac:dyDescent="0.2">
      <c r="A8015" s="12"/>
      <c r="B8015" s="13"/>
    </row>
    <row r="8016" spans="1:2" x14ac:dyDescent="0.2">
      <c r="A8016" s="12"/>
      <c r="B8016" s="13"/>
    </row>
    <row r="8017" spans="1:2" x14ac:dyDescent="0.2">
      <c r="A8017" s="12"/>
      <c r="B8017" s="13"/>
    </row>
    <row r="8018" spans="1:2" x14ac:dyDescent="0.2">
      <c r="A8018" s="12"/>
      <c r="B8018" s="13"/>
    </row>
    <row r="8019" spans="1:2" x14ac:dyDescent="0.2">
      <c r="A8019" s="12"/>
      <c r="B8019" s="13"/>
    </row>
    <row r="8020" spans="1:2" x14ac:dyDescent="0.2">
      <c r="A8020" s="12"/>
      <c r="B8020" s="13"/>
    </row>
    <row r="8021" spans="1:2" x14ac:dyDescent="0.2">
      <c r="A8021" s="12"/>
      <c r="B8021" s="13"/>
    </row>
    <row r="8022" spans="1:2" x14ac:dyDescent="0.2">
      <c r="A8022" s="12"/>
      <c r="B8022" s="13"/>
    </row>
    <row r="8023" spans="1:2" x14ac:dyDescent="0.2">
      <c r="A8023" s="12"/>
      <c r="B8023" s="13"/>
    </row>
    <row r="8024" spans="1:2" x14ac:dyDescent="0.2">
      <c r="A8024" s="12"/>
      <c r="B8024" s="13"/>
    </row>
    <row r="8025" spans="1:2" x14ac:dyDescent="0.2">
      <c r="A8025" s="12"/>
      <c r="B8025" s="13"/>
    </row>
    <row r="8026" spans="1:2" x14ac:dyDescent="0.2">
      <c r="A8026" s="12"/>
      <c r="B8026" s="13"/>
    </row>
    <row r="8027" spans="1:2" x14ac:dyDescent="0.2">
      <c r="A8027" s="12"/>
      <c r="B8027" s="13"/>
    </row>
    <row r="8028" spans="1:2" x14ac:dyDescent="0.2">
      <c r="A8028" s="12"/>
      <c r="B8028" s="13"/>
    </row>
    <row r="8029" spans="1:2" x14ac:dyDescent="0.2">
      <c r="A8029" s="12"/>
      <c r="B8029" s="13"/>
    </row>
    <row r="8030" spans="1:2" x14ac:dyDescent="0.2">
      <c r="A8030" s="12"/>
      <c r="B8030" s="13"/>
    </row>
    <row r="8031" spans="1:2" x14ac:dyDescent="0.2">
      <c r="A8031" s="12"/>
      <c r="B8031" s="13"/>
    </row>
    <row r="8032" spans="1:2" x14ac:dyDescent="0.2">
      <c r="A8032" s="12"/>
      <c r="B8032" s="13"/>
    </row>
    <row r="8033" spans="1:2" x14ac:dyDescent="0.2">
      <c r="A8033" s="12"/>
      <c r="B8033" s="13"/>
    </row>
    <row r="8034" spans="1:2" x14ac:dyDescent="0.2">
      <c r="A8034" s="12"/>
      <c r="B8034" s="13"/>
    </row>
    <row r="8035" spans="1:2" x14ac:dyDescent="0.2">
      <c r="A8035" s="12"/>
      <c r="B8035" s="13"/>
    </row>
    <row r="8036" spans="1:2" x14ac:dyDescent="0.2">
      <c r="A8036" s="12"/>
      <c r="B8036" s="13"/>
    </row>
    <row r="8037" spans="1:2" x14ac:dyDescent="0.2">
      <c r="A8037" s="12"/>
      <c r="B8037" s="13"/>
    </row>
    <row r="8038" spans="1:2" x14ac:dyDescent="0.2">
      <c r="A8038" s="12"/>
      <c r="B8038" s="13"/>
    </row>
    <row r="8039" spans="1:2" x14ac:dyDescent="0.2">
      <c r="A8039" s="12"/>
      <c r="B8039" s="13"/>
    </row>
    <row r="8040" spans="1:2" x14ac:dyDescent="0.2">
      <c r="A8040" s="12"/>
      <c r="B8040" s="13"/>
    </row>
    <row r="8041" spans="1:2" x14ac:dyDescent="0.2">
      <c r="A8041" s="12"/>
      <c r="B8041" s="13"/>
    </row>
    <row r="8042" spans="1:2" x14ac:dyDescent="0.2">
      <c r="A8042" s="12"/>
      <c r="B8042" s="13"/>
    </row>
    <row r="8043" spans="1:2" x14ac:dyDescent="0.2">
      <c r="A8043" s="12"/>
      <c r="B8043" s="13"/>
    </row>
    <row r="8044" spans="1:2" x14ac:dyDescent="0.2">
      <c r="A8044" s="12"/>
      <c r="B8044" s="13"/>
    </row>
    <row r="8045" spans="1:2" x14ac:dyDescent="0.2">
      <c r="A8045" s="12"/>
      <c r="B8045" s="13"/>
    </row>
    <row r="8046" spans="1:2" x14ac:dyDescent="0.2">
      <c r="A8046" s="12"/>
      <c r="B8046" s="13"/>
    </row>
    <row r="8047" spans="1:2" x14ac:dyDescent="0.2">
      <c r="A8047" s="12"/>
      <c r="B8047" s="13"/>
    </row>
    <row r="8048" spans="1:2" x14ac:dyDescent="0.2">
      <c r="A8048" s="12"/>
      <c r="B8048" s="13"/>
    </row>
    <row r="8049" spans="1:2" x14ac:dyDescent="0.2">
      <c r="A8049" s="12"/>
      <c r="B8049" s="13"/>
    </row>
    <row r="8050" spans="1:2" x14ac:dyDescent="0.2">
      <c r="A8050" s="12"/>
      <c r="B8050" s="13"/>
    </row>
    <row r="8051" spans="1:2" x14ac:dyDescent="0.2">
      <c r="A8051" s="12"/>
      <c r="B8051" s="13"/>
    </row>
    <row r="8052" spans="1:2" x14ac:dyDescent="0.2">
      <c r="A8052" s="12"/>
      <c r="B8052" s="13"/>
    </row>
    <row r="8053" spans="1:2" x14ac:dyDescent="0.2">
      <c r="A8053" s="12"/>
      <c r="B8053" s="13"/>
    </row>
    <row r="8054" spans="1:2" x14ac:dyDescent="0.2">
      <c r="A8054" s="12"/>
      <c r="B8054" s="13"/>
    </row>
    <row r="8055" spans="1:2" x14ac:dyDescent="0.2">
      <c r="A8055" s="12"/>
      <c r="B8055" s="13"/>
    </row>
    <row r="8056" spans="1:2" x14ac:dyDescent="0.2">
      <c r="A8056" s="12"/>
      <c r="B8056" s="13"/>
    </row>
    <row r="8057" spans="1:2" x14ac:dyDescent="0.2">
      <c r="A8057" s="12"/>
      <c r="B8057" s="13"/>
    </row>
    <row r="8058" spans="1:2" x14ac:dyDescent="0.2">
      <c r="A8058" s="12"/>
      <c r="B8058" s="13"/>
    </row>
    <row r="8059" spans="1:2" x14ac:dyDescent="0.2">
      <c r="A8059" s="12"/>
      <c r="B8059" s="13"/>
    </row>
    <row r="8060" spans="1:2" x14ac:dyDescent="0.2">
      <c r="A8060" s="12"/>
      <c r="B8060" s="13"/>
    </row>
    <row r="8061" spans="1:2" x14ac:dyDescent="0.2">
      <c r="A8061" s="12"/>
      <c r="B8061" s="13"/>
    </row>
    <row r="8062" spans="1:2" x14ac:dyDescent="0.2">
      <c r="A8062" s="12"/>
      <c r="B8062" s="13"/>
    </row>
    <row r="8063" spans="1:2" x14ac:dyDescent="0.2">
      <c r="A8063" s="12"/>
      <c r="B8063" s="13"/>
    </row>
    <row r="8064" spans="1:2" x14ac:dyDescent="0.2">
      <c r="A8064" s="12"/>
      <c r="B8064" s="13"/>
    </row>
    <row r="8065" spans="1:2" x14ac:dyDescent="0.2">
      <c r="A8065" s="12"/>
      <c r="B8065" s="13"/>
    </row>
    <row r="8066" spans="1:2" x14ac:dyDescent="0.2">
      <c r="A8066" s="12"/>
      <c r="B8066" s="13"/>
    </row>
    <row r="8067" spans="1:2" x14ac:dyDescent="0.2">
      <c r="A8067" s="12"/>
      <c r="B8067" s="13"/>
    </row>
    <row r="8068" spans="1:2" x14ac:dyDescent="0.2">
      <c r="A8068" s="12"/>
      <c r="B8068" s="13"/>
    </row>
    <row r="8069" spans="1:2" x14ac:dyDescent="0.2">
      <c r="A8069" s="12"/>
      <c r="B8069" s="13"/>
    </row>
    <row r="8070" spans="1:2" x14ac:dyDescent="0.2">
      <c r="A8070" s="12"/>
      <c r="B8070" s="13"/>
    </row>
    <row r="8071" spans="1:2" x14ac:dyDescent="0.2">
      <c r="A8071" s="12"/>
      <c r="B8071" s="13"/>
    </row>
    <row r="8072" spans="1:2" x14ac:dyDescent="0.2">
      <c r="A8072" s="12"/>
      <c r="B8072" s="13"/>
    </row>
    <row r="8073" spans="1:2" x14ac:dyDescent="0.2">
      <c r="A8073" s="12"/>
      <c r="B8073" s="13"/>
    </row>
    <row r="8074" spans="1:2" x14ac:dyDescent="0.2">
      <c r="A8074" s="12"/>
      <c r="B8074" s="13"/>
    </row>
    <row r="8075" spans="1:2" x14ac:dyDescent="0.2">
      <c r="A8075" s="12"/>
      <c r="B8075" s="13"/>
    </row>
    <row r="8076" spans="1:2" x14ac:dyDescent="0.2">
      <c r="A8076" s="12"/>
      <c r="B8076" s="13"/>
    </row>
    <row r="8077" spans="1:2" x14ac:dyDescent="0.2">
      <c r="A8077" s="12"/>
      <c r="B8077" s="13"/>
    </row>
    <row r="8078" spans="1:2" x14ac:dyDescent="0.2">
      <c r="A8078" s="12"/>
      <c r="B8078" s="13"/>
    </row>
    <row r="8079" spans="1:2" x14ac:dyDescent="0.2">
      <c r="A8079" s="12"/>
      <c r="B8079" s="13"/>
    </row>
    <row r="8080" spans="1:2" x14ac:dyDescent="0.2">
      <c r="A8080" s="12"/>
      <c r="B8080" s="13"/>
    </row>
    <row r="8081" spans="1:2" x14ac:dyDescent="0.2">
      <c r="A8081" s="12"/>
      <c r="B8081" s="13"/>
    </row>
    <row r="8082" spans="1:2" x14ac:dyDescent="0.2">
      <c r="A8082" s="12"/>
      <c r="B8082" s="13"/>
    </row>
    <row r="8083" spans="1:2" x14ac:dyDescent="0.2">
      <c r="A8083" s="12"/>
      <c r="B8083" s="13"/>
    </row>
    <row r="8084" spans="1:2" x14ac:dyDescent="0.2">
      <c r="A8084" s="12"/>
      <c r="B8084" s="13"/>
    </row>
    <row r="8085" spans="1:2" x14ac:dyDescent="0.2">
      <c r="A8085" s="12"/>
      <c r="B8085" s="13"/>
    </row>
    <row r="8086" spans="1:2" x14ac:dyDescent="0.2">
      <c r="A8086" s="12"/>
      <c r="B8086" s="13"/>
    </row>
    <row r="8087" spans="1:2" x14ac:dyDescent="0.2">
      <c r="A8087" s="12"/>
      <c r="B8087" s="13"/>
    </row>
    <row r="8088" spans="1:2" x14ac:dyDescent="0.2">
      <c r="A8088" s="12"/>
      <c r="B8088" s="13"/>
    </row>
    <row r="8089" spans="1:2" x14ac:dyDescent="0.2">
      <c r="A8089" s="12"/>
      <c r="B8089" s="13"/>
    </row>
    <row r="8090" spans="1:2" x14ac:dyDescent="0.2">
      <c r="A8090" s="12"/>
      <c r="B8090" s="13"/>
    </row>
    <row r="8091" spans="1:2" x14ac:dyDescent="0.2">
      <c r="A8091" s="12"/>
      <c r="B8091" s="13"/>
    </row>
    <row r="8092" spans="1:2" x14ac:dyDescent="0.2">
      <c r="A8092" s="12"/>
      <c r="B8092" s="13"/>
    </row>
    <row r="8093" spans="1:2" x14ac:dyDescent="0.2">
      <c r="A8093" s="12"/>
      <c r="B8093" s="13"/>
    </row>
    <row r="8094" spans="1:2" x14ac:dyDescent="0.2">
      <c r="A8094" s="12"/>
      <c r="B8094" s="13"/>
    </row>
    <row r="8095" spans="1:2" x14ac:dyDescent="0.2">
      <c r="A8095" s="12"/>
      <c r="B8095" s="13"/>
    </row>
    <row r="8096" spans="1:2" x14ac:dyDescent="0.2">
      <c r="A8096" s="12"/>
      <c r="B8096" s="13"/>
    </row>
    <row r="8097" spans="1:2" x14ac:dyDescent="0.2">
      <c r="A8097" s="12"/>
      <c r="B8097" s="13"/>
    </row>
    <row r="8098" spans="1:2" x14ac:dyDescent="0.2">
      <c r="A8098" s="12"/>
      <c r="B8098" s="13"/>
    </row>
    <row r="8099" spans="1:2" x14ac:dyDescent="0.2">
      <c r="A8099" s="12"/>
      <c r="B8099" s="13"/>
    </row>
    <row r="8100" spans="1:2" x14ac:dyDescent="0.2">
      <c r="A8100" s="12"/>
      <c r="B8100" s="13"/>
    </row>
    <row r="8101" spans="1:2" x14ac:dyDescent="0.2">
      <c r="A8101" s="12"/>
      <c r="B8101" s="13"/>
    </row>
    <row r="8102" spans="1:2" x14ac:dyDescent="0.2">
      <c r="A8102" s="12"/>
      <c r="B8102" s="13"/>
    </row>
    <row r="8103" spans="1:2" x14ac:dyDescent="0.2">
      <c r="A8103" s="12"/>
      <c r="B8103" s="13"/>
    </row>
    <row r="8104" spans="1:2" x14ac:dyDescent="0.2">
      <c r="A8104" s="12"/>
      <c r="B8104" s="13"/>
    </row>
    <row r="8105" spans="1:2" x14ac:dyDescent="0.2">
      <c r="A8105" s="12"/>
      <c r="B8105" s="13"/>
    </row>
    <row r="8106" spans="1:2" x14ac:dyDescent="0.2">
      <c r="A8106" s="12"/>
      <c r="B8106" s="13"/>
    </row>
    <row r="8107" spans="1:2" x14ac:dyDescent="0.2">
      <c r="A8107" s="12"/>
      <c r="B8107" s="13"/>
    </row>
    <row r="8108" spans="1:2" x14ac:dyDescent="0.2">
      <c r="A8108" s="12"/>
      <c r="B8108" s="13"/>
    </row>
    <row r="8109" spans="1:2" x14ac:dyDescent="0.2">
      <c r="A8109" s="12"/>
      <c r="B8109" s="13"/>
    </row>
    <row r="8110" spans="1:2" x14ac:dyDescent="0.2">
      <c r="A8110" s="12"/>
      <c r="B8110" s="13"/>
    </row>
    <row r="8111" spans="1:2" x14ac:dyDescent="0.2">
      <c r="A8111" s="12"/>
      <c r="B8111" s="13"/>
    </row>
    <row r="8112" spans="1:2" x14ac:dyDescent="0.2">
      <c r="A8112" s="12"/>
      <c r="B8112" s="13"/>
    </row>
    <row r="8113" spans="1:2" x14ac:dyDescent="0.2">
      <c r="A8113" s="12"/>
      <c r="B8113" s="13"/>
    </row>
    <row r="8114" spans="1:2" x14ac:dyDescent="0.2">
      <c r="A8114" s="12"/>
      <c r="B8114" s="13"/>
    </row>
    <row r="8115" spans="1:2" x14ac:dyDescent="0.2">
      <c r="A8115" s="12"/>
      <c r="B8115" s="13"/>
    </row>
    <row r="8116" spans="1:2" x14ac:dyDescent="0.2">
      <c r="A8116" s="12"/>
      <c r="B8116" s="13"/>
    </row>
    <row r="8117" spans="1:2" x14ac:dyDescent="0.2">
      <c r="A8117" s="12"/>
      <c r="B8117" s="13"/>
    </row>
    <row r="8118" spans="1:2" x14ac:dyDescent="0.2">
      <c r="A8118" s="12"/>
      <c r="B8118" s="13"/>
    </row>
    <row r="8119" spans="1:2" x14ac:dyDescent="0.2">
      <c r="A8119" s="12"/>
      <c r="B8119" s="13"/>
    </row>
    <row r="8120" spans="1:2" x14ac:dyDescent="0.2">
      <c r="A8120" s="12"/>
      <c r="B8120" s="13"/>
    </row>
    <row r="8121" spans="1:2" x14ac:dyDescent="0.2">
      <c r="A8121" s="12"/>
      <c r="B8121" s="13"/>
    </row>
    <row r="8122" spans="1:2" x14ac:dyDescent="0.2">
      <c r="A8122" s="12"/>
      <c r="B8122" s="13"/>
    </row>
    <row r="8123" spans="1:2" x14ac:dyDescent="0.2">
      <c r="A8123" s="12"/>
      <c r="B8123" s="13"/>
    </row>
    <row r="8124" spans="1:2" x14ac:dyDescent="0.2">
      <c r="A8124" s="12"/>
      <c r="B8124" s="13"/>
    </row>
    <row r="8125" spans="1:2" x14ac:dyDescent="0.2">
      <c r="A8125" s="12"/>
      <c r="B8125" s="13"/>
    </row>
    <row r="8126" spans="1:2" x14ac:dyDescent="0.2">
      <c r="A8126" s="12"/>
      <c r="B8126" s="13"/>
    </row>
    <row r="8127" spans="1:2" x14ac:dyDescent="0.2">
      <c r="A8127" s="12"/>
      <c r="B8127" s="13"/>
    </row>
    <row r="8128" spans="1:2" x14ac:dyDescent="0.2">
      <c r="A8128" s="12"/>
      <c r="B8128" s="13"/>
    </row>
    <row r="8129" spans="1:2" x14ac:dyDescent="0.2">
      <c r="A8129" s="12"/>
      <c r="B8129" s="13"/>
    </row>
    <row r="8130" spans="1:2" x14ac:dyDescent="0.2">
      <c r="A8130" s="12"/>
      <c r="B8130" s="13"/>
    </row>
    <row r="8131" spans="1:2" x14ac:dyDescent="0.2">
      <c r="A8131" s="12"/>
      <c r="B8131" s="13"/>
    </row>
    <row r="8132" spans="1:2" x14ac:dyDescent="0.2">
      <c r="A8132" s="12"/>
      <c r="B8132" s="13"/>
    </row>
    <row r="8133" spans="1:2" x14ac:dyDescent="0.2">
      <c r="A8133" s="12"/>
      <c r="B8133" s="13"/>
    </row>
    <row r="8134" spans="1:2" x14ac:dyDescent="0.2">
      <c r="A8134" s="12"/>
      <c r="B8134" s="13"/>
    </row>
    <row r="8135" spans="1:2" x14ac:dyDescent="0.2">
      <c r="A8135" s="12"/>
      <c r="B8135" s="13"/>
    </row>
    <row r="8136" spans="1:2" x14ac:dyDescent="0.2">
      <c r="A8136" s="12"/>
      <c r="B8136" s="13"/>
    </row>
    <row r="8137" spans="1:2" x14ac:dyDescent="0.2">
      <c r="A8137" s="12"/>
      <c r="B8137" s="13"/>
    </row>
    <row r="8138" spans="1:2" x14ac:dyDescent="0.2">
      <c r="A8138" s="12"/>
      <c r="B8138" s="13"/>
    </row>
    <row r="8139" spans="1:2" x14ac:dyDescent="0.2">
      <c r="A8139" s="12"/>
      <c r="B8139" s="13"/>
    </row>
    <row r="8140" spans="1:2" x14ac:dyDescent="0.2">
      <c r="A8140" s="12"/>
      <c r="B8140" s="13"/>
    </row>
    <row r="8141" spans="1:2" x14ac:dyDescent="0.2">
      <c r="A8141" s="12"/>
      <c r="B8141" s="13"/>
    </row>
    <row r="8142" spans="1:2" x14ac:dyDescent="0.2">
      <c r="A8142" s="12"/>
      <c r="B8142" s="13"/>
    </row>
    <row r="8143" spans="1:2" x14ac:dyDescent="0.2">
      <c r="A8143" s="12"/>
      <c r="B8143" s="13"/>
    </row>
    <row r="8144" spans="1:2" x14ac:dyDescent="0.2">
      <c r="A8144" s="12"/>
      <c r="B8144" s="13"/>
    </row>
    <row r="8145" spans="1:2" x14ac:dyDescent="0.2">
      <c r="A8145" s="12"/>
      <c r="B8145" s="13"/>
    </row>
    <row r="8146" spans="1:2" x14ac:dyDescent="0.2">
      <c r="A8146" s="12"/>
      <c r="B8146" s="13"/>
    </row>
    <row r="8147" spans="1:2" x14ac:dyDescent="0.2">
      <c r="A8147" s="12"/>
      <c r="B8147" s="13"/>
    </row>
    <row r="8148" spans="1:2" x14ac:dyDescent="0.2">
      <c r="A8148" s="12"/>
      <c r="B8148" s="13"/>
    </row>
    <row r="8149" spans="1:2" x14ac:dyDescent="0.2">
      <c r="A8149" s="12"/>
      <c r="B8149" s="13"/>
    </row>
    <row r="8150" spans="1:2" x14ac:dyDescent="0.2">
      <c r="A8150" s="12"/>
      <c r="B8150" s="13"/>
    </row>
    <row r="8151" spans="1:2" x14ac:dyDescent="0.2">
      <c r="A8151" s="12"/>
      <c r="B8151" s="13"/>
    </row>
    <row r="8152" spans="1:2" x14ac:dyDescent="0.2">
      <c r="A8152" s="12"/>
      <c r="B8152" s="13"/>
    </row>
    <row r="8153" spans="1:2" x14ac:dyDescent="0.2">
      <c r="A8153" s="12"/>
      <c r="B8153" s="13"/>
    </row>
    <row r="8154" spans="1:2" x14ac:dyDescent="0.2">
      <c r="A8154" s="12"/>
      <c r="B8154" s="13"/>
    </row>
    <row r="8155" spans="1:2" x14ac:dyDescent="0.2">
      <c r="A8155" s="12"/>
      <c r="B8155" s="13"/>
    </row>
    <row r="8156" spans="1:2" x14ac:dyDescent="0.2">
      <c r="A8156" s="12"/>
      <c r="B8156" s="13"/>
    </row>
    <row r="8157" spans="1:2" x14ac:dyDescent="0.2">
      <c r="A8157" s="12"/>
      <c r="B8157" s="13"/>
    </row>
    <row r="8158" spans="1:2" x14ac:dyDescent="0.2">
      <c r="A8158" s="12"/>
      <c r="B8158" s="13"/>
    </row>
    <row r="8159" spans="1:2" x14ac:dyDescent="0.2">
      <c r="A8159" s="12"/>
      <c r="B8159" s="13"/>
    </row>
    <row r="8160" spans="1:2" x14ac:dyDescent="0.2">
      <c r="A8160" s="12"/>
      <c r="B8160" s="13"/>
    </row>
    <row r="8161" spans="1:2" x14ac:dyDescent="0.2">
      <c r="A8161" s="12"/>
      <c r="B8161" s="13"/>
    </row>
    <row r="8162" spans="1:2" x14ac:dyDescent="0.2">
      <c r="A8162" s="12"/>
      <c r="B8162" s="13"/>
    </row>
    <row r="8163" spans="1:2" x14ac:dyDescent="0.2">
      <c r="A8163" s="12"/>
      <c r="B8163" s="13"/>
    </row>
    <row r="8164" spans="1:2" x14ac:dyDescent="0.2">
      <c r="A8164" s="12"/>
      <c r="B8164" s="13"/>
    </row>
    <row r="8165" spans="1:2" x14ac:dyDescent="0.2">
      <c r="A8165" s="12"/>
      <c r="B8165" s="13"/>
    </row>
    <row r="8166" spans="1:2" x14ac:dyDescent="0.2">
      <c r="A8166" s="12"/>
      <c r="B8166" s="13"/>
    </row>
    <row r="8167" spans="1:2" x14ac:dyDescent="0.2">
      <c r="A8167" s="12"/>
      <c r="B8167" s="13"/>
    </row>
    <row r="8168" spans="1:2" x14ac:dyDescent="0.2">
      <c r="A8168" s="12"/>
      <c r="B8168" s="13"/>
    </row>
    <row r="8169" spans="1:2" x14ac:dyDescent="0.2">
      <c r="A8169" s="12"/>
      <c r="B8169" s="13"/>
    </row>
    <row r="8170" spans="1:2" x14ac:dyDescent="0.2">
      <c r="A8170" s="12"/>
      <c r="B8170" s="13"/>
    </row>
    <row r="8171" spans="1:2" x14ac:dyDescent="0.2">
      <c r="A8171" s="12"/>
      <c r="B8171" s="13"/>
    </row>
    <row r="8172" spans="1:2" x14ac:dyDescent="0.2">
      <c r="A8172" s="12"/>
      <c r="B8172" s="13"/>
    </row>
    <row r="8173" spans="1:2" x14ac:dyDescent="0.2">
      <c r="A8173" s="12"/>
      <c r="B8173" s="13"/>
    </row>
    <row r="8174" spans="1:2" x14ac:dyDescent="0.2">
      <c r="A8174" s="12"/>
      <c r="B8174" s="13"/>
    </row>
    <row r="8175" spans="1:2" x14ac:dyDescent="0.2">
      <c r="A8175" s="12"/>
      <c r="B8175" s="13"/>
    </row>
    <row r="8176" spans="1:2" x14ac:dyDescent="0.2">
      <c r="A8176" s="12"/>
      <c r="B8176" s="13"/>
    </row>
    <row r="8177" spans="1:2" x14ac:dyDescent="0.2">
      <c r="A8177" s="12"/>
      <c r="B8177" s="13"/>
    </row>
    <row r="8178" spans="1:2" x14ac:dyDescent="0.2">
      <c r="A8178" s="12"/>
      <c r="B8178" s="13"/>
    </row>
    <row r="8179" spans="1:2" x14ac:dyDescent="0.2">
      <c r="A8179" s="12"/>
      <c r="B8179" s="13"/>
    </row>
    <row r="8180" spans="1:2" x14ac:dyDescent="0.2">
      <c r="A8180" s="12"/>
      <c r="B8180" s="13"/>
    </row>
    <row r="8181" spans="1:2" x14ac:dyDescent="0.2">
      <c r="A8181" s="12"/>
      <c r="B8181" s="13"/>
    </row>
    <row r="8182" spans="1:2" x14ac:dyDescent="0.2">
      <c r="A8182" s="12"/>
      <c r="B8182" s="13"/>
    </row>
    <row r="8183" spans="1:2" x14ac:dyDescent="0.2">
      <c r="A8183" s="12"/>
      <c r="B8183" s="13"/>
    </row>
    <row r="8184" spans="1:2" x14ac:dyDescent="0.2">
      <c r="A8184" s="12"/>
      <c r="B8184" s="13"/>
    </row>
    <row r="8185" spans="1:2" x14ac:dyDescent="0.2">
      <c r="A8185" s="12"/>
      <c r="B8185" s="13"/>
    </row>
    <row r="8186" spans="1:2" x14ac:dyDescent="0.2">
      <c r="A8186" s="12"/>
      <c r="B8186" s="13"/>
    </row>
    <row r="8187" spans="1:2" x14ac:dyDescent="0.2">
      <c r="A8187" s="12"/>
      <c r="B8187" s="13"/>
    </row>
    <row r="8188" spans="1:2" x14ac:dyDescent="0.2">
      <c r="A8188" s="12"/>
      <c r="B8188" s="13"/>
    </row>
    <row r="8189" spans="1:2" x14ac:dyDescent="0.2">
      <c r="A8189" s="12"/>
      <c r="B8189" s="13"/>
    </row>
    <row r="8190" spans="1:2" x14ac:dyDescent="0.2">
      <c r="A8190" s="12"/>
      <c r="B8190" s="13"/>
    </row>
    <row r="8191" spans="1:2" x14ac:dyDescent="0.2">
      <c r="A8191" s="12"/>
      <c r="B8191" s="13"/>
    </row>
    <row r="8192" spans="1:2" x14ac:dyDescent="0.2">
      <c r="A8192" s="12"/>
      <c r="B8192" s="13"/>
    </row>
    <row r="8193" spans="1:2" x14ac:dyDescent="0.2">
      <c r="A8193" s="12"/>
      <c r="B8193" s="13"/>
    </row>
    <row r="8194" spans="1:2" x14ac:dyDescent="0.2">
      <c r="A8194" s="12"/>
      <c r="B8194" s="13"/>
    </row>
    <row r="8195" spans="1:2" x14ac:dyDescent="0.2">
      <c r="A8195" s="12"/>
      <c r="B8195" s="13"/>
    </row>
    <row r="8196" spans="1:2" x14ac:dyDescent="0.2">
      <c r="A8196" s="12"/>
      <c r="B8196" s="13"/>
    </row>
    <row r="8197" spans="1:2" x14ac:dyDescent="0.2">
      <c r="A8197" s="12"/>
      <c r="B8197" s="13"/>
    </row>
    <row r="8198" spans="1:2" x14ac:dyDescent="0.2">
      <c r="A8198" s="12"/>
      <c r="B8198" s="13"/>
    </row>
    <row r="8199" spans="1:2" x14ac:dyDescent="0.2">
      <c r="A8199" s="12"/>
      <c r="B8199" s="13"/>
    </row>
    <row r="8200" spans="1:2" x14ac:dyDescent="0.2">
      <c r="A8200" s="12"/>
      <c r="B8200" s="13"/>
    </row>
    <row r="8201" spans="1:2" x14ac:dyDescent="0.2">
      <c r="A8201" s="12"/>
      <c r="B8201" s="13"/>
    </row>
    <row r="8202" spans="1:2" x14ac:dyDescent="0.2">
      <c r="A8202" s="12"/>
      <c r="B8202" s="13"/>
    </row>
    <row r="8203" spans="1:2" x14ac:dyDescent="0.2">
      <c r="A8203" s="12"/>
      <c r="B8203" s="13"/>
    </row>
    <row r="8204" spans="1:2" x14ac:dyDescent="0.2">
      <c r="A8204" s="12"/>
      <c r="B8204" s="13"/>
    </row>
    <row r="8205" spans="1:2" x14ac:dyDescent="0.2">
      <c r="A8205" s="12"/>
      <c r="B8205" s="13"/>
    </row>
    <row r="8206" spans="1:2" x14ac:dyDescent="0.2">
      <c r="A8206" s="12"/>
      <c r="B8206" s="13"/>
    </row>
    <row r="8207" spans="1:2" x14ac:dyDescent="0.2">
      <c r="A8207" s="12"/>
      <c r="B8207" s="13"/>
    </row>
    <row r="8208" spans="1:2" x14ac:dyDescent="0.2">
      <c r="A8208" s="12"/>
      <c r="B8208" s="13"/>
    </row>
    <row r="8209" spans="1:2" x14ac:dyDescent="0.2">
      <c r="A8209" s="12"/>
      <c r="B8209" s="13"/>
    </row>
    <row r="8210" spans="1:2" x14ac:dyDescent="0.2">
      <c r="A8210" s="12"/>
      <c r="B8210" s="13"/>
    </row>
    <row r="8211" spans="1:2" x14ac:dyDescent="0.2">
      <c r="A8211" s="12"/>
      <c r="B8211" s="13"/>
    </row>
    <row r="8212" spans="1:2" x14ac:dyDescent="0.2">
      <c r="A8212" s="12"/>
      <c r="B8212" s="13"/>
    </row>
    <row r="8213" spans="1:2" x14ac:dyDescent="0.2">
      <c r="A8213" s="12"/>
      <c r="B8213" s="13"/>
    </row>
    <row r="8214" spans="1:2" x14ac:dyDescent="0.2">
      <c r="A8214" s="12"/>
      <c r="B8214" s="13"/>
    </row>
    <row r="8215" spans="1:2" x14ac:dyDescent="0.2">
      <c r="A8215" s="12"/>
      <c r="B8215" s="13"/>
    </row>
    <row r="8216" spans="1:2" x14ac:dyDescent="0.2">
      <c r="A8216" s="12"/>
      <c r="B8216" s="13"/>
    </row>
    <row r="8217" spans="1:2" x14ac:dyDescent="0.2">
      <c r="A8217" s="12"/>
      <c r="B8217" s="13"/>
    </row>
    <row r="8218" spans="1:2" x14ac:dyDescent="0.2">
      <c r="A8218" s="12"/>
      <c r="B8218" s="13"/>
    </row>
    <row r="8219" spans="1:2" x14ac:dyDescent="0.2">
      <c r="A8219" s="12"/>
      <c r="B8219" s="13"/>
    </row>
    <row r="8220" spans="1:2" x14ac:dyDescent="0.2">
      <c r="A8220" s="12"/>
      <c r="B8220" s="13"/>
    </row>
    <row r="8221" spans="1:2" x14ac:dyDescent="0.2">
      <c r="A8221" s="12"/>
      <c r="B8221" s="13"/>
    </row>
    <row r="8222" spans="1:2" x14ac:dyDescent="0.2">
      <c r="A8222" s="12"/>
      <c r="B8222" s="13"/>
    </row>
    <row r="8223" spans="1:2" x14ac:dyDescent="0.2">
      <c r="A8223" s="12"/>
      <c r="B8223" s="13"/>
    </row>
    <row r="8224" spans="1:2" x14ac:dyDescent="0.2">
      <c r="A8224" s="12"/>
      <c r="B8224" s="13"/>
    </row>
    <row r="8225" spans="1:2" x14ac:dyDescent="0.2">
      <c r="A8225" s="12"/>
      <c r="B8225" s="13"/>
    </row>
    <row r="8226" spans="1:2" x14ac:dyDescent="0.2">
      <c r="A8226" s="12"/>
      <c r="B8226" s="13"/>
    </row>
    <row r="8227" spans="1:2" x14ac:dyDescent="0.2">
      <c r="A8227" s="12"/>
      <c r="B8227" s="13"/>
    </row>
    <row r="8228" spans="1:2" x14ac:dyDescent="0.2">
      <c r="A8228" s="12"/>
      <c r="B8228" s="13"/>
    </row>
    <row r="8229" spans="1:2" x14ac:dyDescent="0.2">
      <c r="A8229" s="12"/>
      <c r="B8229" s="13"/>
    </row>
    <row r="8230" spans="1:2" x14ac:dyDescent="0.2">
      <c r="A8230" s="12"/>
      <c r="B8230" s="13"/>
    </row>
    <row r="8231" spans="1:2" x14ac:dyDescent="0.2">
      <c r="A8231" s="12"/>
      <c r="B8231" s="13"/>
    </row>
    <row r="8232" spans="1:2" x14ac:dyDescent="0.2">
      <c r="A8232" s="12"/>
      <c r="B8232" s="13"/>
    </row>
    <row r="8233" spans="1:2" x14ac:dyDescent="0.2">
      <c r="A8233" s="12"/>
      <c r="B8233" s="13"/>
    </row>
    <row r="8234" spans="1:2" x14ac:dyDescent="0.2">
      <c r="A8234" s="12"/>
      <c r="B8234" s="13"/>
    </row>
    <row r="8235" spans="1:2" x14ac:dyDescent="0.2">
      <c r="A8235" s="12"/>
      <c r="B8235" s="13"/>
    </row>
    <row r="8236" spans="1:2" x14ac:dyDescent="0.2">
      <c r="A8236" s="12"/>
      <c r="B8236" s="13"/>
    </row>
    <row r="8237" spans="1:2" x14ac:dyDescent="0.2">
      <c r="A8237" s="12"/>
      <c r="B8237" s="13"/>
    </row>
    <row r="8238" spans="1:2" x14ac:dyDescent="0.2">
      <c r="A8238" s="12"/>
      <c r="B8238" s="13"/>
    </row>
    <row r="8239" spans="1:2" x14ac:dyDescent="0.2">
      <c r="A8239" s="12"/>
      <c r="B8239" s="13"/>
    </row>
    <row r="8240" spans="1:2" x14ac:dyDescent="0.2">
      <c r="A8240" s="12"/>
      <c r="B8240" s="13"/>
    </row>
    <row r="8241" spans="1:2" x14ac:dyDescent="0.2">
      <c r="A8241" s="12"/>
      <c r="B8241" s="13"/>
    </row>
    <row r="8242" spans="1:2" x14ac:dyDescent="0.2">
      <c r="A8242" s="12"/>
      <c r="B8242" s="13"/>
    </row>
    <row r="8243" spans="1:2" x14ac:dyDescent="0.2">
      <c r="A8243" s="12"/>
      <c r="B8243" s="13"/>
    </row>
    <row r="8244" spans="1:2" x14ac:dyDescent="0.2">
      <c r="A8244" s="12"/>
      <c r="B8244" s="13"/>
    </row>
    <row r="8245" spans="1:2" x14ac:dyDescent="0.2">
      <c r="A8245" s="12"/>
      <c r="B8245" s="13"/>
    </row>
    <row r="8246" spans="1:2" x14ac:dyDescent="0.2">
      <c r="A8246" s="12"/>
      <c r="B8246" s="13"/>
    </row>
    <row r="8247" spans="1:2" x14ac:dyDescent="0.2">
      <c r="A8247" s="12"/>
      <c r="B8247" s="13"/>
    </row>
    <row r="8248" spans="1:2" x14ac:dyDescent="0.2">
      <c r="A8248" s="12"/>
      <c r="B8248" s="13"/>
    </row>
    <row r="8249" spans="1:2" x14ac:dyDescent="0.2">
      <c r="A8249" s="12"/>
      <c r="B8249" s="13"/>
    </row>
    <row r="8250" spans="1:2" x14ac:dyDescent="0.2">
      <c r="A8250" s="12"/>
      <c r="B8250" s="13"/>
    </row>
    <row r="8251" spans="1:2" x14ac:dyDescent="0.2">
      <c r="A8251" s="12"/>
      <c r="B8251" s="13"/>
    </row>
    <row r="8252" spans="1:2" x14ac:dyDescent="0.2">
      <c r="A8252" s="12"/>
      <c r="B8252" s="13"/>
    </row>
    <row r="8253" spans="1:2" x14ac:dyDescent="0.2">
      <c r="A8253" s="12"/>
      <c r="B8253" s="13"/>
    </row>
    <row r="8254" spans="1:2" x14ac:dyDescent="0.2">
      <c r="A8254" s="12"/>
      <c r="B8254" s="13"/>
    </row>
    <row r="8255" spans="1:2" x14ac:dyDescent="0.2">
      <c r="A8255" s="12"/>
      <c r="B8255" s="13"/>
    </row>
    <row r="8256" spans="1:2" x14ac:dyDescent="0.2">
      <c r="A8256" s="12"/>
      <c r="B8256" s="13"/>
    </row>
    <row r="8257" spans="1:2" x14ac:dyDescent="0.2">
      <c r="A8257" s="12"/>
      <c r="B8257" s="13"/>
    </row>
    <row r="8258" spans="1:2" x14ac:dyDescent="0.2">
      <c r="A8258" s="12"/>
      <c r="B8258" s="13"/>
    </row>
    <row r="8259" spans="1:2" x14ac:dyDescent="0.2">
      <c r="A8259" s="12"/>
      <c r="B8259" s="13"/>
    </row>
    <row r="8260" spans="1:2" x14ac:dyDescent="0.2">
      <c r="A8260" s="12"/>
      <c r="B8260" s="13"/>
    </row>
    <row r="8261" spans="1:2" x14ac:dyDescent="0.2">
      <c r="A8261" s="12"/>
      <c r="B8261" s="13"/>
    </row>
    <row r="8262" spans="1:2" x14ac:dyDescent="0.2">
      <c r="A8262" s="12"/>
      <c r="B8262" s="13"/>
    </row>
    <row r="8263" spans="1:2" x14ac:dyDescent="0.2">
      <c r="A8263" s="12"/>
      <c r="B8263" s="13"/>
    </row>
    <row r="8264" spans="1:2" x14ac:dyDescent="0.2">
      <c r="A8264" s="12"/>
      <c r="B8264" s="13"/>
    </row>
    <row r="8265" spans="1:2" x14ac:dyDescent="0.2">
      <c r="A8265" s="12"/>
      <c r="B8265" s="13"/>
    </row>
    <row r="8266" spans="1:2" x14ac:dyDescent="0.2">
      <c r="A8266" s="12"/>
      <c r="B8266" s="13"/>
    </row>
    <row r="8267" spans="1:2" x14ac:dyDescent="0.2">
      <c r="A8267" s="12"/>
      <c r="B8267" s="13"/>
    </row>
    <row r="8268" spans="1:2" x14ac:dyDescent="0.2">
      <c r="A8268" s="12"/>
      <c r="B8268" s="13"/>
    </row>
    <row r="8269" spans="1:2" x14ac:dyDescent="0.2">
      <c r="A8269" s="12"/>
      <c r="B8269" s="13"/>
    </row>
    <row r="8270" spans="1:2" x14ac:dyDescent="0.2">
      <c r="A8270" s="12"/>
      <c r="B8270" s="13"/>
    </row>
    <row r="8271" spans="1:2" x14ac:dyDescent="0.2">
      <c r="A8271" s="12"/>
      <c r="B8271" s="13"/>
    </row>
    <row r="8272" spans="1:2" x14ac:dyDescent="0.2">
      <c r="A8272" s="12"/>
      <c r="B8272" s="13"/>
    </row>
    <row r="8273" spans="1:2" x14ac:dyDescent="0.2">
      <c r="A8273" s="12"/>
      <c r="B8273" s="13"/>
    </row>
    <row r="8274" spans="1:2" x14ac:dyDescent="0.2">
      <c r="A8274" s="12"/>
      <c r="B8274" s="13"/>
    </row>
    <row r="8275" spans="1:2" x14ac:dyDescent="0.2">
      <c r="A8275" s="12"/>
      <c r="B8275" s="13"/>
    </row>
    <row r="8276" spans="1:2" x14ac:dyDescent="0.2">
      <c r="A8276" s="12"/>
      <c r="B8276" s="13"/>
    </row>
    <row r="8277" spans="1:2" x14ac:dyDescent="0.2">
      <c r="A8277" s="12"/>
      <c r="B8277" s="13"/>
    </row>
    <row r="8278" spans="1:2" x14ac:dyDescent="0.2">
      <c r="A8278" s="12"/>
      <c r="B8278" s="13"/>
    </row>
    <row r="8279" spans="1:2" x14ac:dyDescent="0.2">
      <c r="A8279" s="12"/>
      <c r="B8279" s="13"/>
    </row>
    <row r="8280" spans="1:2" x14ac:dyDescent="0.2">
      <c r="A8280" s="12"/>
      <c r="B8280" s="13"/>
    </row>
    <row r="8281" spans="1:2" x14ac:dyDescent="0.2">
      <c r="A8281" s="12"/>
      <c r="B8281" s="13"/>
    </row>
    <row r="8282" spans="1:2" x14ac:dyDescent="0.2">
      <c r="A8282" s="12"/>
      <c r="B8282" s="13"/>
    </row>
    <row r="8283" spans="1:2" x14ac:dyDescent="0.2">
      <c r="A8283" s="12"/>
      <c r="B8283" s="13"/>
    </row>
    <row r="8284" spans="1:2" x14ac:dyDescent="0.2">
      <c r="A8284" s="12"/>
      <c r="B8284" s="13"/>
    </row>
    <row r="8285" spans="1:2" x14ac:dyDescent="0.2">
      <c r="A8285" s="12"/>
      <c r="B8285" s="13"/>
    </row>
    <row r="8286" spans="1:2" x14ac:dyDescent="0.2">
      <c r="A8286" s="12"/>
      <c r="B8286" s="13"/>
    </row>
    <row r="8287" spans="1:2" x14ac:dyDescent="0.2">
      <c r="A8287" s="12"/>
      <c r="B8287" s="13"/>
    </row>
    <row r="8288" spans="1:2" x14ac:dyDescent="0.2">
      <c r="A8288" s="12"/>
      <c r="B8288" s="13"/>
    </row>
    <row r="8289" spans="1:2" x14ac:dyDescent="0.2">
      <c r="A8289" s="12"/>
      <c r="B8289" s="13"/>
    </row>
    <row r="8290" spans="1:2" x14ac:dyDescent="0.2">
      <c r="A8290" s="12"/>
      <c r="B8290" s="13"/>
    </row>
    <row r="8291" spans="1:2" x14ac:dyDescent="0.2">
      <c r="A8291" s="12"/>
      <c r="B8291" s="13"/>
    </row>
    <row r="8292" spans="1:2" x14ac:dyDescent="0.2">
      <c r="A8292" s="12"/>
      <c r="B8292" s="13"/>
    </row>
    <row r="8293" spans="1:2" x14ac:dyDescent="0.2">
      <c r="A8293" s="12"/>
      <c r="B8293" s="13"/>
    </row>
    <row r="8294" spans="1:2" x14ac:dyDescent="0.2">
      <c r="A8294" s="12"/>
      <c r="B8294" s="13"/>
    </row>
    <row r="8295" spans="1:2" x14ac:dyDescent="0.2">
      <c r="A8295" s="12"/>
      <c r="B8295" s="13"/>
    </row>
    <row r="8296" spans="1:2" x14ac:dyDescent="0.2">
      <c r="A8296" s="12"/>
      <c r="B8296" s="13"/>
    </row>
    <row r="8297" spans="1:2" x14ac:dyDescent="0.2">
      <c r="A8297" s="12"/>
      <c r="B8297" s="13"/>
    </row>
    <row r="8298" spans="1:2" x14ac:dyDescent="0.2">
      <c r="A8298" s="12"/>
      <c r="B8298" s="13"/>
    </row>
    <row r="8299" spans="1:2" x14ac:dyDescent="0.2">
      <c r="A8299" s="12"/>
      <c r="B8299" s="13"/>
    </row>
    <row r="8300" spans="1:2" x14ac:dyDescent="0.2">
      <c r="A8300" s="12"/>
      <c r="B8300" s="13"/>
    </row>
    <row r="8301" spans="1:2" x14ac:dyDescent="0.2">
      <c r="A8301" s="12"/>
      <c r="B8301" s="13"/>
    </row>
    <row r="8302" spans="1:2" x14ac:dyDescent="0.2">
      <c r="A8302" s="12"/>
      <c r="B8302" s="13"/>
    </row>
    <row r="8303" spans="1:2" x14ac:dyDescent="0.2">
      <c r="A8303" s="12"/>
      <c r="B8303" s="13"/>
    </row>
    <row r="8304" spans="1:2" x14ac:dyDescent="0.2">
      <c r="A8304" s="12"/>
      <c r="B8304" s="13"/>
    </row>
    <row r="8305" spans="1:2" x14ac:dyDescent="0.2">
      <c r="A8305" s="12"/>
      <c r="B8305" s="13"/>
    </row>
    <row r="8306" spans="1:2" x14ac:dyDescent="0.2">
      <c r="A8306" s="12"/>
      <c r="B8306" s="13"/>
    </row>
    <row r="8307" spans="1:2" x14ac:dyDescent="0.2">
      <c r="A8307" s="12"/>
      <c r="B8307" s="13"/>
    </row>
    <row r="8308" spans="1:2" x14ac:dyDescent="0.2">
      <c r="A8308" s="12"/>
      <c r="B8308" s="13"/>
    </row>
    <row r="8309" spans="1:2" x14ac:dyDescent="0.2">
      <c r="A8309" s="12"/>
      <c r="B8309" s="13"/>
    </row>
    <row r="8310" spans="1:2" x14ac:dyDescent="0.2">
      <c r="A8310" s="12"/>
      <c r="B8310" s="13"/>
    </row>
    <row r="8311" spans="1:2" x14ac:dyDescent="0.2">
      <c r="A8311" s="12"/>
      <c r="B8311" s="13"/>
    </row>
    <row r="8312" spans="1:2" x14ac:dyDescent="0.2">
      <c r="A8312" s="12"/>
      <c r="B8312" s="13"/>
    </row>
    <row r="8313" spans="1:2" x14ac:dyDescent="0.2">
      <c r="A8313" s="12"/>
      <c r="B8313" s="13"/>
    </row>
    <row r="8314" spans="1:2" x14ac:dyDescent="0.2">
      <c r="A8314" s="12"/>
      <c r="B8314" s="13"/>
    </row>
    <row r="8315" spans="1:2" x14ac:dyDescent="0.2">
      <c r="A8315" s="12"/>
      <c r="B8315" s="13"/>
    </row>
    <row r="8316" spans="1:2" x14ac:dyDescent="0.2">
      <c r="A8316" s="12"/>
      <c r="B8316" s="13"/>
    </row>
    <row r="8317" spans="1:2" x14ac:dyDescent="0.2">
      <c r="A8317" s="12"/>
      <c r="B8317" s="13"/>
    </row>
    <row r="8318" spans="1:2" x14ac:dyDescent="0.2">
      <c r="A8318" s="12"/>
      <c r="B8318" s="13"/>
    </row>
    <row r="8319" spans="1:2" x14ac:dyDescent="0.2">
      <c r="A8319" s="12"/>
      <c r="B8319" s="13"/>
    </row>
    <row r="8320" spans="1:2" x14ac:dyDescent="0.2">
      <c r="A8320" s="12"/>
      <c r="B8320" s="13"/>
    </row>
    <row r="8321" spans="1:2" x14ac:dyDescent="0.2">
      <c r="A8321" s="12"/>
      <c r="B8321" s="13"/>
    </row>
    <row r="8322" spans="1:2" x14ac:dyDescent="0.2">
      <c r="A8322" s="12"/>
      <c r="B8322" s="13"/>
    </row>
    <row r="8323" spans="1:2" x14ac:dyDescent="0.2">
      <c r="A8323" s="12"/>
      <c r="B8323" s="13"/>
    </row>
    <row r="8324" spans="1:2" x14ac:dyDescent="0.2">
      <c r="A8324" s="12"/>
      <c r="B8324" s="13"/>
    </row>
    <row r="8325" spans="1:2" x14ac:dyDescent="0.2">
      <c r="A8325" s="12"/>
      <c r="B8325" s="13"/>
    </row>
    <row r="8326" spans="1:2" x14ac:dyDescent="0.2">
      <c r="A8326" s="12"/>
      <c r="B8326" s="13"/>
    </row>
    <row r="8327" spans="1:2" x14ac:dyDescent="0.2">
      <c r="A8327" s="12"/>
      <c r="B8327" s="13"/>
    </row>
    <row r="8328" spans="1:2" x14ac:dyDescent="0.2">
      <c r="A8328" s="12"/>
      <c r="B8328" s="13"/>
    </row>
    <row r="8329" spans="1:2" x14ac:dyDescent="0.2">
      <c r="A8329" s="12"/>
      <c r="B8329" s="13"/>
    </row>
    <row r="8330" spans="1:2" x14ac:dyDescent="0.2">
      <c r="A8330" s="12"/>
      <c r="B8330" s="13"/>
    </row>
    <row r="8331" spans="1:2" x14ac:dyDescent="0.2">
      <c r="A8331" s="12"/>
      <c r="B8331" s="13"/>
    </row>
    <row r="8332" spans="1:2" x14ac:dyDescent="0.2">
      <c r="A8332" s="12"/>
      <c r="B8332" s="13"/>
    </row>
    <row r="8333" spans="1:2" x14ac:dyDescent="0.2">
      <c r="A8333" s="12"/>
      <c r="B8333" s="13"/>
    </row>
    <row r="8334" spans="1:2" x14ac:dyDescent="0.2">
      <c r="A8334" s="12"/>
      <c r="B8334" s="13"/>
    </row>
    <row r="8335" spans="1:2" x14ac:dyDescent="0.2">
      <c r="A8335" s="12"/>
      <c r="B8335" s="13"/>
    </row>
    <row r="8336" spans="1:2" x14ac:dyDescent="0.2">
      <c r="A8336" s="12"/>
      <c r="B8336" s="13"/>
    </row>
    <row r="8337" spans="1:2" x14ac:dyDescent="0.2">
      <c r="A8337" s="12"/>
      <c r="B8337" s="13"/>
    </row>
    <row r="8338" spans="1:2" x14ac:dyDescent="0.2">
      <c r="A8338" s="12"/>
      <c r="B8338" s="13"/>
    </row>
    <row r="8339" spans="1:2" x14ac:dyDescent="0.2">
      <c r="A8339" s="12"/>
      <c r="B8339" s="13"/>
    </row>
    <row r="8340" spans="1:2" x14ac:dyDescent="0.2">
      <c r="A8340" s="12"/>
      <c r="B8340" s="13"/>
    </row>
    <row r="8341" spans="1:2" x14ac:dyDescent="0.2">
      <c r="A8341" s="12"/>
      <c r="B8341" s="13"/>
    </row>
    <row r="8342" spans="1:2" x14ac:dyDescent="0.2">
      <c r="A8342" s="12"/>
      <c r="B8342" s="13"/>
    </row>
    <row r="8343" spans="1:2" x14ac:dyDescent="0.2">
      <c r="A8343" s="12"/>
      <c r="B8343" s="13"/>
    </row>
    <row r="8344" spans="1:2" x14ac:dyDescent="0.2">
      <c r="A8344" s="12"/>
      <c r="B8344" s="13"/>
    </row>
    <row r="8345" spans="1:2" x14ac:dyDescent="0.2">
      <c r="A8345" s="12"/>
      <c r="B8345" s="13"/>
    </row>
    <row r="8346" spans="1:2" x14ac:dyDescent="0.2">
      <c r="A8346" s="12"/>
      <c r="B8346" s="13"/>
    </row>
    <row r="8347" spans="1:2" x14ac:dyDescent="0.2">
      <c r="A8347" s="12"/>
      <c r="B8347" s="13"/>
    </row>
    <row r="8348" spans="1:2" x14ac:dyDescent="0.2">
      <c r="A8348" s="12"/>
      <c r="B8348" s="13"/>
    </row>
    <row r="8349" spans="1:2" x14ac:dyDescent="0.2">
      <c r="A8349" s="12"/>
      <c r="B8349" s="13"/>
    </row>
    <row r="8350" spans="1:2" x14ac:dyDescent="0.2">
      <c r="A8350" s="12"/>
      <c r="B8350" s="13"/>
    </row>
    <row r="8351" spans="1:2" x14ac:dyDescent="0.2">
      <c r="A8351" s="12"/>
      <c r="B8351" s="13"/>
    </row>
    <row r="8352" spans="1:2" x14ac:dyDescent="0.2">
      <c r="A8352" s="12"/>
      <c r="B8352" s="13"/>
    </row>
    <row r="8353" spans="1:2" x14ac:dyDescent="0.2">
      <c r="A8353" s="12"/>
      <c r="B8353" s="13"/>
    </row>
    <row r="8354" spans="1:2" x14ac:dyDescent="0.2">
      <c r="A8354" s="12"/>
      <c r="B8354" s="13"/>
    </row>
    <row r="8355" spans="1:2" x14ac:dyDescent="0.2">
      <c r="A8355" s="12"/>
      <c r="B8355" s="13"/>
    </row>
    <row r="8356" spans="1:2" x14ac:dyDescent="0.2">
      <c r="A8356" s="12"/>
      <c r="B8356" s="13"/>
    </row>
    <row r="8357" spans="1:2" x14ac:dyDescent="0.2">
      <c r="A8357" s="12"/>
      <c r="B8357" s="13"/>
    </row>
    <row r="8358" spans="1:2" x14ac:dyDescent="0.2">
      <c r="A8358" s="12"/>
      <c r="B8358" s="13"/>
    </row>
    <row r="8359" spans="1:2" x14ac:dyDescent="0.2">
      <c r="A8359" s="12"/>
      <c r="B8359" s="13"/>
    </row>
    <row r="8360" spans="1:2" x14ac:dyDescent="0.2">
      <c r="A8360" s="12"/>
      <c r="B8360" s="13"/>
    </row>
    <row r="8361" spans="1:2" x14ac:dyDescent="0.2">
      <c r="A8361" s="12"/>
      <c r="B8361" s="13"/>
    </row>
    <row r="8362" spans="1:2" x14ac:dyDescent="0.2">
      <c r="A8362" s="12"/>
      <c r="B8362" s="13"/>
    </row>
    <row r="8363" spans="1:2" x14ac:dyDescent="0.2">
      <c r="A8363" s="12"/>
      <c r="B8363" s="13"/>
    </row>
    <row r="8364" spans="1:2" x14ac:dyDescent="0.2">
      <c r="A8364" s="12"/>
      <c r="B8364" s="13"/>
    </row>
    <row r="8365" spans="1:2" x14ac:dyDescent="0.2">
      <c r="A8365" s="12"/>
      <c r="B8365" s="13"/>
    </row>
    <row r="8366" spans="1:2" x14ac:dyDescent="0.2">
      <c r="A8366" s="12"/>
      <c r="B8366" s="13"/>
    </row>
    <row r="8367" spans="1:2" x14ac:dyDescent="0.2">
      <c r="A8367" s="12"/>
      <c r="B8367" s="13"/>
    </row>
    <row r="8368" spans="1:2" x14ac:dyDescent="0.2">
      <c r="A8368" s="12"/>
      <c r="B8368" s="13"/>
    </row>
    <row r="8369" spans="1:2" x14ac:dyDescent="0.2">
      <c r="A8369" s="12"/>
      <c r="B8369" s="13"/>
    </row>
    <row r="8370" spans="1:2" x14ac:dyDescent="0.2">
      <c r="A8370" s="12"/>
      <c r="B8370" s="13"/>
    </row>
    <row r="8371" spans="1:2" x14ac:dyDescent="0.2">
      <c r="A8371" s="12"/>
      <c r="B8371" s="13"/>
    </row>
    <row r="8372" spans="1:2" x14ac:dyDescent="0.2">
      <c r="A8372" s="12"/>
      <c r="B8372" s="13"/>
    </row>
    <row r="8373" spans="1:2" x14ac:dyDescent="0.2">
      <c r="A8373" s="12"/>
      <c r="B8373" s="13"/>
    </row>
    <row r="8374" spans="1:2" x14ac:dyDescent="0.2">
      <c r="A8374" s="12"/>
      <c r="B8374" s="13"/>
    </row>
    <row r="8375" spans="1:2" x14ac:dyDescent="0.2">
      <c r="A8375" s="12"/>
      <c r="B8375" s="13"/>
    </row>
    <row r="8376" spans="1:2" x14ac:dyDescent="0.2">
      <c r="A8376" s="12"/>
      <c r="B8376" s="13"/>
    </row>
    <row r="8377" spans="1:2" x14ac:dyDescent="0.2">
      <c r="A8377" s="12"/>
      <c r="B8377" s="13"/>
    </row>
    <row r="8378" spans="1:2" x14ac:dyDescent="0.2">
      <c r="A8378" s="12"/>
      <c r="B8378" s="13"/>
    </row>
    <row r="8379" spans="1:2" x14ac:dyDescent="0.2">
      <c r="A8379" s="12"/>
      <c r="B8379" s="13"/>
    </row>
    <row r="8380" spans="1:2" x14ac:dyDescent="0.2">
      <c r="A8380" s="12"/>
      <c r="B8380" s="13"/>
    </row>
    <row r="8381" spans="1:2" x14ac:dyDescent="0.2">
      <c r="A8381" s="12"/>
      <c r="B8381" s="13"/>
    </row>
    <row r="8382" spans="1:2" x14ac:dyDescent="0.2">
      <c r="A8382" s="12"/>
      <c r="B8382" s="13"/>
    </row>
    <row r="8383" spans="1:2" x14ac:dyDescent="0.2">
      <c r="A8383" s="12"/>
      <c r="B8383" s="13"/>
    </row>
    <row r="8384" spans="1:2" x14ac:dyDescent="0.2">
      <c r="A8384" s="12"/>
      <c r="B8384" s="13"/>
    </row>
    <row r="8385" spans="1:2" x14ac:dyDescent="0.2">
      <c r="A8385" s="12"/>
      <c r="B8385" s="13"/>
    </row>
    <row r="8386" spans="1:2" x14ac:dyDescent="0.2">
      <c r="A8386" s="12"/>
      <c r="B8386" s="13"/>
    </row>
    <row r="8387" spans="1:2" x14ac:dyDescent="0.2">
      <c r="A8387" s="12"/>
      <c r="B8387" s="13"/>
    </row>
    <row r="8388" spans="1:2" x14ac:dyDescent="0.2">
      <c r="A8388" s="12"/>
      <c r="B8388" s="13"/>
    </row>
    <row r="8389" spans="1:2" x14ac:dyDescent="0.2">
      <c r="A8389" s="12"/>
      <c r="B8389" s="13"/>
    </row>
    <row r="8390" spans="1:2" x14ac:dyDescent="0.2">
      <c r="A8390" s="12"/>
      <c r="B8390" s="13"/>
    </row>
    <row r="8391" spans="1:2" x14ac:dyDescent="0.2">
      <c r="A8391" s="12"/>
      <c r="B8391" s="13"/>
    </row>
    <row r="8392" spans="1:2" x14ac:dyDescent="0.2">
      <c r="A8392" s="12"/>
      <c r="B8392" s="13"/>
    </row>
    <row r="8393" spans="1:2" x14ac:dyDescent="0.2">
      <c r="A8393" s="12"/>
      <c r="B8393" s="13"/>
    </row>
    <row r="8394" spans="1:2" x14ac:dyDescent="0.2">
      <c r="A8394" s="12"/>
      <c r="B8394" s="13"/>
    </row>
    <row r="8395" spans="1:2" x14ac:dyDescent="0.2">
      <c r="A8395" s="12"/>
      <c r="B8395" s="13"/>
    </row>
    <row r="8396" spans="1:2" x14ac:dyDescent="0.2">
      <c r="A8396" s="12"/>
      <c r="B8396" s="13"/>
    </row>
    <row r="8397" spans="1:2" x14ac:dyDescent="0.2">
      <c r="A8397" s="12"/>
      <c r="B8397" s="13"/>
    </row>
    <row r="8398" spans="1:2" x14ac:dyDescent="0.2">
      <c r="A8398" s="12"/>
      <c r="B8398" s="13"/>
    </row>
    <row r="8399" spans="1:2" x14ac:dyDescent="0.2">
      <c r="A8399" s="12"/>
      <c r="B8399" s="13"/>
    </row>
    <row r="8400" spans="1:2" x14ac:dyDescent="0.2">
      <c r="A8400" s="12"/>
      <c r="B8400" s="13"/>
    </row>
    <row r="8401" spans="1:2" x14ac:dyDescent="0.2">
      <c r="A8401" s="12"/>
      <c r="B8401" s="13"/>
    </row>
    <row r="8402" spans="1:2" x14ac:dyDescent="0.2">
      <c r="A8402" s="12"/>
      <c r="B8402" s="13"/>
    </row>
    <row r="8403" spans="1:2" x14ac:dyDescent="0.2">
      <c r="A8403" s="12"/>
      <c r="B8403" s="13"/>
    </row>
    <row r="8404" spans="1:2" x14ac:dyDescent="0.2">
      <c r="A8404" s="12"/>
      <c r="B8404" s="13"/>
    </row>
    <row r="8405" spans="1:2" x14ac:dyDescent="0.2">
      <c r="A8405" s="12"/>
      <c r="B8405" s="13"/>
    </row>
    <row r="8406" spans="1:2" x14ac:dyDescent="0.2">
      <c r="A8406" s="12"/>
      <c r="B8406" s="13"/>
    </row>
    <row r="8407" spans="1:2" x14ac:dyDescent="0.2">
      <c r="A8407" s="12"/>
      <c r="B8407" s="13"/>
    </row>
    <row r="8408" spans="1:2" x14ac:dyDescent="0.2">
      <c r="A8408" s="12"/>
      <c r="B8408" s="13"/>
    </row>
    <row r="8409" spans="1:2" x14ac:dyDescent="0.2">
      <c r="A8409" s="12"/>
      <c r="B8409" s="13"/>
    </row>
    <row r="8410" spans="1:2" x14ac:dyDescent="0.2">
      <c r="A8410" s="12"/>
      <c r="B8410" s="13"/>
    </row>
    <row r="8411" spans="1:2" x14ac:dyDescent="0.2">
      <c r="A8411" s="12"/>
      <c r="B8411" s="13"/>
    </row>
    <row r="8412" spans="1:2" x14ac:dyDescent="0.2">
      <c r="A8412" s="12"/>
      <c r="B8412" s="13"/>
    </row>
    <row r="8413" spans="1:2" x14ac:dyDescent="0.2">
      <c r="A8413" s="12"/>
      <c r="B8413" s="13"/>
    </row>
    <row r="8414" spans="1:2" x14ac:dyDescent="0.2">
      <c r="A8414" s="12"/>
      <c r="B8414" s="13"/>
    </row>
    <row r="8415" spans="1:2" x14ac:dyDescent="0.2">
      <c r="A8415" s="12"/>
      <c r="B8415" s="13"/>
    </row>
    <row r="8416" spans="1:2" x14ac:dyDescent="0.2">
      <c r="A8416" s="12"/>
      <c r="B8416" s="13"/>
    </row>
    <row r="8417" spans="1:2" x14ac:dyDescent="0.2">
      <c r="A8417" s="12"/>
      <c r="B8417" s="13"/>
    </row>
    <row r="8418" spans="1:2" x14ac:dyDescent="0.2">
      <c r="A8418" s="12"/>
      <c r="B8418" s="13"/>
    </row>
    <row r="8419" spans="1:2" x14ac:dyDescent="0.2">
      <c r="A8419" s="12"/>
      <c r="B8419" s="13"/>
    </row>
    <row r="8420" spans="1:2" x14ac:dyDescent="0.2">
      <c r="A8420" s="12"/>
      <c r="B8420" s="13"/>
    </row>
    <row r="8421" spans="1:2" x14ac:dyDescent="0.2">
      <c r="A8421" s="12"/>
      <c r="B8421" s="13"/>
    </row>
    <row r="8422" spans="1:2" x14ac:dyDescent="0.2">
      <c r="A8422" s="12"/>
      <c r="B8422" s="13"/>
    </row>
    <row r="8423" spans="1:2" x14ac:dyDescent="0.2">
      <c r="A8423" s="12"/>
      <c r="B8423" s="13"/>
    </row>
    <row r="8424" spans="1:2" x14ac:dyDescent="0.2">
      <c r="A8424" s="12"/>
      <c r="B8424" s="13"/>
    </row>
    <row r="8425" spans="1:2" x14ac:dyDescent="0.2">
      <c r="A8425" s="12"/>
      <c r="B8425" s="13"/>
    </row>
    <row r="8426" spans="1:2" x14ac:dyDescent="0.2">
      <c r="A8426" s="12"/>
      <c r="B8426" s="13"/>
    </row>
    <row r="8427" spans="1:2" x14ac:dyDescent="0.2">
      <c r="A8427" s="12"/>
      <c r="B8427" s="13"/>
    </row>
    <row r="8428" spans="1:2" x14ac:dyDescent="0.2">
      <c r="A8428" s="12"/>
      <c r="B8428" s="13"/>
    </row>
    <row r="8429" spans="1:2" x14ac:dyDescent="0.2">
      <c r="A8429" s="12"/>
      <c r="B8429" s="13"/>
    </row>
    <row r="8430" spans="1:2" x14ac:dyDescent="0.2">
      <c r="A8430" s="12"/>
      <c r="B8430" s="13"/>
    </row>
    <row r="8431" spans="1:2" x14ac:dyDescent="0.2">
      <c r="A8431" s="12"/>
      <c r="B8431" s="13"/>
    </row>
    <row r="8432" spans="1:2" x14ac:dyDescent="0.2">
      <c r="A8432" s="12"/>
      <c r="B8432" s="13"/>
    </row>
    <row r="8433" spans="1:2" x14ac:dyDescent="0.2">
      <c r="A8433" s="12"/>
      <c r="B8433" s="13"/>
    </row>
    <row r="8434" spans="1:2" x14ac:dyDescent="0.2">
      <c r="A8434" s="12"/>
      <c r="B8434" s="13"/>
    </row>
    <row r="8435" spans="1:2" x14ac:dyDescent="0.2">
      <c r="A8435" s="12"/>
      <c r="B8435" s="13"/>
    </row>
    <row r="8436" spans="1:2" x14ac:dyDescent="0.2">
      <c r="A8436" s="12"/>
      <c r="B8436" s="13"/>
    </row>
    <row r="8437" spans="1:2" x14ac:dyDescent="0.2">
      <c r="A8437" s="12"/>
      <c r="B8437" s="13"/>
    </row>
    <row r="8438" spans="1:2" x14ac:dyDescent="0.2">
      <c r="A8438" s="12"/>
      <c r="B8438" s="13"/>
    </row>
    <row r="8439" spans="1:2" x14ac:dyDescent="0.2">
      <c r="A8439" s="12"/>
      <c r="B8439" s="13"/>
    </row>
    <row r="8440" spans="1:2" x14ac:dyDescent="0.2">
      <c r="A8440" s="12"/>
      <c r="B8440" s="13"/>
    </row>
    <row r="8441" spans="1:2" x14ac:dyDescent="0.2">
      <c r="A8441" s="12"/>
      <c r="B8441" s="13"/>
    </row>
    <row r="8442" spans="1:2" x14ac:dyDescent="0.2">
      <c r="A8442" s="12"/>
      <c r="B8442" s="13"/>
    </row>
    <row r="8443" spans="1:2" x14ac:dyDescent="0.2">
      <c r="A8443" s="12"/>
      <c r="B8443" s="13"/>
    </row>
    <row r="8444" spans="1:2" x14ac:dyDescent="0.2">
      <c r="A8444" s="12"/>
      <c r="B8444" s="13"/>
    </row>
    <row r="8445" spans="1:2" x14ac:dyDescent="0.2">
      <c r="A8445" s="12"/>
      <c r="B8445" s="13"/>
    </row>
    <row r="8446" spans="1:2" x14ac:dyDescent="0.2">
      <c r="A8446" s="12"/>
      <c r="B8446" s="13"/>
    </row>
    <row r="8447" spans="1:2" x14ac:dyDescent="0.2">
      <c r="A8447" s="12"/>
      <c r="B8447" s="13"/>
    </row>
    <row r="8448" spans="1:2" x14ac:dyDescent="0.2">
      <c r="A8448" s="12"/>
      <c r="B8448" s="13"/>
    </row>
    <row r="8449" spans="1:2" x14ac:dyDescent="0.2">
      <c r="A8449" s="12"/>
      <c r="B8449" s="13"/>
    </row>
    <row r="8450" spans="1:2" x14ac:dyDescent="0.2">
      <c r="A8450" s="12"/>
      <c r="B8450" s="13"/>
    </row>
    <row r="8451" spans="1:2" x14ac:dyDescent="0.2">
      <c r="A8451" s="12"/>
      <c r="B8451" s="13"/>
    </row>
    <row r="8452" spans="1:2" x14ac:dyDescent="0.2">
      <c r="A8452" s="12"/>
      <c r="B8452" s="13"/>
    </row>
    <row r="8453" spans="1:2" x14ac:dyDescent="0.2">
      <c r="A8453" s="12"/>
      <c r="B8453" s="13"/>
    </row>
    <row r="8454" spans="1:2" x14ac:dyDescent="0.2">
      <c r="A8454" s="12"/>
      <c r="B8454" s="13"/>
    </row>
    <row r="8455" spans="1:2" x14ac:dyDescent="0.2">
      <c r="A8455" s="12"/>
      <c r="B8455" s="13"/>
    </row>
    <row r="8456" spans="1:2" x14ac:dyDescent="0.2">
      <c r="A8456" s="12"/>
      <c r="B8456" s="13"/>
    </row>
    <row r="8457" spans="1:2" x14ac:dyDescent="0.2">
      <c r="A8457" s="12"/>
      <c r="B8457" s="13"/>
    </row>
    <row r="8458" spans="1:2" x14ac:dyDescent="0.2">
      <c r="A8458" s="12"/>
      <c r="B8458" s="13"/>
    </row>
    <row r="8459" spans="1:2" x14ac:dyDescent="0.2">
      <c r="A8459" s="12"/>
      <c r="B8459" s="13"/>
    </row>
    <row r="8460" spans="1:2" x14ac:dyDescent="0.2">
      <c r="A8460" s="12"/>
      <c r="B8460" s="13"/>
    </row>
    <row r="8461" spans="1:2" x14ac:dyDescent="0.2">
      <c r="A8461" s="12"/>
      <c r="B8461" s="13"/>
    </row>
    <row r="8462" spans="1:2" x14ac:dyDescent="0.2">
      <c r="A8462" s="12"/>
      <c r="B8462" s="13"/>
    </row>
    <row r="8463" spans="1:2" x14ac:dyDescent="0.2">
      <c r="A8463" s="12"/>
      <c r="B8463" s="13"/>
    </row>
    <row r="8464" spans="1:2" x14ac:dyDescent="0.2">
      <c r="A8464" s="12"/>
      <c r="B8464" s="13"/>
    </row>
    <row r="8465" spans="1:2" x14ac:dyDescent="0.2">
      <c r="A8465" s="12"/>
      <c r="B8465" s="13"/>
    </row>
    <row r="8466" spans="1:2" x14ac:dyDescent="0.2">
      <c r="A8466" s="12"/>
      <c r="B8466" s="13"/>
    </row>
    <row r="8467" spans="1:2" x14ac:dyDescent="0.2">
      <c r="A8467" s="12"/>
      <c r="B8467" s="13"/>
    </row>
    <row r="8468" spans="1:2" x14ac:dyDescent="0.2">
      <c r="A8468" s="12"/>
      <c r="B8468" s="13"/>
    </row>
    <row r="8469" spans="1:2" x14ac:dyDescent="0.2">
      <c r="A8469" s="12"/>
      <c r="B8469" s="13"/>
    </row>
    <row r="8470" spans="1:2" x14ac:dyDescent="0.2">
      <c r="A8470" s="12"/>
      <c r="B8470" s="13"/>
    </row>
    <row r="8471" spans="1:2" x14ac:dyDescent="0.2">
      <c r="A8471" s="12"/>
      <c r="B8471" s="13"/>
    </row>
    <row r="8472" spans="1:2" x14ac:dyDescent="0.2">
      <c r="A8472" s="12"/>
      <c r="B8472" s="13"/>
    </row>
    <row r="8473" spans="1:2" x14ac:dyDescent="0.2">
      <c r="A8473" s="12"/>
      <c r="B8473" s="13"/>
    </row>
    <row r="8474" spans="1:2" x14ac:dyDescent="0.2">
      <c r="A8474" s="12"/>
      <c r="B8474" s="13"/>
    </row>
    <row r="8475" spans="1:2" x14ac:dyDescent="0.2">
      <c r="A8475" s="12"/>
      <c r="B8475" s="13"/>
    </row>
    <row r="8476" spans="1:2" x14ac:dyDescent="0.2">
      <c r="A8476" s="12"/>
      <c r="B8476" s="13"/>
    </row>
    <row r="8477" spans="1:2" x14ac:dyDescent="0.2">
      <c r="A8477" s="12"/>
      <c r="B8477" s="13"/>
    </row>
    <row r="8478" spans="1:2" x14ac:dyDescent="0.2">
      <c r="A8478" s="12"/>
      <c r="B8478" s="13"/>
    </row>
    <row r="8479" spans="1:2" x14ac:dyDescent="0.2">
      <c r="A8479" s="12"/>
      <c r="B8479" s="13"/>
    </row>
    <row r="8480" spans="1:2" x14ac:dyDescent="0.2">
      <c r="A8480" s="12"/>
      <c r="B8480" s="13"/>
    </row>
    <row r="8481" spans="1:2" x14ac:dyDescent="0.2">
      <c r="A8481" s="12"/>
      <c r="B8481" s="13"/>
    </row>
    <row r="8482" spans="1:2" x14ac:dyDescent="0.2">
      <c r="A8482" s="12"/>
      <c r="B8482" s="13"/>
    </row>
    <row r="8483" spans="1:2" x14ac:dyDescent="0.2">
      <c r="A8483" s="12"/>
      <c r="B8483" s="13"/>
    </row>
    <row r="8484" spans="1:2" x14ac:dyDescent="0.2">
      <c r="A8484" s="12"/>
      <c r="B8484" s="13"/>
    </row>
    <row r="8485" spans="1:2" x14ac:dyDescent="0.2">
      <c r="A8485" s="12"/>
      <c r="B8485" s="13"/>
    </row>
    <row r="8486" spans="1:2" x14ac:dyDescent="0.2">
      <c r="A8486" s="12"/>
      <c r="B8486" s="13"/>
    </row>
    <row r="8487" spans="1:2" x14ac:dyDescent="0.2">
      <c r="A8487" s="12"/>
      <c r="B8487" s="13"/>
    </row>
    <row r="8488" spans="1:2" x14ac:dyDescent="0.2">
      <c r="A8488" s="12"/>
      <c r="B8488" s="13"/>
    </row>
    <row r="8489" spans="1:2" x14ac:dyDescent="0.2">
      <c r="A8489" s="12"/>
      <c r="B8489" s="13"/>
    </row>
    <row r="8490" spans="1:2" x14ac:dyDescent="0.2">
      <c r="A8490" s="12"/>
      <c r="B8490" s="13"/>
    </row>
    <row r="8491" spans="1:2" x14ac:dyDescent="0.2">
      <c r="A8491" s="12"/>
      <c r="B8491" s="13"/>
    </row>
    <row r="8492" spans="1:2" x14ac:dyDescent="0.2">
      <c r="A8492" s="12"/>
      <c r="B8492" s="13"/>
    </row>
    <row r="8493" spans="1:2" x14ac:dyDescent="0.2">
      <c r="A8493" s="12"/>
      <c r="B8493" s="13"/>
    </row>
    <row r="8494" spans="1:2" x14ac:dyDescent="0.2">
      <c r="A8494" s="12"/>
      <c r="B8494" s="13"/>
    </row>
    <row r="8495" spans="1:2" x14ac:dyDescent="0.2">
      <c r="A8495" s="12"/>
      <c r="B8495" s="13"/>
    </row>
    <row r="8496" spans="1:2" x14ac:dyDescent="0.2">
      <c r="A8496" s="12"/>
      <c r="B8496" s="13"/>
    </row>
    <row r="8497" spans="1:2" x14ac:dyDescent="0.2">
      <c r="A8497" s="12"/>
      <c r="B8497" s="13"/>
    </row>
    <row r="8498" spans="1:2" x14ac:dyDescent="0.2">
      <c r="A8498" s="12"/>
      <c r="B8498" s="13"/>
    </row>
    <row r="8499" spans="1:2" x14ac:dyDescent="0.2">
      <c r="A8499" s="12"/>
      <c r="B8499" s="13"/>
    </row>
    <row r="8500" spans="1:2" x14ac:dyDescent="0.2">
      <c r="A8500" s="12"/>
      <c r="B8500" s="13"/>
    </row>
    <row r="8501" spans="1:2" x14ac:dyDescent="0.2">
      <c r="A8501" s="12"/>
      <c r="B8501" s="13"/>
    </row>
    <row r="8502" spans="1:2" x14ac:dyDescent="0.2">
      <c r="A8502" s="12"/>
      <c r="B8502" s="13"/>
    </row>
    <row r="8503" spans="1:2" x14ac:dyDescent="0.2">
      <c r="A8503" s="12"/>
      <c r="B8503" s="13"/>
    </row>
    <row r="8504" spans="1:2" x14ac:dyDescent="0.2">
      <c r="A8504" s="12"/>
      <c r="B8504" s="13"/>
    </row>
    <row r="8505" spans="1:2" x14ac:dyDescent="0.2">
      <c r="A8505" s="12"/>
      <c r="B8505" s="13"/>
    </row>
    <row r="8506" spans="1:2" x14ac:dyDescent="0.2">
      <c r="A8506" s="12"/>
      <c r="B8506" s="13"/>
    </row>
    <row r="8507" spans="1:2" x14ac:dyDescent="0.2">
      <c r="A8507" s="12"/>
      <c r="B8507" s="13"/>
    </row>
    <row r="8508" spans="1:2" x14ac:dyDescent="0.2">
      <c r="A8508" s="12"/>
      <c r="B8508" s="13"/>
    </row>
    <row r="8509" spans="1:2" x14ac:dyDescent="0.2">
      <c r="A8509" s="12"/>
      <c r="B8509" s="13"/>
    </row>
    <row r="8510" spans="1:2" x14ac:dyDescent="0.2">
      <c r="A8510" s="12"/>
      <c r="B8510" s="13"/>
    </row>
    <row r="8511" spans="1:2" x14ac:dyDescent="0.2">
      <c r="A8511" s="12"/>
      <c r="B8511" s="13"/>
    </row>
    <row r="8512" spans="1:2" x14ac:dyDescent="0.2">
      <c r="A8512" s="12"/>
      <c r="B8512" s="13"/>
    </row>
    <row r="8513" spans="1:2" x14ac:dyDescent="0.2">
      <c r="A8513" s="12"/>
      <c r="B8513" s="13"/>
    </row>
    <row r="8514" spans="1:2" x14ac:dyDescent="0.2">
      <c r="A8514" s="12"/>
      <c r="B8514" s="13"/>
    </row>
    <row r="8515" spans="1:2" x14ac:dyDescent="0.2">
      <c r="A8515" s="12"/>
      <c r="B8515" s="13"/>
    </row>
    <row r="8516" spans="1:2" x14ac:dyDescent="0.2">
      <c r="A8516" s="12"/>
      <c r="B8516" s="13"/>
    </row>
    <row r="8517" spans="1:2" x14ac:dyDescent="0.2">
      <c r="A8517" s="12"/>
      <c r="B8517" s="13"/>
    </row>
    <row r="8518" spans="1:2" x14ac:dyDescent="0.2">
      <c r="A8518" s="12"/>
      <c r="B8518" s="13"/>
    </row>
    <row r="8519" spans="1:2" x14ac:dyDescent="0.2">
      <c r="A8519" s="12"/>
      <c r="B8519" s="13"/>
    </row>
    <row r="8520" spans="1:2" x14ac:dyDescent="0.2">
      <c r="A8520" s="12"/>
      <c r="B8520" s="13"/>
    </row>
    <row r="8521" spans="1:2" x14ac:dyDescent="0.2">
      <c r="A8521" s="12"/>
      <c r="B8521" s="13"/>
    </row>
    <row r="8522" spans="1:2" x14ac:dyDescent="0.2">
      <c r="A8522" s="12"/>
      <c r="B8522" s="13"/>
    </row>
    <row r="8523" spans="1:2" x14ac:dyDescent="0.2">
      <c r="A8523" s="12"/>
      <c r="B8523" s="13"/>
    </row>
    <row r="8524" spans="1:2" x14ac:dyDescent="0.2">
      <c r="A8524" s="12"/>
      <c r="B8524" s="13"/>
    </row>
    <row r="8525" spans="1:2" x14ac:dyDescent="0.2">
      <c r="A8525" s="12"/>
      <c r="B8525" s="13"/>
    </row>
    <row r="8526" spans="1:2" x14ac:dyDescent="0.2">
      <c r="A8526" s="12"/>
      <c r="B8526" s="13"/>
    </row>
    <row r="8527" spans="1:2" x14ac:dyDescent="0.2">
      <c r="A8527" s="12"/>
      <c r="B8527" s="13"/>
    </row>
    <row r="8528" spans="1:2" x14ac:dyDescent="0.2">
      <c r="A8528" s="12"/>
      <c r="B8528" s="13"/>
    </row>
    <row r="8529" spans="1:2" x14ac:dyDescent="0.2">
      <c r="A8529" s="12"/>
      <c r="B8529" s="13"/>
    </row>
    <row r="8530" spans="1:2" x14ac:dyDescent="0.2">
      <c r="A8530" s="12"/>
      <c r="B8530" s="13"/>
    </row>
    <row r="8531" spans="1:2" x14ac:dyDescent="0.2">
      <c r="A8531" s="12"/>
      <c r="B8531" s="13"/>
    </row>
    <row r="8532" spans="1:2" x14ac:dyDescent="0.2">
      <c r="A8532" s="12"/>
      <c r="B8532" s="13"/>
    </row>
    <row r="8533" spans="1:2" x14ac:dyDescent="0.2">
      <c r="A8533" s="12"/>
      <c r="B8533" s="13"/>
    </row>
    <row r="8534" spans="1:2" x14ac:dyDescent="0.2">
      <c r="A8534" s="12"/>
      <c r="B8534" s="13"/>
    </row>
    <row r="8535" spans="1:2" x14ac:dyDescent="0.2">
      <c r="A8535" s="12"/>
      <c r="B8535" s="13"/>
    </row>
    <row r="8536" spans="1:2" x14ac:dyDescent="0.2">
      <c r="A8536" s="12"/>
      <c r="B8536" s="13"/>
    </row>
    <row r="8537" spans="1:2" x14ac:dyDescent="0.2">
      <c r="A8537" s="12"/>
      <c r="B8537" s="13"/>
    </row>
    <row r="8538" spans="1:2" x14ac:dyDescent="0.2">
      <c r="A8538" s="12"/>
      <c r="B8538" s="13"/>
    </row>
    <row r="8539" spans="1:2" x14ac:dyDescent="0.2">
      <c r="A8539" s="12"/>
      <c r="B8539" s="13"/>
    </row>
    <row r="8540" spans="1:2" x14ac:dyDescent="0.2">
      <c r="A8540" s="12"/>
      <c r="B8540" s="13"/>
    </row>
    <row r="8541" spans="1:2" x14ac:dyDescent="0.2">
      <c r="A8541" s="12"/>
      <c r="B8541" s="13"/>
    </row>
    <row r="8542" spans="1:2" x14ac:dyDescent="0.2">
      <c r="A8542" s="12"/>
      <c r="B8542" s="13"/>
    </row>
    <row r="8543" spans="1:2" x14ac:dyDescent="0.2">
      <c r="A8543" s="12"/>
      <c r="B8543" s="13"/>
    </row>
    <row r="8544" spans="1:2" x14ac:dyDescent="0.2">
      <c r="A8544" s="12"/>
      <c r="B8544" s="13"/>
    </row>
    <row r="8545" spans="1:2" x14ac:dyDescent="0.2">
      <c r="A8545" s="12"/>
      <c r="B8545" s="13"/>
    </row>
    <row r="8546" spans="1:2" x14ac:dyDescent="0.2">
      <c r="A8546" s="12"/>
      <c r="B8546" s="13"/>
    </row>
    <row r="8547" spans="1:2" x14ac:dyDescent="0.2">
      <c r="A8547" s="12"/>
      <c r="B8547" s="13"/>
    </row>
    <row r="8548" spans="1:2" x14ac:dyDescent="0.2">
      <c r="A8548" s="12"/>
      <c r="B8548" s="13"/>
    </row>
    <row r="8549" spans="1:2" x14ac:dyDescent="0.2">
      <c r="A8549" s="12"/>
      <c r="B8549" s="13"/>
    </row>
    <row r="8550" spans="1:2" x14ac:dyDescent="0.2">
      <c r="A8550" s="12"/>
      <c r="B8550" s="13"/>
    </row>
    <row r="8551" spans="1:2" x14ac:dyDescent="0.2">
      <c r="A8551" s="12"/>
      <c r="B8551" s="13"/>
    </row>
    <row r="8552" spans="1:2" x14ac:dyDescent="0.2">
      <c r="A8552" s="12"/>
      <c r="B8552" s="13"/>
    </row>
    <row r="8553" spans="1:2" x14ac:dyDescent="0.2">
      <c r="A8553" s="12"/>
      <c r="B8553" s="13"/>
    </row>
    <row r="8554" spans="1:2" x14ac:dyDescent="0.2">
      <c r="A8554" s="12"/>
      <c r="B8554" s="13"/>
    </row>
    <row r="8555" spans="1:2" x14ac:dyDescent="0.2">
      <c r="A8555" s="12"/>
      <c r="B8555" s="13"/>
    </row>
    <row r="8556" spans="1:2" x14ac:dyDescent="0.2">
      <c r="A8556" s="12"/>
      <c r="B8556" s="13"/>
    </row>
    <row r="8557" spans="1:2" x14ac:dyDescent="0.2">
      <c r="A8557" s="12"/>
      <c r="B8557" s="13"/>
    </row>
    <row r="8558" spans="1:2" x14ac:dyDescent="0.2">
      <c r="A8558" s="12"/>
      <c r="B8558" s="13"/>
    </row>
    <row r="8559" spans="1:2" x14ac:dyDescent="0.2">
      <c r="A8559" s="12"/>
      <c r="B8559" s="13"/>
    </row>
    <row r="8560" spans="1:2" x14ac:dyDescent="0.2">
      <c r="A8560" s="12"/>
      <c r="B8560" s="13"/>
    </row>
    <row r="8561" spans="1:2" x14ac:dyDescent="0.2">
      <c r="A8561" s="12"/>
      <c r="B8561" s="13"/>
    </row>
    <row r="8562" spans="1:2" x14ac:dyDescent="0.2">
      <c r="A8562" s="12"/>
      <c r="B8562" s="13"/>
    </row>
    <row r="8563" spans="1:2" x14ac:dyDescent="0.2">
      <c r="A8563" s="12"/>
      <c r="B8563" s="13"/>
    </row>
    <row r="8564" spans="1:2" x14ac:dyDescent="0.2">
      <c r="A8564" s="12"/>
      <c r="B8564" s="13"/>
    </row>
    <row r="8565" spans="1:2" x14ac:dyDescent="0.2">
      <c r="A8565" s="12"/>
      <c r="B8565" s="13"/>
    </row>
    <row r="8566" spans="1:2" x14ac:dyDescent="0.2">
      <c r="A8566" s="12"/>
      <c r="B8566" s="13"/>
    </row>
    <row r="8567" spans="1:2" x14ac:dyDescent="0.2">
      <c r="A8567" s="12"/>
      <c r="B8567" s="13"/>
    </row>
    <row r="8568" spans="1:2" x14ac:dyDescent="0.2">
      <c r="A8568" s="12"/>
      <c r="B8568" s="13"/>
    </row>
    <row r="8569" spans="1:2" x14ac:dyDescent="0.2">
      <c r="A8569" s="12"/>
      <c r="B8569" s="13"/>
    </row>
    <row r="8570" spans="1:2" x14ac:dyDescent="0.2">
      <c r="A8570" s="12"/>
      <c r="B8570" s="13"/>
    </row>
    <row r="8571" spans="1:2" x14ac:dyDescent="0.2">
      <c r="A8571" s="12"/>
      <c r="B8571" s="13"/>
    </row>
    <row r="8572" spans="1:2" x14ac:dyDescent="0.2">
      <c r="A8572" s="12"/>
      <c r="B8572" s="13"/>
    </row>
    <row r="8573" spans="1:2" x14ac:dyDescent="0.2">
      <c r="A8573" s="12"/>
      <c r="B8573" s="13"/>
    </row>
    <row r="8574" spans="1:2" x14ac:dyDescent="0.2">
      <c r="A8574" s="12"/>
      <c r="B8574" s="13"/>
    </row>
    <row r="8575" spans="1:2" x14ac:dyDescent="0.2">
      <c r="A8575" s="12"/>
      <c r="B8575" s="13"/>
    </row>
    <row r="8576" spans="1:2" x14ac:dyDescent="0.2">
      <c r="A8576" s="12"/>
      <c r="B8576" s="13"/>
    </row>
    <row r="8577" spans="1:2" x14ac:dyDescent="0.2">
      <c r="A8577" s="12"/>
      <c r="B8577" s="13"/>
    </row>
    <row r="8578" spans="1:2" x14ac:dyDescent="0.2">
      <c r="A8578" s="12"/>
      <c r="B8578" s="13"/>
    </row>
    <row r="8579" spans="1:2" x14ac:dyDescent="0.2">
      <c r="A8579" s="12"/>
      <c r="B8579" s="13"/>
    </row>
    <row r="8580" spans="1:2" x14ac:dyDescent="0.2">
      <c r="A8580" s="12"/>
      <c r="B8580" s="13"/>
    </row>
    <row r="8581" spans="1:2" x14ac:dyDescent="0.2">
      <c r="A8581" s="12"/>
      <c r="B8581" s="13"/>
    </row>
    <row r="8582" spans="1:2" x14ac:dyDescent="0.2">
      <c r="A8582" s="12"/>
      <c r="B8582" s="13"/>
    </row>
    <row r="8583" spans="1:2" x14ac:dyDescent="0.2">
      <c r="A8583" s="12"/>
      <c r="B8583" s="13"/>
    </row>
    <row r="8584" spans="1:2" x14ac:dyDescent="0.2">
      <c r="A8584" s="12"/>
      <c r="B8584" s="13"/>
    </row>
    <row r="8585" spans="1:2" x14ac:dyDescent="0.2">
      <c r="A8585" s="12"/>
      <c r="B8585" s="13"/>
    </row>
    <row r="8586" spans="1:2" x14ac:dyDescent="0.2">
      <c r="A8586" s="12"/>
      <c r="B8586" s="13"/>
    </row>
    <row r="8587" spans="1:2" x14ac:dyDescent="0.2">
      <c r="A8587" s="12"/>
      <c r="B8587" s="13"/>
    </row>
    <row r="8588" spans="1:2" x14ac:dyDescent="0.2">
      <c r="A8588" s="12"/>
      <c r="B8588" s="13"/>
    </row>
    <row r="8589" spans="1:2" x14ac:dyDescent="0.2">
      <c r="A8589" s="12"/>
      <c r="B8589" s="13"/>
    </row>
    <row r="8590" spans="1:2" x14ac:dyDescent="0.2">
      <c r="A8590" s="12"/>
      <c r="B8590" s="13"/>
    </row>
    <row r="8591" spans="1:2" x14ac:dyDescent="0.2">
      <c r="A8591" s="12"/>
      <c r="B8591" s="13"/>
    </row>
    <row r="8592" spans="1:2" x14ac:dyDescent="0.2">
      <c r="A8592" s="12"/>
      <c r="B8592" s="13"/>
    </row>
    <row r="8593" spans="1:2" x14ac:dyDescent="0.2">
      <c r="A8593" s="12"/>
      <c r="B8593" s="13"/>
    </row>
    <row r="8594" spans="1:2" x14ac:dyDescent="0.2">
      <c r="A8594" s="12"/>
      <c r="B8594" s="13"/>
    </row>
    <row r="8595" spans="1:2" x14ac:dyDescent="0.2">
      <c r="A8595" s="12"/>
      <c r="B8595" s="13"/>
    </row>
    <row r="8596" spans="1:2" x14ac:dyDescent="0.2">
      <c r="A8596" s="12"/>
      <c r="B8596" s="13"/>
    </row>
    <row r="8597" spans="1:2" x14ac:dyDescent="0.2">
      <c r="A8597" s="12"/>
      <c r="B8597" s="13"/>
    </row>
    <row r="8598" spans="1:2" x14ac:dyDescent="0.2">
      <c r="A8598" s="12"/>
      <c r="B8598" s="13"/>
    </row>
    <row r="8599" spans="1:2" x14ac:dyDescent="0.2">
      <c r="A8599" s="12"/>
      <c r="B8599" s="13"/>
    </row>
    <row r="8600" spans="1:2" x14ac:dyDescent="0.2">
      <c r="A8600" s="12"/>
      <c r="B8600" s="13"/>
    </row>
    <row r="8601" spans="1:2" x14ac:dyDescent="0.2">
      <c r="A8601" s="12"/>
      <c r="B8601" s="13"/>
    </row>
    <row r="8602" spans="1:2" x14ac:dyDescent="0.2">
      <c r="A8602" s="12"/>
      <c r="B8602" s="13"/>
    </row>
    <row r="8603" spans="1:2" x14ac:dyDescent="0.2">
      <c r="A8603" s="12"/>
      <c r="B8603" s="13"/>
    </row>
    <row r="8604" spans="1:2" x14ac:dyDescent="0.2">
      <c r="A8604" s="12"/>
      <c r="B8604" s="13"/>
    </row>
    <row r="8605" spans="1:2" x14ac:dyDescent="0.2">
      <c r="A8605" s="12"/>
      <c r="B8605" s="13"/>
    </row>
    <row r="8606" spans="1:2" x14ac:dyDescent="0.2">
      <c r="A8606" s="12"/>
      <c r="B8606" s="13"/>
    </row>
    <row r="8607" spans="1:2" x14ac:dyDescent="0.2">
      <c r="A8607" s="12"/>
      <c r="B8607" s="13"/>
    </row>
    <row r="8608" spans="1:2" x14ac:dyDescent="0.2">
      <c r="A8608" s="12"/>
      <c r="B8608" s="13"/>
    </row>
    <row r="8609" spans="1:2" x14ac:dyDescent="0.2">
      <c r="A8609" s="12"/>
      <c r="B8609" s="13"/>
    </row>
    <row r="8610" spans="1:2" x14ac:dyDescent="0.2">
      <c r="A8610" s="12"/>
      <c r="B8610" s="13"/>
    </row>
    <row r="8611" spans="1:2" x14ac:dyDescent="0.2">
      <c r="A8611" s="12"/>
      <c r="B8611" s="13"/>
    </row>
    <row r="8612" spans="1:2" x14ac:dyDescent="0.2">
      <c r="A8612" s="12"/>
      <c r="B8612" s="13"/>
    </row>
    <row r="8613" spans="1:2" x14ac:dyDescent="0.2">
      <c r="A8613" s="12"/>
      <c r="B8613" s="13"/>
    </row>
    <row r="8614" spans="1:2" x14ac:dyDescent="0.2">
      <c r="A8614" s="12"/>
      <c r="B8614" s="13"/>
    </row>
    <row r="8615" spans="1:2" x14ac:dyDescent="0.2">
      <c r="A8615" s="12"/>
      <c r="B8615" s="13"/>
    </row>
    <row r="8616" spans="1:2" x14ac:dyDescent="0.2">
      <c r="A8616" s="12"/>
      <c r="B8616" s="13"/>
    </row>
    <row r="8617" spans="1:2" x14ac:dyDescent="0.2">
      <c r="A8617" s="12"/>
      <c r="B8617" s="13"/>
    </row>
    <row r="8618" spans="1:2" x14ac:dyDescent="0.2">
      <c r="A8618" s="12"/>
      <c r="B8618" s="13"/>
    </row>
    <row r="8619" spans="1:2" x14ac:dyDescent="0.2">
      <c r="A8619" s="12"/>
      <c r="B8619" s="13"/>
    </row>
    <row r="8620" spans="1:2" x14ac:dyDescent="0.2">
      <c r="A8620" s="12"/>
      <c r="B8620" s="13"/>
    </row>
    <row r="8621" spans="1:2" x14ac:dyDescent="0.2">
      <c r="A8621" s="12"/>
      <c r="B8621" s="13"/>
    </row>
    <row r="8622" spans="1:2" x14ac:dyDescent="0.2">
      <c r="A8622" s="12"/>
      <c r="B8622" s="13"/>
    </row>
    <row r="8623" spans="1:2" x14ac:dyDescent="0.2">
      <c r="A8623" s="12"/>
      <c r="B8623" s="13"/>
    </row>
    <row r="8624" spans="1:2" x14ac:dyDescent="0.2">
      <c r="A8624" s="12"/>
      <c r="B8624" s="13"/>
    </row>
    <row r="8625" spans="1:2" x14ac:dyDescent="0.2">
      <c r="A8625" s="12"/>
      <c r="B8625" s="13"/>
    </row>
    <row r="8626" spans="1:2" x14ac:dyDescent="0.2">
      <c r="A8626" s="12"/>
      <c r="B8626" s="13"/>
    </row>
    <row r="8627" spans="1:2" x14ac:dyDescent="0.2">
      <c r="A8627" s="12"/>
      <c r="B8627" s="13"/>
    </row>
    <row r="8628" spans="1:2" x14ac:dyDescent="0.2">
      <c r="A8628" s="12"/>
      <c r="B8628" s="13"/>
    </row>
    <row r="8629" spans="1:2" x14ac:dyDescent="0.2">
      <c r="A8629" s="12"/>
      <c r="B8629" s="13"/>
    </row>
    <row r="8630" spans="1:2" x14ac:dyDescent="0.2">
      <c r="A8630" s="12"/>
      <c r="B8630" s="13"/>
    </row>
    <row r="8631" spans="1:2" x14ac:dyDescent="0.2">
      <c r="A8631" s="12"/>
      <c r="B8631" s="13"/>
    </row>
    <row r="8632" spans="1:2" x14ac:dyDescent="0.2">
      <c r="A8632" s="12"/>
      <c r="B8632" s="13"/>
    </row>
    <row r="8633" spans="1:2" x14ac:dyDescent="0.2">
      <c r="A8633" s="12"/>
      <c r="B8633" s="13"/>
    </row>
    <row r="8634" spans="1:2" x14ac:dyDescent="0.2">
      <c r="A8634" s="12"/>
      <c r="B8634" s="13"/>
    </row>
    <row r="8635" spans="1:2" x14ac:dyDescent="0.2">
      <c r="A8635" s="12"/>
      <c r="B8635" s="13"/>
    </row>
    <row r="8636" spans="1:2" x14ac:dyDescent="0.2">
      <c r="A8636" s="12"/>
      <c r="B8636" s="13"/>
    </row>
    <row r="8637" spans="1:2" x14ac:dyDescent="0.2">
      <c r="A8637" s="12"/>
      <c r="B8637" s="13"/>
    </row>
    <row r="8638" spans="1:2" x14ac:dyDescent="0.2">
      <c r="A8638" s="12"/>
      <c r="B8638" s="13"/>
    </row>
    <row r="8639" spans="1:2" x14ac:dyDescent="0.2">
      <c r="A8639" s="12"/>
      <c r="B8639" s="13"/>
    </row>
    <row r="8640" spans="1:2" x14ac:dyDescent="0.2">
      <c r="A8640" s="12"/>
      <c r="B8640" s="13"/>
    </row>
    <row r="8641" spans="1:2" x14ac:dyDescent="0.2">
      <c r="A8641" s="12"/>
      <c r="B8641" s="13"/>
    </row>
    <row r="8642" spans="1:2" x14ac:dyDescent="0.2">
      <c r="A8642" s="12"/>
      <c r="B8642" s="13"/>
    </row>
    <row r="8643" spans="1:2" x14ac:dyDescent="0.2">
      <c r="A8643" s="12"/>
      <c r="B8643" s="13"/>
    </row>
    <row r="8644" spans="1:2" x14ac:dyDescent="0.2">
      <c r="A8644" s="12"/>
      <c r="B8644" s="13"/>
    </row>
    <row r="8645" spans="1:2" x14ac:dyDescent="0.2">
      <c r="A8645" s="12"/>
      <c r="B8645" s="13"/>
    </row>
    <row r="8646" spans="1:2" x14ac:dyDescent="0.2">
      <c r="A8646" s="12"/>
      <c r="B8646" s="13"/>
    </row>
    <row r="8647" spans="1:2" x14ac:dyDescent="0.2">
      <c r="A8647" s="12"/>
      <c r="B8647" s="13"/>
    </row>
    <row r="8648" spans="1:2" x14ac:dyDescent="0.2">
      <c r="A8648" s="12"/>
      <c r="B8648" s="13"/>
    </row>
    <row r="8649" spans="1:2" x14ac:dyDescent="0.2">
      <c r="A8649" s="12"/>
      <c r="B8649" s="13"/>
    </row>
    <row r="8650" spans="1:2" x14ac:dyDescent="0.2">
      <c r="A8650" s="12"/>
      <c r="B8650" s="13"/>
    </row>
    <row r="8651" spans="1:2" x14ac:dyDescent="0.2">
      <c r="A8651" s="12"/>
      <c r="B8651" s="13"/>
    </row>
    <row r="8652" spans="1:2" x14ac:dyDescent="0.2">
      <c r="A8652" s="12"/>
      <c r="B8652" s="13"/>
    </row>
    <row r="8653" spans="1:2" x14ac:dyDescent="0.2">
      <c r="A8653" s="12"/>
      <c r="B8653" s="13"/>
    </row>
    <row r="8654" spans="1:2" x14ac:dyDescent="0.2">
      <c r="A8654" s="12"/>
      <c r="B8654" s="13"/>
    </row>
    <row r="8655" spans="1:2" x14ac:dyDescent="0.2">
      <c r="A8655" s="12"/>
      <c r="B8655" s="13"/>
    </row>
    <row r="8656" spans="1:2" x14ac:dyDescent="0.2">
      <c r="A8656" s="12"/>
      <c r="B8656" s="13"/>
    </row>
    <row r="8657" spans="1:2" x14ac:dyDescent="0.2">
      <c r="A8657" s="12"/>
      <c r="B8657" s="13"/>
    </row>
    <row r="8658" spans="1:2" x14ac:dyDescent="0.2">
      <c r="A8658" s="12"/>
      <c r="B8658" s="13"/>
    </row>
    <row r="8659" spans="1:2" x14ac:dyDescent="0.2">
      <c r="A8659" s="12"/>
      <c r="B8659" s="13"/>
    </row>
    <row r="8660" spans="1:2" x14ac:dyDescent="0.2">
      <c r="A8660" s="12"/>
      <c r="B8660" s="13"/>
    </row>
    <row r="8661" spans="1:2" x14ac:dyDescent="0.2">
      <c r="A8661" s="12"/>
      <c r="B8661" s="13"/>
    </row>
    <row r="8662" spans="1:2" x14ac:dyDescent="0.2">
      <c r="A8662" s="12"/>
      <c r="B8662" s="13"/>
    </row>
    <row r="8663" spans="1:2" x14ac:dyDescent="0.2">
      <c r="A8663" s="12"/>
      <c r="B8663" s="13"/>
    </row>
    <row r="8664" spans="1:2" x14ac:dyDescent="0.2">
      <c r="A8664" s="12"/>
      <c r="B8664" s="13"/>
    </row>
    <row r="8665" spans="1:2" x14ac:dyDescent="0.2">
      <c r="A8665" s="12"/>
      <c r="B8665" s="13"/>
    </row>
    <row r="8666" spans="1:2" x14ac:dyDescent="0.2">
      <c r="A8666" s="12"/>
      <c r="B8666" s="13"/>
    </row>
    <row r="8667" spans="1:2" x14ac:dyDescent="0.2">
      <c r="A8667" s="12"/>
      <c r="B8667" s="13"/>
    </row>
    <row r="8668" spans="1:2" x14ac:dyDescent="0.2">
      <c r="A8668" s="12"/>
      <c r="B8668" s="13"/>
    </row>
    <row r="8669" spans="1:2" x14ac:dyDescent="0.2">
      <c r="A8669" s="12"/>
      <c r="B8669" s="13"/>
    </row>
    <row r="8670" spans="1:2" x14ac:dyDescent="0.2">
      <c r="A8670" s="12"/>
      <c r="B8670" s="13"/>
    </row>
    <row r="8671" spans="1:2" x14ac:dyDescent="0.2">
      <c r="A8671" s="12"/>
      <c r="B8671" s="13"/>
    </row>
    <row r="8672" spans="1:2" x14ac:dyDescent="0.2">
      <c r="A8672" s="12"/>
      <c r="B8672" s="13"/>
    </row>
    <row r="8673" spans="1:2" x14ac:dyDescent="0.2">
      <c r="A8673" s="12"/>
      <c r="B8673" s="13"/>
    </row>
    <row r="8674" spans="1:2" x14ac:dyDescent="0.2">
      <c r="A8674" s="12"/>
      <c r="B8674" s="13"/>
    </row>
    <row r="8675" spans="1:2" x14ac:dyDescent="0.2">
      <c r="A8675" s="12"/>
      <c r="B8675" s="13"/>
    </row>
    <row r="8676" spans="1:2" x14ac:dyDescent="0.2">
      <c r="A8676" s="12"/>
      <c r="B8676" s="13"/>
    </row>
    <row r="8677" spans="1:2" x14ac:dyDescent="0.2">
      <c r="A8677" s="12"/>
      <c r="B8677" s="13"/>
    </row>
    <row r="8678" spans="1:2" x14ac:dyDescent="0.2">
      <c r="A8678" s="12"/>
      <c r="B8678" s="13"/>
    </row>
    <row r="8679" spans="1:2" x14ac:dyDescent="0.2">
      <c r="A8679" s="12"/>
      <c r="B8679" s="13"/>
    </row>
    <row r="8680" spans="1:2" x14ac:dyDescent="0.2">
      <c r="A8680" s="12"/>
      <c r="B8680" s="13"/>
    </row>
    <row r="8681" spans="1:2" x14ac:dyDescent="0.2">
      <c r="A8681" s="12"/>
      <c r="B8681" s="13"/>
    </row>
    <row r="8682" spans="1:2" x14ac:dyDescent="0.2">
      <c r="A8682" s="12"/>
      <c r="B8682" s="13"/>
    </row>
    <row r="8683" spans="1:2" x14ac:dyDescent="0.2">
      <c r="A8683" s="12"/>
      <c r="B8683" s="13"/>
    </row>
    <row r="8684" spans="1:2" x14ac:dyDescent="0.2">
      <c r="A8684" s="12"/>
      <c r="B8684" s="13"/>
    </row>
    <row r="8685" spans="1:2" x14ac:dyDescent="0.2">
      <c r="A8685" s="12"/>
      <c r="B8685" s="13"/>
    </row>
    <row r="8686" spans="1:2" x14ac:dyDescent="0.2">
      <c r="A8686" s="12"/>
      <c r="B8686" s="13"/>
    </row>
    <row r="8687" spans="1:2" x14ac:dyDescent="0.2">
      <c r="A8687" s="12"/>
      <c r="B8687" s="13"/>
    </row>
    <row r="8688" spans="1:2" x14ac:dyDescent="0.2">
      <c r="A8688" s="12"/>
      <c r="B8688" s="13"/>
    </row>
    <row r="8689" spans="1:2" x14ac:dyDescent="0.2">
      <c r="A8689" s="12"/>
      <c r="B8689" s="13"/>
    </row>
    <row r="8690" spans="1:2" x14ac:dyDescent="0.2">
      <c r="A8690" s="12"/>
      <c r="B8690" s="13"/>
    </row>
    <row r="8691" spans="1:2" x14ac:dyDescent="0.2">
      <c r="A8691" s="12"/>
      <c r="B8691" s="13"/>
    </row>
    <row r="8692" spans="1:2" x14ac:dyDescent="0.2">
      <c r="A8692" s="12"/>
      <c r="B8692" s="13"/>
    </row>
    <row r="8693" spans="1:2" x14ac:dyDescent="0.2">
      <c r="A8693" s="12"/>
      <c r="B8693" s="13"/>
    </row>
    <row r="8694" spans="1:2" x14ac:dyDescent="0.2">
      <c r="A8694" s="12"/>
      <c r="B8694" s="13"/>
    </row>
    <row r="8695" spans="1:2" x14ac:dyDescent="0.2">
      <c r="A8695" s="12"/>
      <c r="B8695" s="13"/>
    </row>
    <row r="8696" spans="1:2" x14ac:dyDescent="0.2">
      <c r="A8696" s="12"/>
      <c r="B8696" s="13"/>
    </row>
    <row r="8697" spans="1:2" x14ac:dyDescent="0.2">
      <c r="A8697" s="12"/>
      <c r="B8697" s="13"/>
    </row>
    <row r="8698" spans="1:2" x14ac:dyDescent="0.2">
      <c r="A8698" s="12"/>
      <c r="B8698" s="13"/>
    </row>
    <row r="8699" spans="1:2" x14ac:dyDescent="0.2">
      <c r="A8699" s="12"/>
      <c r="B8699" s="13"/>
    </row>
    <row r="8700" spans="1:2" x14ac:dyDescent="0.2">
      <c r="A8700" s="12"/>
      <c r="B8700" s="13"/>
    </row>
    <row r="8701" spans="1:2" x14ac:dyDescent="0.2">
      <c r="A8701" s="12"/>
      <c r="B8701" s="13"/>
    </row>
    <row r="8702" spans="1:2" x14ac:dyDescent="0.2">
      <c r="A8702" s="12"/>
      <c r="B8702" s="13"/>
    </row>
    <row r="8703" spans="1:2" x14ac:dyDescent="0.2">
      <c r="A8703" s="12"/>
      <c r="B8703" s="13"/>
    </row>
    <row r="8704" spans="1:2" x14ac:dyDescent="0.2">
      <c r="A8704" s="12"/>
      <c r="B8704" s="13"/>
    </row>
    <row r="8705" spans="1:2" x14ac:dyDescent="0.2">
      <c r="A8705" s="12"/>
      <c r="B8705" s="13"/>
    </row>
    <row r="8706" spans="1:2" x14ac:dyDescent="0.2">
      <c r="A8706" s="12"/>
      <c r="B8706" s="13"/>
    </row>
    <row r="8707" spans="1:2" x14ac:dyDescent="0.2">
      <c r="A8707" s="12"/>
      <c r="B8707" s="13"/>
    </row>
    <row r="8708" spans="1:2" x14ac:dyDescent="0.2">
      <c r="A8708" s="12"/>
      <c r="B8708" s="13"/>
    </row>
    <row r="8709" spans="1:2" x14ac:dyDescent="0.2">
      <c r="A8709" s="12"/>
      <c r="B8709" s="13"/>
    </row>
    <row r="8710" spans="1:2" x14ac:dyDescent="0.2">
      <c r="A8710" s="12"/>
      <c r="B8710" s="13"/>
    </row>
    <row r="8711" spans="1:2" x14ac:dyDescent="0.2">
      <c r="A8711" s="12"/>
      <c r="B8711" s="13"/>
    </row>
    <row r="8712" spans="1:2" x14ac:dyDescent="0.2">
      <c r="A8712" s="12"/>
      <c r="B8712" s="13"/>
    </row>
    <row r="8713" spans="1:2" x14ac:dyDescent="0.2">
      <c r="A8713" s="12"/>
      <c r="B8713" s="13"/>
    </row>
    <row r="8714" spans="1:2" x14ac:dyDescent="0.2">
      <c r="A8714" s="12"/>
      <c r="B8714" s="13"/>
    </row>
    <row r="8715" spans="1:2" x14ac:dyDescent="0.2">
      <c r="A8715" s="12"/>
      <c r="B8715" s="13"/>
    </row>
    <row r="8716" spans="1:2" x14ac:dyDescent="0.2">
      <c r="A8716" s="12"/>
      <c r="B8716" s="13"/>
    </row>
    <row r="8717" spans="1:2" x14ac:dyDescent="0.2">
      <c r="A8717" s="12"/>
      <c r="B8717" s="13"/>
    </row>
    <row r="8718" spans="1:2" x14ac:dyDescent="0.2">
      <c r="A8718" s="12"/>
      <c r="B8718" s="13"/>
    </row>
    <row r="8719" spans="1:2" x14ac:dyDescent="0.2">
      <c r="A8719" s="12"/>
      <c r="B8719" s="13"/>
    </row>
    <row r="8720" spans="1:2" x14ac:dyDescent="0.2">
      <c r="A8720" s="12"/>
      <c r="B8720" s="13"/>
    </row>
    <row r="8721" spans="1:2" x14ac:dyDescent="0.2">
      <c r="A8721" s="12"/>
      <c r="B8721" s="13"/>
    </row>
    <row r="8722" spans="1:2" x14ac:dyDescent="0.2">
      <c r="A8722" s="12"/>
      <c r="B8722" s="13"/>
    </row>
    <row r="8723" spans="1:2" x14ac:dyDescent="0.2">
      <c r="A8723" s="12"/>
      <c r="B8723" s="13"/>
    </row>
    <row r="8724" spans="1:2" x14ac:dyDescent="0.2">
      <c r="A8724" s="12"/>
      <c r="B8724" s="13"/>
    </row>
    <row r="8725" spans="1:2" x14ac:dyDescent="0.2">
      <c r="A8725" s="12"/>
      <c r="B8725" s="13"/>
    </row>
    <row r="8726" spans="1:2" x14ac:dyDescent="0.2">
      <c r="A8726" s="12"/>
      <c r="B8726" s="13"/>
    </row>
    <row r="8727" spans="1:2" x14ac:dyDescent="0.2">
      <c r="A8727" s="12"/>
      <c r="B8727" s="13"/>
    </row>
    <row r="8728" spans="1:2" x14ac:dyDescent="0.2">
      <c r="A8728" s="12"/>
      <c r="B8728" s="13"/>
    </row>
    <row r="8729" spans="1:2" x14ac:dyDescent="0.2">
      <c r="A8729" s="12"/>
      <c r="B8729" s="13"/>
    </row>
    <row r="8730" spans="1:2" x14ac:dyDescent="0.2">
      <c r="A8730" s="12"/>
      <c r="B8730" s="13"/>
    </row>
    <row r="8731" spans="1:2" x14ac:dyDescent="0.2">
      <c r="A8731" s="12"/>
      <c r="B8731" s="13"/>
    </row>
    <row r="8732" spans="1:2" x14ac:dyDescent="0.2">
      <c r="A8732" s="12"/>
      <c r="B8732" s="13"/>
    </row>
    <row r="8733" spans="1:2" x14ac:dyDescent="0.2">
      <c r="A8733" s="12"/>
      <c r="B8733" s="13"/>
    </row>
    <row r="8734" spans="1:2" x14ac:dyDescent="0.2">
      <c r="A8734" s="12"/>
      <c r="B8734" s="13"/>
    </row>
    <row r="8735" spans="1:2" x14ac:dyDescent="0.2">
      <c r="A8735" s="12"/>
      <c r="B8735" s="13"/>
    </row>
    <row r="8736" spans="1:2" x14ac:dyDescent="0.2">
      <c r="A8736" s="12"/>
      <c r="B8736" s="13"/>
    </row>
    <row r="8737" spans="1:2" x14ac:dyDescent="0.2">
      <c r="A8737" s="12"/>
      <c r="B8737" s="13"/>
    </row>
    <row r="8738" spans="1:2" x14ac:dyDescent="0.2">
      <c r="A8738" s="12"/>
      <c r="B8738" s="13"/>
    </row>
    <row r="8739" spans="1:2" x14ac:dyDescent="0.2">
      <c r="A8739" s="12"/>
      <c r="B8739" s="13"/>
    </row>
    <row r="8740" spans="1:2" x14ac:dyDescent="0.2">
      <c r="A8740" s="12"/>
      <c r="B8740" s="13"/>
    </row>
    <row r="8741" spans="1:2" x14ac:dyDescent="0.2">
      <c r="A8741" s="12"/>
      <c r="B8741" s="13"/>
    </row>
    <row r="8742" spans="1:2" x14ac:dyDescent="0.2">
      <c r="A8742" s="12"/>
      <c r="B8742" s="13"/>
    </row>
    <row r="8743" spans="1:2" x14ac:dyDescent="0.2">
      <c r="A8743" s="12"/>
      <c r="B8743" s="13"/>
    </row>
    <row r="8744" spans="1:2" x14ac:dyDescent="0.2">
      <c r="A8744" s="12"/>
      <c r="B8744" s="13"/>
    </row>
    <row r="8745" spans="1:2" x14ac:dyDescent="0.2">
      <c r="A8745" s="12"/>
      <c r="B8745" s="13"/>
    </row>
    <row r="8746" spans="1:2" x14ac:dyDescent="0.2">
      <c r="A8746" s="12"/>
      <c r="B8746" s="13"/>
    </row>
    <row r="8747" spans="1:2" x14ac:dyDescent="0.2">
      <c r="A8747" s="12"/>
      <c r="B8747" s="13"/>
    </row>
    <row r="8748" spans="1:2" x14ac:dyDescent="0.2">
      <c r="A8748" s="12"/>
      <c r="B8748" s="13"/>
    </row>
    <row r="8749" spans="1:2" x14ac:dyDescent="0.2">
      <c r="A8749" s="12"/>
      <c r="B8749" s="13"/>
    </row>
    <row r="8750" spans="1:2" x14ac:dyDescent="0.2">
      <c r="A8750" s="12"/>
      <c r="B8750" s="13"/>
    </row>
    <row r="8751" spans="1:2" x14ac:dyDescent="0.2">
      <c r="A8751" s="12"/>
      <c r="B8751" s="13"/>
    </row>
    <row r="8752" spans="1:2" x14ac:dyDescent="0.2">
      <c r="A8752" s="12"/>
      <c r="B8752" s="13"/>
    </row>
    <row r="8753" spans="1:2" x14ac:dyDescent="0.2">
      <c r="A8753" s="12"/>
      <c r="B8753" s="13"/>
    </row>
    <row r="8754" spans="1:2" x14ac:dyDescent="0.2">
      <c r="A8754" s="12"/>
      <c r="B8754" s="13"/>
    </row>
    <row r="8755" spans="1:2" x14ac:dyDescent="0.2">
      <c r="A8755" s="12"/>
      <c r="B8755" s="13"/>
    </row>
    <row r="8756" spans="1:2" x14ac:dyDescent="0.2">
      <c r="A8756" s="12"/>
      <c r="B8756" s="13"/>
    </row>
    <row r="8757" spans="1:2" x14ac:dyDescent="0.2">
      <c r="A8757" s="12"/>
      <c r="B8757" s="13"/>
    </row>
    <row r="8758" spans="1:2" x14ac:dyDescent="0.2">
      <c r="A8758" s="12"/>
      <c r="B8758" s="13"/>
    </row>
    <row r="8759" spans="1:2" x14ac:dyDescent="0.2">
      <c r="A8759" s="12"/>
      <c r="B8759" s="13"/>
    </row>
    <row r="8760" spans="1:2" x14ac:dyDescent="0.2">
      <c r="A8760" s="12"/>
      <c r="B8760" s="13"/>
    </row>
    <row r="8761" spans="1:2" x14ac:dyDescent="0.2">
      <c r="A8761" s="12"/>
      <c r="B8761" s="13"/>
    </row>
    <row r="8762" spans="1:2" x14ac:dyDescent="0.2">
      <c r="A8762" s="12"/>
      <c r="B8762" s="13"/>
    </row>
    <row r="8763" spans="1:2" x14ac:dyDescent="0.2">
      <c r="A8763" s="12"/>
      <c r="B8763" s="13"/>
    </row>
    <row r="8764" spans="1:2" x14ac:dyDescent="0.2">
      <c r="A8764" s="12"/>
      <c r="B8764" s="13"/>
    </row>
    <row r="8765" spans="1:2" x14ac:dyDescent="0.2">
      <c r="A8765" s="12"/>
      <c r="B8765" s="13"/>
    </row>
    <row r="8766" spans="1:2" x14ac:dyDescent="0.2">
      <c r="A8766" s="12"/>
      <c r="B8766" s="13"/>
    </row>
    <row r="8767" spans="1:2" x14ac:dyDescent="0.2">
      <c r="A8767" s="12"/>
      <c r="B8767" s="13"/>
    </row>
    <row r="8768" spans="1:2" x14ac:dyDescent="0.2">
      <c r="A8768" s="12"/>
      <c r="B8768" s="13"/>
    </row>
    <row r="8769" spans="1:2" x14ac:dyDescent="0.2">
      <c r="A8769" s="12"/>
      <c r="B8769" s="13"/>
    </row>
    <row r="8770" spans="1:2" x14ac:dyDescent="0.2">
      <c r="A8770" s="12"/>
      <c r="B8770" s="13"/>
    </row>
    <row r="8771" spans="1:2" x14ac:dyDescent="0.2">
      <c r="A8771" s="12"/>
      <c r="B8771" s="13"/>
    </row>
    <row r="8772" spans="1:2" x14ac:dyDescent="0.2">
      <c r="A8772" s="12"/>
      <c r="B8772" s="13"/>
    </row>
    <row r="8773" spans="1:2" x14ac:dyDescent="0.2">
      <c r="A8773" s="12"/>
      <c r="B8773" s="13"/>
    </row>
    <row r="8774" spans="1:2" x14ac:dyDescent="0.2">
      <c r="A8774" s="12"/>
      <c r="B8774" s="13"/>
    </row>
    <row r="8775" spans="1:2" x14ac:dyDescent="0.2">
      <c r="A8775" s="12"/>
      <c r="B8775" s="13"/>
    </row>
    <row r="8776" spans="1:2" x14ac:dyDescent="0.2">
      <c r="A8776" s="12"/>
      <c r="B8776" s="13"/>
    </row>
    <row r="8777" spans="1:2" x14ac:dyDescent="0.2">
      <c r="A8777" s="12"/>
      <c r="B8777" s="13"/>
    </row>
    <row r="8778" spans="1:2" x14ac:dyDescent="0.2">
      <c r="A8778" s="12"/>
      <c r="B8778" s="13"/>
    </row>
    <row r="8779" spans="1:2" x14ac:dyDescent="0.2">
      <c r="A8779" s="12"/>
      <c r="B8779" s="13"/>
    </row>
    <row r="8780" spans="1:2" x14ac:dyDescent="0.2">
      <c r="A8780" s="12"/>
      <c r="B8780" s="13"/>
    </row>
    <row r="8781" spans="1:2" x14ac:dyDescent="0.2">
      <c r="A8781" s="12"/>
      <c r="B8781" s="13"/>
    </row>
    <row r="8782" spans="1:2" x14ac:dyDescent="0.2">
      <c r="A8782" s="12"/>
      <c r="B8782" s="13"/>
    </row>
    <row r="8783" spans="1:2" x14ac:dyDescent="0.2">
      <c r="A8783" s="12"/>
      <c r="B8783" s="13"/>
    </row>
    <row r="8784" spans="1:2" x14ac:dyDescent="0.2">
      <c r="A8784" s="12"/>
      <c r="B8784" s="13"/>
    </row>
    <row r="8785" spans="1:2" x14ac:dyDescent="0.2">
      <c r="A8785" s="12"/>
      <c r="B8785" s="13"/>
    </row>
    <row r="8786" spans="1:2" x14ac:dyDescent="0.2">
      <c r="A8786" s="12"/>
      <c r="B8786" s="13"/>
    </row>
    <row r="8787" spans="1:2" x14ac:dyDescent="0.2">
      <c r="A8787" s="12"/>
      <c r="B8787" s="13"/>
    </row>
    <row r="8788" spans="1:2" x14ac:dyDescent="0.2">
      <c r="A8788" s="12"/>
      <c r="B8788" s="13"/>
    </row>
    <row r="8789" spans="1:2" x14ac:dyDescent="0.2">
      <c r="A8789" s="12"/>
      <c r="B8789" s="13"/>
    </row>
    <row r="8790" spans="1:2" x14ac:dyDescent="0.2">
      <c r="A8790" s="12"/>
      <c r="B8790" s="13"/>
    </row>
    <row r="8791" spans="1:2" x14ac:dyDescent="0.2">
      <c r="A8791" s="12"/>
      <c r="B8791" s="13"/>
    </row>
    <row r="8792" spans="1:2" x14ac:dyDescent="0.2">
      <c r="A8792" s="12"/>
      <c r="B8792" s="13"/>
    </row>
    <row r="8793" spans="1:2" x14ac:dyDescent="0.2">
      <c r="A8793" s="12"/>
      <c r="B8793" s="13"/>
    </row>
    <row r="8794" spans="1:2" x14ac:dyDescent="0.2">
      <c r="A8794" s="12"/>
      <c r="B8794" s="13"/>
    </row>
    <row r="8795" spans="1:2" x14ac:dyDescent="0.2">
      <c r="A8795" s="12"/>
      <c r="B8795" s="13"/>
    </row>
    <row r="8796" spans="1:2" x14ac:dyDescent="0.2">
      <c r="A8796" s="12"/>
      <c r="B8796" s="13"/>
    </row>
    <row r="8797" spans="1:2" x14ac:dyDescent="0.2">
      <c r="A8797" s="12"/>
      <c r="B8797" s="13"/>
    </row>
    <row r="8798" spans="1:2" x14ac:dyDescent="0.2">
      <c r="A8798" s="12"/>
      <c r="B8798" s="13"/>
    </row>
    <row r="8799" spans="1:2" x14ac:dyDescent="0.2">
      <c r="A8799" s="12"/>
      <c r="B8799" s="13"/>
    </row>
    <row r="8800" spans="1:2" x14ac:dyDescent="0.2">
      <c r="A8800" s="12"/>
      <c r="B8800" s="13"/>
    </row>
    <row r="8801" spans="1:2" x14ac:dyDescent="0.2">
      <c r="A8801" s="12"/>
      <c r="B8801" s="13"/>
    </row>
    <row r="8802" spans="1:2" x14ac:dyDescent="0.2">
      <c r="A8802" s="12"/>
      <c r="B8802" s="13"/>
    </row>
    <row r="8803" spans="1:2" x14ac:dyDescent="0.2">
      <c r="A8803" s="12"/>
      <c r="B8803" s="13"/>
    </row>
    <row r="8804" spans="1:2" x14ac:dyDescent="0.2">
      <c r="A8804" s="12"/>
      <c r="B8804" s="13"/>
    </row>
    <row r="8805" spans="1:2" x14ac:dyDescent="0.2">
      <c r="A8805" s="12"/>
      <c r="B8805" s="13"/>
    </row>
    <row r="8806" spans="1:2" x14ac:dyDescent="0.2">
      <c r="A8806" s="12"/>
      <c r="B8806" s="13"/>
    </row>
    <row r="8807" spans="1:2" x14ac:dyDescent="0.2">
      <c r="A8807" s="12"/>
      <c r="B8807" s="13"/>
    </row>
    <row r="8808" spans="1:2" x14ac:dyDescent="0.2">
      <c r="A8808" s="12"/>
      <c r="B8808" s="13"/>
    </row>
    <row r="8809" spans="1:2" x14ac:dyDescent="0.2">
      <c r="A8809" s="12"/>
      <c r="B8809" s="13"/>
    </row>
    <row r="8810" spans="1:2" x14ac:dyDescent="0.2">
      <c r="A8810" s="12"/>
      <c r="B8810" s="13"/>
    </row>
    <row r="8811" spans="1:2" x14ac:dyDescent="0.2">
      <c r="A8811" s="12"/>
      <c r="B8811" s="13"/>
    </row>
    <row r="8812" spans="1:2" x14ac:dyDescent="0.2">
      <c r="A8812" s="12"/>
      <c r="B8812" s="13"/>
    </row>
    <row r="8813" spans="1:2" x14ac:dyDescent="0.2">
      <c r="A8813" s="12"/>
      <c r="B8813" s="13"/>
    </row>
    <row r="8814" spans="1:2" x14ac:dyDescent="0.2">
      <c r="A8814" s="12"/>
      <c r="B8814" s="13"/>
    </row>
    <row r="8815" spans="1:2" x14ac:dyDescent="0.2">
      <c r="A8815" s="12"/>
      <c r="B8815" s="13"/>
    </row>
    <row r="8816" spans="1:2" x14ac:dyDescent="0.2">
      <c r="A8816" s="12"/>
      <c r="B8816" s="13"/>
    </row>
    <row r="8817" spans="1:2" x14ac:dyDescent="0.2">
      <c r="A8817" s="12"/>
      <c r="B8817" s="13"/>
    </row>
    <row r="8818" spans="1:2" x14ac:dyDescent="0.2">
      <c r="A8818" s="12"/>
      <c r="B8818" s="13"/>
    </row>
    <row r="8819" spans="1:2" x14ac:dyDescent="0.2">
      <c r="A8819" s="12"/>
      <c r="B8819" s="13"/>
    </row>
    <row r="8820" spans="1:2" x14ac:dyDescent="0.2">
      <c r="A8820" s="12"/>
      <c r="B8820" s="13"/>
    </row>
    <row r="8821" spans="1:2" x14ac:dyDescent="0.2">
      <c r="A8821" s="12"/>
      <c r="B8821" s="13"/>
    </row>
    <row r="8822" spans="1:2" x14ac:dyDescent="0.2">
      <c r="A8822" s="12"/>
      <c r="B8822" s="13"/>
    </row>
    <row r="8823" spans="1:2" x14ac:dyDescent="0.2">
      <c r="A8823" s="12"/>
      <c r="B8823" s="13"/>
    </row>
    <row r="8824" spans="1:2" x14ac:dyDescent="0.2">
      <c r="A8824" s="12"/>
      <c r="B8824" s="13"/>
    </row>
    <row r="8825" spans="1:2" x14ac:dyDescent="0.2">
      <c r="A8825" s="12"/>
      <c r="B8825" s="13"/>
    </row>
    <row r="8826" spans="1:2" x14ac:dyDescent="0.2">
      <c r="A8826" s="12"/>
      <c r="B8826" s="13"/>
    </row>
    <row r="8827" spans="1:2" x14ac:dyDescent="0.2">
      <c r="A8827" s="12"/>
      <c r="B8827" s="13"/>
    </row>
    <row r="8828" spans="1:2" x14ac:dyDescent="0.2">
      <c r="A8828" s="12"/>
      <c r="B8828" s="13"/>
    </row>
    <row r="8829" spans="1:2" x14ac:dyDescent="0.2">
      <c r="A8829" s="12"/>
      <c r="B8829" s="13"/>
    </row>
    <row r="8830" spans="1:2" x14ac:dyDescent="0.2">
      <c r="A8830" s="12"/>
      <c r="B8830" s="13"/>
    </row>
    <row r="8831" spans="1:2" x14ac:dyDescent="0.2">
      <c r="A8831" s="12"/>
      <c r="B8831" s="13"/>
    </row>
    <row r="8832" spans="1:2" x14ac:dyDescent="0.2">
      <c r="A8832" s="12"/>
      <c r="B8832" s="13"/>
    </row>
    <row r="8833" spans="1:2" x14ac:dyDescent="0.2">
      <c r="A8833" s="12"/>
      <c r="B8833" s="13"/>
    </row>
    <row r="8834" spans="1:2" x14ac:dyDescent="0.2">
      <c r="A8834" s="12"/>
      <c r="B8834" s="13"/>
    </row>
    <row r="8835" spans="1:2" x14ac:dyDescent="0.2">
      <c r="A8835" s="12"/>
      <c r="B8835" s="13"/>
    </row>
    <row r="8836" spans="1:2" x14ac:dyDescent="0.2">
      <c r="A8836" s="12"/>
      <c r="B8836" s="13"/>
    </row>
    <row r="8837" spans="1:2" x14ac:dyDescent="0.2">
      <c r="A8837" s="12"/>
      <c r="B8837" s="13"/>
    </row>
    <row r="8838" spans="1:2" x14ac:dyDescent="0.2">
      <c r="A8838" s="12"/>
      <c r="B8838" s="13"/>
    </row>
    <row r="8839" spans="1:2" x14ac:dyDescent="0.2">
      <c r="A8839" s="12"/>
      <c r="B8839" s="13"/>
    </row>
    <row r="8840" spans="1:2" x14ac:dyDescent="0.2">
      <c r="A8840" s="12"/>
      <c r="B8840" s="13"/>
    </row>
    <row r="8841" spans="1:2" x14ac:dyDescent="0.2">
      <c r="A8841" s="12"/>
      <c r="B8841" s="13"/>
    </row>
    <row r="8842" spans="1:2" x14ac:dyDescent="0.2">
      <c r="A8842" s="12"/>
      <c r="B8842" s="13"/>
    </row>
    <row r="8843" spans="1:2" x14ac:dyDescent="0.2">
      <c r="A8843" s="12"/>
      <c r="B8843" s="13"/>
    </row>
    <row r="8844" spans="1:2" x14ac:dyDescent="0.2">
      <c r="A8844" s="12"/>
      <c r="B8844" s="13"/>
    </row>
    <row r="8845" spans="1:2" x14ac:dyDescent="0.2">
      <c r="A8845" s="12"/>
      <c r="B8845" s="13"/>
    </row>
    <row r="8846" spans="1:2" x14ac:dyDescent="0.2">
      <c r="A8846" s="12"/>
      <c r="B8846" s="13"/>
    </row>
    <row r="8847" spans="1:2" x14ac:dyDescent="0.2">
      <c r="A8847" s="12"/>
      <c r="B8847" s="13"/>
    </row>
    <row r="8848" spans="1:2" x14ac:dyDescent="0.2">
      <c r="A8848" s="12"/>
      <c r="B8848" s="13"/>
    </row>
    <row r="8849" spans="1:2" x14ac:dyDescent="0.2">
      <c r="A8849" s="12"/>
      <c r="B8849" s="13"/>
    </row>
    <row r="8850" spans="1:2" x14ac:dyDescent="0.2">
      <c r="A8850" s="12"/>
      <c r="B8850" s="13"/>
    </row>
    <row r="8851" spans="1:2" x14ac:dyDescent="0.2">
      <c r="A8851" s="12"/>
      <c r="B8851" s="13"/>
    </row>
    <row r="8852" spans="1:2" x14ac:dyDescent="0.2">
      <c r="A8852" s="12"/>
      <c r="B8852" s="13"/>
    </row>
    <row r="8853" spans="1:2" x14ac:dyDescent="0.2">
      <c r="A8853" s="12"/>
      <c r="B8853" s="13"/>
    </row>
    <row r="8854" spans="1:2" x14ac:dyDescent="0.2">
      <c r="A8854" s="12"/>
      <c r="B8854" s="13"/>
    </row>
    <row r="8855" spans="1:2" x14ac:dyDescent="0.2">
      <c r="A8855" s="12"/>
      <c r="B8855" s="13"/>
    </row>
    <row r="8856" spans="1:2" x14ac:dyDescent="0.2">
      <c r="A8856" s="12"/>
      <c r="B8856" s="13"/>
    </row>
    <row r="8857" spans="1:2" x14ac:dyDescent="0.2">
      <c r="A8857" s="12"/>
      <c r="B8857" s="13"/>
    </row>
    <row r="8858" spans="1:2" x14ac:dyDescent="0.2">
      <c r="A8858" s="12"/>
      <c r="B8858" s="13"/>
    </row>
    <row r="8859" spans="1:2" x14ac:dyDescent="0.2">
      <c r="A8859" s="12"/>
      <c r="B8859" s="13"/>
    </row>
    <row r="8860" spans="1:2" x14ac:dyDescent="0.2">
      <c r="A8860" s="12"/>
      <c r="B8860" s="13"/>
    </row>
    <row r="8861" spans="1:2" x14ac:dyDescent="0.2">
      <c r="A8861" s="12"/>
      <c r="B8861" s="13"/>
    </row>
    <row r="8862" spans="1:2" x14ac:dyDescent="0.2">
      <c r="A8862" s="12"/>
      <c r="B8862" s="13"/>
    </row>
    <row r="8863" spans="1:2" x14ac:dyDescent="0.2">
      <c r="A8863" s="12"/>
      <c r="B8863" s="13"/>
    </row>
    <row r="8864" spans="1:2" x14ac:dyDescent="0.2">
      <c r="A8864" s="12"/>
      <c r="B8864" s="13"/>
    </row>
    <row r="8865" spans="1:2" x14ac:dyDescent="0.2">
      <c r="A8865" s="12"/>
      <c r="B8865" s="13"/>
    </row>
    <row r="8866" spans="1:2" x14ac:dyDescent="0.2">
      <c r="A8866" s="12"/>
      <c r="B8866" s="13"/>
    </row>
    <row r="8867" spans="1:2" x14ac:dyDescent="0.2">
      <c r="A8867" s="12"/>
      <c r="B8867" s="13"/>
    </row>
    <row r="8868" spans="1:2" x14ac:dyDescent="0.2">
      <c r="A8868" s="12"/>
      <c r="B8868" s="13"/>
    </row>
    <row r="8869" spans="1:2" x14ac:dyDescent="0.2">
      <c r="A8869" s="12"/>
      <c r="B8869" s="13"/>
    </row>
    <row r="8870" spans="1:2" x14ac:dyDescent="0.2">
      <c r="A8870" s="12"/>
      <c r="B8870" s="13"/>
    </row>
    <row r="8871" spans="1:2" x14ac:dyDescent="0.2">
      <c r="A8871" s="12"/>
      <c r="B8871" s="13"/>
    </row>
    <row r="8872" spans="1:2" x14ac:dyDescent="0.2">
      <c r="A8872" s="12"/>
      <c r="B8872" s="13"/>
    </row>
    <row r="8873" spans="1:2" x14ac:dyDescent="0.2">
      <c r="A8873" s="12"/>
      <c r="B8873" s="13"/>
    </row>
    <row r="8874" spans="1:2" x14ac:dyDescent="0.2">
      <c r="A8874" s="12"/>
      <c r="B8874" s="13"/>
    </row>
    <row r="8875" spans="1:2" x14ac:dyDescent="0.2">
      <c r="A8875" s="12"/>
      <c r="B8875" s="13"/>
    </row>
    <row r="8876" spans="1:2" x14ac:dyDescent="0.2">
      <c r="A8876" s="12"/>
      <c r="B8876" s="13"/>
    </row>
    <row r="8877" spans="1:2" x14ac:dyDescent="0.2">
      <c r="A8877" s="12"/>
      <c r="B8877" s="13"/>
    </row>
    <row r="8878" spans="1:2" x14ac:dyDescent="0.2">
      <c r="A8878" s="12"/>
      <c r="B8878" s="13"/>
    </row>
    <row r="8879" spans="1:2" x14ac:dyDescent="0.2">
      <c r="A8879" s="12"/>
      <c r="B8879" s="13"/>
    </row>
    <row r="8880" spans="1:2" x14ac:dyDescent="0.2">
      <c r="A8880" s="12"/>
      <c r="B8880" s="13"/>
    </row>
    <row r="8881" spans="1:2" x14ac:dyDescent="0.2">
      <c r="A8881" s="12"/>
      <c r="B8881" s="13"/>
    </row>
    <row r="8882" spans="1:2" x14ac:dyDescent="0.2">
      <c r="A8882" s="12"/>
      <c r="B8882" s="13"/>
    </row>
    <row r="8883" spans="1:2" x14ac:dyDescent="0.2">
      <c r="A8883" s="12"/>
      <c r="B8883" s="13"/>
    </row>
    <row r="8884" spans="1:2" x14ac:dyDescent="0.2">
      <c r="A8884" s="12"/>
      <c r="B8884" s="13"/>
    </row>
    <row r="8885" spans="1:2" x14ac:dyDescent="0.2">
      <c r="A8885" s="12"/>
      <c r="B8885" s="13"/>
    </row>
    <row r="8886" spans="1:2" x14ac:dyDescent="0.2">
      <c r="A8886" s="12"/>
      <c r="B8886" s="13"/>
    </row>
    <row r="8887" spans="1:2" x14ac:dyDescent="0.2">
      <c r="A8887" s="12"/>
      <c r="B8887" s="13"/>
    </row>
    <row r="8888" spans="1:2" x14ac:dyDescent="0.2">
      <c r="A8888" s="12"/>
      <c r="B8888" s="13"/>
    </row>
    <row r="8889" spans="1:2" x14ac:dyDescent="0.2">
      <c r="A8889" s="12"/>
      <c r="B8889" s="13"/>
    </row>
    <row r="8890" spans="1:2" x14ac:dyDescent="0.2">
      <c r="A8890" s="12"/>
      <c r="B8890" s="13"/>
    </row>
    <row r="8891" spans="1:2" x14ac:dyDescent="0.2">
      <c r="A8891" s="12"/>
      <c r="B8891" s="13"/>
    </row>
    <row r="8892" spans="1:2" x14ac:dyDescent="0.2">
      <c r="A8892" s="12"/>
      <c r="B8892" s="13"/>
    </row>
    <row r="8893" spans="1:2" x14ac:dyDescent="0.2">
      <c r="A8893" s="12"/>
      <c r="B8893" s="13"/>
    </row>
    <row r="8894" spans="1:2" x14ac:dyDescent="0.2">
      <c r="A8894" s="12"/>
      <c r="B8894" s="13"/>
    </row>
    <row r="8895" spans="1:2" x14ac:dyDescent="0.2">
      <c r="A8895" s="12"/>
      <c r="B8895" s="13"/>
    </row>
    <row r="8896" spans="1:2" x14ac:dyDescent="0.2">
      <c r="A8896" s="12"/>
      <c r="B8896" s="13"/>
    </row>
    <row r="8897" spans="1:2" x14ac:dyDescent="0.2">
      <c r="A8897" s="12"/>
      <c r="B8897" s="13"/>
    </row>
    <row r="8898" spans="1:2" x14ac:dyDescent="0.2">
      <c r="A8898" s="12"/>
      <c r="B8898" s="13"/>
    </row>
    <row r="8899" spans="1:2" x14ac:dyDescent="0.2">
      <c r="A8899" s="12"/>
      <c r="B8899" s="13"/>
    </row>
    <row r="8900" spans="1:2" x14ac:dyDescent="0.2">
      <c r="A8900" s="12"/>
      <c r="B8900" s="13"/>
    </row>
    <row r="8901" spans="1:2" x14ac:dyDescent="0.2">
      <c r="A8901" s="12"/>
      <c r="B8901" s="13"/>
    </row>
    <row r="8902" spans="1:2" x14ac:dyDescent="0.2">
      <c r="A8902" s="12"/>
      <c r="B8902" s="13"/>
    </row>
    <row r="8903" spans="1:2" x14ac:dyDescent="0.2">
      <c r="A8903" s="12"/>
      <c r="B8903" s="13"/>
    </row>
    <row r="8904" spans="1:2" x14ac:dyDescent="0.2">
      <c r="A8904" s="12"/>
      <c r="B8904" s="13"/>
    </row>
    <row r="8905" spans="1:2" x14ac:dyDescent="0.2">
      <c r="A8905" s="12"/>
      <c r="B8905" s="13"/>
    </row>
    <row r="8906" spans="1:2" x14ac:dyDescent="0.2">
      <c r="A8906" s="12"/>
      <c r="B8906" s="13"/>
    </row>
    <row r="8907" spans="1:2" x14ac:dyDescent="0.2">
      <c r="A8907" s="12"/>
      <c r="B8907" s="13"/>
    </row>
    <row r="8908" spans="1:2" x14ac:dyDescent="0.2">
      <c r="A8908" s="12"/>
      <c r="B8908" s="13"/>
    </row>
    <row r="8909" spans="1:2" x14ac:dyDescent="0.2">
      <c r="A8909" s="12"/>
      <c r="B8909" s="13"/>
    </row>
    <row r="8910" spans="1:2" x14ac:dyDescent="0.2">
      <c r="A8910" s="12"/>
      <c r="B8910" s="13"/>
    </row>
    <row r="8911" spans="1:2" x14ac:dyDescent="0.2">
      <c r="A8911" s="12"/>
      <c r="B8911" s="13"/>
    </row>
    <row r="8912" spans="1:2" x14ac:dyDescent="0.2">
      <c r="A8912" s="12"/>
      <c r="B8912" s="13"/>
    </row>
    <row r="8913" spans="1:2" x14ac:dyDescent="0.2">
      <c r="A8913" s="12"/>
      <c r="B8913" s="13"/>
    </row>
    <row r="8914" spans="1:2" x14ac:dyDescent="0.2">
      <c r="A8914" s="12"/>
      <c r="B8914" s="13"/>
    </row>
    <row r="8915" spans="1:2" x14ac:dyDescent="0.2">
      <c r="A8915" s="12"/>
      <c r="B8915" s="13"/>
    </row>
    <row r="8916" spans="1:2" x14ac:dyDescent="0.2">
      <c r="A8916" s="12"/>
      <c r="B8916" s="13"/>
    </row>
    <row r="8917" spans="1:2" x14ac:dyDescent="0.2">
      <c r="A8917" s="12"/>
      <c r="B8917" s="13"/>
    </row>
    <row r="8918" spans="1:2" x14ac:dyDescent="0.2">
      <c r="A8918" s="12"/>
      <c r="B8918" s="13"/>
    </row>
    <row r="8919" spans="1:2" x14ac:dyDescent="0.2">
      <c r="A8919" s="12"/>
      <c r="B8919" s="13"/>
    </row>
    <row r="8920" spans="1:2" x14ac:dyDescent="0.2">
      <c r="A8920" s="12"/>
      <c r="B8920" s="13"/>
    </row>
    <row r="8921" spans="1:2" x14ac:dyDescent="0.2">
      <c r="A8921" s="12"/>
      <c r="B8921" s="13"/>
    </row>
    <row r="8922" spans="1:2" x14ac:dyDescent="0.2">
      <c r="A8922" s="12"/>
      <c r="B8922" s="13"/>
    </row>
    <row r="8923" spans="1:2" x14ac:dyDescent="0.2">
      <c r="A8923" s="12"/>
      <c r="B8923" s="13"/>
    </row>
    <row r="8924" spans="1:2" x14ac:dyDescent="0.2">
      <c r="A8924" s="12"/>
      <c r="B8924" s="13"/>
    </row>
    <row r="8925" spans="1:2" x14ac:dyDescent="0.2">
      <c r="A8925" s="12"/>
      <c r="B8925" s="13"/>
    </row>
    <row r="8926" spans="1:2" x14ac:dyDescent="0.2">
      <c r="A8926" s="12"/>
      <c r="B8926" s="13"/>
    </row>
    <row r="8927" spans="1:2" x14ac:dyDescent="0.2">
      <c r="A8927" s="12"/>
      <c r="B8927" s="13"/>
    </row>
    <row r="8928" spans="1:2" x14ac:dyDescent="0.2">
      <c r="A8928" s="12"/>
      <c r="B8928" s="13"/>
    </row>
    <row r="8929" spans="1:2" x14ac:dyDescent="0.2">
      <c r="A8929" s="12"/>
      <c r="B8929" s="13"/>
    </row>
    <row r="8930" spans="1:2" x14ac:dyDescent="0.2">
      <c r="A8930" s="12"/>
      <c r="B8930" s="13"/>
    </row>
    <row r="8931" spans="1:2" x14ac:dyDescent="0.2">
      <c r="A8931" s="12"/>
      <c r="B8931" s="13"/>
    </row>
    <row r="8932" spans="1:2" x14ac:dyDescent="0.2">
      <c r="A8932" s="12"/>
      <c r="B8932" s="13"/>
    </row>
    <row r="8933" spans="1:2" x14ac:dyDescent="0.2">
      <c r="A8933" s="12"/>
      <c r="B8933" s="13"/>
    </row>
    <row r="8934" spans="1:2" x14ac:dyDescent="0.2">
      <c r="A8934" s="12"/>
      <c r="B8934" s="13"/>
    </row>
    <row r="8935" spans="1:2" x14ac:dyDescent="0.2">
      <c r="A8935" s="12"/>
      <c r="B8935" s="13"/>
    </row>
    <row r="8936" spans="1:2" x14ac:dyDescent="0.2">
      <c r="A8936" s="12"/>
      <c r="B8936" s="13"/>
    </row>
    <row r="8937" spans="1:2" x14ac:dyDescent="0.2">
      <c r="A8937" s="12"/>
      <c r="B8937" s="13"/>
    </row>
    <row r="8938" spans="1:2" x14ac:dyDescent="0.2">
      <c r="A8938" s="12"/>
      <c r="B8938" s="13"/>
    </row>
    <row r="8939" spans="1:2" x14ac:dyDescent="0.2">
      <c r="A8939" s="12"/>
      <c r="B8939" s="13"/>
    </row>
    <row r="8940" spans="1:2" x14ac:dyDescent="0.2">
      <c r="A8940" s="12"/>
      <c r="B8940" s="13"/>
    </row>
    <row r="8941" spans="1:2" x14ac:dyDescent="0.2">
      <c r="A8941" s="12"/>
      <c r="B8941" s="13"/>
    </row>
    <row r="8942" spans="1:2" x14ac:dyDescent="0.2">
      <c r="A8942" s="12"/>
      <c r="B8942" s="13"/>
    </row>
    <row r="8943" spans="1:2" x14ac:dyDescent="0.2">
      <c r="A8943" s="12"/>
      <c r="B8943" s="13"/>
    </row>
    <row r="8944" spans="1:2" x14ac:dyDescent="0.2">
      <c r="A8944" s="12"/>
      <c r="B8944" s="13"/>
    </row>
    <row r="8945" spans="1:2" x14ac:dyDescent="0.2">
      <c r="A8945" s="12"/>
      <c r="B8945" s="13"/>
    </row>
    <row r="8946" spans="1:2" x14ac:dyDescent="0.2">
      <c r="A8946" s="12"/>
      <c r="B8946" s="13"/>
    </row>
    <row r="8947" spans="1:2" x14ac:dyDescent="0.2">
      <c r="A8947" s="12"/>
      <c r="B8947" s="13"/>
    </row>
    <row r="8948" spans="1:2" x14ac:dyDescent="0.2">
      <c r="A8948" s="12"/>
      <c r="B8948" s="13"/>
    </row>
    <row r="8949" spans="1:2" x14ac:dyDescent="0.2">
      <c r="A8949" s="12"/>
      <c r="B8949" s="13"/>
    </row>
    <row r="8950" spans="1:2" x14ac:dyDescent="0.2">
      <c r="A8950" s="12"/>
      <c r="B8950" s="13"/>
    </row>
    <row r="8951" spans="1:2" x14ac:dyDescent="0.2">
      <c r="A8951" s="12"/>
      <c r="B8951" s="13"/>
    </row>
    <row r="8952" spans="1:2" x14ac:dyDescent="0.2">
      <c r="A8952" s="12"/>
      <c r="B8952" s="13"/>
    </row>
    <row r="8953" spans="1:2" x14ac:dyDescent="0.2">
      <c r="A8953" s="12"/>
      <c r="B8953" s="13"/>
    </row>
    <row r="8954" spans="1:2" x14ac:dyDescent="0.2">
      <c r="A8954" s="12"/>
      <c r="B8954" s="13"/>
    </row>
    <row r="8955" spans="1:2" x14ac:dyDescent="0.2">
      <c r="A8955" s="12"/>
      <c r="B8955" s="13"/>
    </row>
    <row r="8956" spans="1:2" x14ac:dyDescent="0.2">
      <c r="A8956" s="12"/>
      <c r="B8956" s="13"/>
    </row>
    <row r="8957" spans="1:2" x14ac:dyDescent="0.2">
      <c r="A8957" s="12"/>
      <c r="B8957" s="13"/>
    </row>
    <row r="8958" spans="1:2" x14ac:dyDescent="0.2">
      <c r="A8958" s="12"/>
      <c r="B8958" s="13"/>
    </row>
    <row r="8959" spans="1:2" x14ac:dyDescent="0.2">
      <c r="A8959" s="12"/>
      <c r="B8959" s="13"/>
    </row>
    <row r="8960" spans="1:2" x14ac:dyDescent="0.2">
      <c r="A8960" s="12"/>
      <c r="B8960" s="13"/>
    </row>
    <row r="8961" spans="1:2" x14ac:dyDescent="0.2">
      <c r="A8961" s="12"/>
      <c r="B8961" s="13"/>
    </row>
    <row r="8962" spans="1:2" x14ac:dyDescent="0.2">
      <c r="A8962" s="12"/>
      <c r="B8962" s="13"/>
    </row>
    <row r="8963" spans="1:2" x14ac:dyDescent="0.2">
      <c r="A8963" s="12"/>
      <c r="B8963" s="13"/>
    </row>
    <row r="8964" spans="1:2" x14ac:dyDescent="0.2">
      <c r="A8964" s="12"/>
      <c r="B8964" s="13"/>
    </row>
    <row r="8965" spans="1:2" x14ac:dyDescent="0.2">
      <c r="A8965" s="12"/>
      <c r="B8965" s="13"/>
    </row>
    <row r="8966" spans="1:2" x14ac:dyDescent="0.2">
      <c r="A8966" s="12"/>
      <c r="B8966" s="13"/>
    </row>
    <row r="8967" spans="1:2" x14ac:dyDescent="0.2">
      <c r="A8967" s="12"/>
      <c r="B8967" s="13"/>
    </row>
    <row r="8968" spans="1:2" x14ac:dyDescent="0.2">
      <c r="A8968" s="12"/>
      <c r="B8968" s="13"/>
    </row>
    <row r="8969" spans="1:2" x14ac:dyDescent="0.2">
      <c r="A8969" s="12"/>
      <c r="B8969" s="13"/>
    </row>
    <row r="8970" spans="1:2" x14ac:dyDescent="0.2">
      <c r="A8970" s="12"/>
      <c r="B8970" s="13"/>
    </row>
    <row r="8971" spans="1:2" x14ac:dyDescent="0.2">
      <c r="A8971" s="12"/>
      <c r="B8971" s="13"/>
    </row>
    <row r="8972" spans="1:2" x14ac:dyDescent="0.2">
      <c r="A8972" s="12"/>
      <c r="B8972" s="13"/>
    </row>
    <row r="8973" spans="1:2" x14ac:dyDescent="0.2">
      <c r="A8973" s="12"/>
      <c r="B8973" s="13"/>
    </row>
    <row r="8974" spans="1:2" x14ac:dyDescent="0.2">
      <c r="A8974" s="12"/>
      <c r="B8974" s="13"/>
    </row>
    <row r="8975" spans="1:2" x14ac:dyDescent="0.2">
      <c r="A8975" s="12"/>
      <c r="B8975" s="13"/>
    </row>
    <row r="8976" spans="1:2" x14ac:dyDescent="0.2">
      <c r="A8976" s="12"/>
      <c r="B8976" s="13"/>
    </row>
    <row r="8977" spans="1:2" x14ac:dyDescent="0.2">
      <c r="A8977" s="12"/>
      <c r="B8977" s="13"/>
    </row>
    <row r="8978" spans="1:2" x14ac:dyDescent="0.2">
      <c r="A8978" s="12"/>
      <c r="B8978" s="13"/>
    </row>
    <row r="8979" spans="1:2" x14ac:dyDescent="0.2">
      <c r="A8979" s="12"/>
      <c r="B8979" s="13"/>
    </row>
    <row r="8980" spans="1:2" x14ac:dyDescent="0.2">
      <c r="A8980" s="12"/>
      <c r="B8980" s="13"/>
    </row>
    <row r="8981" spans="1:2" x14ac:dyDescent="0.2">
      <c r="A8981" s="12"/>
      <c r="B8981" s="13"/>
    </row>
    <row r="8982" spans="1:2" x14ac:dyDescent="0.2">
      <c r="A8982" s="12"/>
      <c r="B8982" s="13"/>
    </row>
    <row r="8983" spans="1:2" x14ac:dyDescent="0.2">
      <c r="A8983" s="12"/>
      <c r="B8983" s="13"/>
    </row>
    <row r="8984" spans="1:2" x14ac:dyDescent="0.2">
      <c r="A8984" s="12"/>
      <c r="B8984" s="13"/>
    </row>
    <row r="8985" spans="1:2" x14ac:dyDescent="0.2">
      <c r="A8985" s="12"/>
      <c r="B8985" s="13"/>
    </row>
    <row r="8986" spans="1:2" x14ac:dyDescent="0.2">
      <c r="A8986" s="12"/>
      <c r="B8986" s="13"/>
    </row>
    <row r="8987" spans="1:2" x14ac:dyDescent="0.2">
      <c r="A8987" s="12"/>
      <c r="B8987" s="13"/>
    </row>
    <row r="8988" spans="1:2" x14ac:dyDescent="0.2">
      <c r="A8988" s="12"/>
      <c r="B8988" s="13"/>
    </row>
    <row r="8989" spans="1:2" x14ac:dyDescent="0.2">
      <c r="A8989" s="12"/>
      <c r="B8989" s="13"/>
    </row>
    <row r="8990" spans="1:2" x14ac:dyDescent="0.2">
      <c r="A8990" s="12"/>
      <c r="B8990" s="13"/>
    </row>
    <row r="8991" spans="1:2" x14ac:dyDescent="0.2">
      <c r="A8991" s="12"/>
      <c r="B8991" s="13"/>
    </row>
    <row r="8992" spans="1:2" x14ac:dyDescent="0.2">
      <c r="A8992" s="12"/>
      <c r="B8992" s="13"/>
    </row>
    <row r="8993" spans="1:2" x14ac:dyDescent="0.2">
      <c r="A8993" s="12"/>
      <c r="B8993" s="13"/>
    </row>
    <row r="8994" spans="1:2" x14ac:dyDescent="0.2">
      <c r="A8994" s="12"/>
      <c r="B8994" s="13"/>
    </row>
    <row r="8995" spans="1:2" x14ac:dyDescent="0.2">
      <c r="A8995" s="12"/>
      <c r="B8995" s="13"/>
    </row>
    <row r="8996" spans="1:2" x14ac:dyDescent="0.2">
      <c r="A8996" s="12"/>
      <c r="B8996" s="13"/>
    </row>
    <row r="8997" spans="1:2" x14ac:dyDescent="0.2">
      <c r="A8997" s="12"/>
      <c r="B8997" s="13"/>
    </row>
    <row r="8998" spans="1:2" x14ac:dyDescent="0.2">
      <c r="A8998" s="12"/>
      <c r="B8998" s="13"/>
    </row>
    <row r="8999" spans="1:2" x14ac:dyDescent="0.2">
      <c r="A8999" s="12"/>
      <c r="B8999" s="13"/>
    </row>
    <row r="9000" spans="1:2" x14ac:dyDescent="0.2">
      <c r="A9000" s="12"/>
      <c r="B9000" s="13"/>
    </row>
    <row r="9001" spans="1:2" x14ac:dyDescent="0.2">
      <c r="A9001" s="12"/>
      <c r="B9001" s="13"/>
    </row>
    <row r="9002" spans="1:2" x14ac:dyDescent="0.2">
      <c r="A9002" s="12"/>
      <c r="B9002" s="13"/>
    </row>
    <row r="9003" spans="1:2" x14ac:dyDescent="0.2">
      <c r="A9003" s="12"/>
      <c r="B9003" s="13"/>
    </row>
    <row r="9004" spans="1:2" x14ac:dyDescent="0.2">
      <c r="A9004" s="12"/>
      <c r="B9004" s="13"/>
    </row>
    <row r="9005" spans="1:2" x14ac:dyDescent="0.2">
      <c r="A9005" s="12"/>
      <c r="B9005" s="13"/>
    </row>
    <row r="9006" spans="1:2" x14ac:dyDescent="0.2">
      <c r="A9006" s="12"/>
      <c r="B9006" s="13"/>
    </row>
    <row r="9007" spans="1:2" x14ac:dyDescent="0.2">
      <c r="A9007" s="12"/>
      <c r="B9007" s="13"/>
    </row>
    <row r="9008" spans="1:2" x14ac:dyDescent="0.2">
      <c r="A9008" s="12"/>
      <c r="B9008" s="13"/>
    </row>
    <row r="9009" spans="1:2" x14ac:dyDescent="0.2">
      <c r="A9009" s="12"/>
      <c r="B9009" s="13"/>
    </row>
    <row r="9010" spans="1:2" x14ac:dyDescent="0.2">
      <c r="A9010" s="12"/>
      <c r="B9010" s="13"/>
    </row>
    <row r="9011" spans="1:2" x14ac:dyDescent="0.2">
      <c r="A9011" s="12"/>
      <c r="B9011" s="13"/>
    </row>
    <row r="9012" spans="1:2" x14ac:dyDescent="0.2">
      <c r="A9012" s="12"/>
      <c r="B9012" s="13"/>
    </row>
    <row r="9013" spans="1:2" x14ac:dyDescent="0.2">
      <c r="A9013" s="12"/>
      <c r="B9013" s="13"/>
    </row>
    <row r="9014" spans="1:2" x14ac:dyDescent="0.2">
      <c r="A9014" s="12"/>
      <c r="B9014" s="13"/>
    </row>
    <row r="9015" spans="1:2" x14ac:dyDescent="0.2">
      <c r="A9015" s="12"/>
      <c r="B9015" s="13"/>
    </row>
    <row r="9016" spans="1:2" x14ac:dyDescent="0.2">
      <c r="A9016" s="12"/>
      <c r="B9016" s="13"/>
    </row>
    <row r="9017" spans="1:2" x14ac:dyDescent="0.2">
      <c r="A9017" s="12"/>
      <c r="B9017" s="13"/>
    </row>
    <row r="9018" spans="1:2" x14ac:dyDescent="0.2">
      <c r="A9018" s="12"/>
      <c r="B9018" s="13"/>
    </row>
    <row r="9019" spans="1:2" x14ac:dyDescent="0.2">
      <c r="A9019" s="12"/>
      <c r="B9019" s="13"/>
    </row>
    <row r="9020" spans="1:2" x14ac:dyDescent="0.2">
      <c r="A9020" s="12"/>
      <c r="B9020" s="13"/>
    </row>
    <row r="9021" spans="1:2" x14ac:dyDescent="0.2">
      <c r="A9021" s="12"/>
      <c r="B9021" s="13"/>
    </row>
    <row r="9022" spans="1:2" x14ac:dyDescent="0.2">
      <c r="A9022" s="12"/>
      <c r="B9022" s="13"/>
    </row>
    <row r="9023" spans="1:2" x14ac:dyDescent="0.2">
      <c r="A9023" s="12"/>
      <c r="B9023" s="13"/>
    </row>
    <row r="9024" spans="1:2" x14ac:dyDescent="0.2">
      <c r="A9024" s="12"/>
      <c r="B9024" s="13"/>
    </row>
    <row r="9025" spans="1:2" x14ac:dyDescent="0.2">
      <c r="A9025" s="12"/>
      <c r="B9025" s="13"/>
    </row>
    <row r="9026" spans="1:2" x14ac:dyDescent="0.2">
      <c r="A9026" s="12"/>
      <c r="B9026" s="13"/>
    </row>
    <row r="9027" spans="1:2" x14ac:dyDescent="0.2">
      <c r="A9027" s="12"/>
      <c r="B9027" s="13"/>
    </row>
    <row r="9028" spans="1:2" x14ac:dyDescent="0.2">
      <c r="A9028" s="12"/>
      <c r="B9028" s="13"/>
    </row>
    <row r="9029" spans="1:2" x14ac:dyDescent="0.2">
      <c r="A9029" s="12"/>
      <c r="B9029" s="13"/>
    </row>
    <row r="9030" spans="1:2" x14ac:dyDescent="0.2">
      <c r="A9030" s="12"/>
      <c r="B9030" s="13"/>
    </row>
    <row r="9031" spans="1:2" x14ac:dyDescent="0.2">
      <c r="A9031" s="12"/>
      <c r="B9031" s="13"/>
    </row>
    <row r="9032" spans="1:2" x14ac:dyDescent="0.2">
      <c r="A9032" s="12"/>
      <c r="B9032" s="13"/>
    </row>
    <row r="9033" spans="1:2" x14ac:dyDescent="0.2">
      <c r="A9033" s="12"/>
      <c r="B9033" s="13"/>
    </row>
    <row r="9034" spans="1:2" x14ac:dyDescent="0.2">
      <c r="A9034" s="12"/>
      <c r="B9034" s="13"/>
    </row>
    <row r="9035" spans="1:2" x14ac:dyDescent="0.2">
      <c r="A9035" s="12"/>
      <c r="B9035" s="13"/>
    </row>
    <row r="9036" spans="1:2" x14ac:dyDescent="0.2">
      <c r="A9036" s="12"/>
      <c r="B9036" s="13"/>
    </row>
    <row r="9037" spans="1:2" x14ac:dyDescent="0.2">
      <c r="A9037" s="12"/>
      <c r="B9037" s="13"/>
    </row>
    <row r="9038" spans="1:2" x14ac:dyDescent="0.2">
      <c r="A9038" s="12"/>
      <c r="B9038" s="13"/>
    </row>
    <row r="9039" spans="1:2" x14ac:dyDescent="0.2">
      <c r="A9039" s="12"/>
      <c r="B9039" s="13"/>
    </row>
    <row r="9040" spans="1:2" x14ac:dyDescent="0.2">
      <c r="A9040" s="12"/>
      <c r="B9040" s="13"/>
    </row>
    <row r="9041" spans="1:2" x14ac:dyDescent="0.2">
      <c r="A9041" s="12"/>
      <c r="B9041" s="13"/>
    </row>
    <row r="9042" spans="1:2" x14ac:dyDescent="0.2">
      <c r="A9042" s="12"/>
      <c r="B9042" s="13"/>
    </row>
    <row r="9043" spans="1:2" x14ac:dyDescent="0.2">
      <c r="A9043" s="12"/>
      <c r="B9043" s="13"/>
    </row>
    <row r="9044" spans="1:2" x14ac:dyDescent="0.2">
      <c r="A9044" s="12"/>
      <c r="B9044" s="13"/>
    </row>
    <row r="9045" spans="1:2" x14ac:dyDescent="0.2">
      <c r="A9045" s="12"/>
      <c r="B9045" s="13"/>
    </row>
    <row r="9046" spans="1:2" x14ac:dyDescent="0.2">
      <c r="A9046" s="12"/>
      <c r="B9046" s="13"/>
    </row>
    <row r="9047" spans="1:2" x14ac:dyDescent="0.2">
      <c r="A9047" s="12"/>
      <c r="B9047" s="13"/>
    </row>
    <row r="9048" spans="1:2" x14ac:dyDescent="0.2">
      <c r="A9048" s="12"/>
      <c r="B9048" s="13"/>
    </row>
    <row r="9049" spans="1:2" x14ac:dyDescent="0.2">
      <c r="A9049" s="12"/>
      <c r="B9049" s="13"/>
    </row>
    <row r="9050" spans="1:2" x14ac:dyDescent="0.2">
      <c r="A9050" s="12"/>
      <c r="B9050" s="13"/>
    </row>
    <row r="9051" spans="1:2" x14ac:dyDescent="0.2">
      <c r="A9051" s="12"/>
      <c r="B9051" s="13"/>
    </row>
    <row r="9052" spans="1:2" x14ac:dyDescent="0.2">
      <c r="A9052" s="12"/>
      <c r="B9052" s="13"/>
    </row>
    <row r="9053" spans="1:2" x14ac:dyDescent="0.2">
      <c r="A9053" s="12"/>
      <c r="B9053" s="13"/>
    </row>
    <row r="9054" spans="1:2" x14ac:dyDescent="0.2">
      <c r="A9054" s="12"/>
      <c r="B9054" s="13"/>
    </row>
    <row r="9055" spans="1:2" x14ac:dyDescent="0.2">
      <c r="A9055" s="12"/>
      <c r="B9055" s="13"/>
    </row>
    <row r="9056" spans="1:2" x14ac:dyDescent="0.2">
      <c r="A9056" s="12"/>
      <c r="B9056" s="13"/>
    </row>
    <row r="9057" spans="1:2" x14ac:dyDescent="0.2">
      <c r="A9057" s="12"/>
      <c r="B9057" s="13"/>
    </row>
    <row r="9058" spans="1:2" x14ac:dyDescent="0.2">
      <c r="A9058" s="12"/>
      <c r="B9058" s="13"/>
    </row>
    <row r="9059" spans="1:2" x14ac:dyDescent="0.2">
      <c r="A9059" s="12"/>
      <c r="B9059" s="13"/>
    </row>
    <row r="9060" spans="1:2" x14ac:dyDescent="0.2">
      <c r="A9060" s="12"/>
      <c r="B9060" s="13"/>
    </row>
    <row r="9061" spans="1:2" x14ac:dyDescent="0.2">
      <c r="A9061" s="12"/>
      <c r="B9061" s="13"/>
    </row>
    <row r="9062" spans="1:2" x14ac:dyDescent="0.2">
      <c r="A9062" s="12"/>
      <c r="B9062" s="13"/>
    </row>
    <row r="9063" spans="1:2" x14ac:dyDescent="0.2">
      <c r="A9063" s="12"/>
      <c r="B9063" s="13"/>
    </row>
    <row r="9064" spans="1:2" x14ac:dyDescent="0.2">
      <c r="A9064" s="12"/>
      <c r="B9064" s="13"/>
    </row>
    <row r="9065" spans="1:2" x14ac:dyDescent="0.2">
      <c r="A9065" s="12"/>
      <c r="B9065" s="13"/>
    </row>
    <row r="9066" spans="1:2" x14ac:dyDescent="0.2">
      <c r="A9066" s="12"/>
      <c r="B9066" s="13"/>
    </row>
    <row r="9067" spans="1:2" x14ac:dyDescent="0.2">
      <c r="A9067" s="12"/>
      <c r="B9067" s="13"/>
    </row>
    <row r="9068" spans="1:2" x14ac:dyDescent="0.2">
      <c r="A9068" s="12"/>
      <c r="B9068" s="13"/>
    </row>
    <row r="9069" spans="1:2" x14ac:dyDescent="0.2">
      <c r="A9069" s="12"/>
      <c r="B9069" s="13"/>
    </row>
    <row r="9070" spans="1:2" x14ac:dyDescent="0.2">
      <c r="A9070" s="12"/>
      <c r="B9070" s="13"/>
    </row>
    <row r="9071" spans="1:2" x14ac:dyDescent="0.2">
      <c r="A9071" s="12"/>
      <c r="B9071" s="13"/>
    </row>
    <row r="9072" spans="1:2" x14ac:dyDescent="0.2">
      <c r="A9072" s="12"/>
      <c r="B9072" s="13"/>
    </row>
    <row r="9073" spans="1:2" x14ac:dyDescent="0.2">
      <c r="A9073" s="12"/>
      <c r="B9073" s="13"/>
    </row>
    <row r="9074" spans="1:2" x14ac:dyDescent="0.2">
      <c r="A9074" s="12"/>
      <c r="B9074" s="13"/>
    </row>
    <row r="9075" spans="1:2" x14ac:dyDescent="0.2">
      <c r="A9075" s="12"/>
      <c r="B9075" s="13"/>
    </row>
    <row r="9076" spans="1:2" x14ac:dyDescent="0.2">
      <c r="A9076" s="12"/>
      <c r="B9076" s="13"/>
    </row>
    <row r="9077" spans="1:2" x14ac:dyDescent="0.2">
      <c r="A9077" s="12"/>
      <c r="B9077" s="13"/>
    </row>
    <row r="9078" spans="1:2" x14ac:dyDescent="0.2">
      <c r="A9078" s="12"/>
      <c r="B9078" s="13"/>
    </row>
    <row r="9079" spans="1:2" x14ac:dyDescent="0.2">
      <c r="A9079" s="12"/>
      <c r="B9079" s="13"/>
    </row>
    <row r="9080" spans="1:2" x14ac:dyDescent="0.2">
      <c r="A9080" s="12"/>
      <c r="B9080" s="13"/>
    </row>
    <row r="9081" spans="1:2" x14ac:dyDescent="0.2">
      <c r="A9081" s="12"/>
      <c r="B9081" s="13"/>
    </row>
    <row r="9082" spans="1:2" x14ac:dyDescent="0.2">
      <c r="A9082" s="12"/>
      <c r="B9082" s="13"/>
    </row>
    <row r="9083" spans="1:2" x14ac:dyDescent="0.2">
      <c r="A9083" s="12"/>
      <c r="B9083" s="13"/>
    </row>
    <row r="9084" spans="1:2" x14ac:dyDescent="0.2">
      <c r="A9084" s="12"/>
      <c r="B9084" s="13"/>
    </row>
    <row r="9085" spans="1:2" x14ac:dyDescent="0.2">
      <c r="A9085" s="12"/>
      <c r="B9085" s="13"/>
    </row>
    <row r="9086" spans="1:2" x14ac:dyDescent="0.2">
      <c r="A9086" s="12"/>
      <c r="B9086" s="13"/>
    </row>
    <row r="9087" spans="1:2" x14ac:dyDescent="0.2">
      <c r="A9087" s="12"/>
      <c r="B9087" s="13"/>
    </row>
    <row r="9088" spans="1:2" x14ac:dyDescent="0.2">
      <c r="A9088" s="12"/>
      <c r="B9088" s="13"/>
    </row>
    <row r="9089" spans="1:2" x14ac:dyDescent="0.2">
      <c r="A9089" s="12"/>
      <c r="B9089" s="13"/>
    </row>
    <row r="9090" spans="1:2" x14ac:dyDescent="0.2">
      <c r="A9090" s="12"/>
      <c r="B9090" s="13"/>
    </row>
    <row r="9091" spans="1:2" x14ac:dyDescent="0.2">
      <c r="A9091" s="12"/>
      <c r="B9091" s="13"/>
    </row>
    <row r="9092" spans="1:2" x14ac:dyDescent="0.2">
      <c r="A9092" s="12"/>
      <c r="B9092" s="13"/>
    </row>
    <row r="9093" spans="1:2" x14ac:dyDescent="0.2">
      <c r="A9093" s="12"/>
      <c r="B9093" s="13"/>
    </row>
    <row r="9094" spans="1:2" x14ac:dyDescent="0.2">
      <c r="A9094" s="12"/>
      <c r="B9094" s="13"/>
    </row>
    <row r="9095" spans="1:2" x14ac:dyDescent="0.2">
      <c r="A9095" s="12"/>
      <c r="B9095" s="13"/>
    </row>
    <row r="9096" spans="1:2" x14ac:dyDescent="0.2">
      <c r="A9096" s="12"/>
      <c r="B9096" s="13"/>
    </row>
    <row r="9097" spans="1:2" x14ac:dyDescent="0.2">
      <c r="A9097" s="12"/>
      <c r="B9097" s="13"/>
    </row>
    <row r="9098" spans="1:2" x14ac:dyDescent="0.2">
      <c r="A9098" s="12"/>
      <c r="B9098" s="13"/>
    </row>
    <row r="9099" spans="1:2" x14ac:dyDescent="0.2">
      <c r="A9099" s="12"/>
      <c r="B9099" s="13"/>
    </row>
    <row r="9100" spans="1:2" x14ac:dyDescent="0.2">
      <c r="A9100" s="12"/>
      <c r="B9100" s="13"/>
    </row>
    <row r="9101" spans="1:2" x14ac:dyDescent="0.2">
      <c r="A9101" s="12"/>
      <c r="B9101" s="13"/>
    </row>
    <row r="9102" spans="1:2" x14ac:dyDescent="0.2">
      <c r="A9102" s="12"/>
      <c r="B9102" s="13"/>
    </row>
    <row r="9103" spans="1:2" x14ac:dyDescent="0.2">
      <c r="A9103" s="12"/>
      <c r="B9103" s="13"/>
    </row>
    <row r="9104" spans="1:2" x14ac:dyDescent="0.2">
      <c r="A9104" s="12"/>
      <c r="B9104" s="13"/>
    </row>
    <row r="9105" spans="1:2" x14ac:dyDescent="0.2">
      <c r="A9105" s="12"/>
      <c r="B9105" s="13"/>
    </row>
    <row r="9106" spans="1:2" x14ac:dyDescent="0.2">
      <c r="A9106" s="12"/>
      <c r="B9106" s="13"/>
    </row>
    <row r="9107" spans="1:2" x14ac:dyDescent="0.2">
      <c r="A9107" s="12"/>
      <c r="B9107" s="13"/>
    </row>
    <row r="9108" spans="1:2" x14ac:dyDescent="0.2">
      <c r="A9108" s="12"/>
      <c r="B9108" s="13"/>
    </row>
    <row r="9109" spans="1:2" x14ac:dyDescent="0.2">
      <c r="A9109" s="12"/>
      <c r="B9109" s="13"/>
    </row>
    <row r="9110" spans="1:2" x14ac:dyDescent="0.2">
      <c r="A9110" s="12"/>
      <c r="B9110" s="13"/>
    </row>
    <row r="9111" spans="1:2" x14ac:dyDescent="0.2">
      <c r="A9111" s="12"/>
      <c r="B9111" s="13"/>
    </row>
    <row r="9112" spans="1:2" x14ac:dyDescent="0.2">
      <c r="A9112" s="12"/>
      <c r="B9112" s="13"/>
    </row>
    <row r="9113" spans="1:2" x14ac:dyDescent="0.2">
      <c r="A9113" s="12"/>
      <c r="B9113" s="13"/>
    </row>
    <row r="9114" spans="1:2" x14ac:dyDescent="0.2">
      <c r="A9114" s="12"/>
      <c r="B9114" s="13"/>
    </row>
    <row r="9115" spans="1:2" x14ac:dyDescent="0.2">
      <c r="A9115" s="12"/>
      <c r="B9115" s="13"/>
    </row>
    <row r="9116" spans="1:2" x14ac:dyDescent="0.2">
      <c r="A9116" s="12"/>
      <c r="B9116" s="13"/>
    </row>
    <row r="9117" spans="1:2" x14ac:dyDescent="0.2">
      <c r="A9117" s="12"/>
      <c r="B9117" s="13"/>
    </row>
    <row r="9118" spans="1:2" x14ac:dyDescent="0.2">
      <c r="A9118" s="12"/>
      <c r="B9118" s="13"/>
    </row>
    <row r="9119" spans="1:2" x14ac:dyDescent="0.2">
      <c r="A9119" s="12"/>
      <c r="B9119" s="13"/>
    </row>
    <row r="9120" spans="1:2" x14ac:dyDescent="0.2">
      <c r="A9120" s="12"/>
      <c r="B9120" s="13"/>
    </row>
    <row r="9121" spans="1:2" x14ac:dyDescent="0.2">
      <c r="A9121" s="12"/>
      <c r="B9121" s="13"/>
    </row>
    <row r="9122" spans="1:2" x14ac:dyDescent="0.2">
      <c r="A9122" s="12"/>
      <c r="B9122" s="13"/>
    </row>
    <row r="9123" spans="1:2" x14ac:dyDescent="0.2">
      <c r="A9123" s="12"/>
      <c r="B9123" s="13"/>
    </row>
    <row r="9124" spans="1:2" x14ac:dyDescent="0.2">
      <c r="A9124" s="12"/>
      <c r="B9124" s="13"/>
    </row>
    <row r="9125" spans="1:2" x14ac:dyDescent="0.2">
      <c r="A9125" s="12"/>
      <c r="B9125" s="13"/>
    </row>
    <row r="9126" spans="1:2" x14ac:dyDescent="0.2">
      <c r="A9126" s="12"/>
      <c r="B9126" s="13"/>
    </row>
    <row r="9127" spans="1:2" x14ac:dyDescent="0.2">
      <c r="A9127" s="12"/>
      <c r="B9127" s="13"/>
    </row>
    <row r="9128" spans="1:2" x14ac:dyDescent="0.2">
      <c r="A9128" s="12"/>
      <c r="B9128" s="13"/>
    </row>
    <row r="9129" spans="1:2" x14ac:dyDescent="0.2">
      <c r="A9129" s="12"/>
      <c r="B9129" s="13"/>
    </row>
    <row r="9130" spans="1:2" x14ac:dyDescent="0.2">
      <c r="A9130" s="12"/>
      <c r="B9130" s="13"/>
    </row>
    <row r="9131" spans="1:2" x14ac:dyDescent="0.2">
      <c r="A9131" s="12"/>
      <c r="B9131" s="13"/>
    </row>
    <row r="9132" spans="1:2" x14ac:dyDescent="0.2">
      <c r="A9132" s="12"/>
      <c r="B9132" s="13"/>
    </row>
    <row r="9133" spans="1:2" x14ac:dyDescent="0.2">
      <c r="A9133" s="12"/>
      <c r="B9133" s="13"/>
    </row>
    <row r="9134" spans="1:2" x14ac:dyDescent="0.2">
      <c r="A9134" s="12"/>
      <c r="B9134" s="13"/>
    </row>
    <row r="9135" spans="1:2" x14ac:dyDescent="0.2">
      <c r="A9135" s="12"/>
      <c r="B9135" s="13"/>
    </row>
    <row r="9136" spans="1:2" x14ac:dyDescent="0.2">
      <c r="A9136" s="12"/>
      <c r="B9136" s="13"/>
    </row>
    <row r="9137" spans="1:2" x14ac:dyDescent="0.2">
      <c r="A9137" s="12"/>
      <c r="B9137" s="13"/>
    </row>
    <row r="9138" spans="1:2" x14ac:dyDescent="0.2">
      <c r="A9138" s="12"/>
      <c r="B9138" s="13"/>
    </row>
    <row r="9139" spans="1:2" x14ac:dyDescent="0.2">
      <c r="A9139" s="12"/>
      <c r="B9139" s="13"/>
    </row>
    <row r="9140" spans="1:2" x14ac:dyDescent="0.2">
      <c r="A9140" s="12"/>
      <c r="B9140" s="13"/>
    </row>
    <row r="9141" spans="1:2" x14ac:dyDescent="0.2">
      <c r="A9141" s="12"/>
      <c r="B9141" s="13"/>
    </row>
    <row r="9142" spans="1:2" x14ac:dyDescent="0.2">
      <c r="A9142" s="12"/>
      <c r="B9142" s="13"/>
    </row>
    <row r="9143" spans="1:2" x14ac:dyDescent="0.2">
      <c r="A9143" s="12"/>
      <c r="B9143" s="13"/>
    </row>
    <row r="9144" spans="1:2" x14ac:dyDescent="0.2">
      <c r="A9144" s="12"/>
      <c r="B9144" s="13"/>
    </row>
    <row r="9145" spans="1:2" x14ac:dyDescent="0.2">
      <c r="A9145" s="12"/>
      <c r="B9145" s="13"/>
    </row>
    <row r="9146" spans="1:2" x14ac:dyDescent="0.2">
      <c r="A9146" s="12"/>
      <c r="B9146" s="13"/>
    </row>
    <row r="9147" spans="1:2" x14ac:dyDescent="0.2">
      <c r="A9147" s="12"/>
      <c r="B9147" s="13"/>
    </row>
    <row r="9148" spans="1:2" x14ac:dyDescent="0.2">
      <c r="A9148" s="12"/>
      <c r="B9148" s="13"/>
    </row>
    <row r="9149" spans="1:2" x14ac:dyDescent="0.2">
      <c r="A9149" s="12"/>
      <c r="B9149" s="13"/>
    </row>
    <row r="9150" spans="1:2" x14ac:dyDescent="0.2">
      <c r="A9150" s="12"/>
      <c r="B9150" s="13"/>
    </row>
    <row r="9151" spans="1:2" x14ac:dyDescent="0.2">
      <c r="A9151" s="12"/>
      <c r="B9151" s="13"/>
    </row>
    <row r="9152" spans="1:2" x14ac:dyDescent="0.2">
      <c r="A9152" s="12"/>
      <c r="B9152" s="13"/>
    </row>
    <row r="9153" spans="1:2" x14ac:dyDescent="0.2">
      <c r="A9153" s="12"/>
      <c r="B9153" s="13"/>
    </row>
    <row r="9154" spans="1:2" x14ac:dyDescent="0.2">
      <c r="A9154" s="12"/>
      <c r="B9154" s="13"/>
    </row>
    <row r="9155" spans="1:2" x14ac:dyDescent="0.2">
      <c r="A9155" s="12"/>
      <c r="B9155" s="13"/>
    </row>
    <row r="9156" spans="1:2" x14ac:dyDescent="0.2">
      <c r="A9156" s="12"/>
      <c r="B9156" s="13"/>
    </row>
    <row r="9157" spans="1:2" x14ac:dyDescent="0.2">
      <c r="A9157" s="12"/>
      <c r="B9157" s="13"/>
    </row>
    <row r="9158" spans="1:2" x14ac:dyDescent="0.2">
      <c r="A9158" s="12"/>
      <c r="B9158" s="13"/>
    </row>
    <row r="9159" spans="1:2" x14ac:dyDescent="0.2">
      <c r="A9159" s="12"/>
      <c r="B9159" s="13"/>
    </row>
    <row r="9160" spans="1:2" x14ac:dyDescent="0.2">
      <c r="A9160" s="12"/>
      <c r="B9160" s="13"/>
    </row>
    <row r="9161" spans="1:2" x14ac:dyDescent="0.2">
      <c r="A9161" s="12"/>
      <c r="B9161" s="13"/>
    </row>
    <row r="9162" spans="1:2" x14ac:dyDescent="0.2">
      <c r="A9162" s="12"/>
      <c r="B9162" s="13"/>
    </row>
    <row r="9163" spans="1:2" x14ac:dyDescent="0.2">
      <c r="A9163" s="12"/>
      <c r="B9163" s="13"/>
    </row>
    <row r="9164" spans="1:2" x14ac:dyDescent="0.2">
      <c r="A9164" s="12"/>
      <c r="B9164" s="13"/>
    </row>
    <row r="9165" spans="1:2" x14ac:dyDescent="0.2">
      <c r="A9165" s="12"/>
      <c r="B9165" s="13"/>
    </row>
    <row r="9166" spans="1:2" x14ac:dyDescent="0.2">
      <c r="A9166" s="12"/>
      <c r="B9166" s="13"/>
    </row>
    <row r="9167" spans="1:2" x14ac:dyDescent="0.2">
      <c r="A9167" s="12"/>
      <c r="B9167" s="13"/>
    </row>
    <row r="9168" spans="1:2" x14ac:dyDescent="0.2">
      <c r="A9168" s="12"/>
      <c r="B9168" s="13"/>
    </row>
    <row r="9169" spans="1:2" x14ac:dyDescent="0.2">
      <c r="A9169" s="12"/>
      <c r="B9169" s="13"/>
    </row>
    <row r="9170" spans="1:2" x14ac:dyDescent="0.2">
      <c r="A9170" s="12"/>
      <c r="B9170" s="13"/>
    </row>
    <row r="9171" spans="1:2" x14ac:dyDescent="0.2">
      <c r="A9171" s="12"/>
      <c r="B9171" s="13"/>
    </row>
    <row r="9172" spans="1:2" x14ac:dyDescent="0.2">
      <c r="A9172" s="12"/>
      <c r="B9172" s="13"/>
    </row>
    <row r="9173" spans="1:2" x14ac:dyDescent="0.2">
      <c r="A9173" s="12"/>
      <c r="B9173" s="13"/>
    </row>
    <row r="9174" spans="1:2" x14ac:dyDescent="0.2">
      <c r="A9174" s="12"/>
      <c r="B9174" s="13"/>
    </row>
    <row r="9175" spans="1:2" x14ac:dyDescent="0.2">
      <c r="A9175" s="12"/>
      <c r="B9175" s="13"/>
    </row>
    <row r="9176" spans="1:2" x14ac:dyDescent="0.2">
      <c r="A9176" s="12"/>
      <c r="B9176" s="13"/>
    </row>
    <row r="9177" spans="1:2" x14ac:dyDescent="0.2">
      <c r="A9177" s="12"/>
      <c r="B9177" s="13"/>
    </row>
    <row r="9178" spans="1:2" x14ac:dyDescent="0.2">
      <c r="A9178" s="12"/>
      <c r="B9178" s="13"/>
    </row>
    <row r="9179" spans="1:2" x14ac:dyDescent="0.2">
      <c r="A9179" s="12"/>
      <c r="B9179" s="13"/>
    </row>
    <row r="9180" spans="1:2" x14ac:dyDescent="0.2">
      <c r="A9180" s="12"/>
      <c r="B9180" s="13"/>
    </row>
    <row r="9181" spans="1:2" x14ac:dyDescent="0.2">
      <c r="A9181" s="12"/>
      <c r="B9181" s="13"/>
    </row>
    <row r="9182" spans="1:2" x14ac:dyDescent="0.2">
      <c r="A9182" s="12"/>
      <c r="B9182" s="13"/>
    </row>
    <row r="9183" spans="1:2" x14ac:dyDescent="0.2">
      <c r="A9183" s="12"/>
      <c r="B9183" s="13"/>
    </row>
    <row r="9184" spans="1:2" x14ac:dyDescent="0.2">
      <c r="A9184" s="12"/>
      <c r="B9184" s="13"/>
    </row>
    <row r="9185" spans="1:2" x14ac:dyDescent="0.2">
      <c r="A9185" s="12"/>
      <c r="B9185" s="13"/>
    </row>
    <row r="9186" spans="1:2" x14ac:dyDescent="0.2">
      <c r="A9186" s="12"/>
      <c r="B9186" s="13"/>
    </row>
    <row r="9187" spans="1:2" x14ac:dyDescent="0.2">
      <c r="A9187" s="12"/>
      <c r="B9187" s="13"/>
    </row>
    <row r="9188" spans="1:2" x14ac:dyDescent="0.2">
      <c r="A9188" s="12"/>
      <c r="B9188" s="13"/>
    </row>
    <row r="9189" spans="1:2" x14ac:dyDescent="0.2">
      <c r="A9189" s="12"/>
      <c r="B9189" s="13"/>
    </row>
    <row r="9190" spans="1:2" x14ac:dyDescent="0.2">
      <c r="A9190" s="12"/>
      <c r="B9190" s="13"/>
    </row>
    <row r="9191" spans="1:2" x14ac:dyDescent="0.2">
      <c r="A9191" s="12"/>
      <c r="B9191" s="13"/>
    </row>
    <row r="9192" spans="1:2" x14ac:dyDescent="0.2">
      <c r="A9192" s="12"/>
      <c r="B9192" s="13"/>
    </row>
    <row r="9193" spans="1:2" x14ac:dyDescent="0.2">
      <c r="A9193" s="12"/>
      <c r="B9193" s="13"/>
    </row>
    <row r="9194" spans="1:2" x14ac:dyDescent="0.2">
      <c r="A9194" s="12"/>
      <c r="B9194" s="13"/>
    </row>
    <row r="9195" spans="1:2" x14ac:dyDescent="0.2">
      <c r="A9195" s="12"/>
      <c r="B9195" s="13"/>
    </row>
    <row r="9196" spans="1:2" x14ac:dyDescent="0.2">
      <c r="A9196" s="12"/>
      <c r="B9196" s="13"/>
    </row>
    <row r="9197" spans="1:2" x14ac:dyDescent="0.2">
      <c r="A9197" s="12"/>
      <c r="B9197" s="13"/>
    </row>
    <row r="9198" spans="1:2" x14ac:dyDescent="0.2">
      <c r="A9198" s="12"/>
      <c r="B9198" s="13"/>
    </row>
    <row r="9199" spans="1:2" x14ac:dyDescent="0.2">
      <c r="A9199" s="12"/>
      <c r="B9199" s="13"/>
    </row>
    <row r="9200" spans="1:2" x14ac:dyDescent="0.2">
      <c r="A9200" s="12"/>
      <c r="B9200" s="13"/>
    </row>
    <row r="9201" spans="1:2" x14ac:dyDescent="0.2">
      <c r="A9201" s="12"/>
      <c r="B9201" s="13"/>
    </row>
    <row r="9202" spans="1:2" x14ac:dyDescent="0.2">
      <c r="A9202" s="12"/>
      <c r="B9202" s="13"/>
    </row>
    <row r="9203" spans="1:2" x14ac:dyDescent="0.2">
      <c r="A9203" s="12"/>
      <c r="B9203" s="13"/>
    </row>
    <row r="9204" spans="1:2" x14ac:dyDescent="0.2">
      <c r="A9204" s="12"/>
      <c r="B9204" s="13"/>
    </row>
    <row r="9205" spans="1:2" x14ac:dyDescent="0.2">
      <c r="A9205" s="12"/>
      <c r="B9205" s="13"/>
    </row>
    <row r="9206" spans="1:2" x14ac:dyDescent="0.2">
      <c r="A9206" s="12"/>
      <c r="B9206" s="13"/>
    </row>
    <row r="9207" spans="1:2" x14ac:dyDescent="0.2">
      <c r="A9207" s="12"/>
      <c r="B9207" s="13"/>
    </row>
    <row r="9208" spans="1:2" x14ac:dyDescent="0.2">
      <c r="A9208" s="12"/>
      <c r="B9208" s="13"/>
    </row>
    <row r="9209" spans="1:2" x14ac:dyDescent="0.2">
      <c r="A9209" s="12"/>
      <c r="B9209" s="13"/>
    </row>
    <row r="9210" spans="1:2" x14ac:dyDescent="0.2">
      <c r="A9210" s="12"/>
      <c r="B9210" s="13"/>
    </row>
    <row r="9211" spans="1:2" x14ac:dyDescent="0.2">
      <c r="A9211" s="12"/>
      <c r="B9211" s="13"/>
    </row>
    <row r="9212" spans="1:2" x14ac:dyDescent="0.2">
      <c r="A9212" s="12"/>
      <c r="B9212" s="13"/>
    </row>
    <row r="9213" spans="1:2" x14ac:dyDescent="0.2">
      <c r="A9213" s="12"/>
      <c r="B9213" s="13"/>
    </row>
    <row r="9214" spans="1:2" x14ac:dyDescent="0.2">
      <c r="A9214" s="12"/>
      <c r="B9214" s="13"/>
    </row>
    <row r="9215" spans="1:2" x14ac:dyDescent="0.2">
      <c r="A9215" s="12"/>
      <c r="B9215" s="13"/>
    </row>
    <row r="9216" spans="1:2" x14ac:dyDescent="0.2">
      <c r="A9216" s="12"/>
      <c r="B9216" s="13"/>
    </row>
    <row r="9217" spans="1:2" x14ac:dyDescent="0.2">
      <c r="A9217" s="12"/>
      <c r="B9217" s="13"/>
    </row>
    <row r="9218" spans="1:2" x14ac:dyDescent="0.2">
      <c r="A9218" s="12"/>
      <c r="B9218" s="13"/>
    </row>
    <row r="9219" spans="1:2" x14ac:dyDescent="0.2">
      <c r="A9219" s="12"/>
      <c r="B9219" s="13"/>
    </row>
    <row r="9220" spans="1:2" x14ac:dyDescent="0.2">
      <c r="A9220" s="12"/>
      <c r="B9220" s="13"/>
    </row>
    <row r="9221" spans="1:2" x14ac:dyDescent="0.2">
      <c r="A9221" s="12"/>
      <c r="B9221" s="13"/>
    </row>
    <row r="9222" spans="1:2" x14ac:dyDescent="0.2">
      <c r="A9222" s="12"/>
      <c r="B9222" s="13"/>
    </row>
    <row r="9223" spans="1:2" x14ac:dyDescent="0.2">
      <c r="A9223" s="12"/>
      <c r="B9223" s="13"/>
    </row>
    <row r="9224" spans="1:2" x14ac:dyDescent="0.2">
      <c r="A9224" s="12"/>
      <c r="B9224" s="13"/>
    </row>
    <row r="9225" spans="1:2" x14ac:dyDescent="0.2">
      <c r="A9225" s="12"/>
      <c r="B9225" s="13"/>
    </row>
    <row r="9226" spans="1:2" x14ac:dyDescent="0.2">
      <c r="A9226" s="12"/>
      <c r="B9226" s="13"/>
    </row>
    <row r="9227" spans="1:2" x14ac:dyDescent="0.2">
      <c r="A9227" s="12"/>
      <c r="B9227" s="13"/>
    </row>
    <row r="9228" spans="1:2" x14ac:dyDescent="0.2">
      <c r="A9228" s="12"/>
      <c r="B9228" s="13"/>
    </row>
    <row r="9229" spans="1:2" x14ac:dyDescent="0.2">
      <c r="A9229" s="12"/>
      <c r="B9229" s="13"/>
    </row>
    <row r="9230" spans="1:2" x14ac:dyDescent="0.2">
      <c r="A9230" s="12"/>
      <c r="B9230" s="13"/>
    </row>
    <row r="9231" spans="1:2" x14ac:dyDescent="0.2">
      <c r="A9231" s="12"/>
      <c r="B9231" s="13"/>
    </row>
    <row r="9232" spans="1:2" x14ac:dyDescent="0.2">
      <c r="A9232" s="12"/>
      <c r="B9232" s="13"/>
    </row>
    <row r="9233" spans="1:2" x14ac:dyDescent="0.2">
      <c r="A9233" s="12"/>
      <c r="B9233" s="13"/>
    </row>
    <row r="9234" spans="1:2" x14ac:dyDescent="0.2">
      <c r="A9234" s="12"/>
      <c r="B9234" s="13"/>
    </row>
    <row r="9235" spans="1:2" x14ac:dyDescent="0.2">
      <c r="A9235" s="12"/>
      <c r="B9235" s="13"/>
    </row>
    <row r="9236" spans="1:2" x14ac:dyDescent="0.2">
      <c r="A9236" s="12"/>
      <c r="B9236" s="13"/>
    </row>
    <row r="9237" spans="1:2" x14ac:dyDescent="0.2">
      <c r="A9237" s="12"/>
      <c r="B9237" s="13"/>
    </row>
    <row r="9238" spans="1:2" x14ac:dyDescent="0.2">
      <c r="A9238" s="12"/>
      <c r="B9238" s="13"/>
    </row>
    <row r="9239" spans="1:2" x14ac:dyDescent="0.2">
      <c r="A9239" s="12"/>
      <c r="B9239" s="13"/>
    </row>
    <row r="9240" spans="1:2" x14ac:dyDescent="0.2">
      <c r="A9240" s="12"/>
      <c r="B9240" s="13"/>
    </row>
    <row r="9241" spans="1:2" x14ac:dyDescent="0.2">
      <c r="A9241" s="12"/>
      <c r="B9241" s="13"/>
    </row>
    <row r="9242" spans="1:2" x14ac:dyDescent="0.2">
      <c r="A9242" s="12"/>
      <c r="B9242" s="13"/>
    </row>
    <row r="9243" spans="1:2" x14ac:dyDescent="0.2">
      <c r="A9243" s="12"/>
      <c r="B9243" s="13"/>
    </row>
    <row r="9244" spans="1:2" x14ac:dyDescent="0.2">
      <c r="A9244" s="12"/>
      <c r="B9244" s="13"/>
    </row>
    <row r="9245" spans="1:2" x14ac:dyDescent="0.2">
      <c r="A9245" s="12"/>
      <c r="B9245" s="13"/>
    </row>
    <row r="9246" spans="1:2" x14ac:dyDescent="0.2">
      <c r="A9246" s="12"/>
      <c r="B9246" s="13"/>
    </row>
    <row r="9247" spans="1:2" x14ac:dyDescent="0.2">
      <c r="A9247" s="12"/>
      <c r="B9247" s="13"/>
    </row>
    <row r="9248" spans="1:2" x14ac:dyDescent="0.2">
      <c r="A9248" s="12"/>
      <c r="B9248" s="13"/>
    </row>
    <row r="9249" spans="1:2" x14ac:dyDescent="0.2">
      <c r="A9249" s="12"/>
      <c r="B9249" s="13"/>
    </row>
    <row r="9250" spans="1:2" x14ac:dyDescent="0.2">
      <c r="A9250" s="12"/>
      <c r="B9250" s="13"/>
    </row>
    <row r="9251" spans="1:2" x14ac:dyDescent="0.2">
      <c r="A9251" s="12"/>
      <c r="B9251" s="13"/>
    </row>
    <row r="9252" spans="1:2" x14ac:dyDescent="0.2">
      <c r="A9252" s="12"/>
      <c r="B9252" s="13"/>
    </row>
    <row r="9253" spans="1:2" x14ac:dyDescent="0.2">
      <c r="A9253" s="12"/>
      <c r="B9253" s="13"/>
    </row>
    <row r="9254" spans="1:2" x14ac:dyDescent="0.2">
      <c r="A9254" s="12"/>
      <c r="B9254" s="13"/>
    </row>
    <row r="9255" spans="1:2" x14ac:dyDescent="0.2">
      <c r="A9255" s="12"/>
      <c r="B9255" s="13"/>
    </row>
    <row r="9256" spans="1:2" x14ac:dyDescent="0.2">
      <c r="A9256" s="12"/>
      <c r="B9256" s="13"/>
    </row>
    <row r="9257" spans="1:2" x14ac:dyDescent="0.2">
      <c r="A9257" s="12"/>
      <c r="B9257" s="13"/>
    </row>
    <row r="9258" spans="1:2" x14ac:dyDescent="0.2">
      <c r="A9258" s="12"/>
      <c r="B9258" s="13"/>
    </row>
    <row r="9259" spans="1:2" x14ac:dyDescent="0.2">
      <c r="A9259" s="12"/>
      <c r="B9259" s="13"/>
    </row>
    <row r="9260" spans="1:2" x14ac:dyDescent="0.2">
      <c r="A9260" s="12"/>
      <c r="B9260" s="13"/>
    </row>
    <row r="9261" spans="1:2" x14ac:dyDescent="0.2">
      <c r="A9261" s="12"/>
      <c r="B9261" s="13"/>
    </row>
    <row r="9262" spans="1:2" x14ac:dyDescent="0.2">
      <c r="A9262" s="12"/>
      <c r="B9262" s="13"/>
    </row>
    <row r="9263" spans="1:2" x14ac:dyDescent="0.2">
      <c r="A9263" s="12"/>
      <c r="B9263" s="13"/>
    </row>
    <row r="9264" spans="1:2" x14ac:dyDescent="0.2">
      <c r="A9264" s="12"/>
      <c r="B9264" s="13"/>
    </row>
    <row r="9265" spans="1:2" x14ac:dyDescent="0.2">
      <c r="A9265" s="12"/>
      <c r="B9265" s="13"/>
    </row>
    <row r="9266" spans="1:2" x14ac:dyDescent="0.2">
      <c r="A9266" s="12"/>
      <c r="B9266" s="13"/>
    </row>
    <row r="9267" spans="1:2" x14ac:dyDescent="0.2">
      <c r="A9267" s="12"/>
      <c r="B9267" s="13"/>
    </row>
    <row r="9268" spans="1:2" x14ac:dyDescent="0.2">
      <c r="A9268" s="12"/>
      <c r="B9268" s="13"/>
    </row>
    <row r="9269" spans="1:2" x14ac:dyDescent="0.2">
      <c r="A9269" s="12"/>
      <c r="B9269" s="13"/>
    </row>
    <row r="9270" spans="1:2" x14ac:dyDescent="0.2">
      <c r="A9270" s="12"/>
      <c r="B9270" s="13"/>
    </row>
    <row r="9271" spans="1:2" x14ac:dyDescent="0.2">
      <c r="A9271" s="12"/>
      <c r="B9271" s="13"/>
    </row>
    <row r="9272" spans="1:2" x14ac:dyDescent="0.2">
      <c r="A9272" s="12"/>
      <c r="B9272" s="13"/>
    </row>
    <row r="9273" spans="1:2" x14ac:dyDescent="0.2">
      <c r="A9273" s="12"/>
      <c r="B9273" s="13"/>
    </row>
    <row r="9274" spans="1:2" x14ac:dyDescent="0.2">
      <c r="A9274" s="12"/>
      <c r="B9274" s="13"/>
    </row>
    <row r="9275" spans="1:2" x14ac:dyDescent="0.2">
      <c r="A9275" s="12"/>
      <c r="B9275" s="13"/>
    </row>
    <row r="9276" spans="1:2" x14ac:dyDescent="0.2">
      <c r="A9276" s="12"/>
      <c r="B9276" s="13"/>
    </row>
    <row r="9277" spans="1:2" x14ac:dyDescent="0.2">
      <c r="A9277" s="12"/>
      <c r="B9277" s="13"/>
    </row>
    <row r="9278" spans="1:2" x14ac:dyDescent="0.2">
      <c r="A9278" s="12"/>
      <c r="B9278" s="13"/>
    </row>
    <row r="9279" spans="1:2" x14ac:dyDescent="0.2">
      <c r="A9279" s="12"/>
      <c r="B9279" s="13"/>
    </row>
    <row r="9280" spans="1:2" x14ac:dyDescent="0.2">
      <c r="A9280" s="12"/>
      <c r="B9280" s="13"/>
    </row>
    <row r="9281" spans="1:2" x14ac:dyDescent="0.2">
      <c r="A9281" s="12"/>
      <c r="B9281" s="13"/>
    </row>
    <row r="9282" spans="1:2" x14ac:dyDescent="0.2">
      <c r="A9282" s="12"/>
      <c r="B9282" s="13"/>
    </row>
    <row r="9283" spans="1:2" x14ac:dyDescent="0.2">
      <c r="A9283" s="12"/>
      <c r="B9283" s="13"/>
    </row>
    <row r="9284" spans="1:2" x14ac:dyDescent="0.2">
      <c r="A9284" s="12"/>
      <c r="B9284" s="13"/>
    </row>
    <row r="9285" spans="1:2" x14ac:dyDescent="0.2">
      <c r="A9285" s="12"/>
      <c r="B9285" s="13"/>
    </row>
    <row r="9286" spans="1:2" x14ac:dyDescent="0.2">
      <c r="A9286" s="12"/>
      <c r="B9286" s="13"/>
    </row>
    <row r="9287" spans="1:2" x14ac:dyDescent="0.2">
      <c r="A9287" s="12"/>
      <c r="B9287" s="13"/>
    </row>
    <row r="9288" spans="1:2" x14ac:dyDescent="0.2">
      <c r="A9288" s="12"/>
      <c r="B9288" s="13"/>
    </row>
    <row r="9289" spans="1:2" x14ac:dyDescent="0.2">
      <c r="A9289" s="12"/>
      <c r="B9289" s="13"/>
    </row>
    <row r="9290" spans="1:2" x14ac:dyDescent="0.2">
      <c r="A9290" s="12"/>
      <c r="B9290" s="13"/>
    </row>
    <row r="9291" spans="1:2" x14ac:dyDescent="0.2">
      <c r="A9291" s="12"/>
      <c r="B9291" s="13"/>
    </row>
    <row r="9292" spans="1:2" x14ac:dyDescent="0.2">
      <c r="A9292" s="12"/>
      <c r="B9292" s="13"/>
    </row>
    <row r="9293" spans="1:2" x14ac:dyDescent="0.2">
      <c r="A9293" s="12"/>
      <c r="B9293" s="13"/>
    </row>
    <row r="9294" spans="1:2" x14ac:dyDescent="0.2">
      <c r="A9294" s="12"/>
      <c r="B9294" s="13"/>
    </row>
    <row r="9295" spans="1:2" x14ac:dyDescent="0.2">
      <c r="A9295" s="12"/>
      <c r="B9295" s="13"/>
    </row>
    <row r="9296" spans="1:2" x14ac:dyDescent="0.2">
      <c r="A9296" s="12"/>
      <c r="B9296" s="13"/>
    </row>
    <row r="9297" spans="1:2" x14ac:dyDescent="0.2">
      <c r="A9297" s="12"/>
      <c r="B9297" s="13"/>
    </row>
    <row r="9298" spans="1:2" x14ac:dyDescent="0.2">
      <c r="A9298" s="12"/>
      <c r="B9298" s="13"/>
    </row>
    <row r="9299" spans="1:2" x14ac:dyDescent="0.2">
      <c r="A9299" s="12"/>
      <c r="B9299" s="13"/>
    </row>
    <row r="9300" spans="1:2" x14ac:dyDescent="0.2">
      <c r="A9300" s="12"/>
      <c r="B9300" s="13"/>
    </row>
    <row r="9301" spans="1:2" x14ac:dyDescent="0.2">
      <c r="A9301" s="12"/>
      <c r="B9301" s="13"/>
    </row>
    <row r="9302" spans="1:2" x14ac:dyDescent="0.2">
      <c r="A9302" s="12"/>
      <c r="B9302" s="13"/>
    </row>
    <row r="9303" spans="1:2" x14ac:dyDescent="0.2">
      <c r="A9303" s="12"/>
      <c r="B9303" s="13"/>
    </row>
    <row r="9304" spans="1:2" x14ac:dyDescent="0.2">
      <c r="A9304" s="12"/>
      <c r="B9304" s="13"/>
    </row>
    <row r="9305" spans="1:2" x14ac:dyDescent="0.2">
      <c r="A9305" s="12"/>
      <c r="B9305" s="13"/>
    </row>
    <row r="9306" spans="1:2" x14ac:dyDescent="0.2">
      <c r="A9306" s="12"/>
      <c r="B9306" s="13"/>
    </row>
    <row r="9307" spans="1:2" x14ac:dyDescent="0.2">
      <c r="A9307" s="12"/>
      <c r="B9307" s="13"/>
    </row>
    <row r="9308" spans="1:2" x14ac:dyDescent="0.2">
      <c r="A9308" s="12"/>
      <c r="B9308" s="13"/>
    </row>
    <row r="9309" spans="1:2" x14ac:dyDescent="0.2">
      <c r="A9309" s="12"/>
      <c r="B9309" s="13"/>
    </row>
    <row r="9310" spans="1:2" x14ac:dyDescent="0.2">
      <c r="A9310" s="12"/>
      <c r="B9310" s="13"/>
    </row>
    <row r="9311" spans="1:2" x14ac:dyDescent="0.2">
      <c r="A9311" s="12"/>
      <c r="B9311" s="13"/>
    </row>
    <row r="9312" spans="1:2" x14ac:dyDescent="0.2">
      <c r="A9312" s="12"/>
      <c r="B9312" s="13"/>
    </row>
    <row r="9313" spans="1:2" x14ac:dyDescent="0.2">
      <c r="A9313" s="12"/>
      <c r="B9313" s="13"/>
    </row>
    <row r="9314" spans="1:2" x14ac:dyDescent="0.2">
      <c r="A9314" s="12"/>
      <c r="B9314" s="13"/>
    </row>
    <row r="9315" spans="1:2" x14ac:dyDescent="0.2">
      <c r="A9315" s="12"/>
      <c r="B9315" s="13"/>
    </row>
    <row r="9316" spans="1:2" x14ac:dyDescent="0.2">
      <c r="A9316" s="12"/>
      <c r="B9316" s="13"/>
    </row>
    <row r="9317" spans="1:2" x14ac:dyDescent="0.2">
      <c r="A9317" s="12"/>
      <c r="B9317" s="13"/>
    </row>
    <row r="9318" spans="1:2" x14ac:dyDescent="0.2">
      <c r="A9318" s="12"/>
      <c r="B9318" s="13"/>
    </row>
    <row r="9319" spans="1:2" x14ac:dyDescent="0.2">
      <c r="A9319" s="12"/>
      <c r="B9319" s="13"/>
    </row>
    <row r="9320" spans="1:2" x14ac:dyDescent="0.2">
      <c r="A9320" s="12"/>
      <c r="B9320" s="13"/>
    </row>
    <row r="9321" spans="1:2" x14ac:dyDescent="0.2">
      <c r="A9321" s="12"/>
      <c r="B9321" s="13"/>
    </row>
    <row r="9322" spans="1:2" x14ac:dyDescent="0.2">
      <c r="A9322" s="12"/>
      <c r="B9322" s="13"/>
    </row>
    <row r="9323" spans="1:2" x14ac:dyDescent="0.2">
      <c r="A9323" s="12"/>
      <c r="B9323" s="13"/>
    </row>
    <row r="9324" spans="1:2" x14ac:dyDescent="0.2">
      <c r="A9324" s="12"/>
      <c r="B9324" s="13"/>
    </row>
    <row r="9325" spans="1:2" x14ac:dyDescent="0.2">
      <c r="A9325" s="12"/>
      <c r="B9325" s="13"/>
    </row>
    <row r="9326" spans="1:2" x14ac:dyDescent="0.2">
      <c r="A9326" s="12"/>
      <c r="B9326" s="13"/>
    </row>
    <row r="9327" spans="1:2" x14ac:dyDescent="0.2">
      <c r="A9327" s="12"/>
      <c r="B9327" s="13"/>
    </row>
    <row r="9328" spans="1:2" x14ac:dyDescent="0.2">
      <c r="A9328" s="12"/>
      <c r="B9328" s="13"/>
    </row>
    <row r="9329" spans="1:2" x14ac:dyDescent="0.2">
      <c r="A9329" s="12"/>
      <c r="B9329" s="13"/>
    </row>
    <row r="9330" spans="1:2" x14ac:dyDescent="0.2">
      <c r="A9330" s="12"/>
      <c r="B9330" s="13"/>
    </row>
    <row r="9331" spans="1:2" x14ac:dyDescent="0.2">
      <c r="A9331" s="12"/>
      <c r="B9331" s="13"/>
    </row>
    <row r="9332" spans="1:2" x14ac:dyDescent="0.2">
      <c r="A9332" s="12"/>
      <c r="B9332" s="13"/>
    </row>
    <row r="9333" spans="1:2" x14ac:dyDescent="0.2">
      <c r="A9333" s="12"/>
      <c r="B9333" s="13"/>
    </row>
    <row r="9334" spans="1:2" x14ac:dyDescent="0.2">
      <c r="A9334" s="12"/>
      <c r="B9334" s="13"/>
    </row>
    <row r="9335" spans="1:2" x14ac:dyDescent="0.2">
      <c r="A9335" s="12"/>
      <c r="B9335" s="13"/>
    </row>
    <row r="9336" spans="1:2" x14ac:dyDescent="0.2">
      <c r="A9336" s="12"/>
      <c r="B9336" s="13"/>
    </row>
    <row r="9337" spans="1:2" x14ac:dyDescent="0.2">
      <c r="A9337" s="12"/>
      <c r="B9337" s="13"/>
    </row>
    <row r="9338" spans="1:2" x14ac:dyDescent="0.2">
      <c r="A9338" s="12"/>
      <c r="B9338" s="13"/>
    </row>
    <row r="9339" spans="1:2" x14ac:dyDescent="0.2">
      <c r="A9339" s="12"/>
      <c r="B9339" s="13"/>
    </row>
    <row r="9340" spans="1:2" x14ac:dyDescent="0.2">
      <c r="A9340" s="12"/>
      <c r="B9340" s="13"/>
    </row>
    <row r="9341" spans="1:2" x14ac:dyDescent="0.2">
      <c r="A9341" s="12"/>
      <c r="B9341" s="13"/>
    </row>
    <row r="9342" spans="1:2" x14ac:dyDescent="0.2">
      <c r="A9342" s="12"/>
      <c r="B9342" s="13"/>
    </row>
    <row r="9343" spans="1:2" x14ac:dyDescent="0.2">
      <c r="A9343" s="12"/>
      <c r="B9343" s="13"/>
    </row>
    <row r="9344" spans="1:2" x14ac:dyDescent="0.2">
      <c r="A9344" s="12"/>
      <c r="B9344" s="13"/>
    </row>
    <row r="9345" spans="1:2" x14ac:dyDescent="0.2">
      <c r="A9345" s="12"/>
      <c r="B9345" s="13"/>
    </row>
    <row r="9346" spans="1:2" x14ac:dyDescent="0.2">
      <c r="A9346" s="12"/>
      <c r="B9346" s="13"/>
    </row>
    <row r="9347" spans="1:2" x14ac:dyDescent="0.2">
      <c r="A9347" s="12"/>
      <c r="B9347" s="13"/>
    </row>
    <row r="9348" spans="1:2" x14ac:dyDescent="0.2">
      <c r="A9348" s="12"/>
      <c r="B9348" s="13"/>
    </row>
    <row r="9349" spans="1:2" x14ac:dyDescent="0.2">
      <c r="A9349" s="12"/>
      <c r="B9349" s="13"/>
    </row>
    <row r="9350" spans="1:2" x14ac:dyDescent="0.2">
      <c r="A9350" s="12"/>
      <c r="B9350" s="13"/>
    </row>
    <row r="9351" spans="1:2" x14ac:dyDescent="0.2">
      <c r="A9351" s="12"/>
      <c r="B9351" s="13"/>
    </row>
    <row r="9352" spans="1:2" x14ac:dyDescent="0.2">
      <c r="A9352" s="12"/>
      <c r="B9352" s="13"/>
    </row>
    <row r="9353" spans="1:2" x14ac:dyDescent="0.2">
      <c r="A9353" s="12"/>
      <c r="B9353" s="13"/>
    </row>
    <row r="9354" spans="1:2" x14ac:dyDescent="0.2">
      <c r="A9354" s="12"/>
      <c r="B9354" s="13"/>
    </row>
    <row r="9355" spans="1:2" x14ac:dyDescent="0.2">
      <c r="A9355" s="12"/>
      <c r="B9355" s="13"/>
    </row>
    <row r="9356" spans="1:2" x14ac:dyDescent="0.2">
      <c r="A9356" s="12"/>
      <c r="B9356" s="13"/>
    </row>
    <row r="9357" spans="1:2" x14ac:dyDescent="0.2">
      <c r="A9357" s="12"/>
      <c r="B9357" s="13"/>
    </row>
    <row r="9358" spans="1:2" x14ac:dyDescent="0.2">
      <c r="A9358" s="12"/>
      <c r="B9358" s="13"/>
    </row>
    <row r="9359" spans="1:2" x14ac:dyDescent="0.2">
      <c r="A9359" s="12"/>
      <c r="B9359" s="13"/>
    </row>
    <row r="9360" spans="1:2" x14ac:dyDescent="0.2">
      <c r="A9360" s="12"/>
      <c r="B9360" s="13"/>
    </row>
    <row r="9361" spans="1:2" x14ac:dyDescent="0.2">
      <c r="A9361" s="12"/>
      <c r="B9361" s="13"/>
    </row>
    <row r="9362" spans="1:2" x14ac:dyDescent="0.2">
      <c r="A9362" s="12"/>
      <c r="B9362" s="13"/>
    </row>
    <row r="9363" spans="1:2" x14ac:dyDescent="0.2">
      <c r="A9363" s="12"/>
      <c r="B9363" s="13"/>
    </row>
    <row r="9364" spans="1:2" x14ac:dyDescent="0.2">
      <c r="A9364" s="12"/>
      <c r="B9364" s="13"/>
    </row>
    <row r="9365" spans="1:2" x14ac:dyDescent="0.2">
      <c r="A9365" s="12"/>
      <c r="B9365" s="13"/>
    </row>
    <row r="9366" spans="1:2" x14ac:dyDescent="0.2">
      <c r="A9366" s="12"/>
      <c r="B9366" s="13"/>
    </row>
    <row r="9367" spans="1:2" x14ac:dyDescent="0.2">
      <c r="A9367" s="12"/>
      <c r="B9367" s="13"/>
    </row>
    <row r="9368" spans="1:2" x14ac:dyDescent="0.2">
      <c r="A9368" s="12"/>
      <c r="B9368" s="13"/>
    </row>
    <row r="9369" spans="1:2" x14ac:dyDescent="0.2">
      <c r="A9369" s="12"/>
      <c r="B9369" s="13"/>
    </row>
    <row r="9370" spans="1:2" x14ac:dyDescent="0.2">
      <c r="A9370" s="12"/>
      <c r="B9370" s="13"/>
    </row>
    <row r="9371" spans="1:2" x14ac:dyDescent="0.2">
      <c r="A9371" s="12"/>
      <c r="B9371" s="13"/>
    </row>
    <row r="9372" spans="1:2" x14ac:dyDescent="0.2">
      <c r="A9372" s="12"/>
      <c r="B9372" s="13"/>
    </row>
    <row r="9373" spans="1:2" x14ac:dyDescent="0.2">
      <c r="A9373" s="12"/>
      <c r="B9373" s="13"/>
    </row>
    <row r="9374" spans="1:2" x14ac:dyDescent="0.2">
      <c r="A9374" s="12"/>
      <c r="B9374" s="13"/>
    </row>
    <row r="9375" spans="1:2" x14ac:dyDescent="0.2">
      <c r="A9375" s="12"/>
      <c r="B9375" s="13"/>
    </row>
    <row r="9376" spans="1:2" x14ac:dyDescent="0.2">
      <c r="A9376" s="12"/>
      <c r="B9376" s="13"/>
    </row>
    <row r="9377" spans="1:2" x14ac:dyDescent="0.2">
      <c r="A9377" s="12"/>
      <c r="B9377" s="13"/>
    </row>
    <row r="9378" spans="1:2" x14ac:dyDescent="0.2">
      <c r="A9378" s="12"/>
      <c r="B9378" s="13"/>
    </row>
    <row r="9379" spans="1:2" x14ac:dyDescent="0.2">
      <c r="A9379" s="12"/>
      <c r="B9379" s="13"/>
    </row>
    <row r="9380" spans="1:2" x14ac:dyDescent="0.2">
      <c r="A9380" s="12"/>
      <c r="B9380" s="13"/>
    </row>
    <row r="9381" spans="1:2" x14ac:dyDescent="0.2">
      <c r="A9381" s="12"/>
      <c r="B9381" s="13"/>
    </row>
    <row r="9382" spans="1:2" x14ac:dyDescent="0.2">
      <c r="A9382" s="12"/>
      <c r="B9382" s="13"/>
    </row>
    <row r="9383" spans="1:2" x14ac:dyDescent="0.2">
      <c r="A9383" s="12"/>
      <c r="B9383" s="13"/>
    </row>
    <row r="9384" spans="1:2" x14ac:dyDescent="0.2">
      <c r="A9384" s="12"/>
      <c r="B9384" s="13"/>
    </row>
    <row r="9385" spans="1:2" x14ac:dyDescent="0.2">
      <c r="A9385" s="12"/>
      <c r="B9385" s="13"/>
    </row>
    <row r="9386" spans="1:2" x14ac:dyDescent="0.2">
      <c r="A9386" s="12"/>
      <c r="B9386" s="13"/>
    </row>
    <row r="9387" spans="1:2" x14ac:dyDescent="0.2">
      <c r="A9387" s="12"/>
      <c r="B9387" s="13"/>
    </row>
    <row r="9388" spans="1:2" x14ac:dyDescent="0.2">
      <c r="A9388" s="12"/>
      <c r="B9388" s="13"/>
    </row>
    <row r="9389" spans="1:2" x14ac:dyDescent="0.2">
      <c r="A9389" s="12"/>
      <c r="B9389" s="13"/>
    </row>
    <row r="9390" spans="1:2" x14ac:dyDescent="0.2">
      <c r="A9390" s="12"/>
      <c r="B9390" s="13"/>
    </row>
    <row r="9391" spans="1:2" x14ac:dyDescent="0.2">
      <c r="A9391" s="12"/>
      <c r="B9391" s="13"/>
    </row>
    <row r="9392" spans="1:2" x14ac:dyDescent="0.2">
      <c r="A9392" s="12"/>
      <c r="B9392" s="13"/>
    </row>
    <row r="9393" spans="1:2" x14ac:dyDescent="0.2">
      <c r="A9393" s="12"/>
      <c r="B9393" s="13"/>
    </row>
    <row r="9394" spans="1:2" x14ac:dyDescent="0.2">
      <c r="A9394" s="12"/>
      <c r="B9394" s="13"/>
    </row>
    <row r="9395" spans="1:2" x14ac:dyDescent="0.2">
      <c r="A9395" s="12"/>
      <c r="B9395" s="13"/>
    </row>
    <row r="9396" spans="1:2" x14ac:dyDescent="0.2">
      <c r="A9396" s="12"/>
      <c r="B9396" s="13"/>
    </row>
    <row r="9397" spans="1:2" x14ac:dyDescent="0.2">
      <c r="A9397" s="12"/>
      <c r="B9397" s="13"/>
    </row>
    <row r="9398" spans="1:2" x14ac:dyDescent="0.2">
      <c r="A9398" s="12"/>
      <c r="B9398" s="13"/>
    </row>
    <row r="9399" spans="1:2" x14ac:dyDescent="0.2">
      <c r="A9399" s="12"/>
      <c r="B9399" s="13"/>
    </row>
    <row r="9400" spans="1:2" x14ac:dyDescent="0.2">
      <c r="A9400" s="12"/>
      <c r="B9400" s="13"/>
    </row>
    <row r="9401" spans="1:2" x14ac:dyDescent="0.2">
      <c r="A9401" s="12"/>
      <c r="B9401" s="13"/>
    </row>
    <row r="9402" spans="1:2" x14ac:dyDescent="0.2">
      <c r="A9402" s="12"/>
      <c r="B9402" s="13"/>
    </row>
    <row r="9403" spans="1:2" x14ac:dyDescent="0.2">
      <c r="A9403" s="12"/>
      <c r="B9403" s="13"/>
    </row>
    <row r="9404" spans="1:2" x14ac:dyDescent="0.2">
      <c r="A9404" s="12"/>
      <c r="B9404" s="13"/>
    </row>
    <row r="9405" spans="1:2" x14ac:dyDescent="0.2">
      <c r="A9405" s="12"/>
      <c r="B9405" s="13"/>
    </row>
    <row r="9406" spans="1:2" x14ac:dyDescent="0.2">
      <c r="A9406" s="12"/>
      <c r="B9406" s="13"/>
    </row>
    <row r="9407" spans="1:2" x14ac:dyDescent="0.2">
      <c r="A9407" s="12"/>
      <c r="B9407" s="13"/>
    </row>
    <row r="9408" spans="1:2" x14ac:dyDescent="0.2">
      <c r="A9408" s="12"/>
      <c r="B9408" s="13"/>
    </row>
    <row r="9409" spans="1:2" x14ac:dyDescent="0.2">
      <c r="A9409" s="12"/>
      <c r="B9409" s="13"/>
    </row>
    <row r="9410" spans="1:2" x14ac:dyDescent="0.2">
      <c r="A9410" s="12"/>
      <c r="B9410" s="13"/>
    </row>
    <row r="9411" spans="1:2" x14ac:dyDescent="0.2">
      <c r="A9411" s="12"/>
      <c r="B9411" s="13"/>
    </row>
    <row r="9412" spans="1:2" x14ac:dyDescent="0.2">
      <c r="A9412" s="12"/>
      <c r="B9412" s="13"/>
    </row>
    <row r="9413" spans="1:2" x14ac:dyDescent="0.2">
      <c r="A9413" s="12"/>
      <c r="B9413" s="13"/>
    </row>
    <row r="9414" spans="1:2" x14ac:dyDescent="0.2">
      <c r="A9414" s="12"/>
      <c r="B9414" s="13"/>
    </row>
    <row r="9415" spans="1:2" x14ac:dyDescent="0.2">
      <c r="A9415" s="12"/>
      <c r="B9415" s="13"/>
    </row>
    <row r="9416" spans="1:2" x14ac:dyDescent="0.2">
      <c r="A9416" s="12"/>
      <c r="B9416" s="13"/>
    </row>
    <row r="9417" spans="1:2" x14ac:dyDescent="0.2">
      <c r="A9417" s="12"/>
      <c r="B9417" s="13"/>
    </row>
    <row r="9418" spans="1:2" x14ac:dyDescent="0.2">
      <c r="A9418" s="12"/>
      <c r="B9418" s="13"/>
    </row>
    <row r="9419" spans="1:2" x14ac:dyDescent="0.2">
      <c r="A9419" s="12"/>
      <c r="B9419" s="13"/>
    </row>
    <row r="9420" spans="1:2" x14ac:dyDescent="0.2">
      <c r="A9420" s="12"/>
      <c r="B9420" s="13"/>
    </row>
    <row r="9421" spans="1:2" x14ac:dyDescent="0.2">
      <c r="A9421" s="12"/>
      <c r="B9421" s="13"/>
    </row>
    <row r="9422" spans="1:2" x14ac:dyDescent="0.2">
      <c r="A9422" s="12"/>
      <c r="B9422" s="13"/>
    </row>
    <row r="9423" spans="1:2" x14ac:dyDescent="0.2">
      <c r="A9423" s="12"/>
      <c r="B9423" s="13"/>
    </row>
    <row r="9424" spans="1:2" x14ac:dyDescent="0.2">
      <c r="A9424" s="12"/>
      <c r="B9424" s="13"/>
    </row>
    <row r="9425" spans="1:2" x14ac:dyDescent="0.2">
      <c r="A9425" s="12"/>
      <c r="B9425" s="13"/>
    </row>
    <row r="9426" spans="1:2" x14ac:dyDescent="0.2">
      <c r="A9426" s="12"/>
      <c r="B9426" s="13"/>
    </row>
    <row r="9427" spans="1:2" x14ac:dyDescent="0.2">
      <c r="A9427" s="12"/>
      <c r="B9427" s="13"/>
    </row>
    <row r="9428" spans="1:2" x14ac:dyDescent="0.2">
      <c r="A9428" s="12"/>
      <c r="B9428" s="13"/>
    </row>
    <row r="9429" spans="1:2" x14ac:dyDescent="0.2">
      <c r="A9429" s="12"/>
      <c r="B9429" s="13"/>
    </row>
    <row r="9430" spans="1:2" x14ac:dyDescent="0.2">
      <c r="A9430" s="12"/>
      <c r="B9430" s="13"/>
    </row>
    <row r="9431" spans="1:2" x14ac:dyDescent="0.2">
      <c r="A9431" s="12"/>
      <c r="B9431" s="13"/>
    </row>
    <row r="9432" spans="1:2" x14ac:dyDescent="0.2">
      <c r="A9432" s="12"/>
      <c r="B9432" s="13"/>
    </row>
    <row r="9433" spans="1:2" x14ac:dyDescent="0.2">
      <c r="A9433" s="12"/>
      <c r="B9433" s="13"/>
    </row>
    <row r="9434" spans="1:2" x14ac:dyDescent="0.2">
      <c r="A9434" s="12"/>
      <c r="B9434" s="13"/>
    </row>
    <row r="9435" spans="1:2" x14ac:dyDescent="0.2">
      <c r="A9435" s="12"/>
      <c r="B9435" s="13"/>
    </row>
    <row r="9436" spans="1:2" x14ac:dyDescent="0.2">
      <c r="A9436" s="12"/>
      <c r="B9436" s="13"/>
    </row>
    <row r="9437" spans="1:2" x14ac:dyDescent="0.2">
      <c r="A9437" s="12"/>
      <c r="B9437" s="13"/>
    </row>
    <row r="9438" spans="1:2" x14ac:dyDescent="0.2">
      <c r="A9438" s="12"/>
      <c r="B9438" s="13"/>
    </row>
    <row r="9439" spans="1:2" x14ac:dyDescent="0.2">
      <c r="A9439" s="12"/>
      <c r="B9439" s="13"/>
    </row>
    <row r="9440" spans="1:2" x14ac:dyDescent="0.2">
      <c r="A9440" s="12"/>
      <c r="B9440" s="13"/>
    </row>
    <row r="9441" spans="1:2" x14ac:dyDescent="0.2">
      <c r="A9441" s="12"/>
      <c r="B9441" s="13"/>
    </row>
    <row r="9442" spans="1:2" x14ac:dyDescent="0.2">
      <c r="A9442" s="12"/>
      <c r="B9442" s="13"/>
    </row>
    <row r="9443" spans="1:2" x14ac:dyDescent="0.2">
      <c r="A9443" s="12"/>
      <c r="B9443" s="13"/>
    </row>
    <row r="9444" spans="1:2" x14ac:dyDescent="0.2">
      <c r="A9444" s="12"/>
      <c r="B9444" s="13"/>
    </row>
    <row r="9445" spans="1:2" x14ac:dyDescent="0.2">
      <c r="A9445" s="12"/>
      <c r="B9445" s="13"/>
    </row>
    <row r="9446" spans="1:2" x14ac:dyDescent="0.2">
      <c r="A9446" s="12"/>
      <c r="B9446" s="13"/>
    </row>
    <row r="9447" spans="1:2" x14ac:dyDescent="0.2">
      <c r="A9447" s="12"/>
      <c r="B9447" s="13"/>
    </row>
    <row r="9448" spans="1:2" x14ac:dyDescent="0.2">
      <c r="A9448" s="12"/>
      <c r="B9448" s="13"/>
    </row>
    <row r="9449" spans="1:2" x14ac:dyDescent="0.2">
      <c r="A9449" s="12"/>
      <c r="B9449" s="13"/>
    </row>
    <row r="9450" spans="1:2" x14ac:dyDescent="0.2">
      <c r="A9450" s="12"/>
      <c r="B9450" s="13"/>
    </row>
    <row r="9451" spans="1:2" x14ac:dyDescent="0.2">
      <c r="A9451" s="12"/>
      <c r="B9451" s="13"/>
    </row>
    <row r="9452" spans="1:2" x14ac:dyDescent="0.2">
      <c r="A9452" s="12"/>
      <c r="B9452" s="13"/>
    </row>
    <row r="9453" spans="1:2" x14ac:dyDescent="0.2">
      <c r="A9453" s="12"/>
      <c r="B9453" s="13"/>
    </row>
    <row r="9454" spans="1:2" x14ac:dyDescent="0.2">
      <c r="A9454" s="12"/>
      <c r="B9454" s="13"/>
    </row>
    <row r="9455" spans="1:2" x14ac:dyDescent="0.2">
      <c r="A9455" s="12"/>
      <c r="B9455" s="13"/>
    </row>
    <row r="9456" spans="1:2" x14ac:dyDescent="0.2">
      <c r="A9456" s="12"/>
      <c r="B9456" s="13"/>
    </row>
    <row r="9457" spans="1:2" x14ac:dyDescent="0.2">
      <c r="A9457" s="12"/>
      <c r="B9457" s="13"/>
    </row>
    <row r="9458" spans="1:2" x14ac:dyDescent="0.2">
      <c r="A9458" s="12"/>
      <c r="B9458" s="13"/>
    </row>
    <row r="9459" spans="1:2" x14ac:dyDescent="0.2">
      <c r="A9459" s="12"/>
      <c r="B9459" s="13"/>
    </row>
    <row r="9460" spans="1:2" x14ac:dyDescent="0.2">
      <c r="A9460" s="12"/>
      <c r="B9460" s="13"/>
    </row>
    <row r="9461" spans="1:2" x14ac:dyDescent="0.2">
      <c r="A9461" s="12"/>
      <c r="B9461" s="13"/>
    </row>
    <row r="9462" spans="1:2" x14ac:dyDescent="0.2">
      <c r="A9462" s="12"/>
      <c r="B9462" s="13"/>
    </row>
    <row r="9463" spans="1:2" x14ac:dyDescent="0.2">
      <c r="A9463" s="12"/>
      <c r="B9463" s="13"/>
    </row>
    <row r="9464" spans="1:2" x14ac:dyDescent="0.2">
      <c r="A9464" s="12"/>
      <c r="B9464" s="13"/>
    </row>
    <row r="9465" spans="1:2" x14ac:dyDescent="0.2">
      <c r="A9465" s="12"/>
      <c r="B9465" s="13"/>
    </row>
    <row r="9466" spans="1:2" x14ac:dyDescent="0.2">
      <c r="A9466" s="12"/>
      <c r="B9466" s="13"/>
    </row>
    <row r="9467" spans="1:2" x14ac:dyDescent="0.2">
      <c r="A9467" s="12"/>
      <c r="B9467" s="13"/>
    </row>
    <row r="9468" spans="1:2" x14ac:dyDescent="0.2">
      <c r="A9468" s="12"/>
      <c r="B9468" s="13"/>
    </row>
    <row r="9469" spans="1:2" x14ac:dyDescent="0.2">
      <c r="A9469" s="12"/>
      <c r="B9469" s="13"/>
    </row>
    <row r="9470" spans="1:2" x14ac:dyDescent="0.2">
      <c r="A9470" s="12"/>
      <c r="B9470" s="13"/>
    </row>
    <row r="9471" spans="1:2" x14ac:dyDescent="0.2">
      <c r="A9471" s="12"/>
      <c r="B9471" s="13"/>
    </row>
    <row r="9472" spans="1:2" x14ac:dyDescent="0.2">
      <c r="A9472" s="12"/>
      <c r="B9472" s="13"/>
    </row>
    <row r="9473" spans="1:2" x14ac:dyDescent="0.2">
      <c r="A9473" s="12"/>
      <c r="B9473" s="13"/>
    </row>
    <row r="9474" spans="1:2" x14ac:dyDescent="0.2">
      <c r="A9474" s="12"/>
      <c r="B9474" s="13"/>
    </row>
    <row r="9475" spans="1:2" x14ac:dyDescent="0.2">
      <c r="A9475" s="12"/>
      <c r="B9475" s="13"/>
    </row>
    <row r="9476" spans="1:2" x14ac:dyDescent="0.2">
      <c r="A9476" s="12"/>
      <c r="B9476" s="13"/>
    </row>
    <row r="9477" spans="1:2" x14ac:dyDescent="0.2">
      <c r="A9477" s="12"/>
      <c r="B9477" s="13"/>
    </row>
    <row r="9478" spans="1:2" x14ac:dyDescent="0.2">
      <c r="A9478" s="12"/>
      <c r="B9478" s="13"/>
    </row>
    <row r="9479" spans="1:2" x14ac:dyDescent="0.2">
      <c r="A9479" s="12"/>
      <c r="B9479" s="13"/>
    </row>
    <row r="9480" spans="1:2" x14ac:dyDescent="0.2">
      <c r="A9480" s="12"/>
      <c r="B9480" s="13"/>
    </row>
    <row r="9481" spans="1:2" x14ac:dyDescent="0.2">
      <c r="A9481" s="12"/>
      <c r="B9481" s="13"/>
    </row>
    <row r="9482" spans="1:2" x14ac:dyDescent="0.2">
      <c r="A9482" s="12"/>
      <c r="B9482" s="13"/>
    </row>
    <row r="9483" spans="1:2" x14ac:dyDescent="0.2">
      <c r="A9483" s="12"/>
      <c r="B9483" s="13"/>
    </row>
    <row r="9484" spans="1:2" x14ac:dyDescent="0.2">
      <c r="A9484" s="12"/>
      <c r="B9484" s="13"/>
    </row>
    <row r="9485" spans="1:2" x14ac:dyDescent="0.2">
      <c r="A9485" s="12"/>
      <c r="B9485" s="13"/>
    </row>
    <row r="9486" spans="1:2" x14ac:dyDescent="0.2">
      <c r="A9486" s="12"/>
      <c r="B9486" s="13"/>
    </row>
    <row r="9487" spans="1:2" x14ac:dyDescent="0.2">
      <c r="A9487" s="12"/>
      <c r="B9487" s="13"/>
    </row>
    <row r="9488" spans="1:2" x14ac:dyDescent="0.2">
      <c r="A9488" s="12"/>
      <c r="B9488" s="13"/>
    </row>
    <row r="9489" spans="1:2" x14ac:dyDescent="0.2">
      <c r="A9489" s="12"/>
      <c r="B9489" s="13"/>
    </row>
    <row r="9490" spans="1:2" x14ac:dyDescent="0.2">
      <c r="A9490" s="12"/>
      <c r="B9490" s="13"/>
    </row>
    <row r="9491" spans="1:2" x14ac:dyDescent="0.2">
      <c r="A9491" s="12"/>
      <c r="B9491" s="13"/>
    </row>
    <row r="9492" spans="1:2" x14ac:dyDescent="0.2">
      <c r="A9492" s="12"/>
      <c r="B9492" s="13"/>
    </row>
    <row r="9493" spans="1:2" x14ac:dyDescent="0.2">
      <c r="A9493" s="12"/>
      <c r="B9493" s="13"/>
    </row>
    <row r="9494" spans="1:2" x14ac:dyDescent="0.2">
      <c r="A9494" s="12"/>
      <c r="B9494" s="13"/>
    </row>
    <row r="9495" spans="1:2" x14ac:dyDescent="0.2">
      <c r="A9495" s="12"/>
      <c r="B9495" s="13"/>
    </row>
    <row r="9496" spans="1:2" x14ac:dyDescent="0.2">
      <c r="A9496" s="12"/>
      <c r="B9496" s="13"/>
    </row>
    <row r="9497" spans="1:2" x14ac:dyDescent="0.2">
      <c r="A9497" s="12"/>
      <c r="B9497" s="13"/>
    </row>
    <row r="9498" spans="1:2" x14ac:dyDescent="0.2">
      <c r="A9498" s="12"/>
      <c r="B9498" s="13"/>
    </row>
    <row r="9499" spans="1:2" x14ac:dyDescent="0.2">
      <c r="A9499" s="12"/>
      <c r="B9499" s="13"/>
    </row>
    <row r="9500" spans="1:2" x14ac:dyDescent="0.2">
      <c r="A9500" s="12"/>
      <c r="B9500" s="13"/>
    </row>
    <row r="9501" spans="1:2" x14ac:dyDescent="0.2">
      <c r="A9501" s="12"/>
      <c r="B9501" s="13"/>
    </row>
    <row r="9502" spans="1:2" x14ac:dyDescent="0.2">
      <c r="A9502" s="12"/>
      <c r="B9502" s="13"/>
    </row>
    <row r="9503" spans="1:2" x14ac:dyDescent="0.2">
      <c r="A9503" s="12"/>
      <c r="B9503" s="13"/>
    </row>
    <row r="9504" spans="1:2" x14ac:dyDescent="0.2">
      <c r="A9504" s="12"/>
      <c r="B9504" s="13"/>
    </row>
    <row r="9505" spans="1:2" x14ac:dyDescent="0.2">
      <c r="A9505" s="12"/>
      <c r="B9505" s="13"/>
    </row>
    <row r="9506" spans="1:2" x14ac:dyDescent="0.2">
      <c r="A9506" s="12"/>
      <c r="B9506" s="13"/>
    </row>
    <row r="9507" spans="1:2" x14ac:dyDescent="0.2">
      <c r="A9507" s="12"/>
      <c r="B9507" s="13"/>
    </row>
    <row r="9508" spans="1:2" x14ac:dyDescent="0.2">
      <c r="A9508" s="12"/>
      <c r="B9508" s="13"/>
    </row>
    <row r="9509" spans="1:2" x14ac:dyDescent="0.2">
      <c r="A9509" s="12"/>
      <c r="B9509" s="13"/>
    </row>
    <row r="9510" spans="1:2" x14ac:dyDescent="0.2">
      <c r="A9510" s="12"/>
      <c r="B9510" s="13"/>
    </row>
    <row r="9511" spans="1:2" x14ac:dyDescent="0.2">
      <c r="A9511" s="12"/>
      <c r="B9511" s="13"/>
    </row>
    <row r="9512" spans="1:2" x14ac:dyDescent="0.2">
      <c r="A9512" s="12"/>
      <c r="B9512" s="13"/>
    </row>
    <row r="9513" spans="1:2" x14ac:dyDescent="0.2">
      <c r="A9513" s="12"/>
      <c r="B9513" s="13"/>
    </row>
    <row r="9514" spans="1:2" x14ac:dyDescent="0.2">
      <c r="A9514" s="12"/>
      <c r="B9514" s="13"/>
    </row>
    <row r="9515" spans="1:2" x14ac:dyDescent="0.2">
      <c r="A9515" s="12"/>
      <c r="B9515" s="13"/>
    </row>
    <row r="9516" spans="1:2" x14ac:dyDescent="0.2">
      <c r="A9516" s="12"/>
      <c r="B9516" s="13"/>
    </row>
    <row r="9517" spans="1:2" x14ac:dyDescent="0.2">
      <c r="A9517" s="12"/>
      <c r="B9517" s="13"/>
    </row>
    <row r="9518" spans="1:2" x14ac:dyDescent="0.2">
      <c r="A9518" s="12"/>
      <c r="B9518" s="13"/>
    </row>
    <row r="9519" spans="1:2" x14ac:dyDescent="0.2">
      <c r="A9519" s="12"/>
      <c r="B9519" s="13"/>
    </row>
    <row r="9520" spans="1:2" x14ac:dyDescent="0.2">
      <c r="A9520" s="12"/>
      <c r="B9520" s="13"/>
    </row>
    <row r="9521" spans="1:2" x14ac:dyDescent="0.2">
      <c r="A9521" s="12"/>
      <c r="B9521" s="13"/>
    </row>
    <row r="9522" spans="1:2" x14ac:dyDescent="0.2">
      <c r="A9522" s="12"/>
      <c r="B9522" s="13"/>
    </row>
    <row r="9523" spans="1:2" x14ac:dyDescent="0.2">
      <c r="A9523" s="12"/>
      <c r="B9523" s="13"/>
    </row>
    <row r="9524" spans="1:2" x14ac:dyDescent="0.2">
      <c r="A9524" s="12"/>
      <c r="B9524" s="13"/>
    </row>
    <row r="9525" spans="1:2" x14ac:dyDescent="0.2">
      <c r="A9525" s="12"/>
      <c r="B9525" s="13"/>
    </row>
    <row r="9526" spans="1:2" x14ac:dyDescent="0.2">
      <c r="A9526" s="12"/>
      <c r="B9526" s="13"/>
    </row>
    <row r="9527" spans="1:2" x14ac:dyDescent="0.2">
      <c r="A9527" s="12"/>
      <c r="B9527" s="13"/>
    </row>
    <row r="9528" spans="1:2" x14ac:dyDescent="0.2">
      <c r="A9528" s="12"/>
      <c r="B9528" s="13"/>
    </row>
    <row r="9529" spans="1:2" x14ac:dyDescent="0.2">
      <c r="A9529" s="12"/>
      <c r="B9529" s="13"/>
    </row>
    <row r="9530" spans="1:2" x14ac:dyDescent="0.2">
      <c r="A9530" s="12"/>
      <c r="B9530" s="13"/>
    </row>
    <row r="9531" spans="1:2" x14ac:dyDescent="0.2">
      <c r="A9531" s="12"/>
      <c r="B9531" s="13"/>
    </row>
    <row r="9532" spans="1:2" x14ac:dyDescent="0.2">
      <c r="A9532" s="12"/>
      <c r="B9532" s="13"/>
    </row>
    <row r="9533" spans="1:2" x14ac:dyDescent="0.2">
      <c r="A9533" s="12"/>
      <c r="B9533" s="13"/>
    </row>
    <row r="9534" spans="1:2" x14ac:dyDescent="0.2">
      <c r="A9534" s="12"/>
      <c r="B9534" s="13"/>
    </row>
    <row r="9535" spans="1:2" x14ac:dyDescent="0.2">
      <c r="A9535" s="12"/>
      <c r="B9535" s="13"/>
    </row>
    <row r="9536" spans="1:2" x14ac:dyDescent="0.2">
      <c r="A9536" s="12"/>
      <c r="B9536" s="13"/>
    </row>
    <row r="9537" spans="1:2" x14ac:dyDescent="0.2">
      <c r="A9537" s="12"/>
      <c r="B9537" s="13"/>
    </row>
    <row r="9538" spans="1:2" x14ac:dyDescent="0.2">
      <c r="A9538" s="12"/>
      <c r="B9538" s="13"/>
    </row>
    <row r="9539" spans="1:2" x14ac:dyDescent="0.2">
      <c r="A9539" s="12"/>
      <c r="B9539" s="13"/>
    </row>
    <row r="9540" spans="1:2" x14ac:dyDescent="0.2">
      <c r="A9540" s="12"/>
      <c r="B9540" s="13"/>
    </row>
    <row r="9541" spans="1:2" x14ac:dyDescent="0.2">
      <c r="A9541" s="12"/>
      <c r="B9541" s="13"/>
    </row>
    <row r="9542" spans="1:2" x14ac:dyDescent="0.2">
      <c r="A9542" s="12"/>
      <c r="B9542" s="13"/>
    </row>
    <row r="9543" spans="1:2" x14ac:dyDescent="0.2">
      <c r="A9543" s="12"/>
      <c r="B9543" s="13"/>
    </row>
    <row r="9544" spans="1:2" x14ac:dyDescent="0.2">
      <c r="A9544" s="12"/>
      <c r="B9544" s="13"/>
    </row>
    <row r="9545" spans="1:2" x14ac:dyDescent="0.2">
      <c r="A9545" s="12"/>
      <c r="B9545" s="13"/>
    </row>
    <row r="9546" spans="1:2" x14ac:dyDescent="0.2">
      <c r="A9546" s="12"/>
      <c r="B9546" s="13"/>
    </row>
    <row r="9547" spans="1:2" x14ac:dyDescent="0.2">
      <c r="A9547" s="12"/>
      <c r="B9547" s="13"/>
    </row>
    <row r="9548" spans="1:2" x14ac:dyDescent="0.2">
      <c r="A9548" s="12"/>
      <c r="B9548" s="13"/>
    </row>
    <row r="9549" spans="1:2" x14ac:dyDescent="0.2">
      <c r="A9549" s="12"/>
      <c r="B9549" s="13"/>
    </row>
    <row r="9550" spans="1:2" x14ac:dyDescent="0.2">
      <c r="A9550" s="12"/>
      <c r="B9550" s="13"/>
    </row>
    <row r="9551" spans="1:2" x14ac:dyDescent="0.2">
      <c r="A9551" s="12"/>
      <c r="B9551" s="13"/>
    </row>
    <row r="9552" spans="1:2" x14ac:dyDescent="0.2">
      <c r="A9552" s="12"/>
      <c r="B9552" s="13"/>
    </row>
    <row r="9553" spans="1:2" x14ac:dyDescent="0.2">
      <c r="A9553" s="12"/>
      <c r="B9553" s="13"/>
    </row>
    <row r="9554" spans="1:2" x14ac:dyDescent="0.2">
      <c r="A9554" s="12"/>
      <c r="B9554" s="13"/>
    </row>
    <row r="9555" spans="1:2" x14ac:dyDescent="0.2">
      <c r="A9555" s="12"/>
      <c r="B9555" s="13"/>
    </row>
    <row r="9556" spans="1:2" x14ac:dyDescent="0.2">
      <c r="A9556" s="12"/>
      <c r="B9556" s="13"/>
    </row>
    <row r="9557" spans="1:2" x14ac:dyDescent="0.2">
      <c r="A9557" s="12"/>
      <c r="B9557" s="13"/>
    </row>
    <row r="9558" spans="1:2" x14ac:dyDescent="0.2">
      <c r="A9558" s="12"/>
      <c r="B9558" s="13"/>
    </row>
    <row r="9559" spans="1:2" x14ac:dyDescent="0.2">
      <c r="A9559" s="12"/>
      <c r="B9559" s="13"/>
    </row>
    <row r="9560" spans="1:2" x14ac:dyDescent="0.2">
      <c r="A9560" s="12"/>
      <c r="B9560" s="13"/>
    </row>
    <row r="9561" spans="1:2" x14ac:dyDescent="0.2">
      <c r="A9561" s="12"/>
      <c r="B9561" s="13"/>
    </row>
    <row r="9562" spans="1:2" x14ac:dyDescent="0.2">
      <c r="A9562" s="12"/>
      <c r="B9562" s="13"/>
    </row>
    <row r="9563" spans="1:2" x14ac:dyDescent="0.2">
      <c r="A9563" s="12"/>
      <c r="B9563" s="13"/>
    </row>
    <row r="9564" spans="1:2" x14ac:dyDescent="0.2">
      <c r="A9564" s="12"/>
      <c r="B9564" s="13"/>
    </row>
    <row r="9565" spans="1:2" x14ac:dyDescent="0.2">
      <c r="A9565" s="12"/>
      <c r="B9565" s="13"/>
    </row>
    <row r="9566" spans="1:2" x14ac:dyDescent="0.2">
      <c r="A9566" s="12"/>
      <c r="B9566" s="13"/>
    </row>
    <row r="9567" spans="1:2" x14ac:dyDescent="0.2">
      <c r="A9567" s="12"/>
      <c r="B9567" s="13"/>
    </row>
    <row r="9568" spans="1:2" x14ac:dyDescent="0.2">
      <c r="A9568" s="12"/>
      <c r="B9568" s="13"/>
    </row>
    <row r="9569" spans="1:2" x14ac:dyDescent="0.2">
      <c r="A9569" s="12"/>
      <c r="B9569" s="13"/>
    </row>
    <row r="9570" spans="1:2" x14ac:dyDescent="0.2">
      <c r="A9570" s="12"/>
      <c r="B9570" s="13"/>
    </row>
    <row r="9571" spans="1:2" x14ac:dyDescent="0.2">
      <c r="A9571" s="12"/>
      <c r="B9571" s="13"/>
    </row>
    <row r="9572" spans="1:2" x14ac:dyDescent="0.2">
      <c r="A9572" s="12"/>
      <c r="B9572" s="13"/>
    </row>
    <row r="9573" spans="1:2" x14ac:dyDescent="0.2">
      <c r="A9573" s="12"/>
      <c r="B9573" s="13"/>
    </row>
    <row r="9574" spans="1:2" x14ac:dyDescent="0.2">
      <c r="A9574" s="12"/>
      <c r="B9574" s="13"/>
    </row>
    <row r="9575" spans="1:2" x14ac:dyDescent="0.2">
      <c r="A9575" s="12"/>
      <c r="B9575" s="13"/>
    </row>
    <row r="9576" spans="1:2" x14ac:dyDescent="0.2">
      <c r="A9576" s="12"/>
      <c r="B9576" s="13"/>
    </row>
    <row r="9577" spans="1:2" x14ac:dyDescent="0.2">
      <c r="A9577" s="12"/>
      <c r="B9577" s="13"/>
    </row>
    <row r="9578" spans="1:2" x14ac:dyDescent="0.2">
      <c r="A9578" s="12"/>
      <c r="B9578" s="13"/>
    </row>
    <row r="9579" spans="1:2" x14ac:dyDescent="0.2">
      <c r="A9579" s="12"/>
      <c r="B9579" s="13"/>
    </row>
    <row r="9580" spans="1:2" x14ac:dyDescent="0.2">
      <c r="A9580" s="12"/>
      <c r="B9580" s="13"/>
    </row>
    <row r="9581" spans="1:2" x14ac:dyDescent="0.2">
      <c r="A9581" s="12"/>
      <c r="B9581" s="13"/>
    </row>
    <row r="9582" spans="1:2" x14ac:dyDescent="0.2">
      <c r="A9582" s="12"/>
      <c r="B9582" s="13"/>
    </row>
    <row r="9583" spans="1:2" x14ac:dyDescent="0.2">
      <c r="A9583" s="12"/>
      <c r="B9583" s="13"/>
    </row>
    <row r="9584" spans="1:2" x14ac:dyDescent="0.2">
      <c r="A9584" s="12"/>
      <c r="B9584" s="13"/>
    </row>
    <row r="9585" spans="1:2" x14ac:dyDescent="0.2">
      <c r="A9585" s="12"/>
      <c r="B9585" s="13"/>
    </row>
    <row r="9586" spans="1:2" x14ac:dyDescent="0.2">
      <c r="A9586" s="12"/>
      <c r="B9586" s="13"/>
    </row>
    <row r="9587" spans="1:2" x14ac:dyDescent="0.2">
      <c r="A9587" s="12"/>
      <c r="B9587" s="13"/>
    </row>
    <row r="9588" spans="1:2" x14ac:dyDescent="0.2">
      <c r="A9588" s="12"/>
      <c r="B9588" s="13"/>
    </row>
    <row r="9589" spans="1:2" x14ac:dyDescent="0.2">
      <c r="A9589" s="12"/>
      <c r="B9589" s="13"/>
    </row>
    <row r="9590" spans="1:2" x14ac:dyDescent="0.2">
      <c r="A9590" s="12"/>
      <c r="B9590" s="13"/>
    </row>
    <row r="9591" spans="1:2" x14ac:dyDescent="0.2">
      <c r="A9591" s="12"/>
      <c r="B9591" s="13"/>
    </row>
    <row r="9592" spans="1:2" x14ac:dyDescent="0.2">
      <c r="A9592" s="12"/>
      <c r="B9592" s="13"/>
    </row>
    <row r="9593" spans="1:2" x14ac:dyDescent="0.2">
      <c r="A9593" s="12"/>
      <c r="B9593" s="13"/>
    </row>
    <row r="9594" spans="1:2" x14ac:dyDescent="0.2">
      <c r="A9594" s="12"/>
      <c r="B9594" s="13"/>
    </row>
    <row r="9595" spans="1:2" x14ac:dyDescent="0.2">
      <c r="A9595" s="12"/>
      <c r="B9595" s="13"/>
    </row>
    <row r="9596" spans="1:2" x14ac:dyDescent="0.2">
      <c r="A9596" s="12"/>
      <c r="B9596" s="13"/>
    </row>
    <row r="9597" spans="1:2" x14ac:dyDescent="0.2">
      <c r="A9597" s="12"/>
      <c r="B9597" s="13"/>
    </row>
    <row r="9598" spans="1:2" x14ac:dyDescent="0.2">
      <c r="A9598" s="12"/>
      <c r="B9598" s="13"/>
    </row>
    <row r="9599" spans="1:2" x14ac:dyDescent="0.2">
      <c r="A9599" s="12"/>
      <c r="B9599" s="13"/>
    </row>
    <row r="9600" spans="1:2" x14ac:dyDescent="0.2">
      <c r="A9600" s="12"/>
      <c r="B9600" s="13"/>
    </row>
    <row r="9601" spans="1:2" x14ac:dyDescent="0.2">
      <c r="A9601" s="12"/>
      <c r="B9601" s="13"/>
    </row>
    <row r="9602" spans="1:2" x14ac:dyDescent="0.2">
      <c r="A9602" s="12"/>
      <c r="B9602" s="13"/>
    </row>
    <row r="9603" spans="1:2" x14ac:dyDescent="0.2">
      <c r="A9603" s="12"/>
      <c r="B9603" s="13"/>
    </row>
    <row r="9604" spans="1:2" x14ac:dyDescent="0.2">
      <c r="A9604" s="12"/>
      <c r="B9604" s="13"/>
    </row>
    <row r="9605" spans="1:2" x14ac:dyDescent="0.2">
      <c r="A9605" s="12"/>
      <c r="B9605" s="13"/>
    </row>
    <row r="9606" spans="1:2" x14ac:dyDescent="0.2">
      <c r="A9606" s="12"/>
      <c r="B9606" s="13"/>
    </row>
    <row r="9607" spans="1:2" x14ac:dyDescent="0.2">
      <c r="A9607" s="12"/>
      <c r="B9607" s="13"/>
    </row>
    <row r="9608" spans="1:2" x14ac:dyDescent="0.2">
      <c r="A9608" s="12"/>
      <c r="B9608" s="13"/>
    </row>
    <row r="9609" spans="1:2" x14ac:dyDescent="0.2">
      <c r="A9609" s="12"/>
      <c r="B9609" s="13"/>
    </row>
    <row r="9610" spans="1:2" x14ac:dyDescent="0.2">
      <c r="A9610" s="12"/>
      <c r="B9610" s="13"/>
    </row>
    <row r="9611" spans="1:2" x14ac:dyDescent="0.2">
      <c r="A9611" s="12"/>
      <c r="B9611" s="13"/>
    </row>
    <row r="9612" spans="1:2" x14ac:dyDescent="0.2">
      <c r="A9612" s="12"/>
      <c r="B9612" s="13"/>
    </row>
    <row r="9613" spans="1:2" x14ac:dyDescent="0.2">
      <c r="A9613" s="12"/>
      <c r="B9613" s="13"/>
    </row>
    <row r="9614" spans="1:2" x14ac:dyDescent="0.2">
      <c r="A9614" s="12"/>
      <c r="B9614" s="13"/>
    </row>
    <row r="9615" spans="1:2" x14ac:dyDescent="0.2">
      <c r="A9615" s="12"/>
      <c r="B9615" s="13"/>
    </row>
    <row r="9616" spans="1:2" x14ac:dyDescent="0.2">
      <c r="A9616" s="12"/>
      <c r="B9616" s="13"/>
    </row>
    <row r="9617" spans="1:2" x14ac:dyDescent="0.2">
      <c r="A9617" s="12"/>
      <c r="B9617" s="13"/>
    </row>
    <row r="9618" spans="1:2" x14ac:dyDescent="0.2">
      <c r="A9618" s="12"/>
      <c r="B9618" s="13"/>
    </row>
    <row r="9619" spans="1:2" x14ac:dyDescent="0.2">
      <c r="A9619" s="12"/>
      <c r="B9619" s="13"/>
    </row>
    <row r="9620" spans="1:2" x14ac:dyDescent="0.2">
      <c r="A9620" s="12"/>
      <c r="B9620" s="13"/>
    </row>
    <row r="9621" spans="1:2" x14ac:dyDescent="0.2">
      <c r="A9621" s="12"/>
      <c r="B9621" s="13"/>
    </row>
    <row r="9622" spans="1:2" x14ac:dyDescent="0.2">
      <c r="A9622" s="12"/>
      <c r="B9622" s="13"/>
    </row>
    <row r="9623" spans="1:2" x14ac:dyDescent="0.2">
      <c r="A9623" s="12"/>
      <c r="B9623" s="13"/>
    </row>
    <row r="9624" spans="1:2" x14ac:dyDescent="0.2">
      <c r="A9624" s="12"/>
      <c r="B9624" s="13"/>
    </row>
    <row r="9625" spans="1:2" x14ac:dyDescent="0.2">
      <c r="A9625" s="12"/>
      <c r="B9625" s="13"/>
    </row>
    <row r="9626" spans="1:2" x14ac:dyDescent="0.2">
      <c r="A9626" s="12"/>
      <c r="B9626" s="13"/>
    </row>
    <row r="9627" spans="1:2" x14ac:dyDescent="0.2">
      <c r="A9627" s="12"/>
      <c r="B9627" s="13"/>
    </row>
    <row r="9628" spans="1:2" x14ac:dyDescent="0.2">
      <c r="A9628" s="12"/>
      <c r="B9628" s="13"/>
    </row>
    <row r="9629" spans="1:2" x14ac:dyDescent="0.2">
      <c r="A9629" s="12"/>
      <c r="B9629" s="13"/>
    </row>
    <row r="9630" spans="1:2" x14ac:dyDescent="0.2">
      <c r="A9630" s="12"/>
      <c r="B9630" s="13"/>
    </row>
    <row r="9631" spans="1:2" x14ac:dyDescent="0.2">
      <c r="A9631" s="12"/>
      <c r="B9631" s="13"/>
    </row>
    <row r="9632" spans="1:2" x14ac:dyDescent="0.2">
      <c r="A9632" s="12"/>
      <c r="B9632" s="13"/>
    </row>
    <row r="9633" spans="1:2" x14ac:dyDescent="0.2">
      <c r="A9633" s="12"/>
      <c r="B9633" s="13"/>
    </row>
    <row r="9634" spans="1:2" x14ac:dyDescent="0.2">
      <c r="A9634" s="12"/>
      <c r="B9634" s="13"/>
    </row>
    <row r="9635" spans="1:2" x14ac:dyDescent="0.2">
      <c r="A9635" s="12"/>
      <c r="B9635" s="13"/>
    </row>
    <row r="9636" spans="1:2" x14ac:dyDescent="0.2">
      <c r="A9636" s="12"/>
      <c r="B9636" s="13"/>
    </row>
    <row r="9637" spans="1:2" x14ac:dyDescent="0.2">
      <c r="A9637" s="12"/>
      <c r="B9637" s="13"/>
    </row>
    <row r="9638" spans="1:2" x14ac:dyDescent="0.2">
      <c r="A9638" s="12"/>
      <c r="B9638" s="13"/>
    </row>
    <row r="9639" spans="1:2" x14ac:dyDescent="0.2">
      <c r="A9639" s="12"/>
      <c r="B9639" s="13"/>
    </row>
    <row r="9640" spans="1:2" x14ac:dyDescent="0.2">
      <c r="A9640" s="12"/>
      <c r="B9640" s="13"/>
    </row>
    <row r="9641" spans="1:2" x14ac:dyDescent="0.2">
      <c r="A9641" s="12"/>
      <c r="B9641" s="13"/>
    </row>
    <row r="9642" spans="1:2" x14ac:dyDescent="0.2">
      <c r="A9642" s="12"/>
      <c r="B9642" s="13"/>
    </row>
    <row r="9643" spans="1:2" x14ac:dyDescent="0.2">
      <c r="A9643" s="12"/>
      <c r="B9643" s="13"/>
    </row>
    <row r="9644" spans="1:2" x14ac:dyDescent="0.2">
      <c r="A9644" s="12"/>
      <c r="B9644" s="13"/>
    </row>
    <row r="9645" spans="1:2" x14ac:dyDescent="0.2">
      <c r="A9645" s="12"/>
      <c r="B9645" s="13"/>
    </row>
    <row r="9646" spans="1:2" x14ac:dyDescent="0.2">
      <c r="A9646" s="12"/>
      <c r="B9646" s="13"/>
    </row>
    <row r="9647" spans="1:2" x14ac:dyDescent="0.2">
      <c r="A9647" s="12"/>
      <c r="B9647" s="13"/>
    </row>
    <row r="9648" spans="1:2" x14ac:dyDescent="0.2">
      <c r="A9648" s="12"/>
      <c r="B9648" s="13"/>
    </row>
    <row r="9649" spans="1:2" x14ac:dyDescent="0.2">
      <c r="A9649" s="12"/>
      <c r="B9649" s="13"/>
    </row>
    <row r="9650" spans="1:2" x14ac:dyDescent="0.2">
      <c r="A9650" s="12"/>
      <c r="B9650" s="13"/>
    </row>
    <row r="9651" spans="1:2" x14ac:dyDescent="0.2">
      <c r="A9651" s="12"/>
      <c r="B9651" s="13"/>
    </row>
    <row r="9652" spans="1:2" x14ac:dyDescent="0.2">
      <c r="A9652" s="12"/>
      <c r="B9652" s="13"/>
    </row>
    <row r="9653" spans="1:2" x14ac:dyDescent="0.2">
      <c r="A9653" s="12"/>
      <c r="B9653" s="13"/>
    </row>
    <row r="9654" spans="1:2" x14ac:dyDescent="0.2">
      <c r="A9654" s="12"/>
      <c r="B9654" s="13"/>
    </row>
    <row r="9655" spans="1:2" x14ac:dyDescent="0.2">
      <c r="A9655" s="12"/>
      <c r="B9655" s="13"/>
    </row>
    <row r="9656" spans="1:2" x14ac:dyDescent="0.2">
      <c r="A9656" s="12"/>
      <c r="B9656" s="13"/>
    </row>
    <row r="9657" spans="1:2" x14ac:dyDescent="0.2">
      <c r="A9657" s="12"/>
      <c r="B9657" s="13"/>
    </row>
    <row r="9658" spans="1:2" x14ac:dyDescent="0.2">
      <c r="A9658" s="12"/>
      <c r="B9658" s="13"/>
    </row>
    <row r="9659" spans="1:2" x14ac:dyDescent="0.2">
      <c r="A9659" s="12"/>
      <c r="B9659" s="13"/>
    </row>
    <row r="9660" spans="1:2" x14ac:dyDescent="0.2">
      <c r="A9660" s="12"/>
      <c r="B9660" s="13"/>
    </row>
    <row r="9661" spans="1:2" x14ac:dyDescent="0.2">
      <c r="A9661" s="12"/>
      <c r="B9661" s="13"/>
    </row>
    <row r="9662" spans="1:2" x14ac:dyDescent="0.2">
      <c r="A9662" s="12"/>
      <c r="B9662" s="13"/>
    </row>
    <row r="9663" spans="1:2" x14ac:dyDescent="0.2">
      <c r="A9663" s="12"/>
      <c r="B9663" s="13"/>
    </row>
    <row r="9664" spans="1:2" x14ac:dyDescent="0.2">
      <c r="A9664" s="12"/>
      <c r="B9664" s="13"/>
    </row>
    <row r="9665" spans="1:2" x14ac:dyDescent="0.2">
      <c r="A9665" s="12"/>
      <c r="B9665" s="13"/>
    </row>
    <row r="9666" spans="1:2" x14ac:dyDescent="0.2">
      <c r="A9666" s="12"/>
      <c r="B9666" s="13"/>
    </row>
    <row r="9667" spans="1:2" x14ac:dyDescent="0.2">
      <c r="A9667" s="12"/>
      <c r="B9667" s="13"/>
    </row>
    <row r="9668" spans="1:2" x14ac:dyDescent="0.2">
      <c r="A9668" s="12"/>
      <c r="B9668" s="13"/>
    </row>
    <row r="9669" spans="1:2" x14ac:dyDescent="0.2">
      <c r="A9669" s="12"/>
      <c r="B9669" s="13"/>
    </row>
    <row r="9670" spans="1:2" x14ac:dyDescent="0.2">
      <c r="A9670" s="12"/>
      <c r="B9670" s="13"/>
    </row>
    <row r="9671" spans="1:2" x14ac:dyDescent="0.2">
      <c r="A9671" s="12"/>
      <c r="B9671" s="13"/>
    </row>
    <row r="9672" spans="1:2" x14ac:dyDescent="0.2">
      <c r="A9672" s="12"/>
      <c r="B9672" s="13"/>
    </row>
    <row r="9673" spans="1:2" x14ac:dyDescent="0.2">
      <c r="A9673" s="12"/>
      <c r="B9673" s="13"/>
    </row>
    <row r="9674" spans="1:2" x14ac:dyDescent="0.2">
      <c r="A9674" s="12"/>
      <c r="B9674" s="13"/>
    </row>
    <row r="9675" spans="1:2" x14ac:dyDescent="0.2">
      <c r="A9675" s="12"/>
      <c r="B9675" s="13"/>
    </row>
    <row r="9676" spans="1:2" x14ac:dyDescent="0.2">
      <c r="A9676" s="12"/>
      <c r="B9676" s="13"/>
    </row>
    <row r="9677" spans="1:2" x14ac:dyDescent="0.2">
      <c r="A9677" s="12"/>
      <c r="B9677" s="13"/>
    </row>
    <row r="9678" spans="1:2" x14ac:dyDescent="0.2">
      <c r="A9678" s="12"/>
      <c r="B9678" s="13"/>
    </row>
    <row r="9679" spans="1:2" x14ac:dyDescent="0.2">
      <c r="A9679" s="12"/>
      <c r="B9679" s="13"/>
    </row>
    <row r="9680" spans="1:2" x14ac:dyDescent="0.2">
      <c r="A9680" s="12"/>
      <c r="B9680" s="13"/>
    </row>
    <row r="9681" spans="1:2" x14ac:dyDescent="0.2">
      <c r="A9681" s="12"/>
      <c r="B9681" s="13"/>
    </row>
    <row r="9682" spans="1:2" x14ac:dyDescent="0.2">
      <c r="A9682" s="12"/>
      <c r="B9682" s="13"/>
    </row>
    <row r="9683" spans="1:2" x14ac:dyDescent="0.2">
      <c r="A9683" s="12"/>
      <c r="B9683" s="13"/>
    </row>
    <row r="9684" spans="1:2" x14ac:dyDescent="0.2">
      <c r="A9684" s="12"/>
      <c r="B9684" s="13"/>
    </row>
    <row r="9685" spans="1:2" x14ac:dyDescent="0.2">
      <c r="A9685" s="12"/>
      <c r="B9685" s="13"/>
    </row>
    <row r="9686" spans="1:2" x14ac:dyDescent="0.2">
      <c r="A9686" s="12"/>
      <c r="B9686" s="13"/>
    </row>
    <row r="9687" spans="1:2" x14ac:dyDescent="0.2">
      <c r="A9687" s="12"/>
      <c r="B9687" s="13"/>
    </row>
    <row r="9688" spans="1:2" x14ac:dyDescent="0.2">
      <c r="A9688" s="12"/>
      <c r="B9688" s="13"/>
    </row>
    <row r="9689" spans="1:2" x14ac:dyDescent="0.2">
      <c r="A9689" s="12"/>
      <c r="B9689" s="13"/>
    </row>
    <row r="9690" spans="1:2" x14ac:dyDescent="0.2">
      <c r="A9690" s="12"/>
      <c r="B9690" s="13"/>
    </row>
    <row r="9691" spans="1:2" x14ac:dyDescent="0.2">
      <c r="A9691" s="12"/>
      <c r="B9691" s="13"/>
    </row>
    <row r="9692" spans="1:2" x14ac:dyDescent="0.2">
      <c r="A9692" s="12"/>
      <c r="B9692" s="13"/>
    </row>
    <row r="9693" spans="1:2" x14ac:dyDescent="0.2">
      <c r="A9693" s="12"/>
      <c r="B9693" s="13"/>
    </row>
    <row r="9694" spans="1:2" x14ac:dyDescent="0.2">
      <c r="A9694" s="12"/>
      <c r="B9694" s="13"/>
    </row>
    <row r="9695" spans="1:2" x14ac:dyDescent="0.2">
      <c r="A9695" s="12"/>
      <c r="B9695" s="13"/>
    </row>
    <row r="9696" spans="1:2" x14ac:dyDescent="0.2">
      <c r="A9696" s="12"/>
      <c r="B9696" s="13"/>
    </row>
    <row r="9697" spans="1:2" x14ac:dyDescent="0.2">
      <c r="A9697" s="12"/>
      <c r="B9697" s="13"/>
    </row>
    <row r="9698" spans="1:2" x14ac:dyDescent="0.2">
      <c r="A9698" s="12"/>
      <c r="B9698" s="13"/>
    </row>
    <row r="9699" spans="1:2" x14ac:dyDescent="0.2">
      <c r="A9699" s="12"/>
      <c r="B9699" s="13"/>
    </row>
    <row r="9700" spans="1:2" x14ac:dyDescent="0.2">
      <c r="A9700" s="12"/>
      <c r="B9700" s="13"/>
    </row>
    <row r="9701" spans="1:2" x14ac:dyDescent="0.2">
      <c r="A9701" s="12"/>
      <c r="B9701" s="13"/>
    </row>
    <row r="9702" spans="1:2" x14ac:dyDescent="0.2">
      <c r="A9702" s="12"/>
      <c r="B9702" s="13"/>
    </row>
    <row r="9703" spans="1:2" x14ac:dyDescent="0.2">
      <c r="A9703" s="12"/>
      <c r="B9703" s="13"/>
    </row>
    <row r="9704" spans="1:2" x14ac:dyDescent="0.2">
      <c r="A9704" s="12"/>
      <c r="B9704" s="13"/>
    </row>
    <row r="9705" spans="1:2" x14ac:dyDescent="0.2">
      <c r="A9705" s="12"/>
      <c r="B9705" s="13"/>
    </row>
    <row r="9706" spans="1:2" x14ac:dyDescent="0.2">
      <c r="A9706" s="12"/>
      <c r="B9706" s="13"/>
    </row>
    <row r="9707" spans="1:2" x14ac:dyDescent="0.2">
      <c r="A9707" s="12"/>
      <c r="B9707" s="13"/>
    </row>
    <row r="9708" spans="1:2" x14ac:dyDescent="0.2">
      <c r="A9708" s="12"/>
      <c r="B9708" s="13"/>
    </row>
    <row r="9709" spans="1:2" x14ac:dyDescent="0.2">
      <c r="A9709" s="12"/>
      <c r="B9709" s="13"/>
    </row>
    <row r="9710" spans="1:2" x14ac:dyDescent="0.2">
      <c r="A9710" s="12"/>
      <c r="B9710" s="13"/>
    </row>
    <row r="9711" spans="1:2" x14ac:dyDescent="0.2">
      <c r="A9711" s="12"/>
      <c r="B9711" s="13"/>
    </row>
    <row r="9712" spans="1:2" x14ac:dyDescent="0.2">
      <c r="A9712" s="12"/>
      <c r="B9712" s="13"/>
    </row>
    <row r="9713" spans="1:2" x14ac:dyDescent="0.2">
      <c r="A9713" s="12"/>
      <c r="B9713" s="13"/>
    </row>
    <row r="9714" spans="1:2" x14ac:dyDescent="0.2">
      <c r="A9714" s="12"/>
      <c r="B9714" s="13"/>
    </row>
    <row r="9715" spans="1:2" x14ac:dyDescent="0.2">
      <c r="A9715" s="12"/>
      <c r="B9715" s="13"/>
    </row>
    <row r="9716" spans="1:2" x14ac:dyDescent="0.2">
      <c r="A9716" s="12"/>
      <c r="B9716" s="13"/>
    </row>
    <row r="9717" spans="1:2" x14ac:dyDescent="0.2">
      <c r="A9717" s="12"/>
      <c r="B9717" s="13"/>
    </row>
    <row r="9718" spans="1:2" x14ac:dyDescent="0.2">
      <c r="A9718" s="12"/>
      <c r="B9718" s="13"/>
    </row>
    <row r="9719" spans="1:2" x14ac:dyDescent="0.2">
      <c r="A9719" s="12"/>
      <c r="B9719" s="13"/>
    </row>
    <row r="9720" spans="1:2" x14ac:dyDescent="0.2">
      <c r="A9720" s="12"/>
      <c r="B9720" s="13"/>
    </row>
    <row r="9721" spans="1:2" x14ac:dyDescent="0.2">
      <c r="A9721" s="12"/>
      <c r="B9721" s="13"/>
    </row>
    <row r="9722" spans="1:2" x14ac:dyDescent="0.2">
      <c r="A9722" s="12"/>
      <c r="B9722" s="13"/>
    </row>
    <row r="9723" spans="1:2" x14ac:dyDescent="0.2">
      <c r="A9723" s="12"/>
      <c r="B9723" s="13"/>
    </row>
    <row r="9724" spans="1:2" x14ac:dyDescent="0.2">
      <c r="A9724" s="12"/>
      <c r="B9724" s="13"/>
    </row>
    <row r="9725" spans="1:2" x14ac:dyDescent="0.2">
      <c r="A9725" s="12"/>
      <c r="B9725" s="13"/>
    </row>
    <row r="9726" spans="1:2" x14ac:dyDescent="0.2">
      <c r="A9726" s="12"/>
      <c r="B9726" s="13"/>
    </row>
    <row r="9727" spans="1:2" x14ac:dyDescent="0.2">
      <c r="A9727" s="12"/>
      <c r="B9727" s="13"/>
    </row>
    <row r="9728" spans="1:2" x14ac:dyDescent="0.2">
      <c r="A9728" s="12"/>
      <c r="B9728" s="13"/>
    </row>
    <row r="9729" spans="1:2" x14ac:dyDescent="0.2">
      <c r="A9729" s="12"/>
      <c r="B9729" s="13"/>
    </row>
    <row r="9730" spans="1:2" x14ac:dyDescent="0.2">
      <c r="A9730" s="12"/>
      <c r="B9730" s="13"/>
    </row>
    <row r="9731" spans="1:2" x14ac:dyDescent="0.2">
      <c r="A9731" s="12"/>
      <c r="B9731" s="13"/>
    </row>
    <row r="9732" spans="1:2" x14ac:dyDescent="0.2">
      <c r="A9732" s="12"/>
      <c r="B9732" s="13"/>
    </row>
    <row r="9733" spans="1:2" x14ac:dyDescent="0.2">
      <c r="A9733" s="12"/>
      <c r="B9733" s="13"/>
    </row>
    <row r="9734" spans="1:2" x14ac:dyDescent="0.2">
      <c r="A9734" s="12"/>
      <c r="B9734" s="13"/>
    </row>
    <row r="9735" spans="1:2" x14ac:dyDescent="0.2">
      <c r="A9735" s="12"/>
      <c r="B9735" s="13"/>
    </row>
    <row r="9736" spans="1:2" x14ac:dyDescent="0.2">
      <c r="A9736" s="12"/>
      <c r="B9736" s="13"/>
    </row>
    <row r="9737" spans="1:2" x14ac:dyDescent="0.2">
      <c r="A9737" s="12"/>
      <c r="B9737" s="13"/>
    </row>
    <row r="9738" spans="1:2" x14ac:dyDescent="0.2">
      <c r="A9738" s="12"/>
      <c r="B9738" s="13"/>
    </row>
    <row r="9739" spans="1:2" x14ac:dyDescent="0.2">
      <c r="A9739" s="12"/>
      <c r="B9739" s="13"/>
    </row>
    <row r="9740" spans="1:2" x14ac:dyDescent="0.2">
      <c r="A9740" s="12"/>
      <c r="B9740" s="13"/>
    </row>
    <row r="9741" spans="1:2" x14ac:dyDescent="0.2">
      <c r="A9741" s="12"/>
      <c r="B9741" s="13"/>
    </row>
    <row r="9742" spans="1:2" x14ac:dyDescent="0.2">
      <c r="A9742" s="12"/>
      <c r="B9742" s="13"/>
    </row>
    <row r="9743" spans="1:2" x14ac:dyDescent="0.2">
      <c r="A9743" s="12"/>
      <c r="B9743" s="13"/>
    </row>
    <row r="9744" spans="1:2" x14ac:dyDescent="0.2">
      <c r="A9744" s="12"/>
      <c r="B9744" s="13"/>
    </row>
    <row r="9745" spans="1:2" x14ac:dyDescent="0.2">
      <c r="A9745" s="12"/>
      <c r="B9745" s="13"/>
    </row>
    <row r="9746" spans="1:2" x14ac:dyDescent="0.2">
      <c r="A9746" s="12"/>
      <c r="B9746" s="13"/>
    </row>
    <row r="9747" spans="1:2" x14ac:dyDescent="0.2">
      <c r="A9747" s="12"/>
      <c r="B9747" s="13"/>
    </row>
    <row r="9748" spans="1:2" x14ac:dyDescent="0.2">
      <c r="A9748" s="12"/>
      <c r="B9748" s="13"/>
    </row>
    <row r="9749" spans="1:2" x14ac:dyDescent="0.2">
      <c r="A9749" s="12"/>
      <c r="B9749" s="13"/>
    </row>
    <row r="9750" spans="1:2" x14ac:dyDescent="0.2">
      <c r="A9750" s="12"/>
      <c r="B9750" s="13"/>
    </row>
    <row r="9751" spans="1:2" x14ac:dyDescent="0.2">
      <c r="A9751" s="12"/>
      <c r="B9751" s="13"/>
    </row>
    <row r="9752" spans="1:2" x14ac:dyDescent="0.2">
      <c r="A9752" s="12"/>
      <c r="B9752" s="13"/>
    </row>
    <row r="9753" spans="1:2" x14ac:dyDescent="0.2">
      <c r="A9753" s="12"/>
      <c r="B9753" s="13"/>
    </row>
    <row r="9754" spans="1:2" x14ac:dyDescent="0.2">
      <c r="A9754" s="12"/>
      <c r="B9754" s="13"/>
    </row>
    <row r="9755" spans="1:2" x14ac:dyDescent="0.2">
      <c r="A9755" s="12"/>
      <c r="B9755" s="13"/>
    </row>
    <row r="9756" spans="1:2" x14ac:dyDescent="0.2">
      <c r="A9756" s="12"/>
      <c r="B9756" s="13"/>
    </row>
    <row r="9757" spans="1:2" x14ac:dyDescent="0.2">
      <c r="A9757" s="12"/>
      <c r="B9757" s="13"/>
    </row>
    <row r="9758" spans="1:2" x14ac:dyDescent="0.2">
      <c r="A9758" s="12"/>
      <c r="B9758" s="13"/>
    </row>
    <row r="9759" spans="1:2" x14ac:dyDescent="0.2">
      <c r="A9759" s="12"/>
      <c r="B9759" s="13"/>
    </row>
    <row r="9760" spans="1:2" x14ac:dyDescent="0.2">
      <c r="A9760" s="12"/>
      <c r="B9760" s="13"/>
    </row>
    <row r="9761" spans="1:2" x14ac:dyDescent="0.2">
      <c r="A9761" s="12"/>
      <c r="B9761" s="13"/>
    </row>
    <row r="9762" spans="1:2" x14ac:dyDescent="0.2">
      <c r="A9762" s="12"/>
      <c r="B9762" s="13"/>
    </row>
    <row r="9763" spans="1:2" x14ac:dyDescent="0.2">
      <c r="A9763" s="12"/>
      <c r="B9763" s="13"/>
    </row>
    <row r="9764" spans="1:2" x14ac:dyDescent="0.2">
      <c r="A9764" s="12"/>
      <c r="B9764" s="13"/>
    </row>
    <row r="9765" spans="1:2" x14ac:dyDescent="0.2">
      <c r="A9765" s="12"/>
      <c r="B9765" s="13"/>
    </row>
    <row r="9766" spans="1:2" x14ac:dyDescent="0.2">
      <c r="A9766" s="12"/>
      <c r="B9766" s="13"/>
    </row>
    <row r="9767" spans="1:2" x14ac:dyDescent="0.2">
      <c r="A9767" s="12"/>
      <c r="B9767" s="13"/>
    </row>
    <row r="9768" spans="1:2" x14ac:dyDescent="0.2">
      <c r="A9768" s="12"/>
      <c r="B9768" s="13"/>
    </row>
    <row r="9769" spans="1:2" x14ac:dyDescent="0.2">
      <c r="A9769" s="12"/>
      <c r="B9769" s="13"/>
    </row>
    <row r="9770" spans="1:2" x14ac:dyDescent="0.2">
      <c r="A9770" s="12"/>
      <c r="B9770" s="13"/>
    </row>
    <row r="9771" spans="1:2" x14ac:dyDescent="0.2">
      <c r="A9771" s="12"/>
      <c r="B9771" s="13"/>
    </row>
    <row r="9772" spans="1:2" x14ac:dyDescent="0.2">
      <c r="A9772" s="12"/>
      <c r="B9772" s="13"/>
    </row>
    <row r="9773" spans="1:2" x14ac:dyDescent="0.2">
      <c r="A9773" s="12"/>
      <c r="B9773" s="13"/>
    </row>
    <row r="9774" spans="1:2" x14ac:dyDescent="0.2">
      <c r="A9774" s="12"/>
      <c r="B9774" s="13"/>
    </row>
    <row r="9775" spans="1:2" x14ac:dyDescent="0.2">
      <c r="A9775" s="12"/>
      <c r="B9775" s="13"/>
    </row>
    <row r="9776" spans="1:2" x14ac:dyDescent="0.2">
      <c r="A9776" s="12"/>
      <c r="B9776" s="13"/>
    </row>
    <row r="9777" spans="1:2" x14ac:dyDescent="0.2">
      <c r="A9777" s="12"/>
      <c r="B9777" s="13"/>
    </row>
    <row r="9778" spans="1:2" x14ac:dyDescent="0.2">
      <c r="A9778" s="12"/>
      <c r="B9778" s="13"/>
    </row>
    <row r="9779" spans="1:2" x14ac:dyDescent="0.2">
      <c r="A9779" s="12"/>
      <c r="B9779" s="13"/>
    </row>
    <row r="9780" spans="1:2" x14ac:dyDescent="0.2">
      <c r="A9780" s="12"/>
      <c r="B9780" s="13"/>
    </row>
    <row r="9781" spans="1:2" x14ac:dyDescent="0.2">
      <c r="A9781" s="12"/>
      <c r="B9781" s="13"/>
    </row>
    <row r="9782" spans="1:2" x14ac:dyDescent="0.2">
      <c r="A9782" s="12"/>
      <c r="B9782" s="13"/>
    </row>
    <row r="9783" spans="1:2" x14ac:dyDescent="0.2">
      <c r="A9783" s="12"/>
      <c r="B9783" s="13"/>
    </row>
    <row r="9784" spans="1:2" x14ac:dyDescent="0.2">
      <c r="A9784" s="12"/>
      <c r="B9784" s="13"/>
    </row>
    <row r="9785" spans="1:2" x14ac:dyDescent="0.2">
      <c r="A9785" s="12"/>
      <c r="B9785" s="13"/>
    </row>
    <row r="9786" spans="1:2" x14ac:dyDescent="0.2">
      <c r="A9786" s="12"/>
      <c r="B9786" s="13"/>
    </row>
    <row r="9787" spans="1:2" x14ac:dyDescent="0.2">
      <c r="A9787" s="12"/>
      <c r="B9787" s="13"/>
    </row>
    <row r="9788" spans="1:2" x14ac:dyDescent="0.2">
      <c r="A9788" s="12"/>
      <c r="B9788" s="13"/>
    </row>
    <row r="9789" spans="1:2" x14ac:dyDescent="0.2">
      <c r="A9789" s="12"/>
      <c r="B9789" s="13"/>
    </row>
    <row r="9790" spans="1:2" x14ac:dyDescent="0.2">
      <c r="A9790" s="12"/>
      <c r="B9790" s="13"/>
    </row>
    <row r="9791" spans="1:2" x14ac:dyDescent="0.2">
      <c r="A9791" s="12"/>
      <c r="B9791" s="13"/>
    </row>
    <row r="9792" spans="1:2" x14ac:dyDescent="0.2">
      <c r="A9792" s="12"/>
      <c r="B9792" s="13"/>
    </row>
    <row r="9793" spans="1:2" x14ac:dyDescent="0.2">
      <c r="A9793" s="12"/>
      <c r="B9793" s="13"/>
    </row>
    <row r="9794" spans="1:2" x14ac:dyDescent="0.2">
      <c r="A9794" s="12"/>
      <c r="B9794" s="13"/>
    </row>
    <row r="9795" spans="1:2" x14ac:dyDescent="0.2">
      <c r="A9795" s="12"/>
      <c r="B9795" s="13"/>
    </row>
    <row r="9796" spans="1:2" x14ac:dyDescent="0.2">
      <c r="A9796" s="12"/>
      <c r="B9796" s="13"/>
    </row>
    <row r="9797" spans="1:2" x14ac:dyDescent="0.2">
      <c r="A9797" s="12"/>
      <c r="B9797" s="13"/>
    </row>
    <row r="9798" spans="1:2" x14ac:dyDescent="0.2">
      <c r="A9798" s="12"/>
      <c r="B9798" s="13"/>
    </row>
    <row r="9799" spans="1:2" x14ac:dyDescent="0.2">
      <c r="A9799" s="12"/>
      <c r="B9799" s="13"/>
    </row>
    <row r="9800" spans="1:2" x14ac:dyDescent="0.2">
      <c r="A9800" s="12"/>
      <c r="B9800" s="13"/>
    </row>
    <row r="9801" spans="1:2" x14ac:dyDescent="0.2">
      <c r="A9801" s="12"/>
      <c r="B9801" s="13"/>
    </row>
    <row r="9802" spans="1:2" x14ac:dyDescent="0.2">
      <c r="A9802" s="12"/>
      <c r="B9802" s="13"/>
    </row>
    <row r="9803" spans="1:2" x14ac:dyDescent="0.2">
      <c r="A9803" s="12"/>
      <c r="B9803" s="13"/>
    </row>
    <row r="9804" spans="1:2" x14ac:dyDescent="0.2">
      <c r="A9804" s="12"/>
      <c r="B9804" s="13"/>
    </row>
    <row r="9805" spans="1:2" x14ac:dyDescent="0.2">
      <c r="A9805" s="12"/>
      <c r="B9805" s="13"/>
    </row>
    <row r="9806" spans="1:2" x14ac:dyDescent="0.2">
      <c r="A9806" s="12"/>
      <c r="B9806" s="13"/>
    </row>
    <row r="9807" spans="1:2" x14ac:dyDescent="0.2">
      <c r="A9807" s="12"/>
      <c r="B9807" s="13"/>
    </row>
    <row r="9808" spans="1:2" x14ac:dyDescent="0.2">
      <c r="A9808" s="12"/>
      <c r="B9808" s="13"/>
    </row>
    <row r="9809" spans="1:2" x14ac:dyDescent="0.2">
      <c r="A9809" s="12"/>
      <c r="B9809" s="13"/>
    </row>
    <row r="9810" spans="1:2" x14ac:dyDescent="0.2">
      <c r="A9810" s="12"/>
      <c r="B9810" s="13"/>
    </row>
    <row r="9811" spans="1:2" x14ac:dyDescent="0.2">
      <c r="A9811" s="12"/>
      <c r="B9811" s="13"/>
    </row>
    <row r="9812" spans="1:2" x14ac:dyDescent="0.2">
      <c r="A9812" s="12"/>
      <c r="B9812" s="13"/>
    </row>
    <row r="9813" spans="1:2" x14ac:dyDescent="0.2">
      <c r="A9813" s="12"/>
      <c r="B9813" s="13"/>
    </row>
    <row r="9814" spans="1:2" x14ac:dyDescent="0.2">
      <c r="A9814" s="12"/>
      <c r="B9814" s="13"/>
    </row>
    <row r="9815" spans="1:2" x14ac:dyDescent="0.2">
      <c r="A9815" s="12"/>
      <c r="B9815" s="13"/>
    </row>
    <row r="9816" spans="1:2" x14ac:dyDescent="0.2">
      <c r="A9816" s="12"/>
      <c r="B9816" s="13"/>
    </row>
    <row r="9817" spans="1:2" x14ac:dyDescent="0.2">
      <c r="A9817" s="12"/>
      <c r="B9817" s="13"/>
    </row>
    <row r="9818" spans="1:2" x14ac:dyDescent="0.2">
      <c r="A9818" s="12"/>
      <c r="B9818" s="13"/>
    </row>
    <row r="9819" spans="1:2" x14ac:dyDescent="0.2">
      <c r="A9819" s="12"/>
      <c r="B9819" s="13"/>
    </row>
    <row r="9820" spans="1:2" x14ac:dyDescent="0.2">
      <c r="A9820" s="12"/>
      <c r="B9820" s="13"/>
    </row>
    <row r="9821" spans="1:2" x14ac:dyDescent="0.2">
      <c r="A9821" s="12"/>
      <c r="B9821" s="13"/>
    </row>
    <row r="9822" spans="1:2" x14ac:dyDescent="0.2">
      <c r="A9822" s="12"/>
      <c r="B9822" s="13"/>
    </row>
    <row r="9823" spans="1:2" x14ac:dyDescent="0.2">
      <c r="A9823" s="12"/>
      <c r="B9823" s="13"/>
    </row>
    <row r="9824" spans="1:2" x14ac:dyDescent="0.2">
      <c r="A9824" s="12"/>
      <c r="B9824" s="13"/>
    </row>
    <row r="9825" spans="1:2" x14ac:dyDescent="0.2">
      <c r="A9825" s="12"/>
      <c r="B9825" s="13"/>
    </row>
    <row r="9826" spans="1:2" x14ac:dyDescent="0.2">
      <c r="A9826" s="12"/>
      <c r="B9826" s="13"/>
    </row>
    <row r="9827" spans="1:2" x14ac:dyDescent="0.2">
      <c r="A9827" s="12"/>
      <c r="B9827" s="13"/>
    </row>
    <row r="9828" spans="1:2" x14ac:dyDescent="0.2">
      <c r="A9828" s="12"/>
      <c r="B9828" s="13"/>
    </row>
    <row r="9829" spans="1:2" x14ac:dyDescent="0.2">
      <c r="A9829" s="12"/>
      <c r="B9829" s="13"/>
    </row>
    <row r="9830" spans="1:2" x14ac:dyDescent="0.2">
      <c r="A9830" s="12"/>
      <c r="B9830" s="13"/>
    </row>
    <row r="9831" spans="1:2" x14ac:dyDescent="0.2">
      <c r="A9831" s="12"/>
      <c r="B9831" s="13"/>
    </row>
    <row r="9832" spans="1:2" x14ac:dyDescent="0.2">
      <c r="A9832" s="12"/>
      <c r="B9832" s="13"/>
    </row>
    <row r="9833" spans="1:2" x14ac:dyDescent="0.2">
      <c r="A9833" s="12"/>
      <c r="B9833" s="13"/>
    </row>
    <row r="9834" spans="1:2" x14ac:dyDescent="0.2">
      <c r="A9834" s="12"/>
      <c r="B9834" s="13"/>
    </row>
    <row r="9835" spans="1:2" x14ac:dyDescent="0.2">
      <c r="A9835" s="12"/>
      <c r="B9835" s="13"/>
    </row>
    <row r="9836" spans="1:2" x14ac:dyDescent="0.2">
      <c r="A9836" s="12"/>
      <c r="B9836" s="13"/>
    </row>
    <row r="9837" spans="1:2" x14ac:dyDescent="0.2">
      <c r="A9837" s="12"/>
      <c r="B9837" s="13"/>
    </row>
    <row r="9838" spans="1:2" x14ac:dyDescent="0.2">
      <c r="A9838" s="12"/>
      <c r="B9838" s="13"/>
    </row>
    <row r="9839" spans="1:2" x14ac:dyDescent="0.2">
      <c r="A9839" s="12"/>
      <c r="B9839" s="13"/>
    </row>
    <row r="9840" spans="1:2" x14ac:dyDescent="0.2">
      <c r="A9840" s="12"/>
      <c r="B9840" s="13"/>
    </row>
    <row r="9841" spans="1:2" x14ac:dyDescent="0.2">
      <c r="A9841" s="12"/>
      <c r="B9841" s="13"/>
    </row>
    <row r="9842" spans="1:2" x14ac:dyDescent="0.2">
      <c r="A9842" s="12"/>
      <c r="B9842" s="13"/>
    </row>
    <row r="9843" spans="1:2" x14ac:dyDescent="0.2">
      <c r="A9843" s="12"/>
      <c r="B9843" s="13"/>
    </row>
    <row r="9844" spans="1:2" x14ac:dyDescent="0.2">
      <c r="A9844" s="12"/>
      <c r="B9844" s="13"/>
    </row>
    <row r="9845" spans="1:2" x14ac:dyDescent="0.2">
      <c r="A9845" s="12"/>
      <c r="B9845" s="13"/>
    </row>
    <row r="9846" spans="1:2" x14ac:dyDescent="0.2">
      <c r="A9846" s="12"/>
      <c r="B9846" s="13"/>
    </row>
    <row r="9847" spans="1:2" x14ac:dyDescent="0.2">
      <c r="A9847" s="12"/>
      <c r="B9847" s="13"/>
    </row>
    <row r="9848" spans="1:2" x14ac:dyDescent="0.2">
      <c r="A9848" s="12"/>
      <c r="B9848" s="13"/>
    </row>
    <row r="9849" spans="1:2" x14ac:dyDescent="0.2">
      <c r="A9849" s="12"/>
      <c r="B9849" s="13"/>
    </row>
    <row r="9850" spans="1:2" x14ac:dyDescent="0.2">
      <c r="A9850" s="12"/>
      <c r="B9850" s="13"/>
    </row>
    <row r="9851" spans="1:2" x14ac:dyDescent="0.2">
      <c r="A9851" s="12"/>
      <c r="B9851" s="13"/>
    </row>
    <row r="9852" spans="1:2" x14ac:dyDescent="0.2">
      <c r="A9852" s="12"/>
      <c r="B9852" s="13"/>
    </row>
    <row r="9853" spans="1:2" x14ac:dyDescent="0.2">
      <c r="A9853" s="12"/>
      <c r="B9853" s="13"/>
    </row>
    <row r="9854" spans="1:2" x14ac:dyDescent="0.2">
      <c r="A9854" s="12"/>
      <c r="B9854" s="13"/>
    </row>
    <row r="9855" spans="1:2" x14ac:dyDescent="0.2">
      <c r="A9855" s="12"/>
      <c r="B9855" s="13"/>
    </row>
    <row r="9856" spans="1:2" x14ac:dyDescent="0.2">
      <c r="A9856" s="12"/>
      <c r="B9856" s="13"/>
    </row>
    <row r="9857" spans="1:2" x14ac:dyDescent="0.2">
      <c r="A9857" s="12"/>
      <c r="B9857" s="13"/>
    </row>
    <row r="9858" spans="1:2" x14ac:dyDescent="0.2">
      <c r="A9858" s="12"/>
      <c r="B9858" s="13"/>
    </row>
    <row r="9859" spans="1:2" x14ac:dyDescent="0.2">
      <c r="A9859" s="12"/>
      <c r="B9859" s="13"/>
    </row>
    <row r="9860" spans="1:2" x14ac:dyDescent="0.2">
      <c r="A9860" s="12"/>
      <c r="B9860" s="13"/>
    </row>
    <row r="9861" spans="1:2" x14ac:dyDescent="0.2">
      <c r="A9861" s="12"/>
      <c r="B9861" s="13"/>
    </row>
    <row r="9862" spans="1:2" x14ac:dyDescent="0.2">
      <c r="A9862" s="12"/>
      <c r="B9862" s="13"/>
    </row>
    <row r="9863" spans="1:2" x14ac:dyDescent="0.2">
      <c r="A9863" s="12"/>
      <c r="B9863" s="13"/>
    </row>
    <row r="9864" spans="1:2" x14ac:dyDescent="0.2">
      <c r="A9864" s="12"/>
      <c r="B9864" s="13"/>
    </row>
    <row r="9865" spans="1:2" x14ac:dyDescent="0.2">
      <c r="A9865" s="12"/>
      <c r="B9865" s="13"/>
    </row>
    <row r="9866" spans="1:2" x14ac:dyDescent="0.2">
      <c r="A9866" s="12"/>
      <c r="B9866" s="13"/>
    </row>
    <row r="9867" spans="1:2" x14ac:dyDescent="0.2">
      <c r="A9867" s="12"/>
      <c r="B9867" s="13"/>
    </row>
    <row r="9868" spans="1:2" x14ac:dyDescent="0.2">
      <c r="A9868" s="12"/>
      <c r="B9868" s="13"/>
    </row>
    <row r="9869" spans="1:2" x14ac:dyDescent="0.2">
      <c r="A9869" s="12"/>
      <c r="B9869" s="13"/>
    </row>
    <row r="9870" spans="1:2" x14ac:dyDescent="0.2">
      <c r="A9870" s="12"/>
      <c r="B9870" s="13"/>
    </row>
    <row r="9871" spans="1:2" x14ac:dyDescent="0.2">
      <c r="A9871" s="12"/>
      <c r="B9871" s="13"/>
    </row>
    <row r="9872" spans="1:2" x14ac:dyDescent="0.2">
      <c r="A9872" s="12"/>
      <c r="B9872" s="13"/>
    </row>
    <row r="9873" spans="1:2" x14ac:dyDescent="0.2">
      <c r="A9873" s="12"/>
      <c r="B9873" s="13"/>
    </row>
    <row r="9874" spans="1:2" x14ac:dyDescent="0.2">
      <c r="A9874" s="12"/>
      <c r="B9874" s="13"/>
    </row>
    <row r="9875" spans="1:2" x14ac:dyDescent="0.2">
      <c r="A9875" s="12"/>
      <c r="B9875" s="13"/>
    </row>
    <row r="9876" spans="1:2" x14ac:dyDescent="0.2">
      <c r="A9876" s="12"/>
      <c r="B9876" s="13"/>
    </row>
    <row r="9877" spans="1:2" x14ac:dyDescent="0.2">
      <c r="A9877" s="12"/>
      <c r="B9877" s="13"/>
    </row>
    <row r="9878" spans="1:2" x14ac:dyDescent="0.2">
      <c r="A9878" s="12"/>
      <c r="B9878" s="13"/>
    </row>
    <row r="9879" spans="1:2" x14ac:dyDescent="0.2">
      <c r="A9879" s="12"/>
      <c r="B9879" s="13"/>
    </row>
    <row r="9880" spans="1:2" x14ac:dyDescent="0.2">
      <c r="A9880" s="12"/>
      <c r="B9880" s="13"/>
    </row>
    <row r="9881" spans="1:2" x14ac:dyDescent="0.2">
      <c r="A9881" s="12"/>
      <c r="B9881" s="13"/>
    </row>
    <row r="9882" spans="1:2" x14ac:dyDescent="0.2">
      <c r="A9882" s="12"/>
      <c r="B9882" s="13"/>
    </row>
    <row r="9883" spans="1:2" x14ac:dyDescent="0.2">
      <c r="A9883" s="12"/>
      <c r="B9883" s="13"/>
    </row>
    <row r="9884" spans="1:2" x14ac:dyDescent="0.2">
      <c r="A9884" s="12"/>
      <c r="B9884" s="13"/>
    </row>
    <row r="9885" spans="1:2" x14ac:dyDescent="0.2">
      <c r="A9885" s="12"/>
      <c r="B9885" s="13"/>
    </row>
    <row r="9886" spans="1:2" x14ac:dyDescent="0.2">
      <c r="A9886" s="12"/>
      <c r="B9886" s="13"/>
    </row>
    <row r="9887" spans="1:2" x14ac:dyDescent="0.2">
      <c r="A9887" s="12"/>
      <c r="B9887" s="13"/>
    </row>
    <row r="9888" spans="1:2" x14ac:dyDescent="0.2">
      <c r="A9888" s="12"/>
      <c r="B9888" s="13"/>
    </row>
    <row r="9889" spans="1:2" x14ac:dyDescent="0.2">
      <c r="A9889" s="12"/>
      <c r="B9889" s="13"/>
    </row>
    <row r="9890" spans="1:2" x14ac:dyDescent="0.2">
      <c r="A9890" s="12"/>
      <c r="B9890" s="13"/>
    </row>
    <row r="9891" spans="1:2" x14ac:dyDescent="0.2">
      <c r="A9891" s="12"/>
      <c r="B9891" s="13"/>
    </row>
    <row r="9892" spans="1:2" x14ac:dyDescent="0.2">
      <c r="A9892" s="12"/>
      <c r="B9892" s="13"/>
    </row>
    <row r="9893" spans="1:2" x14ac:dyDescent="0.2">
      <c r="A9893" s="12"/>
      <c r="B9893" s="13"/>
    </row>
    <row r="9894" spans="1:2" x14ac:dyDescent="0.2">
      <c r="A9894" s="12"/>
      <c r="B9894" s="13"/>
    </row>
    <row r="9895" spans="1:2" x14ac:dyDescent="0.2">
      <c r="A9895" s="12"/>
      <c r="B9895" s="13"/>
    </row>
    <row r="9896" spans="1:2" x14ac:dyDescent="0.2">
      <c r="A9896" s="12"/>
      <c r="B9896" s="13"/>
    </row>
    <row r="9897" spans="1:2" x14ac:dyDescent="0.2">
      <c r="A9897" s="12"/>
      <c r="B9897" s="13"/>
    </row>
    <row r="9898" spans="1:2" x14ac:dyDescent="0.2">
      <c r="A9898" s="12"/>
      <c r="B9898" s="13"/>
    </row>
    <row r="9899" spans="1:2" x14ac:dyDescent="0.2">
      <c r="A9899" s="12"/>
      <c r="B9899" s="13"/>
    </row>
    <row r="9900" spans="1:2" x14ac:dyDescent="0.2">
      <c r="A9900" s="12"/>
      <c r="B9900" s="13"/>
    </row>
    <row r="9901" spans="1:2" x14ac:dyDescent="0.2">
      <c r="A9901" s="12"/>
      <c r="B9901" s="13"/>
    </row>
    <row r="9902" spans="1:2" x14ac:dyDescent="0.2">
      <c r="A9902" s="12"/>
      <c r="B9902" s="13"/>
    </row>
    <row r="9903" spans="1:2" x14ac:dyDescent="0.2">
      <c r="A9903" s="12"/>
      <c r="B9903" s="13"/>
    </row>
    <row r="9904" spans="1:2" x14ac:dyDescent="0.2">
      <c r="A9904" s="12"/>
      <c r="B9904" s="13"/>
    </row>
    <row r="9905" spans="1:2" x14ac:dyDescent="0.2">
      <c r="A9905" s="12"/>
      <c r="B9905" s="13"/>
    </row>
    <row r="9906" spans="1:2" x14ac:dyDescent="0.2">
      <c r="A9906" s="12"/>
      <c r="B9906" s="13"/>
    </row>
    <row r="9907" spans="1:2" x14ac:dyDescent="0.2">
      <c r="A9907" s="12"/>
      <c r="B9907" s="13"/>
    </row>
    <row r="9908" spans="1:2" x14ac:dyDescent="0.2">
      <c r="A9908" s="12"/>
      <c r="B9908" s="13"/>
    </row>
    <row r="9909" spans="1:2" x14ac:dyDescent="0.2">
      <c r="A9909" s="12"/>
      <c r="B9909" s="13"/>
    </row>
    <row r="9910" spans="1:2" x14ac:dyDescent="0.2">
      <c r="A9910" s="12"/>
      <c r="B9910" s="13"/>
    </row>
    <row r="9911" spans="1:2" x14ac:dyDescent="0.2">
      <c r="A9911" s="12"/>
      <c r="B9911" s="13"/>
    </row>
    <row r="9912" spans="1:2" x14ac:dyDescent="0.2">
      <c r="A9912" s="12"/>
      <c r="B9912" s="13"/>
    </row>
    <row r="9913" spans="1:2" x14ac:dyDescent="0.2">
      <c r="A9913" s="12"/>
      <c r="B9913" s="13"/>
    </row>
    <row r="9914" spans="1:2" x14ac:dyDescent="0.2">
      <c r="A9914" s="12"/>
      <c r="B9914" s="13"/>
    </row>
    <row r="9915" spans="1:2" x14ac:dyDescent="0.2">
      <c r="A9915" s="12"/>
      <c r="B9915" s="13"/>
    </row>
    <row r="9916" spans="1:2" x14ac:dyDescent="0.2">
      <c r="A9916" s="12"/>
      <c r="B9916" s="13"/>
    </row>
    <row r="9917" spans="1:2" x14ac:dyDescent="0.2">
      <c r="A9917" s="12"/>
      <c r="B9917" s="13"/>
    </row>
    <row r="9918" spans="1:2" x14ac:dyDescent="0.2">
      <c r="A9918" s="12"/>
      <c r="B9918" s="13"/>
    </row>
    <row r="9919" spans="1:2" x14ac:dyDescent="0.2">
      <c r="A9919" s="12"/>
      <c r="B9919" s="13"/>
    </row>
    <row r="9920" spans="1:2" x14ac:dyDescent="0.2">
      <c r="A9920" s="12"/>
      <c r="B9920" s="13"/>
    </row>
    <row r="9921" spans="1:2" x14ac:dyDescent="0.2">
      <c r="A9921" s="12"/>
      <c r="B9921" s="13"/>
    </row>
    <row r="9922" spans="1:2" x14ac:dyDescent="0.2">
      <c r="A9922" s="12"/>
      <c r="B9922" s="13"/>
    </row>
    <row r="9923" spans="1:2" x14ac:dyDescent="0.2">
      <c r="A9923" s="12"/>
      <c r="B9923" s="13"/>
    </row>
    <row r="9924" spans="1:2" x14ac:dyDescent="0.2">
      <c r="A9924" s="12"/>
      <c r="B9924" s="13"/>
    </row>
    <row r="9925" spans="1:2" x14ac:dyDescent="0.2">
      <c r="A9925" s="12"/>
      <c r="B9925" s="13"/>
    </row>
    <row r="9926" spans="1:2" x14ac:dyDescent="0.2">
      <c r="A9926" s="12"/>
      <c r="B9926" s="13"/>
    </row>
    <row r="9927" spans="1:2" x14ac:dyDescent="0.2">
      <c r="A9927" s="12"/>
      <c r="B9927" s="13"/>
    </row>
    <row r="9928" spans="1:2" x14ac:dyDescent="0.2">
      <c r="A9928" s="12"/>
      <c r="B9928" s="13"/>
    </row>
    <row r="9929" spans="1:2" x14ac:dyDescent="0.2">
      <c r="A9929" s="12"/>
      <c r="B9929" s="13"/>
    </row>
    <row r="9930" spans="1:2" x14ac:dyDescent="0.2">
      <c r="A9930" s="12"/>
      <c r="B9930" s="13"/>
    </row>
    <row r="9931" spans="1:2" x14ac:dyDescent="0.2">
      <c r="A9931" s="12"/>
      <c r="B9931" s="13"/>
    </row>
    <row r="9932" spans="1:2" x14ac:dyDescent="0.2">
      <c r="A9932" s="12"/>
      <c r="B9932" s="13"/>
    </row>
    <row r="9933" spans="1:2" x14ac:dyDescent="0.2">
      <c r="A9933" s="12"/>
      <c r="B9933" s="13"/>
    </row>
    <row r="9934" spans="1:2" x14ac:dyDescent="0.2">
      <c r="A9934" s="12"/>
      <c r="B9934" s="13"/>
    </row>
    <row r="9935" spans="1:2" x14ac:dyDescent="0.2">
      <c r="A9935" s="12"/>
      <c r="B9935" s="13"/>
    </row>
    <row r="9936" spans="1:2" x14ac:dyDescent="0.2">
      <c r="A9936" s="12"/>
      <c r="B9936" s="13"/>
    </row>
    <row r="9937" spans="1:2" x14ac:dyDescent="0.2">
      <c r="A9937" s="12"/>
      <c r="B9937" s="13"/>
    </row>
    <row r="9938" spans="1:2" x14ac:dyDescent="0.2">
      <c r="A9938" s="12"/>
      <c r="B9938" s="13"/>
    </row>
    <row r="9939" spans="1:2" x14ac:dyDescent="0.2">
      <c r="A9939" s="12"/>
      <c r="B9939" s="13"/>
    </row>
    <row r="9940" spans="1:2" x14ac:dyDescent="0.2">
      <c r="A9940" s="12"/>
      <c r="B9940" s="13"/>
    </row>
    <row r="9941" spans="1:2" x14ac:dyDescent="0.2">
      <c r="A9941" s="12"/>
      <c r="B9941" s="13"/>
    </row>
    <row r="9942" spans="1:2" x14ac:dyDescent="0.2">
      <c r="A9942" s="12"/>
      <c r="B9942" s="13"/>
    </row>
    <row r="9943" spans="1:2" x14ac:dyDescent="0.2">
      <c r="A9943" s="12"/>
      <c r="B9943" s="13"/>
    </row>
    <row r="9944" spans="1:2" x14ac:dyDescent="0.2">
      <c r="A9944" s="12"/>
      <c r="B9944" s="13"/>
    </row>
    <row r="9945" spans="1:2" x14ac:dyDescent="0.2">
      <c r="A9945" s="12"/>
      <c r="B9945" s="13"/>
    </row>
    <row r="9946" spans="1:2" x14ac:dyDescent="0.2">
      <c r="A9946" s="12"/>
      <c r="B9946" s="13"/>
    </row>
    <row r="9947" spans="1:2" x14ac:dyDescent="0.2">
      <c r="A9947" s="12"/>
      <c r="B9947" s="13"/>
    </row>
    <row r="9948" spans="1:2" x14ac:dyDescent="0.2">
      <c r="A9948" s="12"/>
      <c r="B9948" s="13"/>
    </row>
    <row r="9949" spans="1:2" x14ac:dyDescent="0.2">
      <c r="A9949" s="12"/>
      <c r="B9949" s="13"/>
    </row>
    <row r="9950" spans="1:2" x14ac:dyDescent="0.2">
      <c r="A9950" s="12"/>
      <c r="B9950" s="13"/>
    </row>
    <row r="9951" spans="1:2" x14ac:dyDescent="0.2">
      <c r="A9951" s="12"/>
      <c r="B9951" s="13"/>
    </row>
    <row r="9952" spans="1:2" x14ac:dyDescent="0.2">
      <c r="A9952" s="12"/>
      <c r="B9952" s="13"/>
    </row>
    <row r="9953" spans="1:2" x14ac:dyDescent="0.2">
      <c r="A9953" s="12"/>
      <c r="B9953" s="13"/>
    </row>
    <row r="9954" spans="1:2" x14ac:dyDescent="0.2">
      <c r="A9954" s="12"/>
      <c r="B9954" s="13"/>
    </row>
    <row r="9955" spans="1:2" x14ac:dyDescent="0.2">
      <c r="A9955" s="12"/>
      <c r="B9955" s="13"/>
    </row>
    <row r="9956" spans="1:2" x14ac:dyDescent="0.2">
      <c r="A9956" s="12"/>
      <c r="B9956" s="13"/>
    </row>
    <row r="9957" spans="1:2" x14ac:dyDescent="0.2">
      <c r="A9957" s="12"/>
      <c r="B9957" s="13"/>
    </row>
    <row r="9958" spans="1:2" x14ac:dyDescent="0.2">
      <c r="A9958" s="12"/>
      <c r="B9958" s="13"/>
    </row>
    <row r="9959" spans="1:2" x14ac:dyDescent="0.2">
      <c r="A9959" s="12"/>
      <c r="B9959" s="13"/>
    </row>
    <row r="9960" spans="1:2" x14ac:dyDescent="0.2">
      <c r="A9960" s="12"/>
      <c r="B9960" s="13"/>
    </row>
    <row r="9961" spans="1:2" x14ac:dyDescent="0.2">
      <c r="A9961" s="12"/>
      <c r="B9961" s="13"/>
    </row>
    <row r="9962" spans="1:2" x14ac:dyDescent="0.2">
      <c r="A9962" s="12"/>
      <c r="B9962" s="13"/>
    </row>
    <row r="9963" spans="1:2" x14ac:dyDescent="0.2">
      <c r="A9963" s="12"/>
      <c r="B9963" s="13"/>
    </row>
    <row r="9964" spans="1:2" x14ac:dyDescent="0.2">
      <c r="A9964" s="12"/>
      <c r="B9964" s="13"/>
    </row>
    <row r="9965" spans="1:2" x14ac:dyDescent="0.2">
      <c r="A9965" s="12"/>
      <c r="B9965" s="13"/>
    </row>
    <row r="9966" spans="1:2" x14ac:dyDescent="0.2">
      <c r="A9966" s="12"/>
      <c r="B9966" s="13"/>
    </row>
    <row r="9967" spans="1:2" x14ac:dyDescent="0.2">
      <c r="A9967" s="12"/>
      <c r="B9967" s="13"/>
    </row>
    <row r="9968" spans="1:2" x14ac:dyDescent="0.2">
      <c r="A9968" s="12"/>
      <c r="B9968" s="13"/>
    </row>
    <row r="9969" spans="1:2" x14ac:dyDescent="0.2">
      <c r="A9969" s="12"/>
      <c r="B9969" s="13"/>
    </row>
    <row r="9970" spans="1:2" x14ac:dyDescent="0.2">
      <c r="A9970" s="12"/>
      <c r="B9970" s="13"/>
    </row>
    <row r="9971" spans="1:2" x14ac:dyDescent="0.2">
      <c r="A9971" s="12"/>
      <c r="B9971" s="13"/>
    </row>
    <row r="9972" spans="1:2" x14ac:dyDescent="0.2">
      <c r="A9972" s="12"/>
      <c r="B9972" s="13"/>
    </row>
    <row r="9973" spans="1:2" x14ac:dyDescent="0.2">
      <c r="A9973" s="12"/>
      <c r="B9973" s="13"/>
    </row>
    <row r="9974" spans="1:2" x14ac:dyDescent="0.2">
      <c r="A9974" s="12"/>
      <c r="B9974" s="13"/>
    </row>
    <row r="9975" spans="1:2" x14ac:dyDescent="0.2">
      <c r="A9975" s="12"/>
      <c r="B9975" s="13"/>
    </row>
    <row r="9976" spans="1:2" x14ac:dyDescent="0.2">
      <c r="A9976" s="12"/>
      <c r="B9976" s="13"/>
    </row>
    <row r="9977" spans="1:2" x14ac:dyDescent="0.2">
      <c r="A9977" s="12"/>
      <c r="B9977" s="13"/>
    </row>
    <row r="9978" spans="1:2" x14ac:dyDescent="0.2">
      <c r="A9978" s="12"/>
      <c r="B9978" s="13"/>
    </row>
    <row r="9979" spans="1:2" x14ac:dyDescent="0.2">
      <c r="A9979" s="12"/>
      <c r="B9979" s="13"/>
    </row>
    <row r="9980" spans="1:2" x14ac:dyDescent="0.2">
      <c r="A9980" s="12"/>
      <c r="B9980" s="13"/>
    </row>
    <row r="9981" spans="1:2" x14ac:dyDescent="0.2">
      <c r="A9981" s="12"/>
      <c r="B9981" s="13"/>
    </row>
    <row r="9982" spans="1:2" x14ac:dyDescent="0.2">
      <c r="A9982" s="12"/>
      <c r="B9982" s="13"/>
    </row>
    <row r="9983" spans="1:2" x14ac:dyDescent="0.2">
      <c r="A9983" s="12"/>
      <c r="B9983" s="13"/>
    </row>
    <row r="9984" spans="1:2" x14ac:dyDescent="0.2">
      <c r="A9984" s="12"/>
      <c r="B9984" s="13"/>
    </row>
    <row r="9985" spans="1:2" x14ac:dyDescent="0.2">
      <c r="A9985" s="12"/>
      <c r="B9985" s="13"/>
    </row>
    <row r="9986" spans="1:2" x14ac:dyDescent="0.2">
      <c r="A9986" s="12"/>
      <c r="B9986" s="13"/>
    </row>
    <row r="9987" spans="1:2" x14ac:dyDescent="0.2">
      <c r="A9987" s="12"/>
      <c r="B9987" s="13"/>
    </row>
    <row r="9988" spans="1:2" x14ac:dyDescent="0.2">
      <c r="A9988" s="12"/>
      <c r="B9988" s="13"/>
    </row>
    <row r="9989" spans="1:2" x14ac:dyDescent="0.2">
      <c r="A9989" s="12"/>
      <c r="B9989" s="13"/>
    </row>
    <row r="9990" spans="1:2" x14ac:dyDescent="0.2">
      <c r="A9990" s="12"/>
      <c r="B9990" s="13"/>
    </row>
    <row r="9991" spans="1:2" x14ac:dyDescent="0.2">
      <c r="A9991" s="12"/>
      <c r="B9991" s="13"/>
    </row>
    <row r="9992" spans="1:2" x14ac:dyDescent="0.2">
      <c r="A9992" s="12"/>
      <c r="B9992" s="13"/>
    </row>
    <row r="9993" spans="1:2" x14ac:dyDescent="0.2">
      <c r="A9993" s="12"/>
      <c r="B9993" s="13"/>
    </row>
    <row r="9994" spans="1:2" x14ac:dyDescent="0.2">
      <c r="A9994" s="12"/>
      <c r="B9994" s="13"/>
    </row>
    <row r="9995" spans="1:2" x14ac:dyDescent="0.2">
      <c r="A9995" s="12"/>
      <c r="B9995" s="13"/>
    </row>
    <row r="9996" spans="1:2" x14ac:dyDescent="0.2">
      <c r="A9996" s="12"/>
      <c r="B9996" s="13"/>
    </row>
    <row r="9997" spans="1:2" x14ac:dyDescent="0.2">
      <c r="A9997" s="12"/>
      <c r="B9997" s="13"/>
    </row>
    <row r="9998" spans="1:2" x14ac:dyDescent="0.2">
      <c r="A9998" s="12"/>
      <c r="B9998" s="13"/>
    </row>
    <row r="9999" spans="1:2" x14ac:dyDescent="0.2">
      <c r="A9999" s="12"/>
      <c r="B9999" s="13"/>
    </row>
    <row r="10000" spans="1:2" x14ac:dyDescent="0.2">
      <c r="A10000" s="12"/>
      <c r="B10000" s="13"/>
    </row>
    <row r="10001" spans="1:2" x14ac:dyDescent="0.2">
      <c r="A10001" s="12"/>
      <c r="B10001" s="13"/>
    </row>
    <row r="10002" spans="1:2" x14ac:dyDescent="0.2">
      <c r="A10002" s="12"/>
      <c r="B10002" s="13"/>
    </row>
    <row r="10003" spans="1:2" x14ac:dyDescent="0.2">
      <c r="A10003" s="12"/>
      <c r="B10003" s="13"/>
    </row>
    <row r="10004" spans="1:2" x14ac:dyDescent="0.2">
      <c r="A10004" s="12"/>
      <c r="B10004" s="13"/>
    </row>
    <row r="10005" spans="1:2" x14ac:dyDescent="0.2">
      <c r="A10005" s="12"/>
      <c r="B10005" s="13"/>
    </row>
    <row r="10006" spans="1:2" x14ac:dyDescent="0.2">
      <c r="A10006" s="12"/>
      <c r="B10006" s="13"/>
    </row>
    <row r="10007" spans="1:2" x14ac:dyDescent="0.2">
      <c r="A10007" s="12"/>
      <c r="B10007" s="13"/>
    </row>
    <row r="10008" spans="1:2" x14ac:dyDescent="0.2">
      <c r="A10008" s="12"/>
      <c r="B10008" s="13"/>
    </row>
    <row r="10009" spans="1:2" x14ac:dyDescent="0.2">
      <c r="A10009" s="12"/>
      <c r="B10009" s="13"/>
    </row>
    <row r="10010" spans="1:2" x14ac:dyDescent="0.2">
      <c r="A10010" s="12"/>
      <c r="B10010" s="13"/>
    </row>
    <row r="10011" spans="1:2" x14ac:dyDescent="0.2">
      <c r="A10011" s="12"/>
      <c r="B10011" s="13"/>
    </row>
    <row r="10012" spans="1:2" x14ac:dyDescent="0.2">
      <c r="A10012" s="12"/>
      <c r="B10012" s="13"/>
    </row>
    <row r="10013" spans="1:2" x14ac:dyDescent="0.2">
      <c r="A10013" s="12"/>
      <c r="B10013" s="13"/>
    </row>
    <row r="10014" spans="1:2" x14ac:dyDescent="0.2">
      <c r="A10014" s="12"/>
      <c r="B10014" s="13"/>
    </row>
    <row r="10015" spans="1:2" x14ac:dyDescent="0.2">
      <c r="A10015" s="12"/>
      <c r="B10015" s="13"/>
    </row>
    <row r="10016" spans="1:2" x14ac:dyDescent="0.2">
      <c r="A10016" s="12"/>
      <c r="B10016" s="13"/>
    </row>
    <row r="10017" spans="1:2" x14ac:dyDescent="0.2">
      <c r="A10017" s="12"/>
      <c r="B10017" s="13"/>
    </row>
    <row r="10018" spans="1:2" x14ac:dyDescent="0.2">
      <c r="A10018" s="12"/>
      <c r="B10018" s="13"/>
    </row>
    <row r="10019" spans="1:2" x14ac:dyDescent="0.2">
      <c r="A10019" s="12"/>
      <c r="B10019" s="13"/>
    </row>
    <row r="10020" spans="1:2" x14ac:dyDescent="0.2">
      <c r="A10020" s="12"/>
      <c r="B10020" s="13"/>
    </row>
    <row r="10021" spans="1:2" x14ac:dyDescent="0.2">
      <c r="A10021" s="12"/>
      <c r="B10021" s="13"/>
    </row>
    <row r="10022" spans="1:2" x14ac:dyDescent="0.2">
      <c r="A10022" s="12"/>
      <c r="B10022" s="13"/>
    </row>
    <row r="10023" spans="1:2" x14ac:dyDescent="0.2">
      <c r="A10023" s="12"/>
      <c r="B10023" s="13"/>
    </row>
    <row r="10024" spans="1:2" x14ac:dyDescent="0.2">
      <c r="A10024" s="12"/>
      <c r="B10024" s="13"/>
    </row>
    <row r="10025" spans="1:2" x14ac:dyDescent="0.2">
      <c r="A10025" s="12"/>
      <c r="B10025" s="13"/>
    </row>
    <row r="10026" spans="1:2" x14ac:dyDescent="0.2">
      <c r="A10026" s="12"/>
      <c r="B10026" s="13"/>
    </row>
    <row r="10027" spans="1:2" x14ac:dyDescent="0.2">
      <c r="A10027" s="12"/>
      <c r="B10027" s="13"/>
    </row>
    <row r="10028" spans="1:2" x14ac:dyDescent="0.2">
      <c r="A10028" s="12"/>
      <c r="B10028" s="13"/>
    </row>
    <row r="10029" spans="1:2" x14ac:dyDescent="0.2">
      <c r="A10029" s="12"/>
      <c r="B10029" s="13"/>
    </row>
    <row r="10030" spans="1:2" x14ac:dyDescent="0.2">
      <c r="A10030" s="12"/>
      <c r="B10030" s="13"/>
    </row>
    <row r="10031" spans="1:2" x14ac:dyDescent="0.2">
      <c r="A10031" s="12"/>
      <c r="B10031" s="13"/>
    </row>
    <row r="10032" spans="1:2" x14ac:dyDescent="0.2">
      <c r="A10032" s="12"/>
      <c r="B10032" s="13"/>
    </row>
    <row r="10033" spans="1:2" x14ac:dyDescent="0.2">
      <c r="A10033" s="12"/>
      <c r="B10033" s="13"/>
    </row>
    <row r="10034" spans="1:2" x14ac:dyDescent="0.2">
      <c r="A10034" s="12"/>
      <c r="B10034" s="13"/>
    </row>
    <row r="10035" spans="1:2" x14ac:dyDescent="0.2">
      <c r="A10035" s="12"/>
      <c r="B10035" s="13"/>
    </row>
    <row r="10036" spans="1:2" x14ac:dyDescent="0.2">
      <c r="A10036" s="12"/>
      <c r="B10036" s="13"/>
    </row>
    <row r="10037" spans="1:2" x14ac:dyDescent="0.2">
      <c r="A10037" s="12"/>
      <c r="B10037" s="13"/>
    </row>
    <row r="10038" spans="1:2" x14ac:dyDescent="0.2">
      <c r="A10038" s="12"/>
      <c r="B10038" s="13"/>
    </row>
    <row r="10039" spans="1:2" x14ac:dyDescent="0.2">
      <c r="A10039" s="12"/>
      <c r="B10039" s="13"/>
    </row>
    <row r="10040" spans="1:2" x14ac:dyDescent="0.2">
      <c r="A10040" s="12"/>
      <c r="B10040" s="13"/>
    </row>
    <row r="10041" spans="1:2" x14ac:dyDescent="0.2">
      <c r="A10041" s="12"/>
      <c r="B10041" s="13"/>
    </row>
    <row r="10042" spans="1:2" x14ac:dyDescent="0.2">
      <c r="A10042" s="12"/>
      <c r="B10042" s="13"/>
    </row>
    <row r="10043" spans="1:2" x14ac:dyDescent="0.2">
      <c r="A10043" s="12"/>
      <c r="B10043" s="13"/>
    </row>
    <row r="10044" spans="1:2" x14ac:dyDescent="0.2">
      <c r="A10044" s="12"/>
      <c r="B10044" s="13"/>
    </row>
    <row r="10045" spans="1:2" x14ac:dyDescent="0.2">
      <c r="A10045" s="12"/>
      <c r="B10045" s="13"/>
    </row>
    <row r="10046" spans="1:2" x14ac:dyDescent="0.2">
      <c r="A10046" s="12"/>
      <c r="B10046" s="13"/>
    </row>
    <row r="10047" spans="1:2" x14ac:dyDescent="0.2">
      <c r="A10047" s="12"/>
      <c r="B10047" s="13"/>
    </row>
    <row r="10048" spans="1:2" x14ac:dyDescent="0.2">
      <c r="A10048" s="12"/>
      <c r="B10048" s="13"/>
    </row>
    <row r="10049" spans="1:2" x14ac:dyDescent="0.2">
      <c r="A10049" s="12"/>
      <c r="B10049" s="13"/>
    </row>
    <row r="10050" spans="1:2" x14ac:dyDescent="0.2">
      <c r="A10050" s="12"/>
      <c r="B10050" s="13"/>
    </row>
    <row r="10051" spans="1:2" x14ac:dyDescent="0.2">
      <c r="A10051" s="12"/>
      <c r="B10051" s="13"/>
    </row>
    <row r="10052" spans="1:2" x14ac:dyDescent="0.2">
      <c r="A10052" s="12"/>
      <c r="B10052" s="13"/>
    </row>
    <row r="10053" spans="1:2" x14ac:dyDescent="0.2">
      <c r="A10053" s="12"/>
      <c r="B10053" s="13"/>
    </row>
    <row r="10054" spans="1:2" x14ac:dyDescent="0.2">
      <c r="A10054" s="12"/>
      <c r="B10054" s="13"/>
    </row>
    <row r="10055" spans="1:2" x14ac:dyDescent="0.2">
      <c r="A10055" s="12"/>
      <c r="B10055" s="13"/>
    </row>
    <row r="10056" spans="1:2" x14ac:dyDescent="0.2">
      <c r="A10056" s="12"/>
      <c r="B10056" s="13"/>
    </row>
    <row r="10057" spans="1:2" x14ac:dyDescent="0.2">
      <c r="A10057" s="12"/>
      <c r="B10057" s="13"/>
    </row>
    <row r="10058" spans="1:2" x14ac:dyDescent="0.2">
      <c r="A10058" s="12"/>
      <c r="B10058" s="13"/>
    </row>
    <row r="10059" spans="1:2" x14ac:dyDescent="0.2">
      <c r="A10059" s="12"/>
      <c r="B10059" s="13"/>
    </row>
    <row r="10060" spans="1:2" x14ac:dyDescent="0.2">
      <c r="A10060" s="12"/>
      <c r="B10060" s="13"/>
    </row>
    <row r="10061" spans="1:2" x14ac:dyDescent="0.2">
      <c r="A10061" s="12"/>
      <c r="B10061" s="13"/>
    </row>
    <row r="10062" spans="1:2" x14ac:dyDescent="0.2">
      <c r="A10062" s="12"/>
      <c r="B10062" s="13"/>
    </row>
    <row r="10063" spans="1:2" x14ac:dyDescent="0.2">
      <c r="A10063" s="12"/>
      <c r="B10063" s="13"/>
    </row>
    <row r="10064" spans="1:2" x14ac:dyDescent="0.2">
      <c r="A10064" s="12"/>
      <c r="B10064" s="13"/>
    </row>
    <row r="10065" spans="1:2" x14ac:dyDescent="0.2">
      <c r="A10065" s="12"/>
      <c r="B10065" s="13"/>
    </row>
    <row r="10066" spans="1:2" x14ac:dyDescent="0.2">
      <c r="A10066" s="12"/>
      <c r="B10066" s="13"/>
    </row>
    <row r="10067" spans="1:2" x14ac:dyDescent="0.2">
      <c r="A10067" s="12"/>
      <c r="B10067" s="13"/>
    </row>
    <row r="10068" spans="1:2" x14ac:dyDescent="0.2">
      <c r="A10068" s="12"/>
      <c r="B10068" s="13"/>
    </row>
    <row r="10069" spans="1:2" x14ac:dyDescent="0.2">
      <c r="A10069" s="12"/>
      <c r="B10069" s="13"/>
    </row>
    <row r="10070" spans="1:2" x14ac:dyDescent="0.2">
      <c r="A10070" s="12"/>
      <c r="B10070" s="13"/>
    </row>
    <row r="10071" spans="1:2" x14ac:dyDescent="0.2">
      <c r="A10071" s="12"/>
      <c r="B10071" s="13"/>
    </row>
    <row r="10072" spans="1:2" x14ac:dyDescent="0.2">
      <c r="A10072" s="12"/>
      <c r="B10072" s="13"/>
    </row>
    <row r="10073" spans="1:2" x14ac:dyDescent="0.2">
      <c r="A10073" s="12"/>
      <c r="B10073" s="13"/>
    </row>
    <row r="10074" spans="1:2" x14ac:dyDescent="0.2">
      <c r="A10074" s="12"/>
      <c r="B10074" s="13"/>
    </row>
    <row r="10075" spans="1:2" x14ac:dyDescent="0.2">
      <c r="A10075" s="12"/>
      <c r="B10075" s="13"/>
    </row>
    <row r="10076" spans="1:2" x14ac:dyDescent="0.2">
      <c r="A10076" s="12"/>
      <c r="B10076" s="13"/>
    </row>
    <row r="10077" spans="1:2" x14ac:dyDescent="0.2">
      <c r="A10077" s="12"/>
      <c r="B10077" s="13"/>
    </row>
    <row r="10078" spans="1:2" x14ac:dyDescent="0.2">
      <c r="A10078" s="12"/>
      <c r="B10078" s="13"/>
    </row>
    <row r="10079" spans="1:2" x14ac:dyDescent="0.2">
      <c r="A10079" s="12"/>
      <c r="B10079" s="13"/>
    </row>
    <row r="10080" spans="1:2" x14ac:dyDescent="0.2">
      <c r="A10080" s="12"/>
      <c r="B10080" s="13"/>
    </row>
    <row r="10081" spans="1:2" x14ac:dyDescent="0.2">
      <c r="A10081" s="12"/>
      <c r="B10081" s="13"/>
    </row>
    <row r="10082" spans="1:2" x14ac:dyDescent="0.2">
      <c r="A10082" s="12"/>
      <c r="B10082" s="13"/>
    </row>
    <row r="10083" spans="1:2" x14ac:dyDescent="0.2">
      <c r="A10083" s="12"/>
      <c r="B10083" s="13"/>
    </row>
    <row r="10084" spans="1:2" x14ac:dyDescent="0.2">
      <c r="A10084" s="12"/>
      <c r="B10084" s="13"/>
    </row>
    <row r="10085" spans="1:2" x14ac:dyDescent="0.2">
      <c r="A10085" s="12"/>
      <c r="B10085" s="13"/>
    </row>
    <row r="10086" spans="1:2" x14ac:dyDescent="0.2">
      <c r="A10086" s="12"/>
      <c r="B10086" s="13"/>
    </row>
    <row r="10087" spans="1:2" x14ac:dyDescent="0.2">
      <c r="A10087" s="12"/>
      <c r="B10087" s="13"/>
    </row>
    <row r="10088" spans="1:2" x14ac:dyDescent="0.2">
      <c r="A10088" s="12"/>
      <c r="B10088" s="13"/>
    </row>
    <row r="10089" spans="1:2" x14ac:dyDescent="0.2">
      <c r="A10089" s="12"/>
      <c r="B10089" s="13"/>
    </row>
    <row r="10090" spans="1:2" x14ac:dyDescent="0.2">
      <c r="A10090" s="12"/>
      <c r="B10090" s="13"/>
    </row>
    <row r="10091" spans="1:2" x14ac:dyDescent="0.2">
      <c r="A10091" s="12"/>
      <c r="B10091" s="13"/>
    </row>
    <row r="10092" spans="1:2" x14ac:dyDescent="0.2">
      <c r="A10092" s="12"/>
      <c r="B10092" s="13"/>
    </row>
    <row r="10093" spans="1:2" x14ac:dyDescent="0.2">
      <c r="A10093" s="12"/>
      <c r="B10093" s="13"/>
    </row>
    <row r="10094" spans="1:2" x14ac:dyDescent="0.2">
      <c r="A10094" s="12"/>
      <c r="B10094" s="13"/>
    </row>
    <row r="10095" spans="1:2" x14ac:dyDescent="0.2">
      <c r="A10095" s="12"/>
      <c r="B10095" s="13"/>
    </row>
    <row r="10096" spans="1:2" x14ac:dyDescent="0.2">
      <c r="A10096" s="12"/>
      <c r="B10096" s="13"/>
    </row>
    <row r="10097" spans="1:2" x14ac:dyDescent="0.2">
      <c r="A10097" s="12"/>
      <c r="B10097" s="13"/>
    </row>
    <row r="10098" spans="1:2" x14ac:dyDescent="0.2">
      <c r="A10098" s="12"/>
      <c r="B10098" s="13"/>
    </row>
    <row r="10099" spans="1:2" x14ac:dyDescent="0.2">
      <c r="A10099" s="12"/>
      <c r="B10099" s="13"/>
    </row>
    <row r="10100" spans="1:2" x14ac:dyDescent="0.2">
      <c r="A10100" s="12"/>
      <c r="B10100" s="13"/>
    </row>
    <row r="10101" spans="1:2" x14ac:dyDescent="0.2">
      <c r="A10101" s="12"/>
      <c r="B10101" s="13"/>
    </row>
    <row r="10102" spans="1:2" x14ac:dyDescent="0.2">
      <c r="A10102" s="12"/>
      <c r="B10102" s="13"/>
    </row>
    <row r="10103" spans="1:2" x14ac:dyDescent="0.2">
      <c r="A10103" s="12"/>
      <c r="B10103" s="13"/>
    </row>
    <row r="10104" spans="1:2" x14ac:dyDescent="0.2">
      <c r="A10104" s="12"/>
      <c r="B10104" s="13"/>
    </row>
    <row r="10105" spans="1:2" x14ac:dyDescent="0.2">
      <c r="A10105" s="12"/>
      <c r="B10105" s="13"/>
    </row>
    <row r="10106" spans="1:2" x14ac:dyDescent="0.2">
      <c r="A10106" s="12"/>
      <c r="B10106" s="13"/>
    </row>
    <row r="10107" spans="1:2" x14ac:dyDescent="0.2">
      <c r="A10107" s="12"/>
      <c r="B10107" s="13"/>
    </row>
    <row r="10108" spans="1:2" x14ac:dyDescent="0.2">
      <c r="A10108" s="12"/>
      <c r="B10108" s="13"/>
    </row>
    <row r="10109" spans="1:2" x14ac:dyDescent="0.2">
      <c r="A10109" s="12"/>
      <c r="B10109" s="13"/>
    </row>
    <row r="10110" spans="1:2" x14ac:dyDescent="0.2">
      <c r="A10110" s="12"/>
      <c r="B10110" s="13"/>
    </row>
    <row r="10111" spans="1:2" x14ac:dyDescent="0.2">
      <c r="A10111" s="12"/>
      <c r="B10111" s="13"/>
    </row>
    <row r="10112" spans="1:2" x14ac:dyDescent="0.2">
      <c r="A10112" s="12"/>
      <c r="B10112" s="13"/>
    </row>
    <row r="10113" spans="1:2" x14ac:dyDescent="0.2">
      <c r="A10113" s="12"/>
      <c r="B10113" s="13"/>
    </row>
    <row r="10114" spans="1:2" x14ac:dyDescent="0.2">
      <c r="A10114" s="12"/>
      <c r="B10114" s="13"/>
    </row>
    <row r="10115" spans="1:2" x14ac:dyDescent="0.2">
      <c r="A10115" s="12"/>
      <c r="B10115" s="13"/>
    </row>
    <row r="10116" spans="1:2" x14ac:dyDescent="0.2">
      <c r="A10116" s="12"/>
      <c r="B10116" s="13"/>
    </row>
    <row r="10117" spans="1:2" x14ac:dyDescent="0.2">
      <c r="A10117" s="12"/>
      <c r="B10117" s="13"/>
    </row>
    <row r="10118" spans="1:2" x14ac:dyDescent="0.2">
      <c r="A10118" s="12"/>
      <c r="B10118" s="13"/>
    </row>
    <row r="10119" spans="1:2" x14ac:dyDescent="0.2">
      <c r="A10119" s="12"/>
      <c r="B10119" s="13"/>
    </row>
    <row r="10120" spans="1:2" x14ac:dyDescent="0.2">
      <c r="A10120" s="12"/>
      <c r="B10120" s="13"/>
    </row>
    <row r="10121" spans="1:2" x14ac:dyDescent="0.2">
      <c r="A10121" s="12"/>
      <c r="B10121" s="13"/>
    </row>
    <row r="10122" spans="1:2" x14ac:dyDescent="0.2">
      <c r="A10122" s="12"/>
      <c r="B10122" s="13"/>
    </row>
    <row r="10123" spans="1:2" x14ac:dyDescent="0.2">
      <c r="A10123" s="12"/>
      <c r="B10123" s="13"/>
    </row>
    <row r="10124" spans="1:2" x14ac:dyDescent="0.2">
      <c r="A10124" s="12"/>
      <c r="B10124" s="13"/>
    </row>
    <row r="10125" spans="1:2" x14ac:dyDescent="0.2">
      <c r="A10125" s="12"/>
      <c r="B10125" s="13"/>
    </row>
    <row r="10126" spans="1:2" x14ac:dyDescent="0.2">
      <c r="A10126" s="12"/>
      <c r="B10126" s="13"/>
    </row>
    <row r="10127" spans="1:2" x14ac:dyDescent="0.2">
      <c r="A10127" s="12"/>
      <c r="B10127" s="13"/>
    </row>
    <row r="10128" spans="1:2" x14ac:dyDescent="0.2">
      <c r="A10128" s="12"/>
      <c r="B10128" s="13"/>
    </row>
    <row r="10129" spans="1:2" x14ac:dyDescent="0.2">
      <c r="A10129" s="12"/>
      <c r="B10129" s="13"/>
    </row>
    <row r="10130" spans="1:2" x14ac:dyDescent="0.2">
      <c r="A10130" s="12"/>
      <c r="B10130" s="13"/>
    </row>
    <row r="10131" spans="1:2" x14ac:dyDescent="0.2">
      <c r="A10131" s="12"/>
      <c r="B10131" s="13"/>
    </row>
    <row r="10132" spans="1:2" x14ac:dyDescent="0.2">
      <c r="A10132" s="12"/>
      <c r="B10132" s="13"/>
    </row>
    <row r="10133" spans="1:2" x14ac:dyDescent="0.2">
      <c r="A10133" s="12"/>
      <c r="B10133" s="13"/>
    </row>
    <row r="10134" spans="1:2" x14ac:dyDescent="0.2">
      <c r="A10134" s="12"/>
      <c r="B10134" s="13"/>
    </row>
    <row r="10135" spans="1:2" x14ac:dyDescent="0.2">
      <c r="A10135" s="12"/>
      <c r="B10135" s="13"/>
    </row>
    <row r="10136" spans="1:2" x14ac:dyDescent="0.2">
      <c r="A10136" s="12"/>
      <c r="B10136" s="13"/>
    </row>
    <row r="10137" spans="1:2" x14ac:dyDescent="0.2">
      <c r="A10137" s="12"/>
      <c r="B10137" s="13"/>
    </row>
    <row r="10138" spans="1:2" x14ac:dyDescent="0.2">
      <c r="A10138" s="12"/>
      <c r="B10138" s="13"/>
    </row>
    <row r="10139" spans="1:2" x14ac:dyDescent="0.2">
      <c r="A10139" s="12"/>
      <c r="B10139" s="13"/>
    </row>
    <row r="10140" spans="1:2" x14ac:dyDescent="0.2">
      <c r="A10140" s="12"/>
      <c r="B10140" s="13"/>
    </row>
    <row r="10141" spans="1:2" x14ac:dyDescent="0.2">
      <c r="A10141" s="12"/>
      <c r="B10141" s="13"/>
    </row>
    <row r="10142" spans="1:2" x14ac:dyDescent="0.2">
      <c r="A10142" s="12"/>
      <c r="B10142" s="13"/>
    </row>
    <row r="10143" spans="1:2" x14ac:dyDescent="0.2">
      <c r="A10143" s="12"/>
      <c r="B10143" s="13"/>
    </row>
    <row r="10144" spans="1:2" x14ac:dyDescent="0.2">
      <c r="A10144" s="12"/>
      <c r="B10144" s="13"/>
    </row>
    <row r="10145" spans="1:2" x14ac:dyDescent="0.2">
      <c r="A10145" s="12"/>
      <c r="B10145" s="13"/>
    </row>
    <row r="10146" spans="1:2" x14ac:dyDescent="0.2">
      <c r="A10146" s="12"/>
      <c r="B10146" s="13"/>
    </row>
    <row r="10147" spans="1:2" x14ac:dyDescent="0.2">
      <c r="A10147" s="12"/>
      <c r="B10147" s="13"/>
    </row>
    <row r="10148" spans="1:2" x14ac:dyDescent="0.2">
      <c r="A10148" s="12"/>
      <c r="B10148" s="13"/>
    </row>
    <row r="10149" spans="1:2" x14ac:dyDescent="0.2">
      <c r="A10149" s="12"/>
      <c r="B10149" s="13"/>
    </row>
    <row r="10150" spans="1:2" x14ac:dyDescent="0.2">
      <c r="A10150" s="12"/>
      <c r="B10150" s="13"/>
    </row>
    <row r="10151" spans="1:2" x14ac:dyDescent="0.2">
      <c r="A10151" s="12"/>
      <c r="B10151" s="13"/>
    </row>
    <row r="10152" spans="1:2" x14ac:dyDescent="0.2">
      <c r="A10152" s="12"/>
      <c r="B10152" s="13"/>
    </row>
    <row r="10153" spans="1:2" x14ac:dyDescent="0.2">
      <c r="A10153" s="12"/>
      <c r="B10153" s="13"/>
    </row>
    <row r="10154" spans="1:2" x14ac:dyDescent="0.2">
      <c r="A10154" s="12"/>
      <c r="B10154" s="13"/>
    </row>
    <row r="10155" spans="1:2" x14ac:dyDescent="0.2">
      <c r="A10155" s="12"/>
      <c r="B10155" s="13"/>
    </row>
    <row r="10156" spans="1:2" x14ac:dyDescent="0.2">
      <c r="A10156" s="12"/>
      <c r="B10156" s="13"/>
    </row>
    <row r="10157" spans="1:2" x14ac:dyDescent="0.2">
      <c r="A10157" s="12"/>
      <c r="B10157" s="13"/>
    </row>
    <row r="10158" spans="1:2" x14ac:dyDescent="0.2">
      <c r="A10158" s="12"/>
      <c r="B10158" s="13"/>
    </row>
    <row r="10159" spans="1:2" x14ac:dyDescent="0.2">
      <c r="A10159" s="12"/>
      <c r="B10159" s="13"/>
    </row>
    <row r="10160" spans="1:2" x14ac:dyDescent="0.2">
      <c r="A10160" s="12"/>
      <c r="B10160" s="13"/>
    </row>
    <row r="10161" spans="1:2" x14ac:dyDescent="0.2">
      <c r="A10161" s="12"/>
      <c r="B10161" s="13"/>
    </row>
    <row r="10162" spans="1:2" x14ac:dyDescent="0.2">
      <c r="A10162" s="12"/>
      <c r="B10162" s="13"/>
    </row>
    <row r="10163" spans="1:2" x14ac:dyDescent="0.2">
      <c r="A10163" s="12"/>
      <c r="B10163" s="13"/>
    </row>
    <row r="10164" spans="1:2" x14ac:dyDescent="0.2">
      <c r="A10164" s="12"/>
      <c r="B10164" s="13"/>
    </row>
    <row r="10165" spans="1:2" x14ac:dyDescent="0.2">
      <c r="A10165" s="12"/>
      <c r="B10165" s="13"/>
    </row>
    <row r="10166" spans="1:2" x14ac:dyDescent="0.2">
      <c r="A10166" s="12"/>
      <c r="B10166" s="13"/>
    </row>
    <row r="10167" spans="1:2" x14ac:dyDescent="0.2">
      <c r="A10167" s="12"/>
      <c r="B10167" s="13"/>
    </row>
    <row r="10168" spans="1:2" x14ac:dyDescent="0.2">
      <c r="A10168" s="12"/>
      <c r="B10168" s="13"/>
    </row>
    <row r="10169" spans="1:2" x14ac:dyDescent="0.2">
      <c r="A10169" s="12"/>
      <c r="B10169" s="13"/>
    </row>
    <row r="10170" spans="1:2" x14ac:dyDescent="0.2">
      <c r="A10170" s="12"/>
      <c r="B10170" s="13"/>
    </row>
    <row r="10171" spans="1:2" x14ac:dyDescent="0.2">
      <c r="A10171" s="12"/>
      <c r="B10171" s="13"/>
    </row>
    <row r="10172" spans="1:2" x14ac:dyDescent="0.2">
      <c r="A10172" s="12"/>
      <c r="B10172" s="13"/>
    </row>
    <row r="10173" spans="1:2" x14ac:dyDescent="0.2">
      <c r="A10173" s="12"/>
      <c r="B10173" s="13"/>
    </row>
    <row r="10174" spans="1:2" x14ac:dyDescent="0.2">
      <c r="A10174" s="12"/>
      <c r="B10174" s="13"/>
    </row>
    <row r="10175" spans="1:2" x14ac:dyDescent="0.2">
      <c r="A10175" s="12"/>
      <c r="B10175" s="13"/>
    </row>
    <row r="10176" spans="1:2" x14ac:dyDescent="0.2">
      <c r="A10176" s="12"/>
      <c r="B10176" s="13"/>
    </row>
    <row r="10177" spans="1:2" x14ac:dyDescent="0.2">
      <c r="A10177" s="12"/>
      <c r="B10177" s="13"/>
    </row>
    <row r="10178" spans="1:2" x14ac:dyDescent="0.2">
      <c r="A10178" s="12"/>
      <c r="B10178" s="13"/>
    </row>
    <row r="10179" spans="1:2" x14ac:dyDescent="0.2">
      <c r="A10179" s="12"/>
      <c r="B10179" s="13"/>
    </row>
    <row r="10180" spans="1:2" x14ac:dyDescent="0.2">
      <c r="A10180" s="12"/>
      <c r="B10180" s="13"/>
    </row>
    <row r="10181" spans="1:2" x14ac:dyDescent="0.2">
      <c r="A10181" s="12"/>
      <c r="B10181" s="13"/>
    </row>
    <row r="10182" spans="1:2" x14ac:dyDescent="0.2">
      <c r="A10182" s="12"/>
      <c r="B10182" s="13"/>
    </row>
    <row r="10183" spans="1:2" x14ac:dyDescent="0.2">
      <c r="A10183" s="12"/>
      <c r="B10183" s="13"/>
    </row>
    <row r="10184" spans="1:2" x14ac:dyDescent="0.2">
      <c r="A10184" s="12"/>
      <c r="B10184" s="13"/>
    </row>
    <row r="10185" spans="1:2" x14ac:dyDescent="0.2">
      <c r="A10185" s="12"/>
      <c r="B10185" s="13"/>
    </row>
    <row r="10186" spans="1:2" x14ac:dyDescent="0.2">
      <c r="A10186" s="12"/>
      <c r="B10186" s="13"/>
    </row>
    <row r="10187" spans="1:2" x14ac:dyDescent="0.2">
      <c r="A10187" s="12"/>
      <c r="B10187" s="13"/>
    </row>
    <row r="10188" spans="1:2" x14ac:dyDescent="0.2">
      <c r="A10188" s="12"/>
      <c r="B10188" s="13"/>
    </row>
    <row r="10189" spans="1:2" x14ac:dyDescent="0.2">
      <c r="A10189" s="12"/>
      <c r="B10189" s="13"/>
    </row>
    <row r="10190" spans="1:2" x14ac:dyDescent="0.2">
      <c r="A10190" s="12"/>
      <c r="B10190" s="13"/>
    </row>
    <row r="10191" spans="1:2" x14ac:dyDescent="0.2">
      <c r="A10191" s="12"/>
      <c r="B10191" s="13"/>
    </row>
    <row r="10192" spans="1:2" x14ac:dyDescent="0.2">
      <c r="A10192" s="12"/>
      <c r="B10192" s="13"/>
    </row>
    <row r="10193" spans="1:2" x14ac:dyDescent="0.2">
      <c r="A10193" s="12"/>
      <c r="B10193" s="13"/>
    </row>
    <row r="10194" spans="1:2" x14ac:dyDescent="0.2">
      <c r="A10194" s="12"/>
      <c r="B10194" s="13"/>
    </row>
    <row r="10195" spans="1:2" x14ac:dyDescent="0.2">
      <c r="A10195" s="12"/>
      <c r="B10195" s="13"/>
    </row>
    <row r="10196" spans="1:2" x14ac:dyDescent="0.2">
      <c r="A10196" s="12"/>
      <c r="B10196" s="13"/>
    </row>
    <row r="10197" spans="1:2" x14ac:dyDescent="0.2">
      <c r="A10197" s="12"/>
      <c r="B10197" s="13"/>
    </row>
    <row r="10198" spans="1:2" x14ac:dyDescent="0.2">
      <c r="A10198" s="12"/>
      <c r="B10198" s="13"/>
    </row>
    <row r="10199" spans="1:2" x14ac:dyDescent="0.2">
      <c r="A10199" s="12"/>
      <c r="B10199" s="13"/>
    </row>
    <row r="10200" spans="1:2" x14ac:dyDescent="0.2">
      <c r="A10200" s="12"/>
      <c r="B10200" s="13"/>
    </row>
    <row r="10201" spans="1:2" x14ac:dyDescent="0.2">
      <c r="A10201" s="12"/>
      <c r="B10201" s="13"/>
    </row>
    <row r="10202" spans="1:2" x14ac:dyDescent="0.2">
      <c r="A10202" s="12"/>
      <c r="B10202" s="13"/>
    </row>
    <row r="10203" spans="1:2" x14ac:dyDescent="0.2">
      <c r="A10203" s="12"/>
      <c r="B10203" s="13"/>
    </row>
    <row r="10204" spans="1:2" x14ac:dyDescent="0.2">
      <c r="A10204" s="12"/>
      <c r="B10204" s="13"/>
    </row>
    <row r="10205" spans="1:2" x14ac:dyDescent="0.2">
      <c r="A10205" s="12"/>
      <c r="B10205" s="13"/>
    </row>
    <row r="10206" spans="1:2" x14ac:dyDescent="0.2">
      <c r="A10206" s="12"/>
      <c r="B10206" s="13"/>
    </row>
    <row r="10207" spans="1:2" x14ac:dyDescent="0.2">
      <c r="A10207" s="12"/>
      <c r="B10207" s="13"/>
    </row>
    <row r="10208" spans="1:2" x14ac:dyDescent="0.2">
      <c r="A10208" s="12"/>
      <c r="B10208" s="13"/>
    </row>
    <row r="10209" spans="1:2" x14ac:dyDescent="0.2">
      <c r="A10209" s="12"/>
      <c r="B10209" s="13"/>
    </row>
    <row r="10210" spans="1:2" x14ac:dyDescent="0.2">
      <c r="A10210" s="12"/>
      <c r="B10210" s="13"/>
    </row>
    <row r="10211" spans="1:2" x14ac:dyDescent="0.2">
      <c r="A10211" s="12"/>
      <c r="B10211" s="13"/>
    </row>
    <row r="10212" spans="1:2" x14ac:dyDescent="0.2">
      <c r="A10212" s="12"/>
      <c r="B10212" s="13"/>
    </row>
    <row r="10213" spans="1:2" x14ac:dyDescent="0.2">
      <c r="A10213" s="12"/>
      <c r="B10213" s="13"/>
    </row>
    <row r="10214" spans="1:2" x14ac:dyDescent="0.2">
      <c r="A10214" s="12"/>
      <c r="B10214" s="13"/>
    </row>
    <row r="10215" spans="1:2" x14ac:dyDescent="0.2">
      <c r="A10215" s="12"/>
      <c r="B10215" s="13"/>
    </row>
    <row r="10216" spans="1:2" x14ac:dyDescent="0.2">
      <c r="A10216" s="12"/>
      <c r="B10216" s="13"/>
    </row>
    <row r="10217" spans="1:2" x14ac:dyDescent="0.2">
      <c r="A10217" s="12"/>
      <c r="B10217" s="13"/>
    </row>
    <row r="10218" spans="1:2" x14ac:dyDescent="0.2">
      <c r="A10218" s="12"/>
      <c r="B10218" s="13"/>
    </row>
    <row r="10219" spans="1:2" x14ac:dyDescent="0.2">
      <c r="A10219" s="12"/>
      <c r="B10219" s="13"/>
    </row>
    <row r="10220" spans="1:2" x14ac:dyDescent="0.2">
      <c r="A10220" s="12"/>
      <c r="B10220" s="13"/>
    </row>
    <row r="10221" spans="1:2" x14ac:dyDescent="0.2">
      <c r="A10221" s="12"/>
      <c r="B10221" s="13"/>
    </row>
    <row r="10222" spans="1:2" x14ac:dyDescent="0.2">
      <c r="A10222" s="12"/>
      <c r="B10222" s="13"/>
    </row>
    <row r="10223" spans="1:2" x14ac:dyDescent="0.2">
      <c r="A10223" s="12"/>
      <c r="B10223" s="13"/>
    </row>
    <row r="10224" spans="1:2" x14ac:dyDescent="0.2">
      <c r="A10224" s="12"/>
      <c r="B10224" s="13"/>
    </row>
    <row r="10225" spans="1:2" x14ac:dyDescent="0.2">
      <c r="A10225" s="12"/>
      <c r="B10225" s="13"/>
    </row>
    <row r="10226" spans="1:2" x14ac:dyDescent="0.2">
      <c r="A10226" s="12"/>
      <c r="B10226" s="13"/>
    </row>
    <row r="10227" spans="1:2" x14ac:dyDescent="0.2">
      <c r="A10227" s="12"/>
      <c r="B10227" s="13"/>
    </row>
    <row r="10228" spans="1:2" x14ac:dyDescent="0.2">
      <c r="A10228" s="12"/>
      <c r="B10228" s="13"/>
    </row>
    <row r="10229" spans="1:2" x14ac:dyDescent="0.2">
      <c r="A10229" s="12"/>
      <c r="B10229" s="13"/>
    </row>
    <row r="10230" spans="1:2" x14ac:dyDescent="0.2">
      <c r="A10230" s="12"/>
      <c r="B10230" s="13"/>
    </row>
    <row r="10231" spans="1:2" x14ac:dyDescent="0.2">
      <c r="A10231" s="12"/>
      <c r="B10231" s="13"/>
    </row>
    <row r="10232" spans="1:2" x14ac:dyDescent="0.2">
      <c r="A10232" s="12"/>
      <c r="B10232" s="13"/>
    </row>
    <row r="10233" spans="1:2" x14ac:dyDescent="0.2">
      <c r="A10233" s="12"/>
      <c r="B10233" s="13"/>
    </row>
    <row r="10234" spans="1:2" x14ac:dyDescent="0.2">
      <c r="A10234" s="12"/>
      <c r="B10234" s="13"/>
    </row>
    <row r="10235" spans="1:2" x14ac:dyDescent="0.2">
      <c r="A10235" s="12"/>
      <c r="B10235" s="13"/>
    </row>
    <row r="10236" spans="1:2" x14ac:dyDescent="0.2">
      <c r="A10236" s="12"/>
      <c r="B10236" s="13"/>
    </row>
    <row r="10237" spans="1:2" x14ac:dyDescent="0.2">
      <c r="A10237" s="12"/>
      <c r="B10237" s="13"/>
    </row>
    <row r="10238" spans="1:2" x14ac:dyDescent="0.2">
      <c r="A10238" s="12"/>
      <c r="B10238" s="13"/>
    </row>
    <row r="10239" spans="1:2" x14ac:dyDescent="0.2">
      <c r="A10239" s="12"/>
      <c r="B10239" s="13"/>
    </row>
    <row r="10240" spans="1:2" x14ac:dyDescent="0.2">
      <c r="A10240" s="12"/>
      <c r="B10240" s="13"/>
    </row>
    <row r="10241" spans="1:2" x14ac:dyDescent="0.2">
      <c r="A10241" s="12"/>
      <c r="B10241" s="13"/>
    </row>
    <row r="10242" spans="1:2" x14ac:dyDescent="0.2">
      <c r="A10242" s="12"/>
      <c r="B10242" s="13"/>
    </row>
    <row r="10243" spans="1:2" x14ac:dyDescent="0.2">
      <c r="A10243" s="12"/>
      <c r="B10243" s="13"/>
    </row>
    <row r="10244" spans="1:2" x14ac:dyDescent="0.2">
      <c r="A10244" s="12"/>
      <c r="B10244" s="13"/>
    </row>
    <row r="10245" spans="1:2" x14ac:dyDescent="0.2">
      <c r="A10245" s="12"/>
      <c r="B10245" s="13"/>
    </row>
    <row r="10246" spans="1:2" x14ac:dyDescent="0.2">
      <c r="A10246" s="12"/>
      <c r="B10246" s="13"/>
    </row>
    <row r="10247" spans="1:2" x14ac:dyDescent="0.2">
      <c r="A10247" s="12"/>
      <c r="B10247" s="13"/>
    </row>
    <row r="10248" spans="1:2" x14ac:dyDescent="0.2">
      <c r="A10248" s="12"/>
      <c r="B10248" s="13"/>
    </row>
    <row r="10249" spans="1:2" x14ac:dyDescent="0.2">
      <c r="A10249" s="12"/>
      <c r="B10249" s="13"/>
    </row>
    <row r="10250" spans="1:2" x14ac:dyDescent="0.2">
      <c r="A10250" s="12"/>
      <c r="B10250" s="13"/>
    </row>
    <row r="10251" spans="1:2" x14ac:dyDescent="0.2">
      <c r="A10251" s="12"/>
      <c r="B10251" s="13"/>
    </row>
    <row r="10252" spans="1:2" x14ac:dyDescent="0.2">
      <c r="A10252" s="12"/>
      <c r="B10252" s="13"/>
    </row>
    <row r="10253" spans="1:2" x14ac:dyDescent="0.2">
      <c r="A10253" s="12"/>
      <c r="B10253" s="13"/>
    </row>
    <row r="10254" spans="1:2" x14ac:dyDescent="0.2">
      <c r="A10254" s="12"/>
      <c r="B10254" s="13"/>
    </row>
    <row r="10255" spans="1:2" x14ac:dyDescent="0.2">
      <c r="A10255" s="12"/>
      <c r="B10255" s="13"/>
    </row>
    <row r="10256" spans="1:2" x14ac:dyDescent="0.2">
      <c r="A10256" s="12"/>
      <c r="B10256" s="13"/>
    </row>
    <row r="10257" spans="1:2" x14ac:dyDescent="0.2">
      <c r="A10257" s="12"/>
      <c r="B10257" s="13"/>
    </row>
    <row r="10258" spans="1:2" x14ac:dyDescent="0.2">
      <c r="A10258" s="12"/>
      <c r="B10258" s="13"/>
    </row>
    <row r="10259" spans="1:2" x14ac:dyDescent="0.2">
      <c r="A10259" s="12"/>
      <c r="B10259" s="13"/>
    </row>
    <row r="10260" spans="1:2" x14ac:dyDescent="0.2">
      <c r="A10260" s="12"/>
      <c r="B10260" s="13"/>
    </row>
    <row r="10261" spans="1:2" x14ac:dyDescent="0.2">
      <c r="A10261" s="12"/>
      <c r="B10261" s="13"/>
    </row>
    <row r="10262" spans="1:2" x14ac:dyDescent="0.2">
      <c r="A10262" s="12"/>
      <c r="B10262" s="13"/>
    </row>
    <row r="10263" spans="1:2" x14ac:dyDescent="0.2">
      <c r="A10263" s="12"/>
      <c r="B10263" s="13"/>
    </row>
    <row r="10264" spans="1:2" x14ac:dyDescent="0.2">
      <c r="A10264" s="12"/>
      <c r="B10264" s="13"/>
    </row>
    <row r="10265" spans="1:2" x14ac:dyDescent="0.2">
      <c r="A10265" s="12"/>
      <c r="B10265" s="13"/>
    </row>
    <row r="10266" spans="1:2" x14ac:dyDescent="0.2">
      <c r="A10266" s="12"/>
      <c r="B10266" s="13"/>
    </row>
    <row r="10267" spans="1:2" x14ac:dyDescent="0.2">
      <c r="A10267" s="12"/>
      <c r="B10267" s="13"/>
    </row>
    <row r="10268" spans="1:2" x14ac:dyDescent="0.2">
      <c r="A10268" s="12"/>
      <c r="B10268" s="13"/>
    </row>
    <row r="10269" spans="1:2" x14ac:dyDescent="0.2">
      <c r="A10269" s="12"/>
      <c r="B10269" s="13"/>
    </row>
    <row r="10270" spans="1:2" x14ac:dyDescent="0.2">
      <c r="A10270" s="12"/>
      <c r="B10270" s="13"/>
    </row>
    <row r="10271" spans="1:2" x14ac:dyDescent="0.2">
      <c r="A10271" s="12"/>
      <c r="B10271" s="13"/>
    </row>
    <row r="10272" spans="1:2" x14ac:dyDescent="0.2">
      <c r="A10272" s="12"/>
      <c r="B10272" s="13"/>
    </row>
    <row r="10273" spans="1:2" x14ac:dyDescent="0.2">
      <c r="A10273" s="12"/>
      <c r="B10273" s="13"/>
    </row>
    <row r="10274" spans="1:2" x14ac:dyDescent="0.2">
      <c r="A10274" s="12"/>
      <c r="B10274" s="13"/>
    </row>
    <row r="10275" spans="1:2" x14ac:dyDescent="0.2">
      <c r="A10275" s="12"/>
      <c r="B10275" s="13"/>
    </row>
    <row r="10276" spans="1:2" x14ac:dyDescent="0.2">
      <c r="A10276" s="12"/>
      <c r="B10276" s="13"/>
    </row>
    <row r="10277" spans="1:2" x14ac:dyDescent="0.2">
      <c r="A10277" s="12"/>
      <c r="B10277" s="13"/>
    </row>
    <row r="10278" spans="1:2" x14ac:dyDescent="0.2">
      <c r="A10278" s="12"/>
      <c r="B10278" s="13"/>
    </row>
    <row r="10279" spans="1:2" x14ac:dyDescent="0.2">
      <c r="A10279" s="12"/>
      <c r="B10279" s="13"/>
    </row>
    <row r="10280" spans="1:2" x14ac:dyDescent="0.2">
      <c r="A10280" s="12"/>
      <c r="B10280" s="13"/>
    </row>
    <row r="10281" spans="1:2" x14ac:dyDescent="0.2">
      <c r="A10281" s="12"/>
      <c r="B10281" s="13"/>
    </row>
    <row r="10282" spans="1:2" x14ac:dyDescent="0.2">
      <c r="A10282" s="12"/>
      <c r="B10282" s="13"/>
    </row>
    <row r="10283" spans="1:2" x14ac:dyDescent="0.2">
      <c r="A10283" s="12"/>
      <c r="B10283" s="13"/>
    </row>
    <row r="10284" spans="1:2" x14ac:dyDescent="0.2">
      <c r="A10284" s="12"/>
      <c r="B10284" s="13"/>
    </row>
    <row r="10285" spans="1:2" x14ac:dyDescent="0.2">
      <c r="A10285" s="12"/>
      <c r="B10285" s="13"/>
    </row>
    <row r="10286" spans="1:2" x14ac:dyDescent="0.2">
      <c r="A10286" s="12"/>
      <c r="B10286" s="13"/>
    </row>
    <row r="10287" spans="1:2" x14ac:dyDescent="0.2">
      <c r="A10287" s="12"/>
      <c r="B10287" s="13"/>
    </row>
    <row r="10288" spans="1:2" x14ac:dyDescent="0.2">
      <c r="A10288" s="12"/>
      <c r="B10288" s="13"/>
    </row>
    <row r="10289" spans="1:2" x14ac:dyDescent="0.2">
      <c r="A10289" s="12"/>
      <c r="B10289" s="13"/>
    </row>
    <row r="10290" spans="1:2" x14ac:dyDescent="0.2">
      <c r="A10290" s="12"/>
      <c r="B10290" s="13"/>
    </row>
    <row r="10291" spans="1:2" x14ac:dyDescent="0.2">
      <c r="A10291" s="12"/>
      <c r="B10291" s="13"/>
    </row>
    <row r="10292" spans="1:2" x14ac:dyDescent="0.2">
      <c r="A10292" s="12"/>
      <c r="B10292" s="13"/>
    </row>
    <row r="10293" spans="1:2" x14ac:dyDescent="0.2">
      <c r="A10293" s="12"/>
      <c r="B10293" s="13"/>
    </row>
    <row r="10294" spans="1:2" x14ac:dyDescent="0.2">
      <c r="A10294" s="12"/>
      <c r="B10294" s="13"/>
    </row>
    <row r="10295" spans="1:2" x14ac:dyDescent="0.2">
      <c r="A10295" s="12"/>
      <c r="B10295" s="13"/>
    </row>
    <row r="10296" spans="1:2" x14ac:dyDescent="0.2">
      <c r="A10296" s="12"/>
      <c r="B10296" s="13"/>
    </row>
    <row r="10297" spans="1:2" x14ac:dyDescent="0.2">
      <c r="A10297" s="12"/>
      <c r="B10297" s="13"/>
    </row>
    <row r="10298" spans="1:2" x14ac:dyDescent="0.2">
      <c r="A10298" s="12"/>
      <c r="B10298" s="13"/>
    </row>
    <row r="10299" spans="1:2" x14ac:dyDescent="0.2">
      <c r="A10299" s="12"/>
      <c r="B10299" s="13"/>
    </row>
    <row r="10300" spans="1:2" x14ac:dyDescent="0.2">
      <c r="A10300" s="12"/>
      <c r="B10300" s="13"/>
    </row>
    <row r="10301" spans="1:2" x14ac:dyDescent="0.2">
      <c r="A10301" s="12"/>
      <c r="B10301" s="13"/>
    </row>
    <row r="10302" spans="1:2" x14ac:dyDescent="0.2">
      <c r="A10302" s="12"/>
      <c r="B10302" s="13"/>
    </row>
    <row r="10303" spans="1:2" x14ac:dyDescent="0.2">
      <c r="A10303" s="12"/>
      <c r="B10303" s="13"/>
    </row>
    <row r="10304" spans="1:2" x14ac:dyDescent="0.2">
      <c r="A10304" s="12"/>
      <c r="B10304" s="13"/>
    </row>
    <row r="10305" spans="1:2" x14ac:dyDescent="0.2">
      <c r="A10305" s="12"/>
      <c r="B10305" s="13"/>
    </row>
    <row r="10306" spans="1:2" x14ac:dyDescent="0.2">
      <c r="A10306" s="12"/>
      <c r="B10306" s="13"/>
    </row>
    <row r="10307" spans="1:2" x14ac:dyDescent="0.2">
      <c r="A10307" s="12"/>
      <c r="B10307" s="13"/>
    </row>
    <row r="10308" spans="1:2" x14ac:dyDescent="0.2">
      <c r="A10308" s="12"/>
      <c r="B10308" s="13"/>
    </row>
    <row r="10309" spans="1:2" x14ac:dyDescent="0.2">
      <c r="A10309" s="12"/>
      <c r="B10309" s="13"/>
    </row>
    <row r="10310" spans="1:2" x14ac:dyDescent="0.2">
      <c r="A10310" s="12"/>
      <c r="B10310" s="13"/>
    </row>
    <row r="10311" spans="1:2" x14ac:dyDescent="0.2">
      <c r="A10311" s="12"/>
      <c r="B10311" s="13"/>
    </row>
    <row r="10312" spans="1:2" x14ac:dyDescent="0.2">
      <c r="A10312" s="12"/>
      <c r="B10312" s="13"/>
    </row>
    <row r="10313" spans="1:2" x14ac:dyDescent="0.2">
      <c r="A10313" s="12"/>
      <c r="B10313" s="13"/>
    </row>
    <row r="10314" spans="1:2" x14ac:dyDescent="0.2">
      <c r="A10314" s="12"/>
      <c r="B10314" s="13"/>
    </row>
    <row r="10315" spans="1:2" x14ac:dyDescent="0.2">
      <c r="A10315" s="12"/>
      <c r="B10315" s="13"/>
    </row>
    <row r="10316" spans="1:2" x14ac:dyDescent="0.2">
      <c r="A10316" s="12"/>
      <c r="B10316" s="13"/>
    </row>
    <row r="10317" spans="1:2" x14ac:dyDescent="0.2">
      <c r="A10317" s="12"/>
      <c r="B10317" s="13"/>
    </row>
    <row r="10318" spans="1:2" x14ac:dyDescent="0.2">
      <c r="A10318" s="12"/>
      <c r="B10318" s="13"/>
    </row>
    <row r="10319" spans="1:2" x14ac:dyDescent="0.2">
      <c r="A10319" s="12"/>
      <c r="B10319" s="13"/>
    </row>
    <row r="10320" spans="1:2" x14ac:dyDescent="0.2">
      <c r="A10320" s="12"/>
      <c r="B10320" s="13"/>
    </row>
    <row r="10321" spans="1:2" x14ac:dyDescent="0.2">
      <c r="A10321" s="12"/>
      <c r="B10321" s="13"/>
    </row>
    <row r="10322" spans="1:2" x14ac:dyDescent="0.2">
      <c r="A10322" s="12"/>
      <c r="B10322" s="13"/>
    </row>
    <row r="10323" spans="1:2" x14ac:dyDescent="0.2">
      <c r="A10323" s="12"/>
      <c r="B10323" s="13"/>
    </row>
    <row r="10324" spans="1:2" x14ac:dyDescent="0.2">
      <c r="A10324" s="12"/>
      <c r="B10324" s="13"/>
    </row>
    <row r="10325" spans="1:2" x14ac:dyDescent="0.2">
      <c r="A10325" s="12"/>
      <c r="B10325" s="13"/>
    </row>
    <row r="10326" spans="1:2" x14ac:dyDescent="0.2">
      <c r="A10326" s="12"/>
      <c r="B10326" s="13"/>
    </row>
    <row r="10327" spans="1:2" x14ac:dyDescent="0.2">
      <c r="A10327" s="12"/>
      <c r="B10327" s="13"/>
    </row>
    <row r="10328" spans="1:2" x14ac:dyDescent="0.2">
      <c r="A10328" s="12"/>
      <c r="B10328" s="13"/>
    </row>
    <row r="10329" spans="1:2" x14ac:dyDescent="0.2">
      <c r="A10329" s="12"/>
      <c r="B10329" s="13"/>
    </row>
    <row r="10330" spans="1:2" x14ac:dyDescent="0.2">
      <c r="A10330" s="12"/>
      <c r="B10330" s="13"/>
    </row>
    <row r="10331" spans="1:2" x14ac:dyDescent="0.2">
      <c r="A10331" s="12"/>
      <c r="B10331" s="13"/>
    </row>
    <row r="10332" spans="1:2" x14ac:dyDescent="0.2">
      <c r="A10332" s="12"/>
      <c r="B10332" s="13"/>
    </row>
    <row r="10333" spans="1:2" x14ac:dyDescent="0.2">
      <c r="A10333" s="12"/>
      <c r="B10333" s="13"/>
    </row>
    <row r="10334" spans="1:2" x14ac:dyDescent="0.2">
      <c r="A10334" s="12"/>
      <c r="B10334" s="13"/>
    </row>
    <row r="10335" spans="1:2" x14ac:dyDescent="0.2">
      <c r="A10335" s="12"/>
      <c r="B10335" s="13"/>
    </row>
    <row r="10336" spans="1:2" x14ac:dyDescent="0.2">
      <c r="A10336" s="12"/>
      <c r="B10336" s="13"/>
    </row>
    <row r="10337" spans="1:2" x14ac:dyDescent="0.2">
      <c r="A10337" s="12"/>
      <c r="B10337" s="13"/>
    </row>
    <row r="10338" spans="1:2" x14ac:dyDescent="0.2">
      <c r="A10338" s="12"/>
      <c r="B10338" s="13"/>
    </row>
    <row r="10339" spans="1:2" x14ac:dyDescent="0.2">
      <c r="A10339" s="12"/>
      <c r="B10339" s="13"/>
    </row>
    <row r="10340" spans="1:2" x14ac:dyDescent="0.2">
      <c r="A10340" s="12"/>
      <c r="B10340" s="13"/>
    </row>
    <row r="10341" spans="1:2" x14ac:dyDescent="0.2">
      <c r="A10341" s="12"/>
      <c r="B10341" s="13"/>
    </row>
    <row r="10342" spans="1:2" x14ac:dyDescent="0.2">
      <c r="A10342" s="12"/>
      <c r="B10342" s="13"/>
    </row>
    <row r="10343" spans="1:2" x14ac:dyDescent="0.2">
      <c r="A10343" s="12"/>
      <c r="B10343" s="13"/>
    </row>
    <row r="10344" spans="1:2" x14ac:dyDescent="0.2">
      <c r="A10344" s="12"/>
      <c r="B10344" s="13"/>
    </row>
    <row r="10345" spans="1:2" x14ac:dyDescent="0.2">
      <c r="A10345" s="12"/>
      <c r="B10345" s="13"/>
    </row>
    <row r="10346" spans="1:2" x14ac:dyDescent="0.2">
      <c r="A10346" s="12"/>
      <c r="B10346" s="13"/>
    </row>
    <row r="10347" spans="1:2" x14ac:dyDescent="0.2">
      <c r="A10347" s="12"/>
      <c r="B10347" s="13"/>
    </row>
    <row r="10348" spans="1:2" x14ac:dyDescent="0.2">
      <c r="A10348" s="12"/>
      <c r="B10348" s="13"/>
    </row>
    <row r="10349" spans="1:2" x14ac:dyDescent="0.2">
      <c r="A10349" s="12"/>
      <c r="B10349" s="13"/>
    </row>
    <row r="10350" spans="1:2" x14ac:dyDescent="0.2">
      <c r="A10350" s="12"/>
      <c r="B10350" s="13"/>
    </row>
    <row r="10351" spans="1:2" x14ac:dyDescent="0.2">
      <c r="A10351" s="12"/>
      <c r="B10351" s="13"/>
    </row>
    <row r="10352" spans="1:2" x14ac:dyDescent="0.2">
      <c r="A10352" s="12"/>
      <c r="B10352" s="13"/>
    </row>
    <row r="10353" spans="1:2" x14ac:dyDescent="0.2">
      <c r="A10353" s="12"/>
      <c r="B10353" s="13"/>
    </row>
    <row r="10354" spans="1:2" x14ac:dyDescent="0.2">
      <c r="A10354" s="12"/>
      <c r="B10354" s="13"/>
    </row>
    <row r="10355" spans="1:2" x14ac:dyDescent="0.2">
      <c r="A10355" s="12"/>
      <c r="B10355" s="13"/>
    </row>
    <row r="10356" spans="1:2" x14ac:dyDescent="0.2">
      <c r="A10356" s="12"/>
      <c r="B10356" s="13"/>
    </row>
    <row r="10357" spans="1:2" x14ac:dyDescent="0.2">
      <c r="A10357" s="12"/>
      <c r="B10357" s="13"/>
    </row>
    <row r="10358" spans="1:2" x14ac:dyDescent="0.2">
      <c r="A10358" s="12"/>
      <c r="B10358" s="13"/>
    </row>
    <row r="10359" spans="1:2" x14ac:dyDescent="0.2">
      <c r="A10359" s="12"/>
      <c r="B10359" s="13"/>
    </row>
    <row r="10360" spans="1:2" x14ac:dyDescent="0.2">
      <c r="A10360" s="12"/>
      <c r="B10360" s="13"/>
    </row>
    <row r="10361" spans="1:2" x14ac:dyDescent="0.2">
      <c r="A10361" s="12"/>
      <c r="B10361" s="13"/>
    </row>
    <row r="10362" spans="1:2" x14ac:dyDescent="0.2">
      <c r="A10362" s="12"/>
      <c r="B10362" s="13"/>
    </row>
    <row r="10363" spans="1:2" x14ac:dyDescent="0.2">
      <c r="A10363" s="12"/>
      <c r="B10363" s="13"/>
    </row>
    <row r="10364" spans="1:2" x14ac:dyDescent="0.2">
      <c r="A10364" s="12"/>
      <c r="B10364" s="13"/>
    </row>
    <row r="10365" spans="1:2" x14ac:dyDescent="0.2">
      <c r="A10365" s="12"/>
      <c r="B10365" s="13"/>
    </row>
    <row r="10366" spans="1:2" x14ac:dyDescent="0.2">
      <c r="A10366" s="12"/>
      <c r="B10366" s="13"/>
    </row>
    <row r="10367" spans="1:2" x14ac:dyDescent="0.2">
      <c r="A10367" s="12"/>
      <c r="B10367" s="13"/>
    </row>
    <row r="10368" spans="1:2" x14ac:dyDescent="0.2">
      <c r="A10368" s="12"/>
      <c r="B10368" s="13"/>
    </row>
    <row r="10369" spans="1:2" x14ac:dyDescent="0.2">
      <c r="A10369" s="12"/>
      <c r="B10369" s="13"/>
    </row>
    <row r="10370" spans="1:2" x14ac:dyDescent="0.2">
      <c r="A10370" s="12"/>
      <c r="B10370" s="13"/>
    </row>
    <row r="10371" spans="1:2" x14ac:dyDescent="0.2">
      <c r="A10371" s="12"/>
      <c r="B10371" s="13"/>
    </row>
    <row r="10372" spans="1:2" x14ac:dyDescent="0.2">
      <c r="A10372" s="12"/>
      <c r="B10372" s="13"/>
    </row>
    <row r="10373" spans="1:2" x14ac:dyDescent="0.2">
      <c r="A10373" s="12"/>
      <c r="B10373" s="13"/>
    </row>
    <row r="10374" spans="1:2" x14ac:dyDescent="0.2">
      <c r="A10374" s="12"/>
      <c r="B10374" s="13"/>
    </row>
    <row r="10375" spans="1:2" x14ac:dyDescent="0.2">
      <c r="A10375" s="12"/>
      <c r="B10375" s="13"/>
    </row>
    <row r="10376" spans="1:2" x14ac:dyDescent="0.2">
      <c r="A10376" s="12"/>
      <c r="B10376" s="13"/>
    </row>
    <row r="10377" spans="1:2" x14ac:dyDescent="0.2">
      <c r="A10377" s="12"/>
      <c r="B10377" s="13"/>
    </row>
    <row r="10378" spans="1:2" x14ac:dyDescent="0.2">
      <c r="A10378" s="12"/>
      <c r="B10378" s="13"/>
    </row>
    <row r="10379" spans="1:2" x14ac:dyDescent="0.2">
      <c r="A10379" s="12"/>
      <c r="B10379" s="13"/>
    </row>
    <row r="10380" spans="1:2" x14ac:dyDescent="0.2">
      <c r="A10380" s="12"/>
      <c r="B10380" s="13"/>
    </row>
    <row r="10381" spans="1:2" x14ac:dyDescent="0.2">
      <c r="A10381" s="12"/>
      <c r="B10381" s="13"/>
    </row>
    <row r="10382" spans="1:2" x14ac:dyDescent="0.2">
      <c r="A10382" s="12"/>
      <c r="B10382" s="13"/>
    </row>
    <row r="10383" spans="1:2" x14ac:dyDescent="0.2">
      <c r="A10383" s="12"/>
      <c r="B10383" s="13"/>
    </row>
    <row r="10384" spans="1:2" x14ac:dyDescent="0.2">
      <c r="A10384" s="12"/>
      <c r="B10384" s="13"/>
    </row>
    <row r="10385" spans="1:2" x14ac:dyDescent="0.2">
      <c r="A10385" s="12"/>
      <c r="B10385" s="13"/>
    </row>
    <row r="10386" spans="1:2" x14ac:dyDescent="0.2">
      <c r="A10386" s="12"/>
      <c r="B10386" s="13"/>
    </row>
    <row r="10387" spans="1:2" x14ac:dyDescent="0.2">
      <c r="A10387" s="12"/>
      <c r="B10387" s="13"/>
    </row>
    <row r="10388" spans="1:2" x14ac:dyDescent="0.2">
      <c r="A10388" s="12"/>
      <c r="B10388" s="13"/>
    </row>
    <row r="10389" spans="1:2" x14ac:dyDescent="0.2">
      <c r="A10389" s="12"/>
      <c r="B10389" s="13"/>
    </row>
    <row r="10390" spans="1:2" x14ac:dyDescent="0.2">
      <c r="A10390" s="12"/>
      <c r="B10390" s="13"/>
    </row>
    <row r="10391" spans="1:2" x14ac:dyDescent="0.2">
      <c r="A10391" s="12"/>
      <c r="B10391" s="13"/>
    </row>
    <row r="10392" spans="1:2" x14ac:dyDescent="0.2">
      <c r="A10392" s="12"/>
      <c r="B10392" s="13"/>
    </row>
    <row r="10393" spans="1:2" x14ac:dyDescent="0.2">
      <c r="A10393" s="12"/>
      <c r="B10393" s="13"/>
    </row>
    <row r="10394" spans="1:2" x14ac:dyDescent="0.2">
      <c r="A10394" s="12"/>
      <c r="B10394" s="13"/>
    </row>
    <row r="10395" spans="1:2" x14ac:dyDescent="0.2">
      <c r="A10395" s="12"/>
      <c r="B10395" s="13"/>
    </row>
    <row r="10396" spans="1:2" x14ac:dyDescent="0.2">
      <c r="A10396" s="12"/>
      <c r="B10396" s="13"/>
    </row>
    <row r="10397" spans="1:2" x14ac:dyDescent="0.2">
      <c r="A10397" s="12"/>
      <c r="B10397" s="13"/>
    </row>
    <row r="10398" spans="1:2" x14ac:dyDescent="0.2">
      <c r="A10398" s="12"/>
      <c r="B10398" s="13"/>
    </row>
    <row r="10399" spans="1:2" x14ac:dyDescent="0.2">
      <c r="A10399" s="12"/>
      <c r="B10399" s="13"/>
    </row>
    <row r="10400" spans="1:2" x14ac:dyDescent="0.2">
      <c r="A10400" s="12"/>
      <c r="B10400" s="13"/>
    </row>
    <row r="10401" spans="1:2" x14ac:dyDescent="0.2">
      <c r="A10401" s="12"/>
      <c r="B10401" s="13"/>
    </row>
    <row r="10402" spans="1:2" x14ac:dyDescent="0.2">
      <c r="A10402" s="12"/>
      <c r="B10402" s="13"/>
    </row>
    <row r="10403" spans="1:2" x14ac:dyDescent="0.2">
      <c r="A10403" s="12"/>
      <c r="B10403" s="13"/>
    </row>
    <row r="10404" spans="1:2" x14ac:dyDescent="0.2">
      <c r="A10404" s="12"/>
      <c r="B10404" s="13"/>
    </row>
    <row r="10405" spans="1:2" x14ac:dyDescent="0.2">
      <c r="A10405" s="12"/>
      <c r="B10405" s="13"/>
    </row>
    <row r="10406" spans="1:2" x14ac:dyDescent="0.2">
      <c r="A10406" s="12"/>
      <c r="B10406" s="13"/>
    </row>
    <row r="10407" spans="1:2" x14ac:dyDescent="0.2">
      <c r="A10407" s="12"/>
      <c r="B10407" s="13"/>
    </row>
    <row r="10408" spans="1:2" x14ac:dyDescent="0.2">
      <c r="A10408" s="12"/>
      <c r="B10408" s="13"/>
    </row>
    <row r="10409" spans="1:2" x14ac:dyDescent="0.2">
      <c r="A10409" s="12"/>
      <c r="B10409" s="13"/>
    </row>
    <row r="10410" spans="1:2" x14ac:dyDescent="0.2">
      <c r="A10410" s="12"/>
      <c r="B10410" s="13"/>
    </row>
    <row r="10411" spans="1:2" x14ac:dyDescent="0.2">
      <c r="A10411" s="12"/>
      <c r="B10411" s="13"/>
    </row>
    <row r="10412" spans="1:2" x14ac:dyDescent="0.2">
      <c r="A10412" s="12"/>
      <c r="B10412" s="13"/>
    </row>
    <row r="10413" spans="1:2" x14ac:dyDescent="0.2">
      <c r="A10413" s="12"/>
      <c r="B10413" s="13"/>
    </row>
    <row r="10414" spans="1:2" x14ac:dyDescent="0.2">
      <c r="A10414" s="12"/>
      <c r="B10414" s="13"/>
    </row>
    <row r="10415" spans="1:2" x14ac:dyDescent="0.2">
      <c r="A10415" s="12"/>
      <c r="B10415" s="13"/>
    </row>
    <row r="10416" spans="1:2" x14ac:dyDescent="0.2">
      <c r="A10416" s="12"/>
      <c r="B10416" s="13"/>
    </row>
    <row r="10417" spans="1:2" x14ac:dyDescent="0.2">
      <c r="A10417" s="12"/>
      <c r="B10417" s="13"/>
    </row>
    <row r="10418" spans="1:2" x14ac:dyDescent="0.2">
      <c r="A10418" s="12"/>
      <c r="B10418" s="13"/>
    </row>
    <row r="10419" spans="1:2" x14ac:dyDescent="0.2">
      <c r="A10419" s="12"/>
      <c r="B10419" s="13"/>
    </row>
    <row r="10420" spans="1:2" x14ac:dyDescent="0.2">
      <c r="A10420" s="12"/>
      <c r="B10420" s="13"/>
    </row>
    <row r="10421" spans="1:2" x14ac:dyDescent="0.2">
      <c r="A10421" s="12"/>
      <c r="B10421" s="13"/>
    </row>
    <row r="10422" spans="1:2" x14ac:dyDescent="0.2">
      <c r="A10422" s="12"/>
      <c r="B10422" s="13"/>
    </row>
    <row r="10423" spans="1:2" x14ac:dyDescent="0.2">
      <c r="A10423" s="12"/>
      <c r="B10423" s="13"/>
    </row>
    <row r="10424" spans="1:2" x14ac:dyDescent="0.2">
      <c r="A10424" s="12"/>
      <c r="B10424" s="13"/>
    </row>
    <row r="10425" spans="1:2" x14ac:dyDescent="0.2">
      <c r="A10425" s="12"/>
      <c r="B10425" s="13"/>
    </row>
    <row r="10426" spans="1:2" x14ac:dyDescent="0.2">
      <c r="A10426" s="12"/>
      <c r="B10426" s="13"/>
    </row>
    <row r="10427" spans="1:2" x14ac:dyDescent="0.2">
      <c r="A10427" s="12"/>
      <c r="B10427" s="13"/>
    </row>
    <row r="10428" spans="1:2" x14ac:dyDescent="0.2">
      <c r="A10428" s="12"/>
      <c r="B10428" s="13"/>
    </row>
    <row r="10429" spans="1:2" x14ac:dyDescent="0.2">
      <c r="A10429" s="12"/>
      <c r="B10429" s="13"/>
    </row>
    <row r="10430" spans="1:2" x14ac:dyDescent="0.2">
      <c r="A10430" s="12"/>
      <c r="B10430" s="13"/>
    </row>
    <row r="10431" spans="1:2" x14ac:dyDescent="0.2">
      <c r="A10431" s="12"/>
      <c r="B10431" s="13"/>
    </row>
    <row r="10432" spans="1:2" x14ac:dyDescent="0.2">
      <c r="A10432" s="12"/>
      <c r="B10432" s="13"/>
    </row>
    <row r="10433" spans="1:2" x14ac:dyDescent="0.2">
      <c r="A10433" s="12"/>
      <c r="B10433" s="13"/>
    </row>
    <row r="10434" spans="1:2" x14ac:dyDescent="0.2">
      <c r="A10434" s="12"/>
      <c r="B10434" s="13"/>
    </row>
    <row r="10435" spans="1:2" x14ac:dyDescent="0.2">
      <c r="A10435" s="12"/>
      <c r="B10435" s="13"/>
    </row>
    <row r="10436" spans="1:2" x14ac:dyDescent="0.2">
      <c r="A10436" s="12"/>
      <c r="B10436" s="13"/>
    </row>
    <row r="10437" spans="1:2" x14ac:dyDescent="0.2">
      <c r="A10437" s="12"/>
      <c r="B10437" s="13"/>
    </row>
    <row r="10438" spans="1:2" x14ac:dyDescent="0.2">
      <c r="A10438" s="12"/>
      <c r="B10438" s="13"/>
    </row>
    <row r="10439" spans="1:2" x14ac:dyDescent="0.2">
      <c r="A10439" s="12"/>
      <c r="B10439" s="13"/>
    </row>
    <row r="10440" spans="1:2" x14ac:dyDescent="0.2">
      <c r="A10440" s="12"/>
      <c r="B10440" s="13"/>
    </row>
    <row r="10441" spans="1:2" x14ac:dyDescent="0.2">
      <c r="A10441" s="12"/>
      <c r="B10441" s="13"/>
    </row>
    <row r="10442" spans="1:2" x14ac:dyDescent="0.2">
      <c r="A10442" s="12"/>
      <c r="B10442" s="13"/>
    </row>
    <row r="10443" spans="1:2" x14ac:dyDescent="0.2">
      <c r="A10443" s="12"/>
      <c r="B10443" s="13"/>
    </row>
    <row r="10444" spans="1:2" x14ac:dyDescent="0.2">
      <c r="A10444" s="12"/>
      <c r="B10444" s="13"/>
    </row>
    <row r="10445" spans="1:2" x14ac:dyDescent="0.2">
      <c r="A10445" s="12"/>
      <c r="B10445" s="13"/>
    </row>
    <row r="10446" spans="1:2" x14ac:dyDescent="0.2">
      <c r="A10446" s="12"/>
      <c r="B10446" s="13"/>
    </row>
    <row r="10447" spans="1:2" x14ac:dyDescent="0.2">
      <c r="A10447" s="12"/>
      <c r="B10447" s="13"/>
    </row>
    <row r="10448" spans="1:2" x14ac:dyDescent="0.2">
      <c r="A10448" s="12"/>
      <c r="B10448" s="13"/>
    </row>
    <row r="10449" spans="1:2" x14ac:dyDescent="0.2">
      <c r="A10449" s="12"/>
      <c r="B10449" s="13"/>
    </row>
    <row r="10450" spans="1:2" x14ac:dyDescent="0.2">
      <c r="A10450" s="12"/>
      <c r="B10450" s="13"/>
    </row>
    <row r="10451" spans="1:2" x14ac:dyDescent="0.2">
      <c r="A10451" s="12"/>
      <c r="B10451" s="13"/>
    </row>
    <row r="10452" spans="1:2" x14ac:dyDescent="0.2">
      <c r="A10452" s="12"/>
      <c r="B10452" s="13"/>
    </row>
    <row r="10453" spans="1:2" x14ac:dyDescent="0.2">
      <c r="A10453" s="12"/>
      <c r="B10453" s="13"/>
    </row>
    <row r="10454" spans="1:2" x14ac:dyDescent="0.2">
      <c r="A10454" s="12"/>
      <c r="B10454" s="13"/>
    </row>
    <row r="10455" spans="1:2" x14ac:dyDescent="0.2">
      <c r="A10455" s="12"/>
      <c r="B10455" s="13"/>
    </row>
    <row r="10456" spans="1:2" x14ac:dyDescent="0.2">
      <c r="A10456" s="12"/>
      <c r="B10456" s="13"/>
    </row>
    <row r="10457" spans="1:2" x14ac:dyDescent="0.2">
      <c r="A10457" s="12"/>
      <c r="B10457" s="13"/>
    </row>
    <row r="10458" spans="1:2" x14ac:dyDescent="0.2">
      <c r="A10458" s="12"/>
      <c r="B10458" s="13"/>
    </row>
    <row r="10459" spans="1:2" x14ac:dyDescent="0.2">
      <c r="A10459" s="12"/>
      <c r="B10459" s="13"/>
    </row>
    <row r="10460" spans="1:2" x14ac:dyDescent="0.2">
      <c r="A10460" s="12"/>
      <c r="B10460" s="13"/>
    </row>
    <row r="10461" spans="1:2" x14ac:dyDescent="0.2">
      <c r="A10461" s="12"/>
      <c r="B10461" s="13"/>
    </row>
    <row r="10462" spans="1:2" x14ac:dyDescent="0.2">
      <c r="A10462" s="12"/>
      <c r="B10462" s="13"/>
    </row>
    <row r="10463" spans="1:2" x14ac:dyDescent="0.2">
      <c r="A10463" s="12"/>
      <c r="B10463" s="13"/>
    </row>
    <row r="10464" spans="1:2" x14ac:dyDescent="0.2">
      <c r="A10464" s="12"/>
      <c r="B10464" s="13"/>
    </row>
    <row r="10465" spans="1:2" x14ac:dyDescent="0.2">
      <c r="A10465" s="12"/>
      <c r="B10465" s="13"/>
    </row>
    <row r="10466" spans="1:2" x14ac:dyDescent="0.2">
      <c r="A10466" s="12"/>
      <c r="B10466" s="13"/>
    </row>
    <row r="10467" spans="1:2" x14ac:dyDescent="0.2">
      <c r="A10467" s="12"/>
      <c r="B10467" s="13"/>
    </row>
    <row r="10468" spans="1:2" x14ac:dyDescent="0.2">
      <c r="A10468" s="12"/>
      <c r="B10468" s="13"/>
    </row>
    <row r="10469" spans="1:2" x14ac:dyDescent="0.2">
      <c r="A10469" s="12"/>
      <c r="B10469" s="13"/>
    </row>
    <row r="10470" spans="1:2" x14ac:dyDescent="0.2">
      <c r="A10470" s="12"/>
      <c r="B10470" s="13"/>
    </row>
    <row r="10471" spans="1:2" x14ac:dyDescent="0.2">
      <c r="A10471" s="12"/>
      <c r="B10471" s="13"/>
    </row>
    <row r="10472" spans="1:2" x14ac:dyDescent="0.2">
      <c r="A10472" s="12"/>
      <c r="B10472" s="13"/>
    </row>
    <row r="10473" spans="1:2" x14ac:dyDescent="0.2">
      <c r="A10473" s="12"/>
      <c r="B10473" s="13"/>
    </row>
    <row r="10474" spans="1:2" x14ac:dyDescent="0.2">
      <c r="A10474" s="12"/>
      <c r="B10474" s="13"/>
    </row>
    <row r="10475" spans="1:2" x14ac:dyDescent="0.2">
      <c r="A10475" s="12"/>
      <c r="B10475" s="13"/>
    </row>
    <row r="10476" spans="1:2" x14ac:dyDescent="0.2">
      <c r="A10476" s="12"/>
      <c r="B10476" s="13"/>
    </row>
    <row r="10477" spans="1:2" x14ac:dyDescent="0.2">
      <c r="A10477" s="12"/>
      <c r="B10477" s="13"/>
    </row>
    <row r="10478" spans="1:2" x14ac:dyDescent="0.2">
      <c r="A10478" s="12"/>
      <c r="B10478" s="13"/>
    </row>
    <row r="10479" spans="1:2" x14ac:dyDescent="0.2">
      <c r="A10479" s="12"/>
      <c r="B10479" s="13"/>
    </row>
    <row r="10480" spans="1:2" x14ac:dyDescent="0.2">
      <c r="A10480" s="12"/>
      <c r="B10480" s="13"/>
    </row>
    <row r="10481" spans="1:2" x14ac:dyDescent="0.2">
      <c r="A10481" s="12"/>
      <c r="B10481" s="13"/>
    </row>
    <row r="10482" spans="1:2" x14ac:dyDescent="0.2">
      <c r="A10482" s="12"/>
      <c r="B10482" s="13"/>
    </row>
    <row r="10483" spans="1:2" x14ac:dyDescent="0.2">
      <c r="A10483" s="12"/>
      <c r="B10483" s="13"/>
    </row>
    <row r="10484" spans="1:2" x14ac:dyDescent="0.2">
      <c r="A10484" s="12"/>
      <c r="B10484" s="13"/>
    </row>
    <row r="10485" spans="1:2" x14ac:dyDescent="0.2">
      <c r="A10485" s="12"/>
      <c r="B10485" s="13"/>
    </row>
    <row r="10486" spans="1:2" x14ac:dyDescent="0.2">
      <c r="A10486" s="12"/>
      <c r="B10486" s="13"/>
    </row>
    <row r="10487" spans="1:2" x14ac:dyDescent="0.2">
      <c r="A10487" s="12"/>
      <c r="B10487" s="13"/>
    </row>
    <row r="10488" spans="1:2" x14ac:dyDescent="0.2">
      <c r="A10488" s="12"/>
      <c r="B10488" s="13"/>
    </row>
    <row r="10489" spans="1:2" x14ac:dyDescent="0.2">
      <c r="A10489" s="12"/>
      <c r="B10489" s="13"/>
    </row>
    <row r="10490" spans="1:2" x14ac:dyDescent="0.2">
      <c r="A10490" s="12"/>
      <c r="B10490" s="13"/>
    </row>
    <row r="10491" spans="1:2" x14ac:dyDescent="0.2">
      <c r="A10491" s="12"/>
      <c r="B10491" s="13"/>
    </row>
    <row r="10492" spans="1:2" x14ac:dyDescent="0.2">
      <c r="A10492" s="12"/>
      <c r="B10492" s="13"/>
    </row>
    <row r="10493" spans="1:2" x14ac:dyDescent="0.2">
      <c r="A10493" s="12"/>
      <c r="B10493" s="13"/>
    </row>
    <row r="10494" spans="1:2" x14ac:dyDescent="0.2">
      <c r="A10494" s="12"/>
      <c r="B10494" s="13"/>
    </row>
    <row r="10495" spans="1:2" x14ac:dyDescent="0.2">
      <c r="A10495" s="12"/>
      <c r="B10495" s="13"/>
    </row>
    <row r="10496" spans="1:2" x14ac:dyDescent="0.2">
      <c r="A10496" s="12"/>
      <c r="B10496" s="13"/>
    </row>
    <row r="10497" spans="1:2" x14ac:dyDescent="0.2">
      <c r="A10497" s="12"/>
      <c r="B10497" s="13"/>
    </row>
    <row r="10498" spans="1:2" x14ac:dyDescent="0.2">
      <c r="A10498" s="12"/>
      <c r="B10498" s="13"/>
    </row>
    <row r="10499" spans="1:2" x14ac:dyDescent="0.2">
      <c r="A10499" s="12"/>
      <c r="B10499" s="13"/>
    </row>
    <row r="10500" spans="1:2" x14ac:dyDescent="0.2">
      <c r="A10500" s="12"/>
      <c r="B10500" s="13"/>
    </row>
    <row r="10501" spans="1:2" x14ac:dyDescent="0.2">
      <c r="A10501" s="12"/>
      <c r="B10501" s="13"/>
    </row>
    <row r="10502" spans="1:2" x14ac:dyDescent="0.2">
      <c r="A10502" s="12"/>
      <c r="B10502" s="13"/>
    </row>
    <row r="10503" spans="1:2" x14ac:dyDescent="0.2">
      <c r="A10503" s="12"/>
      <c r="B10503" s="13"/>
    </row>
    <row r="10504" spans="1:2" x14ac:dyDescent="0.2">
      <c r="A10504" s="12"/>
      <c r="B10504" s="13"/>
    </row>
    <row r="10505" spans="1:2" x14ac:dyDescent="0.2">
      <c r="A10505" s="12"/>
      <c r="B10505" s="13"/>
    </row>
    <row r="10506" spans="1:2" x14ac:dyDescent="0.2">
      <c r="A10506" s="12"/>
      <c r="B10506" s="13"/>
    </row>
    <row r="10507" spans="1:2" x14ac:dyDescent="0.2">
      <c r="A10507" s="12"/>
      <c r="B10507" s="13"/>
    </row>
    <row r="10508" spans="1:2" x14ac:dyDescent="0.2">
      <c r="A10508" s="12"/>
      <c r="B10508" s="13"/>
    </row>
    <row r="10509" spans="1:2" x14ac:dyDescent="0.2">
      <c r="A10509" s="12"/>
      <c r="B10509" s="13"/>
    </row>
    <row r="10510" spans="1:2" x14ac:dyDescent="0.2">
      <c r="A10510" s="12"/>
      <c r="B10510" s="13"/>
    </row>
    <row r="10511" spans="1:2" x14ac:dyDescent="0.2">
      <c r="A10511" s="12"/>
      <c r="B10511" s="13"/>
    </row>
    <row r="10512" spans="1:2" x14ac:dyDescent="0.2">
      <c r="A10512" s="12"/>
      <c r="B10512" s="13"/>
    </row>
    <row r="10513" spans="1:2" x14ac:dyDescent="0.2">
      <c r="A10513" s="12"/>
      <c r="B10513" s="13"/>
    </row>
    <row r="10514" spans="1:2" x14ac:dyDescent="0.2">
      <c r="A10514" s="12"/>
      <c r="B10514" s="13"/>
    </row>
    <row r="10515" spans="1:2" x14ac:dyDescent="0.2">
      <c r="A10515" s="12"/>
      <c r="B10515" s="13"/>
    </row>
    <row r="10516" spans="1:2" x14ac:dyDescent="0.2">
      <c r="A10516" s="12"/>
      <c r="B10516" s="13"/>
    </row>
    <row r="10517" spans="1:2" x14ac:dyDescent="0.2">
      <c r="A10517" s="12"/>
      <c r="B10517" s="13"/>
    </row>
    <row r="10518" spans="1:2" x14ac:dyDescent="0.2">
      <c r="A10518" s="12"/>
      <c r="B10518" s="13"/>
    </row>
    <row r="10519" spans="1:2" x14ac:dyDescent="0.2">
      <c r="A10519" s="12"/>
      <c r="B10519" s="13"/>
    </row>
    <row r="10520" spans="1:2" x14ac:dyDescent="0.2">
      <c r="A10520" s="12"/>
      <c r="B10520" s="13"/>
    </row>
    <row r="10521" spans="1:2" x14ac:dyDescent="0.2">
      <c r="A10521" s="12"/>
      <c r="B10521" s="13"/>
    </row>
    <row r="10522" spans="1:2" x14ac:dyDescent="0.2">
      <c r="A10522" s="12"/>
      <c r="B10522" s="13"/>
    </row>
    <row r="10523" spans="1:2" x14ac:dyDescent="0.2">
      <c r="A10523" s="12"/>
      <c r="B10523" s="13"/>
    </row>
    <row r="10524" spans="1:2" x14ac:dyDescent="0.2">
      <c r="A10524" s="12"/>
      <c r="B10524" s="13"/>
    </row>
    <row r="10525" spans="1:2" x14ac:dyDescent="0.2">
      <c r="A10525" s="12"/>
      <c r="B10525" s="13"/>
    </row>
    <row r="10526" spans="1:2" x14ac:dyDescent="0.2">
      <c r="A10526" s="12"/>
      <c r="B10526" s="13"/>
    </row>
    <row r="10527" spans="1:2" x14ac:dyDescent="0.2">
      <c r="A10527" s="12"/>
      <c r="B10527" s="13"/>
    </row>
    <row r="10528" spans="1:2" x14ac:dyDescent="0.2">
      <c r="A10528" s="12"/>
      <c r="B10528" s="13"/>
    </row>
    <row r="10529" spans="1:2" x14ac:dyDescent="0.2">
      <c r="A10529" s="12"/>
      <c r="B10529" s="13"/>
    </row>
    <row r="10530" spans="1:2" x14ac:dyDescent="0.2">
      <c r="A10530" s="12"/>
      <c r="B10530" s="13"/>
    </row>
    <row r="10531" spans="1:2" x14ac:dyDescent="0.2">
      <c r="A10531" s="12"/>
      <c r="B10531" s="13"/>
    </row>
    <row r="10532" spans="1:2" x14ac:dyDescent="0.2">
      <c r="A10532" s="12"/>
      <c r="B10532" s="13"/>
    </row>
    <row r="10533" spans="1:2" x14ac:dyDescent="0.2">
      <c r="A10533" s="12"/>
      <c r="B10533" s="13"/>
    </row>
    <row r="10534" spans="1:2" x14ac:dyDescent="0.2">
      <c r="A10534" s="12"/>
      <c r="B10534" s="13"/>
    </row>
    <row r="10535" spans="1:2" x14ac:dyDescent="0.2">
      <c r="A10535" s="12"/>
      <c r="B10535" s="13"/>
    </row>
    <row r="10536" spans="1:2" x14ac:dyDescent="0.2">
      <c r="A10536" s="12"/>
      <c r="B10536" s="13"/>
    </row>
    <row r="10537" spans="1:2" x14ac:dyDescent="0.2">
      <c r="A10537" s="12"/>
      <c r="B10537" s="13"/>
    </row>
    <row r="10538" spans="1:2" x14ac:dyDescent="0.2">
      <c r="A10538" s="12"/>
      <c r="B10538" s="13"/>
    </row>
    <row r="10539" spans="1:2" x14ac:dyDescent="0.2">
      <c r="A10539" s="12"/>
      <c r="B10539" s="13"/>
    </row>
    <row r="10540" spans="1:2" x14ac:dyDescent="0.2">
      <c r="A10540" s="12"/>
      <c r="B10540" s="13"/>
    </row>
    <row r="10541" spans="1:2" x14ac:dyDescent="0.2">
      <c r="A10541" s="12"/>
      <c r="B10541" s="13"/>
    </row>
    <row r="10542" spans="1:2" x14ac:dyDescent="0.2">
      <c r="A10542" s="12"/>
      <c r="B10542" s="13"/>
    </row>
    <row r="10543" spans="1:2" x14ac:dyDescent="0.2">
      <c r="A10543" s="12"/>
      <c r="B10543" s="13"/>
    </row>
    <row r="10544" spans="1:2" x14ac:dyDescent="0.2">
      <c r="A10544" s="12"/>
      <c r="B10544" s="13"/>
    </row>
    <row r="10545" spans="1:2" x14ac:dyDescent="0.2">
      <c r="A10545" s="12"/>
      <c r="B10545" s="13"/>
    </row>
    <row r="10546" spans="1:2" x14ac:dyDescent="0.2">
      <c r="A10546" s="12"/>
      <c r="B10546" s="13"/>
    </row>
    <row r="10547" spans="1:2" x14ac:dyDescent="0.2">
      <c r="A10547" s="12"/>
      <c r="B10547" s="13"/>
    </row>
    <row r="10548" spans="1:2" x14ac:dyDescent="0.2">
      <c r="A10548" s="12"/>
      <c r="B10548" s="13"/>
    </row>
    <row r="10549" spans="1:2" x14ac:dyDescent="0.2">
      <c r="A10549" s="12"/>
      <c r="B10549" s="13"/>
    </row>
    <row r="10550" spans="1:2" x14ac:dyDescent="0.2">
      <c r="A10550" s="12"/>
      <c r="B10550" s="13"/>
    </row>
    <row r="10551" spans="1:2" x14ac:dyDescent="0.2">
      <c r="A10551" s="12"/>
      <c r="B10551" s="13"/>
    </row>
    <row r="10552" spans="1:2" x14ac:dyDescent="0.2">
      <c r="A10552" s="12"/>
      <c r="B10552" s="13"/>
    </row>
    <row r="10553" spans="1:2" x14ac:dyDescent="0.2">
      <c r="A10553" s="12"/>
      <c r="B10553" s="13"/>
    </row>
    <row r="10554" spans="1:2" x14ac:dyDescent="0.2">
      <c r="A10554" s="12"/>
      <c r="B10554" s="13"/>
    </row>
    <row r="10555" spans="1:2" x14ac:dyDescent="0.2">
      <c r="A10555" s="12"/>
      <c r="B10555" s="13"/>
    </row>
    <row r="10556" spans="1:2" x14ac:dyDescent="0.2">
      <c r="A10556" s="12"/>
      <c r="B10556" s="13"/>
    </row>
    <row r="10557" spans="1:2" x14ac:dyDescent="0.2">
      <c r="A10557" s="12"/>
      <c r="B10557" s="13"/>
    </row>
    <row r="10558" spans="1:2" x14ac:dyDescent="0.2">
      <c r="A10558" s="12"/>
      <c r="B10558" s="13"/>
    </row>
    <row r="10559" spans="1:2" x14ac:dyDescent="0.2">
      <c r="A10559" s="12"/>
      <c r="B10559" s="13"/>
    </row>
    <row r="10560" spans="1:2" x14ac:dyDescent="0.2">
      <c r="A10560" s="12"/>
      <c r="B10560" s="13"/>
    </row>
    <row r="10561" spans="1:2" x14ac:dyDescent="0.2">
      <c r="A10561" s="12"/>
      <c r="B10561" s="13"/>
    </row>
    <row r="10562" spans="1:2" x14ac:dyDescent="0.2">
      <c r="A10562" s="12"/>
      <c r="B10562" s="13"/>
    </row>
    <row r="10563" spans="1:2" x14ac:dyDescent="0.2">
      <c r="A10563" s="12"/>
      <c r="B10563" s="13"/>
    </row>
    <row r="10564" spans="1:2" x14ac:dyDescent="0.2">
      <c r="A10564" s="12"/>
      <c r="B10564" s="13"/>
    </row>
    <row r="10565" spans="1:2" x14ac:dyDescent="0.2">
      <c r="A10565" s="12"/>
      <c r="B10565" s="13"/>
    </row>
    <row r="10566" spans="1:2" x14ac:dyDescent="0.2">
      <c r="A10566" s="12"/>
      <c r="B10566" s="13"/>
    </row>
    <row r="10567" spans="1:2" x14ac:dyDescent="0.2">
      <c r="A10567" s="12"/>
      <c r="B10567" s="13"/>
    </row>
    <row r="10568" spans="1:2" x14ac:dyDescent="0.2">
      <c r="A10568" s="12"/>
      <c r="B10568" s="13"/>
    </row>
    <row r="10569" spans="1:2" x14ac:dyDescent="0.2">
      <c r="A10569" s="12"/>
      <c r="B10569" s="13"/>
    </row>
    <row r="10570" spans="1:2" x14ac:dyDescent="0.2">
      <c r="A10570" s="12"/>
      <c r="B10570" s="13"/>
    </row>
    <row r="10571" spans="1:2" x14ac:dyDescent="0.2">
      <c r="A10571" s="12"/>
      <c r="B10571" s="13"/>
    </row>
    <row r="10572" spans="1:2" x14ac:dyDescent="0.2">
      <c r="A10572" s="12"/>
      <c r="B10572" s="13"/>
    </row>
    <row r="10573" spans="1:2" x14ac:dyDescent="0.2">
      <c r="A10573" s="12"/>
      <c r="B10573" s="13"/>
    </row>
    <row r="10574" spans="1:2" x14ac:dyDescent="0.2">
      <c r="A10574" s="12"/>
      <c r="B10574" s="13"/>
    </row>
    <row r="10575" spans="1:2" x14ac:dyDescent="0.2">
      <c r="A10575" s="12"/>
      <c r="B10575" s="13"/>
    </row>
    <row r="10576" spans="1:2" x14ac:dyDescent="0.2">
      <c r="A10576" s="12"/>
      <c r="B10576" s="13"/>
    </row>
    <row r="10577" spans="1:2" x14ac:dyDescent="0.2">
      <c r="A10577" s="12"/>
      <c r="B10577" s="13"/>
    </row>
    <row r="10578" spans="1:2" x14ac:dyDescent="0.2">
      <c r="A10578" s="12"/>
      <c r="B10578" s="13"/>
    </row>
    <row r="10579" spans="1:2" x14ac:dyDescent="0.2">
      <c r="A10579" s="12"/>
      <c r="B10579" s="13"/>
    </row>
    <row r="10580" spans="1:2" x14ac:dyDescent="0.2">
      <c r="A10580" s="12"/>
      <c r="B10580" s="13"/>
    </row>
    <row r="10581" spans="1:2" x14ac:dyDescent="0.2">
      <c r="A10581" s="12"/>
      <c r="B10581" s="13"/>
    </row>
    <row r="10582" spans="1:2" x14ac:dyDescent="0.2">
      <c r="A10582" s="12"/>
      <c r="B10582" s="13"/>
    </row>
    <row r="10583" spans="1:2" x14ac:dyDescent="0.2">
      <c r="A10583" s="12"/>
      <c r="B10583" s="13"/>
    </row>
    <row r="10584" spans="1:2" x14ac:dyDescent="0.2">
      <c r="A10584" s="12"/>
      <c r="B10584" s="13"/>
    </row>
    <row r="10585" spans="1:2" x14ac:dyDescent="0.2">
      <c r="A10585" s="12"/>
      <c r="B10585" s="13"/>
    </row>
    <row r="10586" spans="1:2" x14ac:dyDescent="0.2">
      <c r="A10586" s="12"/>
      <c r="B10586" s="13"/>
    </row>
    <row r="10587" spans="1:2" x14ac:dyDescent="0.2">
      <c r="A10587" s="12"/>
      <c r="B10587" s="13"/>
    </row>
    <row r="10588" spans="1:2" x14ac:dyDescent="0.2">
      <c r="A10588" s="12"/>
      <c r="B10588" s="13"/>
    </row>
    <row r="10589" spans="1:2" x14ac:dyDescent="0.2">
      <c r="A10589" s="12"/>
      <c r="B10589" s="13"/>
    </row>
    <row r="10590" spans="1:2" x14ac:dyDescent="0.2">
      <c r="A10590" s="12"/>
      <c r="B10590" s="13"/>
    </row>
    <row r="10591" spans="1:2" x14ac:dyDescent="0.2">
      <c r="A10591" s="12"/>
      <c r="B10591" s="13"/>
    </row>
    <row r="10592" spans="1:2" x14ac:dyDescent="0.2">
      <c r="A10592" s="12"/>
      <c r="B10592" s="13"/>
    </row>
    <row r="10593" spans="1:2" x14ac:dyDescent="0.2">
      <c r="A10593" s="12"/>
      <c r="B10593" s="13"/>
    </row>
    <row r="10594" spans="1:2" x14ac:dyDescent="0.2">
      <c r="A10594" s="12"/>
      <c r="B10594" s="13"/>
    </row>
    <row r="10595" spans="1:2" x14ac:dyDescent="0.2">
      <c r="A10595" s="12"/>
      <c r="B10595" s="13"/>
    </row>
    <row r="10596" spans="1:2" x14ac:dyDescent="0.2">
      <c r="A10596" s="12"/>
      <c r="B10596" s="13"/>
    </row>
    <row r="10597" spans="1:2" x14ac:dyDescent="0.2">
      <c r="A10597" s="12"/>
      <c r="B10597" s="13"/>
    </row>
    <row r="10598" spans="1:2" x14ac:dyDescent="0.2">
      <c r="A10598" s="12"/>
      <c r="B10598" s="13"/>
    </row>
    <row r="10599" spans="1:2" x14ac:dyDescent="0.2">
      <c r="A10599" s="12"/>
      <c r="B10599" s="13"/>
    </row>
    <row r="10600" spans="1:2" x14ac:dyDescent="0.2">
      <c r="A10600" s="12"/>
      <c r="B10600" s="13"/>
    </row>
    <row r="10601" spans="1:2" x14ac:dyDescent="0.2">
      <c r="A10601" s="12"/>
      <c r="B10601" s="13"/>
    </row>
    <row r="10602" spans="1:2" x14ac:dyDescent="0.2">
      <c r="A10602" s="12"/>
      <c r="B10602" s="13"/>
    </row>
    <row r="10603" spans="1:2" x14ac:dyDescent="0.2">
      <c r="A10603" s="12"/>
      <c r="B10603" s="13"/>
    </row>
    <row r="10604" spans="1:2" x14ac:dyDescent="0.2">
      <c r="A10604" s="12"/>
      <c r="B10604" s="13"/>
    </row>
    <row r="10605" spans="1:2" x14ac:dyDescent="0.2">
      <c r="A10605" s="12"/>
      <c r="B10605" s="13"/>
    </row>
    <row r="10606" spans="1:2" x14ac:dyDescent="0.2">
      <c r="A10606" s="12"/>
      <c r="B10606" s="13"/>
    </row>
    <row r="10607" spans="1:2" x14ac:dyDescent="0.2">
      <c r="A10607" s="12"/>
      <c r="B10607" s="13"/>
    </row>
    <row r="10608" spans="1:2" x14ac:dyDescent="0.2">
      <c r="A10608" s="12"/>
      <c r="B10608" s="13"/>
    </row>
    <row r="10609" spans="1:2" x14ac:dyDescent="0.2">
      <c r="A10609" s="12"/>
      <c r="B10609" s="13"/>
    </row>
    <row r="10610" spans="1:2" x14ac:dyDescent="0.2">
      <c r="A10610" s="12"/>
      <c r="B10610" s="13"/>
    </row>
    <row r="10611" spans="1:2" x14ac:dyDescent="0.2">
      <c r="A10611" s="12"/>
      <c r="B10611" s="13"/>
    </row>
    <row r="10612" spans="1:2" x14ac:dyDescent="0.2">
      <c r="A10612" s="12"/>
      <c r="B10612" s="13"/>
    </row>
    <row r="10613" spans="1:2" x14ac:dyDescent="0.2">
      <c r="A10613" s="12"/>
      <c r="B10613" s="13"/>
    </row>
    <row r="10614" spans="1:2" x14ac:dyDescent="0.2">
      <c r="A10614" s="12"/>
      <c r="B10614" s="13"/>
    </row>
    <row r="10615" spans="1:2" x14ac:dyDescent="0.2">
      <c r="A10615" s="12"/>
      <c r="B10615" s="13"/>
    </row>
    <row r="10616" spans="1:2" x14ac:dyDescent="0.2">
      <c r="A10616" s="12"/>
      <c r="B10616" s="13"/>
    </row>
    <row r="10617" spans="1:2" x14ac:dyDescent="0.2">
      <c r="A10617" s="12"/>
      <c r="B10617" s="13"/>
    </row>
    <row r="10618" spans="1:2" x14ac:dyDescent="0.2">
      <c r="A10618" s="12"/>
      <c r="B10618" s="13"/>
    </row>
    <row r="10619" spans="1:2" x14ac:dyDescent="0.2">
      <c r="A10619" s="12"/>
      <c r="B10619" s="13"/>
    </row>
    <row r="10620" spans="1:2" x14ac:dyDescent="0.2">
      <c r="A10620" s="12"/>
      <c r="B10620" s="13"/>
    </row>
    <row r="10621" spans="1:2" x14ac:dyDescent="0.2">
      <c r="A10621" s="12"/>
      <c r="B10621" s="13"/>
    </row>
    <row r="10622" spans="1:2" x14ac:dyDescent="0.2">
      <c r="A10622" s="12"/>
      <c r="B10622" s="13"/>
    </row>
    <row r="10623" spans="1:2" x14ac:dyDescent="0.2">
      <c r="A10623" s="12"/>
      <c r="B10623" s="13"/>
    </row>
    <row r="10624" spans="1:2" x14ac:dyDescent="0.2">
      <c r="A10624" s="12"/>
      <c r="B10624" s="13"/>
    </row>
    <row r="10625" spans="1:2" x14ac:dyDescent="0.2">
      <c r="A10625" s="12"/>
      <c r="B10625" s="13"/>
    </row>
    <row r="10626" spans="1:2" x14ac:dyDescent="0.2">
      <c r="A10626" s="12"/>
      <c r="B10626" s="13"/>
    </row>
    <row r="10627" spans="1:2" x14ac:dyDescent="0.2">
      <c r="A10627" s="12"/>
      <c r="B10627" s="13"/>
    </row>
    <row r="10628" spans="1:2" x14ac:dyDescent="0.2">
      <c r="A10628" s="12"/>
      <c r="B10628" s="13"/>
    </row>
    <row r="10629" spans="1:2" x14ac:dyDescent="0.2">
      <c r="A10629" s="12"/>
      <c r="B10629" s="13"/>
    </row>
    <row r="10630" spans="1:2" x14ac:dyDescent="0.2">
      <c r="A10630" s="12"/>
      <c r="B10630" s="13"/>
    </row>
    <row r="10631" spans="1:2" x14ac:dyDescent="0.2">
      <c r="A10631" s="12"/>
      <c r="B10631" s="13"/>
    </row>
    <row r="10632" spans="1:2" x14ac:dyDescent="0.2">
      <c r="A10632" s="12"/>
      <c r="B10632" s="13"/>
    </row>
    <row r="10633" spans="1:2" x14ac:dyDescent="0.2">
      <c r="A10633" s="12"/>
      <c r="B10633" s="13"/>
    </row>
    <row r="10634" spans="1:2" x14ac:dyDescent="0.2">
      <c r="A10634" s="12"/>
      <c r="B10634" s="13"/>
    </row>
    <row r="10635" spans="1:2" x14ac:dyDescent="0.2">
      <c r="A10635" s="12"/>
      <c r="B10635" s="13"/>
    </row>
    <row r="10636" spans="1:2" x14ac:dyDescent="0.2">
      <c r="A10636" s="12"/>
      <c r="B10636" s="13"/>
    </row>
    <row r="10637" spans="1:2" x14ac:dyDescent="0.2">
      <c r="A10637" s="12"/>
      <c r="B10637" s="13"/>
    </row>
    <row r="10638" spans="1:2" x14ac:dyDescent="0.2">
      <c r="A10638" s="12"/>
      <c r="B10638" s="13"/>
    </row>
    <row r="10639" spans="1:2" x14ac:dyDescent="0.2">
      <c r="A10639" s="12"/>
      <c r="B10639" s="13"/>
    </row>
    <row r="10640" spans="1:2" x14ac:dyDescent="0.2">
      <c r="A10640" s="12"/>
      <c r="B10640" s="13"/>
    </row>
    <row r="10641" spans="1:2" x14ac:dyDescent="0.2">
      <c r="A10641" s="12"/>
      <c r="B10641" s="13"/>
    </row>
    <row r="10642" spans="1:2" x14ac:dyDescent="0.2">
      <c r="A10642" s="12"/>
      <c r="B10642" s="13"/>
    </row>
    <row r="10643" spans="1:2" x14ac:dyDescent="0.2">
      <c r="A10643" s="12"/>
      <c r="B10643" s="13"/>
    </row>
    <row r="10644" spans="1:2" x14ac:dyDescent="0.2">
      <c r="A10644" s="12"/>
      <c r="B10644" s="13"/>
    </row>
    <row r="10645" spans="1:2" x14ac:dyDescent="0.2">
      <c r="A10645" s="12"/>
      <c r="B10645" s="13"/>
    </row>
    <row r="10646" spans="1:2" x14ac:dyDescent="0.2">
      <c r="A10646" s="12"/>
      <c r="B10646" s="13"/>
    </row>
    <row r="10647" spans="1:2" x14ac:dyDescent="0.2">
      <c r="A10647" s="12"/>
      <c r="B10647" s="13"/>
    </row>
    <row r="10648" spans="1:2" x14ac:dyDescent="0.2">
      <c r="A10648" s="12"/>
      <c r="B10648" s="13"/>
    </row>
    <row r="10649" spans="1:2" x14ac:dyDescent="0.2">
      <c r="A10649" s="12"/>
      <c r="B10649" s="13"/>
    </row>
    <row r="10650" spans="1:2" x14ac:dyDescent="0.2">
      <c r="A10650" s="12"/>
      <c r="B10650" s="13"/>
    </row>
    <row r="10651" spans="1:2" x14ac:dyDescent="0.2">
      <c r="A10651" s="12"/>
      <c r="B10651" s="13"/>
    </row>
    <row r="10652" spans="1:2" x14ac:dyDescent="0.2">
      <c r="A10652" s="12"/>
      <c r="B10652" s="13"/>
    </row>
    <row r="10653" spans="1:2" x14ac:dyDescent="0.2">
      <c r="A10653" s="12"/>
      <c r="B10653" s="13"/>
    </row>
    <row r="10654" spans="1:2" x14ac:dyDescent="0.2">
      <c r="A10654" s="12"/>
      <c r="B10654" s="13"/>
    </row>
    <row r="10655" spans="1:2" x14ac:dyDescent="0.2">
      <c r="A10655" s="12"/>
      <c r="B10655" s="13"/>
    </row>
    <row r="10656" spans="1:2" x14ac:dyDescent="0.2">
      <c r="A10656" s="12"/>
      <c r="B10656" s="13"/>
    </row>
    <row r="10657" spans="1:2" x14ac:dyDescent="0.2">
      <c r="A10657" s="12"/>
      <c r="B10657" s="13"/>
    </row>
    <row r="10658" spans="1:2" x14ac:dyDescent="0.2">
      <c r="A10658" s="12"/>
      <c r="B10658" s="13"/>
    </row>
    <row r="10659" spans="1:2" x14ac:dyDescent="0.2">
      <c r="A10659" s="12"/>
      <c r="B10659" s="13"/>
    </row>
    <row r="10660" spans="1:2" x14ac:dyDescent="0.2">
      <c r="A10660" s="12"/>
      <c r="B10660" s="13"/>
    </row>
    <row r="10661" spans="1:2" x14ac:dyDescent="0.2">
      <c r="A10661" s="12"/>
      <c r="B10661" s="13"/>
    </row>
    <row r="10662" spans="1:2" x14ac:dyDescent="0.2">
      <c r="A10662" s="12"/>
      <c r="B10662" s="13"/>
    </row>
    <row r="10663" spans="1:2" x14ac:dyDescent="0.2">
      <c r="A10663" s="12"/>
      <c r="B10663" s="13"/>
    </row>
    <row r="10664" spans="1:2" x14ac:dyDescent="0.2">
      <c r="A10664" s="12"/>
      <c r="B10664" s="13"/>
    </row>
    <row r="10665" spans="1:2" x14ac:dyDescent="0.2">
      <c r="A10665" s="12"/>
      <c r="B10665" s="13"/>
    </row>
    <row r="10666" spans="1:2" x14ac:dyDescent="0.2">
      <c r="A10666" s="12"/>
      <c r="B10666" s="13"/>
    </row>
    <row r="10667" spans="1:2" x14ac:dyDescent="0.2">
      <c r="A10667" s="12"/>
      <c r="B10667" s="13"/>
    </row>
    <row r="10668" spans="1:2" x14ac:dyDescent="0.2">
      <c r="A10668" s="12"/>
      <c r="B10668" s="13"/>
    </row>
    <row r="10669" spans="1:2" x14ac:dyDescent="0.2">
      <c r="A10669" s="12"/>
      <c r="B10669" s="13"/>
    </row>
    <row r="10670" spans="1:2" x14ac:dyDescent="0.2">
      <c r="A10670" s="12"/>
      <c r="B10670" s="13"/>
    </row>
    <row r="10671" spans="1:2" x14ac:dyDescent="0.2">
      <c r="A10671" s="12"/>
      <c r="B10671" s="13"/>
    </row>
    <row r="10672" spans="1:2" x14ac:dyDescent="0.2">
      <c r="A10672" s="12"/>
      <c r="B10672" s="13"/>
    </row>
    <row r="10673" spans="1:2" x14ac:dyDescent="0.2">
      <c r="A10673" s="12"/>
      <c r="B10673" s="13"/>
    </row>
    <row r="10674" spans="1:2" x14ac:dyDescent="0.2">
      <c r="A10674" s="12"/>
      <c r="B10674" s="13"/>
    </row>
    <row r="10675" spans="1:2" x14ac:dyDescent="0.2">
      <c r="A10675" s="12"/>
      <c r="B10675" s="13"/>
    </row>
    <row r="10676" spans="1:2" x14ac:dyDescent="0.2">
      <c r="A10676" s="12"/>
      <c r="B10676" s="13"/>
    </row>
    <row r="10677" spans="1:2" x14ac:dyDescent="0.2">
      <c r="A10677" s="12"/>
      <c r="B10677" s="13"/>
    </row>
    <row r="10678" spans="1:2" x14ac:dyDescent="0.2">
      <c r="A10678" s="12"/>
      <c r="B10678" s="13"/>
    </row>
    <row r="10679" spans="1:2" x14ac:dyDescent="0.2">
      <c r="A10679" s="12"/>
      <c r="B10679" s="13"/>
    </row>
    <row r="10680" spans="1:2" x14ac:dyDescent="0.2">
      <c r="A10680" s="12"/>
      <c r="B10680" s="13"/>
    </row>
    <row r="10681" spans="1:2" x14ac:dyDescent="0.2">
      <c r="A10681" s="12"/>
      <c r="B10681" s="13"/>
    </row>
    <row r="10682" spans="1:2" x14ac:dyDescent="0.2">
      <c r="A10682" s="12"/>
      <c r="B10682" s="13"/>
    </row>
    <row r="10683" spans="1:2" x14ac:dyDescent="0.2">
      <c r="A10683" s="12"/>
      <c r="B10683" s="13"/>
    </row>
    <row r="10684" spans="1:2" x14ac:dyDescent="0.2">
      <c r="A10684" s="12"/>
      <c r="B10684" s="13"/>
    </row>
    <row r="10685" spans="1:2" x14ac:dyDescent="0.2">
      <c r="A10685" s="12"/>
      <c r="B10685" s="13"/>
    </row>
    <row r="10686" spans="1:2" x14ac:dyDescent="0.2">
      <c r="A10686" s="12"/>
      <c r="B10686" s="13"/>
    </row>
    <row r="10687" spans="1:2" x14ac:dyDescent="0.2">
      <c r="A10687" s="12"/>
      <c r="B10687" s="13"/>
    </row>
    <row r="10688" spans="1:2" x14ac:dyDescent="0.2">
      <c r="A10688" s="12"/>
      <c r="B10688" s="13"/>
    </row>
    <row r="10689" spans="1:2" x14ac:dyDescent="0.2">
      <c r="A10689" s="12"/>
      <c r="B10689" s="13"/>
    </row>
    <row r="10690" spans="1:2" x14ac:dyDescent="0.2">
      <c r="A10690" s="12"/>
      <c r="B10690" s="13"/>
    </row>
    <row r="10691" spans="1:2" x14ac:dyDescent="0.2">
      <c r="A10691" s="12"/>
      <c r="B10691" s="13"/>
    </row>
    <row r="10692" spans="1:2" x14ac:dyDescent="0.2">
      <c r="A10692" s="12"/>
      <c r="B10692" s="13"/>
    </row>
    <row r="10693" spans="1:2" x14ac:dyDescent="0.2">
      <c r="A10693" s="12"/>
      <c r="B10693" s="13"/>
    </row>
    <row r="10694" spans="1:2" x14ac:dyDescent="0.2">
      <c r="A10694" s="12"/>
      <c r="B10694" s="13"/>
    </row>
    <row r="10695" spans="1:2" x14ac:dyDescent="0.2">
      <c r="A10695" s="12"/>
      <c r="B10695" s="13"/>
    </row>
    <row r="10696" spans="1:2" x14ac:dyDescent="0.2">
      <c r="A10696" s="12"/>
      <c r="B10696" s="13"/>
    </row>
    <row r="10697" spans="1:2" x14ac:dyDescent="0.2">
      <c r="A10697" s="12"/>
      <c r="B10697" s="13"/>
    </row>
    <row r="10698" spans="1:2" x14ac:dyDescent="0.2">
      <c r="A10698" s="12"/>
      <c r="B10698" s="13"/>
    </row>
    <row r="10699" spans="1:2" x14ac:dyDescent="0.2">
      <c r="A10699" s="12"/>
      <c r="B10699" s="13"/>
    </row>
    <row r="10700" spans="1:2" x14ac:dyDescent="0.2">
      <c r="A10700" s="12"/>
      <c r="B10700" s="13"/>
    </row>
    <row r="10701" spans="1:2" x14ac:dyDescent="0.2">
      <c r="A10701" s="12"/>
      <c r="B10701" s="13"/>
    </row>
    <row r="10702" spans="1:2" x14ac:dyDescent="0.2">
      <c r="A10702" s="12"/>
      <c r="B10702" s="13"/>
    </row>
    <row r="10703" spans="1:2" x14ac:dyDescent="0.2">
      <c r="A10703" s="12"/>
      <c r="B10703" s="13"/>
    </row>
    <row r="10704" spans="1:2" x14ac:dyDescent="0.2">
      <c r="A10704" s="12"/>
      <c r="B10704" s="13"/>
    </row>
    <row r="10705" spans="1:2" x14ac:dyDescent="0.2">
      <c r="A10705" s="12"/>
      <c r="B10705" s="13"/>
    </row>
    <row r="10706" spans="1:2" x14ac:dyDescent="0.2">
      <c r="A10706" s="12"/>
      <c r="B10706" s="13"/>
    </row>
    <row r="10707" spans="1:2" x14ac:dyDescent="0.2">
      <c r="A10707" s="12"/>
      <c r="B10707" s="13"/>
    </row>
    <row r="10708" spans="1:2" x14ac:dyDescent="0.2">
      <c r="A10708" s="12"/>
      <c r="B10708" s="13"/>
    </row>
    <row r="10709" spans="1:2" x14ac:dyDescent="0.2">
      <c r="A10709" s="12"/>
      <c r="B10709" s="13"/>
    </row>
    <row r="10710" spans="1:2" x14ac:dyDescent="0.2">
      <c r="A10710" s="12"/>
      <c r="B10710" s="13"/>
    </row>
    <row r="10711" spans="1:2" x14ac:dyDescent="0.2">
      <c r="A10711" s="12"/>
      <c r="B10711" s="13"/>
    </row>
    <row r="10712" spans="1:2" x14ac:dyDescent="0.2">
      <c r="A10712" s="12"/>
      <c r="B10712" s="13"/>
    </row>
    <row r="10713" spans="1:2" x14ac:dyDescent="0.2">
      <c r="A10713" s="12"/>
      <c r="B10713" s="13"/>
    </row>
    <row r="10714" spans="1:2" x14ac:dyDescent="0.2">
      <c r="A10714" s="12"/>
      <c r="B10714" s="13"/>
    </row>
    <row r="10715" spans="1:2" x14ac:dyDescent="0.2">
      <c r="A10715" s="12"/>
      <c r="B10715" s="13"/>
    </row>
    <row r="10716" spans="1:2" x14ac:dyDescent="0.2">
      <c r="A10716" s="12"/>
      <c r="B10716" s="13"/>
    </row>
    <row r="10717" spans="1:2" x14ac:dyDescent="0.2">
      <c r="A10717" s="12"/>
      <c r="B10717" s="13"/>
    </row>
    <row r="10718" spans="1:2" x14ac:dyDescent="0.2">
      <c r="A10718" s="12"/>
      <c r="B10718" s="13"/>
    </row>
    <row r="10719" spans="1:2" x14ac:dyDescent="0.2">
      <c r="A10719" s="12"/>
      <c r="B10719" s="13"/>
    </row>
    <row r="10720" spans="1:2" x14ac:dyDescent="0.2">
      <c r="A10720" s="12"/>
      <c r="B10720" s="13"/>
    </row>
    <row r="10721" spans="1:2" x14ac:dyDescent="0.2">
      <c r="A10721" s="12"/>
      <c r="B10721" s="13"/>
    </row>
    <row r="10722" spans="1:2" x14ac:dyDescent="0.2">
      <c r="A10722" s="12"/>
      <c r="B10722" s="13"/>
    </row>
    <row r="10723" spans="1:2" x14ac:dyDescent="0.2">
      <c r="A10723" s="12"/>
      <c r="B10723" s="13"/>
    </row>
    <row r="10724" spans="1:2" x14ac:dyDescent="0.2">
      <c r="A10724" s="12"/>
      <c r="B10724" s="13"/>
    </row>
    <row r="10725" spans="1:2" x14ac:dyDescent="0.2">
      <c r="A10725" s="12"/>
      <c r="B10725" s="13"/>
    </row>
    <row r="10726" spans="1:2" x14ac:dyDescent="0.2">
      <c r="A10726" s="12"/>
      <c r="B10726" s="13"/>
    </row>
    <row r="10727" spans="1:2" x14ac:dyDescent="0.2">
      <c r="A10727" s="12"/>
      <c r="B10727" s="13"/>
    </row>
    <row r="10728" spans="1:2" x14ac:dyDescent="0.2">
      <c r="A10728" s="12"/>
      <c r="B10728" s="13"/>
    </row>
    <row r="10729" spans="1:2" x14ac:dyDescent="0.2">
      <c r="A10729" s="12"/>
      <c r="B10729" s="13"/>
    </row>
    <row r="10730" spans="1:2" x14ac:dyDescent="0.2">
      <c r="A10730" s="12"/>
      <c r="B10730" s="13"/>
    </row>
    <row r="10731" spans="1:2" x14ac:dyDescent="0.2">
      <c r="A10731" s="12"/>
      <c r="B10731" s="13"/>
    </row>
    <row r="10732" spans="1:2" x14ac:dyDescent="0.2">
      <c r="A10732" s="12"/>
      <c r="B10732" s="13"/>
    </row>
    <row r="10733" spans="1:2" x14ac:dyDescent="0.2">
      <c r="A10733" s="12"/>
      <c r="B10733" s="13"/>
    </row>
    <row r="10734" spans="1:2" x14ac:dyDescent="0.2">
      <c r="A10734" s="12"/>
      <c r="B10734" s="13"/>
    </row>
    <row r="10735" spans="1:2" x14ac:dyDescent="0.2">
      <c r="A10735" s="12"/>
      <c r="B10735" s="13"/>
    </row>
    <row r="10736" spans="1:2" x14ac:dyDescent="0.2">
      <c r="A10736" s="12"/>
      <c r="B10736" s="13"/>
    </row>
    <row r="10737" spans="1:2" x14ac:dyDescent="0.2">
      <c r="A10737" s="12"/>
      <c r="B10737" s="13"/>
    </row>
    <row r="10738" spans="1:2" x14ac:dyDescent="0.2">
      <c r="A10738" s="12"/>
      <c r="B10738" s="13"/>
    </row>
    <row r="10739" spans="1:2" x14ac:dyDescent="0.2">
      <c r="A10739" s="12"/>
      <c r="B10739" s="13"/>
    </row>
    <row r="10740" spans="1:2" x14ac:dyDescent="0.2">
      <c r="A10740" s="12"/>
      <c r="B10740" s="13"/>
    </row>
    <row r="10741" spans="1:2" x14ac:dyDescent="0.2">
      <c r="A10741" s="12"/>
      <c r="B10741" s="13"/>
    </row>
    <row r="10742" spans="1:2" x14ac:dyDescent="0.2">
      <c r="A10742" s="12"/>
      <c r="B10742" s="13"/>
    </row>
    <row r="10743" spans="1:2" x14ac:dyDescent="0.2">
      <c r="A10743" s="12"/>
      <c r="B10743" s="13"/>
    </row>
    <row r="10744" spans="1:2" x14ac:dyDescent="0.2">
      <c r="A10744" s="12"/>
      <c r="B10744" s="13"/>
    </row>
    <row r="10745" spans="1:2" x14ac:dyDescent="0.2">
      <c r="A10745" s="12"/>
      <c r="B10745" s="13"/>
    </row>
    <row r="10746" spans="1:2" x14ac:dyDescent="0.2">
      <c r="A10746" s="12"/>
      <c r="B10746" s="13"/>
    </row>
    <row r="10747" spans="1:2" x14ac:dyDescent="0.2">
      <c r="A10747" s="12"/>
      <c r="B10747" s="13"/>
    </row>
    <row r="10748" spans="1:2" x14ac:dyDescent="0.2">
      <c r="A10748" s="12"/>
      <c r="B10748" s="13"/>
    </row>
    <row r="10749" spans="1:2" x14ac:dyDescent="0.2">
      <c r="A10749" s="12"/>
      <c r="B10749" s="13"/>
    </row>
    <row r="10750" spans="1:2" x14ac:dyDescent="0.2">
      <c r="A10750" s="12"/>
      <c r="B10750" s="13"/>
    </row>
    <row r="10751" spans="1:2" x14ac:dyDescent="0.2">
      <c r="A10751" s="12"/>
      <c r="B10751" s="13"/>
    </row>
    <row r="10752" spans="1:2" x14ac:dyDescent="0.2">
      <c r="A10752" s="12"/>
      <c r="B10752" s="13"/>
    </row>
    <row r="10753" spans="1:2" x14ac:dyDescent="0.2">
      <c r="A10753" s="12"/>
      <c r="B10753" s="13"/>
    </row>
    <row r="10754" spans="1:2" x14ac:dyDescent="0.2">
      <c r="A10754" s="12"/>
      <c r="B10754" s="13"/>
    </row>
    <row r="10755" spans="1:2" x14ac:dyDescent="0.2">
      <c r="A10755" s="12"/>
      <c r="B10755" s="13"/>
    </row>
    <row r="10756" spans="1:2" x14ac:dyDescent="0.2">
      <c r="A10756" s="12"/>
      <c r="B10756" s="13"/>
    </row>
    <row r="10757" spans="1:2" x14ac:dyDescent="0.2">
      <c r="A10757" s="12"/>
      <c r="B10757" s="13"/>
    </row>
    <row r="10758" spans="1:2" x14ac:dyDescent="0.2">
      <c r="A10758" s="12"/>
      <c r="B10758" s="13"/>
    </row>
    <row r="10759" spans="1:2" x14ac:dyDescent="0.2">
      <c r="A10759" s="12"/>
      <c r="B10759" s="13"/>
    </row>
    <row r="10760" spans="1:2" x14ac:dyDescent="0.2">
      <c r="A10760" s="12"/>
      <c r="B10760" s="13"/>
    </row>
    <row r="10761" spans="1:2" x14ac:dyDescent="0.2">
      <c r="A10761" s="12"/>
      <c r="B10761" s="13"/>
    </row>
    <row r="10762" spans="1:2" x14ac:dyDescent="0.2">
      <c r="A10762" s="12"/>
      <c r="B10762" s="13"/>
    </row>
    <row r="10763" spans="1:2" x14ac:dyDescent="0.2">
      <c r="A10763" s="12"/>
      <c r="B10763" s="13"/>
    </row>
    <row r="10764" spans="1:2" x14ac:dyDescent="0.2">
      <c r="A10764" s="12"/>
      <c r="B10764" s="13"/>
    </row>
    <row r="10765" spans="1:2" x14ac:dyDescent="0.2">
      <c r="A10765" s="12"/>
      <c r="B10765" s="13"/>
    </row>
    <row r="10766" spans="1:2" x14ac:dyDescent="0.2">
      <c r="A10766" s="12"/>
      <c r="B10766" s="13"/>
    </row>
    <row r="10767" spans="1:2" x14ac:dyDescent="0.2">
      <c r="A10767" s="12"/>
      <c r="B10767" s="13"/>
    </row>
    <row r="10768" spans="1:2" x14ac:dyDescent="0.2">
      <c r="A10768" s="12"/>
      <c r="B10768" s="13"/>
    </row>
    <row r="10769" spans="1:2" x14ac:dyDescent="0.2">
      <c r="A10769" s="12"/>
      <c r="B10769" s="13"/>
    </row>
    <row r="10770" spans="1:2" x14ac:dyDescent="0.2">
      <c r="A10770" s="12"/>
      <c r="B10770" s="13"/>
    </row>
    <row r="10771" spans="1:2" x14ac:dyDescent="0.2">
      <c r="A10771" s="12"/>
      <c r="B10771" s="13"/>
    </row>
    <row r="10772" spans="1:2" x14ac:dyDescent="0.2">
      <c r="A10772" s="12"/>
      <c r="B10772" s="13"/>
    </row>
    <row r="10773" spans="1:2" x14ac:dyDescent="0.2">
      <c r="A10773" s="12"/>
      <c r="B10773" s="13"/>
    </row>
    <row r="10774" spans="1:2" x14ac:dyDescent="0.2">
      <c r="A10774" s="12"/>
      <c r="B10774" s="13"/>
    </row>
    <row r="10775" spans="1:2" x14ac:dyDescent="0.2">
      <c r="A10775" s="12"/>
      <c r="B10775" s="13"/>
    </row>
    <row r="10776" spans="1:2" x14ac:dyDescent="0.2">
      <c r="A10776" s="12"/>
      <c r="B10776" s="13"/>
    </row>
    <row r="10777" spans="1:2" x14ac:dyDescent="0.2">
      <c r="A10777" s="12"/>
      <c r="B10777" s="13"/>
    </row>
    <row r="10778" spans="1:2" x14ac:dyDescent="0.2">
      <c r="A10778" s="12"/>
      <c r="B10778" s="13"/>
    </row>
    <row r="10779" spans="1:2" x14ac:dyDescent="0.2">
      <c r="A10779" s="12"/>
      <c r="B10779" s="13"/>
    </row>
    <row r="10780" spans="1:2" x14ac:dyDescent="0.2">
      <c r="A10780" s="12"/>
      <c r="B10780" s="13"/>
    </row>
    <row r="10781" spans="1:2" x14ac:dyDescent="0.2">
      <c r="A10781" s="12"/>
      <c r="B10781" s="13"/>
    </row>
    <row r="10782" spans="1:2" x14ac:dyDescent="0.2">
      <c r="A10782" s="12"/>
      <c r="B10782" s="13"/>
    </row>
    <row r="10783" spans="1:2" x14ac:dyDescent="0.2">
      <c r="A10783" s="12"/>
      <c r="B10783" s="13"/>
    </row>
    <row r="10784" spans="1:2" x14ac:dyDescent="0.2">
      <c r="A10784" s="12"/>
      <c r="B10784" s="13"/>
    </row>
    <row r="10785" spans="1:2" x14ac:dyDescent="0.2">
      <c r="A10785" s="12"/>
      <c r="B10785" s="13"/>
    </row>
    <row r="10786" spans="1:2" x14ac:dyDescent="0.2">
      <c r="A10786" s="12"/>
      <c r="B10786" s="13"/>
    </row>
    <row r="10787" spans="1:2" x14ac:dyDescent="0.2">
      <c r="A10787" s="12"/>
      <c r="B10787" s="13"/>
    </row>
    <row r="10788" spans="1:2" x14ac:dyDescent="0.2">
      <c r="A10788" s="12"/>
      <c r="B10788" s="13"/>
    </row>
    <row r="10789" spans="1:2" x14ac:dyDescent="0.2">
      <c r="A10789" s="12"/>
      <c r="B10789" s="13"/>
    </row>
    <row r="10790" spans="1:2" x14ac:dyDescent="0.2">
      <c r="A10790" s="12"/>
      <c r="B10790" s="13"/>
    </row>
    <row r="10791" spans="1:2" x14ac:dyDescent="0.2">
      <c r="A10791" s="12"/>
      <c r="B10791" s="13"/>
    </row>
    <row r="10792" spans="1:2" x14ac:dyDescent="0.2">
      <c r="A10792" s="12"/>
      <c r="B10792" s="13"/>
    </row>
    <row r="10793" spans="1:2" x14ac:dyDescent="0.2">
      <c r="A10793" s="12"/>
      <c r="B10793" s="13"/>
    </row>
    <row r="10794" spans="1:2" x14ac:dyDescent="0.2">
      <c r="A10794" s="12"/>
      <c r="B10794" s="13"/>
    </row>
    <row r="10795" spans="1:2" x14ac:dyDescent="0.2">
      <c r="A10795" s="12"/>
      <c r="B10795" s="13"/>
    </row>
    <row r="10796" spans="1:2" x14ac:dyDescent="0.2">
      <c r="A10796" s="12"/>
      <c r="B10796" s="13"/>
    </row>
    <row r="10797" spans="1:2" x14ac:dyDescent="0.2">
      <c r="A10797" s="12"/>
      <c r="B10797" s="13"/>
    </row>
    <row r="10798" spans="1:2" x14ac:dyDescent="0.2">
      <c r="A10798" s="12"/>
      <c r="B10798" s="13"/>
    </row>
    <row r="10799" spans="1:2" x14ac:dyDescent="0.2">
      <c r="A10799" s="12"/>
      <c r="B10799" s="13"/>
    </row>
    <row r="10800" spans="1:2" x14ac:dyDescent="0.2">
      <c r="A10800" s="12"/>
      <c r="B10800" s="13"/>
    </row>
    <row r="10801" spans="1:2" x14ac:dyDescent="0.2">
      <c r="A10801" s="12"/>
      <c r="B10801" s="13"/>
    </row>
    <row r="10802" spans="1:2" x14ac:dyDescent="0.2">
      <c r="A10802" s="12"/>
      <c r="B10802" s="13"/>
    </row>
    <row r="10803" spans="1:2" x14ac:dyDescent="0.2">
      <c r="A10803" s="12"/>
      <c r="B10803" s="13"/>
    </row>
    <row r="10804" spans="1:2" x14ac:dyDescent="0.2">
      <c r="A10804" s="12"/>
      <c r="B10804" s="13"/>
    </row>
    <row r="10805" spans="1:2" x14ac:dyDescent="0.2">
      <c r="A10805" s="12"/>
      <c r="B10805" s="13"/>
    </row>
    <row r="10806" spans="1:2" x14ac:dyDescent="0.2">
      <c r="A10806" s="12"/>
      <c r="B10806" s="13"/>
    </row>
    <row r="10807" spans="1:2" x14ac:dyDescent="0.2">
      <c r="A10807" s="12"/>
      <c r="B10807" s="13"/>
    </row>
    <row r="10808" spans="1:2" x14ac:dyDescent="0.2">
      <c r="A10808" s="12"/>
      <c r="B10808" s="13"/>
    </row>
    <row r="10809" spans="1:2" x14ac:dyDescent="0.2">
      <c r="A10809" s="12"/>
      <c r="B10809" s="13"/>
    </row>
    <row r="10810" spans="1:2" x14ac:dyDescent="0.2">
      <c r="A10810" s="12"/>
      <c r="B10810" s="13"/>
    </row>
    <row r="10811" spans="1:2" x14ac:dyDescent="0.2">
      <c r="A10811" s="12"/>
      <c r="B10811" s="13"/>
    </row>
    <row r="10812" spans="1:2" x14ac:dyDescent="0.2">
      <c r="A10812" s="12"/>
      <c r="B10812" s="13"/>
    </row>
    <row r="10813" spans="1:2" x14ac:dyDescent="0.2">
      <c r="A10813" s="12"/>
      <c r="B10813" s="13"/>
    </row>
    <row r="10814" spans="1:2" x14ac:dyDescent="0.2">
      <c r="A10814" s="12"/>
      <c r="B10814" s="13"/>
    </row>
    <row r="10815" spans="1:2" x14ac:dyDescent="0.2">
      <c r="A10815" s="12"/>
      <c r="B10815" s="13"/>
    </row>
    <row r="10816" spans="1:2" x14ac:dyDescent="0.2">
      <c r="A10816" s="12"/>
      <c r="B10816" s="13"/>
    </row>
    <row r="10817" spans="1:2" x14ac:dyDescent="0.2">
      <c r="A10817" s="12"/>
      <c r="B10817" s="13"/>
    </row>
    <row r="10818" spans="1:2" x14ac:dyDescent="0.2">
      <c r="A10818" s="12"/>
      <c r="B10818" s="13"/>
    </row>
    <row r="10819" spans="1:2" x14ac:dyDescent="0.2">
      <c r="A10819" s="12"/>
      <c r="B10819" s="13"/>
    </row>
    <row r="10820" spans="1:2" x14ac:dyDescent="0.2">
      <c r="A10820" s="12"/>
      <c r="B10820" s="13"/>
    </row>
    <row r="10821" spans="1:2" x14ac:dyDescent="0.2">
      <c r="A10821" s="12"/>
      <c r="B10821" s="13"/>
    </row>
    <row r="10822" spans="1:2" x14ac:dyDescent="0.2">
      <c r="A10822" s="12"/>
      <c r="B10822" s="13"/>
    </row>
    <row r="10823" spans="1:2" x14ac:dyDescent="0.2">
      <c r="A10823" s="12"/>
      <c r="B10823" s="13"/>
    </row>
    <row r="10824" spans="1:2" x14ac:dyDescent="0.2">
      <c r="A10824" s="12"/>
      <c r="B10824" s="13"/>
    </row>
    <row r="10825" spans="1:2" x14ac:dyDescent="0.2">
      <c r="A10825" s="12"/>
      <c r="B10825" s="13"/>
    </row>
    <row r="10826" spans="1:2" x14ac:dyDescent="0.2">
      <c r="A10826" s="12"/>
      <c r="B10826" s="13"/>
    </row>
    <row r="10827" spans="1:2" x14ac:dyDescent="0.2">
      <c r="A10827" s="12"/>
      <c r="B10827" s="13"/>
    </row>
    <row r="10828" spans="1:2" x14ac:dyDescent="0.2">
      <c r="A10828" s="12"/>
      <c r="B10828" s="13"/>
    </row>
    <row r="10829" spans="1:2" x14ac:dyDescent="0.2">
      <c r="A10829" s="12"/>
      <c r="B10829" s="13"/>
    </row>
    <row r="10830" spans="1:2" x14ac:dyDescent="0.2">
      <c r="A10830" s="12"/>
      <c r="B10830" s="13"/>
    </row>
    <row r="10831" spans="1:2" x14ac:dyDescent="0.2">
      <c r="A10831" s="12"/>
      <c r="B10831" s="13"/>
    </row>
    <row r="10832" spans="1:2" x14ac:dyDescent="0.2">
      <c r="A10832" s="12"/>
      <c r="B10832" s="13"/>
    </row>
    <row r="10833" spans="1:2" x14ac:dyDescent="0.2">
      <c r="A10833" s="12"/>
      <c r="B10833" s="13"/>
    </row>
    <row r="10834" spans="1:2" x14ac:dyDescent="0.2">
      <c r="A10834" s="12"/>
      <c r="B10834" s="13"/>
    </row>
    <row r="10835" spans="1:2" x14ac:dyDescent="0.2">
      <c r="A10835" s="12"/>
      <c r="B10835" s="13"/>
    </row>
    <row r="10836" spans="1:2" x14ac:dyDescent="0.2">
      <c r="A10836" s="12"/>
      <c r="B10836" s="13"/>
    </row>
    <row r="10837" spans="1:2" x14ac:dyDescent="0.2">
      <c r="A10837" s="12"/>
      <c r="B10837" s="13"/>
    </row>
    <row r="10838" spans="1:2" x14ac:dyDescent="0.2">
      <c r="A10838" s="12"/>
      <c r="B10838" s="13"/>
    </row>
    <row r="10839" spans="1:2" x14ac:dyDescent="0.2">
      <c r="A10839" s="12"/>
      <c r="B10839" s="13"/>
    </row>
    <row r="10840" spans="1:2" x14ac:dyDescent="0.2">
      <c r="A10840" s="12"/>
      <c r="B10840" s="13"/>
    </row>
    <row r="10841" spans="1:2" x14ac:dyDescent="0.2">
      <c r="A10841" s="12"/>
      <c r="B10841" s="13"/>
    </row>
    <row r="10842" spans="1:2" x14ac:dyDescent="0.2">
      <c r="A10842" s="12"/>
      <c r="B10842" s="13"/>
    </row>
    <row r="10843" spans="1:2" x14ac:dyDescent="0.2">
      <c r="A10843" s="12"/>
      <c r="B10843" s="13"/>
    </row>
    <row r="10844" spans="1:2" x14ac:dyDescent="0.2">
      <c r="A10844" s="12"/>
      <c r="B10844" s="13"/>
    </row>
    <row r="10845" spans="1:2" x14ac:dyDescent="0.2">
      <c r="A10845" s="12"/>
      <c r="B10845" s="13"/>
    </row>
    <row r="10846" spans="1:2" x14ac:dyDescent="0.2">
      <c r="A10846" s="12"/>
      <c r="B10846" s="13"/>
    </row>
    <row r="10847" spans="1:2" x14ac:dyDescent="0.2">
      <c r="A10847" s="12"/>
      <c r="B10847" s="13"/>
    </row>
    <row r="10848" spans="1:2" x14ac:dyDescent="0.2">
      <c r="A10848" s="12"/>
      <c r="B10848" s="13"/>
    </row>
    <row r="10849" spans="1:2" x14ac:dyDescent="0.2">
      <c r="A10849" s="12"/>
      <c r="B10849" s="13"/>
    </row>
    <row r="10850" spans="1:2" x14ac:dyDescent="0.2">
      <c r="A10850" s="12"/>
      <c r="B10850" s="13"/>
    </row>
    <row r="10851" spans="1:2" x14ac:dyDescent="0.2">
      <c r="A10851" s="12"/>
      <c r="B10851" s="13"/>
    </row>
    <row r="10852" spans="1:2" x14ac:dyDescent="0.2">
      <c r="A10852" s="12"/>
      <c r="B10852" s="13"/>
    </row>
    <row r="10853" spans="1:2" x14ac:dyDescent="0.2">
      <c r="A10853" s="12"/>
      <c r="B10853" s="13"/>
    </row>
    <row r="10854" spans="1:2" x14ac:dyDescent="0.2">
      <c r="A10854" s="12"/>
      <c r="B10854" s="13"/>
    </row>
    <row r="10855" spans="1:2" x14ac:dyDescent="0.2">
      <c r="A10855" s="12"/>
      <c r="B10855" s="13"/>
    </row>
    <row r="10856" spans="1:2" x14ac:dyDescent="0.2">
      <c r="A10856" s="12"/>
      <c r="B10856" s="13"/>
    </row>
    <row r="10857" spans="1:2" x14ac:dyDescent="0.2">
      <c r="A10857" s="12"/>
      <c r="B10857" s="13"/>
    </row>
    <row r="10858" spans="1:2" x14ac:dyDescent="0.2">
      <c r="A10858" s="12"/>
      <c r="B10858" s="13"/>
    </row>
    <row r="10859" spans="1:2" x14ac:dyDescent="0.2">
      <c r="A10859" s="12"/>
      <c r="B10859" s="13"/>
    </row>
    <row r="10860" spans="1:2" x14ac:dyDescent="0.2">
      <c r="A10860" s="12"/>
      <c r="B10860" s="13"/>
    </row>
    <row r="10861" spans="1:2" x14ac:dyDescent="0.2">
      <c r="A10861" s="12"/>
      <c r="B10861" s="13"/>
    </row>
    <row r="10862" spans="1:2" x14ac:dyDescent="0.2">
      <c r="A10862" s="12"/>
      <c r="B10862" s="13"/>
    </row>
    <row r="10863" spans="1:2" x14ac:dyDescent="0.2">
      <c r="A10863" s="12"/>
      <c r="B10863" s="13"/>
    </row>
    <row r="10864" spans="1:2" x14ac:dyDescent="0.2">
      <c r="A10864" s="12"/>
      <c r="B10864" s="13"/>
    </row>
    <row r="10865" spans="1:2" x14ac:dyDescent="0.2">
      <c r="A10865" s="12"/>
      <c r="B10865" s="13"/>
    </row>
    <row r="10866" spans="1:2" x14ac:dyDescent="0.2">
      <c r="A10866" s="12"/>
      <c r="B10866" s="13"/>
    </row>
    <row r="10867" spans="1:2" x14ac:dyDescent="0.2">
      <c r="A10867" s="12"/>
      <c r="B10867" s="13"/>
    </row>
    <row r="10868" spans="1:2" x14ac:dyDescent="0.2">
      <c r="A10868" s="12"/>
      <c r="B10868" s="13"/>
    </row>
    <row r="10869" spans="1:2" x14ac:dyDescent="0.2">
      <c r="A10869" s="12"/>
      <c r="B10869" s="13"/>
    </row>
    <row r="10870" spans="1:2" x14ac:dyDescent="0.2">
      <c r="A10870" s="12"/>
      <c r="B10870" s="13"/>
    </row>
    <row r="10871" spans="1:2" x14ac:dyDescent="0.2">
      <c r="A10871" s="12"/>
      <c r="B10871" s="13"/>
    </row>
    <row r="10872" spans="1:2" x14ac:dyDescent="0.2">
      <c r="A10872" s="12"/>
      <c r="B10872" s="13"/>
    </row>
    <row r="10873" spans="1:2" x14ac:dyDescent="0.2">
      <c r="A10873" s="12"/>
      <c r="B10873" s="13"/>
    </row>
    <row r="10874" spans="1:2" x14ac:dyDescent="0.2">
      <c r="A10874" s="12"/>
      <c r="B10874" s="13"/>
    </row>
    <row r="10875" spans="1:2" x14ac:dyDescent="0.2">
      <c r="A10875" s="12"/>
      <c r="B10875" s="13"/>
    </row>
    <row r="10876" spans="1:2" x14ac:dyDescent="0.2">
      <c r="A10876" s="12"/>
      <c r="B10876" s="13"/>
    </row>
    <row r="10877" spans="1:2" x14ac:dyDescent="0.2">
      <c r="A10877" s="12"/>
      <c r="B10877" s="13"/>
    </row>
    <row r="10878" spans="1:2" x14ac:dyDescent="0.2">
      <c r="A10878" s="12"/>
      <c r="B10878" s="13"/>
    </row>
    <row r="10879" spans="1:2" x14ac:dyDescent="0.2">
      <c r="A10879" s="12"/>
      <c r="B10879" s="13"/>
    </row>
    <row r="10880" spans="1:2" x14ac:dyDescent="0.2">
      <c r="A10880" s="12"/>
      <c r="B10880" s="13"/>
    </row>
    <row r="10881" spans="1:2" x14ac:dyDescent="0.2">
      <c r="A10881" s="12"/>
      <c r="B10881" s="13"/>
    </row>
    <row r="10882" spans="1:2" x14ac:dyDescent="0.2">
      <c r="A10882" s="12"/>
      <c r="B10882" s="13"/>
    </row>
    <row r="10883" spans="1:2" x14ac:dyDescent="0.2">
      <c r="A10883" s="12"/>
      <c r="B10883" s="13"/>
    </row>
    <row r="10884" spans="1:2" x14ac:dyDescent="0.2">
      <c r="A10884" s="12"/>
      <c r="B10884" s="13"/>
    </row>
    <row r="10885" spans="1:2" x14ac:dyDescent="0.2">
      <c r="A10885" s="12"/>
      <c r="B10885" s="13"/>
    </row>
    <row r="10886" spans="1:2" x14ac:dyDescent="0.2">
      <c r="A10886" s="12"/>
      <c r="B10886" s="13"/>
    </row>
    <row r="10887" spans="1:2" x14ac:dyDescent="0.2">
      <c r="A10887" s="12"/>
      <c r="B10887" s="13"/>
    </row>
    <row r="10888" spans="1:2" x14ac:dyDescent="0.2">
      <c r="A10888" s="12"/>
      <c r="B10888" s="13"/>
    </row>
    <row r="10889" spans="1:2" x14ac:dyDescent="0.2">
      <c r="A10889" s="12"/>
      <c r="B10889" s="13"/>
    </row>
    <row r="10890" spans="1:2" x14ac:dyDescent="0.2">
      <c r="A10890" s="12"/>
      <c r="B10890" s="13"/>
    </row>
    <row r="10891" spans="1:2" x14ac:dyDescent="0.2">
      <c r="A10891" s="12"/>
      <c r="B10891" s="13"/>
    </row>
    <row r="10892" spans="1:2" x14ac:dyDescent="0.2">
      <c r="A10892" s="12"/>
      <c r="B10892" s="13"/>
    </row>
    <row r="10893" spans="1:2" x14ac:dyDescent="0.2">
      <c r="A10893" s="12"/>
      <c r="B10893" s="13"/>
    </row>
    <row r="10894" spans="1:2" x14ac:dyDescent="0.2">
      <c r="A10894" s="12"/>
      <c r="B10894" s="13"/>
    </row>
    <row r="10895" spans="1:2" x14ac:dyDescent="0.2">
      <c r="A10895" s="12"/>
      <c r="B10895" s="13"/>
    </row>
    <row r="10896" spans="1:2" x14ac:dyDescent="0.2">
      <c r="A10896" s="12"/>
      <c r="B10896" s="13"/>
    </row>
    <row r="10897" spans="1:2" x14ac:dyDescent="0.2">
      <c r="A10897" s="12"/>
      <c r="B10897" s="13"/>
    </row>
    <row r="10898" spans="1:2" x14ac:dyDescent="0.2">
      <c r="A10898" s="12"/>
      <c r="B10898" s="13"/>
    </row>
    <row r="10899" spans="1:2" x14ac:dyDescent="0.2">
      <c r="A10899" s="12"/>
      <c r="B10899" s="13"/>
    </row>
    <row r="10900" spans="1:2" x14ac:dyDescent="0.2">
      <c r="A10900" s="12"/>
      <c r="B10900" s="13"/>
    </row>
    <row r="10901" spans="1:2" x14ac:dyDescent="0.2">
      <c r="A10901" s="12"/>
      <c r="B10901" s="13"/>
    </row>
    <row r="10902" spans="1:2" x14ac:dyDescent="0.2">
      <c r="A10902" s="12"/>
      <c r="B10902" s="13"/>
    </row>
    <row r="10903" spans="1:2" x14ac:dyDescent="0.2">
      <c r="A10903" s="12"/>
      <c r="B10903" s="13"/>
    </row>
    <row r="10904" spans="1:2" x14ac:dyDescent="0.2">
      <c r="A10904" s="12"/>
      <c r="B10904" s="13"/>
    </row>
    <row r="10905" spans="1:2" x14ac:dyDescent="0.2">
      <c r="A10905" s="12"/>
      <c r="B10905" s="13"/>
    </row>
    <row r="10906" spans="1:2" x14ac:dyDescent="0.2">
      <c r="A10906" s="12"/>
      <c r="B10906" s="13"/>
    </row>
    <row r="10907" spans="1:2" x14ac:dyDescent="0.2">
      <c r="A10907" s="12"/>
      <c r="B10907" s="13"/>
    </row>
    <row r="10908" spans="1:2" x14ac:dyDescent="0.2">
      <c r="A10908" s="12"/>
      <c r="B10908" s="13"/>
    </row>
    <row r="10909" spans="1:2" x14ac:dyDescent="0.2">
      <c r="A10909" s="12"/>
      <c r="B10909" s="13"/>
    </row>
    <row r="10910" spans="1:2" x14ac:dyDescent="0.2">
      <c r="A10910" s="12"/>
      <c r="B10910" s="13"/>
    </row>
    <row r="10911" spans="1:2" x14ac:dyDescent="0.2">
      <c r="A10911" s="12"/>
      <c r="B10911" s="13"/>
    </row>
    <row r="10912" spans="1:2" x14ac:dyDescent="0.2">
      <c r="A10912" s="12"/>
      <c r="B10912" s="13"/>
    </row>
    <row r="10913" spans="1:2" x14ac:dyDescent="0.2">
      <c r="A10913" s="12"/>
      <c r="B10913" s="13"/>
    </row>
    <row r="10914" spans="1:2" x14ac:dyDescent="0.2">
      <c r="A10914" s="12"/>
      <c r="B10914" s="13"/>
    </row>
    <row r="10915" spans="1:2" x14ac:dyDescent="0.2">
      <c r="A10915" s="12"/>
      <c r="B10915" s="13"/>
    </row>
    <row r="10916" spans="1:2" x14ac:dyDescent="0.2">
      <c r="A10916" s="12"/>
      <c r="B10916" s="13"/>
    </row>
    <row r="10917" spans="1:2" x14ac:dyDescent="0.2">
      <c r="A10917" s="12"/>
      <c r="B10917" s="13"/>
    </row>
    <row r="10918" spans="1:2" x14ac:dyDescent="0.2">
      <c r="A10918" s="12"/>
      <c r="B10918" s="13"/>
    </row>
    <row r="10919" spans="1:2" x14ac:dyDescent="0.2">
      <c r="A10919" s="12"/>
      <c r="B10919" s="13"/>
    </row>
    <row r="10920" spans="1:2" x14ac:dyDescent="0.2">
      <c r="A10920" s="12"/>
      <c r="B10920" s="13"/>
    </row>
    <row r="10921" spans="1:2" x14ac:dyDescent="0.2">
      <c r="A10921" s="12"/>
      <c r="B10921" s="13"/>
    </row>
    <row r="10922" spans="1:2" x14ac:dyDescent="0.2">
      <c r="A10922" s="12"/>
      <c r="B10922" s="13"/>
    </row>
    <row r="10923" spans="1:2" x14ac:dyDescent="0.2">
      <c r="A10923" s="12"/>
      <c r="B10923" s="13"/>
    </row>
    <row r="10924" spans="1:2" x14ac:dyDescent="0.2">
      <c r="A10924" s="12"/>
      <c r="B10924" s="13"/>
    </row>
    <row r="10925" spans="1:2" x14ac:dyDescent="0.2">
      <c r="A10925" s="12"/>
      <c r="B10925" s="13"/>
    </row>
    <row r="10926" spans="1:2" x14ac:dyDescent="0.2">
      <c r="A10926" s="12"/>
      <c r="B10926" s="13"/>
    </row>
    <row r="10927" spans="1:2" x14ac:dyDescent="0.2">
      <c r="A10927" s="12"/>
      <c r="B10927" s="13"/>
    </row>
    <row r="10928" spans="1:2" x14ac:dyDescent="0.2">
      <c r="A10928" s="12"/>
      <c r="B10928" s="13"/>
    </row>
    <row r="10929" spans="1:2" x14ac:dyDescent="0.2">
      <c r="A10929" s="12"/>
      <c r="B10929" s="13"/>
    </row>
    <row r="10930" spans="1:2" x14ac:dyDescent="0.2">
      <c r="A10930" s="12"/>
      <c r="B10930" s="13"/>
    </row>
    <row r="10931" spans="1:2" x14ac:dyDescent="0.2">
      <c r="A10931" s="12"/>
      <c r="B10931" s="13"/>
    </row>
    <row r="10932" spans="1:2" x14ac:dyDescent="0.2">
      <c r="A10932" s="12"/>
      <c r="B10932" s="13"/>
    </row>
    <row r="10933" spans="1:2" x14ac:dyDescent="0.2">
      <c r="A10933" s="12"/>
      <c r="B10933" s="13"/>
    </row>
    <row r="10934" spans="1:2" x14ac:dyDescent="0.2">
      <c r="A10934" s="12"/>
      <c r="B10934" s="13"/>
    </row>
    <row r="10935" spans="1:2" x14ac:dyDescent="0.2">
      <c r="A10935" s="12"/>
      <c r="B10935" s="13"/>
    </row>
    <row r="10936" spans="1:2" x14ac:dyDescent="0.2">
      <c r="A10936" s="12"/>
      <c r="B10936" s="13"/>
    </row>
    <row r="10937" spans="1:2" x14ac:dyDescent="0.2">
      <c r="A10937" s="12"/>
      <c r="B10937" s="13"/>
    </row>
    <row r="10938" spans="1:2" x14ac:dyDescent="0.2">
      <c r="A10938" s="12"/>
      <c r="B10938" s="13"/>
    </row>
    <row r="10939" spans="1:2" x14ac:dyDescent="0.2">
      <c r="A10939" s="12"/>
      <c r="B10939" s="13"/>
    </row>
    <row r="10940" spans="1:2" x14ac:dyDescent="0.2">
      <c r="A10940" s="12"/>
      <c r="B10940" s="13"/>
    </row>
    <row r="10941" spans="1:2" x14ac:dyDescent="0.2">
      <c r="A10941" s="12"/>
      <c r="B10941" s="13"/>
    </row>
    <row r="10942" spans="1:2" x14ac:dyDescent="0.2">
      <c r="A10942" s="12"/>
      <c r="B10942" s="13"/>
    </row>
    <row r="10943" spans="1:2" x14ac:dyDescent="0.2">
      <c r="A10943" s="12"/>
      <c r="B10943" s="13"/>
    </row>
    <row r="10944" spans="1:2" x14ac:dyDescent="0.2">
      <c r="A10944" s="12"/>
      <c r="B10944" s="13"/>
    </row>
    <row r="10945" spans="1:2" x14ac:dyDescent="0.2">
      <c r="A10945" s="12"/>
      <c r="B10945" s="13"/>
    </row>
    <row r="10946" spans="1:2" x14ac:dyDescent="0.2">
      <c r="A10946" s="12"/>
      <c r="B10946" s="13"/>
    </row>
    <row r="10947" spans="1:2" x14ac:dyDescent="0.2">
      <c r="A10947" s="12"/>
      <c r="B10947" s="13"/>
    </row>
    <row r="10948" spans="1:2" x14ac:dyDescent="0.2">
      <c r="A10948" s="12"/>
      <c r="B10948" s="13"/>
    </row>
    <row r="10949" spans="1:2" x14ac:dyDescent="0.2">
      <c r="A10949" s="12"/>
      <c r="B10949" s="13"/>
    </row>
    <row r="10950" spans="1:2" x14ac:dyDescent="0.2">
      <c r="A10950" s="12"/>
      <c r="B10950" s="13"/>
    </row>
    <row r="10951" spans="1:2" x14ac:dyDescent="0.2">
      <c r="A10951" s="12"/>
      <c r="B10951" s="13"/>
    </row>
    <row r="10952" spans="1:2" x14ac:dyDescent="0.2">
      <c r="A10952" s="12"/>
      <c r="B10952" s="13"/>
    </row>
    <row r="10953" spans="1:2" x14ac:dyDescent="0.2">
      <c r="A10953" s="12"/>
      <c r="B10953" s="13"/>
    </row>
    <row r="10954" spans="1:2" x14ac:dyDescent="0.2">
      <c r="A10954" s="12"/>
      <c r="B10954" s="13"/>
    </row>
    <row r="10955" spans="1:2" x14ac:dyDescent="0.2">
      <c r="A10955" s="12"/>
      <c r="B10955" s="13"/>
    </row>
    <row r="10956" spans="1:2" x14ac:dyDescent="0.2">
      <c r="A10956" s="12"/>
      <c r="B10956" s="13"/>
    </row>
    <row r="10957" spans="1:2" x14ac:dyDescent="0.2">
      <c r="A10957" s="12"/>
      <c r="B10957" s="13"/>
    </row>
    <row r="10958" spans="1:2" x14ac:dyDescent="0.2">
      <c r="A10958" s="12"/>
      <c r="B10958" s="13"/>
    </row>
    <row r="10959" spans="1:2" x14ac:dyDescent="0.2">
      <c r="A10959" s="12"/>
      <c r="B10959" s="13"/>
    </row>
    <row r="10960" spans="1:2" x14ac:dyDescent="0.2">
      <c r="A10960" s="12"/>
      <c r="B10960" s="13"/>
    </row>
    <row r="10961" spans="1:2" x14ac:dyDescent="0.2">
      <c r="A10961" s="12"/>
      <c r="B10961" s="13"/>
    </row>
    <row r="10962" spans="1:2" x14ac:dyDescent="0.2">
      <c r="A10962" s="12"/>
      <c r="B10962" s="13"/>
    </row>
    <row r="10963" spans="1:2" x14ac:dyDescent="0.2">
      <c r="A10963" s="12"/>
      <c r="B10963" s="13"/>
    </row>
    <row r="10964" spans="1:2" x14ac:dyDescent="0.2">
      <c r="A10964" s="12"/>
      <c r="B10964" s="13"/>
    </row>
    <row r="10965" spans="1:2" x14ac:dyDescent="0.2">
      <c r="A10965" s="12"/>
      <c r="B10965" s="13"/>
    </row>
    <row r="10966" spans="1:2" x14ac:dyDescent="0.2">
      <c r="A10966" s="12"/>
      <c r="B10966" s="13"/>
    </row>
    <row r="10967" spans="1:2" x14ac:dyDescent="0.2">
      <c r="A10967" s="12"/>
      <c r="B10967" s="13"/>
    </row>
    <row r="10968" spans="1:2" x14ac:dyDescent="0.2">
      <c r="A10968" s="12"/>
      <c r="B10968" s="13"/>
    </row>
    <row r="10969" spans="1:2" x14ac:dyDescent="0.2">
      <c r="A10969" s="12"/>
      <c r="B10969" s="13"/>
    </row>
    <row r="10970" spans="1:2" x14ac:dyDescent="0.2">
      <c r="A10970" s="12"/>
      <c r="B10970" s="13"/>
    </row>
    <row r="10971" spans="1:2" x14ac:dyDescent="0.2">
      <c r="A10971" s="12"/>
      <c r="B10971" s="13"/>
    </row>
    <row r="10972" spans="1:2" x14ac:dyDescent="0.2">
      <c r="A10972" s="12"/>
      <c r="B10972" s="13"/>
    </row>
    <row r="10973" spans="1:2" x14ac:dyDescent="0.2">
      <c r="A10973" s="12"/>
      <c r="B10973" s="13"/>
    </row>
    <row r="10974" spans="1:2" x14ac:dyDescent="0.2">
      <c r="A10974" s="12"/>
      <c r="B10974" s="13"/>
    </row>
    <row r="10975" spans="1:2" x14ac:dyDescent="0.2">
      <c r="A10975" s="12"/>
      <c r="B10975" s="13"/>
    </row>
    <row r="10976" spans="1:2" x14ac:dyDescent="0.2">
      <c r="A10976" s="12"/>
      <c r="B10976" s="13"/>
    </row>
    <row r="10977" spans="1:2" x14ac:dyDescent="0.2">
      <c r="A10977" s="12"/>
      <c r="B10977" s="13"/>
    </row>
    <row r="10978" spans="1:2" x14ac:dyDescent="0.2">
      <c r="A10978" s="12"/>
      <c r="B10978" s="13"/>
    </row>
    <row r="10979" spans="1:2" x14ac:dyDescent="0.2">
      <c r="A10979" s="12"/>
      <c r="B10979" s="13"/>
    </row>
    <row r="10980" spans="1:2" x14ac:dyDescent="0.2">
      <c r="A10980" s="12"/>
      <c r="B10980" s="13"/>
    </row>
    <row r="10981" spans="1:2" x14ac:dyDescent="0.2">
      <c r="A10981" s="12"/>
      <c r="B10981" s="13"/>
    </row>
    <row r="10982" spans="1:2" x14ac:dyDescent="0.2">
      <c r="A10982" s="12"/>
      <c r="B10982" s="13"/>
    </row>
    <row r="10983" spans="1:2" x14ac:dyDescent="0.2">
      <c r="A10983" s="12"/>
      <c r="B10983" s="13"/>
    </row>
    <row r="10984" spans="1:2" x14ac:dyDescent="0.2">
      <c r="A10984" s="12"/>
      <c r="B10984" s="13"/>
    </row>
    <row r="10985" spans="1:2" x14ac:dyDescent="0.2">
      <c r="A10985" s="12"/>
      <c r="B10985" s="13"/>
    </row>
    <row r="10986" spans="1:2" x14ac:dyDescent="0.2">
      <c r="A10986" s="12"/>
      <c r="B10986" s="13"/>
    </row>
    <row r="10987" spans="1:2" x14ac:dyDescent="0.2">
      <c r="A10987" s="12"/>
      <c r="B10987" s="13"/>
    </row>
    <row r="10988" spans="1:2" x14ac:dyDescent="0.2">
      <c r="A10988" s="12"/>
      <c r="B10988" s="13"/>
    </row>
    <row r="10989" spans="1:2" x14ac:dyDescent="0.2">
      <c r="A10989" s="12"/>
      <c r="B10989" s="13"/>
    </row>
    <row r="10990" spans="1:2" x14ac:dyDescent="0.2">
      <c r="A10990" s="12"/>
      <c r="B10990" s="13"/>
    </row>
    <row r="10991" spans="1:2" x14ac:dyDescent="0.2">
      <c r="A10991" s="12"/>
      <c r="B10991" s="13"/>
    </row>
    <row r="10992" spans="1:2" x14ac:dyDescent="0.2">
      <c r="A10992" s="12"/>
      <c r="B10992" s="13"/>
    </row>
    <row r="10993" spans="1:2" x14ac:dyDescent="0.2">
      <c r="A10993" s="12"/>
      <c r="B10993" s="13"/>
    </row>
    <row r="10994" spans="1:2" x14ac:dyDescent="0.2">
      <c r="A10994" s="12"/>
      <c r="B10994" s="13"/>
    </row>
    <row r="10995" spans="1:2" x14ac:dyDescent="0.2">
      <c r="A10995" s="12"/>
      <c r="B10995" s="13"/>
    </row>
    <row r="10996" spans="1:2" x14ac:dyDescent="0.2">
      <c r="A10996" s="12"/>
      <c r="B10996" s="13"/>
    </row>
    <row r="10997" spans="1:2" x14ac:dyDescent="0.2">
      <c r="A10997" s="12"/>
      <c r="B10997" s="13"/>
    </row>
    <row r="10998" spans="1:2" x14ac:dyDescent="0.2">
      <c r="A10998" s="12"/>
      <c r="B10998" s="13"/>
    </row>
    <row r="10999" spans="1:2" x14ac:dyDescent="0.2">
      <c r="A10999" s="12"/>
      <c r="B10999" s="13"/>
    </row>
    <row r="11000" spans="1:2" x14ac:dyDescent="0.2">
      <c r="A11000" s="12"/>
      <c r="B11000" s="13"/>
    </row>
    <row r="11001" spans="1:2" x14ac:dyDescent="0.2">
      <c r="A11001" s="12"/>
      <c r="B11001" s="13"/>
    </row>
    <row r="11002" spans="1:2" x14ac:dyDescent="0.2">
      <c r="A11002" s="12"/>
      <c r="B11002" s="13"/>
    </row>
    <row r="11003" spans="1:2" x14ac:dyDescent="0.2">
      <c r="A11003" s="12"/>
      <c r="B11003" s="13"/>
    </row>
    <row r="11004" spans="1:2" x14ac:dyDescent="0.2">
      <c r="A11004" s="12"/>
      <c r="B11004" s="13"/>
    </row>
    <row r="11005" spans="1:2" x14ac:dyDescent="0.2">
      <c r="A11005" s="12"/>
      <c r="B11005" s="13"/>
    </row>
    <row r="11006" spans="1:2" x14ac:dyDescent="0.2">
      <c r="A11006" s="12"/>
      <c r="B11006" s="13"/>
    </row>
    <row r="11007" spans="1:2" x14ac:dyDescent="0.2">
      <c r="A11007" s="12"/>
      <c r="B11007" s="13"/>
    </row>
    <row r="11008" spans="1:2" x14ac:dyDescent="0.2">
      <c r="A11008" s="12"/>
      <c r="B11008" s="13"/>
    </row>
    <row r="11009" spans="1:2" x14ac:dyDescent="0.2">
      <c r="A11009" s="12"/>
      <c r="B11009" s="13"/>
    </row>
    <row r="11010" spans="1:2" x14ac:dyDescent="0.2">
      <c r="A11010" s="12"/>
      <c r="B11010" s="13"/>
    </row>
    <row r="11011" spans="1:2" x14ac:dyDescent="0.2">
      <c r="A11011" s="12"/>
      <c r="B11011" s="13"/>
    </row>
    <row r="11012" spans="1:2" x14ac:dyDescent="0.2">
      <c r="A11012" s="12"/>
      <c r="B11012" s="13"/>
    </row>
    <row r="11013" spans="1:2" x14ac:dyDescent="0.2">
      <c r="A11013" s="12"/>
      <c r="B11013" s="13"/>
    </row>
    <row r="11014" spans="1:2" x14ac:dyDescent="0.2">
      <c r="A11014" s="12"/>
      <c r="B11014" s="13"/>
    </row>
    <row r="11015" spans="1:2" x14ac:dyDescent="0.2">
      <c r="A11015" s="12"/>
      <c r="B11015" s="13"/>
    </row>
    <row r="11016" spans="1:2" x14ac:dyDescent="0.2">
      <c r="A11016" s="12"/>
      <c r="B11016" s="13"/>
    </row>
    <row r="11017" spans="1:2" x14ac:dyDescent="0.2">
      <c r="A11017" s="12"/>
      <c r="B11017" s="13"/>
    </row>
    <row r="11018" spans="1:2" x14ac:dyDescent="0.2">
      <c r="A11018" s="12"/>
      <c r="B11018" s="13"/>
    </row>
    <row r="11019" spans="1:2" x14ac:dyDescent="0.2">
      <c r="A11019" s="12"/>
      <c r="B11019" s="13"/>
    </row>
    <row r="11020" spans="1:2" x14ac:dyDescent="0.2">
      <c r="A11020" s="12"/>
      <c r="B11020" s="13"/>
    </row>
    <row r="11021" spans="1:2" x14ac:dyDescent="0.2">
      <c r="A11021" s="12"/>
      <c r="B11021" s="13"/>
    </row>
    <row r="11022" spans="1:2" x14ac:dyDescent="0.2">
      <c r="A11022" s="12"/>
      <c r="B11022" s="13"/>
    </row>
    <row r="11023" spans="1:2" x14ac:dyDescent="0.2">
      <c r="A11023" s="12"/>
      <c r="B11023" s="13"/>
    </row>
    <row r="11024" spans="1:2" x14ac:dyDescent="0.2">
      <c r="A11024" s="12"/>
      <c r="B11024" s="13"/>
    </row>
    <row r="11025" spans="1:2" x14ac:dyDescent="0.2">
      <c r="A11025" s="12"/>
      <c r="B11025" s="13"/>
    </row>
    <row r="11026" spans="1:2" x14ac:dyDescent="0.2">
      <c r="A11026" s="12"/>
      <c r="B11026" s="13"/>
    </row>
    <row r="11027" spans="1:2" x14ac:dyDescent="0.2">
      <c r="A11027" s="12"/>
      <c r="B11027" s="13"/>
    </row>
    <row r="11028" spans="1:2" x14ac:dyDescent="0.2">
      <c r="A11028" s="12"/>
      <c r="B11028" s="13"/>
    </row>
    <row r="11029" spans="1:2" x14ac:dyDescent="0.2">
      <c r="A11029" s="12"/>
      <c r="B11029" s="13"/>
    </row>
    <row r="11030" spans="1:2" x14ac:dyDescent="0.2">
      <c r="A11030" s="12"/>
      <c r="B11030" s="13"/>
    </row>
    <row r="11031" spans="1:2" x14ac:dyDescent="0.2">
      <c r="A11031" s="12"/>
      <c r="B11031" s="13"/>
    </row>
    <row r="11032" spans="1:2" x14ac:dyDescent="0.2">
      <c r="A11032" s="12"/>
      <c r="B11032" s="13"/>
    </row>
    <row r="11033" spans="1:2" x14ac:dyDescent="0.2">
      <c r="A11033" s="12"/>
      <c r="B11033" s="13"/>
    </row>
    <row r="11034" spans="1:2" x14ac:dyDescent="0.2">
      <c r="A11034" s="12"/>
      <c r="B11034" s="13"/>
    </row>
    <row r="11035" spans="1:2" x14ac:dyDescent="0.2">
      <c r="A11035" s="12"/>
      <c r="B11035" s="13"/>
    </row>
    <row r="11036" spans="1:2" x14ac:dyDescent="0.2">
      <c r="A11036" s="12"/>
      <c r="B11036" s="13"/>
    </row>
    <row r="11037" spans="1:2" x14ac:dyDescent="0.2">
      <c r="A11037" s="12"/>
      <c r="B11037" s="13"/>
    </row>
    <row r="11038" spans="1:2" x14ac:dyDescent="0.2">
      <c r="A11038" s="12"/>
      <c r="B11038" s="13"/>
    </row>
    <row r="11039" spans="1:2" x14ac:dyDescent="0.2">
      <c r="A11039" s="12"/>
      <c r="B11039" s="13"/>
    </row>
    <row r="11040" spans="1:2" x14ac:dyDescent="0.2">
      <c r="A11040" s="12"/>
      <c r="B11040" s="13"/>
    </row>
    <row r="11041" spans="1:2" x14ac:dyDescent="0.2">
      <c r="A11041" s="12"/>
      <c r="B11041" s="13"/>
    </row>
    <row r="11042" spans="1:2" x14ac:dyDescent="0.2">
      <c r="A11042" s="12"/>
      <c r="B11042" s="13"/>
    </row>
    <row r="11043" spans="1:2" x14ac:dyDescent="0.2">
      <c r="A11043" s="12"/>
      <c r="B11043" s="13"/>
    </row>
    <row r="11044" spans="1:2" x14ac:dyDescent="0.2">
      <c r="A11044" s="12"/>
      <c r="B11044" s="13"/>
    </row>
    <row r="11045" spans="1:2" x14ac:dyDescent="0.2">
      <c r="A11045" s="12"/>
      <c r="B11045" s="13"/>
    </row>
    <row r="11046" spans="1:2" x14ac:dyDescent="0.2">
      <c r="A11046" s="12"/>
      <c r="B11046" s="13"/>
    </row>
    <row r="11047" spans="1:2" x14ac:dyDescent="0.2">
      <c r="A11047" s="12"/>
      <c r="B11047" s="13"/>
    </row>
    <row r="11048" spans="1:2" x14ac:dyDescent="0.2">
      <c r="A11048" s="12"/>
      <c r="B11048" s="13"/>
    </row>
    <row r="11049" spans="1:2" x14ac:dyDescent="0.2">
      <c r="A11049" s="12"/>
      <c r="B11049" s="13"/>
    </row>
    <row r="11050" spans="1:2" x14ac:dyDescent="0.2">
      <c r="A11050" s="12"/>
      <c r="B11050" s="13"/>
    </row>
    <row r="11051" spans="1:2" x14ac:dyDescent="0.2">
      <c r="A11051" s="12"/>
      <c r="B11051" s="13"/>
    </row>
    <row r="11052" spans="1:2" x14ac:dyDescent="0.2">
      <c r="A11052" s="12"/>
      <c r="B11052" s="13"/>
    </row>
    <row r="11053" spans="1:2" x14ac:dyDescent="0.2">
      <c r="A11053" s="12"/>
      <c r="B11053" s="13"/>
    </row>
    <row r="11054" spans="1:2" x14ac:dyDescent="0.2">
      <c r="A11054" s="12"/>
      <c r="B11054" s="13"/>
    </row>
    <row r="11055" spans="1:2" x14ac:dyDescent="0.2">
      <c r="A11055" s="12"/>
      <c r="B11055" s="13"/>
    </row>
    <row r="11056" spans="1:2" x14ac:dyDescent="0.2">
      <c r="A11056" s="12"/>
      <c r="B11056" s="13"/>
    </row>
    <row r="11057" spans="1:2" x14ac:dyDescent="0.2">
      <c r="A11057" s="12"/>
      <c r="B11057" s="13"/>
    </row>
    <row r="11058" spans="1:2" x14ac:dyDescent="0.2">
      <c r="A11058" s="12"/>
      <c r="B11058" s="13"/>
    </row>
    <row r="11059" spans="1:2" x14ac:dyDescent="0.2">
      <c r="A11059" s="12"/>
      <c r="B11059" s="13"/>
    </row>
    <row r="11060" spans="1:2" x14ac:dyDescent="0.2">
      <c r="A11060" s="12"/>
      <c r="B11060" s="13"/>
    </row>
    <row r="11061" spans="1:2" x14ac:dyDescent="0.2">
      <c r="A11061" s="12"/>
      <c r="B11061" s="13"/>
    </row>
    <row r="11062" spans="1:2" x14ac:dyDescent="0.2">
      <c r="A11062" s="12"/>
      <c r="B11062" s="13"/>
    </row>
    <row r="11063" spans="1:2" x14ac:dyDescent="0.2">
      <c r="A11063" s="12"/>
      <c r="B11063" s="13"/>
    </row>
    <row r="11064" spans="1:2" x14ac:dyDescent="0.2">
      <c r="A11064" s="12"/>
      <c r="B11064" s="13"/>
    </row>
    <row r="11065" spans="1:2" x14ac:dyDescent="0.2">
      <c r="A11065" s="12"/>
      <c r="B11065" s="13"/>
    </row>
    <row r="11066" spans="1:2" x14ac:dyDescent="0.2">
      <c r="A11066" s="12"/>
      <c r="B11066" s="13"/>
    </row>
    <row r="11067" spans="1:2" x14ac:dyDescent="0.2">
      <c r="A11067" s="12"/>
      <c r="B11067" s="13"/>
    </row>
    <row r="11068" spans="1:2" x14ac:dyDescent="0.2">
      <c r="A11068" s="12"/>
      <c r="B11068" s="13"/>
    </row>
    <row r="11069" spans="1:2" x14ac:dyDescent="0.2">
      <c r="A11069" s="12"/>
      <c r="B11069" s="13"/>
    </row>
    <row r="11070" spans="1:2" x14ac:dyDescent="0.2">
      <c r="A11070" s="12"/>
      <c r="B11070" s="13"/>
    </row>
    <row r="11071" spans="1:2" x14ac:dyDescent="0.2">
      <c r="A11071" s="12"/>
      <c r="B11071" s="13"/>
    </row>
    <row r="11072" spans="1:2" x14ac:dyDescent="0.2">
      <c r="A11072" s="12"/>
      <c r="B11072" s="13"/>
    </row>
    <row r="11073" spans="1:2" x14ac:dyDescent="0.2">
      <c r="A11073" s="12"/>
      <c r="B11073" s="13"/>
    </row>
    <row r="11074" spans="1:2" x14ac:dyDescent="0.2">
      <c r="A11074" s="12"/>
      <c r="B11074" s="13"/>
    </row>
    <row r="11075" spans="1:2" x14ac:dyDescent="0.2">
      <c r="A11075" s="12"/>
      <c r="B11075" s="13"/>
    </row>
    <row r="11076" spans="1:2" x14ac:dyDescent="0.2">
      <c r="A11076" s="12"/>
      <c r="B11076" s="13"/>
    </row>
    <row r="11077" spans="1:2" x14ac:dyDescent="0.2">
      <c r="A11077" s="12"/>
      <c r="B11077" s="13"/>
    </row>
    <row r="11078" spans="1:2" x14ac:dyDescent="0.2">
      <c r="A11078" s="12"/>
      <c r="B11078" s="13"/>
    </row>
    <row r="11079" spans="1:2" x14ac:dyDescent="0.2">
      <c r="A11079" s="12"/>
      <c r="B11079" s="13"/>
    </row>
    <row r="11080" spans="1:2" x14ac:dyDescent="0.2">
      <c r="A11080" s="12"/>
      <c r="B11080" s="13"/>
    </row>
    <row r="11081" spans="1:2" x14ac:dyDescent="0.2">
      <c r="A11081" s="12"/>
      <c r="B11081" s="13"/>
    </row>
    <row r="11082" spans="1:2" x14ac:dyDescent="0.2">
      <c r="A11082" s="12"/>
      <c r="B11082" s="13"/>
    </row>
    <row r="11083" spans="1:2" x14ac:dyDescent="0.2">
      <c r="A11083" s="12"/>
      <c r="B11083" s="13"/>
    </row>
    <row r="11084" spans="1:2" x14ac:dyDescent="0.2">
      <c r="A11084" s="12"/>
      <c r="B11084" s="13"/>
    </row>
    <row r="11085" spans="1:2" x14ac:dyDescent="0.2">
      <c r="A11085" s="12"/>
      <c r="B11085" s="13"/>
    </row>
    <row r="11086" spans="1:2" x14ac:dyDescent="0.2">
      <c r="A11086" s="12"/>
      <c r="B11086" s="13"/>
    </row>
    <row r="11087" spans="1:2" x14ac:dyDescent="0.2">
      <c r="A11087" s="12"/>
      <c r="B11087" s="13"/>
    </row>
    <row r="11088" spans="1:2" x14ac:dyDescent="0.2">
      <c r="A11088" s="12"/>
      <c r="B11088" s="13"/>
    </row>
    <row r="11089" spans="1:2" x14ac:dyDescent="0.2">
      <c r="A11089" s="12"/>
      <c r="B11089" s="13"/>
    </row>
    <row r="11090" spans="1:2" x14ac:dyDescent="0.2">
      <c r="A11090" s="12"/>
      <c r="B11090" s="13"/>
    </row>
    <row r="11091" spans="1:2" x14ac:dyDescent="0.2">
      <c r="A11091" s="12"/>
      <c r="B11091" s="13"/>
    </row>
    <row r="11092" spans="1:2" x14ac:dyDescent="0.2">
      <c r="A11092" s="12"/>
      <c r="B11092" s="13"/>
    </row>
    <row r="11093" spans="1:2" x14ac:dyDescent="0.2">
      <c r="A11093" s="12"/>
      <c r="B11093" s="13"/>
    </row>
    <row r="11094" spans="1:2" x14ac:dyDescent="0.2">
      <c r="A11094" s="12"/>
      <c r="B11094" s="13"/>
    </row>
    <row r="11095" spans="1:2" x14ac:dyDescent="0.2">
      <c r="A11095" s="12"/>
      <c r="B11095" s="13"/>
    </row>
    <row r="11096" spans="1:2" x14ac:dyDescent="0.2">
      <c r="A11096" s="12"/>
      <c r="B11096" s="13"/>
    </row>
    <row r="11097" spans="1:2" x14ac:dyDescent="0.2">
      <c r="A11097" s="12"/>
      <c r="B11097" s="13"/>
    </row>
    <row r="11098" spans="1:2" x14ac:dyDescent="0.2">
      <c r="A11098" s="12"/>
      <c r="B11098" s="13"/>
    </row>
    <row r="11099" spans="1:2" x14ac:dyDescent="0.2">
      <c r="A11099" s="12"/>
      <c r="B11099" s="13"/>
    </row>
    <row r="11100" spans="1:2" x14ac:dyDescent="0.2">
      <c r="A11100" s="12"/>
      <c r="B11100" s="13"/>
    </row>
    <row r="11101" spans="1:2" x14ac:dyDescent="0.2">
      <c r="A11101" s="12"/>
      <c r="B11101" s="13"/>
    </row>
    <row r="11102" spans="1:2" x14ac:dyDescent="0.2">
      <c r="A11102" s="12"/>
      <c r="B11102" s="13"/>
    </row>
    <row r="11103" spans="1:2" x14ac:dyDescent="0.2">
      <c r="A11103" s="12"/>
      <c r="B11103" s="13"/>
    </row>
    <row r="11104" spans="1:2" x14ac:dyDescent="0.2">
      <c r="A11104" s="12"/>
      <c r="B11104" s="13"/>
    </row>
    <row r="11105" spans="1:2" x14ac:dyDescent="0.2">
      <c r="A11105" s="12"/>
      <c r="B11105" s="13"/>
    </row>
    <row r="11106" spans="1:2" x14ac:dyDescent="0.2">
      <c r="A11106" s="12"/>
      <c r="B11106" s="13"/>
    </row>
    <row r="11107" spans="1:2" x14ac:dyDescent="0.2">
      <c r="A11107" s="12"/>
      <c r="B11107" s="13"/>
    </row>
    <row r="11108" spans="1:2" x14ac:dyDescent="0.2">
      <c r="A11108" s="12"/>
      <c r="B11108" s="13"/>
    </row>
    <row r="11109" spans="1:2" x14ac:dyDescent="0.2">
      <c r="A11109" s="12"/>
      <c r="B11109" s="13"/>
    </row>
    <row r="11110" spans="1:2" x14ac:dyDescent="0.2">
      <c r="A11110" s="12"/>
      <c r="B11110" s="13"/>
    </row>
    <row r="11111" spans="1:2" x14ac:dyDescent="0.2">
      <c r="A11111" s="12"/>
      <c r="B11111" s="13"/>
    </row>
    <row r="11112" spans="1:2" x14ac:dyDescent="0.2">
      <c r="A11112" s="12"/>
      <c r="B11112" s="13"/>
    </row>
    <row r="11113" spans="1:2" x14ac:dyDescent="0.2">
      <c r="A11113" s="12"/>
      <c r="B11113" s="13"/>
    </row>
    <row r="11114" spans="1:2" x14ac:dyDescent="0.2">
      <c r="A11114" s="12"/>
      <c r="B11114" s="13"/>
    </row>
    <row r="11115" spans="1:2" x14ac:dyDescent="0.2">
      <c r="A11115" s="12"/>
      <c r="B11115" s="13"/>
    </row>
    <row r="11116" spans="1:2" x14ac:dyDescent="0.2">
      <c r="A11116" s="12"/>
      <c r="B11116" s="13"/>
    </row>
    <row r="11117" spans="1:2" x14ac:dyDescent="0.2">
      <c r="A11117" s="12"/>
      <c r="B11117" s="13"/>
    </row>
    <row r="11118" spans="1:2" x14ac:dyDescent="0.2">
      <c r="A11118" s="12"/>
      <c r="B11118" s="13"/>
    </row>
    <row r="11119" spans="1:2" x14ac:dyDescent="0.2">
      <c r="A11119" s="12"/>
      <c r="B11119" s="13"/>
    </row>
    <row r="11120" spans="1:2" x14ac:dyDescent="0.2">
      <c r="A11120" s="12"/>
      <c r="B11120" s="13"/>
    </row>
    <row r="11121" spans="1:2" x14ac:dyDescent="0.2">
      <c r="A11121" s="12"/>
      <c r="B11121" s="13"/>
    </row>
    <row r="11122" spans="1:2" x14ac:dyDescent="0.2">
      <c r="A11122" s="12"/>
      <c r="B11122" s="13"/>
    </row>
    <row r="11123" spans="1:2" x14ac:dyDescent="0.2">
      <c r="A11123" s="12"/>
      <c r="B11123" s="13"/>
    </row>
    <row r="11124" spans="1:2" x14ac:dyDescent="0.2">
      <c r="A11124" s="12"/>
      <c r="B11124" s="13"/>
    </row>
    <row r="11125" spans="1:2" x14ac:dyDescent="0.2">
      <c r="A11125" s="12"/>
      <c r="B11125" s="13"/>
    </row>
    <row r="11126" spans="1:2" x14ac:dyDescent="0.2">
      <c r="A11126" s="12"/>
      <c r="B11126" s="13"/>
    </row>
    <row r="11127" spans="1:2" x14ac:dyDescent="0.2">
      <c r="A11127" s="12"/>
      <c r="B11127" s="13"/>
    </row>
    <row r="11128" spans="1:2" x14ac:dyDescent="0.2">
      <c r="A11128" s="12"/>
      <c r="B11128" s="13"/>
    </row>
    <row r="11129" spans="1:2" x14ac:dyDescent="0.2">
      <c r="A11129" s="12"/>
      <c r="B11129" s="13"/>
    </row>
    <row r="11130" spans="1:2" x14ac:dyDescent="0.2">
      <c r="A11130" s="12"/>
      <c r="B11130" s="13"/>
    </row>
    <row r="11131" spans="1:2" x14ac:dyDescent="0.2">
      <c r="A11131" s="12"/>
      <c r="B11131" s="13"/>
    </row>
    <row r="11132" spans="1:2" x14ac:dyDescent="0.2">
      <c r="A11132" s="12"/>
      <c r="B11132" s="13"/>
    </row>
    <row r="11133" spans="1:2" x14ac:dyDescent="0.2">
      <c r="A11133" s="12"/>
      <c r="B11133" s="13"/>
    </row>
    <row r="11134" spans="1:2" x14ac:dyDescent="0.2">
      <c r="A11134" s="12"/>
      <c r="B11134" s="13"/>
    </row>
    <row r="11135" spans="1:2" x14ac:dyDescent="0.2">
      <c r="A11135" s="12"/>
      <c r="B11135" s="13"/>
    </row>
    <row r="11136" spans="1:2" x14ac:dyDescent="0.2">
      <c r="A11136" s="12"/>
      <c r="B11136" s="13"/>
    </row>
    <row r="11137" spans="1:2" x14ac:dyDescent="0.2">
      <c r="A11137" s="12"/>
      <c r="B11137" s="13"/>
    </row>
    <row r="11138" spans="1:2" x14ac:dyDescent="0.2">
      <c r="A11138" s="12"/>
      <c r="B11138" s="13"/>
    </row>
    <row r="11139" spans="1:2" x14ac:dyDescent="0.2">
      <c r="A11139" s="12"/>
      <c r="B11139" s="13"/>
    </row>
    <row r="11140" spans="1:2" x14ac:dyDescent="0.2">
      <c r="A11140" s="12"/>
      <c r="B11140" s="13"/>
    </row>
    <row r="11141" spans="1:2" x14ac:dyDescent="0.2">
      <c r="A11141" s="12"/>
      <c r="B11141" s="13"/>
    </row>
    <row r="11142" spans="1:2" x14ac:dyDescent="0.2">
      <c r="A11142" s="12"/>
      <c r="B11142" s="13"/>
    </row>
    <row r="11143" spans="1:2" x14ac:dyDescent="0.2">
      <c r="A11143" s="12"/>
      <c r="B11143" s="13"/>
    </row>
    <row r="11144" spans="1:2" x14ac:dyDescent="0.2">
      <c r="A11144" s="12"/>
      <c r="B11144" s="13"/>
    </row>
    <row r="11145" spans="1:2" x14ac:dyDescent="0.2">
      <c r="A11145" s="12"/>
      <c r="B11145" s="13"/>
    </row>
    <row r="11146" spans="1:2" x14ac:dyDescent="0.2">
      <c r="A11146" s="12"/>
      <c r="B11146" s="13"/>
    </row>
    <row r="11147" spans="1:2" x14ac:dyDescent="0.2">
      <c r="A11147" s="12"/>
      <c r="B11147" s="13"/>
    </row>
    <row r="11148" spans="1:2" x14ac:dyDescent="0.2">
      <c r="A11148" s="12"/>
      <c r="B11148" s="13"/>
    </row>
    <row r="11149" spans="1:2" x14ac:dyDescent="0.2">
      <c r="A11149" s="12"/>
      <c r="B11149" s="13"/>
    </row>
    <row r="11150" spans="1:2" x14ac:dyDescent="0.2">
      <c r="A11150" s="12"/>
      <c r="B11150" s="13"/>
    </row>
    <row r="11151" spans="1:2" x14ac:dyDescent="0.2">
      <c r="A11151" s="12"/>
      <c r="B11151" s="13"/>
    </row>
    <row r="11152" spans="1:2" x14ac:dyDescent="0.2">
      <c r="A11152" s="12"/>
      <c r="B11152" s="13"/>
    </row>
    <row r="11153" spans="1:2" x14ac:dyDescent="0.2">
      <c r="A11153" s="12"/>
      <c r="B11153" s="13"/>
    </row>
    <row r="11154" spans="1:2" x14ac:dyDescent="0.2">
      <c r="A11154" s="12"/>
      <c r="B11154" s="13"/>
    </row>
    <row r="11155" spans="1:2" x14ac:dyDescent="0.2">
      <c r="A11155" s="12"/>
      <c r="B11155" s="13"/>
    </row>
    <row r="11156" spans="1:2" x14ac:dyDescent="0.2">
      <c r="A11156" s="12"/>
      <c r="B11156" s="13"/>
    </row>
    <row r="11157" spans="1:2" x14ac:dyDescent="0.2">
      <c r="A11157" s="12"/>
      <c r="B11157" s="13"/>
    </row>
    <row r="11158" spans="1:2" x14ac:dyDescent="0.2">
      <c r="A11158" s="12"/>
      <c r="B11158" s="13"/>
    </row>
    <row r="11159" spans="1:2" x14ac:dyDescent="0.2">
      <c r="A11159" s="12"/>
      <c r="B11159" s="13"/>
    </row>
    <row r="11160" spans="1:2" x14ac:dyDescent="0.2">
      <c r="A11160" s="12"/>
      <c r="B11160" s="13"/>
    </row>
    <row r="11161" spans="1:2" x14ac:dyDescent="0.2">
      <c r="A11161" s="12"/>
      <c r="B11161" s="13"/>
    </row>
    <row r="11162" spans="1:2" x14ac:dyDescent="0.2">
      <c r="A11162" s="12"/>
      <c r="B11162" s="13"/>
    </row>
    <row r="11163" spans="1:2" x14ac:dyDescent="0.2">
      <c r="A11163" s="12"/>
      <c r="B11163" s="13"/>
    </row>
    <row r="11164" spans="1:2" x14ac:dyDescent="0.2">
      <c r="A11164" s="12"/>
      <c r="B11164" s="13"/>
    </row>
    <row r="11165" spans="1:2" x14ac:dyDescent="0.2">
      <c r="A11165" s="12"/>
      <c r="B11165" s="13"/>
    </row>
    <row r="11166" spans="1:2" x14ac:dyDescent="0.2">
      <c r="A11166" s="12"/>
      <c r="B11166" s="13"/>
    </row>
    <row r="11167" spans="1:2" x14ac:dyDescent="0.2">
      <c r="A11167" s="12"/>
      <c r="B11167" s="13"/>
    </row>
    <row r="11168" spans="1:2" x14ac:dyDescent="0.2">
      <c r="A11168" s="12"/>
      <c r="B11168" s="13"/>
    </row>
    <row r="11169" spans="1:2" x14ac:dyDescent="0.2">
      <c r="A11169" s="12"/>
      <c r="B11169" s="13"/>
    </row>
    <row r="11170" spans="1:2" x14ac:dyDescent="0.2">
      <c r="A11170" s="12"/>
      <c r="B11170" s="13"/>
    </row>
    <row r="11171" spans="1:2" x14ac:dyDescent="0.2">
      <c r="A11171" s="12"/>
      <c r="B11171" s="13"/>
    </row>
    <row r="11172" spans="1:2" x14ac:dyDescent="0.2">
      <c r="A11172" s="12"/>
      <c r="B11172" s="13"/>
    </row>
    <row r="11173" spans="1:2" x14ac:dyDescent="0.2">
      <c r="A11173" s="12"/>
      <c r="B11173" s="13"/>
    </row>
    <row r="11174" spans="1:2" x14ac:dyDescent="0.2">
      <c r="A11174" s="12"/>
      <c r="B11174" s="13"/>
    </row>
    <row r="11175" spans="1:2" x14ac:dyDescent="0.2">
      <c r="A11175" s="12"/>
      <c r="B11175" s="13"/>
    </row>
    <row r="11176" spans="1:2" x14ac:dyDescent="0.2">
      <c r="A11176" s="12"/>
      <c r="B11176" s="13"/>
    </row>
    <row r="11177" spans="1:2" x14ac:dyDescent="0.2">
      <c r="A11177" s="12"/>
      <c r="B11177" s="13"/>
    </row>
    <row r="11178" spans="1:2" x14ac:dyDescent="0.2">
      <c r="A11178" s="12"/>
      <c r="B11178" s="13"/>
    </row>
    <row r="11179" spans="1:2" x14ac:dyDescent="0.2">
      <c r="A11179" s="12"/>
      <c r="B11179" s="13"/>
    </row>
    <row r="11180" spans="1:2" x14ac:dyDescent="0.2">
      <c r="A11180" s="12"/>
      <c r="B11180" s="13"/>
    </row>
    <row r="11181" spans="1:2" x14ac:dyDescent="0.2">
      <c r="A11181" s="12"/>
      <c r="B11181" s="13"/>
    </row>
    <row r="11182" spans="1:2" x14ac:dyDescent="0.2">
      <c r="A11182" s="12"/>
      <c r="B11182" s="13"/>
    </row>
    <row r="11183" spans="1:2" x14ac:dyDescent="0.2">
      <c r="A11183" s="12"/>
      <c r="B11183" s="13"/>
    </row>
    <row r="11184" spans="1:2" x14ac:dyDescent="0.2">
      <c r="A11184" s="12"/>
      <c r="B11184" s="13"/>
    </row>
    <row r="11185" spans="1:2" x14ac:dyDescent="0.2">
      <c r="A11185" s="12"/>
      <c r="B11185" s="13"/>
    </row>
    <row r="11186" spans="1:2" x14ac:dyDescent="0.2">
      <c r="A11186" s="12"/>
      <c r="B11186" s="13"/>
    </row>
    <row r="11187" spans="1:2" x14ac:dyDescent="0.2">
      <c r="A11187" s="12"/>
      <c r="B11187" s="13"/>
    </row>
    <row r="11188" spans="1:2" x14ac:dyDescent="0.2">
      <c r="A11188" s="12"/>
      <c r="B11188" s="13"/>
    </row>
    <row r="11189" spans="1:2" x14ac:dyDescent="0.2">
      <c r="A11189" s="12"/>
      <c r="B11189" s="13"/>
    </row>
    <row r="11190" spans="1:2" x14ac:dyDescent="0.2">
      <c r="A11190" s="12"/>
      <c r="B11190" s="13"/>
    </row>
    <row r="11191" spans="1:2" x14ac:dyDescent="0.2">
      <c r="A11191" s="12"/>
      <c r="B11191" s="13"/>
    </row>
    <row r="11192" spans="1:2" x14ac:dyDescent="0.2">
      <c r="A11192" s="12"/>
      <c r="B11192" s="13"/>
    </row>
    <row r="11193" spans="1:2" x14ac:dyDescent="0.2">
      <c r="A11193" s="12"/>
      <c r="B11193" s="13"/>
    </row>
    <row r="11194" spans="1:2" x14ac:dyDescent="0.2">
      <c r="A11194" s="12"/>
      <c r="B11194" s="13"/>
    </row>
    <row r="11195" spans="1:2" x14ac:dyDescent="0.2">
      <c r="A11195" s="12"/>
      <c r="B11195" s="13"/>
    </row>
    <row r="11196" spans="1:2" x14ac:dyDescent="0.2">
      <c r="A11196" s="12"/>
      <c r="B11196" s="13"/>
    </row>
    <row r="11197" spans="1:2" x14ac:dyDescent="0.2">
      <c r="A11197" s="12"/>
      <c r="B11197" s="13"/>
    </row>
    <row r="11198" spans="1:2" x14ac:dyDescent="0.2">
      <c r="A11198" s="12"/>
      <c r="B11198" s="13"/>
    </row>
    <row r="11199" spans="1:2" x14ac:dyDescent="0.2">
      <c r="A11199" s="12"/>
      <c r="B11199" s="13"/>
    </row>
    <row r="11200" spans="1:2" x14ac:dyDescent="0.2">
      <c r="A11200" s="12"/>
      <c r="B11200" s="13"/>
    </row>
    <row r="11201" spans="1:2" x14ac:dyDescent="0.2">
      <c r="A11201" s="12"/>
      <c r="B11201" s="13"/>
    </row>
    <row r="11202" spans="1:2" x14ac:dyDescent="0.2">
      <c r="A11202" s="12"/>
      <c r="B11202" s="13"/>
    </row>
    <row r="11203" spans="1:2" x14ac:dyDescent="0.2">
      <c r="A11203" s="12"/>
      <c r="B11203" s="13"/>
    </row>
    <row r="11204" spans="1:2" x14ac:dyDescent="0.2">
      <c r="A11204" s="12"/>
      <c r="B11204" s="13"/>
    </row>
    <row r="11205" spans="1:2" x14ac:dyDescent="0.2">
      <c r="A11205" s="12"/>
      <c r="B11205" s="13"/>
    </row>
    <row r="11206" spans="1:2" x14ac:dyDescent="0.2">
      <c r="A11206" s="12"/>
      <c r="B11206" s="13"/>
    </row>
    <row r="11207" spans="1:2" x14ac:dyDescent="0.2">
      <c r="A11207" s="12"/>
      <c r="B11207" s="13"/>
    </row>
    <row r="11208" spans="1:2" x14ac:dyDescent="0.2">
      <c r="A11208" s="12"/>
      <c r="B11208" s="13"/>
    </row>
    <row r="11209" spans="1:2" x14ac:dyDescent="0.2">
      <c r="A11209" s="12"/>
      <c r="B11209" s="13"/>
    </row>
    <row r="11210" spans="1:2" x14ac:dyDescent="0.2">
      <c r="A11210" s="12"/>
      <c r="B11210" s="13"/>
    </row>
    <row r="11211" spans="1:2" x14ac:dyDescent="0.2">
      <c r="A11211" s="12"/>
      <c r="B11211" s="13"/>
    </row>
    <row r="11212" spans="1:2" x14ac:dyDescent="0.2">
      <c r="A11212" s="12"/>
      <c r="B11212" s="13"/>
    </row>
    <row r="11213" spans="1:2" x14ac:dyDescent="0.2">
      <c r="A11213" s="12"/>
      <c r="B11213" s="13"/>
    </row>
    <row r="11214" spans="1:2" x14ac:dyDescent="0.2">
      <c r="A11214" s="12"/>
      <c r="B11214" s="13"/>
    </row>
    <row r="11215" spans="1:2" x14ac:dyDescent="0.2">
      <c r="A11215" s="12"/>
      <c r="B11215" s="13"/>
    </row>
    <row r="11216" spans="1:2" x14ac:dyDescent="0.2">
      <c r="A11216" s="12"/>
      <c r="B11216" s="13"/>
    </row>
    <row r="11217" spans="1:2" x14ac:dyDescent="0.2">
      <c r="A11217" s="12"/>
      <c r="B11217" s="13"/>
    </row>
    <row r="11218" spans="1:2" x14ac:dyDescent="0.2">
      <c r="A11218" s="12"/>
      <c r="B11218" s="13"/>
    </row>
    <row r="11219" spans="1:2" x14ac:dyDescent="0.2">
      <c r="A11219" s="12"/>
      <c r="B11219" s="13"/>
    </row>
    <row r="11220" spans="1:2" x14ac:dyDescent="0.2">
      <c r="A11220" s="12"/>
      <c r="B11220" s="13"/>
    </row>
    <row r="11221" spans="1:2" x14ac:dyDescent="0.2">
      <c r="A11221" s="12"/>
      <c r="B11221" s="13"/>
    </row>
    <row r="11222" spans="1:2" x14ac:dyDescent="0.2">
      <c r="A11222" s="12"/>
      <c r="B11222" s="13"/>
    </row>
    <row r="11223" spans="1:2" x14ac:dyDescent="0.2">
      <c r="A11223" s="12"/>
      <c r="B11223" s="13"/>
    </row>
    <row r="11224" spans="1:2" x14ac:dyDescent="0.2">
      <c r="A11224" s="12"/>
      <c r="B11224" s="13"/>
    </row>
    <row r="11225" spans="1:2" x14ac:dyDescent="0.2">
      <c r="A11225" s="12"/>
      <c r="B11225" s="13"/>
    </row>
    <row r="11226" spans="1:2" x14ac:dyDescent="0.2">
      <c r="A11226" s="12"/>
      <c r="B11226" s="13"/>
    </row>
    <row r="11227" spans="1:2" x14ac:dyDescent="0.2">
      <c r="A11227" s="12"/>
      <c r="B11227" s="13"/>
    </row>
    <row r="11228" spans="1:2" x14ac:dyDescent="0.2">
      <c r="A11228" s="12"/>
      <c r="B11228" s="13"/>
    </row>
    <row r="11229" spans="1:2" x14ac:dyDescent="0.2">
      <c r="A11229" s="12"/>
      <c r="B11229" s="13"/>
    </row>
    <row r="11230" spans="1:2" x14ac:dyDescent="0.2">
      <c r="A11230" s="12"/>
      <c r="B11230" s="13"/>
    </row>
    <row r="11231" spans="1:2" x14ac:dyDescent="0.2">
      <c r="A11231" s="12"/>
      <c r="B11231" s="13"/>
    </row>
    <row r="11232" spans="1:2" x14ac:dyDescent="0.2">
      <c r="A11232" s="12"/>
      <c r="B11232" s="13"/>
    </row>
    <row r="11233" spans="1:2" x14ac:dyDescent="0.2">
      <c r="A11233" s="12"/>
      <c r="B11233" s="13"/>
    </row>
    <row r="11234" spans="1:2" x14ac:dyDescent="0.2">
      <c r="A11234" s="12"/>
      <c r="B11234" s="13"/>
    </row>
    <row r="11235" spans="1:2" x14ac:dyDescent="0.2">
      <c r="A11235" s="12"/>
      <c r="B11235" s="13"/>
    </row>
    <row r="11236" spans="1:2" x14ac:dyDescent="0.2">
      <c r="A11236" s="12"/>
      <c r="B11236" s="13"/>
    </row>
    <row r="11237" spans="1:2" x14ac:dyDescent="0.2">
      <c r="A11237" s="12"/>
      <c r="B11237" s="13"/>
    </row>
    <row r="11238" spans="1:2" x14ac:dyDescent="0.2">
      <c r="A11238" s="12"/>
      <c r="B11238" s="13"/>
    </row>
    <row r="11239" spans="1:2" x14ac:dyDescent="0.2">
      <c r="A11239" s="12"/>
      <c r="B11239" s="13"/>
    </row>
    <row r="11240" spans="1:2" x14ac:dyDescent="0.2">
      <c r="A11240" s="12"/>
      <c r="B11240" s="13"/>
    </row>
    <row r="11241" spans="1:2" x14ac:dyDescent="0.2">
      <c r="A11241" s="12"/>
      <c r="B11241" s="13"/>
    </row>
    <row r="11242" spans="1:2" x14ac:dyDescent="0.2">
      <c r="A11242" s="12"/>
      <c r="B11242" s="13"/>
    </row>
    <row r="11243" spans="1:2" x14ac:dyDescent="0.2">
      <c r="A11243" s="12"/>
      <c r="B11243" s="13"/>
    </row>
    <row r="11244" spans="1:2" x14ac:dyDescent="0.2">
      <c r="A11244" s="12"/>
      <c r="B11244" s="13"/>
    </row>
    <row r="11245" spans="1:2" x14ac:dyDescent="0.2">
      <c r="A11245" s="12"/>
      <c r="B11245" s="13"/>
    </row>
    <row r="11246" spans="1:2" x14ac:dyDescent="0.2">
      <c r="A11246" s="12"/>
      <c r="B11246" s="13"/>
    </row>
    <row r="11247" spans="1:2" x14ac:dyDescent="0.2">
      <c r="A11247" s="12"/>
      <c r="B11247" s="13"/>
    </row>
    <row r="11248" spans="1:2" x14ac:dyDescent="0.2">
      <c r="A11248" s="12"/>
      <c r="B11248" s="13"/>
    </row>
    <row r="11249" spans="1:2" x14ac:dyDescent="0.2">
      <c r="A11249" s="12"/>
      <c r="B11249" s="13"/>
    </row>
    <row r="11250" spans="1:2" x14ac:dyDescent="0.2">
      <c r="A11250" s="12"/>
      <c r="B11250" s="13"/>
    </row>
    <row r="11251" spans="1:2" x14ac:dyDescent="0.2">
      <c r="A11251" s="12"/>
      <c r="B11251" s="13"/>
    </row>
    <row r="11252" spans="1:2" x14ac:dyDescent="0.2">
      <c r="A11252" s="12"/>
      <c r="B11252" s="13"/>
    </row>
    <row r="11253" spans="1:2" x14ac:dyDescent="0.2">
      <c r="A11253" s="12"/>
      <c r="B11253" s="13"/>
    </row>
    <row r="11254" spans="1:2" x14ac:dyDescent="0.2">
      <c r="A11254" s="12"/>
      <c r="B11254" s="13"/>
    </row>
    <row r="11255" spans="1:2" x14ac:dyDescent="0.2">
      <c r="A11255" s="12"/>
      <c r="B11255" s="13"/>
    </row>
    <row r="11256" spans="1:2" x14ac:dyDescent="0.2">
      <c r="A11256" s="12"/>
      <c r="B11256" s="13"/>
    </row>
    <row r="11257" spans="1:2" x14ac:dyDescent="0.2">
      <c r="A11257" s="12"/>
      <c r="B11257" s="13"/>
    </row>
    <row r="11258" spans="1:2" x14ac:dyDescent="0.2">
      <c r="A11258" s="12"/>
      <c r="B11258" s="13"/>
    </row>
    <row r="11259" spans="1:2" x14ac:dyDescent="0.2">
      <c r="A11259" s="12"/>
      <c r="B11259" s="13"/>
    </row>
    <row r="11260" spans="1:2" x14ac:dyDescent="0.2">
      <c r="A11260" s="12"/>
      <c r="B11260" s="13"/>
    </row>
    <row r="11261" spans="1:2" x14ac:dyDescent="0.2">
      <c r="A11261" s="12"/>
      <c r="B11261" s="13"/>
    </row>
    <row r="11262" spans="1:2" x14ac:dyDescent="0.2">
      <c r="A11262" s="12"/>
      <c r="B11262" s="13"/>
    </row>
    <row r="11263" spans="1:2" x14ac:dyDescent="0.2">
      <c r="A11263" s="12"/>
      <c r="B11263" s="13"/>
    </row>
    <row r="11264" spans="1:2" x14ac:dyDescent="0.2">
      <c r="A11264" s="12"/>
      <c r="B11264" s="13"/>
    </row>
    <row r="11265" spans="1:2" x14ac:dyDescent="0.2">
      <c r="A11265" s="12"/>
      <c r="B11265" s="13"/>
    </row>
    <row r="11266" spans="1:2" x14ac:dyDescent="0.2">
      <c r="A11266" s="12"/>
      <c r="B11266" s="13"/>
    </row>
    <row r="11267" spans="1:2" x14ac:dyDescent="0.2">
      <c r="A11267" s="12"/>
      <c r="B11267" s="13"/>
    </row>
    <row r="11268" spans="1:2" x14ac:dyDescent="0.2">
      <c r="A11268" s="12"/>
      <c r="B11268" s="13"/>
    </row>
    <row r="11269" spans="1:2" x14ac:dyDescent="0.2">
      <c r="A11269" s="12"/>
      <c r="B11269" s="13"/>
    </row>
    <row r="11270" spans="1:2" x14ac:dyDescent="0.2">
      <c r="A11270" s="12"/>
      <c r="B11270" s="13"/>
    </row>
    <row r="11271" spans="1:2" x14ac:dyDescent="0.2">
      <c r="A11271" s="12"/>
      <c r="B11271" s="13"/>
    </row>
    <row r="11272" spans="1:2" x14ac:dyDescent="0.2">
      <c r="A11272" s="12"/>
      <c r="B11272" s="13"/>
    </row>
    <row r="11273" spans="1:2" x14ac:dyDescent="0.2">
      <c r="A11273" s="12"/>
      <c r="B11273" s="13"/>
    </row>
    <row r="11274" spans="1:2" x14ac:dyDescent="0.2">
      <c r="A11274" s="12"/>
      <c r="B11274" s="13"/>
    </row>
    <row r="11275" spans="1:2" x14ac:dyDescent="0.2">
      <c r="A11275" s="12"/>
      <c r="B11275" s="13"/>
    </row>
    <row r="11276" spans="1:2" x14ac:dyDescent="0.2">
      <c r="A11276" s="12"/>
      <c r="B11276" s="13"/>
    </row>
    <row r="11277" spans="1:2" x14ac:dyDescent="0.2">
      <c r="A11277" s="12"/>
      <c r="B11277" s="13"/>
    </row>
    <row r="11278" spans="1:2" x14ac:dyDescent="0.2">
      <c r="A11278" s="12"/>
      <c r="B11278" s="13"/>
    </row>
    <row r="11279" spans="1:2" x14ac:dyDescent="0.2">
      <c r="A11279" s="12"/>
      <c r="B11279" s="13"/>
    </row>
    <row r="11280" spans="1:2" x14ac:dyDescent="0.2">
      <c r="A11280" s="12"/>
      <c r="B11280" s="13"/>
    </row>
    <row r="11281" spans="1:2" x14ac:dyDescent="0.2">
      <c r="A11281" s="12"/>
      <c r="B11281" s="13"/>
    </row>
    <row r="11282" spans="1:2" x14ac:dyDescent="0.2">
      <c r="A11282" s="12"/>
      <c r="B11282" s="13"/>
    </row>
    <row r="11283" spans="1:2" x14ac:dyDescent="0.2">
      <c r="A11283" s="12"/>
      <c r="B11283" s="13"/>
    </row>
    <row r="11284" spans="1:2" x14ac:dyDescent="0.2">
      <c r="A11284" s="12"/>
      <c r="B11284" s="13"/>
    </row>
    <row r="11285" spans="1:2" x14ac:dyDescent="0.2">
      <c r="A11285" s="12"/>
      <c r="B11285" s="13"/>
    </row>
    <row r="11286" spans="1:2" x14ac:dyDescent="0.2">
      <c r="A11286" s="12"/>
      <c r="B11286" s="13"/>
    </row>
    <row r="11287" spans="1:2" x14ac:dyDescent="0.2">
      <c r="A11287" s="12"/>
      <c r="B11287" s="13"/>
    </row>
    <row r="11288" spans="1:2" x14ac:dyDescent="0.2">
      <c r="A11288" s="12"/>
      <c r="B11288" s="13"/>
    </row>
    <row r="11289" spans="1:2" x14ac:dyDescent="0.2">
      <c r="A11289" s="12"/>
      <c r="B11289" s="13"/>
    </row>
    <row r="11290" spans="1:2" x14ac:dyDescent="0.2">
      <c r="A11290" s="12"/>
      <c r="B11290" s="13"/>
    </row>
    <row r="11291" spans="1:2" x14ac:dyDescent="0.2">
      <c r="A11291" s="12"/>
      <c r="B11291" s="13"/>
    </row>
    <row r="11292" spans="1:2" x14ac:dyDescent="0.2">
      <c r="A11292" s="12"/>
      <c r="B11292" s="13"/>
    </row>
    <row r="11293" spans="1:2" x14ac:dyDescent="0.2">
      <c r="A11293" s="12"/>
      <c r="B11293" s="13"/>
    </row>
    <row r="11294" spans="1:2" x14ac:dyDescent="0.2">
      <c r="A11294" s="12"/>
      <c r="B11294" s="13"/>
    </row>
    <row r="11295" spans="1:2" x14ac:dyDescent="0.2">
      <c r="A11295" s="12"/>
      <c r="B11295" s="13"/>
    </row>
    <row r="11296" spans="1:2" x14ac:dyDescent="0.2">
      <c r="A11296" s="12"/>
      <c r="B11296" s="13"/>
    </row>
    <row r="11297" spans="1:2" x14ac:dyDescent="0.2">
      <c r="A11297" s="12"/>
      <c r="B11297" s="13"/>
    </row>
    <row r="11298" spans="1:2" x14ac:dyDescent="0.2">
      <c r="A11298" s="12"/>
      <c r="B11298" s="13"/>
    </row>
    <row r="11299" spans="1:2" x14ac:dyDescent="0.2">
      <c r="A11299" s="12"/>
      <c r="B11299" s="13"/>
    </row>
    <row r="11300" spans="1:2" x14ac:dyDescent="0.2">
      <c r="A11300" s="12"/>
      <c r="B11300" s="13"/>
    </row>
    <row r="11301" spans="1:2" x14ac:dyDescent="0.2">
      <c r="A11301" s="12"/>
      <c r="B11301" s="13"/>
    </row>
    <row r="11302" spans="1:2" x14ac:dyDescent="0.2">
      <c r="A11302" s="12"/>
      <c r="B11302" s="13"/>
    </row>
    <row r="11303" spans="1:2" x14ac:dyDescent="0.2">
      <c r="A11303" s="12"/>
      <c r="B11303" s="13"/>
    </row>
    <row r="11304" spans="1:2" x14ac:dyDescent="0.2">
      <c r="A11304" s="12"/>
      <c r="B11304" s="13"/>
    </row>
    <row r="11305" spans="1:2" x14ac:dyDescent="0.2">
      <c r="A11305" s="12"/>
      <c r="B11305" s="13"/>
    </row>
    <row r="11306" spans="1:2" x14ac:dyDescent="0.2">
      <c r="A11306" s="12"/>
      <c r="B11306" s="13"/>
    </row>
    <row r="11307" spans="1:2" x14ac:dyDescent="0.2">
      <c r="A11307" s="12"/>
      <c r="B11307" s="13"/>
    </row>
    <row r="11308" spans="1:2" x14ac:dyDescent="0.2">
      <c r="A11308" s="12"/>
      <c r="B11308" s="13"/>
    </row>
    <row r="11309" spans="1:2" x14ac:dyDescent="0.2">
      <c r="A11309" s="12"/>
      <c r="B11309" s="13"/>
    </row>
    <row r="11310" spans="1:2" x14ac:dyDescent="0.2">
      <c r="A11310" s="12"/>
      <c r="B11310" s="13"/>
    </row>
    <row r="11311" spans="1:2" x14ac:dyDescent="0.2">
      <c r="A11311" s="12"/>
      <c r="B11311" s="13"/>
    </row>
    <row r="11312" spans="1:2" x14ac:dyDescent="0.2">
      <c r="A11312" s="12"/>
      <c r="B11312" s="13"/>
    </row>
    <row r="11313" spans="1:2" x14ac:dyDescent="0.2">
      <c r="A11313" s="12"/>
      <c r="B11313" s="13"/>
    </row>
    <row r="11314" spans="1:2" x14ac:dyDescent="0.2">
      <c r="A11314" s="12"/>
      <c r="B11314" s="13"/>
    </row>
    <row r="11315" spans="1:2" x14ac:dyDescent="0.2">
      <c r="A11315" s="12"/>
      <c r="B11315" s="13"/>
    </row>
    <row r="11316" spans="1:2" x14ac:dyDescent="0.2">
      <c r="A11316" s="12"/>
      <c r="B11316" s="13"/>
    </row>
    <row r="11317" spans="1:2" x14ac:dyDescent="0.2">
      <c r="A11317" s="12"/>
      <c r="B11317" s="13"/>
    </row>
    <row r="11318" spans="1:2" x14ac:dyDescent="0.2">
      <c r="A11318" s="12"/>
      <c r="B11318" s="13"/>
    </row>
    <row r="11319" spans="1:2" x14ac:dyDescent="0.2">
      <c r="A11319" s="12"/>
      <c r="B11319" s="13"/>
    </row>
    <row r="11320" spans="1:2" x14ac:dyDescent="0.2">
      <c r="A11320" s="12"/>
      <c r="B11320" s="13"/>
    </row>
    <row r="11321" spans="1:2" x14ac:dyDescent="0.2">
      <c r="A11321" s="12"/>
      <c r="B11321" s="13"/>
    </row>
    <row r="11322" spans="1:2" x14ac:dyDescent="0.2">
      <c r="A11322" s="12"/>
      <c r="B11322" s="13"/>
    </row>
    <row r="11323" spans="1:2" x14ac:dyDescent="0.2">
      <c r="A11323" s="12"/>
      <c r="B11323" s="13"/>
    </row>
    <row r="11324" spans="1:2" x14ac:dyDescent="0.2">
      <c r="A11324" s="12"/>
      <c r="B11324" s="13"/>
    </row>
    <row r="11325" spans="1:2" x14ac:dyDescent="0.2">
      <c r="A11325" s="12"/>
      <c r="B11325" s="13"/>
    </row>
    <row r="11326" spans="1:2" x14ac:dyDescent="0.2">
      <c r="A11326" s="12"/>
      <c r="B11326" s="13"/>
    </row>
    <row r="11327" spans="1:2" x14ac:dyDescent="0.2">
      <c r="A11327" s="12"/>
      <c r="B11327" s="13"/>
    </row>
    <row r="11328" spans="1:2" x14ac:dyDescent="0.2">
      <c r="A11328" s="12"/>
      <c r="B11328" s="13"/>
    </row>
    <row r="11329" spans="1:2" x14ac:dyDescent="0.2">
      <c r="A11329" s="12"/>
      <c r="B11329" s="13"/>
    </row>
    <row r="11330" spans="1:2" x14ac:dyDescent="0.2">
      <c r="A11330" s="12"/>
      <c r="B11330" s="13"/>
    </row>
    <row r="11331" spans="1:2" x14ac:dyDescent="0.2">
      <c r="A11331" s="12"/>
      <c r="B11331" s="13"/>
    </row>
    <row r="11332" spans="1:2" x14ac:dyDescent="0.2">
      <c r="A11332" s="12"/>
      <c r="B11332" s="13"/>
    </row>
    <row r="11333" spans="1:2" x14ac:dyDescent="0.2">
      <c r="A11333" s="12"/>
      <c r="B11333" s="13"/>
    </row>
    <row r="11334" spans="1:2" x14ac:dyDescent="0.2">
      <c r="A11334" s="12"/>
      <c r="B11334" s="13"/>
    </row>
    <row r="11335" spans="1:2" x14ac:dyDescent="0.2">
      <c r="A11335" s="12"/>
      <c r="B11335" s="13"/>
    </row>
    <row r="11336" spans="1:2" x14ac:dyDescent="0.2">
      <c r="A11336" s="12"/>
      <c r="B11336" s="13"/>
    </row>
    <row r="11337" spans="1:2" x14ac:dyDescent="0.2">
      <c r="A11337" s="12"/>
      <c r="B11337" s="13"/>
    </row>
    <row r="11338" spans="1:2" x14ac:dyDescent="0.2">
      <c r="A11338" s="12"/>
      <c r="B11338" s="13"/>
    </row>
    <row r="11339" spans="1:2" x14ac:dyDescent="0.2">
      <c r="A11339" s="12"/>
      <c r="B11339" s="13"/>
    </row>
    <row r="11340" spans="1:2" x14ac:dyDescent="0.2">
      <c r="A11340" s="12"/>
      <c r="B11340" s="13"/>
    </row>
    <row r="11341" spans="1:2" x14ac:dyDescent="0.2">
      <c r="A11341" s="12"/>
      <c r="B11341" s="13"/>
    </row>
    <row r="11342" spans="1:2" x14ac:dyDescent="0.2">
      <c r="A11342" s="12"/>
      <c r="B11342" s="13"/>
    </row>
    <row r="11343" spans="1:2" x14ac:dyDescent="0.2">
      <c r="A11343" s="12"/>
      <c r="B11343" s="13"/>
    </row>
    <row r="11344" spans="1:2" x14ac:dyDescent="0.2">
      <c r="A11344" s="12"/>
      <c r="B11344" s="13"/>
    </row>
    <row r="11345" spans="1:2" x14ac:dyDescent="0.2">
      <c r="A11345" s="12"/>
      <c r="B11345" s="13"/>
    </row>
    <row r="11346" spans="1:2" x14ac:dyDescent="0.2">
      <c r="A11346" s="12"/>
      <c r="B11346" s="13"/>
    </row>
    <row r="11347" spans="1:2" x14ac:dyDescent="0.2">
      <c r="A11347" s="12"/>
      <c r="B11347" s="13"/>
    </row>
    <row r="11348" spans="1:2" x14ac:dyDescent="0.2">
      <c r="A11348" s="12"/>
      <c r="B11348" s="13"/>
    </row>
    <row r="11349" spans="1:2" x14ac:dyDescent="0.2">
      <c r="A11349" s="12"/>
      <c r="B11349" s="13"/>
    </row>
    <row r="11350" spans="1:2" x14ac:dyDescent="0.2">
      <c r="A11350" s="12"/>
      <c r="B11350" s="13"/>
    </row>
    <row r="11351" spans="1:2" x14ac:dyDescent="0.2">
      <c r="A11351" s="12"/>
      <c r="B11351" s="13"/>
    </row>
    <row r="11352" spans="1:2" x14ac:dyDescent="0.2">
      <c r="A11352" s="12"/>
      <c r="B11352" s="13"/>
    </row>
    <row r="11353" spans="1:2" x14ac:dyDescent="0.2">
      <c r="A11353" s="12"/>
      <c r="B11353" s="13"/>
    </row>
    <row r="11354" spans="1:2" x14ac:dyDescent="0.2">
      <c r="A11354" s="12"/>
      <c r="B11354" s="13"/>
    </row>
    <row r="11355" spans="1:2" x14ac:dyDescent="0.2">
      <c r="A11355" s="12"/>
      <c r="B11355" s="13"/>
    </row>
    <row r="11356" spans="1:2" x14ac:dyDescent="0.2">
      <c r="A11356" s="12"/>
      <c r="B11356" s="13"/>
    </row>
    <row r="11357" spans="1:2" x14ac:dyDescent="0.2">
      <c r="A11357" s="12"/>
      <c r="B11357" s="13"/>
    </row>
    <row r="11358" spans="1:2" x14ac:dyDescent="0.2">
      <c r="A11358" s="12"/>
      <c r="B11358" s="13"/>
    </row>
    <row r="11359" spans="1:2" x14ac:dyDescent="0.2">
      <c r="A11359" s="12"/>
      <c r="B11359" s="13"/>
    </row>
    <row r="11360" spans="1:2" x14ac:dyDescent="0.2">
      <c r="A11360" s="12"/>
      <c r="B11360" s="13"/>
    </row>
    <row r="11361" spans="1:2" x14ac:dyDescent="0.2">
      <c r="A11361" s="12"/>
      <c r="B11361" s="13"/>
    </row>
    <row r="11362" spans="1:2" x14ac:dyDescent="0.2">
      <c r="A11362" s="12"/>
      <c r="B11362" s="13"/>
    </row>
    <row r="11363" spans="1:2" x14ac:dyDescent="0.2">
      <c r="A11363" s="12"/>
      <c r="B11363" s="13"/>
    </row>
    <row r="11364" spans="1:2" x14ac:dyDescent="0.2">
      <c r="A11364" s="12"/>
      <c r="B11364" s="13"/>
    </row>
    <row r="11365" spans="1:2" x14ac:dyDescent="0.2">
      <c r="A11365" s="12"/>
      <c r="B11365" s="13"/>
    </row>
    <row r="11366" spans="1:2" x14ac:dyDescent="0.2">
      <c r="A11366" s="12"/>
      <c r="B11366" s="13"/>
    </row>
    <row r="11367" spans="1:2" x14ac:dyDescent="0.2">
      <c r="A11367" s="12"/>
      <c r="B11367" s="13"/>
    </row>
    <row r="11368" spans="1:2" x14ac:dyDescent="0.2">
      <c r="A11368" s="12"/>
      <c r="B11368" s="13"/>
    </row>
    <row r="11369" spans="1:2" x14ac:dyDescent="0.2">
      <c r="A11369" s="12"/>
      <c r="B11369" s="13"/>
    </row>
    <row r="11370" spans="1:2" x14ac:dyDescent="0.2">
      <c r="A11370" s="12"/>
      <c r="B11370" s="13"/>
    </row>
    <row r="11371" spans="1:2" x14ac:dyDescent="0.2">
      <c r="A11371" s="12"/>
      <c r="B11371" s="13"/>
    </row>
    <row r="11372" spans="1:2" x14ac:dyDescent="0.2">
      <c r="A11372" s="12"/>
      <c r="B11372" s="13"/>
    </row>
    <row r="11373" spans="1:2" x14ac:dyDescent="0.2">
      <c r="A11373" s="12"/>
      <c r="B11373" s="13"/>
    </row>
    <row r="11374" spans="1:2" x14ac:dyDescent="0.2">
      <c r="A11374" s="12"/>
      <c r="B11374" s="13"/>
    </row>
    <row r="11375" spans="1:2" x14ac:dyDescent="0.2">
      <c r="A11375" s="12"/>
      <c r="B11375" s="13"/>
    </row>
    <row r="11376" spans="1:2" x14ac:dyDescent="0.2">
      <c r="A11376" s="12"/>
      <c r="B11376" s="13"/>
    </row>
    <row r="11377" spans="1:2" x14ac:dyDescent="0.2">
      <c r="A11377" s="12"/>
      <c r="B11377" s="13"/>
    </row>
    <row r="11378" spans="1:2" x14ac:dyDescent="0.2">
      <c r="A11378" s="12"/>
      <c r="B11378" s="13"/>
    </row>
    <row r="11379" spans="1:2" x14ac:dyDescent="0.2">
      <c r="A11379" s="12"/>
      <c r="B11379" s="13"/>
    </row>
    <row r="11380" spans="1:2" x14ac:dyDescent="0.2">
      <c r="A11380" s="12"/>
      <c r="B11380" s="13"/>
    </row>
    <row r="11381" spans="1:2" x14ac:dyDescent="0.2">
      <c r="A11381" s="12"/>
      <c r="B11381" s="13"/>
    </row>
    <row r="11382" spans="1:2" x14ac:dyDescent="0.2">
      <c r="A11382" s="12"/>
      <c r="B11382" s="13"/>
    </row>
    <row r="11383" spans="1:2" x14ac:dyDescent="0.2">
      <c r="A11383" s="12"/>
      <c r="B11383" s="13"/>
    </row>
    <row r="11384" spans="1:2" x14ac:dyDescent="0.2">
      <c r="A11384" s="12"/>
      <c r="B11384" s="13"/>
    </row>
    <row r="11385" spans="1:2" x14ac:dyDescent="0.2">
      <c r="A11385" s="12"/>
      <c r="B11385" s="13"/>
    </row>
    <row r="11386" spans="1:2" x14ac:dyDescent="0.2">
      <c r="A11386" s="12"/>
      <c r="B11386" s="13"/>
    </row>
    <row r="11387" spans="1:2" x14ac:dyDescent="0.2">
      <c r="A11387" s="12"/>
      <c r="B11387" s="13"/>
    </row>
    <row r="11388" spans="1:2" x14ac:dyDescent="0.2">
      <c r="A11388" s="12"/>
      <c r="B11388" s="13"/>
    </row>
    <row r="11389" spans="1:2" x14ac:dyDescent="0.2">
      <c r="A11389" s="12"/>
      <c r="B11389" s="13"/>
    </row>
    <row r="11390" spans="1:2" x14ac:dyDescent="0.2">
      <c r="A11390" s="12"/>
      <c r="B11390" s="13"/>
    </row>
    <row r="11391" spans="1:2" x14ac:dyDescent="0.2">
      <c r="A11391" s="12"/>
      <c r="B11391" s="13"/>
    </row>
    <row r="11392" spans="1:2" x14ac:dyDescent="0.2">
      <c r="A11392" s="12"/>
      <c r="B11392" s="13"/>
    </row>
    <row r="11393" spans="1:2" x14ac:dyDescent="0.2">
      <c r="A11393" s="12"/>
      <c r="B11393" s="13"/>
    </row>
    <row r="11394" spans="1:2" x14ac:dyDescent="0.2">
      <c r="A11394" s="12"/>
      <c r="B11394" s="13"/>
    </row>
    <row r="11395" spans="1:2" x14ac:dyDescent="0.2">
      <c r="A11395" s="12"/>
      <c r="B11395" s="13"/>
    </row>
    <row r="11396" spans="1:2" x14ac:dyDescent="0.2">
      <c r="A11396" s="12"/>
      <c r="B11396" s="13"/>
    </row>
    <row r="11397" spans="1:2" x14ac:dyDescent="0.2">
      <c r="A11397" s="12"/>
      <c r="B11397" s="13"/>
    </row>
    <row r="11398" spans="1:2" x14ac:dyDescent="0.2">
      <c r="A11398" s="12"/>
      <c r="B11398" s="13"/>
    </row>
    <row r="11399" spans="1:2" x14ac:dyDescent="0.2">
      <c r="A11399" s="12"/>
      <c r="B11399" s="13"/>
    </row>
    <row r="11400" spans="1:2" x14ac:dyDescent="0.2">
      <c r="A11400" s="12"/>
      <c r="B11400" s="13"/>
    </row>
    <row r="11401" spans="1:2" x14ac:dyDescent="0.2">
      <c r="A11401" s="12"/>
      <c r="B11401" s="13"/>
    </row>
    <row r="11402" spans="1:2" x14ac:dyDescent="0.2">
      <c r="A11402" s="12"/>
      <c r="B11402" s="13"/>
    </row>
    <row r="11403" spans="1:2" x14ac:dyDescent="0.2">
      <c r="A11403" s="12"/>
      <c r="B11403" s="13"/>
    </row>
    <row r="11404" spans="1:2" x14ac:dyDescent="0.2">
      <c r="A11404" s="12"/>
      <c r="B11404" s="13"/>
    </row>
    <row r="11405" spans="1:2" x14ac:dyDescent="0.2">
      <c r="A11405" s="12"/>
      <c r="B11405" s="13"/>
    </row>
    <row r="11406" spans="1:2" x14ac:dyDescent="0.2">
      <c r="A11406" s="12"/>
      <c r="B11406" s="13"/>
    </row>
    <row r="11407" spans="1:2" x14ac:dyDescent="0.2">
      <c r="A11407" s="12"/>
      <c r="B11407" s="13"/>
    </row>
    <row r="11408" spans="1:2" x14ac:dyDescent="0.2">
      <c r="A11408" s="12"/>
      <c r="B11408" s="13"/>
    </row>
    <row r="11409" spans="1:2" x14ac:dyDescent="0.2">
      <c r="A11409" s="12"/>
      <c r="B11409" s="13"/>
    </row>
    <row r="11410" spans="1:2" x14ac:dyDescent="0.2">
      <c r="A11410" s="12"/>
      <c r="B11410" s="13"/>
    </row>
    <row r="11411" spans="1:2" x14ac:dyDescent="0.2">
      <c r="A11411" s="12"/>
      <c r="B11411" s="13"/>
    </row>
    <row r="11412" spans="1:2" x14ac:dyDescent="0.2">
      <c r="A11412" s="12"/>
      <c r="B11412" s="13"/>
    </row>
    <row r="11413" spans="1:2" x14ac:dyDescent="0.2">
      <c r="A11413" s="12"/>
      <c r="B11413" s="13"/>
    </row>
    <row r="11414" spans="1:2" x14ac:dyDescent="0.2">
      <c r="A11414" s="12"/>
      <c r="B11414" s="13"/>
    </row>
    <row r="11415" spans="1:2" x14ac:dyDescent="0.2">
      <c r="A11415" s="12"/>
      <c r="B11415" s="13"/>
    </row>
    <row r="11416" spans="1:2" x14ac:dyDescent="0.2">
      <c r="A11416" s="12"/>
      <c r="B11416" s="13"/>
    </row>
    <row r="11417" spans="1:2" x14ac:dyDescent="0.2">
      <c r="A11417" s="12"/>
      <c r="B11417" s="13"/>
    </row>
    <row r="11418" spans="1:2" x14ac:dyDescent="0.2">
      <c r="A11418" s="12"/>
      <c r="B11418" s="13"/>
    </row>
    <row r="11419" spans="1:2" x14ac:dyDescent="0.2">
      <c r="A11419" s="12"/>
      <c r="B11419" s="13"/>
    </row>
    <row r="11420" spans="1:2" x14ac:dyDescent="0.2">
      <c r="A11420" s="12"/>
      <c r="B11420" s="13"/>
    </row>
    <row r="11421" spans="1:2" x14ac:dyDescent="0.2">
      <c r="A11421" s="12"/>
      <c r="B11421" s="13"/>
    </row>
    <row r="11422" spans="1:2" x14ac:dyDescent="0.2">
      <c r="A11422" s="12"/>
      <c r="B11422" s="13"/>
    </row>
    <row r="11423" spans="1:2" x14ac:dyDescent="0.2">
      <c r="A11423" s="12"/>
      <c r="B11423" s="13"/>
    </row>
    <row r="11424" spans="1:2" x14ac:dyDescent="0.2">
      <c r="A11424" s="12"/>
      <c r="B11424" s="13"/>
    </row>
    <row r="11425" spans="1:2" x14ac:dyDescent="0.2">
      <c r="A11425" s="12"/>
      <c r="B11425" s="13"/>
    </row>
    <row r="11426" spans="1:2" x14ac:dyDescent="0.2">
      <c r="A11426" s="12"/>
      <c r="B11426" s="13"/>
    </row>
    <row r="11427" spans="1:2" x14ac:dyDescent="0.2">
      <c r="A11427" s="12"/>
      <c r="B11427" s="13"/>
    </row>
    <row r="11428" spans="1:2" x14ac:dyDescent="0.2">
      <c r="A11428" s="12"/>
      <c r="B11428" s="13"/>
    </row>
    <row r="11429" spans="1:2" x14ac:dyDescent="0.2">
      <c r="A11429" s="12"/>
      <c r="B11429" s="13"/>
    </row>
    <row r="11430" spans="1:2" x14ac:dyDescent="0.2">
      <c r="A11430" s="12"/>
      <c r="B11430" s="13"/>
    </row>
    <row r="11431" spans="1:2" x14ac:dyDescent="0.2">
      <c r="A11431" s="12"/>
      <c r="B11431" s="13"/>
    </row>
    <row r="11432" spans="1:2" x14ac:dyDescent="0.2">
      <c r="A11432" s="12"/>
      <c r="B11432" s="13"/>
    </row>
    <row r="11433" spans="1:2" x14ac:dyDescent="0.2">
      <c r="A11433" s="12"/>
      <c r="B11433" s="13"/>
    </row>
    <row r="11434" spans="1:2" x14ac:dyDescent="0.2">
      <c r="A11434" s="12"/>
      <c r="B11434" s="13"/>
    </row>
    <row r="11435" spans="1:2" x14ac:dyDescent="0.2">
      <c r="A11435" s="12"/>
      <c r="B11435" s="13"/>
    </row>
    <row r="11436" spans="1:2" x14ac:dyDescent="0.2">
      <c r="A11436" s="12"/>
      <c r="B11436" s="13"/>
    </row>
    <row r="11437" spans="1:2" x14ac:dyDescent="0.2">
      <c r="A11437" s="12"/>
      <c r="B11437" s="13"/>
    </row>
    <row r="11438" spans="1:2" x14ac:dyDescent="0.2">
      <c r="A11438" s="12"/>
      <c r="B11438" s="13"/>
    </row>
    <row r="11439" spans="1:2" x14ac:dyDescent="0.2">
      <c r="A11439" s="12"/>
      <c r="B11439" s="13"/>
    </row>
    <row r="11440" spans="1:2" x14ac:dyDescent="0.2">
      <c r="A11440" s="12"/>
      <c r="B11440" s="13"/>
    </row>
    <row r="11441" spans="1:2" x14ac:dyDescent="0.2">
      <c r="A11441" s="12"/>
      <c r="B11441" s="13"/>
    </row>
    <row r="11442" spans="1:2" x14ac:dyDescent="0.2">
      <c r="A11442" s="12"/>
      <c r="B11442" s="13"/>
    </row>
    <row r="11443" spans="1:2" x14ac:dyDescent="0.2">
      <c r="A11443" s="12"/>
      <c r="B11443" s="13"/>
    </row>
    <row r="11444" spans="1:2" x14ac:dyDescent="0.2">
      <c r="A11444" s="12"/>
      <c r="B11444" s="13"/>
    </row>
    <row r="11445" spans="1:2" x14ac:dyDescent="0.2">
      <c r="A11445" s="12"/>
      <c r="B11445" s="13"/>
    </row>
    <row r="11446" spans="1:2" x14ac:dyDescent="0.2">
      <c r="A11446" s="12"/>
      <c r="B11446" s="13"/>
    </row>
    <row r="11447" spans="1:2" x14ac:dyDescent="0.2">
      <c r="A11447" s="12"/>
      <c r="B11447" s="13"/>
    </row>
    <row r="11448" spans="1:2" x14ac:dyDescent="0.2">
      <c r="A11448" s="12"/>
      <c r="B11448" s="13"/>
    </row>
    <row r="11449" spans="1:2" x14ac:dyDescent="0.2">
      <c r="A11449" s="12"/>
      <c r="B11449" s="13"/>
    </row>
    <row r="11450" spans="1:2" x14ac:dyDescent="0.2">
      <c r="A11450" s="12"/>
      <c r="B11450" s="13"/>
    </row>
    <row r="11451" spans="1:2" x14ac:dyDescent="0.2">
      <c r="A11451" s="12"/>
      <c r="B11451" s="13"/>
    </row>
    <row r="11452" spans="1:2" x14ac:dyDescent="0.2">
      <c r="A11452" s="12"/>
      <c r="B11452" s="13"/>
    </row>
    <row r="11453" spans="1:2" x14ac:dyDescent="0.2">
      <c r="A11453" s="12"/>
      <c r="B11453" s="13"/>
    </row>
    <row r="11454" spans="1:2" x14ac:dyDescent="0.2">
      <c r="A11454" s="12"/>
      <c r="B11454" s="13"/>
    </row>
    <row r="11455" spans="1:2" x14ac:dyDescent="0.2">
      <c r="A11455" s="12"/>
      <c r="B11455" s="13"/>
    </row>
    <row r="11456" spans="1:2" x14ac:dyDescent="0.2">
      <c r="A11456" s="12"/>
      <c r="B11456" s="13"/>
    </row>
    <row r="11457" spans="1:2" x14ac:dyDescent="0.2">
      <c r="A11457" s="12"/>
      <c r="B11457" s="13"/>
    </row>
    <row r="11458" spans="1:2" x14ac:dyDescent="0.2">
      <c r="A11458" s="12"/>
      <c r="B11458" s="13"/>
    </row>
    <row r="11459" spans="1:2" x14ac:dyDescent="0.2">
      <c r="A11459" s="12"/>
      <c r="B11459" s="13"/>
    </row>
    <row r="11460" spans="1:2" x14ac:dyDescent="0.2">
      <c r="A11460" s="12"/>
      <c r="B11460" s="13"/>
    </row>
    <row r="11461" spans="1:2" x14ac:dyDescent="0.2">
      <c r="A11461" s="12"/>
      <c r="B11461" s="13"/>
    </row>
    <row r="11462" spans="1:2" x14ac:dyDescent="0.2">
      <c r="A11462" s="12"/>
      <c r="B11462" s="13"/>
    </row>
    <row r="11463" spans="1:2" x14ac:dyDescent="0.2">
      <c r="A11463" s="12"/>
      <c r="B11463" s="13"/>
    </row>
    <row r="11464" spans="1:2" x14ac:dyDescent="0.2">
      <c r="A11464" s="12"/>
      <c r="B11464" s="13"/>
    </row>
    <row r="11465" spans="1:2" x14ac:dyDescent="0.2">
      <c r="A11465" s="12"/>
      <c r="B11465" s="13"/>
    </row>
    <row r="11466" spans="1:2" x14ac:dyDescent="0.2">
      <c r="A11466" s="12"/>
      <c r="B11466" s="13"/>
    </row>
    <row r="11467" spans="1:2" x14ac:dyDescent="0.2">
      <c r="A11467" s="12"/>
      <c r="B11467" s="13"/>
    </row>
    <row r="11468" spans="1:2" x14ac:dyDescent="0.2">
      <c r="A11468" s="12"/>
      <c r="B11468" s="13"/>
    </row>
    <row r="11469" spans="1:2" x14ac:dyDescent="0.2">
      <c r="A11469" s="12"/>
      <c r="B11469" s="13"/>
    </row>
    <row r="11470" spans="1:2" x14ac:dyDescent="0.2">
      <c r="A11470" s="12"/>
      <c r="B11470" s="13"/>
    </row>
    <row r="11471" spans="1:2" x14ac:dyDescent="0.2">
      <c r="A11471" s="12"/>
      <c r="B11471" s="13"/>
    </row>
    <row r="11472" spans="1:2" x14ac:dyDescent="0.2">
      <c r="A11472" s="12"/>
      <c r="B11472" s="13"/>
    </row>
    <row r="11473" spans="1:2" x14ac:dyDescent="0.2">
      <c r="A11473" s="12"/>
      <c r="B11473" s="13"/>
    </row>
    <row r="11474" spans="1:2" x14ac:dyDescent="0.2">
      <c r="A11474" s="12"/>
      <c r="B11474" s="13"/>
    </row>
    <row r="11475" spans="1:2" x14ac:dyDescent="0.2">
      <c r="A11475" s="12"/>
      <c r="B11475" s="13"/>
    </row>
    <row r="11476" spans="1:2" x14ac:dyDescent="0.2">
      <c r="A11476" s="12"/>
      <c r="B11476" s="13"/>
    </row>
    <row r="11477" spans="1:2" x14ac:dyDescent="0.2">
      <c r="A11477" s="12"/>
      <c r="B11477" s="13"/>
    </row>
    <row r="11478" spans="1:2" x14ac:dyDescent="0.2">
      <c r="A11478" s="12"/>
      <c r="B11478" s="13"/>
    </row>
    <row r="11479" spans="1:2" x14ac:dyDescent="0.2">
      <c r="A11479" s="12"/>
      <c r="B11479" s="13"/>
    </row>
    <row r="11480" spans="1:2" x14ac:dyDescent="0.2">
      <c r="A11480" s="12"/>
      <c r="B11480" s="13"/>
    </row>
    <row r="11481" spans="1:2" x14ac:dyDescent="0.2">
      <c r="A11481" s="12"/>
      <c r="B11481" s="13"/>
    </row>
    <row r="11482" spans="1:2" x14ac:dyDescent="0.2">
      <c r="A11482" s="12"/>
      <c r="B11482" s="13"/>
    </row>
    <row r="11483" spans="1:2" x14ac:dyDescent="0.2">
      <c r="A11483" s="12"/>
      <c r="B11483" s="13"/>
    </row>
    <row r="11484" spans="1:2" x14ac:dyDescent="0.2">
      <c r="A11484" s="12"/>
      <c r="B11484" s="13"/>
    </row>
    <row r="11485" spans="1:2" x14ac:dyDescent="0.2">
      <c r="A11485" s="12"/>
      <c r="B11485" s="13"/>
    </row>
    <row r="11486" spans="1:2" x14ac:dyDescent="0.2">
      <c r="A11486" s="12"/>
      <c r="B11486" s="13"/>
    </row>
    <row r="11487" spans="1:2" x14ac:dyDescent="0.2">
      <c r="A11487" s="12"/>
      <c r="B11487" s="13"/>
    </row>
    <row r="11488" spans="1:2" x14ac:dyDescent="0.2">
      <c r="A11488" s="12"/>
      <c r="B11488" s="13"/>
    </row>
    <row r="11489" spans="1:2" x14ac:dyDescent="0.2">
      <c r="A11489" s="12"/>
      <c r="B11489" s="13"/>
    </row>
    <row r="11490" spans="1:2" x14ac:dyDescent="0.2">
      <c r="A11490" s="12"/>
      <c r="B11490" s="13"/>
    </row>
    <row r="11491" spans="1:2" x14ac:dyDescent="0.2">
      <c r="A11491" s="12"/>
      <c r="B11491" s="13"/>
    </row>
    <row r="11492" spans="1:2" x14ac:dyDescent="0.2">
      <c r="A11492" s="12"/>
      <c r="B11492" s="13"/>
    </row>
    <row r="11493" spans="1:2" x14ac:dyDescent="0.2">
      <c r="A11493" s="12"/>
      <c r="B11493" s="13"/>
    </row>
    <row r="11494" spans="1:2" x14ac:dyDescent="0.2">
      <c r="A11494" s="12"/>
      <c r="B11494" s="13"/>
    </row>
    <row r="11495" spans="1:2" x14ac:dyDescent="0.2">
      <c r="A11495" s="12"/>
      <c r="B11495" s="13"/>
    </row>
    <row r="11496" spans="1:2" x14ac:dyDescent="0.2">
      <c r="A11496" s="12"/>
      <c r="B11496" s="13"/>
    </row>
    <row r="11497" spans="1:2" x14ac:dyDescent="0.2">
      <c r="A11497" s="12"/>
      <c r="B11497" s="13"/>
    </row>
    <row r="11498" spans="1:2" x14ac:dyDescent="0.2">
      <c r="A11498" s="12"/>
      <c r="B11498" s="13"/>
    </row>
    <row r="11499" spans="1:2" x14ac:dyDescent="0.2">
      <c r="A11499" s="12"/>
      <c r="B11499" s="13"/>
    </row>
    <row r="11500" spans="1:2" x14ac:dyDescent="0.2">
      <c r="A11500" s="12"/>
      <c r="B11500" s="13"/>
    </row>
    <row r="11501" spans="1:2" x14ac:dyDescent="0.2">
      <c r="A11501" s="12"/>
      <c r="B11501" s="13"/>
    </row>
    <row r="11502" spans="1:2" x14ac:dyDescent="0.2">
      <c r="A11502" s="12"/>
      <c r="B11502" s="13"/>
    </row>
    <row r="11503" spans="1:2" x14ac:dyDescent="0.2">
      <c r="A11503" s="12"/>
      <c r="B11503" s="13"/>
    </row>
    <row r="11504" spans="1:2" x14ac:dyDescent="0.2">
      <c r="A11504" s="12"/>
      <c r="B11504" s="13"/>
    </row>
    <row r="11505" spans="1:2" x14ac:dyDescent="0.2">
      <c r="A11505" s="12"/>
      <c r="B11505" s="13"/>
    </row>
    <row r="11506" spans="1:2" x14ac:dyDescent="0.2">
      <c r="A11506" s="12"/>
      <c r="B11506" s="13"/>
    </row>
    <row r="11507" spans="1:2" x14ac:dyDescent="0.2">
      <c r="A11507" s="12"/>
      <c r="B11507" s="13"/>
    </row>
    <row r="11508" spans="1:2" x14ac:dyDescent="0.2">
      <c r="A11508" s="12"/>
      <c r="B11508" s="13"/>
    </row>
    <row r="11509" spans="1:2" x14ac:dyDescent="0.2">
      <c r="A11509" s="12"/>
      <c r="B11509" s="13"/>
    </row>
    <row r="11510" spans="1:2" x14ac:dyDescent="0.2">
      <c r="A11510" s="12"/>
      <c r="B11510" s="13"/>
    </row>
    <row r="11511" spans="1:2" x14ac:dyDescent="0.2">
      <c r="A11511" s="12"/>
      <c r="B11511" s="13"/>
    </row>
    <row r="11512" spans="1:2" x14ac:dyDescent="0.2">
      <c r="A11512" s="12"/>
      <c r="B11512" s="13"/>
    </row>
    <row r="11513" spans="1:2" x14ac:dyDescent="0.2">
      <c r="A11513" s="12"/>
      <c r="B11513" s="13"/>
    </row>
    <row r="11514" spans="1:2" x14ac:dyDescent="0.2">
      <c r="A11514" s="12"/>
      <c r="B11514" s="13"/>
    </row>
    <row r="11515" spans="1:2" x14ac:dyDescent="0.2">
      <c r="A11515" s="12"/>
      <c r="B11515" s="13"/>
    </row>
    <row r="11516" spans="1:2" x14ac:dyDescent="0.2">
      <c r="A11516" s="12"/>
      <c r="B11516" s="13"/>
    </row>
    <row r="11517" spans="1:2" x14ac:dyDescent="0.2">
      <c r="A11517" s="12"/>
      <c r="B11517" s="13"/>
    </row>
    <row r="11518" spans="1:2" x14ac:dyDescent="0.2">
      <c r="A11518" s="12"/>
      <c r="B11518" s="13"/>
    </row>
    <row r="11519" spans="1:2" x14ac:dyDescent="0.2">
      <c r="A11519" s="12"/>
      <c r="B11519" s="13"/>
    </row>
    <row r="11520" spans="1:2" x14ac:dyDescent="0.2">
      <c r="A11520" s="12"/>
      <c r="B11520" s="13"/>
    </row>
    <row r="11521" spans="1:2" x14ac:dyDescent="0.2">
      <c r="A11521" s="12"/>
      <c r="B11521" s="13"/>
    </row>
    <row r="11522" spans="1:2" x14ac:dyDescent="0.2">
      <c r="A11522" s="12"/>
      <c r="B11522" s="13"/>
    </row>
    <row r="11523" spans="1:2" x14ac:dyDescent="0.2">
      <c r="A11523" s="12"/>
      <c r="B11523" s="13"/>
    </row>
    <row r="11524" spans="1:2" x14ac:dyDescent="0.2">
      <c r="A11524" s="12"/>
      <c r="B11524" s="13"/>
    </row>
    <row r="11525" spans="1:2" x14ac:dyDescent="0.2">
      <c r="A11525" s="12"/>
      <c r="B11525" s="13"/>
    </row>
    <row r="11526" spans="1:2" x14ac:dyDescent="0.2">
      <c r="A11526" s="12"/>
      <c r="B11526" s="13"/>
    </row>
    <row r="11527" spans="1:2" x14ac:dyDescent="0.2">
      <c r="A11527" s="12"/>
      <c r="B11527" s="13"/>
    </row>
    <row r="11528" spans="1:2" x14ac:dyDescent="0.2">
      <c r="A11528" s="12"/>
      <c r="B11528" s="13"/>
    </row>
    <row r="11529" spans="1:2" x14ac:dyDescent="0.2">
      <c r="A11529" s="12"/>
      <c r="B11529" s="13"/>
    </row>
    <row r="11530" spans="1:2" x14ac:dyDescent="0.2">
      <c r="A11530" s="12"/>
      <c r="B11530" s="13"/>
    </row>
    <row r="11531" spans="1:2" x14ac:dyDescent="0.2">
      <c r="A11531" s="12"/>
      <c r="B11531" s="13"/>
    </row>
    <row r="11532" spans="1:2" x14ac:dyDescent="0.2">
      <c r="A11532" s="12"/>
      <c r="B11532" s="13"/>
    </row>
    <row r="11533" spans="1:2" x14ac:dyDescent="0.2">
      <c r="A11533" s="12"/>
      <c r="B11533" s="13"/>
    </row>
    <row r="11534" spans="1:2" x14ac:dyDescent="0.2">
      <c r="A11534" s="12"/>
      <c r="B11534" s="13"/>
    </row>
    <row r="11535" spans="1:2" x14ac:dyDescent="0.2">
      <c r="A11535" s="12"/>
      <c r="B11535" s="13"/>
    </row>
    <row r="11536" spans="1:2" x14ac:dyDescent="0.2">
      <c r="A11536" s="12"/>
      <c r="B11536" s="13"/>
    </row>
    <row r="11537" spans="1:2" x14ac:dyDescent="0.2">
      <c r="A11537" s="12"/>
      <c r="B11537" s="13"/>
    </row>
    <row r="11538" spans="1:2" x14ac:dyDescent="0.2">
      <c r="A11538" s="12"/>
      <c r="B11538" s="13"/>
    </row>
    <row r="11539" spans="1:2" x14ac:dyDescent="0.2">
      <c r="A11539" s="12"/>
      <c r="B11539" s="13"/>
    </row>
    <row r="11540" spans="1:2" x14ac:dyDescent="0.2">
      <c r="A11540" s="12"/>
      <c r="B11540" s="13"/>
    </row>
    <row r="11541" spans="1:2" x14ac:dyDescent="0.2">
      <c r="A11541" s="12"/>
      <c r="B11541" s="13"/>
    </row>
    <row r="11542" spans="1:2" x14ac:dyDescent="0.2">
      <c r="A11542" s="12"/>
      <c r="B11542" s="13"/>
    </row>
    <row r="11543" spans="1:2" x14ac:dyDescent="0.2">
      <c r="A11543" s="12"/>
      <c r="B11543" s="13"/>
    </row>
    <row r="11544" spans="1:2" x14ac:dyDescent="0.2">
      <c r="A11544" s="12"/>
      <c r="B11544" s="13"/>
    </row>
    <row r="11545" spans="1:2" x14ac:dyDescent="0.2">
      <c r="A11545" s="12"/>
      <c r="B11545" s="13"/>
    </row>
    <row r="11546" spans="1:2" x14ac:dyDescent="0.2">
      <c r="A11546" s="12"/>
      <c r="B11546" s="13"/>
    </row>
    <row r="11547" spans="1:2" x14ac:dyDescent="0.2">
      <c r="A11547" s="12"/>
      <c r="B11547" s="13"/>
    </row>
    <row r="11548" spans="1:2" x14ac:dyDescent="0.2">
      <c r="A11548" s="12"/>
      <c r="B11548" s="13"/>
    </row>
    <row r="11549" spans="1:2" x14ac:dyDescent="0.2">
      <c r="A11549" s="12"/>
      <c r="B11549" s="13"/>
    </row>
    <row r="11550" spans="1:2" x14ac:dyDescent="0.2">
      <c r="A11550" s="12"/>
      <c r="B11550" s="13"/>
    </row>
    <row r="11551" spans="1:2" x14ac:dyDescent="0.2">
      <c r="A11551" s="12"/>
      <c r="B11551" s="13"/>
    </row>
    <row r="11552" spans="1:2" x14ac:dyDescent="0.2">
      <c r="A11552" s="12"/>
      <c r="B11552" s="13"/>
    </row>
    <row r="11553" spans="1:2" x14ac:dyDescent="0.2">
      <c r="A11553" s="12"/>
      <c r="B11553" s="13"/>
    </row>
    <row r="11554" spans="1:2" x14ac:dyDescent="0.2">
      <c r="A11554" s="12"/>
      <c r="B11554" s="13"/>
    </row>
    <row r="11555" spans="1:2" x14ac:dyDescent="0.2">
      <c r="A11555" s="12"/>
      <c r="B11555" s="13"/>
    </row>
    <row r="11556" spans="1:2" x14ac:dyDescent="0.2">
      <c r="A11556" s="12"/>
      <c r="B11556" s="13"/>
    </row>
    <row r="11557" spans="1:2" x14ac:dyDescent="0.2">
      <c r="A11557" s="12"/>
      <c r="B11557" s="13"/>
    </row>
    <row r="11558" spans="1:2" x14ac:dyDescent="0.2">
      <c r="A11558" s="12"/>
      <c r="B11558" s="13"/>
    </row>
    <row r="11559" spans="1:2" x14ac:dyDescent="0.2">
      <c r="A11559" s="12"/>
      <c r="B11559" s="13"/>
    </row>
    <row r="11560" spans="1:2" x14ac:dyDescent="0.2">
      <c r="A11560" s="12"/>
      <c r="B11560" s="13"/>
    </row>
    <row r="11561" spans="1:2" x14ac:dyDescent="0.2">
      <c r="A11561" s="12"/>
      <c r="B11561" s="13"/>
    </row>
    <row r="11562" spans="1:2" x14ac:dyDescent="0.2">
      <c r="A11562" s="12"/>
      <c r="B11562" s="13"/>
    </row>
    <row r="11563" spans="1:2" x14ac:dyDescent="0.2">
      <c r="A11563" s="12"/>
      <c r="B11563" s="13"/>
    </row>
    <row r="11564" spans="1:2" x14ac:dyDescent="0.2">
      <c r="A11564" s="12"/>
      <c r="B11564" s="13"/>
    </row>
    <row r="11565" spans="1:2" x14ac:dyDescent="0.2">
      <c r="A11565" s="12"/>
      <c r="B11565" s="13"/>
    </row>
    <row r="11566" spans="1:2" x14ac:dyDescent="0.2">
      <c r="A11566" s="12"/>
      <c r="B11566" s="13"/>
    </row>
    <row r="11567" spans="1:2" x14ac:dyDescent="0.2">
      <c r="A11567" s="12"/>
      <c r="B11567" s="13"/>
    </row>
    <row r="11568" spans="1:2" x14ac:dyDescent="0.2">
      <c r="A11568" s="12"/>
      <c r="B11568" s="13"/>
    </row>
    <row r="11569" spans="1:2" x14ac:dyDescent="0.2">
      <c r="A11569" s="12"/>
      <c r="B11569" s="13"/>
    </row>
    <row r="11570" spans="1:2" x14ac:dyDescent="0.2">
      <c r="A11570" s="12"/>
      <c r="B11570" s="13"/>
    </row>
    <row r="11571" spans="1:2" x14ac:dyDescent="0.2">
      <c r="A11571" s="12"/>
      <c r="B11571" s="13"/>
    </row>
    <row r="11572" spans="1:2" x14ac:dyDescent="0.2">
      <c r="A11572" s="12"/>
      <c r="B11572" s="13"/>
    </row>
    <row r="11573" spans="1:2" x14ac:dyDescent="0.2">
      <c r="A11573" s="12"/>
      <c r="B11573" s="13"/>
    </row>
    <row r="11574" spans="1:2" x14ac:dyDescent="0.2">
      <c r="A11574" s="12"/>
      <c r="B11574" s="13"/>
    </row>
    <row r="11575" spans="1:2" x14ac:dyDescent="0.2">
      <c r="A11575" s="12"/>
      <c r="B11575" s="13"/>
    </row>
    <row r="11576" spans="1:2" x14ac:dyDescent="0.2">
      <c r="A11576" s="12"/>
      <c r="B11576" s="13"/>
    </row>
    <row r="11577" spans="1:2" x14ac:dyDescent="0.2">
      <c r="A11577" s="12"/>
      <c r="B11577" s="13"/>
    </row>
    <row r="11578" spans="1:2" x14ac:dyDescent="0.2">
      <c r="A11578" s="12"/>
      <c r="B11578" s="13"/>
    </row>
    <row r="11579" spans="1:2" x14ac:dyDescent="0.2">
      <c r="A11579" s="12"/>
      <c r="B11579" s="13"/>
    </row>
    <row r="11580" spans="1:2" x14ac:dyDescent="0.2">
      <c r="A11580" s="12"/>
      <c r="B11580" s="13"/>
    </row>
    <row r="11581" spans="1:2" x14ac:dyDescent="0.2">
      <c r="A11581" s="12"/>
      <c r="B11581" s="13"/>
    </row>
    <row r="11582" spans="1:2" x14ac:dyDescent="0.2">
      <c r="A11582" s="12"/>
      <c r="B11582" s="13"/>
    </row>
    <row r="11583" spans="1:2" x14ac:dyDescent="0.2">
      <c r="A11583" s="12"/>
      <c r="B11583" s="13"/>
    </row>
    <row r="11584" spans="1:2" x14ac:dyDescent="0.2">
      <c r="A11584" s="12"/>
      <c r="B11584" s="13"/>
    </row>
    <row r="11585" spans="1:2" x14ac:dyDescent="0.2">
      <c r="A11585" s="12"/>
      <c r="B11585" s="13"/>
    </row>
    <row r="11586" spans="1:2" x14ac:dyDescent="0.2">
      <c r="A11586" s="12"/>
      <c r="B11586" s="13"/>
    </row>
    <row r="11587" spans="1:2" x14ac:dyDescent="0.2">
      <c r="A11587" s="12"/>
      <c r="B11587" s="13"/>
    </row>
    <row r="11588" spans="1:2" x14ac:dyDescent="0.2">
      <c r="A11588" s="12"/>
      <c r="B11588" s="13"/>
    </row>
    <row r="11589" spans="1:2" x14ac:dyDescent="0.2">
      <c r="A11589" s="12"/>
      <c r="B11589" s="13"/>
    </row>
    <row r="11590" spans="1:2" x14ac:dyDescent="0.2">
      <c r="A11590" s="12"/>
      <c r="B11590" s="13"/>
    </row>
    <row r="11591" spans="1:2" x14ac:dyDescent="0.2">
      <c r="A11591" s="12"/>
      <c r="B11591" s="13"/>
    </row>
    <row r="11592" spans="1:2" x14ac:dyDescent="0.2">
      <c r="A11592" s="12"/>
      <c r="B11592" s="13"/>
    </row>
    <row r="11593" spans="1:2" x14ac:dyDescent="0.2">
      <c r="A11593" s="12"/>
      <c r="B11593" s="13"/>
    </row>
    <row r="11594" spans="1:2" x14ac:dyDescent="0.2">
      <c r="A11594" s="12"/>
      <c r="B11594" s="13"/>
    </row>
    <row r="11595" spans="1:2" x14ac:dyDescent="0.2">
      <c r="A11595" s="12"/>
      <c r="B11595" s="13"/>
    </row>
    <row r="11596" spans="1:2" x14ac:dyDescent="0.2">
      <c r="A11596" s="12"/>
      <c r="B11596" s="13"/>
    </row>
    <row r="11597" spans="1:2" x14ac:dyDescent="0.2">
      <c r="A11597" s="12"/>
      <c r="B11597" s="13"/>
    </row>
    <row r="11598" spans="1:2" x14ac:dyDescent="0.2">
      <c r="A11598" s="12"/>
      <c r="B11598" s="13"/>
    </row>
    <row r="11599" spans="1:2" x14ac:dyDescent="0.2">
      <c r="A11599" s="12"/>
      <c r="B11599" s="13"/>
    </row>
    <row r="11600" spans="1:2" x14ac:dyDescent="0.2">
      <c r="A11600" s="12"/>
      <c r="B11600" s="13"/>
    </row>
    <row r="11601" spans="1:2" x14ac:dyDescent="0.2">
      <c r="A11601" s="12"/>
      <c r="B11601" s="13"/>
    </row>
    <row r="11602" spans="1:2" x14ac:dyDescent="0.2">
      <c r="A11602" s="12"/>
      <c r="B11602" s="13"/>
    </row>
    <row r="11603" spans="1:2" x14ac:dyDescent="0.2">
      <c r="A11603" s="12"/>
      <c r="B11603" s="13"/>
    </row>
    <row r="11604" spans="1:2" x14ac:dyDescent="0.2">
      <c r="A11604" s="12"/>
      <c r="B11604" s="13"/>
    </row>
    <row r="11605" spans="1:2" x14ac:dyDescent="0.2">
      <c r="A11605" s="12"/>
      <c r="B11605" s="13"/>
    </row>
    <row r="11606" spans="1:2" x14ac:dyDescent="0.2">
      <c r="A11606" s="12"/>
      <c r="B11606" s="13"/>
    </row>
    <row r="11607" spans="1:2" x14ac:dyDescent="0.2">
      <c r="A11607" s="12"/>
      <c r="B11607" s="13"/>
    </row>
    <row r="11608" spans="1:2" x14ac:dyDescent="0.2">
      <c r="A11608" s="12"/>
      <c r="B11608" s="13"/>
    </row>
    <row r="11609" spans="1:2" x14ac:dyDescent="0.2">
      <c r="A11609" s="12"/>
      <c r="B11609" s="13"/>
    </row>
    <row r="11610" spans="1:2" x14ac:dyDescent="0.2">
      <c r="A11610" s="12"/>
      <c r="B11610" s="13"/>
    </row>
    <row r="11611" spans="1:2" x14ac:dyDescent="0.2">
      <c r="A11611" s="12"/>
      <c r="B11611" s="13"/>
    </row>
    <row r="11612" spans="1:2" x14ac:dyDescent="0.2">
      <c r="A11612" s="12"/>
      <c r="B11612" s="13"/>
    </row>
    <row r="11613" spans="1:2" x14ac:dyDescent="0.2">
      <c r="A11613" s="12"/>
      <c r="B11613" s="13"/>
    </row>
    <row r="11614" spans="1:2" x14ac:dyDescent="0.2">
      <c r="A11614" s="12"/>
      <c r="B11614" s="13"/>
    </row>
    <row r="11615" spans="1:2" x14ac:dyDescent="0.2">
      <c r="A11615" s="12"/>
      <c r="B11615" s="13"/>
    </row>
    <row r="11616" spans="1:2" x14ac:dyDescent="0.2">
      <c r="A11616" s="12"/>
      <c r="B11616" s="13"/>
    </row>
    <row r="11617" spans="1:2" x14ac:dyDescent="0.2">
      <c r="A11617" s="12"/>
      <c r="B11617" s="13"/>
    </row>
    <row r="11618" spans="1:2" x14ac:dyDescent="0.2">
      <c r="A11618" s="12"/>
      <c r="B11618" s="13"/>
    </row>
    <row r="11619" spans="1:2" x14ac:dyDescent="0.2">
      <c r="A11619" s="12"/>
      <c r="B11619" s="13"/>
    </row>
    <row r="11620" spans="1:2" x14ac:dyDescent="0.2">
      <c r="A11620" s="12"/>
      <c r="B11620" s="13"/>
    </row>
    <row r="11621" spans="1:2" x14ac:dyDescent="0.2">
      <c r="A11621" s="12"/>
      <c r="B11621" s="13"/>
    </row>
    <row r="11622" spans="1:2" x14ac:dyDescent="0.2">
      <c r="A11622" s="12"/>
      <c r="B11622" s="13"/>
    </row>
    <row r="11623" spans="1:2" x14ac:dyDescent="0.2">
      <c r="A11623" s="12"/>
      <c r="B11623" s="13"/>
    </row>
    <row r="11624" spans="1:2" x14ac:dyDescent="0.2">
      <c r="A11624" s="12"/>
      <c r="B11624" s="13"/>
    </row>
    <row r="11625" spans="1:2" x14ac:dyDescent="0.2">
      <c r="A11625" s="12"/>
      <c r="B11625" s="13"/>
    </row>
    <row r="11626" spans="1:2" x14ac:dyDescent="0.2">
      <c r="A11626" s="12"/>
      <c r="B11626" s="13"/>
    </row>
    <row r="11627" spans="1:2" x14ac:dyDescent="0.2">
      <c r="A11627" s="12"/>
      <c r="B11627" s="13"/>
    </row>
    <row r="11628" spans="1:2" x14ac:dyDescent="0.2">
      <c r="A11628" s="12"/>
      <c r="B11628" s="13"/>
    </row>
    <row r="11629" spans="1:2" x14ac:dyDescent="0.2">
      <c r="A11629" s="12"/>
      <c r="B11629" s="13"/>
    </row>
    <row r="11630" spans="1:2" x14ac:dyDescent="0.2">
      <c r="A11630" s="12"/>
      <c r="B11630" s="13"/>
    </row>
    <row r="11631" spans="1:2" x14ac:dyDescent="0.2">
      <c r="A11631" s="12"/>
      <c r="B11631" s="13"/>
    </row>
    <row r="11632" spans="1:2" x14ac:dyDescent="0.2">
      <c r="A11632" s="12"/>
      <c r="B11632" s="13"/>
    </row>
    <row r="11633" spans="1:2" x14ac:dyDescent="0.2">
      <c r="A11633" s="12"/>
      <c r="B11633" s="13"/>
    </row>
    <row r="11634" spans="1:2" x14ac:dyDescent="0.2">
      <c r="A11634" s="12"/>
      <c r="B11634" s="13"/>
    </row>
    <row r="11635" spans="1:2" x14ac:dyDescent="0.2">
      <c r="A11635" s="12"/>
      <c r="B11635" s="13"/>
    </row>
    <row r="11636" spans="1:2" x14ac:dyDescent="0.2">
      <c r="A11636" s="12"/>
      <c r="B11636" s="13"/>
    </row>
    <row r="11637" spans="1:2" x14ac:dyDescent="0.2">
      <c r="A11637" s="12"/>
      <c r="B11637" s="13"/>
    </row>
    <row r="11638" spans="1:2" x14ac:dyDescent="0.2">
      <c r="A11638" s="12"/>
      <c r="B11638" s="13"/>
    </row>
    <row r="11639" spans="1:2" x14ac:dyDescent="0.2">
      <c r="A11639" s="12"/>
      <c r="B11639" s="13"/>
    </row>
    <row r="11640" spans="1:2" x14ac:dyDescent="0.2">
      <c r="A11640" s="12"/>
      <c r="B11640" s="13"/>
    </row>
    <row r="11641" spans="1:2" x14ac:dyDescent="0.2">
      <c r="A11641" s="12"/>
      <c r="B11641" s="13"/>
    </row>
    <row r="11642" spans="1:2" x14ac:dyDescent="0.2">
      <c r="A11642" s="12"/>
      <c r="B11642" s="13"/>
    </row>
    <row r="11643" spans="1:2" x14ac:dyDescent="0.2">
      <c r="A11643" s="12"/>
      <c r="B11643" s="13"/>
    </row>
    <row r="11644" spans="1:2" x14ac:dyDescent="0.2">
      <c r="A11644" s="12"/>
      <c r="B11644" s="13"/>
    </row>
    <row r="11645" spans="1:2" x14ac:dyDescent="0.2">
      <c r="A11645" s="12"/>
      <c r="B11645" s="13"/>
    </row>
    <row r="11646" spans="1:2" x14ac:dyDescent="0.2">
      <c r="A11646" s="12"/>
      <c r="B11646" s="13"/>
    </row>
    <row r="11647" spans="1:2" x14ac:dyDescent="0.2">
      <c r="A11647" s="12"/>
      <c r="B11647" s="13"/>
    </row>
    <row r="11648" spans="1:2" x14ac:dyDescent="0.2">
      <c r="A11648" s="12"/>
      <c r="B11648" s="13"/>
    </row>
    <row r="11649" spans="1:2" x14ac:dyDescent="0.2">
      <c r="A11649" s="12"/>
      <c r="B11649" s="13"/>
    </row>
    <row r="11650" spans="1:2" x14ac:dyDescent="0.2">
      <c r="A11650" s="12"/>
      <c r="B11650" s="13"/>
    </row>
    <row r="11651" spans="1:2" x14ac:dyDescent="0.2">
      <c r="A11651" s="12"/>
      <c r="B11651" s="13"/>
    </row>
    <row r="11652" spans="1:2" x14ac:dyDescent="0.2">
      <c r="A11652" s="12"/>
      <c r="B11652" s="13"/>
    </row>
    <row r="11653" spans="1:2" x14ac:dyDescent="0.2">
      <c r="A11653" s="12"/>
      <c r="B11653" s="13"/>
    </row>
    <row r="11654" spans="1:2" x14ac:dyDescent="0.2">
      <c r="A11654" s="12"/>
      <c r="B11654" s="13"/>
    </row>
    <row r="11655" spans="1:2" x14ac:dyDescent="0.2">
      <c r="A11655" s="12"/>
      <c r="B11655" s="13"/>
    </row>
    <row r="11656" spans="1:2" x14ac:dyDescent="0.2">
      <c r="A11656" s="12"/>
      <c r="B11656" s="13"/>
    </row>
    <row r="11657" spans="1:2" x14ac:dyDescent="0.2">
      <c r="A11657" s="12"/>
      <c r="B11657" s="13"/>
    </row>
    <row r="11658" spans="1:2" x14ac:dyDescent="0.2">
      <c r="A11658" s="12"/>
      <c r="B11658" s="13"/>
    </row>
    <row r="11659" spans="1:2" x14ac:dyDescent="0.2">
      <c r="A11659" s="12"/>
      <c r="B11659" s="13"/>
    </row>
    <row r="11660" spans="1:2" x14ac:dyDescent="0.2">
      <c r="A11660" s="12"/>
      <c r="B11660" s="13"/>
    </row>
    <row r="11661" spans="1:2" x14ac:dyDescent="0.2">
      <c r="A11661" s="12"/>
      <c r="B11661" s="13"/>
    </row>
    <row r="11662" spans="1:2" x14ac:dyDescent="0.2">
      <c r="A11662" s="12"/>
      <c r="B11662" s="13"/>
    </row>
    <row r="11663" spans="1:2" x14ac:dyDescent="0.2">
      <c r="A11663" s="12"/>
      <c r="B11663" s="13"/>
    </row>
    <row r="11664" spans="1:2" x14ac:dyDescent="0.2">
      <c r="A11664" s="12"/>
      <c r="B11664" s="13"/>
    </row>
    <row r="11665" spans="1:2" x14ac:dyDescent="0.2">
      <c r="A11665" s="12"/>
      <c r="B11665" s="13"/>
    </row>
    <row r="11666" spans="1:2" x14ac:dyDescent="0.2">
      <c r="A11666" s="12"/>
      <c r="B11666" s="13"/>
    </row>
    <row r="11667" spans="1:2" x14ac:dyDescent="0.2">
      <c r="A11667" s="12"/>
      <c r="B11667" s="13"/>
    </row>
    <row r="11668" spans="1:2" x14ac:dyDescent="0.2">
      <c r="A11668" s="12"/>
      <c r="B11668" s="13"/>
    </row>
    <row r="11669" spans="1:2" x14ac:dyDescent="0.2">
      <c r="A11669" s="12"/>
      <c r="B11669" s="13"/>
    </row>
    <row r="11670" spans="1:2" x14ac:dyDescent="0.2">
      <c r="A11670" s="12"/>
      <c r="B11670" s="13"/>
    </row>
    <row r="11671" spans="1:2" x14ac:dyDescent="0.2">
      <c r="A11671" s="12"/>
      <c r="B11671" s="13"/>
    </row>
    <row r="11672" spans="1:2" x14ac:dyDescent="0.2">
      <c r="A11672" s="12"/>
      <c r="B11672" s="13"/>
    </row>
    <row r="11673" spans="1:2" x14ac:dyDescent="0.2">
      <c r="A11673" s="12"/>
      <c r="B11673" s="13"/>
    </row>
    <row r="11674" spans="1:2" x14ac:dyDescent="0.2">
      <c r="A11674" s="12"/>
      <c r="B11674" s="13"/>
    </row>
    <row r="11675" spans="1:2" x14ac:dyDescent="0.2">
      <c r="A11675" s="12"/>
      <c r="B11675" s="13"/>
    </row>
    <row r="11676" spans="1:2" x14ac:dyDescent="0.2">
      <c r="A11676" s="12"/>
      <c r="B11676" s="13"/>
    </row>
    <row r="11677" spans="1:2" x14ac:dyDescent="0.2">
      <c r="A11677" s="12"/>
      <c r="B11677" s="13"/>
    </row>
    <row r="11678" spans="1:2" x14ac:dyDescent="0.2">
      <c r="A11678" s="12"/>
      <c r="B11678" s="13"/>
    </row>
    <row r="11679" spans="1:2" x14ac:dyDescent="0.2">
      <c r="A11679" s="12"/>
      <c r="B11679" s="13"/>
    </row>
    <row r="11680" spans="1:2" x14ac:dyDescent="0.2">
      <c r="A11680" s="12"/>
      <c r="B11680" s="13"/>
    </row>
    <row r="11681" spans="1:2" x14ac:dyDescent="0.2">
      <c r="A11681" s="12"/>
      <c r="B11681" s="13"/>
    </row>
    <row r="11682" spans="1:2" x14ac:dyDescent="0.2">
      <c r="A11682" s="12"/>
      <c r="B11682" s="13"/>
    </row>
    <row r="11683" spans="1:2" x14ac:dyDescent="0.2">
      <c r="A11683" s="12"/>
      <c r="B11683" s="13"/>
    </row>
    <row r="11684" spans="1:2" x14ac:dyDescent="0.2">
      <c r="A11684" s="12"/>
      <c r="B11684" s="13"/>
    </row>
    <row r="11685" spans="1:2" x14ac:dyDescent="0.2">
      <c r="A11685" s="12"/>
      <c r="B11685" s="13"/>
    </row>
    <row r="11686" spans="1:2" x14ac:dyDescent="0.2">
      <c r="A11686" s="12"/>
      <c r="B11686" s="13"/>
    </row>
    <row r="11687" spans="1:2" x14ac:dyDescent="0.2">
      <c r="A11687" s="12"/>
      <c r="B11687" s="13"/>
    </row>
    <row r="11688" spans="1:2" x14ac:dyDescent="0.2">
      <c r="A11688" s="12"/>
      <c r="B11688" s="13"/>
    </row>
    <row r="11689" spans="1:2" x14ac:dyDescent="0.2">
      <c r="A11689" s="12"/>
      <c r="B11689" s="13"/>
    </row>
    <row r="11690" spans="1:2" x14ac:dyDescent="0.2">
      <c r="A11690" s="12"/>
      <c r="B11690" s="13"/>
    </row>
    <row r="11691" spans="1:2" x14ac:dyDescent="0.2">
      <c r="A11691" s="12"/>
      <c r="B11691" s="13"/>
    </row>
    <row r="11692" spans="1:2" x14ac:dyDescent="0.2">
      <c r="A11692" s="12"/>
      <c r="B11692" s="13"/>
    </row>
    <row r="11693" spans="1:2" x14ac:dyDescent="0.2">
      <c r="A11693" s="12"/>
      <c r="B11693" s="13"/>
    </row>
    <row r="11694" spans="1:2" x14ac:dyDescent="0.2">
      <c r="A11694" s="12"/>
      <c r="B11694" s="13"/>
    </row>
    <row r="11695" spans="1:2" x14ac:dyDescent="0.2">
      <c r="A11695" s="12"/>
      <c r="B11695" s="13"/>
    </row>
    <row r="11696" spans="1:2" x14ac:dyDescent="0.2">
      <c r="A11696" s="12"/>
      <c r="B11696" s="13"/>
    </row>
    <row r="11697" spans="1:2" x14ac:dyDescent="0.2">
      <c r="A11697" s="12"/>
      <c r="B11697" s="13"/>
    </row>
    <row r="11698" spans="1:2" x14ac:dyDescent="0.2">
      <c r="A11698" s="12"/>
      <c r="B11698" s="13"/>
    </row>
    <row r="11699" spans="1:2" x14ac:dyDescent="0.2">
      <c r="A11699" s="12"/>
      <c r="B11699" s="13"/>
    </row>
    <row r="11700" spans="1:2" x14ac:dyDescent="0.2">
      <c r="A11700" s="12"/>
      <c r="B11700" s="13"/>
    </row>
    <row r="11701" spans="1:2" x14ac:dyDescent="0.2">
      <c r="A11701" s="12"/>
      <c r="B11701" s="13"/>
    </row>
    <row r="11702" spans="1:2" x14ac:dyDescent="0.2">
      <c r="A11702" s="12"/>
      <c r="B11702" s="13"/>
    </row>
    <row r="11703" spans="1:2" x14ac:dyDescent="0.2">
      <c r="A11703" s="12"/>
      <c r="B11703" s="13"/>
    </row>
    <row r="11704" spans="1:2" x14ac:dyDescent="0.2">
      <c r="A11704" s="12"/>
      <c r="B11704" s="13"/>
    </row>
    <row r="11705" spans="1:2" x14ac:dyDescent="0.2">
      <c r="A11705" s="12"/>
      <c r="B11705" s="13"/>
    </row>
    <row r="11706" spans="1:2" x14ac:dyDescent="0.2">
      <c r="A11706" s="12"/>
      <c r="B11706" s="13"/>
    </row>
    <row r="11707" spans="1:2" x14ac:dyDescent="0.2">
      <c r="A11707" s="12"/>
      <c r="B11707" s="13"/>
    </row>
    <row r="11708" spans="1:2" x14ac:dyDescent="0.2">
      <c r="A11708" s="12"/>
      <c r="B11708" s="13"/>
    </row>
    <row r="11709" spans="1:2" x14ac:dyDescent="0.2">
      <c r="A11709" s="12"/>
      <c r="B11709" s="13"/>
    </row>
    <row r="11710" spans="1:2" x14ac:dyDescent="0.2">
      <c r="A11710" s="12"/>
      <c r="B11710" s="13"/>
    </row>
    <row r="11711" spans="1:2" x14ac:dyDescent="0.2">
      <c r="A11711" s="12"/>
      <c r="B11711" s="13"/>
    </row>
    <row r="11712" spans="1:2" x14ac:dyDescent="0.2">
      <c r="A11712" s="12"/>
      <c r="B11712" s="13"/>
    </row>
    <row r="11713" spans="1:2" x14ac:dyDescent="0.2">
      <c r="A11713" s="12"/>
      <c r="B11713" s="13"/>
    </row>
    <row r="11714" spans="1:2" x14ac:dyDescent="0.2">
      <c r="A11714" s="12"/>
      <c r="B11714" s="13"/>
    </row>
    <row r="11715" spans="1:2" x14ac:dyDescent="0.2">
      <c r="A11715" s="12"/>
      <c r="B11715" s="13"/>
    </row>
    <row r="11716" spans="1:2" x14ac:dyDescent="0.2">
      <c r="A11716" s="12"/>
      <c r="B11716" s="13"/>
    </row>
    <row r="11717" spans="1:2" x14ac:dyDescent="0.2">
      <c r="A11717" s="12"/>
      <c r="B11717" s="13"/>
    </row>
    <row r="11718" spans="1:2" x14ac:dyDescent="0.2">
      <c r="A11718" s="12"/>
      <c r="B11718" s="13"/>
    </row>
    <row r="11719" spans="1:2" x14ac:dyDescent="0.2">
      <c r="A11719" s="12"/>
      <c r="B11719" s="13"/>
    </row>
    <row r="11720" spans="1:2" x14ac:dyDescent="0.2">
      <c r="A11720" s="12"/>
      <c r="B11720" s="13"/>
    </row>
    <row r="11721" spans="1:2" x14ac:dyDescent="0.2">
      <c r="A11721" s="12"/>
      <c r="B11721" s="13"/>
    </row>
    <row r="11722" spans="1:2" x14ac:dyDescent="0.2">
      <c r="A11722" s="12"/>
      <c r="B11722" s="13"/>
    </row>
    <row r="11723" spans="1:2" x14ac:dyDescent="0.2">
      <c r="A11723" s="12"/>
      <c r="B11723" s="13"/>
    </row>
    <row r="11724" spans="1:2" x14ac:dyDescent="0.2">
      <c r="A11724" s="12"/>
      <c r="B11724" s="13"/>
    </row>
    <row r="11725" spans="1:2" x14ac:dyDescent="0.2">
      <c r="A11725" s="12"/>
      <c r="B11725" s="13"/>
    </row>
    <row r="11726" spans="1:2" x14ac:dyDescent="0.2">
      <c r="A11726" s="12"/>
      <c r="B11726" s="13"/>
    </row>
    <row r="11727" spans="1:2" x14ac:dyDescent="0.2">
      <c r="A11727" s="12"/>
      <c r="B11727" s="13"/>
    </row>
    <row r="11728" spans="1:2" x14ac:dyDescent="0.2">
      <c r="A11728" s="12"/>
      <c r="B11728" s="13"/>
    </row>
    <row r="11729" spans="1:2" x14ac:dyDescent="0.2">
      <c r="A11729" s="12"/>
      <c r="B11729" s="13"/>
    </row>
    <row r="11730" spans="1:2" x14ac:dyDescent="0.2">
      <c r="A11730" s="12"/>
      <c r="B11730" s="13"/>
    </row>
    <row r="11731" spans="1:2" x14ac:dyDescent="0.2">
      <c r="A11731" s="12"/>
      <c r="B11731" s="13"/>
    </row>
    <row r="11732" spans="1:2" x14ac:dyDescent="0.2">
      <c r="A11732" s="12"/>
      <c r="B11732" s="13"/>
    </row>
    <row r="11733" spans="1:2" x14ac:dyDescent="0.2">
      <c r="A11733" s="12"/>
      <c r="B11733" s="13"/>
    </row>
    <row r="11734" spans="1:2" x14ac:dyDescent="0.2">
      <c r="A11734" s="12"/>
      <c r="B11734" s="13"/>
    </row>
    <row r="11735" spans="1:2" x14ac:dyDescent="0.2">
      <c r="A11735" s="12"/>
      <c r="B11735" s="13"/>
    </row>
    <row r="11736" spans="1:2" x14ac:dyDescent="0.2">
      <c r="A11736" s="12"/>
      <c r="B11736" s="13"/>
    </row>
    <row r="11737" spans="1:2" x14ac:dyDescent="0.2">
      <c r="A11737" s="12"/>
      <c r="B11737" s="13"/>
    </row>
    <row r="11738" spans="1:2" x14ac:dyDescent="0.2">
      <c r="A11738" s="12"/>
      <c r="B11738" s="13"/>
    </row>
    <row r="11739" spans="1:2" x14ac:dyDescent="0.2">
      <c r="A11739" s="12"/>
      <c r="B11739" s="13"/>
    </row>
    <row r="11740" spans="1:2" x14ac:dyDescent="0.2">
      <c r="A11740" s="12"/>
      <c r="B11740" s="13"/>
    </row>
    <row r="11741" spans="1:2" x14ac:dyDescent="0.2">
      <c r="A11741" s="12"/>
      <c r="B11741" s="13"/>
    </row>
    <row r="11742" spans="1:2" x14ac:dyDescent="0.2">
      <c r="A11742" s="12"/>
      <c r="B11742" s="13"/>
    </row>
    <row r="11743" spans="1:2" x14ac:dyDescent="0.2">
      <c r="A11743" s="12"/>
      <c r="B11743" s="13"/>
    </row>
    <row r="11744" spans="1:2" x14ac:dyDescent="0.2">
      <c r="A11744" s="12"/>
      <c r="B11744" s="13"/>
    </row>
    <row r="11745" spans="1:2" x14ac:dyDescent="0.2">
      <c r="A11745" s="12"/>
      <c r="B11745" s="13"/>
    </row>
    <row r="11746" spans="1:2" x14ac:dyDescent="0.2">
      <c r="A11746" s="12"/>
      <c r="B11746" s="13"/>
    </row>
    <row r="11747" spans="1:2" x14ac:dyDescent="0.2">
      <c r="A11747" s="12"/>
      <c r="B11747" s="13"/>
    </row>
    <row r="11748" spans="1:2" x14ac:dyDescent="0.2">
      <c r="A11748" s="12"/>
      <c r="B11748" s="13"/>
    </row>
    <row r="11749" spans="1:2" x14ac:dyDescent="0.2">
      <c r="A11749" s="12"/>
      <c r="B11749" s="13"/>
    </row>
    <row r="11750" spans="1:2" x14ac:dyDescent="0.2">
      <c r="A11750" s="12"/>
      <c r="B11750" s="13"/>
    </row>
    <row r="11751" spans="1:2" x14ac:dyDescent="0.2">
      <c r="A11751" s="12"/>
      <c r="B11751" s="13"/>
    </row>
    <row r="11752" spans="1:2" x14ac:dyDescent="0.2">
      <c r="A11752" s="12"/>
      <c r="B11752" s="13"/>
    </row>
    <row r="11753" spans="1:2" x14ac:dyDescent="0.2">
      <c r="A11753" s="12"/>
      <c r="B11753" s="13"/>
    </row>
    <row r="11754" spans="1:2" x14ac:dyDescent="0.2">
      <c r="A11754" s="12"/>
      <c r="B11754" s="13"/>
    </row>
    <row r="11755" spans="1:2" x14ac:dyDescent="0.2">
      <c r="A11755" s="12"/>
      <c r="B11755" s="13"/>
    </row>
    <row r="11756" spans="1:2" x14ac:dyDescent="0.2">
      <c r="A11756" s="12"/>
      <c r="B11756" s="13"/>
    </row>
    <row r="11757" spans="1:2" x14ac:dyDescent="0.2">
      <c r="A11757" s="12"/>
      <c r="B11757" s="13"/>
    </row>
    <row r="11758" spans="1:2" x14ac:dyDescent="0.2">
      <c r="A11758" s="12"/>
      <c r="B11758" s="13"/>
    </row>
    <row r="11759" spans="1:2" x14ac:dyDescent="0.2">
      <c r="A11759" s="12"/>
      <c r="B11759" s="13"/>
    </row>
    <row r="11760" spans="1:2" x14ac:dyDescent="0.2">
      <c r="A11760" s="12"/>
      <c r="B11760" s="13"/>
    </row>
    <row r="11761" spans="1:2" x14ac:dyDescent="0.2">
      <c r="A11761" s="12"/>
      <c r="B11761" s="13"/>
    </row>
    <row r="11762" spans="1:2" x14ac:dyDescent="0.2">
      <c r="A11762" s="12"/>
      <c r="B11762" s="13"/>
    </row>
    <row r="11763" spans="1:2" x14ac:dyDescent="0.2">
      <c r="A11763" s="12"/>
      <c r="B11763" s="13"/>
    </row>
    <row r="11764" spans="1:2" x14ac:dyDescent="0.2">
      <c r="A11764" s="12"/>
      <c r="B11764" s="13"/>
    </row>
    <row r="11765" spans="1:2" x14ac:dyDescent="0.2">
      <c r="A11765" s="12"/>
      <c r="B11765" s="13"/>
    </row>
    <row r="11766" spans="1:2" x14ac:dyDescent="0.2">
      <c r="A11766" s="12"/>
      <c r="B11766" s="13"/>
    </row>
    <row r="11767" spans="1:2" x14ac:dyDescent="0.2">
      <c r="A11767" s="12"/>
      <c r="B11767" s="13"/>
    </row>
    <row r="11768" spans="1:2" x14ac:dyDescent="0.2">
      <c r="A11768" s="12"/>
      <c r="B11768" s="13"/>
    </row>
    <row r="11769" spans="1:2" x14ac:dyDescent="0.2">
      <c r="A11769" s="12"/>
      <c r="B11769" s="13"/>
    </row>
    <row r="11770" spans="1:2" x14ac:dyDescent="0.2">
      <c r="A11770" s="12"/>
      <c r="B11770" s="13"/>
    </row>
    <row r="11771" spans="1:2" x14ac:dyDescent="0.2">
      <c r="A11771" s="12"/>
      <c r="B11771" s="13"/>
    </row>
    <row r="11772" spans="1:2" x14ac:dyDescent="0.2">
      <c r="A11772" s="12"/>
      <c r="B11772" s="13"/>
    </row>
    <row r="11773" spans="1:2" x14ac:dyDescent="0.2">
      <c r="A11773" s="12"/>
      <c r="B11773" s="13"/>
    </row>
    <row r="11774" spans="1:2" x14ac:dyDescent="0.2">
      <c r="A11774" s="12"/>
      <c r="B11774" s="13"/>
    </row>
    <row r="11775" spans="1:2" x14ac:dyDescent="0.2">
      <c r="A11775" s="12"/>
      <c r="B11775" s="13"/>
    </row>
    <row r="11776" spans="1:2" x14ac:dyDescent="0.2">
      <c r="A11776" s="12"/>
      <c r="B11776" s="13"/>
    </row>
    <row r="11777" spans="1:2" x14ac:dyDescent="0.2">
      <c r="A11777" s="12"/>
      <c r="B11777" s="13"/>
    </row>
    <row r="11778" spans="1:2" x14ac:dyDescent="0.2">
      <c r="A11778" s="12"/>
      <c r="B11778" s="13"/>
    </row>
    <row r="11779" spans="1:2" x14ac:dyDescent="0.2">
      <c r="A11779" s="12"/>
      <c r="B11779" s="13"/>
    </row>
    <row r="11780" spans="1:2" x14ac:dyDescent="0.2">
      <c r="A11780" s="12"/>
      <c r="B11780" s="13"/>
    </row>
    <row r="11781" spans="1:2" x14ac:dyDescent="0.2">
      <c r="A11781" s="12"/>
      <c r="B11781" s="13"/>
    </row>
    <row r="11782" spans="1:2" x14ac:dyDescent="0.2">
      <c r="A11782" s="12"/>
      <c r="B11782" s="13"/>
    </row>
    <row r="11783" spans="1:2" x14ac:dyDescent="0.2">
      <c r="A11783" s="12"/>
      <c r="B11783" s="13"/>
    </row>
    <row r="11784" spans="1:2" x14ac:dyDescent="0.2">
      <c r="A11784" s="12"/>
      <c r="B11784" s="13"/>
    </row>
    <row r="11785" spans="1:2" x14ac:dyDescent="0.2">
      <c r="A11785" s="12"/>
      <c r="B11785" s="13"/>
    </row>
    <row r="11786" spans="1:2" x14ac:dyDescent="0.2">
      <c r="A11786" s="12"/>
      <c r="B11786" s="13"/>
    </row>
    <row r="11787" spans="1:2" x14ac:dyDescent="0.2">
      <c r="A11787" s="12"/>
      <c r="B11787" s="13"/>
    </row>
    <row r="11788" spans="1:2" x14ac:dyDescent="0.2">
      <c r="A11788" s="12"/>
      <c r="B11788" s="13"/>
    </row>
    <row r="11789" spans="1:2" x14ac:dyDescent="0.2">
      <c r="A11789" s="12"/>
      <c r="B11789" s="13"/>
    </row>
    <row r="11790" spans="1:2" x14ac:dyDescent="0.2">
      <c r="A11790" s="12"/>
      <c r="B11790" s="13"/>
    </row>
    <row r="11791" spans="1:2" x14ac:dyDescent="0.2">
      <c r="A11791" s="12"/>
      <c r="B11791" s="13"/>
    </row>
    <row r="11792" spans="1:2" x14ac:dyDescent="0.2">
      <c r="A11792" s="12"/>
      <c r="B11792" s="13"/>
    </row>
    <row r="11793" spans="1:2" x14ac:dyDescent="0.2">
      <c r="A11793" s="12"/>
      <c r="B11793" s="13"/>
    </row>
    <row r="11794" spans="1:2" x14ac:dyDescent="0.2">
      <c r="A11794" s="12"/>
      <c r="B11794" s="13"/>
    </row>
    <row r="11795" spans="1:2" x14ac:dyDescent="0.2">
      <c r="A11795" s="12"/>
      <c r="B11795" s="13"/>
    </row>
    <row r="11796" spans="1:2" x14ac:dyDescent="0.2">
      <c r="A11796" s="12"/>
      <c r="B11796" s="13"/>
    </row>
    <row r="11797" spans="1:2" x14ac:dyDescent="0.2">
      <c r="A11797" s="12"/>
      <c r="B11797" s="13"/>
    </row>
    <row r="11798" spans="1:2" x14ac:dyDescent="0.2">
      <c r="A11798" s="12"/>
      <c r="B11798" s="13"/>
    </row>
    <row r="11799" spans="1:2" x14ac:dyDescent="0.2">
      <c r="A11799" s="12"/>
      <c r="B11799" s="13"/>
    </row>
    <row r="11800" spans="1:2" x14ac:dyDescent="0.2">
      <c r="A11800" s="12"/>
      <c r="B11800" s="13"/>
    </row>
    <row r="11801" spans="1:2" x14ac:dyDescent="0.2">
      <c r="A11801" s="12"/>
      <c r="B11801" s="13"/>
    </row>
    <row r="11802" spans="1:2" x14ac:dyDescent="0.2">
      <c r="A11802" s="12"/>
      <c r="B11802" s="13"/>
    </row>
    <row r="11803" spans="1:2" x14ac:dyDescent="0.2">
      <c r="A11803" s="12"/>
      <c r="B11803" s="13"/>
    </row>
    <row r="11804" spans="1:2" x14ac:dyDescent="0.2">
      <c r="A11804" s="12"/>
      <c r="B11804" s="13"/>
    </row>
    <row r="11805" spans="1:2" x14ac:dyDescent="0.2">
      <c r="A11805" s="12"/>
      <c r="B11805" s="13"/>
    </row>
    <row r="11806" spans="1:2" x14ac:dyDescent="0.2">
      <c r="A11806" s="12"/>
      <c r="B11806" s="13"/>
    </row>
    <row r="11807" spans="1:2" x14ac:dyDescent="0.2">
      <c r="A11807" s="12"/>
      <c r="B11807" s="13"/>
    </row>
    <row r="11808" spans="1:2" x14ac:dyDescent="0.2">
      <c r="A11808" s="12"/>
      <c r="B11808" s="13"/>
    </row>
    <row r="11809" spans="1:2" x14ac:dyDescent="0.2">
      <c r="A11809" s="12"/>
      <c r="B11809" s="13"/>
    </row>
    <row r="11810" spans="1:2" x14ac:dyDescent="0.2">
      <c r="A11810" s="12"/>
      <c r="B11810" s="13"/>
    </row>
    <row r="11811" spans="1:2" x14ac:dyDescent="0.2">
      <c r="A11811" s="12"/>
      <c r="B11811" s="13"/>
    </row>
    <row r="11812" spans="1:2" x14ac:dyDescent="0.2">
      <c r="A11812" s="12"/>
      <c r="B11812" s="13"/>
    </row>
    <row r="11813" spans="1:2" x14ac:dyDescent="0.2">
      <c r="A11813" s="12"/>
      <c r="B11813" s="13"/>
    </row>
    <row r="11814" spans="1:2" x14ac:dyDescent="0.2">
      <c r="A11814" s="12"/>
      <c r="B11814" s="13"/>
    </row>
    <row r="11815" spans="1:2" x14ac:dyDescent="0.2">
      <c r="A11815" s="12"/>
      <c r="B11815" s="13"/>
    </row>
    <row r="11816" spans="1:2" x14ac:dyDescent="0.2">
      <c r="A11816" s="12"/>
      <c r="B11816" s="13"/>
    </row>
    <row r="11817" spans="1:2" x14ac:dyDescent="0.2">
      <c r="A11817" s="12"/>
      <c r="B11817" s="13"/>
    </row>
    <row r="11818" spans="1:2" x14ac:dyDescent="0.2">
      <c r="A11818" s="12"/>
      <c r="B11818" s="13"/>
    </row>
    <row r="11819" spans="1:2" x14ac:dyDescent="0.2">
      <c r="A11819" s="12"/>
      <c r="B11819" s="13"/>
    </row>
    <row r="11820" spans="1:2" x14ac:dyDescent="0.2">
      <c r="A11820" s="12"/>
      <c r="B11820" s="13"/>
    </row>
    <row r="11821" spans="1:2" x14ac:dyDescent="0.2">
      <c r="A11821" s="12"/>
      <c r="B11821" s="13"/>
    </row>
    <row r="11822" spans="1:2" x14ac:dyDescent="0.2">
      <c r="A11822" s="12"/>
      <c r="B11822" s="13"/>
    </row>
    <row r="11823" spans="1:2" x14ac:dyDescent="0.2">
      <c r="A11823" s="12"/>
      <c r="B11823" s="13"/>
    </row>
    <row r="11824" spans="1:2" x14ac:dyDescent="0.2">
      <c r="A11824" s="12"/>
      <c r="B11824" s="13"/>
    </row>
    <row r="11825" spans="1:2" x14ac:dyDescent="0.2">
      <c r="A11825" s="12"/>
      <c r="B11825" s="13"/>
    </row>
    <row r="11826" spans="1:2" x14ac:dyDescent="0.2">
      <c r="A11826" s="12"/>
      <c r="B11826" s="13"/>
    </row>
    <row r="11827" spans="1:2" x14ac:dyDescent="0.2">
      <c r="A11827" s="12"/>
      <c r="B11827" s="13"/>
    </row>
    <row r="11828" spans="1:2" x14ac:dyDescent="0.2">
      <c r="A11828" s="12"/>
      <c r="B11828" s="13"/>
    </row>
    <row r="11829" spans="1:2" x14ac:dyDescent="0.2">
      <c r="A11829" s="12"/>
      <c r="B11829" s="13"/>
    </row>
    <row r="11830" spans="1:2" x14ac:dyDescent="0.2">
      <c r="A11830" s="12"/>
      <c r="B11830" s="13"/>
    </row>
    <row r="11831" spans="1:2" x14ac:dyDescent="0.2">
      <c r="A11831" s="12"/>
      <c r="B11831" s="13"/>
    </row>
    <row r="11832" spans="1:2" x14ac:dyDescent="0.2">
      <c r="A11832" s="12"/>
      <c r="B11832" s="13"/>
    </row>
    <row r="11833" spans="1:2" x14ac:dyDescent="0.2">
      <c r="A11833" s="12"/>
      <c r="B11833" s="13"/>
    </row>
    <row r="11834" spans="1:2" x14ac:dyDescent="0.2">
      <c r="A11834" s="12"/>
      <c r="B11834" s="13"/>
    </row>
    <row r="11835" spans="1:2" x14ac:dyDescent="0.2">
      <c r="A11835" s="12"/>
      <c r="B11835" s="13"/>
    </row>
    <row r="11836" spans="1:2" x14ac:dyDescent="0.2">
      <c r="A11836" s="12"/>
      <c r="B11836" s="13"/>
    </row>
    <row r="11837" spans="1:2" x14ac:dyDescent="0.2">
      <c r="A11837" s="12"/>
      <c r="B11837" s="13"/>
    </row>
    <row r="11838" spans="1:2" x14ac:dyDescent="0.2">
      <c r="A11838" s="12"/>
      <c r="B11838" s="13"/>
    </row>
    <row r="11839" spans="1:2" x14ac:dyDescent="0.2">
      <c r="A11839" s="12"/>
      <c r="B11839" s="13"/>
    </row>
    <row r="11840" spans="1:2" x14ac:dyDescent="0.2">
      <c r="A11840" s="12"/>
      <c r="B11840" s="13"/>
    </row>
    <row r="11841" spans="1:2" x14ac:dyDescent="0.2">
      <c r="A11841" s="12"/>
      <c r="B11841" s="13"/>
    </row>
    <row r="11842" spans="1:2" x14ac:dyDescent="0.2">
      <c r="A11842" s="12"/>
      <c r="B11842" s="13"/>
    </row>
    <row r="11843" spans="1:2" x14ac:dyDescent="0.2">
      <c r="A11843" s="12"/>
      <c r="B11843" s="13"/>
    </row>
    <row r="11844" spans="1:2" x14ac:dyDescent="0.2">
      <c r="A11844" s="12"/>
      <c r="B11844" s="13"/>
    </row>
    <row r="11845" spans="1:2" x14ac:dyDescent="0.2">
      <c r="A11845" s="12"/>
      <c r="B11845" s="13"/>
    </row>
    <row r="11846" spans="1:2" x14ac:dyDescent="0.2">
      <c r="A11846" s="12"/>
      <c r="B11846" s="13"/>
    </row>
    <row r="11847" spans="1:2" x14ac:dyDescent="0.2">
      <c r="A11847" s="12"/>
      <c r="B11847" s="13"/>
    </row>
    <row r="11848" spans="1:2" x14ac:dyDescent="0.2">
      <c r="A11848" s="12"/>
      <c r="B11848" s="13"/>
    </row>
    <row r="11849" spans="1:2" x14ac:dyDescent="0.2">
      <c r="A11849" s="12"/>
      <c r="B11849" s="13"/>
    </row>
    <row r="11850" spans="1:2" x14ac:dyDescent="0.2">
      <c r="A11850" s="12"/>
      <c r="B11850" s="13"/>
    </row>
    <row r="11851" spans="1:2" x14ac:dyDescent="0.2">
      <c r="A11851" s="12"/>
      <c r="B11851" s="13"/>
    </row>
    <row r="11852" spans="1:2" x14ac:dyDescent="0.2">
      <c r="A11852" s="12"/>
      <c r="B11852" s="13"/>
    </row>
    <row r="11853" spans="1:2" x14ac:dyDescent="0.2">
      <c r="A11853" s="12"/>
      <c r="B11853" s="13"/>
    </row>
    <row r="11854" spans="1:2" x14ac:dyDescent="0.2">
      <c r="A11854" s="12"/>
      <c r="B11854" s="13"/>
    </row>
    <row r="11855" spans="1:2" x14ac:dyDescent="0.2">
      <c r="A11855" s="12"/>
      <c r="B11855" s="13"/>
    </row>
    <row r="11856" spans="1:2" x14ac:dyDescent="0.2">
      <c r="A11856" s="12"/>
      <c r="B11856" s="13"/>
    </row>
    <row r="11857" spans="1:2" x14ac:dyDescent="0.2">
      <c r="A11857" s="12"/>
      <c r="B11857" s="13"/>
    </row>
    <row r="11858" spans="1:2" x14ac:dyDescent="0.2">
      <c r="A11858" s="12"/>
      <c r="B11858" s="13"/>
    </row>
    <row r="11859" spans="1:2" x14ac:dyDescent="0.2">
      <c r="A11859" s="12"/>
      <c r="B11859" s="13"/>
    </row>
    <row r="11860" spans="1:2" x14ac:dyDescent="0.2">
      <c r="A11860" s="12"/>
      <c r="B11860" s="13"/>
    </row>
    <row r="11861" spans="1:2" x14ac:dyDescent="0.2">
      <c r="A11861" s="12"/>
      <c r="B11861" s="13"/>
    </row>
    <row r="11862" spans="1:2" x14ac:dyDescent="0.2">
      <c r="A11862" s="12"/>
      <c r="B11862" s="13"/>
    </row>
    <row r="11863" spans="1:2" x14ac:dyDescent="0.2">
      <c r="A11863" s="12"/>
      <c r="B11863" s="13"/>
    </row>
    <row r="11864" spans="1:2" x14ac:dyDescent="0.2">
      <c r="A11864" s="12"/>
      <c r="B11864" s="13"/>
    </row>
    <row r="11865" spans="1:2" x14ac:dyDescent="0.2">
      <c r="A11865" s="12"/>
      <c r="B11865" s="13"/>
    </row>
    <row r="11866" spans="1:2" x14ac:dyDescent="0.2">
      <c r="A11866" s="12"/>
      <c r="B11866" s="13"/>
    </row>
    <row r="11867" spans="1:2" x14ac:dyDescent="0.2">
      <c r="A11867" s="12"/>
      <c r="B11867" s="13"/>
    </row>
    <row r="11868" spans="1:2" x14ac:dyDescent="0.2">
      <c r="A11868" s="12"/>
      <c r="B11868" s="13"/>
    </row>
    <row r="11869" spans="1:2" x14ac:dyDescent="0.2">
      <c r="A11869" s="12"/>
      <c r="B11869" s="13"/>
    </row>
    <row r="11870" spans="1:2" x14ac:dyDescent="0.2">
      <c r="A11870" s="12"/>
      <c r="B11870" s="13"/>
    </row>
    <row r="11871" spans="1:2" x14ac:dyDescent="0.2">
      <c r="A11871" s="12"/>
      <c r="B11871" s="13"/>
    </row>
    <row r="11872" spans="1:2" x14ac:dyDescent="0.2">
      <c r="A11872" s="12"/>
      <c r="B11872" s="13"/>
    </row>
    <row r="11873" spans="1:2" x14ac:dyDescent="0.2">
      <c r="A11873" s="12"/>
      <c r="B11873" s="13"/>
    </row>
    <row r="11874" spans="1:2" x14ac:dyDescent="0.2">
      <c r="A11874" s="12"/>
      <c r="B11874" s="13"/>
    </row>
    <row r="11875" spans="1:2" x14ac:dyDescent="0.2">
      <c r="A11875" s="12"/>
      <c r="B11875" s="13"/>
    </row>
    <row r="11876" spans="1:2" x14ac:dyDescent="0.2">
      <c r="A11876" s="12"/>
      <c r="B11876" s="13"/>
    </row>
    <row r="11877" spans="1:2" x14ac:dyDescent="0.2">
      <c r="A11877" s="12"/>
      <c r="B11877" s="13"/>
    </row>
    <row r="11878" spans="1:2" x14ac:dyDescent="0.2">
      <c r="A11878" s="12"/>
      <c r="B11878" s="13"/>
    </row>
    <row r="11879" spans="1:2" x14ac:dyDescent="0.2">
      <c r="A11879" s="12"/>
      <c r="B11879" s="13"/>
    </row>
    <row r="11880" spans="1:2" x14ac:dyDescent="0.2">
      <c r="A11880" s="12"/>
      <c r="B11880" s="13"/>
    </row>
    <row r="11881" spans="1:2" x14ac:dyDescent="0.2">
      <c r="A11881" s="12"/>
      <c r="B11881" s="13"/>
    </row>
    <row r="11882" spans="1:2" x14ac:dyDescent="0.2">
      <c r="A11882" s="12"/>
      <c r="B11882" s="13"/>
    </row>
    <row r="11883" spans="1:2" x14ac:dyDescent="0.2">
      <c r="A11883" s="12"/>
      <c r="B11883" s="13"/>
    </row>
    <row r="11884" spans="1:2" x14ac:dyDescent="0.2">
      <c r="A11884" s="12"/>
      <c r="B11884" s="13"/>
    </row>
    <row r="11885" spans="1:2" x14ac:dyDescent="0.2">
      <c r="A11885" s="12"/>
      <c r="B11885" s="13"/>
    </row>
    <row r="11886" spans="1:2" x14ac:dyDescent="0.2">
      <c r="A11886" s="12"/>
      <c r="B11886" s="13"/>
    </row>
    <row r="11887" spans="1:2" x14ac:dyDescent="0.2">
      <c r="A11887" s="12"/>
      <c r="B11887" s="13"/>
    </row>
    <row r="11888" spans="1:2" x14ac:dyDescent="0.2">
      <c r="A11888" s="12"/>
      <c r="B11888" s="13"/>
    </row>
    <row r="11889" spans="1:2" x14ac:dyDescent="0.2">
      <c r="A11889" s="12"/>
      <c r="B11889" s="13"/>
    </row>
    <row r="11890" spans="1:2" x14ac:dyDescent="0.2">
      <c r="A11890" s="12"/>
      <c r="B11890" s="13"/>
    </row>
    <row r="11891" spans="1:2" x14ac:dyDescent="0.2">
      <c r="A11891" s="12"/>
      <c r="B11891" s="13"/>
    </row>
    <row r="11892" spans="1:2" x14ac:dyDescent="0.2">
      <c r="A11892" s="12"/>
      <c r="B11892" s="13"/>
    </row>
    <row r="11893" spans="1:2" x14ac:dyDescent="0.2">
      <c r="A11893" s="12"/>
      <c r="B11893" s="13"/>
    </row>
    <row r="11894" spans="1:2" x14ac:dyDescent="0.2">
      <c r="A11894" s="12"/>
      <c r="B11894" s="13"/>
    </row>
    <row r="11895" spans="1:2" x14ac:dyDescent="0.2">
      <c r="A11895" s="12"/>
      <c r="B11895" s="13"/>
    </row>
    <row r="11896" spans="1:2" x14ac:dyDescent="0.2">
      <c r="A11896" s="12"/>
      <c r="B11896" s="13"/>
    </row>
    <row r="11897" spans="1:2" x14ac:dyDescent="0.2">
      <c r="A11897" s="12"/>
      <c r="B11897" s="13"/>
    </row>
    <row r="11898" spans="1:2" x14ac:dyDescent="0.2">
      <c r="A11898" s="12"/>
      <c r="B11898" s="13"/>
    </row>
    <row r="11899" spans="1:2" x14ac:dyDescent="0.2">
      <c r="A11899" s="12"/>
      <c r="B11899" s="13"/>
    </row>
    <row r="11900" spans="1:2" x14ac:dyDescent="0.2">
      <c r="A11900" s="12"/>
      <c r="B11900" s="13"/>
    </row>
    <row r="11901" spans="1:2" x14ac:dyDescent="0.2">
      <c r="A11901" s="12"/>
      <c r="B11901" s="13"/>
    </row>
    <row r="11902" spans="1:2" x14ac:dyDescent="0.2">
      <c r="A11902" s="12"/>
      <c r="B11902" s="13"/>
    </row>
    <row r="11903" spans="1:2" x14ac:dyDescent="0.2">
      <c r="A11903" s="12"/>
      <c r="B11903" s="13"/>
    </row>
    <row r="11904" spans="1:2" x14ac:dyDescent="0.2">
      <c r="A11904" s="12"/>
      <c r="B11904" s="13"/>
    </row>
    <row r="11905" spans="1:2" x14ac:dyDescent="0.2">
      <c r="A11905" s="12"/>
      <c r="B11905" s="13"/>
    </row>
    <row r="11906" spans="1:2" x14ac:dyDescent="0.2">
      <c r="A11906" s="12"/>
      <c r="B11906" s="13"/>
    </row>
    <row r="11907" spans="1:2" x14ac:dyDescent="0.2">
      <c r="A11907" s="12"/>
      <c r="B11907" s="13"/>
    </row>
    <row r="11908" spans="1:2" x14ac:dyDescent="0.2">
      <c r="A11908" s="12"/>
      <c r="B11908" s="13"/>
    </row>
    <row r="11909" spans="1:2" x14ac:dyDescent="0.2">
      <c r="A11909" s="12"/>
      <c r="B11909" s="13"/>
    </row>
    <row r="11910" spans="1:2" x14ac:dyDescent="0.2">
      <c r="A11910" s="12"/>
      <c r="B11910" s="13"/>
    </row>
    <row r="11911" spans="1:2" x14ac:dyDescent="0.2">
      <c r="A11911" s="12"/>
      <c r="B11911" s="13"/>
    </row>
    <row r="11912" spans="1:2" x14ac:dyDescent="0.2">
      <c r="A11912" s="12"/>
      <c r="B11912" s="13"/>
    </row>
    <row r="11913" spans="1:2" x14ac:dyDescent="0.2">
      <c r="A11913" s="12"/>
      <c r="B11913" s="13"/>
    </row>
    <row r="11914" spans="1:2" x14ac:dyDescent="0.2">
      <c r="A11914" s="12"/>
      <c r="B11914" s="13"/>
    </row>
    <row r="11915" spans="1:2" x14ac:dyDescent="0.2">
      <c r="A11915" s="12"/>
      <c r="B11915" s="13"/>
    </row>
    <row r="11916" spans="1:2" x14ac:dyDescent="0.2">
      <c r="A11916" s="12"/>
      <c r="B11916" s="13"/>
    </row>
    <row r="11917" spans="1:2" x14ac:dyDescent="0.2">
      <c r="A11917" s="12"/>
      <c r="B11917" s="13"/>
    </row>
    <row r="11918" spans="1:2" x14ac:dyDescent="0.2">
      <c r="A11918" s="12"/>
      <c r="B11918" s="13"/>
    </row>
    <row r="11919" spans="1:2" x14ac:dyDescent="0.2">
      <c r="A11919" s="12"/>
      <c r="B11919" s="13"/>
    </row>
    <row r="11920" spans="1:2" x14ac:dyDescent="0.2">
      <c r="A11920" s="12"/>
      <c r="B11920" s="13"/>
    </row>
    <row r="11921" spans="1:2" x14ac:dyDescent="0.2">
      <c r="A11921" s="12"/>
      <c r="B11921" s="13"/>
    </row>
    <row r="11922" spans="1:2" x14ac:dyDescent="0.2">
      <c r="A11922" s="12"/>
      <c r="B11922" s="13"/>
    </row>
    <row r="11923" spans="1:2" x14ac:dyDescent="0.2">
      <c r="A11923" s="12"/>
      <c r="B11923" s="13"/>
    </row>
    <row r="11924" spans="1:2" x14ac:dyDescent="0.2">
      <c r="A11924" s="12"/>
      <c r="B11924" s="13"/>
    </row>
    <row r="11925" spans="1:2" x14ac:dyDescent="0.2">
      <c r="A11925" s="12"/>
      <c r="B11925" s="13"/>
    </row>
    <row r="11926" spans="1:2" x14ac:dyDescent="0.2">
      <c r="A11926" s="12"/>
      <c r="B11926" s="13"/>
    </row>
    <row r="11927" spans="1:2" x14ac:dyDescent="0.2">
      <c r="A11927" s="12"/>
      <c r="B11927" s="13"/>
    </row>
    <row r="11928" spans="1:2" x14ac:dyDescent="0.2">
      <c r="A11928" s="12"/>
      <c r="B11928" s="13"/>
    </row>
    <row r="11929" spans="1:2" x14ac:dyDescent="0.2">
      <c r="A11929" s="12"/>
      <c r="B11929" s="13"/>
    </row>
    <row r="11930" spans="1:2" x14ac:dyDescent="0.2">
      <c r="A11930" s="12"/>
      <c r="B11930" s="13"/>
    </row>
    <row r="11931" spans="1:2" x14ac:dyDescent="0.2">
      <c r="A11931" s="12"/>
      <c r="B11931" s="13"/>
    </row>
    <row r="11932" spans="1:2" x14ac:dyDescent="0.2">
      <c r="A11932" s="12"/>
      <c r="B11932" s="13"/>
    </row>
    <row r="11933" spans="1:2" x14ac:dyDescent="0.2">
      <c r="A11933" s="12"/>
      <c r="B11933" s="13"/>
    </row>
    <row r="11934" spans="1:2" x14ac:dyDescent="0.2">
      <c r="A11934" s="12"/>
      <c r="B11934" s="13"/>
    </row>
    <row r="11935" spans="1:2" x14ac:dyDescent="0.2">
      <c r="A11935" s="12"/>
      <c r="B11935" s="13"/>
    </row>
    <row r="11936" spans="1:2" x14ac:dyDescent="0.2">
      <c r="A11936" s="12"/>
      <c r="B11936" s="13"/>
    </row>
    <row r="11937" spans="1:2" x14ac:dyDescent="0.2">
      <c r="A11937" s="12"/>
      <c r="B11937" s="13"/>
    </row>
    <row r="11938" spans="1:2" x14ac:dyDescent="0.2">
      <c r="A11938" s="12"/>
      <c r="B11938" s="13"/>
    </row>
    <row r="11939" spans="1:2" x14ac:dyDescent="0.2">
      <c r="A11939" s="12"/>
      <c r="B11939" s="13"/>
    </row>
    <row r="11940" spans="1:2" x14ac:dyDescent="0.2">
      <c r="A11940" s="12"/>
      <c r="B11940" s="13"/>
    </row>
    <row r="11941" spans="1:2" x14ac:dyDescent="0.2">
      <c r="A11941" s="12"/>
      <c r="B11941" s="13"/>
    </row>
    <row r="11942" spans="1:2" x14ac:dyDescent="0.2">
      <c r="A11942" s="12"/>
      <c r="B11942" s="13"/>
    </row>
    <row r="11943" spans="1:2" x14ac:dyDescent="0.2">
      <c r="A11943" s="12"/>
      <c r="B11943" s="13"/>
    </row>
    <row r="11944" spans="1:2" x14ac:dyDescent="0.2">
      <c r="A11944" s="12"/>
      <c r="B11944" s="13"/>
    </row>
    <row r="11945" spans="1:2" x14ac:dyDescent="0.2">
      <c r="A11945" s="12"/>
      <c r="B11945" s="13"/>
    </row>
    <row r="11946" spans="1:2" x14ac:dyDescent="0.2">
      <c r="A11946" s="12"/>
      <c r="B11946" s="13"/>
    </row>
    <row r="11947" spans="1:2" x14ac:dyDescent="0.2">
      <c r="A11947" s="12"/>
      <c r="B11947" s="13"/>
    </row>
    <row r="11948" spans="1:2" x14ac:dyDescent="0.2">
      <c r="A11948" s="12"/>
      <c r="B11948" s="13"/>
    </row>
    <row r="11949" spans="1:2" x14ac:dyDescent="0.2">
      <c r="A11949" s="12"/>
      <c r="B11949" s="13"/>
    </row>
    <row r="11950" spans="1:2" x14ac:dyDescent="0.2">
      <c r="A11950" s="12"/>
      <c r="B11950" s="13"/>
    </row>
    <row r="11951" spans="1:2" x14ac:dyDescent="0.2">
      <c r="A11951" s="12"/>
      <c r="B11951" s="13"/>
    </row>
    <row r="11952" spans="1:2" x14ac:dyDescent="0.2">
      <c r="A11952" s="12"/>
      <c r="B11952" s="13"/>
    </row>
    <row r="11953" spans="1:2" x14ac:dyDescent="0.2">
      <c r="A11953" s="12"/>
      <c r="B11953" s="13"/>
    </row>
    <row r="11954" spans="1:2" x14ac:dyDescent="0.2">
      <c r="A11954" s="12"/>
      <c r="B11954" s="13"/>
    </row>
    <row r="11955" spans="1:2" x14ac:dyDescent="0.2">
      <c r="A11955" s="12"/>
      <c r="B11955" s="13"/>
    </row>
    <row r="11956" spans="1:2" x14ac:dyDescent="0.2">
      <c r="A11956" s="12"/>
      <c r="B11956" s="13"/>
    </row>
    <row r="11957" spans="1:2" x14ac:dyDescent="0.2">
      <c r="A11957" s="12"/>
      <c r="B11957" s="13"/>
    </row>
    <row r="11958" spans="1:2" x14ac:dyDescent="0.2">
      <c r="A11958" s="12"/>
      <c r="B11958" s="13"/>
    </row>
    <row r="11959" spans="1:2" x14ac:dyDescent="0.2">
      <c r="A11959" s="12"/>
      <c r="B11959" s="13"/>
    </row>
    <row r="11960" spans="1:2" x14ac:dyDescent="0.2">
      <c r="A11960" s="12"/>
      <c r="B11960" s="13"/>
    </row>
    <row r="11961" spans="1:2" x14ac:dyDescent="0.2">
      <c r="A11961" s="12"/>
      <c r="B11961" s="13"/>
    </row>
    <row r="11962" spans="1:2" x14ac:dyDescent="0.2">
      <c r="A11962" s="12"/>
      <c r="B11962" s="13"/>
    </row>
    <row r="11963" spans="1:2" x14ac:dyDescent="0.2">
      <c r="A11963" s="12"/>
      <c r="B11963" s="13"/>
    </row>
    <row r="11964" spans="1:2" x14ac:dyDescent="0.2">
      <c r="A11964" s="12"/>
      <c r="B11964" s="13"/>
    </row>
    <row r="11965" spans="1:2" x14ac:dyDescent="0.2">
      <c r="A11965" s="12"/>
      <c r="B11965" s="13"/>
    </row>
    <row r="11966" spans="1:2" x14ac:dyDescent="0.2">
      <c r="A11966" s="12"/>
      <c r="B11966" s="13"/>
    </row>
    <row r="11967" spans="1:2" x14ac:dyDescent="0.2">
      <c r="A11967" s="12"/>
      <c r="B11967" s="13"/>
    </row>
    <row r="11968" spans="1:2" x14ac:dyDescent="0.2">
      <c r="A11968" s="12"/>
      <c r="B11968" s="13"/>
    </row>
    <row r="11969" spans="1:2" x14ac:dyDescent="0.2">
      <c r="A11969" s="12"/>
      <c r="B11969" s="13"/>
    </row>
    <row r="11970" spans="1:2" x14ac:dyDescent="0.2">
      <c r="A11970" s="12"/>
      <c r="B11970" s="13"/>
    </row>
    <row r="11971" spans="1:2" x14ac:dyDescent="0.2">
      <c r="A11971" s="12"/>
      <c r="B11971" s="13"/>
    </row>
    <row r="11972" spans="1:2" x14ac:dyDescent="0.2">
      <c r="A11972" s="12"/>
      <c r="B11972" s="13"/>
    </row>
    <row r="11973" spans="1:2" x14ac:dyDescent="0.2">
      <c r="A11973" s="12"/>
      <c r="B11973" s="13"/>
    </row>
    <row r="11974" spans="1:2" x14ac:dyDescent="0.2">
      <c r="A11974" s="12"/>
      <c r="B11974" s="13"/>
    </row>
    <row r="11975" spans="1:2" x14ac:dyDescent="0.2">
      <c r="A11975" s="12"/>
      <c r="B11975" s="13"/>
    </row>
    <row r="11976" spans="1:2" x14ac:dyDescent="0.2">
      <c r="A11976" s="12"/>
      <c r="B11976" s="13"/>
    </row>
    <row r="11977" spans="1:2" x14ac:dyDescent="0.2">
      <c r="A11977" s="12"/>
      <c r="B11977" s="13"/>
    </row>
    <row r="11978" spans="1:2" x14ac:dyDescent="0.2">
      <c r="A11978" s="12"/>
      <c r="B11978" s="13"/>
    </row>
    <row r="11979" spans="1:2" x14ac:dyDescent="0.2">
      <c r="A11979" s="12"/>
      <c r="B11979" s="13"/>
    </row>
    <row r="11980" spans="1:2" x14ac:dyDescent="0.2">
      <c r="A11980" s="12"/>
      <c r="B11980" s="13"/>
    </row>
    <row r="11981" spans="1:2" x14ac:dyDescent="0.2">
      <c r="A11981" s="12"/>
      <c r="B11981" s="13"/>
    </row>
    <row r="11982" spans="1:2" x14ac:dyDescent="0.2">
      <c r="A11982" s="12"/>
      <c r="B11982" s="13"/>
    </row>
    <row r="11983" spans="1:2" x14ac:dyDescent="0.2">
      <c r="A11983" s="12"/>
      <c r="B11983" s="13"/>
    </row>
    <row r="11984" spans="1:2" x14ac:dyDescent="0.2">
      <c r="A11984" s="12"/>
      <c r="B11984" s="13"/>
    </row>
    <row r="11985" spans="1:2" x14ac:dyDescent="0.2">
      <c r="A11985" s="12"/>
      <c r="B11985" s="13"/>
    </row>
    <row r="11986" spans="1:2" x14ac:dyDescent="0.2">
      <c r="A11986" s="12"/>
      <c r="B11986" s="13"/>
    </row>
    <row r="11987" spans="1:2" x14ac:dyDescent="0.2">
      <c r="A11987" s="12"/>
      <c r="B11987" s="13"/>
    </row>
    <row r="11988" spans="1:2" x14ac:dyDescent="0.2">
      <c r="A11988" s="12"/>
      <c r="B11988" s="13"/>
    </row>
    <row r="11989" spans="1:2" x14ac:dyDescent="0.2">
      <c r="A11989" s="12"/>
      <c r="B11989" s="13"/>
    </row>
    <row r="11990" spans="1:2" x14ac:dyDescent="0.2">
      <c r="A11990" s="12"/>
      <c r="B11990" s="13"/>
    </row>
    <row r="11991" spans="1:2" x14ac:dyDescent="0.2">
      <c r="A11991" s="12"/>
      <c r="B11991" s="13"/>
    </row>
    <row r="11992" spans="1:2" x14ac:dyDescent="0.2">
      <c r="A11992" s="12"/>
      <c r="B11992" s="13"/>
    </row>
    <row r="11993" spans="1:2" x14ac:dyDescent="0.2">
      <c r="A11993" s="12"/>
      <c r="B11993" s="13"/>
    </row>
    <row r="11994" spans="1:2" x14ac:dyDescent="0.2">
      <c r="A11994" s="12"/>
      <c r="B11994" s="13"/>
    </row>
    <row r="11995" spans="1:2" x14ac:dyDescent="0.2">
      <c r="A11995" s="12"/>
      <c r="B11995" s="13"/>
    </row>
    <row r="11996" spans="1:2" x14ac:dyDescent="0.2">
      <c r="A11996" s="12"/>
      <c r="B11996" s="13"/>
    </row>
    <row r="11997" spans="1:2" x14ac:dyDescent="0.2">
      <c r="A11997" s="12"/>
      <c r="B11997" s="13"/>
    </row>
    <row r="11998" spans="1:2" x14ac:dyDescent="0.2">
      <c r="A11998" s="12"/>
      <c r="B11998" s="13"/>
    </row>
    <row r="11999" spans="1:2" x14ac:dyDescent="0.2">
      <c r="A11999" s="12"/>
      <c r="B11999" s="13"/>
    </row>
    <row r="12000" spans="1:2" x14ac:dyDescent="0.2">
      <c r="A12000" s="12"/>
      <c r="B12000" s="13"/>
    </row>
    <row r="12001" spans="1:2" x14ac:dyDescent="0.2">
      <c r="A12001" s="12"/>
      <c r="B12001" s="13"/>
    </row>
    <row r="12002" spans="1:2" x14ac:dyDescent="0.2">
      <c r="A12002" s="12"/>
      <c r="B12002" s="13"/>
    </row>
    <row r="12003" spans="1:2" x14ac:dyDescent="0.2">
      <c r="A12003" s="12"/>
      <c r="B12003" s="13"/>
    </row>
    <row r="12004" spans="1:2" x14ac:dyDescent="0.2">
      <c r="A12004" s="12"/>
      <c r="B12004" s="13"/>
    </row>
    <row r="12005" spans="1:2" x14ac:dyDescent="0.2">
      <c r="A12005" s="12"/>
      <c r="B12005" s="13"/>
    </row>
    <row r="12006" spans="1:2" x14ac:dyDescent="0.2">
      <c r="A12006" s="12"/>
      <c r="B12006" s="13"/>
    </row>
    <row r="12007" spans="1:2" x14ac:dyDescent="0.2">
      <c r="A12007" s="12"/>
      <c r="B12007" s="13"/>
    </row>
    <row r="12008" spans="1:2" x14ac:dyDescent="0.2">
      <c r="A12008" s="12"/>
      <c r="B12008" s="13"/>
    </row>
    <row r="12009" spans="1:2" x14ac:dyDescent="0.2">
      <c r="A12009" s="12"/>
      <c r="B12009" s="13"/>
    </row>
    <row r="12010" spans="1:2" x14ac:dyDescent="0.2">
      <c r="A12010" s="12"/>
      <c r="B12010" s="13"/>
    </row>
    <row r="12011" spans="1:2" x14ac:dyDescent="0.2">
      <c r="A12011" s="12"/>
      <c r="B12011" s="13"/>
    </row>
    <row r="12012" spans="1:2" x14ac:dyDescent="0.2">
      <c r="A12012" s="12"/>
      <c r="B12012" s="13"/>
    </row>
    <row r="12013" spans="1:2" x14ac:dyDescent="0.2">
      <c r="A12013" s="12"/>
      <c r="B12013" s="13"/>
    </row>
    <row r="12014" spans="1:2" x14ac:dyDescent="0.2">
      <c r="A12014" s="12"/>
      <c r="B12014" s="13"/>
    </row>
    <row r="12015" spans="1:2" x14ac:dyDescent="0.2">
      <c r="A12015" s="12"/>
      <c r="B12015" s="13"/>
    </row>
    <row r="12016" spans="1:2" x14ac:dyDescent="0.2">
      <c r="A12016" s="12"/>
      <c r="B12016" s="13"/>
    </row>
    <row r="12017" spans="1:2" x14ac:dyDescent="0.2">
      <c r="A12017" s="12"/>
      <c r="B12017" s="13"/>
    </row>
    <row r="12018" spans="1:2" x14ac:dyDescent="0.2">
      <c r="A12018" s="12"/>
      <c r="B12018" s="13"/>
    </row>
    <row r="12019" spans="1:2" x14ac:dyDescent="0.2">
      <c r="A12019" s="12"/>
      <c r="B12019" s="13"/>
    </row>
    <row r="12020" spans="1:2" x14ac:dyDescent="0.2">
      <c r="A12020" s="12"/>
      <c r="B12020" s="13"/>
    </row>
    <row r="12021" spans="1:2" x14ac:dyDescent="0.2">
      <c r="A12021" s="12"/>
      <c r="B12021" s="13"/>
    </row>
    <row r="12022" spans="1:2" x14ac:dyDescent="0.2">
      <c r="A12022" s="12"/>
      <c r="B12022" s="13"/>
    </row>
    <row r="12023" spans="1:2" x14ac:dyDescent="0.2">
      <c r="A12023" s="12"/>
      <c r="B12023" s="13"/>
    </row>
    <row r="12024" spans="1:2" x14ac:dyDescent="0.2">
      <c r="A12024" s="12"/>
      <c r="B12024" s="13"/>
    </row>
    <row r="12025" spans="1:2" x14ac:dyDescent="0.2">
      <c r="A12025" s="12"/>
      <c r="B12025" s="13"/>
    </row>
    <row r="12026" spans="1:2" x14ac:dyDescent="0.2">
      <c r="A12026" s="12"/>
      <c r="B12026" s="13"/>
    </row>
    <row r="12027" spans="1:2" x14ac:dyDescent="0.2">
      <c r="A12027" s="12"/>
      <c r="B12027" s="13"/>
    </row>
    <row r="12028" spans="1:2" x14ac:dyDescent="0.2">
      <c r="A12028" s="12"/>
      <c r="B12028" s="13"/>
    </row>
    <row r="12029" spans="1:2" x14ac:dyDescent="0.2">
      <c r="A12029" s="12"/>
      <c r="B12029" s="13"/>
    </row>
    <row r="12030" spans="1:2" x14ac:dyDescent="0.2">
      <c r="A12030" s="12"/>
      <c r="B12030" s="13"/>
    </row>
    <row r="12031" spans="1:2" x14ac:dyDescent="0.2">
      <c r="A12031" s="12"/>
      <c r="B12031" s="13"/>
    </row>
    <row r="12032" spans="1:2" x14ac:dyDescent="0.2">
      <c r="A12032" s="12"/>
      <c r="B12032" s="13"/>
    </row>
    <row r="12033" spans="1:2" x14ac:dyDescent="0.2">
      <c r="A12033" s="12"/>
      <c r="B12033" s="13"/>
    </row>
    <row r="12034" spans="1:2" x14ac:dyDescent="0.2">
      <c r="A12034" s="12"/>
      <c r="B12034" s="13"/>
    </row>
    <row r="12035" spans="1:2" x14ac:dyDescent="0.2">
      <c r="A12035" s="12"/>
      <c r="B12035" s="13"/>
    </row>
    <row r="12036" spans="1:2" x14ac:dyDescent="0.2">
      <c r="A12036" s="12"/>
      <c r="B12036" s="13"/>
    </row>
    <row r="12037" spans="1:2" x14ac:dyDescent="0.2">
      <c r="A12037" s="12"/>
      <c r="B12037" s="13"/>
    </row>
    <row r="12038" spans="1:2" x14ac:dyDescent="0.2">
      <c r="A12038" s="12"/>
      <c r="B12038" s="13"/>
    </row>
    <row r="12039" spans="1:2" x14ac:dyDescent="0.2">
      <c r="A12039" s="12"/>
      <c r="B12039" s="13"/>
    </row>
    <row r="12040" spans="1:2" x14ac:dyDescent="0.2">
      <c r="A12040" s="12"/>
      <c r="B12040" s="13"/>
    </row>
    <row r="12041" spans="1:2" x14ac:dyDescent="0.2">
      <c r="A12041" s="12"/>
      <c r="B12041" s="13"/>
    </row>
    <row r="12042" spans="1:2" x14ac:dyDescent="0.2">
      <c r="A12042" s="12"/>
      <c r="B12042" s="13"/>
    </row>
    <row r="12043" spans="1:2" x14ac:dyDescent="0.2">
      <c r="A12043" s="12"/>
      <c r="B12043" s="13"/>
    </row>
    <row r="12044" spans="1:2" x14ac:dyDescent="0.2">
      <c r="A12044" s="12"/>
      <c r="B12044" s="13"/>
    </row>
    <row r="12045" spans="1:2" x14ac:dyDescent="0.2">
      <c r="A12045" s="12"/>
      <c r="B12045" s="13"/>
    </row>
    <row r="12046" spans="1:2" x14ac:dyDescent="0.2">
      <c r="A12046" s="12"/>
      <c r="B12046" s="13"/>
    </row>
    <row r="12047" spans="1:2" x14ac:dyDescent="0.2">
      <c r="A12047" s="12"/>
      <c r="B12047" s="13"/>
    </row>
    <row r="12048" spans="1:2" x14ac:dyDescent="0.2">
      <c r="A12048" s="12"/>
      <c r="B12048" s="13"/>
    </row>
    <row r="12049" spans="1:2" x14ac:dyDescent="0.2">
      <c r="A12049" s="12"/>
      <c r="B12049" s="13"/>
    </row>
    <row r="12050" spans="1:2" x14ac:dyDescent="0.2">
      <c r="A12050" s="12"/>
      <c r="B12050" s="13"/>
    </row>
    <row r="12051" spans="1:2" x14ac:dyDescent="0.2">
      <c r="A12051" s="12"/>
      <c r="B12051" s="13"/>
    </row>
    <row r="12052" spans="1:2" x14ac:dyDescent="0.2">
      <c r="A12052" s="12"/>
      <c r="B12052" s="13"/>
    </row>
    <row r="12053" spans="1:2" x14ac:dyDescent="0.2">
      <c r="A12053" s="12"/>
      <c r="B12053" s="13"/>
    </row>
    <row r="12054" spans="1:2" x14ac:dyDescent="0.2">
      <c r="A12054" s="12"/>
      <c r="B12054" s="13"/>
    </row>
    <row r="12055" spans="1:2" x14ac:dyDescent="0.2">
      <c r="A12055" s="12"/>
      <c r="B12055" s="13"/>
    </row>
    <row r="12056" spans="1:2" x14ac:dyDescent="0.2">
      <c r="A12056" s="12"/>
      <c r="B12056" s="13"/>
    </row>
    <row r="12057" spans="1:2" x14ac:dyDescent="0.2">
      <c r="A12057" s="12"/>
      <c r="B12057" s="13"/>
    </row>
    <row r="12058" spans="1:2" x14ac:dyDescent="0.2">
      <c r="A12058" s="12"/>
      <c r="B12058" s="13"/>
    </row>
    <row r="12059" spans="1:2" x14ac:dyDescent="0.2">
      <c r="A12059" s="12"/>
      <c r="B12059" s="13"/>
    </row>
    <row r="12060" spans="1:2" x14ac:dyDescent="0.2">
      <c r="A12060" s="12"/>
      <c r="B12060" s="13"/>
    </row>
    <row r="12061" spans="1:2" x14ac:dyDescent="0.2">
      <c r="A12061" s="12"/>
      <c r="B12061" s="13"/>
    </row>
    <row r="12062" spans="1:2" x14ac:dyDescent="0.2">
      <c r="A12062" s="12"/>
      <c r="B12062" s="13"/>
    </row>
    <row r="12063" spans="1:2" x14ac:dyDescent="0.2">
      <c r="A12063" s="12"/>
      <c r="B12063" s="13"/>
    </row>
    <row r="12064" spans="1:2" x14ac:dyDescent="0.2">
      <c r="A12064" s="12"/>
      <c r="B12064" s="13"/>
    </row>
    <row r="12065" spans="1:2" x14ac:dyDescent="0.2">
      <c r="A12065" s="12"/>
      <c r="B12065" s="13"/>
    </row>
    <row r="12066" spans="1:2" x14ac:dyDescent="0.2">
      <c r="A12066" s="12"/>
      <c r="B12066" s="13"/>
    </row>
    <row r="12067" spans="1:2" x14ac:dyDescent="0.2">
      <c r="A12067" s="12"/>
      <c r="B12067" s="13"/>
    </row>
    <row r="12068" spans="1:2" x14ac:dyDescent="0.2">
      <c r="A12068" s="12"/>
      <c r="B12068" s="13"/>
    </row>
    <row r="12069" spans="1:2" x14ac:dyDescent="0.2">
      <c r="A12069" s="12"/>
      <c r="B12069" s="13"/>
    </row>
    <row r="12070" spans="1:2" x14ac:dyDescent="0.2">
      <c r="A12070" s="12"/>
      <c r="B12070" s="13"/>
    </row>
    <row r="12071" spans="1:2" x14ac:dyDescent="0.2">
      <c r="A12071" s="12"/>
      <c r="B12071" s="13"/>
    </row>
    <row r="12072" spans="1:2" x14ac:dyDescent="0.2">
      <c r="A12072" s="12"/>
      <c r="B12072" s="13"/>
    </row>
    <row r="12073" spans="1:2" x14ac:dyDescent="0.2">
      <c r="A12073" s="12"/>
      <c r="B12073" s="13"/>
    </row>
    <row r="12074" spans="1:2" x14ac:dyDescent="0.2">
      <c r="A12074" s="12"/>
      <c r="B12074" s="13"/>
    </row>
    <row r="12075" spans="1:2" x14ac:dyDescent="0.2">
      <c r="A12075" s="12"/>
      <c r="B12075" s="13"/>
    </row>
    <row r="12076" spans="1:2" x14ac:dyDescent="0.2">
      <c r="A12076" s="12"/>
      <c r="B12076" s="13"/>
    </row>
    <row r="12077" spans="1:2" x14ac:dyDescent="0.2">
      <c r="A12077" s="12"/>
      <c r="B12077" s="13"/>
    </row>
    <row r="12078" spans="1:2" x14ac:dyDescent="0.2">
      <c r="A12078" s="12"/>
      <c r="B12078" s="13"/>
    </row>
    <row r="12079" spans="1:2" x14ac:dyDescent="0.2">
      <c r="A12079" s="12"/>
      <c r="B12079" s="13"/>
    </row>
    <row r="12080" spans="1:2" x14ac:dyDescent="0.2">
      <c r="A12080" s="12"/>
      <c r="B12080" s="13"/>
    </row>
    <row r="12081" spans="1:2" x14ac:dyDescent="0.2">
      <c r="A12081" s="12"/>
      <c r="B12081" s="13"/>
    </row>
    <row r="12082" spans="1:2" x14ac:dyDescent="0.2">
      <c r="A12082" s="12"/>
      <c r="B12082" s="13"/>
    </row>
    <row r="12083" spans="1:2" x14ac:dyDescent="0.2">
      <c r="A12083" s="12"/>
      <c r="B12083" s="13"/>
    </row>
    <row r="12084" spans="1:2" x14ac:dyDescent="0.2">
      <c r="A12084" s="12"/>
      <c r="B12084" s="13"/>
    </row>
    <row r="12085" spans="1:2" x14ac:dyDescent="0.2">
      <c r="A12085" s="12"/>
      <c r="B12085" s="13"/>
    </row>
    <row r="12086" spans="1:2" x14ac:dyDescent="0.2">
      <c r="A12086" s="12"/>
      <c r="B12086" s="13"/>
    </row>
    <row r="12087" spans="1:2" x14ac:dyDescent="0.2">
      <c r="A12087" s="12"/>
      <c r="B12087" s="13"/>
    </row>
    <row r="12088" spans="1:2" x14ac:dyDescent="0.2">
      <c r="A12088" s="12"/>
      <c r="B12088" s="13"/>
    </row>
    <row r="12089" spans="1:2" x14ac:dyDescent="0.2">
      <c r="A12089" s="12"/>
      <c r="B12089" s="13"/>
    </row>
    <row r="12090" spans="1:2" x14ac:dyDescent="0.2">
      <c r="A12090" s="12"/>
      <c r="B12090" s="13"/>
    </row>
    <row r="12091" spans="1:2" x14ac:dyDescent="0.2">
      <c r="A12091" s="12"/>
      <c r="B12091" s="13"/>
    </row>
    <row r="12092" spans="1:2" x14ac:dyDescent="0.2">
      <c r="A12092" s="12"/>
      <c r="B12092" s="13"/>
    </row>
    <row r="12093" spans="1:2" x14ac:dyDescent="0.2">
      <c r="A12093" s="12"/>
      <c r="B12093" s="13"/>
    </row>
    <row r="12094" spans="1:2" x14ac:dyDescent="0.2">
      <c r="A12094" s="12"/>
      <c r="B12094" s="13"/>
    </row>
    <row r="12095" spans="1:2" x14ac:dyDescent="0.2">
      <c r="A12095" s="12"/>
      <c r="B12095" s="13"/>
    </row>
    <row r="12096" spans="1:2" x14ac:dyDescent="0.2">
      <c r="A12096" s="12"/>
      <c r="B12096" s="13"/>
    </row>
    <row r="12097" spans="1:2" x14ac:dyDescent="0.2">
      <c r="A12097" s="12"/>
      <c r="B12097" s="13"/>
    </row>
    <row r="12098" spans="1:2" x14ac:dyDescent="0.2">
      <c r="A12098" s="12"/>
      <c r="B12098" s="13"/>
    </row>
    <row r="12099" spans="1:2" x14ac:dyDescent="0.2">
      <c r="A12099" s="12"/>
      <c r="B12099" s="13"/>
    </row>
    <row r="12100" spans="1:2" x14ac:dyDescent="0.2">
      <c r="A12100" s="12"/>
      <c r="B12100" s="13"/>
    </row>
    <row r="12101" spans="1:2" x14ac:dyDescent="0.2">
      <c r="A12101" s="12"/>
      <c r="B12101" s="13"/>
    </row>
    <row r="12102" spans="1:2" x14ac:dyDescent="0.2">
      <c r="A12102" s="12"/>
      <c r="B12102" s="13"/>
    </row>
    <row r="12103" spans="1:2" x14ac:dyDescent="0.2">
      <c r="A12103" s="12"/>
      <c r="B12103" s="13"/>
    </row>
    <row r="12104" spans="1:2" x14ac:dyDescent="0.2">
      <c r="A12104" s="12"/>
      <c r="B12104" s="13"/>
    </row>
    <row r="12105" spans="1:2" x14ac:dyDescent="0.2">
      <c r="A12105" s="12"/>
      <c r="B12105" s="13"/>
    </row>
    <row r="12106" spans="1:2" x14ac:dyDescent="0.2">
      <c r="A12106" s="12"/>
      <c r="B12106" s="13"/>
    </row>
    <row r="12107" spans="1:2" x14ac:dyDescent="0.2">
      <c r="A12107" s="12"/>
      <c r="B12107" s="13"/>
    </row>
    <row r="12108" spans="1:2" x14ac:dyDescent="0.2">
      <c r="A12108" s="12"/>
      <c r="B12108" s="13"/>
    </row>
    <row r="12109" spans="1:2" x14ac:dyDescent="0.2">
      <c r="A12109" s="12"/>
      <c r="B12109" s="13"/>
    </row>
    <row r="12110" spans="1:2" x14ac:dyDescent="0.2">
      <c r="A12110" s="12"/>
      <c r="B12110" s="13"/>
    </row>
    <row r="12111" spans="1:2" x14ac:dyDescent="0.2">
      <c r="A12111" s="12"/>
      <c r="B12111" s="13"/>
    </row>
    <row r="12112" spans="1:2" x14ac:dyDescent="0.2">
      <c r="A12112" s="12"/>
      <c r="B12112" s="13"/>
    </row>
    <row r="12113" spans="1:2" x14ac:dyDescent="0.2">
      <c r="A12113" s="12"/>
      <c r="B12113" s="13"/>
    </row>
    <row r="12114" spans="1:2" x14ac:dyDescent="0.2">
      <c r="A12114" s="12"/>
      <c r="B12114" s="13"/>
    </row>
    <row r="12115" spans="1:2" x14ac:dyDescent="0.2">
      <c r="A12115" s="12"/>
      <c r="B12115" s="13"/>
    </row>
    <row r="12116" spans="1:2" x14ac:dyDescent="0.2">
      <c r="A12116" s="12"/>
      <c r="B12116" s="13"/>
    </row>
    <row r="12117" spans="1:2" x14ac:dyDescent="0.2">
      <c r="A12117" s="12"/>
      <c r="B12117" s="13"/>
    </row>
    <row r="12118" spans="1:2" x14ac:dyDescent="0.2">
      <c r="A12118" s="12"/>
      <c r="B12118" s="13"/>
    </row>
    <row r="12119" spans="1:2" x14ac:dyDescent="0.2">
      <c r="A12119" s="12"/>
      <c r="B12119" s="13"/>
    </row>
    <row r="12120" spans="1:2" x14ac:dyDescent="0.2">
      <c r="A12120" s="12"/>
      <c r="B12120" s="13"/>
    </row>
    <row r="12121" spans="1:2" x14ac:dyDescent="0.2">
      <c r="A12121" s="12"/>
      <c r="B12121" s="13"/>
    </row>
    <row r="12122" spans="1:2" x14ac:dyDescent="0.2">
      <c r="A12122" s="12"/>
      <c r="B12122" s="13"/>
    </row>
    <row r="12123" spans="1:2" x14ac:dyDescent="0.2">
      <c r="A12123" s="12"/>
      <c r="B12123" s="13"/>
    </row>
    <row r="12124" spans="1:2" x14ac:dyDescent="0.2">
      <c r="A12124" s="12"/>
      <c r="B12124" s="13"/>
    </row>
    <row r="12125" spans="1:2" x14ac:dyDescent="0.2">
      <c r="A12125" s="12"/>
      <c r="B12125" s="13"/>
    </row>
    <row r="12126" spans="1:2" x14ac:dyDescent="0.2">
      <c r="A12126" s="12"/>
      <c r="B12126" s="13"/>
    </row>
    <row r="12127" spans="1:2" x14ac:dyDescent="0.2">
      <c r="A12127" s="12"/>
      <c r="B12127" s="13"/>
    </row>
    <row r="12128" spans="1:2" x14ac:dyDescent="0.2">
      <c r="A12128" s="12"/>
      <c r="B12128" s="13"/>
    </row>
    <row r="12129" spans="1:2" x14ac:dyDescent="0.2">
      <c r="A12129" s="12"/>
      <c r="B12129" s="13"/>
    </row>
    <row r="12130" spans="1:2" x14ac:dyDescent="0.2">
      <c r="A12130" s="12"/>
      <c r="B12130" s="13"/>
    </row>
    <row r="12131" spans="1:2" x14ac:dyDescent="0.2">
      <c r="A12131" s="12"/>
      <c r="B12131" s="13"/>
    </row>
    <row r="12132" spans="1:2" x14ac:dyDescent="0.2">
      <c r="A12132" s="12"/>
      <c r="B12132" s="13"/>
    </row>
    <row r="12133" spans="1:2" x14ac:dyDescent="0.2">
      <c r="A12133" s="12"/>
      <c r="B12133" s="13"/>
    </row>
    <row r="12134" spans="1:2" x14ac:dyDescent="0.2">
      <c r="A12134" s="12"/>
      <c r="B12134" s="13"/>
    </row>
    <row r="12135" spans="1:2" x14ac:dyDescent="0.2">
      <c r="A12135" s="12"/>
      <c r="B12135" s="13"/>
    </row>
    <row r="12136" spans="1:2" x14ac:dyDescent="0.2">
      <c r="A12136" s="12"/>
      <c r="B12136" s="13"/>
    </row>
    <row r="12137" spans="1:2" x14ac:dyDescent="0.2">
      <c r="A12137" s="12"/>
      <c r="B12137" s="13"/>
    </row>
    <row r="12138" spans="1:2" x14ac:dyDescent="0.2">
      <c r="A12138" s="12"/>
      <c r="B12138" s="13"/>
    </row>
    <row r="12139" spans="1:2" x14ac:dyDescent="0.2">
      <c r="A12139" s="12"/>
      <c r="B12139" s="13"/>
    </row>
    <row r="12140" spans="1:2" x14ac:dyDescent="0.2">
      <c r="A12140" s="12"/>
      <c r="B12140" s="13"/>
    </row>
    <row r="12141" spans="1:2" x14ac:dyDescent="0.2">
      <c r="A12141" s="12"/>
      <c r="B12141" s="13"/>
    </row>
    <row r="12142" spans="1:2" x14ac:dyDescent="0.2">
      <c r="A12142" s="12"/>
      <c r="B12142" s="13"/>
    </row>
    <row r="12143" spans="1:2" x14ac:dyDescent="0.2">
      <c r="A12143" s="12"/>
      <c r="B12143" s="13"/>
    </row>
    <row r="12144" spans="1:2" x14ac:dyDescent="0.2">
      <c r="A12144" s="12"/>
      <c r="B12144" s="13"/>
    </row>
    <row r="12145" spans="1:2" x14ac:dyDescent="0.2">
      <c r="A12145" s="12"/>
      <c r="B12145" s="13"/>
    </row>
    <row r="12146" spans="1:2" x14ac:dyDescent="0.2">
      <c r="A12146" s="12"/>
      <c r="B12146" s="13"/>
    </row>
    <row r="12147" spans="1:2" x14ac:dyDescent="0.2">
      <c r="A12147" s="12"/>
      <c r="B12147" s="13"/>
    </row>
    <row r="12148" spans="1:2" x14ac:dyDescent="0.2">
      <c r="A12148" s="12"/>
      <c r="B12148" s="13"/>
    </row>
    <row r="12149" spans="1:2" x14ac:dyDescent="0.2">
      <c r="A12149" s="12"/>
      <c r="B12149" s="13"/>
    </row>
    <row r="12150" spans="1:2" x14ac:dyDescent="0.2">
      <c r="A12150" s="12"/>
      <c r="B12150" s="13"/>
    </row>
    <row r="12151" spans="1:2" x14ac:dyDescent="0.2">
      <c r="A12151" s="12"/>
      <c r="B12151" s="13"/>
    </row>
    <row r="12152" spans="1:2" x14ac:dyDescent="0.2">
      <c r="A12152" s="12"/>
      <c r="B12152" s="13"/>
    </row>
    <row r="12153" spans="1:2" x14ac:dyDescent="0.2">
      <c r="A12153" s="12"/>
      <c r="B12153" s="13"/>
    </row>
    <row r="12154" spans="1:2" x14ac:dyDescent="0.2">
      <c r="A12154" s="12"/>
      <c r="B12154" s="13"/>
    </row>
    <row r="12155" spans="1:2" x14ac:dyDescent="0.2">
      <c r="A12155" s="12"/>
      <c r="B12155" s="13"/>
    </row>
    <row r="12156" spans="1:2" x14ac:dyDescent="0.2">
      <c r="A12156" s="12"/>
      <c r="B12156" s="13"/>
    </row>
    <row r="12157" spans="1:2" x14ac:dyDescent="0.2">
      <c r="A12157" s="12"/>
      <c r="B12157" s="13"/>
    </row>
    <row r="12158" spans="1:2" x14ac:dyDescent="0.2">
      <c r="A12158" s="12"/>
      <c r="B12158" s="13"/>
    </row>
    <row r="12159" spans="1:2" x14ac:dyDescent="0.2">
      <c r="A12159" s="12"/>
      <c r="B12159" s="13"/>
    </row>
    <row r="12160" spans="1:2" x14ac:dyDescent="0.2">
      <c r="A12160" s="12"/>
      <c r="B12160" s="13"/>
    </row>
    <row r="12161" spans="1:2" x14ac:dyDescent="0.2">
      <c r="A12161" s="12"/>
      <c r="B12161" s="13"/>
    </row>
    <row r="12162" spans="1:2" x14ac:dyDescent="0.2">
      <c r="A12162" s="12"/>
      <c r="B12162" s="13"/>
    </row>
    <row r="12163" spans="1:2" x14ac:dyDescent="0.2">
      <c r="A12163" s="12"/>
      <c r="B12163" s="13"/>
    </row>
    <row r="12164" spans="1:2" x14ac:dyDescent="0.2">
      <c r="A12164" s="12"/>
      <c r="B12164" s="13"/>
    </row>
    <row r="12165" spans="1:2" x14ac:dyDescent="0.2">
      <c r="A12165" s="12"/>
      <c r="B12165" s="13"/>
    </row>
    <row r="12166" spans="1:2" x14ac:dyDescent="0.2">
      <c r="A12166" s="12"/>
      <c r="B12166" s="13"/>
    </row>
    <row r="12167" spans="1:2" x14ac:dyDescent="0.2">
      <c r="A12167" s="12"/>
      <c r="B12167" s="13"/>
    </row>
    <row r="12168" spans="1:2" x14ac:dyDescent="0.2">
      <c r="A12168" s="12"/>
      <c r="B12168" s="13"/>
    </row>
    <row r="12169" spans="1:2" x14ac:dyDescent="0.2">
      <c r="A12169" s="12"/>
      <c r="B12169" s="13"/>
    </row>
    <row r="12170" spans="1:2" x14ac:dyDescent="0.2">
      <c r="A12170" s="12"/>
      <c r="B12170" s="13"/>
    </row>
    <row r="12171" spans="1:2" x14ac:dyDescent="0.2">
      <c r="A12171" s="12"/>
      <c r="B12171" s="13"/>
    </row>
    <row r="12172" spans="1:2" x14ac:dyDescent="0.2">
      <c r="A12172" s="12"/>
      <c r="B12172" s="13"/>
    </row>
    <row r="12173" spans="1:2" x14ac:dyDescent="0.2">
      <c r="A12173" s="12"/>
      <c r="B12173" s="13"/>
    </row>
    <row r="12174" spans="1:2" x14ac:dyDescent="0.2">
      <c r="A12174" s="12"/>
      <c r="B12174" s="13"/>
    </row>
    <row r="12175" spans="1:2" x14ac:dyDescent="0.2">
      <c r="A12175" s="12"/>
      <c r="B12175" s="13"/>
    </row>
    <row r="12176" spans="1:2" x14ac:dyDescent="0.2">
      <c r="A12176" s="12"/>
      <c r="B12176" s="13"/>
    </row>
    <row r="12177" spans="1:2" x14ac:dyDescent="0.2">
      <c r="A12177" s="12"/>
      <c r="B12177" s="13"/>
    </row>
    <row r="12178" spans="1:2" x14ac:dyDescent="0.2">
      <c r="A12178" s="12"/>
      <c r="B12178" s="13"/>
    </row>
    <row r="12179" spans="1:2" x14ac:dyDescent="0.2">
      <c r="A12179" s="12"/>
      <c r="B12179" s="13"/>
    </row>
    <row r="12180" spans="1:2" x14ac:dyDescent="0.2">
      <c r="A12180" s="12"/>
      <c r="B12180" s="13"/>
    </row>
    <row r="12181" spans="1:2" x14ac:dyDescent="0.2">
      <c r="A12181" s="12"/>
      <c r="B12181" s="13"/>
    </row>
    <row r="12182" spans="1:2" x14ac:dyDescent="0.2">
      <c r="A12182" s="12"/>
      <c r="B12182" s="13"/>
    </row>
    <row r="12183" spans="1:2" x14ac:dyDescent="0.2">
      <c r="A12183" s="12"/>
      <c r="B12183" s="13"/>
    </row>
    <row r="12184" spans="1:2" x14ac:dyDescent="0.2">
      <c r="A12184" s="12"/>
      <c r="B12184" s="13"/>
    </row>
    <row r="12185" spans="1:2" x14ac:dyDescent="0.2">
      <c r="A12185" s="12"/>
      <c r="B12185" s="13"/>
    </row>
    <row r="12186" spans="1:2" x14ac:dyDescent="0.2">
      <c r="A12186" s="12"/>
      <c r="B12186" s="13"/>
    </row>
    <row r="12187" spans="1:2" x14ac:dyDescent="0.2">
      <c r="A12187" s="12"/>
      <c r="B12187" s="13"/>
    </row>
    <row r="12188" spans="1:2" x14ac:dyDescent="0.2">
      <c r="A12188" s="12"/>
      <c r="B12188" s="13"/>
    </row>
    <row r="12189" spans="1:2" x14ac:dyDescent="0.2">
      <c r="A12189" s="12"/>
      <c r="B12189" s="13"/>
    </row>
    <row r="12190" spans="1:2" x14ac:dyDescent="0.2">
      <c r="A12190" s="12"/>
      <c r="B12190" s="13"/>
    </row>
    <row r="12191" spans="1:2" x14ac:dyDescent="0.2">
      <c r="A12191" s="12"/>
      <c r="B12191" s="13"/>
    </row>
    <row r="12192" spans="1:2" x14ac:dyDescent="0.2">
      <c r="A12192" s="12"/>
      <c r="B12192" s="13"/>
    </row>
    <row r="12193" spans="1:2" x14ac:dyDescent="0.2">
      <c r="A12193" s="12"/>
      <c r="B12193" s="13"/>
    </row>
    <row r="12194" spans="1:2" x14ac:dyDescent="0.2">
      <c r="A12194" s="12"/>
      <c r="B12194" s="13"/>
    </row>
    <row r="12195" spans="1:2" x14ac:dyDescent="0.2">
      <c r="A12195" s="12"/>
      <c r="B12195" s="13"/>
    </row>
    <row r="12196" spans="1:2" x14ac:dyDescent="0.2">
      <c r="A12196" s="12"/>
      <c r="B12196" s="13"/>
    </row>
    <row r="12197" spans="1:2" x14ac:dyDescent="0.2">
      <c r="A12197" s="12"/>
      <c r="B12197" s="13"/>
    </row>
    <row r="12198" spans="1:2" x14ac:dyDescent="0.2">
      <c r="A12198" s="12"/>
      <c r="B12198" s="13"/>
    </row>
    <row r="12199" spans="1:2" x14ac:dyDescent="0.2">
      <c r="A12199" s="12"/>
      <c r="B12199" s="13"/>
    </row>
    <row r="12200" spans="1:2" x14ac:dyDescent="0.2">
      <c r="A12200" s="12"/>
      <c r="B12200" s="13"/>
    </row>
    <row r="12201" spans="1:2" x14ac:dyDescent="0.2">
      <c r="A12201" s="12"/>
      <c r="B12201" s="13"/>
    </row>
    <row r="12202" spans="1:2" x14ac:dyDescent="0.2">
      <c r="A12202" s="12"/>
      <c r="B12202" s="13"/>
    </row>
    <row r="12203" spans="1:2" x14ac:dyDescent="0.2">
      <c r="A12203" s="12"/>
      <c r="B12203" s="13"/>
    </row>
    <row r="12204" spans="1:2" x14ac:dyDescent="0.2">
      <c r="A12204" s="12"/>
      <c r="B12204" s="13"/>
    </row>
    <row r="12205" spans="1:2" x14ac:dyDescent="0.2">
      <c r="A12205" s="12"/>
      <c r="B12205" s="13"/>
    </row>
    <row r="12206" spans="1:2" x14ac:dyDescent="0.2">
      <c r="A12206" s="12"/>
      <c r="B12206" s="13"/>
    </row>
    <row r="12207" spans="1:2" x14ac:dyDescent="0.2">
      <c r="A12207" s="12"/>
      <c r="B12207" s="13"/>
    </row>
    <row r="12208" spans="1:2" x14ac:dyDescent="0.2">
      <c r="A12208" s="12"/>
      <c r="B12208" s="13"/>
    </row>
    <row r="12209" spans="1:2" x14ac:dyDescent="0.2">
      <c r="A12209" s="12"/>
      <c r="B12209" s="13"/>
    </row>
    <row r="12210" spans="1:2" x14ac:dyDescent="0.2">
      <c r="A12210" s="12"/>
      <c r="B12210" s="13"/>
    </row>
    <row r="12211" spans="1:2" x14ac:dyDescent="0.2">
      <c r="A12211" s="12"/>
      <c r="B12211" s="13"/>
    </row>
    <row r="12212" spans="1:2" x14ac:dyDescent="0.2">
      <c r="A12212" s="12"/>
      <c r="B12212" s="13"/>
    </row>
    <row r="12213" spans="1:2" x14ac:dyDescent="0.2">
      <c r="A12213" s="12"/>
      <c r="B12213" s="13"/>
    </row>
    <row r="12214" spans="1:2" x14ac:dyDescent="0.2">
      <c r="A12214" s="12"/>
      <c r="B12214" s="13"/>
    </row>
    <row r="12215" spans="1:2" x14ac:dyDescent="0.2">
      <c r="A12215" s="12"/>
      <c r="B12215" s="13"/>
    </row>
    <row r="12216" spans="1:2" x14ac:dyDescent="0.2">
      <c r="A12216" s="12"/>
      <c r="B12216" s="13"/>
    </row>
    <row r="12217" spans="1:2" x14ac:dyDescent="0.2">
      <c r="A12217" s="12"/>
      <c r="B12217" s="13"/>
    </row>
    <row r="12218" spans="1:2" x14ac:dyDescent="0.2">
      <c r="A12218" s="12"/>
      <c r="B12218" s="13"/>
    </row>
    <row r="12219" spans="1:2" x14ac:dyDescent="0.2">
      <c r="A12219" s="12"/>
      <c r="B12219" s="13"/>
    </row>
    <row r="12220" spans="1:2" x14ac:dyDescent="0.2">
      <c r="A12220" s="12"/>
      <c r="B12220" s="13"/>
    </row>
    <row r="12221" spans="1:2" x14ac:dyDescent="0.2">
      <c r="A12221" s="12"/>
      <c r="B12221" s="13"/>
    </row>
    <row r="12222" spans="1:2" x14ac:dyDescent="0.2">
      <c r="A12222" s="12"/>
      <c r="B12222" s="13"/>
    </row>
    <row r="12223" spans="1:2" x14ac:dyDescent="0.2">
      <c r="A12223" s="12"/>
      <c r="B12223" s="13"/>
    </row>
    <row r="12224" spans="1:2" x14ac:dyDescent="0.2">
      <c r="A12224" s="12"/>
      <c r="B12224" s="13"/>
    </row>
    <row r="12225" spans="1:2" x14ac:dyDescent="0.2">
      <c r="A12225" s="12"/>
      <c r="B12225" s="13"/>
    </row>
    <row r="12226" spans="1:2" x14ac:dyDescent="0.2">
      <c r="A12226" s="12"/>
      <c r="B12226" s="13"/>
    </row>
    <row r="12227" spans="1:2" x14ac:dyDescent="0.2">
      <c r="A12227" s="12"/>
      <c r="B12227" s="13"/>
    </row>
    <row r="12228" spans="1:2" x14ac:dyDescent="0.2">
      <c r="A12228" s="12"/>
      <c r="B12228" s="13"/>
    </row>
    <row r="12229" spans="1:2" x14ac:dyDescent="0.2">
      <c r="A12229" s="12"/>
      <c r="B12229" s="13"/>
    </row>
    <row r="12230" spans="1:2" x14ac:dyDescent="0.2">
      <c r="A12230" s="12"/>
      <c r="B12230" s="13"/>
    </row>
    <row r="12231" spans="1:2" x14ac:dyDescent="0.2">
      <c r="A12231" s="12"/>
      <c r="B12231" s="13"/>
    </row>
    <row r="12232" spans="1:2" x14ac:dyDescent="0.2">
      <c r="A12232" s="12"/>
      <c r="B12232" s="13"/>
    </row>
    <row r="12233" spans="1:2" x14ac:dyDescent="0.2">
      <c r="A12233" s="12"/>
      <c r="B12233" s="13"/>
    </row>
    <row r="12234" spans="1:2" x14ac:dyDescent="0.2">
      <c r="A12234" s="12"/>
      <c r="B12234" s="13"/>
    </row>
    <row r="12235" spans="1:2" x14ac:dyDescent="0.2">
      <c r="A12235" s="12"/>
      <c r="B12235" s="13"/>
    </row>
    <row r="12236" spans="1:2" x14ac:dyDescent="0.2">
      <c r="A12236" s="12"/>
      <c r="B12236" s="13"/>
    </row>
    <row r="12237" spans="1:2" x14ac:dyDescent="0.2">
      <c r="A12237" s="12"/>
      <c r="B12237" s="13"/>
    </row>
    <row r="12238" spans="1:2" x14ac:dyDescent="0.2">
      <c r="A12238" s="12"/>
      <c r="B12238" s="13"/>
    </row>
    <row r="12239" spans="1:2" x14ac:dyDescent="0.2">
      <c r="A12239" s="12"/>
      <c r="B12239" s="13"/>
    </row>
    <row r="12240" spans="1:2" x14ac:dyDescent="0.2">
      <c r="A12240" s="12"/>
      <c r="B12240" s="13"/>
    </row>
    <row r="12241" spans="1:2" x14ac:dyDescent="0.2">
      <c r="A12241" s="12"/>
      <c r="B12241" s="13"/>
    </row>
    <row r="12242" spans="1:2" x14ac:dyDescent="0.2">
      <c r="A12242" s="12"/>
      <c r="B12242" s="13"/>
    </row>
    <row r="12243" spans="1:2" x14ac:dyDescent="0.2">
      <c r="A12243" s="12"/>
      <c r="B12243" s="13"/>
    </row>
    <row r="12244" spans="1:2" x14ac:dyDescent="0.2">
      <c r="A12244" s="12"/>
      <c r="B12244" s="13"/>
    </row>
    <row r="12245" spans="1:2" x14ac:dyDescent="0.2">
      <c r="A12245" s="12"/>
      <c r="B12245" s="13"/>
    </row>
    <row r="12246" spans="1:2" x14ac:dyDescent="0.2">
      <c r="A12246" s="12"/>
      <c r="B12246" s="13"/>
    </row>
    <row r="12247" spans="1:2" x14ac:dyDescent="0.2">
      <c r="A12247" s="12"/>
      <c r="B12247" s="13"/>
    </row>
    <row r="12248" spans="1:2" x14ac:dyDescent="0.2">
      <c r="A12248" s="12"/>
      <c r="B12248" s="13"/>
    </row>
    <row r="12249" spans="1:2" x14ac:dyDescent="0.2">
      <c r="A12249" s="12"/>
      <c r="B12249" s="13"/>
    </row>
    <row r="12250" spans="1:2" x14ac:dyDescent="0.2">
      <c r="A12250" s="12"/>
      <c r="B12250" s="13"/>
    </row>
    <row r="12251" spans="1:2" x14ac:dyDescent="0.2">
      <c r="A12251" s="12"/>
      <c r="B12251" s="13"/>
    </row>
    <row r="12252" spans="1:2" x14ac:dyDescent="0.2">
      <c r="A12252" s="12"/>
      <c r="B12252" s="13"/>
    </row>
    <row r="12253" spans="1:2" x14ac:dyDescent="0.2">
      <c r="A12253" s="12"/>
      <c r="B12253" s="13"/>
    </row>
    <row r="12254" spans="1:2" x14ac:dyDescent="0.2">
      <c r="A12254" s="12"/>
      <c r="B12254" s="13"/>
    </row>
    <row r="12255" spans="1:2" x14ac:dyDescent="0.2">
      <c r="A12255" s="12"/>
      <c r="B12255" s="13"/>
    </row>
    <row r="12256" spans="1:2" x14ac:dyDescent="0.2">
      <c r="A12256" s="12"/>
      <c r="B12256" s="13"/>
    </row>
    <row r="12257" spans="1:2" x14ac:dyDescent="0.2">
      <c r="A12257" s="12"/>
      <c r="B12257" s="13"/>
    </row>
    <row r="12258" spans="1:2" x14ac:dyDescent="0.2">
      <c r="A12258" s="12"/>
      <c r="B12258" s="13"/>
    </row>
    <row r="12259" spans="1:2" x14ac:dyDescent="0.2">
      <c r="A12259" s="12"/>
      <c r="B12259" s="13"/>
    </row>
    <row r="12260" spans="1:2" x14ac:dyDescent="0.2">
      <c r="A12260" s="12"/>
      <c r="B12260" s="13"/>
    </row>
    <row r="12261" spans="1:2" x14ac:dyDescent="0.2">
      <c r="A12261" s="12"/>
      <c r="B12261" s="13"/>
    </row>
    <row r="12262" spans="1:2" x14ac:dyDescent="0.2">
      <c r="A12262" s="12"/>
      <c r="B12262" s="13"/>
    </row>
    <row r="12263" spans="1:2" x14ac:dyDescent="0.2">
      <c r="A12263" s="12"/>
      <c r="B12263" s="13"/>
    </row>
    <row r="12264" spans="1:2" x14ac:dyDescent="0.2">
      <c r="A12264" s="12"/>
      <c r="B12264" s="13"/>
    </row>
    <row r="12265" spans="1:2" x14ac:dyDescent="0.2">
      <c r="A12265" s="12"/>
      <c r="B12265" s="13"/>
    </row>
    <row r="12266" spans="1:2" x14ac:dyDescent="0.2">
      <c r="A12266" s="12"/>
      <c r="B12266" s="13"/>
    </row>
    <row r="12267" spans="1:2" x14ac:dyDescent="0.2">
      <c r="A12267" s="12"/>
      <c r="B12267" s="13"/>
    </row>
    <row r="12268" spans="1:2" x14ac:dyDescent="0.2">
      <c r="A12268" s="12"/>
      <c r="B12268" s="13"/>
    </row>
    <row r="12269" spans="1:2" x14ac:dyDescent="0.2">
      <c r="A12269" s="12"/>
      <c r="B12269" s="13"/>
    </row>
    <row r="12270" spans="1:2" x14ac:dyDescent="0.2">
      <c r="A12270" s="12"/>
      <c r="B12270" s="13"/>
    </row>
    <row r="12271" spans="1:2" x14ac:dyDescent="0.2">
      <c r="A12271" s="12"/>
      <c r="B12271" s="13"/>
    </row>
    <row r="12272" spans="1:2" x14ac:dyDescent="0.2">
      <c r="A12272" s="12"/>
      <c r="B12272" s="13"/>
    </row>
    <row r="12273" spans="1:2" x14ac:dyDescent="0.2">
      <c r="A12273" s="12"/>
      <c r="B12273" s="13"/>
    </row>
    <row r="12274" spans="1:2" x14ac:dyDescent="0.2">
      <c r="A12274" s="12"/>
      <c r="B12274" s="13"/>
    </row>
    <row r="12275" spans="1:2" x14ac:dyDescent="0.2">
      <c r="A12275" s="12"/>
      <c r="B12275" s="13"/>
    </row>
    <row r="12276" spans="1:2" x14ac:dyDescent="0.2">
      <c r="A12276" s="12"/>
      <c r="B12276" s="13"/>
    </row>
    <row r="12277" spans="1:2" x14ac:dyDescent="0.2">
      <c r="A12277" s="12"/>
      <c r="B12277" s="13"/>
    </row>
    <row r="12278" spans="1:2" x14ac:dyDescent="0.2">
      <c r="A12278" s="12"/>
      <c r="B12278" s="13"/>
    </row>
    <row r="12279" spans="1:2" x14ac:dyDescent="0.2">
      <c r="A12279" s="12"/>
      <c r="B12279" s="13"/>
    </row>
    <row r="12280" spans="1:2" x14ac:dyDescent="0.2">
      <c r="A12280" s="12"/>
      <c r="B12280" s="13"/>
    </row>
    <row r="12281" spans="1:2" x14ac:dyDescent="0.2">
      <c r="A12281" s="12"/>
      <c r="B12281" s="13"/>
    </row>
    <row r="12282" spans="1:2" x14ac:dyDescent="0.2">
      <c r="A12282" s="12"/>
      <c r="B12282" s="13"/>
    </row>
    <row r="12283" spans="1:2" x14ac:dyDescent="0.2">
      <c r="A12283" s="12"/>
      <c r="B12283" s="13"/>
    </row>
    <row r="12284" spans="1:2" x14ac:dyDescent="0.2">
      <c r="A12284" s="12"/>
      <c r="B12284" s="13"/>
    </row>
    <row r="12285" spans="1:2" x14ac:dyDescent="0.2">
      <c r="A12285" s="12"/>
      <c r="B12285" s="13"/>
    </row>
    <row r="12286" spans="1:2" x14ac:dyDescent="0.2">
      <c r="A12286" s="12"/>
      <c r="B12286" s="13"/>
    </row>
    <row r="12287" spans="1:2" x14ac:dyDescent="0.2">
      <c r="A12287" s="12"/>
      <c r="B12287" s="13"/>
    </row>
    <row r="12288" spans="1:2" x14ac:dyDescent="0.2">
      <c r="A12288" s="12"/>
      <c r="B12288" s="13"/>
    </row>
    <row r="12289" spans="1:2" x14ac:dyDescent="0.2">
      <c r="A12289" s="12"/>
      <c r="B12289" s="13"/>
    </row>
    <row r="12290" spans="1:2" x14ac:dyDescent="0.2">
      <c r="A12290" s="12"/>
      <c r="B12290" s="13"/>
    </row>
    <row r="12291" spans="1:2" x14ac:dyDescent="0.2">
      <c r="A12291" s="12"/>
      <c r="B12291" s="13"/>
    </row>
    <row r="12292" spans="1:2" x14ac:dyDescent="0.2">
      <c r="A12292" s="12"/>
      <c r="B12292" s="13"/>
    </row>
    <row r="12293" spans="1:2" x14ac:dyDescent="0.2">
      <c r="A12293" s="12"/>
      <c r="B12293" s="13"/>
    </row>
    <row r="12294" spans="1:2" x14ac:dyDescent="0.2">
      <c r="A12294" s="12"/>
      <c r="B12294" s="13"/>
    </row>
    <row r="12295" spans="1:2" x14ac:dyDescent="0.2">
      <c r="A12295" s="12"/>
      <c r="B12295" s="13"/>
    </row>
    <row r="12296" spans="1:2" x14ac:dyDescent="0.2">
      <c r="A12296" s="12"/>
      <c r="B12296" s="13"/>
    </row>
    <row r="12297" spans="1:2" x14ac:dyDescent="0.2">
      <c r="A12297" s="12"/>
      <c r="B12297" s="13"/>
    </row>
    <row r="12298" spans="1:2" x14ac:dyDescent="0.2">
      <c r="A12298" s="12"/>
      <c r="B12298" s="13"/>
    </row>
    <row r="12299" spans="1:2" x14ac:dyDescent="0.2">
      <c r="A12299" s="12"/>
      <c r="B12299" s="13"/>
    </row>
    <row r="12300" spans="1:2" x14ac:dyDescent="0.2">
      <c r="A12300" s="12"/>
      <c r="B12300" s="13"/>
    </row>
    <row r="12301" spans="1:2" x14ac:dyDescent="0.2">
      <c r="A12301" s="12"/>
      <c r="B12301" s="13"/>
    </row>
    <row r="12302" spans="1:2" x14ac:dyDescent="0.2">
      <c r="A12302" s="12"/>
      <c r="B12302" s="13"/>
    </row>
    <row r="12303" spans="1:2" x14ac:dyDescent="0.2">
      <c r="A12303" s="12"/>
      <c r="B12303" s="13"/>
    </row>
    <row r="12304" spans="1:2" x14ac:dyDescent="0.2">
      <c r="A12304" s="12"/>
      <c r="B12304" s="13"/>
    </row>
    <row r="12305" spans="1:2" x14ac:dyDescent="0.2">
      <c r="A12305" s="12"/>
      <c r="B12305" s="13"/>
    </row>
    <row r="12306" spans="1:2" x14ac:dyDescent="0.2">
      <c r="A12306" s="12"/>
      <c r="B12306" s="13"/>
    </row>
    <row r="12307" spans="1:2" x14ac:dyDescent="0.2">
      <c r="A12307" s="12"/>
      <c r="B12307" s="13"/>
    </row>
    <row r="12308" spans="1:2" x14ac:dyDescent="0.2">
      <c r="A12308" s="12"/>
      <c r="B12308" s="13"/>
    </row>
    <row r="12309" spans="1:2" x14ac:dyDescent="0.2">
      <c r="A12309" s="12"/>
      <c r="B12309" s="13"/>
    </row>
    <row r="12310" spans="1:2" x14ac:dyDescent="0.2">
      <c r="A12310" s="12"/>
      <c r="B12310" s="13"/>
    </row>
    <row r="12311" spans="1:2" x14ac:dyDescent="0.2">
      <c r="A12311" s="12"/>
      <c r="B12311" s="13"/>
    </row>
    <row r="12312" spans="1:2" x14ac:dyDescent="0.2">
      <c r="A12312" s="12"/>
      <c r="B12312" s="13"/>
    </row>
    <row r="12313" spans="1:2" x14ac:dyDescent="0.2">
      <c r="A12313" s="12"/>
      <c r="B12313" s="13"/>
    </row>
    <row r="12314" spans="1:2" x14ac:dyDescent="0.2">
      <c r="A12314" s="12"/>
      <c r="B12314" s="13"/>
    </row>
    <row r="12315" spans="1:2" x14ac:dyDescent="0.2">
      <c r="A12315" s="12"/>
      <c r="B12315" s="13"/>
    </row>
    <row r="12316" spans="1:2" x14ac:dyDescent="0.2">
      <c r="A12316" s="12"/>
      <c r="B12316" s="13"/>
    </row>
    <row r="12317" spans="1:2" x14ac:dyDescent="0.2">
      <c r="A12317" s="12"/>
      <c r="B12317" s="13"/>
    </row>
    <row r="12318" spans="1:2" x14ac:dyDescent="0.2">
      <c r="A12318" s="12"/>
      <c r="B12318" s="13"/>
    </row>
    <row r="12319" spans="1:2" x14ac:dyDescent="0.2">
      <c r="A12319" s="12"/>
      <c r="B12319" s="13"/>
    </row>
    <row r="12320" spans="1:2" x14ac:dyDescent="0.2">
      <c r="A12320" s="12"/>
      <c r="B12320" s="13"/>
    </row>
    <row r="12321" spans="1:2" x14ac:dyDescent="0.2">
      <c r="A12321" s="12"/>
      <c r="B12321" s="13"/>
    </row>
    <row r="12322" spans="1:2" x14ac:dyDescent="0.2">
      <c r="A12322" s="12"/>
      <c r="B12322" s="13"/>
    </row>
    <row r="12323" spans="1:2" x14ac:dyDescent="0.2">
      <c r="A12323" s="12"/>
      <c r="B12323" s="13"/>
    </row>
    <row r="12324" spans="1:2" x14ac:dyDescent="0.2">
      <c r="A12324" s="12"/>
      <c r="B12324" s="13"/>
    </row>
    <row r="12325" spans="1:2" x14ac:dyDescent="0.2">
      <c r="A12325" s="12"/>
      <c r="B12325" s="13"/>
    </row>
    <row r="12326" spans="1:2" x14ac:dyDescent="0.2">
      <c r="A12326" s="12"/>
      <c r="B12326" s="13"/>
    </row>
    <row r="12327" spans="1:2" x14ac:dyDescent="0.2">
      <c r="A12327" s="12"/>
      <c r="B12327" s="13"/>
    </row>
    <row r="12328" spans="1:2" x14ac:dyDescent="0.2">
      <c r="A12328" s="12"/>
      <c r="B12328" s="13"/>
    </row>
    <row r="12329" spans="1:2" x14ac:dyDescent="0.2">
      <c r="A12329" s="12"/>
      <c r="B12329" s="13"/>
    </row>
    <row r="12330" spans="1:2" x14ac:dyDescent="0.2">
      <c r="A12330" s="12"/>
      <c r="B12330" s="13"/>
    </row>
    <row r="12331" spans="1:2" x14ac:dyDescent="0.2">
      <c r="A12331" s="12"/>
      <c r="B12331" s="13"/>
    </row>
    <row r="12332" spans="1:2" x14ac:dyDescent="0.2">
      <c r="A12332" s="12"/>
      <c r="B12332" s="13"/>
    </row>
    <row r="12333" spans="1:2" x14ac:dyDescent="0.2">
      <c r="A12333" s="12"/>
      <c r="B12333" s="13"/>
    </row>
    <row r="12334" spans="1:2" x14ac:dyDescent="0.2">
      <c r="A12334" s="12"/>
      <c r="B12334" s="13"/>
    </row>
    <row r="12335" spans="1:2" x14ac:dyDescent="0.2">
      <c r="A12335" s="12"/>
      <c r="B12335" s="13"/>
    </row>
    <row r="12336" spans="1:2" x14ac:dyDescent="0.2">
      <c r="A12336" s="12"/>
      <c r="B12336" s="13"/>
    </row>
    <row r="12337" spans="1:2" x14ac:dyDescent="0.2">
      <c r="A12337" s="12"/>
      <c r="B12337" s="13"/>
    </row>
    <row r="12338" spans="1:2" x14ac:dyDescent="0.2">
      <c r="A12338" s="12"/>
      <c r="B12338" s="13"/>
    </row>
    <row r="12339" spans="1:2" x14ac:dyDescent="0.2">
      <c r="A12339" s="12"/>
      <c r="B12339" s="13"/>
    </row>
    <row r="12340" spans="1:2" x14ac:dyDescent="0.2">
      <c r="A12340" s="12"/>
      <c r="B12340" s="13"/>
    </row>
    <row r="12341" spans="1:2" x14ac:dyDescent="0.2">
      <c r="A12341" s="12"/>
      <c r="B12341" s="13"/>
    </row>
    <row r="12342" spans="1:2" x14ac:dyDescent="0.2">
      <c r="A12342" s="12"/>
      <c r="B12342" s="13"/>
    </row>
    <row r="12343" spans="1:2" x14ac:dyDescent="0.2">
      <c r="A12343" s="12"/>
      <c r="B12343" s="13"/>
    </row>
    <row r="12344" spans="1:2" x14ac:dyDescent="0.2">
      <c r="A12344" s="12"/>
      <c r="B12344" s="13"/>
    </row>
    <row r="12345" spans="1:2" x14ac:dyDescent="0.2">
      <c r="A12345" s="12"/>
      <c r="B12345" s="13"/>
    </row>
    <row r="12346" spans="1:2" x14ac:dyDescent="0.2">
      <c r="A12346" s="12"/>
      <c r="B12346" s="13"/>
    </row>
    <row r="12347" spans="1:2" x14ac:dyDescent="0.2">
      <c r="A12347" s="12"/>
      <c r="B12347" s="13"/>
    </row>
    <row r="12348" spans="1:2" x14ac:dyDescent="0.2">
      <c r="A12348" s="12"/>
      <c r="B12348" s="13"/>
    </row>
    <row r="12349" spans="1:2" x14ac:dyDescent="0.2">
      <c r="A12349" s="12"/>
      <c r="B12349" s="13"/>
    </row>
    <row r="12350" spans="1:2" x14ac:dyDescent="0.2">
      <c r="A12350" s="12"/>
      <c r="B12350" s="13"/>
    </row>
    <row r="12351" spans="1:2" x14ac:dyDescent="0.2">
      <c r="A12351" s="12"/>
      <c r="B12351" s="13"/>
    </row>
    <row r="12352" spans="1:2" x14ac:dyDescent="0.2">
      <c r="A12352" s="12"/>
      <c r="B12352" s="13"/>
    </row>
    <row r="12353" spans="1:2" x14ac:dyDescent="0.2">
      <c r="A12353" s="12"/>
      <c r="B12353" s="13"/>
    </row>
    <row r="12354" spans="1:2" x14ac:dyDescent="0.2">
      <c r="A12354" s="12"/>
      <c r="B12354" s="13"/>
    </row>
    <row r="12355" spans="1:2" x14ac:dyDescent="0.2">
      <c r="A12355" s="12"/>
      <c r="B12355" s="13"/>
    </row>
    <row r="12356" spans="1:2" x14ac:dyDescent="0.2">
      <c r="A12356" s="12"/>
      <c r="B12356" s="13"/>
    </row>
    <row r="12357" spans="1:2" x14ac:dyDescent="0.2">
      <c r="A12357" s="12"/>
      <c r="B12357" s="13"/>
    </row>
    <row r="12358" spans="1:2" x14ac:dyDescent="0.2">
      <c r="A12358" s="12"/>
      <c r="B12358" s="13"/>
    </row>
    <row r="12359" spans="1:2" x14ac:dyDescent="0.2">
      <c r="A12359" s="12"/>
      <c r="B12359" s="13"/>
    </row>
    <row r="12360" spans="1:2" x14ac:dyDescent="0.2">
      <c r="A12360" s="12"/>
      <c r="B12360" s="13"/>
    </row>
    <row r="12361" spans="1:2" x14ac:dyDescent="0.2">
      <c r="A12361" s="12"/>
      <c r="B12361" s="13"/>
    </row>
    <row r="12362" spans="1:2" x14ac:dyDescent="0.2">
      <c r="A12362" s="12"/>
      <c r="B12362" s="13"/>
    </row>
    <row r="12363" spans="1:2" x14ac:dyDescent="0.2">
      <c r="A12363" s="12"/>
      <c r="B12363" s="13"/>
    </row>
    <row r="12364" spans="1:2" x14ac:dyDescent="0.2">
      <c r="A12364" s="12"/>
      <c r="B12364" s="13"/>
    </row>
    <row r="12365" spans="1:2" x14ac:dyDescent="0.2">
      <c r="A12365" s="12"/>
      <c r="B12365" s="13"/>
    </row>
    <row r="12366" spans="1:2" x14ac:dyDescent="0.2">
      <c r="A12366" s="12"/>
      <c r="B12366" s="13"/>
    </row>
    <row r="12367" spans="1:2" x14ac:dyDescent="0.2">
      <c r="A12367" s="12"/>
      <c r="B12367" s="13"/>
    </row>
    <row r="12368" spans="1:2" x14ac:dyDescent="0.2">
      <c r="A12368" s="12"/>
      <c r="B12368" s="13"/>
    </row>
    <row r="12369" spans="1:2" x14ac:dyDescent="0.2">
      <c r="A12369" s="12"/>
      <c r="B12369" s="13"/>
    </row>
    <row r="12370" spans="1:2" x14ac:dyDescent="0.2">
      <c r="A12370" s="12"/>
      <c r="B12370" s="13"/>
    </row>
    <row r="12371" spans="1:2" x14ac:dyDescent="0.2">
      <c r="A12371" s="12"/>
      <c r="B12371" s="13"/>
    </row>
    <row r="12372" spans="1:2" x14ac:dyDescent="0.2">
      <c r="A12372" s="12"/>
      <c r="B12372" s="13"/>
    </row>
    <row r="12373" spans="1:2" x14ac:dyDescent="0.2">
      <c r="A12373" s="12"/>
      <c r="B12373" s="13"/>
    </row>
    <row r="12374" spans="1:2" x14ac:dyDescent="0.2">
      <c r="A12374" s="12"/>
      <c r="B12374" s="13"/>
    </row>
    <row r="12375" spans="1:2" x14ac:dyDescent="0.2">
      <c r="A12375" s="12"/>
      <c r="B12375" s="13"/>
    </row>
    <row r="12376" spans="1:2" x14ac:dyDescent="0.2">
      <c r="A12376" s="12"/>
      <c r="B12376" s="13"/>
    </row>
    <row r="12377" spans="1:2" x14ac:dyDescent="0.2">
      <c r="A12377" s="12"/>
      <c r="B12377" s="13"/>
    </row>
    <row r="12378" spans="1:2" x14ac:dyDescent="0.2">
      <c r="A12378" s="12"/>
      <c r="B12378" s="13"/>
    </row>
    <row r="12379" spans="1:2" x14ac:dyDescent="0.2">
      <c r="A12379" s="12"/>
      <c r="B12379" s="13"/>
    </row>
    <row r="12380" spans="1:2" x14ac:dyDescent="0.2">
      <c r="A12380" s="12"/>
      <c r="B12380" s="13"/>
    </row>
    <row r="12381" spans="1:2" x14ac:dyDescent="0.2">
      <c r="A12381" s="12"/>
      <c r="B12381" s="13"/>
    </row>
    <row r="12382" spans="1:2" x14ac:dyDescent="0.2">
      <c r="A12382" s="12"/>
      <c r="B12382" s="13"/>
    </row>
    <row r="12383" spans="1:2" x14ac:dyDescent="0.2">
      <c r="A12383" s="12"/>
      <c r="B12383" s="13"/>
    </row>
    <row r="12384" spans="1:2" x14ac:dyDescent="0.2">
      <c r="A12384" s="12"/>
      <c r="B12384" s="13"/>
    </row>
    <row r="12385" spans="1:2" x14ac:dyDescent="0.2">
      <c r="A12385" s="12"/>
      <c r="B12385" s="13"/>
    </row>
    <row r="12386" spans="1:2" x14ac:dyDescent="0.2">
      <c r="A12386" s="12"/>
      <c r="B12386" s="13"/>
    </row>
    <row r="12387" spans="1:2" x14ac:dyDescent="0.2">
      <c r="A12387" s="12"/>
      <c r="B12387" s="13"/>
    </row>
    <row r="12388" spans="1:2" x14ac:dyDescent="0.2">
      <c r="A12388" s="12"/>
      <c r="B12388" s="13"/>
    </row>
    <row r="12389" spans="1:2" x14ac:dyDescent="0.2">
      <c r="A12389" s="12"/>
      <c r="B12389" s="13"/>
    </row>
    <row r="12390" spans="1:2" x14ac:dyDescent="0.2">
      <c r="A12390" s="12"/>
      <c r="B12390" s="13"/>
    </row>
    <row r="12391" spans="1:2" x14ac:dyDescent="0.2">
      <c r="A12391" s="12"/>
      <c r="B12391" s="13"/>
    </row>
    <row r="12392" spans="1:2" x14ac:dyDescent="0.2">
      <c r="A12392" s="12"/>
      <c r="B12392" s="13"/>
    </row>
    <row r="12393" spans="1:2" x14ac:dyDescent="0.2">
      <c r="A12393" s="12"/>
      <c r="B12393" s="13"/>
    </row>
    <row r="12394" spans="1:2" x14ac:dyDescent="0.2">
      <c r="A12394" s="12"/>
      <c r="B12394" s="13"/>
    </row>
    <row r="12395" spans="1:2" x14ac:dyDescent="0.2">
      <c r="A12395" s="12"/>
      <c r="B12395" s="13"/>
    </row>
    <row r="12396" spans="1:2" x14ac:dyDescent="0.2">
      <c r="A12396" s="12"/>
      <c r="B12396" s="13"/>
    </row>
    <row r="12397" spans="1:2" x14ac:dyDescent="0.2">
      <c r="A12397" s="12"/>
      <c r="B12397" s="13"/>
    </row>
    <row r="12398" spans="1:2" x14ac:dyDescent="0.2">
      <c r="A12398" s="12"/>
      <c r="B12398" s="13"/>
    </row>
    <row r="12399" spans="1:2" x14ac:dyDescent="0.2">
      <c r="A12399" s="12"/>
      <c r="B12399" s="13"/>
    </row>
    <row r="12400" spans="1:2" x14ac:dyDescent="0.2">
      <c r="A12400" s="12"/>
      <c r="B12400" s="13"/>
    </row>
    <row r="12401" spans="1:2" x14ac:dyDescent="0.2">
      <c r="A12401" s="12"/>
      <c r="B12401" s="13"/>
    </row>
    <row r="12402" spans="1:2" x14ac:dyDescent="0.2">
      <c r="A12402" s="12"/>
      <c r="B12402" s="13"/>
    </row>
    <row r="12403" spans="1:2" x14ac:dyDescent="0.2">
      <c r="A12403" s="12"/>
      <c r="B12403" s="13"/>
    </row>
    <row r="12404" spans="1:2" x14ac:dyDescent="0.2">
      <c r="A12404" s="12"/>
      <c r="B12404" s="13"/>
    </row>
    <row r="12405" spans="1:2" x14ac:dyDescent="0.2">
      <c r="A12405" s="12"/>
      <c r="B12405" s="13"/>
    </row>
    <row r="12406" spans="1:2" x14ac:dyDescent="0.2">
      <c r="A12406" s="12"/>
      <c r="B12406" s="13"/>
    </row>
    <row r="12407" spans="1:2" x14ac:dyDescent="0.2">
      <c r="A12407" s="12"/>
      <c r="B12407" s="13"/>
    </row>
    <row r="12408" spans="1:2" x14ac:dyDescent="0.2">
      <c r="A12408" s="12"/>
      <c r="B12408" s="13"/>
    </row>
    <row r="12409" spans="1:2" x14ac:dyDescent="0.2">
      <c r="A12409" s="12"/>
      <c r="B12409" s="13"/>
    </row>
    <row r="12410" spans="1:2" x14ac:dyDescent="0.2">
      <c r="A12410" s="12"/>
      <c r="B12410" s="13"/>
    </row>
    <row r="12411" spans="1:2" x14ac:dyDescent="0.2">
      <c r="A12411" s="12"/>
      <c r="B12411" s="13"/>
    </row>
    <row r="12412" spans="1:2" x14ac:dyDescent="0.2">
      <c r="A12412" s="12"/>
      <c r="B12412" s="13"/>
    </row>
    <row r="12413" spans="1:2" x14ac:dyDescent="0.2">
      <c r="A12413" s="12"/>
      <c r="B12413" s="13"/>
    </row>
    <row r="12414" spans="1:2" x14ac:dyDescent="0.2">
      <c r="A12414" s="12"/>
      <c r="B12414" s="13"/>
    </row>
    <row r="12415" spans="1:2" x14ac:dyDescent="0.2">
      <c r="A12415" s="12"/>
      <c r="B12415" s="13"/>
    </row>
    <row r="12416" spans="1:2" x14ac:dyDescent="0.2">
      <c r="A12416" s="12"/>
      <c r="B12416" s="13"/>
    </row>
    <row r="12417" spans="1:2" x14ac:dyDescent="0.2">
      <c r="A12417" s="12"/>
      <c r="B12417" s="13"/>
    </row>
    <row r="12418" spans="1:2" x14ac:dyDescent="0.2">
      <c r="A12418" s="12"/>
      <c r="B12418" s="13"/>
    </row>
    <row r="12419" spans="1:2" x14ac:dyDescent="0.2">
      <c r="A12419" s="12"/>
      <c r="B12419" s="13"/>
    </row>
    <row r="12420" spans="1:2" x14ac:dyDescent="0.2">
      <c r="A12420" s="12"/>
      <c r="B12420" s="13"/>
    </row>
    <row r="12421" spans="1:2" x14ac:dyDescent="0.2">
      <c r="A12421" s="12"/>
      <c r="B12421" s="13"/>
    </row>
    <row r="12422" spans="1:2" x14ac:dyDescent="0.2">
      <c r="A12422" s="12"/>
      <c r="B12422" s="13"/>
    </row>
    <row r="12423" spans="1:2" x14ac:dyDescent="0.2">
      <c r="A12423" s="12"/>
      <c r="B12423" s="13"/>
    </row>
    <row r="12424" spans="1:2" x14ac:dyDescent="0.2">
      <c r="A12424" s="12"/>
      <c r="B12424" s="13"/>
    </row>
    <row r="12425" spans="1:2" x14ac:dyDescent="0.2">
      <c r="A12425" s="12"/>
      <c r="B12425" s="13"/>
    </row>
    <row r="12426" spans="1:2" x14ac:dyDescent="0.2">
      <c r="A12426" s="12"/>
      <c r="B12426" s="13"/>
    </row>
    <row r="12427" spans="1:2" x14ac:dyDescent="0.2">
      <c r="A12427" s="12"/>
      <c r="B12427" s="13"/>
    </row>
    <row r="12428" spans="1:2" x14ac:dyDescent="0.2">
      <c r="A12428" s="12"/>
      <c r="B12428" s="13"/>
    </row>
    <row r="12429" spans="1:2" x14ac:dyDescent="0.2">
      <c r="A12429" s="12"/>
      <c r="B12429" s="13"/>
    </row>
    <row r="12430" spans="1:2" x14ac:dyDescent="0.2">
      <c r="A12430" s="12"/>
      <c r="B12430" s="13"/>
    </row>
    <row r="12431" spans="1:2" x14ac:dyDescent="0.2">
      <c r="A12431" s="12"/>
      <c r="B12431" s="13"/>
    </row>
    <row r="12432" spans="1:2" x14ac:dyDescent="0.2">
      <c r="A12432" s="12"/>
      <c r="B12432" s="13"/>
    </row>
    <row r="12433" spans="1:2" x14ac:dyDescent="0.2">
      <c r="A12433" s="12"/>
      <c r="B12433" s="13"/>
    </row>
    <row r="12434" spans="1:2" x14ac:dyDescent="0.2">
      <c r="A12434" s="12"/>
      <c r="B12434" s="13"/>
    </row>
    <row r="12435" spans="1:2" x14ac:dyDescent="0.2">
      <c r="A12435" s="12"/>
      <c r="B12435" s="13"/>
    </row>
    <row r="12436" spans="1:2" x14ac:dyDescent="0.2">
      <c r="A12436" s="12"/>
      <c r="B12436" s="13"/>
    </row>
    <row r="12437" spans="1:2" x14ac:dyDescent="0.2">
      <c r="A12437" s="12"/>
      <c r="B12437" s="13"/>
    </row>
    <row r="12438" spans="1:2" x14ac:dyDescent="0.2">
      <c r="A12438" s="12"/>
      <c r="B12438" s="13"/>
    </row>
    <row r="12439" spans="1:2" x14ac:dyDescent="0.2">
      <c r="A12439" s="12"/>
      <c r="B12439" s="13"/>
    </row>
    <row r="12440" spans="1:2" x14ac:dyDescent="0.2">
      <c r="A12440" s="12"/>
      <c r="B12440" s="13"/>
    </row>
    <row r="12441" spans="1:2" x14ac:dyDescent="0.2">
      <c r="A12441" s="12"/>
      <c r="B12441" s="13"/>
    </row>
    <row r="12442" spans="1:2" x14ac:dyDescent="0.2">
      <c r="A12442" s="12"/>
      <c r="B12442" s="13"/>
    </row>
    <row r="12443" spans="1:2" x14ac:dyDescent="0.2">
      <c r="A12443" s="12"/>
      <c r="B12443" s="13"/>
    </row>
    <row r="12444" spans="1:2" x14ac:dyDescent="0.2">
      <c r="A12444" s="12"/>
      <c r="B12444" s="13"/>
    </row>
    <row r="12445" spans="1:2" x14ac:dyDescent="0.2">
      <c r="A12445" s="12"/>
      <c r="B12445" s="13"/>
    </row>
    <row r="12446" spans="1:2" x14ac:dyDescent="0.2">
      <c r="A12446" s="12"/>
      <c r="B12446" s="13"/>
    </row>
    <row r="12447" spans="1:2" x14ac:dyDescent="0.2">
      <c r="A12447" s="12"/>
      <c r="B12447" s="13"/>
    </row>
    <row r="12448" spans="1:2" x14ac:dyDescent="0.2">
      <c r="A12448" s="12"/>
      <c r="B12448" s="13"/>
    </row>
    <row r="12449" spans="1:2" x14ac:dyDescent="0.2">
      <c r="A12449" s="12"/>
      <c r="B12449" s="13"/>
    </row>
    <row r="12450" spans="1:2" x14ac:dyDescent="0.2">
      <c r="A12450" s="12"/>
      <c r="B12450" s="13"/>
    </row>
    <row r="12451" spans="1:2" x14ac:dyDescent="0.2">
      <c r="A12451" s="12"/>
      <c r="B12451" s="13"/>
    </row>
    <row r="12452" spans="1:2" x14ac:dyDescent="0.2">
      <c r="A12452" s="12"/>
      <c r="B12452" s="13"/>
    </row>
    <row r="12453" spans="1:2" x14ac:dyDescent="0.2">
      <c r="A12453" s="12"/>
      <c r="B12453" s="13"/>
    </row>
    <row r="12454" spans="1:2" x14ac:dyDescent="0.2">
      <c r="A12454" s="12"/>
      <c r="B12454" s="13"/>
    </row>
    <row r="12455" spans="1:2" x14ac:dyDescent="0.2">
      <c r="A12455" s="12"/>
      <c r="B12455" s="13"/>
    </row>
    <row r="12456" spans="1:2" x14ac:dyDescent="0.2">
      <c r="A12456" s="12"/>
      <c r="B12456" s="13"/>
    </row>
    <row r="12457" spans="1:2" x14ac:dyDescent="0.2">
      <c r="A12457" s="12"/>
      <c r="B12457" s="13"/>
    </row>
    <row r="12458" spans="1:2" x14ac:dyDescent="0.2">
      <c r="A12458" s="12"/>
      <c r="B12458" s="13"/>
    </row>
    <row r="12459" spans="1:2" x14ac:dyDescent="0.2">
      <c r="A12459" s="12"/>
      <c r="B12459" s="13"/>
    </row>
    <row r="12460" spans="1:2" x14ac:dyDescent="0.2">
      <c r="A12460" s="12"/>
      <c r="B12460" s="13"/>
    </row>
    <row r="12461" spans="1:2" x14ac:dyDescent="0.2">
      <c r="A12461" s="12"/>
      <c r="B12461" s="13"/>
    </row>
    <row r="12462" spans="1:2" x14ac:dyDescent="0.2">
      <c r="A12462" s="12"/>
      <c r="B12462" s="13"/>
    </row>
    <row r="12463" spans="1:2" x14ac:dyDescent="0.2">
      <c r="A12463" s="12"/>
      <c r="B12463" s="13"/>
    </row>
    <row r="12464" spans="1:2" x14ac:dyDescent="0.2">
      <c r="A12464" s="12"/>
      <c r="B12464" s="13"/>
    </row>
    <row r="12465" spans="1:2" x14ac:dyDescent="0.2">
      <c r="A12465" s="12"/>
      <c r="B12465" s="13"/>
    </row>
    <row r="12466" spans="1:2" x14ac:dyDescent="0.2">
      <c r="A12466" s="12"/>
      <c r="B12466" s="13"/>
    </row>
    <row r="12467" spans="1:2" x14ac:dyDescent="0.2">
      <c r="A12467" s="12"/>
      <c r="B12467" s="13"/>
    </row>
    <row r="12468" spans="1:2" x14ac:dyDescent="0.2">
      <c r="A12468" s="12"/>
      <c r="B12468" s="13"/>
    </row>
    <row r="12469" spans="1:2" x14ac:dyDescent="0.2">
      <c r="A12469" s="12"/>
      <c r="B12469" s="13"/>
    </row>
    <row r="12470" spans="1:2" x14ac:dyDescent="0.2">
      <c r="A12470" s="12"/>
      <c r="B12470" s="13"/>
    </row>
    <row r="12471" spans="1:2" x14ac:dyDescent="0.2">
      <c r="A12471" s="12"/>
      <c r="B12471" s="13"/>
    </row>
    <row r="12472" spans="1:2" x14ac:dyDescent="0.2">
      <c r="A12472" s="12"/>
      <c r="B12472" s="13"/>
    </row>
    <row r="12473" spans="1:2" x14ac:dyDescent="0.2">
      <c r="A12473" s="12"/>
      <c r="B12473" s="13"/>
    </row>
    <row r="12474" spans="1:2" x14ac:dyDescent="0.2">
      <c r="A12474" s="12"/>
      <c r="B12474" s="13"/>
    </row>
    <row r="12475" spans="1:2" x14ac:dyDescent="0.2">
      <c r="A12475" s="12"/>
      <c r="B12475" s="13"/>
    </row>
    <row r="12476" spans="1:2" x14ac:dyDescent="0.2">
      <c r="A12476" s="12"/>
      <c r="B12476" s="13"/>
    </row>
    <row r="12477" spans="1:2" x14ac:dyDescent="0.2">
      <c r="A12477" s="12"/>
      <c r="B12477" s="13"/>
    </row>
    <row r="12478" spans="1:2" x14ac:dyDescent="0.2">
      <c r="A12478" s="12"/>
      <c r="B12478" s="13"/>
    </row>
    <row r="12479" spans="1:2" x14ac:dyDescent="0.2">
      <c r="A12479" s="12"/>
      <c r="B12479" s="13"/>
    </row>
    <row r="12480" spans="1:2" x14ac:dyDescent="0.2">
      <c r="A12480" s="12"/>
      <c r="B12480" s="13"/>
    </row>
    <row r="12481" spans="1:2" x14ac:dyDescent="0.2">
      <c r="A12481" s="12"/>
      <c r="B12481" s="13"/>
    </row>
    <row r="12482" spans="1:2" x14ac:dyDescent="0.2">
      <c r="A12482" s="12"/>
      <c r="B12482" s="13"/>
    </row>
    <row r="12483" spans="1:2" x14ac:dyDescent="0.2">
      <c r="A12483" s="12"/>
      <c r="B12483" s="13"/>
    </row>
    <row r="12484" spans="1:2" x14ac:dyDescent="0.2">
      <c r="A12484" s="12"/>
      <c r="B12484" s="13"/>
    </row>
    <row r="12485" spans="1:2" x14ac:dyDescent="0.2">
      <c r="A12485" s="12"/>
      <c r="B12485" s="13"/>
    </row>
    <row r="12486" spans="1:2" x14ac:dyDescent="0.2">
      <c r="A12486" s="12"/>
      <c r="B12486" s="13"/>
    </row>
    <row r="12487" spans="1:2" x14ac:dyDescent="0.2">
      <c r="A12487" s="12"/>
      <c r="B12487" s="13"/>
    </row>
    <row r="12488" spans="1:2" x14ac:dyDescent="0.2">
      <c r="A12488" s="12"/>
      <c r="B12488" s="13"/>
    </row>
    <row r="12489" spans="1:2" x14ac:dyDescent="0.2">
      <c r="A12489" s="12"/>
      <c r="B12489" s="13"/>
    </row>
    <row r="12490" spans="1:2" x14ac:dyDescent="0.2">
      <c r="A12490" s="12"/>
      <c r="B12490" s="13"/>
    </row>
    <row r="12491" spans="1:2" x14ac:dyDescent="0.2">
      <c r="A12491" s="12"/>
      <c r="B12491" s="13"/>
    </row>
    <row r="12492" spans="1:2" x14ac:dyDescent="0.2">
      <c r="A12492" s="12"/>
      <c r="B12492" s="13"/>
    </row>
    <row r="12493" spans="1:2" x14ac:dyDescent="0.2">
      <c r="A12493" s="12"/>
      <c r="B12493" s="13"/>
    </row>
    <row r="12494" spans="1:2" x14ac:dyDescent="0.2">
      <c r="A12494" s="12"/>
      <c r="B12494" s="13"/>
    </row>
    <row r="12495" spans="1:2" x14ac:dyDescent="0.2">
      <c r="A12495" s="12"/>
      <c r="B12495" s="13"/>
    </row>
    <row r="12496" spans="1:2" x14ac:dyDescent="0.2">
      <c r="A12496" s="12"/>
      <c r="B12496" s="13"/>
    </row>
    <row r="12497" spans="1:2" x14ac:dyDescent="0.2">
      <c r="A12497" s="12"/>
      <c r="B12497" s="13"/>
    </row>
    <row r="12498" spans="1:2" x14ac:dyDescent="0.2">
      <c r="A12498" s="12"/>
      <c r="B12498" s="13"/>
    </row>
    <row r="12499" spans="1:2" x14ac:dyDescent="0.2">
      <c r="A12499" s="12"/>
      <c r="B12499" s="13"/>
    </row>
    <row r="12500" spans="1:2" x14ac:dyDescent="0.2">
      <c r="A12500" s="12"/>
      <c r="B12500" s="13"/>
    </row>
    <row r="12501" spans="1:2" x14ac:dyDescent="0.2">
      <c r="A12501" s="12"/>
      <c r="B12501" s="13"/>
    </row>
    <row r="12502" spans="1:2" x14ac:dyDescent="0.2">
      <c r="A12502" s="12"/>
      <c r="B12502" s="13"/>
    </row>
    <row r="12503" spans="1:2" x14ac:dyDescent="0.2">
      <c r="A12503" s="12"/>
      <c r="B12503" s="13"/>
    </row>
    <row r="12504" spans="1:2" x14ac:dyDescent="0.2">
      <c r="A12504" s="12"/>
      <c r="B12504" s="13"/>
    </row>
    <row r="12505" spans="1:2" x14ac:dyDescent="0.2">
      <c r="A12505" s="12"/>
      <c r="B12505" s="13"/>
    </row>
    <row r="12506" spans="1:2" x14ac:dyDescent="0.2">
      <c r="A12506" s="12"/>
      <c r="B12506" s="13"/>
    </row>
    <row r="12507" spans="1:2" x14ac:dyDescent="0.2">
      <c r="A12507" s="12"/>
      <c r="B12507" s="13"/>
    </row>
    <row r="12508" spans="1:2" x14ac:dyDescent="0.2">
      <c r="A12508" s="12"/>
      <c r="B12508" s="13"/>
    </row>
    <row r="12509" spans="1:2" x14ac:dyDescent="0.2">
      <c r="A12509" s="12"/>
      <c r="B12509" s="13"/>
    </row>
    <row r="12510" spans="1:2" x14ac:dyDescent="0.2">
      <c r="A12510" s="12"/>
      <c r="B12510" s="13"/>
    </row>
    <row r="12511" spans="1:2" x14ac:dyDescent="0.2">
      <c r="A12511" s="12"/>
      <c r="B12511" s="13"/>
    </row>
    <row r="12512" spans="1:2" x14ac:dyDescent="0.2">
      <c r="A12512" s="12"/>
      <c r="B12512" s="13"/>
    </row>
    <row r="12513" spans="1:2" x14ac:dyDescent="0.2">
      <c r="A12513" s="12"/>
      <c r="B12513" s="13"/>
    </row>
    <row r="12514" spans="1:2" x14ac:dyDescent="0.2">
      <c r="A12514" s="12"/>
      <c r="B12514" s="13"/>
    </row>
    <row r="12515" spans="1:2" x14ac:dyDescent="0.2">
      <c r="A12515" s="12"/>
      <c r="B12515" s="13"/>
    </row>
    <row r="12516" spans="1:2" x14ac:dyDescent="0.2">
      <c r="A12516" s="12"/>
      <c r="B12516" s="13"/>
    </row>
    <row r="12517" spans="1:2" x14ac:dyDescent="0.2">
      <c r="A12517" s="12"/>
      <c r="B12517" s="13"/>
    </row>
    <row r="12518" spans="1:2" x14ac:dyDescent="0.2">
      <c r="A12518" s="12"/>
      <c r="B12518" s="13"/>
    </row>
    <row r="12519" spans="1:2" x14ac:dyDescent="0.2">
      <c r="A12519" s="12"/>
      <c r="B12519" s="13"/>
    </row>
    <row r="12520" spans="1:2" x14ac:dyDescent="0.2">
      <c r="A12520" s="12"/>
      <c r="B12520" s="13"/>
    </row>
    <row r="12521" spans="1:2" x14ac:dyDescent="0.2">
      <c r="A12521" s="12"/>
      <c r="B12521" s="13"/>
    </row>
    <row r="12522" spans="1:2" x14ac:dyDescent="0.2">
      <c r="A12522" s="12"/>
      <c r="B12522" s="13"/>
    </row>
    <row r="12523" spans="1:2" x14ac:dyDescent="0.2">
      <c r="A12523" s="12"/>
      <c r="B12523" s="13"/>
    </row>
    <row r="12524" spans="1:2" x14ac:dyDescent="0.2">
      <c r="A12524" s="12"/>
      <c r="B12524" s="13"/>
    </row>
    <row r="12525" spans="1:2" x14ac:dyDescent="0.2">
      <c r="A12525" s="12"/>
      <c r="B12525" s="13"/>
    </row>
    <row r="12526" spans="1:2" x14ac:dyDescent="0.2">
      <c r="A12526" s="12"/>
      <c r="B12526" s="13"/>
    </row>
    <row r="12527" spans="1:2" x14ac:dyDescent="0.2">
      <c r="A12527" s="12"/>
      <c r="B12527" s="13"/>
    </row>
    <row r="12528" spans="1:2" x14ac:dyDescent="0.2">
      <c r="A12528" s="12"/>
      <c r="B12528" s="13"/>
    </row>
    <row r="12529" spans="1:2" x14ac:dyDescent="0.2">
      <c r="A12529" s="12"/>
      <c r="B12529" s="13"/>
    </row>
    <row r="12530" spans="1:2" x14ac:dyDescent="0.2">
      <c r="A12530" s="12"/>
      <c r="B12530" s="13"/>
    </row>
    <row r="12531" spans="1:2" x14ac:dyDescent="0.2">
      <c r="A12531" s="12"/>
      <c r="B12531" s="13"/>
    </row>
    <row r="12532" spans="1:2" x14ac:dyDescent="0.2">
      <c r="A12532" s="12"/>
      <c r="B12532" s="13"/>
    </row>
    <row r="12533" spans="1:2" x14ac:dyDescent="0.2">
      <c r="A12533" s="12"/>
      <c r="B12533" s="13"/>
    </row>
    <row r="12534" spans="1:2" x14ac:dyDescent="0.2">
      <c r="A12534" s="12"/>
      <c r="B12534" s="13"/>
    </row>
    <row r="12535" spans="1:2" x14ac:dyDescent="0.2">
      <c r="A12535" s="12"/>
      <c r="B12535" s="13"/>
    </row>
    <row r="12536" spans="1:2" x14ac:dyDescent="0.2">
      <c r="A12536" s="12"/>
      <c r="B12536" s="13"/>
    </row>
    <row r="12537" spans="1:2" x14ac:dyDescent="0.2">
      <c r="A12537" s="12"/>
      <c r="B12537" s="13"/>
    </row>
    <row r="12538" spans="1:2" x14ac:dyDescent="0.2">
      <c r="A12538" s="12"/>
      <c r="B12538" s="13"/>
    </row>
    <row r="12539" spans="1:2" x14ac:dyDescent="0.2">
      <c r="A12539" s="12"/>
      <c r="B12539" s="13"/>
    </row>
    <row r="12540" spans="1:2" x14ac:dyDescent="0.2">
      <c r="A12540" s="12"/>
      <c r="B12540" s="13"/>
    </row>
    <row r="12541" spans="1:2" x14ac:dyDescent="0.2">
      <c r="A12541" s="12"/>
      <c r="B12541" s="13"/>
    </row>
    <row r="12542" spans="1:2" x14ac:dyDescent="0.2">
      <c r="A12542" s="12"/>
      <c r="B12542" s="13"/>
    </row>
    <row r="12543" spans="1:2" x14ac:dyDescent="0.2">
      <c r="A12543" s="12"/>
      <c r="B12543" s="13"/>
    </row>
    <row r="12544" spans="1:2" x14ac:dyDescent="0.2">
      <c r="A12544" s="12"/>
      <c r="B12544" s="13"/>
    </row>
    <row r="12545" spans="1:2" x14ac:dyDescent="0.2">
      <c r="A12545" s="12"/>
      <c r="B12545" s="13"/>
    </row>
    <row r="12546" spans="1:2" x14ac:dyDescent="0.2">
      <c r="A12546" s="12"/>
      <c r="B12546" s="13"/>
    </row>
    <row r="12547" spans="1:2" x14ac:dyDescent="0.2">
      <c r="A12547" s="12"/>
      <c r="B12547" s="13"/>
    </row>
    <row r="12548" spans="1:2" x14ac:dyDescent="0.2">
      <c r="A12548" s="12"/>
      <c r="B12548" s="13"/>
    </row>
    <row r="12549" spans="1:2" x14ac:dyDescent="0.2">
      <c r="A12549" s="12"/>
      <c r="B12549" s="13"/>
    </row>
    <row r="12550" spans="1:2" x14ac:dyDescent="0.2">
      <c r="A12550" s="12"/>
      <c r="B12550" s="13"/>
    </row>
    <row r="12551" spans="1:2" x14ac:dyDescent="0.2">
      <c r="A12551" s="12"/>
      <c r="B12551" s="13"/>
    </row>
    <row r="12552" spans="1:2" x14ac:dyDescent="0.2">
      <c r="A12552" s="12"/>
      <c r="B12552" s="13"/>
    </row>
    <row r="12553" spans="1:2" x14ac:dyDescent="0.2">
      <c r="A12553" s="12"/>
      <c r="B12553" s="13"/>
    </row>
    <row r="12554" spans="1:2" x14ac:dyDescent="0.2">
      <c r="A12554" s="12"/>
      <c r="B12554" s="13"/>
    </row>
    <row r="12555" spans="1:2" x14ac:dyDescent="0.2">
      <c r="A12555" s="12"/>
      <c r="B12555" s="13"/>
    </row>
    <row r="12556" spans="1:2" x14ac:dyDescent="0.2">
      <c r="A12556" s="12"/>
      <c r="B12556" s="13"/>
    </row>
    <row r="12557" spans="1:2" x14ac:dyDescent="0.2">
      <c r="A12557" s="12"/>
      <c r="B12557" s="13"/>
    </row>
    <row r="12558" spans="1:2" x14ac:dyDescent="0.2">
      <c r="A12558" s="12"/>
      <c r="B12558" s="13"/>
    </row>
    <row r="12559" spans="1:2" x14ac:dyDescent="0.2">
      <c r="A12559" s="12"/>
      <c r="B12559" s="13"/>
    </row>
    <row r="12560" spans="1:2" x14ac:dyDescent="0.2">
      <c r="A12560" s="12"/>
      <c r="B12560" s="13"/>
    </row>
    <row r="12561" spans="1:2" x14ac:dyDescent="0.2">
      <c r="A12561" s="12"/>
      <c r="B12561" s="13"/>
    </row>
    <row r="12562" spans="1:2" x14ac:dyDescent="0.2">
      <c r="A12562" s="12"/>
      <c r="B12562" s="13"/>
    </row>
    <row r="12563" spans="1:2" x14ac:dyDescent="0.2">
      <c r="A12563" s="12"/>
      <c r="B12563" s="13"/>
    </row>
    <row r="12564" spans="1:2" x14ac:dyDescent="0.2">
      <c r="A12564" s="12"/>
      <c r="B12564" s="13"/>
    </row>
    <row r="12565" spans="1:2" x14ac:dyDescent="0.2">
      <c r="A12565" s="12"/>
      <c r="B12565" s="13"/>
    </row>
    <row r="12566" spans="1:2" x14ac:dyDescent="0.2">
      <c r="A12566" s="12"/>
      <c r="B12566" s="13"/>
    </row>
    <row r="12567" spans="1:2" x14ac:dyDescent="0.2">
      <c r="A12567" s="12"/>
      <c r="B12567" s="13"/>
    </row>
    <row r="12568" spans="1:2" x14ac:dyDescent="0.2">
      <c r="A12568" s="12"/>
      <c r="B12568" s="13"/>
    </row>
    <row r="12569" spans="1:2" x14ac:dyDescent="0.2">
      <c r="A12569" s="12"/>
      <c r="B12569" s="13"/>
    </row>
    <row r="12570" spans="1:2" x14ac:dyDescent="0.2">
      <c r="A12570" s="12"/>
      <c r="B12570" s="13"/>
    </row>
    <row r="12571" spans="1:2" x14ac:dyDescent="0.2">
      <c r="A12571" s="12"/>
      <c r="B12571" s="13"/>
    </row>
    <row r="12572" spans="1:2" x14ac:dyDescent="0.2">
      <c r="A12572" s="12"/>
      <c r="B12572" s="13"/>
    </row>
    <row r="12573" spans="1:2" x14ac:dyDescent="0.2">
      <c r="A12573" s="12"/>
      <c r="B12573" s="13"/>
    </row>
    <row r="12574" spans="1:2" x14ac:dyDescent="0.2">
      <c r="A12574" s="12"/>
      <c r="B12574" s="13"/>
    </row>
    <row r="12575" spans="1:2" x14ac:dyDescent="0.2">
      <c r="A12575" s="12"/>
      <c r="B12575" s="13"/>
    </row>
    <row r="12576" spans="1:2" x14ac:dyDescent="0.2">
      <c r="A12576" s="12"/>
      <c r="B12576" s="13"/>
    </row>
    <row r="12577" spans="1:2" x14ac:dyDescent="0.2">
      <c r="A12577" s="12"/>
      <c r="B12577" s="13"/>
    </row>
    <row r="12578" spans="1:2" x14ac:dyDescent="0.2">
      <c r="A12578" s="12"/>
      <c r="B12578" s="13"/>
    </row>
    <row r="12579" spans="1:2" x14ac:dyDescent="0.2">
      <c r="A12579" s="12"/>
      <c r="B12579" s="13"/>
    </row>
    <row r="12580" spans="1:2" x14ac:dyDescent="0.2">
      <c r="A12580" s="12"/>
      <c r="B12580" s="13"/>
    </row>
    <row r="12581" spans="1:2" x14ac:dyDescent="0.2">
      <c r="A12581" s="12"/>
      <c r="B12581" s="13"/>
    </row>
    <row r="12582" spans="1:2" x14ac:dyDescent="0.2">
      <c r="A12582" s="12"/>
      <c r="B12582" s="13"/>
    </row>
    <row r="12583" spans="1:2" x14ac:dyDescent="0.2">
      <c r="A12583" s="12"/>
      <c r="B12583" s="13"/>
    </row>
    <row r="12584" spans="1:2" x14ac:dyDescent="0.2">
      <c r="A12584" s="12"/>
      <c r="B12584" s="13"/>
    </row>
    <row r="12585" spans="1:2" x14ac:dyDescent="0.2">
      <c r="A12585" s="12"/>
      <c r="B12585" s="13"/>
    </row>
    <row r="12586" spans="1:2" x14ac:dyDescent="0.2">
      <c r="A12586" s="12"/>
      <c r="B12586" s="13"/>
    </row>
    <row r="12587" spans="1:2" x14ac:dyDescent="0.2">
      <c r="A12587" s="12"/>
      <c r="B12587" s="13"/>
    </row>
    <row r="12588" spans="1:2" x14ac:dyDescent="0.2">
      <c r="A12588" s="12"/>
      <c r="B12588" s="13"/>
    </row>
    <row r="12589" spans="1:2" x14ac:dyDescent="0.2">
      <c r="A12589" s="12"/>
      <c r="B12589" s="13"/>
    </row>
    <row r="12590" spans="1:2" x14ac:dyDescent="0.2">
      <c r="A12590" s="12"/>
      <c r="B12590" s="13"/>
    </row>
    <row r="12591" spans="1:2" x14ac:dyDescent="0.2">
      <c r="A12591" s="12"/>
      <c r="B12591" s="13"/>
    </row>
    <row r="12592" spans="1:2" x14ac:dyDescent="0.2">
      <c r="A12592" s="12"/>
      <c r="B12592" s="13"/>
    </row>
    <row r="12593" spans="1:2" x14ac:dyDescent="0.2">
      <c r="A12593" s="12"/>
      <c r="B12593" s="13"/>
    </row>
    <row r="12594" spans="1:2" x14ac:dyDescent="0.2">
      <c r="A12594" s="12"/>
      <c r="B12594" s="13"/>
    </row>
    <row r="12595" spans="1:2" x14ac:dyDescent="0.2">
      <c r="A12595" s="12"/>
      <c r="B12595" s="13"/>
    </row>
    <row r="12596" spans="1:2" x14ac:dyDescent="0.2">
      <c r="A12596" s="12"/>
      <c r="B12596" s="13"/>
    </row>
    <row r="12597" spans="1:2" x14ac:dyDescent="0.2">
      <c r="A12597" s="12"/>
      <c r="B12597" s="13"/>
    </row>
    <row r="12598" spans="1:2" x14ac:dyDescent="0.2">
      <c r="A12598" s="12"/>
      <c r="B12598" s="13"/>
    </row>
    <row r="12599" spans="1:2" x14ac:dyDescent="0.2">
      <c r="A12599" s="12"/>
      <c r="B12599" s="13"/>
    </row>
    <row r="12600" spans="1:2" x14ac:dyDescent="0.2">
      <c r="A12600" s="12"/>
      <c r="B12600" s="13"/>
    </row>
    <row r="12601" spans="1:2" x14ac:dyDescent="0.2">
      <c r="A12601" s="12"/>
      <c r="B12601" s="13"/>
    </row>
    <row r="12602" spans="1:2" x14ac:dyDescent="0.2">
      <c r="A12602" s="12"/>
      <c r="B12602" s="13"/>
    </row>
    <row r="12603" spans="1:2" x14ac:dyDescent="0.2">
      <c r="A12603" s="12"/>
      <c r="B12603" s="13"/>
    </row>
    <row r="12604" spans="1:2" x14ac:dyDescent="0.2">
      <c r="A12604" s="12"/>
      <c r="B12604" s="13"/>
    </row>
    <row r="12605" spans="1:2" x14ac:dyDescent="0.2">
      <c r="A12605" s="12"/>
      <c r="B12605" s="13"/>
    </row>
    <row r="12606" spans="1:2" x14ac:dyDescent="0.2">
      <c r="A12606" s="12"/>
      <c r="B12606" s="13"/>
    </row>
    <row r="12607" spans="1:2" x14ac:dyDescent="0.2">
      <c r="A12607" s="12"/>
      <c r="B12607" s="13"/>
    </row>
    <row r="12608" spans="1:2" x14ac:dyDescent="0.2">
      <c r="A12608" s="12"/>
      <c r="B12608" s="13"/>
    </row>
    <row r="12609" spans="1:2" x14ac:dyDescent="0.2">
      <c r="A12609" s="12"/>
      <c r="B12609" s="13"/>
    </row>
    <row r="12610" spans="1:2" x14ac:dyDescent="0.2">
      <c r="A12610" s="12"/>
      <c r="B12610" s="13"/>
    </row>
    <row r="12611" spans="1:2" x14ac:dyDescent="0.2">
      <c r="A12611" s="12"/>
      <c r="B12611" s="13"/>
    </row>
    <row r="12612" spans="1:2" x14ac:dyDescent="0.2">
      <c r="A12612" s="12"/>
      <c r="B12612" s="13"/>
    </row>
    <row r="12613" spans="1:2" x14ac:dyDescent="0.2">
      <c r="A12613" s="12"/>
      <c r="B12613" s="13"/>
    </row>
    <row r="12614" spans="1:2" x14ac:dyDescent="0.2">
      <c r="A12614" s="12"/>
      <c r="B12614" s="13"/>
    </row>
    <row r="12615" spans="1:2" x14ac:dyDescent="0.2">
      <c r="A12615" s="12"/>
      <c r="B12615" s="13"/>
    </row>
    <row r="12616" spans="1:2" x14ac:dyDescent="0.2">
      <c r="A12616" s="12"/>
      <c r="B12616" s="13"/>
    </row>
    <row r="12617" spans="1:2" x14ac:dyDescent="0.2">
      <c r="A12617" s="12"/>
      <c r="B12617" s="13"/>
    </row>
    <row r="12618" spans="1:2" x14ac:dyDescent="0.2">
      <c r="A12618" s="12"/>
      <c r="B12618" s="13"/>
    </row>
    <row r="12619" spans="1:2" x14ac:dyDescent="0.2">
      <c r="A12619" s="12"/>
      <c r="B12619" s="13"/>
    </row>
    <row r="12620" spans="1:2" x14ac:dyDescent="0.2">
      <c r="A12620" s="12"/>
      <c r="B12620" s="13"/>
    </row>
    <row r="12621" spans="1:2" x14ac:dyDescent="0.2">
      <c r="A12621" s="12"/>
      <c r="B12621" s="13"/>
    </row>
    <row r="12622" spans="1:2" x14ac:dyDescent="0.2">
      <c r="A12622" s="12"/>
      <c r="B12622" s="13"/>
    </row>
    <row r="12623" spans="1:2" x14ac:dyDescent="0.2">
      <c r="A12623" s="12"/>
      <c r="B12623" s="13"/>
    </row>
    <row r="12624" spans="1:2" x14ac:dyDescent="0.2">
      <c r="A12624" s="12"/>
      <c r="B12624" s="13"/>
    </row>
    <row r="12625" spans="1:2" x14ac:dyDescent="0.2">
      <c r="A12625" s="12"/>
      <c r="B12625" s="13"/>
    </row>
    <row r="12626" spans="1:2" x14ac:dyDescent="0.2">
      <c r="A12626" s="12"/>
      <c r="B12626" s="13"/>
    </row>
    <row r="12627" spans="1:2" x14ac:dyDescent="0.2">
      <c r="A12627" s="12"/>
      <c r="B12627" s="13"/>
    </row>
    <row r="12628" spans="1:2" x14ac:dyDescent="0.2">
      <c r="A12628" s="12"/>
      <c r="B12628" s="13"/>
    </row>
    <row r="12629" spans="1:2" x14ac:dyDescent="0.2">
      <c r="A12629" s="12"/>
      <c r="B12629" s="13"/>
    </row>
    <row r="12630" spans="1:2" x14ac:dyDescent="0.2">
      <c r="A12630" s="12"/>
      <c r="B12630" s="13"/>
    </row>
    <row r="12631" spans="1:2" x14ac:dyDescent="0.2">
      <c r="A12631" s="12"/>
      <c r="B12631" s="13"/>
    </row>
    <row r="12632" spans="1:2" x14ac:dyDescent="0.2">
      <c r="A12632" s="12"/>
      <c r="B12632" s="13"/>
    </row>
    <row r="12633" spans="1:2" x14ac:dyDescent="0.2">
      <c r="A12633" s="12"/>
      <c r="B12633" s="13"/>
    </row>
    <row r="12634" spans="1:2" x14ac:dyDescent="0.2">
      <c r="A12634" s="12"/>
      <c r="B12634" s="13"/>
    </row>
    <row r="12635" spans="1:2" x14ac:dyDescent="0.2">
      <c r="A12635" s="12"/>
      <c r="B12635" s="13"/>
    </row>
    <row r="12636" spans="1:2" x14ac:dyDescent="0.2">
      <c r="A12636" s="12"/>
      <c r="B12636" s="13"/>
    </row>
    <row r="12637" spans="1:2" x14ac:dyDescent="0.2">
      <c r="A12637" s="12"/>
      <c r="B12637" s="13"/>
    </row>
    <row r="12638" spans="1:2" x14ac:dyDescent="0.2">
      <c r="A12638" s="12"/>
      <c r="B12638" s="13"/>
    </row>
    <row r="12639" spans="1:2" x14ac:dyDescent="0.2">
      <c r="A12639" s="12"/>
      <c r="B12639" s="13"/>
    </row>
    <row r="12640" spans="1:2" x14ac:dyDescent="0.2">
      <c r="A12640" s="12"/>
      <c r="B12640" s="13"/>
    </row>
    <row r="12641" spans="1:2" x14ac:dyDescent="0.2">
      <c r="A12641" s="12"/>
      <c r="B12641" s="13"/>
    </row>
    <row r="12642" spans="1:2" x14ac:dyDescent="0.2">
      <c r="A12642" s="12"/>
      <c r="B12642" s="13"/>
    </row>
    <row r="12643" spans="1:2" x14ac:dyDescent="0.2">
      <c r="A12643" s="12"/>
      <c r="B12643" s="13"/>
    </row>
    <row r="12644" spans="1:2" x14ac:dyDescent="0.2">
      <c r="A12644" s="12"/>
      <c r="B12644" s="13"/>
    </row>
    <row r="12645" spans="1:2" x14ac:dyDescent="0.2">
      <c r="A12645" s="12"/>
      <c r="B12645" s="13"/>
    </row>
    <row r="12646" spans="1:2" x14ac:dyDescent="0.2">
      <c r="A12646" s="12"/>
      <c r="B12646" s="13"/>
    </row>
    <row r="12647" spans="1:2" x14ac:dyDescent="0.2">
      <c r="A12647" s="12"/>
      <c r="B12647" s="13"/>
    </row>
    <row r="12648" spans="1:2" x14ac:dyDescent="0.2">
      <c r="A12648" s="12"/>
      <c r="B12648" s="13"/>
    </row>
    <row r="12649" spans="1:2" x14ac:dyDescent="0.2">
      <c r="A12649" s="12"/>
      <c r="B12649" s="13"/>
    </row>
    <row r="12650" spans="1:2" x14ac:dyDescent="0.2">
      <c r="A12650" s="12"/>
      <c r="B12650" s="13"/>
    </row>
    <row r="12651" spans="1:2" x14ac:dyDescent="0.2">
      <c r="A12651" s="12"/>
      <c r="B12651" s="13"/>
    </row>
    <row r="12652" spans="1:2" x14ac:dyDescent="0.2">
      <c r="A12652" s="12"/>
      <c r="B12652" s="13"/>
    </row>
    <row r="12653" spans="1:2" x14ac:dyDescent="0.2">
      <c r="A12653" s="12"/>
      <c r="B12653" s="13"/>
    </row>
    <row r="12654" spans="1:2" x14ac:dyDescent="0.2">
      <c r="A12654" s="12"/>
      <c r="B12654" s="13"/>
    </row>
    <row r="12655" spans="1:2" x14ac:dyDescent="0.2">
      <c r="A12655" s="12"/>
      <c r="B12655" s="13"/>
    </row>
    <row r="12656" spans="1:2" x14ac:dyDescent="0.2">
      <c r="A12656" s="12"/>
      <c r="B12656" s="13"/>
    </row>
    <row r="12657" spans="1:2" x14ac:dyDescent="0.2">
      <c r="A12657" s="12"/>
      <c r="B12657" s="13"/>
    </row>
    <row r="12658" spans="1:2" x14ac:dyDescent="0.2">
      <c r="A12658" s="12"/>
      <c r="B12658" s="13"/>
    </row>
    <row r="12659" spans="1:2" x14ac:dyDescent="0.2">
      <c r="A12659" s="12"/>
      <c r="B12659" s="13"/>
    </row>
    <row r="12660" spans="1:2" x14ac:dyDescent="0.2">
      <c r="A12660" s="12"/>
      <c r="B12660" s="13"/>
    </row>
    <row r="12661" spans="1:2" x14ac:dyDescent="0.2">
      <c r="A12661" s="12"/>
      <c r="B12661" s="13"/>
    </row>
    <row r="12662" spans="1:2" x14ac:dyDescent="0.2">
      <c r="A12662" s="12"/>
      <c r="B12662" s="13"/>
    </row>
    <row r="12663" spans="1:2" x14ac:dyDescent="0.2">
      <c r="A12663" s="12"/>
      <c r="B12663" s="13"/>
    </row>
    <row r="12664" spans="1:2" x14ac:dyDescent="0.2">
      <c r="A12664" s="12"/>
      <c r="B12664" s="13"/>
    </row>
    <row r="12665" spans="1:2" x14ac:dyDescent="0.2">
      <c r="A12665" s="12"/>
      <c r="B12665" s="13"/>
    </row>
    <row r="12666" spans="1:2" x14ac:dyDescent="0.2">
      <c r="A12666" s="12"/>
      <c r="B12666" s="13"/>
    </row>
    <row r="12667" spans="1:2" x14ac:dyDescent="0.2">
      <c r="A12667" s="12"/>
      <c r="B12667" s="13"/>
    </row>
    <row r="12668" spans="1:2" x14ac:dyDescent="0.2">
      <c r="A12668" s="12"/>
      <c r="B12668" s="13"/>
    </row>
    <row r="12669" spans="1:2" x14ac:dyDescent="0.2">
      <c r="A12669" s="12"/>
      <c r="B12669" s="13"/>
    </row>
    <row r="12670" spans="1:2" x14ac:dyDescent="0.2">
      <c r="A12670" s="12"/>
      <c r="B12670" s="13"/>
    </row>
    <row r="12671" spans="1:2" x14ac:dyDescent="0.2">
      <c r="A12671" s="12"/>
      <c r="B12671" s="13"/>
    </row>
    <row r="12672" spans="1:2" x14ac:dyDescent="0.2">
      <c r="A12672" s="12"/>
      <c r="B12672" s="13"/>
    </row>
    <row r="12673" spans="1:2" x14ac:dyDescent="0.2">
      <c r="A12673" s="12"/>
      <c r="B12673" s="13"/>
    </row>
    <row r="12674" spans="1:2" x14ac:dyDescent="0.2">
      <c r="A12674" s="12"/>
      <c r="B12674" s="13"/>
    </row>
    <row r="12675" spans="1:2" x14ac:dyDescent="0.2">
      <c r="A12675" s="12"/>
      <c r="B12675" s="13"/>
    </row>
    <row r="12676" spans="1:2" x14ac:dyDescent="0.2">
      <c r="A12676" s="12"/>
      <c r="B12676" s="13"/>
    </row>
    <row r="12677" spans="1:2" x14ac:dyDescent="0.2">
      <c r="A12677" s="12"/>
      <c r="B12677" s="13"/>
    </row>
    <row r="12678" spans="1:2" x14ac:dyDescent="0.2">
      <c r="A12678" s="12"/>
      <c r="B12678" s="13"/>
    </row>
    <row r="12679" spans="1:2" x14ac:dyDescent="0.2">
      <c r="A12679" s="12"/>
      <c r="B12679" s="13"/>
    </row>
    <row r="12680" spans="1:2" x14ac:dyDescent="0.2">
      <c r="A12680" s="12"/>
      <c r="B12680" s="13"/>
    </row>
    <row r="12681" spans="1:2" x14ac:dyDescent="0.2">
      <c r="A12681" s="12"/>
      <c r="B12681" s="13"/>
    </row>
    <row r="12682" spans="1:2" x14ac:dyDescent="0.2">
      <c r="A12682" s="12"/>
      <c r="B12682" s="13"/>
    </row>
    <row r="12683" spans="1:2" x14ac:dyDescent="0.2">
      <c r="A12683" s="12"/>
      <c r="B12683" s="13"/>
    </row>
    <row r="12684" spans="1:2" x14ac:dyDescent="0.2">
      <c r="A12684" s="12"/>
      <c r="B12684" s="13"/>
    </row>
    <row r="12685" spans="1:2" x14ac:dyDescent="0.2">
      <c r="A12685" s="12"/>
      <c r="B12685" s="13"/>
    </row>
    <row r="12686" spans="1:2" x14ac:dyDescent="0.2">
      <c r="A12686" s="12"/>
      <c r="B12686" s="13"/>
    </row>
    <row r="12687" spans="1:2" x14ac:dyDescent="0.2">
      <c r="A12687" s="12"/>
      <c r="B12687" s="13"/>
    </row>
    <row r="12688" spans="1:2" x14ac:dyDescent="0.2">
      <c r="A12688" s="12"/>
      <c r="B12688" s="13"/>
    </row>
    <row r="12689" spans="1:2" x14ac:dyDescent="0.2">
      <c r="A12689" s="12"/>
      <c r="B12689" s="13"/>
    </row>
    <row r="12690" spans="1:2" x14ac:dyDescent="0.2">
      <c r="A12690" s="12"/>
      <c r="B12690" s="13"/>
    </row>
    <row r="12691" spans="1:2" x14ac:dyDescent="0.2">
      <c r="A12691" s="12"/>
      <c r="B12691" s="13"/>
    </row>
    <row r="12692" spans="1:2" x14ac:dyDescent="0.2">
      <c r="A12692" s="12"/>
      <c r="B12692" s="13"/>
    </row>
    <row r="12693" spans="1:2" x14ac:dyDescent="0.2">
      <c r="A12693" s="12"/>
      <c r="B12693" s="13"/>
    </row>
    <row r="12694" spans="1:2" x14ac:dyDescent="0.2">
      <c r="A12694" s="12"/>
      <c r="B12694" s="13"/>
    </row>
    <row r="12695" spans="1:2" x14ac:dyDescent="0.2">
      <c r="A12695" s="12"/>
      <c r="B12695" s="13"/>
    </row>
    <row r="12696" spans="1:2" x14ac:dyDescent="0.2">
      <c r="A12696" s="12"/>
      <c r="B12696" s="13"/>
    </row>
    <row r="12697" spans="1:2" x14ac:dyDescent="0.2">
      <c r="A12697" s="12"/>
      <c r="B12697" s="13"/>
    </row>
    <row r="12698" spans="1:2" x14ac:dyDescent="0.2">
      <c r="A12698" s="12"/>
      <c r="B12698" s="13"/>
    </row>
    <row r="12699" spans="1:2" x14ac:dyDescent="0.2">
      <c r="A12699" s="12"/>
      <c r="B12699" s="13"/>
    </row>
    <row r="12700" spans="1:2" x14ac:dyDescent="0.2">
      <c r="A12700" s="12"/>
      <c r="B12700" s="13"/>
    </row>
    <row r="12701" spans="1:2" x14ac:dyDescent="0.2">
      <c r="A12701" s="12"/>
      <c r="B12701" s="13"/>
    </row>
    <row r="12702" spans="1:2" x14ac:dyDescent="0.2">
      <c r="A12702" s="12"/>
      <c r="B12702" s="13"/>
    </row>
    <row r="12703" spans="1:2" x14ac:dyDescent="0.2">
      <c r="A12703" s="12"/>
      <c r="B12703" s="13"/>
    </row>
    <row r="12704" spans="1:2" x14ac:dyDescent="0.2">
      <c r="A12704" s="12"/>
      <c r="B12704" s="13"/>
    </row>
    <row r="12705" spans="1:2" x14ac:dyDescent="0.2">
      <c r="A12705" s="12"/>
      <c r="B12705" s="13"/>
    </row>
    <row r="12706" spans="1:2" x14ac:dyDescent="0.2">
      <c r="A12706" s="12"/>
      <c r="B12706" s="13"/>
    </row>
    <row r="12707" spans="1:2" x14ac:dyDescent="0.2">
      <c r="A12707" s="12"/>
      <c r="B12707" s="13"/>
    </row>
    <row r="12708" spans="1:2" x14ac:dyDescent="0.2">
      <c r="A12708" s="12"/>
      <c r="B12708" s="13"/>
    </row>
    <row r="12709" spans="1:2" x14ac:dyDescent="0.2">
      <c r="A12709" s="12"/>
      <c r="B12709" s="13"/>
    </row>
    <row r="12710" spans="1:2" x14ac:dyDescent="0.2">
      <c r="A12710" s="12"/>
      <c r="B12710" s="13"/>
    </row>
    <row r="12711" spans="1:2" x14ac:dyDescent="0.2">
      <c r="A12711" s="12"/>
      <c r="B12711" s="13"/>
    </row>
    <row r="12712" spans="1:2" x14ac:dyDescent="0.2">
      <c r="A12712" s="12"/>
      <c r="B12712" s="13"/>
    </row>
    <row r="12713" spans="1:2" x14ac:dyDescent="0.2">
      <c r="A12713" s="12"/>
      <c r="B12713" s="13"/>
    </row>
    <row r="12714" spans="1:2" x14ac:dyDescent="0.2">
      <c r="A12714" s="12"/>
      <c r="B12714" s="13"/>
    </row>
    <row r="12715" spans="1:2" x14ac:dyDescent="0.2">
      <c r="A12715" s="12"/>
      <c r="B12715" s="13"/>
    </row>
    <row r="12716" spans="1:2" x14ac:dyDescent="0.2">
      <c r="A12716" s="12"/>
      <c r="B12716" s="13"/>
    </row>
    <row r="12717" spans="1:2" x14ac:dyDescent="0.2">
      <c r="A12717" s="12"/>
      <c r="B12717" s="13"/>
    </row>
    <row r="12718" spans="1:2" x14ac:dyDescent="0.2">
      <c r="A12718" s="12"/>
      <c r="B12718" s="13"/>
    </row>
    <row r="12719" spans="1:2" x14ac:dyDescent="0.2">
      <c r="A12719" s="12"/>
      <c r="B12719" s="13"/>
    </row>
    <row r="12720" spans="1:2" x14ac:dyDescent="0.2">
      <c r="A12720" s="12"/>
      <c r="B12720" s="13"/>
    </row>
    <row r="12721" spans="1:2" x14ac:dyDescent="0.2">
      <c r="A12721" s="12"/>
      <c r="B12721" s="13"/>
    </row>
    <row r="12722" spans="1:2" x14ac:dyDescent="0.2">
      <c r="A12722" s="12"/>
      <c r="B12722" s="13"/>
    </row>
    <row r="12723" spans="1:2" x14ac:dyDescent="0.2">
      <c r="A12723" s="12"/>
      <c r="B12723" s="13"/>
    </row>
    <row r="12724" spans="1:2" x14ac:dyDescent="0.2">
      <c r="A12724" s="12"/>
      <c r="B12724" s="13"/>
    </row>
    <row r="12725" spans="1:2" x14ac:dyDescent="0.2">
      <c r="A12725" s="12"/>
      <c r="B12725" s="13"/>
    </row>
    <row r="12726" spans="1:2" x14ac:dyDescent="0.2">
      <c r="A12726" s="12"/>
      <c r="B12726" s="13"/>
    </row>
    <row r="12727" spans="1:2" x14ac:dyDescent="0.2">
      <c r="A12727" s="12"/>
      <c r="B12727" s="13"/>
    </row>
    <row r="12728" spans="1:2" x14ac:dyDescent="0.2">
      <c r="A12728" s="12"/>
      <c r="B12728" s="13"/>
    </row>
    <row r="12729" spans="1:2" x14ac:dyDescent="0.2">
      <c r="A12729" s="12"/>
      <c r="B12729" s="13"/>
    </row>
    <row r="12730" spans="1:2" x14ac:dyDescent="0.2">
      <c r="A12730" s="12"/>
      <c r="B12730" s="13"/>
    </row>
    <row r="12731" spans="1:2" x14ac:dyDescent="0.2">
      <c r="A12731" s="12"/>
      <c r="B12731" s="13"/>
    </row>
    <row r="12732" spans="1:2" x14ac:dyDescent="0.2">
      <c r="A12732" s="12"/>
      <c r="B12732" s="13"/>
    </row>
    <row r="12733" spans="1:2" x14ac:dyDescent="0.2">
      <c r="A12733" s="12"/>
      <c r="B12733" s="13"/>
    </row>
    <row r="12734" spans="1:2" x14ac:dyDescent="0.2">
      <c r="A12734" s="12"/>
      <c r="B12734" s="13"/>
    </row>
    <row r="12735" spans="1:2" x14ac:dyDescent="0.2">
      <c r="A12735" s="12"/>
      <c r="B12735" s="13"/>
    </row>
    <row r="12736" spans="1:2" x14ac:dyDescent="0.2">
      <c r="A12736" s="12"/>
      <c r="B12736" s="13"/>
    </row>
    <row r="12737" spans="1:2" x14ac:dyDescent="0.2">
      <c r="A12737" s="12"/>
      <c r="B12737" s="13"/>
    </row>
    <row r="12738" spans="1:2" x14ac:dyDescent="0.2">
      <c r="A12738" s="12"/>
      <c r="B12738" s="13"/>
    </row>
    <row r="12739" spans="1:2" x14ac:dyDescent="0.2">
      <c r="A12739" s="12"/>
      <c r="B12739" s="13"/>
    </row>
    <row r="12740" spans="1:2" x14ac:dyDescent="0.2">
      <c r="A12740" s="12"/>
      <c r="B12740" s="13"/>
    </row>
    <row r="12741" spans="1:2" x14ac:dyDescent="0.2">
      <c r="A12741" s="12"/>
      <c r="B12741" s="13"/>
    </row>
    <row r="12742" spans="1:2" x14ac:dyDescent="0.2">
      <c r="A12742" s="12"/>
      <c r="B12742" s="13"/>
    </row>
    <row r="12743" spans="1:2" x14ac:dyDescent="0.2">
      <c r="A12743" s="12"/>
      <c r="B12743" s="13"/>
    </row>
    <row r="12744" spans="1:2" x14ac:dyDescent="0.2">
      <c r="A12744" s="12"/>
      <c r="B12744" s="13"/>
    </row>
    <row r="12745" spans="1:2" x14ac:dyDescent="0.2">
      <c r="A12745" s="12"/>
      <c r="B12745" s="13"/>
    </row>
    <row r="12746" spans="1:2" x14ac:dyDescent="0.2">
      <c r="A12746" s="12"/>
      <c r="B12746" s="13"/>
    </row>
    <row r="12747" spans="1:2" x14ac:dyDescent="0.2">
      <c r="A12747" s="12"/>
      <c r="B12747" s="13"/>
    </row>
    <row r="12748" spans="1:2" x14ac:dyDescent="0.2">
      <c r="A12748" s="12"/>
      <c r="B12748" s="13"/>
    </row>
    <row r="12749" spans="1:2" x14ac:dyDescent="0.2">
      <c r="A12749" s="12"/>
      <c r="B12749" s="13"/>
    </row>
    <row r="12750" spans="1:2" x14ac:dyDescent="0.2">
      <c r="A12750" s="12"/>
      <c r="B12750" s="13"/>
    </row>
    <row r="12751" spans="1:2" x14ac:dyDescent="0.2">
      <c r="A12751" s="12"/>
      <c r="B12751" s="13"/>
    </row>
    <row r="12752" spans="1:2" x14ac:dyDescent="0.2">
      <c r="A12752" s="12"/>
      <c r="B12752" s="13"/>
    </row>
    <row r="12753" spans="1:2" x14ac:dyDescent="0.2">
      <c r="A12753" s="12"/>
      <c r="B12753" s="13"/>
    </row>
    <row r="12754" spans="1:2" x14ac:dyDescent="0.2">
      <c r="A12754" s="12"/>
      <c r="B12754" s="13"/>
    </row>
    <row r="12755" spans="1:2" x14ac:dyDescent="0.2">
      <c r="A12755" s="12"/>
      <c r="B12755" s="13"/>
    </row>
    <row r="12756" spans="1:2" x14ac:dyDescent="0.2">
      <c r="A12756" s="12"/>
      <c r="B12756" s="13"/>
    </row>
    <row r="12757" spans="1:2" x14ac:dyDescent="0.2">
      <c r="A12757" s="12"/>
      <c r="B12757" s="13"/>
    </row>
    <row r="12758" spans="1:2" x14ac:dyDescent="0.2">
      <c r="A12758" s="12"/>
      <c r="B12758" s="13"/>
    </row>
    <row r="12759" spans="1:2" x14ac:dyDescent="0.2">
      <c r="A12759" s="12"/>
      <c r="B12759" s="13"/>
    </row>
    <row r="12760" spans="1:2" x14ac:dyDescent="0.2">
      <c r="A12760" s="12"/>
      <c r="B12760" s="13"/>
    </row>
    <row r="12761" spans="1:2" x14ac:dyDescent="0.2">
      <c r="A12761" s="12"/>
      <c r="B12761" s="13"/>
    </row>
    <row r="12762" spans="1:2" x14ac:dyDescent="0.2">
      <c r="A12762" s="12"/>
      <c r="B12762" s="13"/>
    </row>
    <row r="12763" spans="1:2" x14ac:dyDescent="0.2">
      <c r="A12763" s="12"/>
      <c r="B12763" s="13"/>
    </row>
    <row r="12764" spans="1:2" x14ac:dyDescent="0.2">
      <c r="A12764" s="12"/>
      <c r="B12764" s="13"/>
    </row>
    <row r="12765" spans="1:2" x14ac:dyDescent="0.2">
      <c r="A12765" s="12"/>
      <c r="B12765" s="13"/>
    </row>
    <row r="12766" spans="1:2" x14ac:dyDescent="0.2">
      <c r="A12766" s="12"/>
      <c r="B12766" s="13"/>
    </row>
    <row r="12767" spans="1:2" x14ac:dyDescent="0.2">
      <c r="A12767" s="12"/>
      <c r="B12767" s="13"/>
    </row>
    <row r="12768" spans="1:2" x14ac:dyDescent="0.2">
      <c r="A12768" s="12"/>
      <c r="B12768" s="13"/>
    </row>
    <row r="12769" spans="1:2" x14ac:dyDescent="0.2">
      <c r="A12769" s="12"/>
      <c r="B12769" s="13"/>
    </row>
    <row r="12770" spans="1:2" x14ac:dyDescent="0.2">
      <c r="A12770" s="12"/>
      <c r="B12770" s="13"/>
    </row>
    <row r="12771" spans="1:2" x14ac:dyDescent="0.2">
      <c r="A12771" s="12"/>
      <c r="B12771" s="13"/>
    </row>
    <row r="12772" spans="1:2" x14ac:dyDescent="0.2">
      <c r="A12772" s="12"/>
      <c r="B12772" s="13"/>
    </row>
    <row r="12773" spans="1:2" x14ac:dyDescent="0.2">
      <c r="A12773" s="12"/>
      <c r="B12773" s="13"/>
    </row>
    <row r="12774" spans="1:2" x14ac:dyDescent="0.2">
      <c r="A12774" s="12"/>
      <c r="B12774" s="13"/>
    </row>
    <row r="12775" spans="1:2" x14ac:dyDescent="0.2">
      <c r="A12775" s="12"/>
      <c r="B12775" s="13"/>
    </row>
    <row r="12776" spans="1:2" x14ac:dyDescent="0.2">
      <c r="A12776" s="12"/>
      <c r="B12776" s="13"/>
    </row>
    <row r="12777" spans="1:2" x14ac:dyDescent="0.2">
      <c r="A12777" s="12"/>
      <c r="B12777" s="13"/>
    </row>
    <row r="12778" spans="1:2" x14ac:dyDescent="0.2">
      <c r="A12778" s="12"/>
      <c r="B12778" s="13"/>
    </row>
    <row r="12779" spans="1:2" x14ac:dyDescent="0.2">
      <c r="A12779" s="12"/>
      <c r="B12779" s="13"/>
    </row>
    <row r="12780" spans="1:2" x14ac:dyDescent="0.2">
      <c r="A12780" s="12"/>
      <c r="B12780" s="13"/>
    </row>
    <row r="12781" spans="1:2" x14ac:dyDescent="0.2">
      <c r="A12781" s="12"/>
      <c r="B12781" s="13"/>
    </row>
    <row r="12782" spans="1:2" x14ac:dyDescent="0.2">
      <c r="A12782" s="12"/>
      <c r="B12782" s="13"/>
    </row>
    <row r="12783" spans="1:2" x14ac:dyDescent="0.2">
      <c r="A12783" s="12"/>
      <c r="B12783" s="13"/>
    </row>
    <row r="12784" spans="1:2" x14ac:dyDescent="0.2">
      <c r="A12784" s="12"/>
      <c r="B12784" s="13"/>
    </row>
    <row r="12785" spans="1:2" x14ac:dyDescent="0.2">
      <c r="A12785" s="12"/>
      <c r="B12785" s="13"/>
    </row>
    <row r="12786" spans="1:2" x14ac:dyDescent="0.2">
      <c r="A12786" s="12"/>
      <c r="B12786" s="13"/>
    </row>
    <row r="12787" spans="1:2" x14ac:dyDescent="0.2">
      <c r="A12787" s="12"/>
      <c r="B12787" s="13"/>
    </row>
    <row r="12788" spans="1:2" x14ac:dyDescent="0.2">
      <c r="A12788" s="12"/>
      <c r="B12788" s="13"/>
    </row>
    <row r="12789" spans="1:2" x14ac:dyDescent="0.2">
      <c r="A12789" s="12"/>
      <c r="B12789" s="13"/>
    </row>
    <row r="12790" spans="1:2" x14ac:dyDescent="0.2">
      <c r="A12790" s="12"/>
      <c r="B12790" s="13"/>
    </row>
    <row r="12791" spans="1:2" x14ac:dyDescent="0.2">
      <c r="A12791" s="12"/>
      <c r="B12791" s="13"/>
    </row>
    <row r="12792" spans="1:2" x14ac:dyDescent="0.2">
      <c r="A12792" s="12"/>
      <c r="B12792" s="13"/>
    </row>
    <row r="12793" spans="1:2" x14ac:dyDescent="0.2">
      <c r="A12793" s="12"/>
      <c r="B12793" s="13"/>
    </row>
    <row r="12794" spans="1:2" x14ac:dyDescent="0.2">
      <c r="A12794" s="12"/>
      <c r="B12794" s="13"/>
    </row>
    <row r="12795" spans="1:2" x14ac:dyDescent="0.2">
      <c r="A12795" s="12"/>
      <c r="B12795" s="13"/>
    </row>
    <row r="12796" spans="1:2" x14ac:dyDescent="0.2">
      <c r="A12796" s="12"/>
      <c r="B12796" s="13"/>
    </row>
    <row r="12797" spans="1:2" x14ac:dyDescent="0.2">
      <c r="A12797" s="12"/>
      <c r="B12797" s="13"/>
    </row>
    <row r="12798" spans="1:2" x14ac:dyDescent="0.2">
      <c r="A12798" s="12"/>
      <c r="B12798" s="13"/>
    </row>
    <row r="12799" spans="1:2" x14ac:dyDescent="0.2">
      <c r="A12799" s="12"/>
      <c r="B12799" s="13"/>
    </row>
    <row r="12800" spans="1:2" x14ac:dyDescent="0.2">
      <c r="A12800" s="12"/>
      <c r="B12800" s="13"/>
    </row>
    <row r="12801" spans="1:2" x14ac:dyDescent="0.2">
      <c r="A12801" s="12"/>
      <c r="B12801" s="13"/>
    </row>
    <row r="12802" spans="1:2" x14ac:dyDescent="0.2">
      <c r="A12802" s="12"/>
      <c r="B12802" s="13"/>
    </row>
    <row r="12803" spans="1:2" x14ac:dyDescent="0.2">
      <c r="A12803" s="12"/>
      <c r="B12803" s="13"/>
    </row>
    <row r="12804" spans="1:2" x14ac:dyDescent="0.2">
      <c r="A12804" s="12"/>
      <c r="B12804" s="13"/>
    </row>
    <row r="12805" spans="1:2" x14ac:dyDescent="0.2">
      <c r="A12805" s="12"/>
      <c r="B12805" s="13"/>
    </row>
    <row r="12806" spans="1:2" x14ac:dyDescent="0.2">
      <c r="A12806" s="12"/>
      <c r="B12806" s="13"/>
    </row>
    <row r="12807" spans="1:2" x14ac:dyDescent="0.2">
      <c r="A12807" s="12"/>
      <c r="B12807" s="13"/>
    </row>
    <row r="12808" spans="1:2" x14ac:dyDescent="0.2">
      <c r="A12808" s="12"/>
      <c r="B12808" s="13"/>
    </row>
    <row r="12809" spans="1:2" x14ac:dyDescent="0.2">
      <c r="A12809" s="12"/>
      <c r="B12809" s="13"/>
    </row>
    <row r="12810" spans="1:2" x14ac:dyDescent="0.2">
      <c r="A12810" s="12"/>
      <c r="B12810" s="13"/>
    </row>
    <row r="12811" spans="1:2" x14ac:dyDescent="0.2">
      <c r="A12811" s="12"/>
      <c r="B12811" s="13"/>
    </row>
    <row r="12812" spans="1:2" x14ac:dyDescent="0.2">
      <c r="A12812" s="12"/>
      <c r="B12812" s="13"/>
    </row>
    <row r="12813" spans="1:2" x14ac:dyDescent="0.2">
      <c r="A12813" s="12"/>
      <c r="B12813" s="13"/>
    </row>
    <row r="12814" spans="1:2" x14ac:dyDescent="0.2">
      <c r="A12814" s="12"/>
      <c r="B12814" s="13"/>
    </row>
    <row r="12815" spans="1:2" x14ac:dyDescent="0.2">
      <c r="A12815" s="12"/>
      <c r="B12815" s="13"/>
    </row>
    <row r="12816" spans="1:2" x14ac:dyDescent="0.2">
      <c r="A12816" s="12"/>
      <c r="B12816" s="13"/>
    </row>
    <row r="12817" spans="1:2" x14ac:dyDescent="0.2">
      <c r="A12817" s="12"/>
      <c r="B12817" s="13"/>
    </row>
    <row r="12818" spans="1:2" x14ac:dyDescent="0.2">
      <c r="A12818" s="12"/>
      <c r="B12818" s="13"/>
    </row>
    <row r="12819" spans="1:2" x14ac:dyDescent="0.2">
      <c r="A12819" s="12"/>
      <c r="B12819" s="13"/>
    </row>
    <row r="12820" spans="1:2" x14ac:dyDescent="0.2">
      <c r="A12820" s="12"/>
      <c r="B12820" s="13"/>
    </row>
    <row r="12821" spans="1:2" x14ac:dyDescent="0.2">
      <c r="A12821" s="12"/>
      <c r="B12821" s="13"/>
    </row>
    <row r="12822" spans="1:2" x14ac:dyDescent="0.2">
      <c r="A12822" s="12"/>
      <c r="B12822" s="13"/>
    </row>
    <row r="12823" spans="1:2" x14ac:dyDescent="0.2">
      <c r="A12823" s="12"/>
      <c r="B12823" s="13"/>
    </row>
    <row r="12824" spans="1:2" x14ac:dyDescent="0.2">
      <c r="A12824" s="12"/>
      <c r="B12824" s="13"/>
    </row>
    <row r="12825" spans="1:2" x14ac:dyDescent="0.2">
      <c r="A12825" s="12"/>
      <c r="B12825" s="13"/>
    </row>
    <row r="12826" spans="1:2" x14ac:dyDescent="0.2">
      <c r="A12826" s="12"/>
      <c r="B12826" s="13"/>
    </row>
    <row r="12827" spans="1:2" x14ac:dyDescent="0.2">
      <c r="A12827" s="12"/>
      <c r="B12827" s="13"/>
    </row>
    <row r="12828" spans="1:2" x14ac:dyDescent="0.2">
      <c r="A12828" s="12"/>
      <c r="B12828" s="13"/>
    </row>
    <row r="12829" spans="1:2" x14ac:dyDescent="0.2">
      <c r="A12829" s="12"/>
      <c r="B12829" s="13"/>
    </row>
    <row r="12830" spans="1:2" x14ac:dyDescent="0.2">
      <c r="A12830" s="12"/>
      <c r="B12830" s="13"/>
    </row>
    <row r="12831" spans="1:2" x14ac:dyDescent="0.2">
      <c r="A12831" s="12"/>
      <c r="B12831" s="13"/>
    </row>
    <row r="12832" spans="1:2" x14ac:dyDescent="0.2">
      <c r="A12832" s="12"/>
      <c r="B12832" s="13"/>
    </row>
    <row r="12833" spans="1:2" x14ac:dyDescent="0.2">
      <c r="A12833" s="12"/>
      <c r="B12833" s="13"/>
    </row>
    <row r="12834" spans="1:2" x14ac:dyDescent="0.2">
      <c r="A12834" s="12"/>
      <c r="B12834" s="13"/>
    </row>
    <row r="12835" spans="1:2" x14ac:dyDescent="0.2">
      <c r="A12835" s="12"/>
      <c r="B12835" s="13"/>
    </row>
    <row r="12836" spans="1:2" x14ac:dyDescent="0.2">
      <c r="A12836" s="12"/>
      <c r="B12836" s="13"/>
    </row>
    <row r="12837" spans="1:2" x14ac:dyDescent="0.2">
      <c r="A12837" s="12"/>
      <c r="B12837" s="13"/>
    </row>
    <row r="12838" spans="1:2" x14ac:dyDescent="0.2">
      <c r="A12838" s="12"/>
      <c r="B12838" s="13"/>
    </row>
    <row r="12839" spans="1:2" x14ac:dyDescent="0.2">
      <c r="A12839" s="12"/>
      <c r="B12839" s="13"/>
    </row>
    <row r="12840" spans="1:2" x14ac:dyDescent="0.2">
      <c r="A12840" s="12"/>
      <c r="B12840" s="13"/>
    </row>
    <row r="12841" spans="1:2" x14ac:dyDescent="0.2">
      <c r="A12841" s="12"/>
      <c r="B12841" s="13"/>
    </row>
    <row r="12842" spans="1:2" x14ac:dyDescent="0.2">
      <c r="A12842" s="12"/>
      <c r="B12842" s="13"/>
    </row>
    <row r="12843" spans="1:2" x14ac:dyDescent="0.2">
      <c r="A12843" s="12"/>
      <c r="B12843" s="13"/>
    </row>
    <row r="12844" spans="1:2" x14ac:dyDescent="0.2">
      <c r="A12844" s="12"/>
      <c r="B12844" s="13"/>
    </row>
    <row r="12845" spans="1:2" x14ac:dyDescent="0.2">
      <c r="A12845" s="12"/>
      <c r="B12845" s="13"/>
    </row>
    <row r="12846" spans="1:2" x14ac:dyDescent="0.2">
      <c r="A12846" s="12"/>
      <c r="B12846" s="13"/>
    </row>
    <row r="12847" spans="1:2" x14ac:dyDescent="0.2">
      <c r="A12847" s="12"/>
      <c r="B12847" s="13"/>
    </row>
    <row r="12848" spans="1:2" x14ac:dyDescent="0.2">
      <c r="A12848" s="12"/>
      <c r="B12848" s="13"/>
    </row>
    <row r="12849" spans="1:2" x14ac:dyDescent="0.2">
      <c r="A12849" s="12"/>
      <c r="B12849" s="13"/>
    </row>
    <row r="12850" spans="1:2" x14ac:dyDescent="0.2">
      <c r="A12850" s="12"/>
      <c r="B12850" s="13"/>
    </row>
    <row r="12851" spans="1:2" x14ac:dyDescent="0.2">
      <c r="A12851" s="12"/>
      <c r="B12851" s="13"/>
    </row>
    <row r="12852" spans="1:2" x14ac:dyDescent="0.2">
      <c r="A12852" s="12"/>
      <c r="B12852" s="13"/>
    </row>
    <row r="12853" spans="1:2" x14ac:dyDescent="0.2">
      <c r="A12853" s="12"/>
      <c r="B12853" s="13"/>
    </row>
    <row r="12854" spans="1:2" x14ac:dyDescent="0.2">
      <c r="A12854" s="12"/>
      <c r="B12854" s="13"/>
    </row>
    <row r="12855" spans="1:2" x14ac:dyDescent="0.2">
      <c r="A12855" s="12"/>
      <c r="B12855" s="13"/>
    </row>
    <row r="12856" spans="1:2" x14ac:dyDescent="0.2">
      <c r="A12856" s="12"/>
      <c r="B12856" s="13"/>
    </row>
    <row r="12857" spans="1:2" x14ac:dyDescent="0.2">
      <c r="A12857" s="12"/>
      <c r="B12857" s="13"/>
    </row>
    <row r="12858" spans="1:2" x14ac:dyDescent="0.2">
      <c r="A12858" s="12"/>
      <c r="B12858" s="13"/>
    </row>
    <row r="12859" spans="1:2" x14ac:dyDescent="0.2">
      <c r="A12859" s="12"/>
      <c r="B12859" s="13"/>
    </row>
    <row r="12860" spans="1:2" x14ac:dyDescent="0.2">
      <c r="A12860" s="12"/>
      <c r="B12860" s="13"/>
    </row>
    <row r="12861" spans="1:2" x14ac:dyDescent="0.2">
      <c r="A12861" s="12"/>
      <c r="B12861" s="13"/>
    </row>
    <row r="12862" spans="1:2" x14ac:dyDescent="0.2">
      <c r="A12862" s="12"/>
      <c r="B12862" s="13"/>
    </row>
    <row r="12863" spans="1:2" x14ac:dyDescent="0.2">
      <c r="A12863" s="12"/>
      <c r="B12863" s="13"/>
    </row>
    <row r="12864" spans="1:2" x14ac:dyDescent="0.2">
      <c r="A12864" s="12"/>
      <c r="B12864" s="13"/>
    </row>
    <row r="12865" spans="1:2" x14ac:dyDescent="0.2">
      <c r="A12865" s="12"/>
      <c r="B12865" s="13"/>
    </row>
    <row r="12866" spans="1:2" x14ac:dyDescent="0.2">
      <c r="A12866" s="12"/>
      <c r="B12866" s="13"/>
    </row>
    <row r="12867" spans="1:2" x14ac:dyDescent="0.2">
      <c r="A12867" s="12"/>
      <c r="B12867" s="13"/>
    </row>
    <row r="12868" spans="1:2" x14ac:dyDescent="0.2">
      <c r="A12868" s="12"/>
      <c r="B12868" s="13"/>
    </row>
    <row r="12869" spans="1:2" x14ac:dyDescent="0.2">
      <c r="A12869" s="12"/>
      <c r="B12869" s="13"/>
    </row>
    <row r="12870" spans="1:2" x14ac:dyDescent="0.2">
      <c r="A12870" s="12"/>
      <c r="B12870" s="13"/>
    </row>
    <row r="12871" spans="1:2" x14ac:dyDescent="0.2">
      <c r="A12871" s="12"/>
      <c r="B12871" s="13"/>
    </row>
    <row r="12872" spans="1:2" x14ac:dyDescent="0.2">
      <c r="A12872" s="12"/>
      <c r="B12872" s="13"/>
    </row>
    <row r="12873" spans="1:2" x14ac:dyDescent="0.2">
      <c r="A12873" s="12"/>
      <c r="B12873" s="13"/>
    </row>
    <row r="12874" spans="1:2" x14ac:dyDescent="0.2">
      <c r="A12874" s="12"/>
      <c r="B12874" s="13"/>
    </row>
    <row r="12875" spans="1:2" x14ac:dyDescent="0.2">
      <c r="A12875" s="12"/>
      <c r="B12875" s="13"/>
    </row>
    <row r="12876" spans="1:2" x14ac:dyDescent="0.2">
      <c r="A12876" s="12"/>
      <c r="B12876" s="13"/>
    </row>
    <row r="12877" spans="1:2" x14ac:dyDescent="0.2">
      <c r="A12877" s="12"/>
      <c r="B12877" s="13"/>
    </row>
    <row r="12878" spans="1:2" x14ac:dyDescent="0.2">
      <c r="A12878" s="12"/>
      <c r="B12878" s="13"/>
    </row>
    <row r="12879" spans="1:2" x14ac:dyDescent="0.2">
      <c r="A12879" s="12"/>
      <c r="B12879" s="13"/>
    </row>
    <row r="12880" spans="1:2" x14ac:dyDescent="0.2">
      <c r="A12880" s="12"/>
      <c r="B12880" s="13"/>
    </row>
    <row r="12881" spans="1:2" x14ac:dyDescent="0.2">
      <c r="A12881" s="12"/>
      <c r="B12881" s="13"/>
    </row>
    <row r="12882" spans="1:2" x14ac:dyDescent="0.2">
      <c r="A12882" s="12"/>
      <c r="B12882" s="13"/>
    </row>
    <row r="12883" spans="1:2" x14ac:dyDescent="0.2">
      <c r="A12883" s="12"/>
      <c r="B12883" s="13"/>
    </row>
    <row r="12884" spans="1:2" x14ac:dyDescent="0.2">
      <c r="A12884" s="12"/>
      <c r="B12884" s="13"/>
    </row>
    <row r="12885" spans="1:2" x14ac:dyDescent="0.2">
      <c r="A12885" s="12"/>
      <c r="B12885" s="13"/>
    </row>
    <row r="12886" spans="1:2" x14ac:dyDescent="0.2">
      <c r="A12886" s="12"/>
      <c r="B12886" s="13"/>
    </row>
    <row r="12887" spans="1:2" x14ac:dyDescent="0.2">
      <c r="A12887" s="12"/>
      <c r="B12887" s="13"/>
    </row>
    <row r="12888" spans="1:2" x14ac:dyDescent="0.2">
      <c r="A12888" s="12"/>
      <c r="B12888" s="13"/>
    </row>
    <row r="12889" spans="1:2" x14ac:dyDescent="0.2">
      <c r="A12889" s="12"/>
      <c r="B12889" s="13"/>
    </row>
    <row r="12890" spans="1:2" x14ac:dyDescent="0.2">
      <c r="A12890" s="12"/>
      <c r="B12890" s="13"/>
    </row>
    <row r="12891" spans="1:2" x14ac:dyDescent="0.2">
      <c r="A12891" s="12"/>
      <c r="B12891" s="13"/>
    </row>
    <row r="12892" spans="1:2" x14ac:dyDescent="0.2">
      <c r="A12892" s="12"/>
      <c r="B12892" s="13"/>
    </row>
    <row r="12893" spans="1:2" x14ac:dyDescent="0.2">
      <c r="A12893" s="12"/>
      <c r="B12893" s="13"/>
    </row>
    <row r="12894" spans="1:2" x14ac:dyDescent="0.2">
      <c r="A12894" s="12"/>
      <c r="B12894" s="13"/>
    </row>
    <row r="12895" spans="1:2" x14ac:dyDescent="0.2">
      <c r="A12895" s="12"/>
      <c r="B12895" s="13"/>
    </row>
    <row r="12896" spans="1:2" x14ac:dyDescent="0.2">
      <c r="A12896" s="12"/>
      <c r="B12896" s="13"/>
    </row>
    <row r="12897" spans="1:2" x14ac:dyDescent="0.2">
      <c r="A12897" s="12"/>
      <c r="B12897" s="13"/>
    </row>
    <row r="12898" spans="1:2" x14ac:dyDescent="0.2">
      <c r="A12898" s="12"/>
      <c r="B12898" s="13"/>
    </row>
    <row r="12899" spans="1:2" x14ac:dyDescent="0.2">
      <c r="A12899" s="12"/>
      <c r="B12899" s="13"/>
    </row>
    <row r="12900" spans="1:2" x14ac:dyDescent="0.2">
      <c r="A12900" s="12"/>
      <c r="B12900" s="13"/>
    </row>
    <row r="12901" spans="1:2" x14ac:dyDescent="0.2">
      <c r="A12901" s="12"/>
      <c r="B12901" s="13"/>
    </row>
    <row r="12902" spans="1:2" x14ac:dyDescent="0.2">
      <c r="A12902" s="12"/>
      <c r="B12902" s="13"/>
    </row>
    <row r="12903" spans="1:2" x14ac:dyDescent="0.2">
      <c r="A12903" s="12"/>
      <c r="B12903" s="13"/>
    </row>
    <row r="12904" spans="1:2" x14ac:dyDescent="0.2">
      <c r="A12904" s="12"/>
      <c r="B12904" s="13"/>
    </row>
    <row r="12905" spans="1:2" x14ac:dyDescent="0.2">
      <c r="A12905" s="12"/>
      <c r="B12905" s="13"/>
    </row>
    <row r="12906" spans="1:2" x14ac:dyDescent="0.2">
      <c r="A12906" s="12"/>
      <c r="B12906" s="13"/>
    </row>
    <row r="12907" spans="1:2" x14ac:dyDescent="0.2">
      <c r="A12907" s="12"/>
      <c r="B12907" s="13"/>
    </row>
    <row r="12908" spans="1:2" x14ac:dyDescent="0.2">
      <c r="A12908" s="12"/>
      <c r="B12908" s="13"/>
    </row>
    <row r="12909" spans="1:2" x14ac:dyDescent="0.2">
      <c r="A12909" s="12"/>
      <c r="B12909" s="13"/>
    </row>
    <row r="12910" spans="1:2" x14ac:dyDescent="0.2">
      <c r="A12910" s="12"/>
      <c r="B12910" s="13"/>
    </row>
    <row r="12911" spans="1:2" x14ac:dyDescent="0.2">
      <c r="A12911" s="12"/>
      <c r="B12911" s="13"/>
    </row>
    <row r="12912" spans="1:2" x14ac:dyDescent="0.2">
      <c r="A12912" s="12"/>
      <c r="B12912" s="13"/>
    </row>
    <row r="12913" spans="1:2" x14ac:dyDescent="0.2">
      <c r="A12913" s="12"/>
      <c r="B12913" s="13"/>
    </row>
    <row r="12914" spans="1:2" x14ac:dyDescent="0.2">
      <c r="A12914" s="12"/>
      <c r="B12914" s="13"/>
    </row>
    <row r="12915" spans="1:2" x14ac:dyDescent="0.2">
      <c r="A12915" s="12"/>
      <c r="B12915" s="13"/>
    </row>
    <row r="12916" spans="1:2" x14ac:dyDescent="0.2">
      <c r="A12916" s="12"/>
      <c r="B12916" s="13"/>
    </row>
    <row r="12917" spans="1:2" x14ac:dyDescent="0.2">
      <c r="A12917" s="12"/>
      <c r="B12917" s="13"/>
    </row>
    <row r="12918" spans="1:2" x14ac:dyDescent="0.2">
      <c r="A12918" s="12"/>
      <c r="B12918" s="13"/>
    </row>
    <row r="12919" spans="1:2" x14ac:dyDescent="0.2">
      <c r="A12919" s="12"/>
      <c r="B12919" s="13"/>
    </row>
    <row r="12920" spans="1:2" x14ac:dyDescent="0.2">
      <c r="A12920" s="12"/>
      <c r="B12920" s="13"/>
    </row>
    <row r="12921" spans="1:2" x14ac:dyDescent="0.2">
      <c r="A12921" s="12"/>
      <c r="B12921" s="13"/>
    </row>
    <row r="12922" spans="1:2" x14ac:dyDescent="0.2">
      <c r="A12922" s="12"/>
      <c r="B12922" s="13"/>
    </row>
    <row r="12923" spans="1:2" x14ac:dyDescent="0.2">
      <c r="A12923" s="12"/>
      <c r="B12923" s="13"/>
    </row>
    <row r="12924" spans="1:2" x14ac:dyDescent="0.2">
      <c r="A12924" s="12"/>
      <c r="B12924" s="13"/>
    </row>
    <row r="12925" spans="1:2" x14ac:dyDescent="0.2">
      <c r="A12925" s="12"/>
      <c r="B12925" s="13"/>
    </row>
    <row r="12926" spans="1:2" x14ac:dyDescent="0.2">
      <c r="A12926" s="12"/>
      <c r="B12926" s="13"/>
    </row>
    <row r="12927" spans="1:2" x14ac:dyDescent="0.2">
      <c r="A12927" s="12"/>
      <c r="B12927" s="13"/>
    </row>
    <row r="12928" spans="1:2" x14ac:dyDescent="0.2">
      <c r="A12928" s="12"/>
      <c r="B12928" s="13"/>
    </row>
    <row r="12929" spans="1:2" x14ac:dyDescent="0.2">
      <c r="A12929" s="12"/>
      <c r="B12929" s="13"/>
    </row>
    <row r="12930" spans="1:2" x14ac:dyDescent="0.2">
      <c r="A12930" s="12"/>
      <c r="B12930" s="13"/>
    </row>
    <row r="12931" spans="1:2" x14ac:dyDescent="0.2">
      <c r="A12931" s="12"/>
      <c r="B12931" s="13"/>
    </row>
    <row r="12932" spans="1:2" x14ac:dyDescent="0.2">
      <c r="A12932" s="12"/>
      <c r="B12932" s="13"/>
    </row>
    <row r="12933" spans="1:2" x14ac:dyDescent="0.2">
      <c r="A12933" s="12"/>
      <c r="B12933" s="13"/>
    </row>
    <row r="12934" spans="1:2" x14ac:dyDescent="0.2">
      <c r="A12934" s="12"/>
      <c r="B12934" s="13"/>
    </row>
    <row r="12935" spans="1:2" x14ac:dyDescent="0.2">
      <c r="A12935" s="12"/>
      <c r="B12935" s="13"/>
    </row>
    <row r="12936" spans="1:2" x14ac:dyDescent="0.2">
      <c r="A12936" s="12"/>
      <c r="B12936" s="13"/>
    </row>
    <row r="12937" spans="1:2" x14ac:dyDescent="0.2">
      <c r="A12937" s="12"/>
      <c r="B12937" s="13"/>
    </row>
    <row r="12938" spans="1:2" x14ac:dyDescent="0.2">
      <c r="A12938" s="12"/>
      <c r="B12938" s="13"/>
    </row>
    <row r="12939" spans="1:2" x14ac:dyDescent="0.2">
      <c r="A12939" s="12"/>
      <c r="B12939" s="13"/>
    </row>
    <row r="12940" spans="1:2" x14ac:dyDescent="0.2">
      <c r="A12940" s="12"/>
      <c r="B12940" s="13"/>
    </row>
    <row r="12941" spans="1:2" x14ac:dyDescent="0.2">
      <c r="A12941" s="12"/>
      <c r="B12941" s="13"/>
    </row>
    <row r="12942" spans="1:2" x14ac:dyDescent="0.2">
      <c r="A12942" s="12"/>
      <c r="B12942" s="13"/>
    </row>
    <row r="12943" spans="1:2" x14ac:dyDescent="0.2">
      <c r="A12943" s="12"/>
      <c r="B12943" s="13"/>
    </row>
    <row r="12944" spans="1:2" x14ac:dyDescent="0.2">
      <c r="A12944" s="12"/>
      <c r="B12944" s="13"/>
    </row>
    <row r="12945" spans="1:2" x14ac:dyDescent="0.2">
      <c r="A12945" s="12"/>
      <c r="B12945" s="13"/>
    </row>
    <row r="12946" spans="1:2" x14ac:dyDescent="0.2">
      <c r="A12946" s="12"/>
      <c r="B12946" s="13"/>
    </row>
    <row r="12947" spans="1:2" x14ac:dyDescent="0.2">
      <c r="A12947" s="12"/>
      <c r="B12947" s="13"/>
    </row>
    <row r="12948" spans="1:2" x14ac:dyDescent="0.2">
      <c r="A12948" s="12"/>
      <c r="B12948" s="13"/>
    </row>
    <row r="12949" spans="1:2" x14ac:dyDescent="0.2">
      <c r="A12949" s="12"/>
      <c r="B12949" s="13"/>
    </row>
    <row r="12950" spans="1:2" x14ac:dyDescent="0.2">
      <c r="A12950" s="12"/>
      <c r="B12950" s="13"/>
    </row>
    <row r="12951" spans="1:2" x14ac:dyDescent="0.2">
      <c r="A12951" s="12"/>
      <c r="B12951" s="13"/>
    </row>
    <row r="12952" spans="1:2" x14ac:dyDescent="0.2">
      <c r="A12952" s="12"/>
      <c r="B12952" s="13"/>
    </row>
    <row r="12953" spans="1:2" x14ac:dyDescent="0.2">
      <c r="A12953" s="12"/>
      <c r="B12953" s="13"/>
    </row>
    <row r="12954" spans="1:2" x14ac:dyDescent="0.2">
      <c r="A12954" s="12"/>
      <c r="B12954" s="13"/>
    </row>
    <row r="12955" spans="1:2" x14ac:dyDescent="0.2">
      <c r="A12955" s="12"/>
      <c r="B12955" s="13"/>
    </row>
    <row r="12956" spans="1:2" x14ac:dyDescent="0.2">
      <c r="A12956" s="12"/>
      <c r="B12956" s="13"/>
    </row>
    <row r="12957" spans="1:2" x14ac:dyDescent="0.2">
      <c r="A12957" s="12"/>
      <c r="B12957" s="13"/>
    </row>
    <row r="12958" spans="1:2" x14ac:dyDescent="0.2">
      <c r="A12958" s="12"/>
      <c r="B12958" s="13"/>
    </row>
    <row r="12959" spans="1:2" x14ac:dyDescent="0.2">
      <c r="A12959" s="12"/>
      <c r="B12959" s="13"/>
    </row>
    <row r="12960" spans="1:2" x14ac:dyDescent="0.2">
      <c r="A12960" s="12"/>
      <c r="B12960" s="13"/>
    </row>
    <row r="12961" spans="1:2" x14ac:dyDescent="0.2">
      <c r="A12961" s="12"/>
      <c r="B12961" s="13"/>
    </row>
    <row r="12962" spans="1:2" x14ac:dyDescent="0.2">
      <c r="A12962" s="12"/>
      <c r="B12962" s="13"/>
    </row>
    <row r="12963" spans="1:2" x14ac:dyDescent="0.2">
      <c r="A12963" s="12"/>
      <c r="B12963" s="13"/>
    </row>
    <row r="12964" spans="1:2" x14ac:dyDescent="0.2">
      <c r="A12964" s="12"/>
      <c r="B12964" s="13"/>
    </row>
    <row r="12965" spans="1:2" x14ac:dyDescent="0.2">
      <c r="A12965" s="12"/>
      <c r="B12965" s="13"/>
    </row>
    <row r="12966" spans="1:2" x14ac:dyDescent="0.2">
      <c r="A12966" s="12"/>
      <c r="B12966" s="13"/>
    </row>
    <row r="12967" spans="1:2" x14ac:dyDescent="0.2">
      <c r="A12967" s="12"/>
      <c r="B12967" s="13"/>
    </row>
    <row r="12968" spans="1:2" x14ac:dyDescent="0.2">
      <c r="A12968" s="12"/>
      <c r="B12968" s="13"/>
    </row>
    <row r="12969" spans="1:2" x14ac:dyDescent="0.2">
      <c r="A12969" s="12"/>
      <c r="B12969" s="13"/>
    </row>
    <row r="12970" spans="1:2" x14ac:dyDescent="0.2">
      <c r="A12970" s="12"/>
      <c r="B12970" s="13"/>
    </row>
    <row r="12971" spans="1:2" x14ac:dyDescent="0.2">
      <c r="A12971" s="12"/>
      <c r="B12971" s="13"/>
    </row>
    <row r="12972" spans="1:2" x14ac:dyDescent="0.2">
      <c r="A12972" s="12"/>
      <c r="B12972" s="13"/>
    </row>
    <row r="12973" spans="1:2" x14ac:dyDescent="0.2">
      <c r="A12973" s="12"/>
      <c r="B12973" s="13"/>
    </row>
    <row r="12974" spans="1:2" x14ac:dyDescent="0.2">
      <c r="A12974" s="12"/>
      <c r="B12974" s="13"/>
    </row>
    <row r="12975" spans="1:2" x14ac:dyDescent="0.2">
      <c r="A12975" s="12"/>
      <c r="B12975" s="13"/>
    </row>
    <row r="12976" spans="1:2" x14ac:dyDescent="0.2">
      <c r="A12976" s="12"/>
      <c r="B12976" s="13"/>
    </row>
    <row r="12977" spans="1:2" x14ac:dyDescent="0.2">
      <c r="A12977" s="12"/>
      <c r="B12977" s="13"/>
    </row>
    <row r="12978" spans="1:2" x14ac:dyDescent="0.2">
      <c r="A12978" s="12"/>
      <c r="B12978" s="13"/>
    </row>
    <row r="12979" spans="1:2" x14ac:dyDescent="0.2">
      <c r="A12979" s="12"/>
      <c r="B12979" s="13"/>
    </row>
    <row r="12980" spans="1:2" x14ac:dyDescent="0.2">
      <c r="A12980" s="12"/>
      <c r="B12980" s="13"/>
    </row>
    <row r="12981" spans="1:2" x14ac:dyDescent="0.2">
      <c r="A12981" s="12"/>
      <c r="B12981" s="13"/>
    </row>
    <row r="12982" spans="1:2" x14ac:dyDescent="0.2">
      <c r="A12982" s="12"/>
      <c r="B12982" s="13"/>
    </row>
    <row r="12983" spans="1:2" x14ac:dyDescent="0.2">
      <c r="A12983" s="12"/>
      <c r="B12983" s="13"/>
    </row>
    <row r="12984" spans="1:2" x14ac:dyDescent="0.2">
      <c r="A12984" s="12"/>
      <c r="B12984" s="13"/>
    </row>
    <row r="12985" spans="1:2" x14ac:dyDescent="0.2">
      <c r="A12985" s="12"/>
      <c r="B12985" s="13"/>
    </row>
    <row r="12986" spans="1:2" x14ac:dyDescent="0.2">
      <c r="A12986" s="12"/>
      <c r="B12986" s="13"/>
    </row>
    <row r="12987" spans="1:2" x14ac:dyDescent="0.2">
      <c r="A12987" s="12"/>
      <c r="B12987" s="13"/>
    </row>
    <row r="12988" spans="1:2" x14ac:dyDescent="0.2">
      <c r="A12988" s="12"/>
      <c r="B12988" s="13"/>
    </row>
    <row r="12989" spans="1:2" x14ac:dyDescent="0.2">
      <c r="A12989" s="12"/>
      <c r="B12989" s="13"/>
    </row>
    <row r="12990" spans="1:2" x14ac:dyDescent="0.2">
      <c r="A12990" s="12"/>
      <c r="B12990" s="13"/>
    </row>
    <row r="12991" spans="1:2" x14ac:dyDescent="0.2">
      <c r="A12991" s="12"/>
      <c r="B12991" s="13"/>
    </row>
    <row r="12992" spans="1:2" x14ac:dyDescent="0.2">
      <c r="A12992" s="12"/>
      <c r="B12992" s="13"/>
    </row>
    <row r="12993" spans="1:2" x14ac:dyDescent="0.2">
      <c r="A12993" s="12"/>
      <c r="B12993" s="13"/>
    </row>
    <row r="12994" spans="1:2" x14ac:dyDescent="0.2">
      <c r="A12994" s="12"/>
      <c r="B12994" s="13"/>
    </row>
    <row r="12995" spans="1:2" x14ac:dyDescent="0.2">
      <c r="A12995" s="12"/>
      <c r="B12995" s="13"/>
    </row>
    <row r="12996" spans="1:2" x14ac:dyDescent="0.2">
      <c r="A12996" s="12"/>
      <c r="B12996" s="13"/>
    </row>
    <row r="12997" spans="1:2" x14ac:dyDescent="0.2">
      <c r="A12997" s="12"/>
      <c r="B12997" s="13"/>
    </row>
    <row r="12998" spans="1:2" x14ac:dyDescent="0.2">
      <c r="A12998" s="12"/>
      <c r="B12998" s="13"/>
    </row>
    <row r="12999" spans="1:2" x14ac:dyDescent="0.2">
      <c r="A12999" s="12"/>
      <c r="B12999" s="13"/>
    </row>
    <row r="13000" spans="1:2" x14ac:dyDescent="0.2">
      <c r="A13000" s="12"/>
      <c r="B13000" s="13"/>
    </row>
    <row r="13001" spans="1:2" x14ac:dyDescent="0.2">
      <c r="A13001" s="12"/>
      <c r="B13001" s="13"/>
    </row>
    <row r="13002" spans="1:2" x14ac:dyDescent="0.2">
      <c r="A13002" s="12"/>
      <c r="B13002" s="13"/>
    </row>
    <row r="13003" spans="1:2" x14ac:dyDescent="0.2">
      <c r="A13003" s="12"/>
      <c r="B13003" s="13"/>
    </row>
    <row r="13004" spans="1:2" x14ac:dyDescent="0.2">
      <c r="A13004" s="12"/>
      <c r="B13004" s="13"/>
    </row>
    <row r="13005" spans="1:2" x14ac:dyDescent="0.2">
      <c r="A13005" s="12"/>
      <c r="B13005" s="13"/>
    </row>
    <row r="13006" spans="1:2" x14ac:dyDescent="0.2">
      <c r="A13006" s="12"/>
      <c r="B13006" s="13"/>
    </row>
    <row r="13007" spans="1:2" x14ac:dyDescent="0.2">
      <c r="A13007" s="12"/>
      <c r="B13007" s="13"/>
    </row>
    <row r="13008" spans="1:2" x14ac:dyDescent="0.2">
      <c r="A13008" s="12"/>
      <c r="B13008" s="13"/>
    </row>
    <row r="13009" spans="1:2" x14ac:dyDescent="0.2">
      <c r="A13009" s="12"/>
      <c r="B13009" s="13"/>
    </row>
    <row r="13010" spans="1:2" x14ac:dyDescent="0.2">
      <c r="A13010" s="12"/>
      <c r="B13010" s="13"/>
    </row>
    <row r="13011" spans="1:2" x14ac:dyDescent="0.2">
      <c r="A13011" s="12"/>
      <c r="B13011" s="13"/>
    </row>
    <row r="13012" spans="1:2" x14ac:dyDescent="0.2">
      <c r="A13012" s="12"/>
      <c r="B13012" s="13"/>
    </row>
    <row r="13013" spans="1:2" x14ac:dyDescent="0.2">
      <c r="A13013" s="12"/>
      <c r="B13013" s="13"/>
    </row>
    <row r="13014" spans="1:2" x14ac:dyDescent="0.2">
      <c r="A13014" s="12"/>
      <c r="B13014" s="13"/>
    </row>
    <row r="13015" spans="1:2" x14ac:dyDescent="0.2">
      <c r="A13015" s="12"/>
      <c r="B13015" s="13"/>
    </row>
    <row r="13016" spans="1:2" x14ac:dyDescent="0.2">
      <c r="A13016" s="12"/>
      <c r="B13016" s="13"/>
    </row>
    <row r="13017" spans="1:2" x14ac:dyDescent="0.2">
      <c r="A13017" s="12"/>
      <c r="B13017" s="13"/>
    </row>
    <row r="13018" spans="1:2" x14ac:dyDescent="0.2">
      <c r="A13018" s="12"/>
      <c r="B13018" s="13"/>
    </row>
    <row r="13019" spans="1:2" x14ac:dyDescent="0.2">
      <c r="A13019" s="12"/>
      <c r="B13019" s="13"/>
    </row>
    <row r="13020" spans="1:2" x14ac:dyDescent="0.2">
      <c r="A13020" s="12"/>
      <c r="B13020" s="13"/>
    </row>
    <row r="13021" spans="1:2" x14ac:dyDescent="0.2">
      <c r="A13021" s="12"/>
      <c r="B13021" s="13"/>
    </row>
    <row r="13022" spans="1:2" x14ac:dyDescent="0.2">
      <c r="A13022" s="12"/>
      <c r="B13022" s="13"/>
    </row>
    <row r="13023" spans="1:2" x14ac:dyDescent="0.2">
      <c r="A13023" s="12"/>
      <c r="B13023" s="13"/>
    </row>
    <row r="13024" spans="1:2" x14ac:dyDescent="0.2">
      <c r="A13024" s="12"/>
      <c r="B13024" s="13"/>
    </row>
    <row r="13025" spans="1:2" x14ac:dyDescent="0.2">
      <c r="A13025" s="12"/>
      <c r="B13025" s="13"/>
    </row>
    <row r="13026" spans="1:2" x14ac:dyDescent="0.2">
      <c r="A13026" s="12"/>
      <c r="B13026" s="13"/>
    </row>
    <row r="13027" spans="1:2" x14ac:dyDescent="0.2">
      <c r="A13027" s="12"/>
      <c r="B13027" s="13"/>
    </row>
    <row r="13028" spans="1:2" x14ac:dyDescent="0.2">
      <c r="A13028" s="12"/>
      <c r="B13028" s="13"/>
    </row>
    <row r="13029" spans="1:2" x14ac:dyDescent="0.2">
      <c r="A13029" s="12"/>
      <c r="B13029" s="13"/>
    </row>
    <row r="13030" spans="1:2" x14ac:dyDescent="0.2">
      <c r="A13030" s="12"/>
      <c r="B13030" s="13"/>
    </row>
    <row r="13031" spans="1:2" x14ac:dyDescent="0.2">
      <c r="A13031" s="12"/>
      <c r="B13031" s="13"/>
    </row>
    <row r="13032" spans="1:2" x14ac:dyDescent="0.2">
      <c r="A13032" s="12"/>
      <c r="B13032" s="13"/>
    </row>
    <row r="13033" spans="1:2" x14ac:dyDescent="0.2">
      <c r="A13033" s="12"/>
      <c r="B13033" s="13"/>
    </row>
    <row r="13034" spans="1:2" x14ac:dyDescent="0.2">
      <c r="A13034" s="12"/>
      <c r="B13034" s="13"/>
    </row>
    <row r="13035" spans="1:2" x14ac:dyDescent="0.2">
      <c r="A13035" s="12"/>
      <c r="B13035" s="13"/>
    </row>
    <row r="13036" spans="1:2" x14ac:dyDescent="0.2">
      <c r="A13036" s="12"/>
      <c r="B13036" s="13"/>
    </row>
    <row r="13037" spans="1:2" x14ac:dyDescent="0.2">
      <c r="A13037" s="12"/>
      <c r="B13037" s="13"/>
    </row>
    <row r="13038" spans="1:2" x14ac:dyDescent="0.2">
      <c r="A13038" s="12"/>
      <c r="B13038" s="13"/>
    </row>
    <row r="13039" spans="1:2" x14ac:dyDescent="0.2">
      <c r="A13039" s="12"/>
      <c r="B13039" s="13"/>
    </row>
    <row r="13040" spans="1:2" x14ac:dyDescent="0.2">
      <c r="A13040" s="12"/>
      <c r="B13040" s="13"/>
    </row>
    <row r="13041" spans="1:2" x14ac:dyDescent="0.2">
      <c r="A13041" s="12"/>
      <c r="B13041" s="13"/>
    </row>
    <row r="13042" spans="1:2" x14ac:dyDescent="0.2">
      <c r="A13042" s="12"/>
      <c r="B13042" s="13"/>
    </row>
    <row r="13043" spans="1:2" x14ac:dyDescent="0.2">
      <c r="A13043" s="12"/>
      <c r="B13043" s="13"/>
    </row>
    <row r="13044" spans="1:2" x14ac:dyDescent="0.2">
      <c r="A13044" s="12"/>
      <c r="B13044" s="13"/>
    </row>
    <row r="13045" spans="1:2" x14ac:dyDescent="0.2">
      <c r="A13045" s="12"/>
      <c r="B13045" s="13"/>
    </row>
    <row r="13046" spans="1:2" x14ac:dyDescent="0.2">
      <c r="A13046" s="12"/>
      <c r="B13046" s="13"/>
    </row>
    <row r="13047" spans="1:2" x14ac:dyDescent="0.2">
      <c r="A13047" s="12"/>
      <c r="B13047" s="13"/>
    </row>
    <row r="13048" spans="1:2" x14ac:dyDescent="0.2">
      <c r="A13048" s="12"/>
      <c r="B13048" s="13"/>
    </row>
    <row r="13049" spans="1:2" x14ac:dyDescent="0.2">
      <c r="A13049" s="12"/>
      <c r="B13049" s="13"/>
    </row>
    <row r="13050" spans="1:2" x14ac:dyDescent="0.2">
      <c r="A13050" s="12"/>
      <c r="B13050" s="13"/>
    </row>
    <row r="13051" spans="1:2" x14ac:dyDescent="0.2">
      <c r="A13051" s="12"/>
      <c r="B13051" s="13"/>
    </row>
    <row r="13052" spans="1:2" x14ac:dyDescent="0.2">
      <c r="A13052" s="12"/>
      <c r="B13052" s="13"/>
    </row>
    <row r="13053" spans="1:2" x14ac:dyDescent="0.2">
      <c r="A13053" s="12"/>
      <c r="B13053" s="13"/>
    </row>
    <row r="13054" spans="1:2" x14ac:dyDescent="0.2">
      <c r="A13054" s="12"/>
      <c r="B13054" s="13"/>
    </row>
    <row r="13055" spans="1:2" x14ac:dyDescent="0.2">
      <c r="A13055" s="12"/>
      <c r="B13055" s="13"/>
    </row>
    <row r="13056" spans="1:2" x14ac:dyDescent="0.2">
      <c r="A13056" s="12"/>
      <c r="B13056" s="13"/>
    </row>
    <row r="13057" spans="1:2" x14ac:dyDescent="0.2">
      <c r="A13057" s="12"/>
      <c r="B13057" s="13"/>
    </row>
    <row r="13058" spans="1:2" x14ac:dyDescent="0.2">
      <c r="A13058" s="12"/>
      <c r="B13058" s="13"/>
    </row>
    <row r="13059" spans="1:2" x14ac:dyDescent="0.2">
      <c r="A13059" s="12"/>
      <c r="B13059" s="13"/>
    </row>
    <row r="13060" spans="1:2" x14ac:dyDescent="0.2">
      <c r="A13060" s="12"/>
      <c r="B13060" s="13"/>
    </row>
    <row r="13061" spans="1:2" x14ac:dyDescent="0.2">
      <c r="A13061" s="12"/>
      <c r="B13061" s="13"/>
    </row>
    <row r="13062" spans="1:2" x14ac:dyDescent="0.2">
      <c r="A13062" s="12"/>
      <c r="B13062" s="13"/>
    </row>
    <row r="13063" spans="1:2" x14ac:dyDescent="0.2">
      <c r="A13063" s="12"/>
      <c r="B13063" s="13"/>
    </row>
    <row r="13064" spans="1:2" x14ac:dyDescent="0.2">
      <c r="A13064" s="12"/>
      <c r="B13064" s="13"/>
    </row>
    <row r="13065" spans="1:2" x14ac:dyDescent="0.2">
      <c r="A13065" s="12"/>
      <c r="B13065" s="13"/>
    </row>
    <row r="13066" spans="1:2" x14ac:dyDescent="0.2">
      <c r="A13066" s="12"/>
      <c r="B13066" s="13"/>
    </row>
    <row r="13067" spans="1:2" x14ac:dyDescent="0.2">
      <c r="A13067" s="12"/>
      <c r="B13067" s="13"/>
    </row>
    <row r="13068" spans="1:2" x14ac:dyDescent="0.2">
      <c r="A13068" s="12"/>
      <c r="B13068" s="13"/>
    </row>
    <row r="13069" spans="1:2" x14ac:dyDescent="0.2">
      <c r="A13069" s="12"/>
      <c r="B13069" s="13"/>
    </row>
    <row r="13070" spans="1:2" x14ac:dyDescent="0.2">
      <c r="A13070" s="12"/>
      <c r="B13070" s="13"/>
    </row>
    <row r="13071" spans="1:2" x14ac:dyDescent="0.2">
      <c r="A13071" s="12"/>
      <c r="B13071" s="13"/>
    </row>
    <row r="13072" spans="1:2" x14ac:dyDescent="0.2">
      <c r="A13072" s="12"/>
      <c r="B13072" s="13"/>
    </row>
    <row r="13073" spans="1:2" x14ac:dyDescent="0.2">
      <c r="A13073" s="12"/>
      <c r="B13073" s="13"/>
    </row>
    <row r="13074" spans="1:2" x14ac:dyDescent="0.2">
      <c r="A13074" s="12"/>
      <c r="B13074" s="13"/>
    </row>
    <row r="13075" spans="1:2" x14ac:dyDescent="0.2">
      <c r="A13075" s="12"/>
      <c r="B13075" s="13"/>
    </row>
    <row r="13076" spans="1:2" x14ac:dyDescent="0.2">
      <c r="A13076" s="12"/>
      <c r="B13076" s="13"/>
    </row>
    <row r="13077" spans="1:2" x14ac:dyDescent="0.2">
      <c r="A13077" s="12"/>
      <c r="B13077" s="13"/>
    </row>
    <row r="13078" spans="1:2" x14ac:dyDescent="0.2">
      <c r="A13078" s="12"/>
      <c r="B13078" s="13"/>
    </row>
    <row r="13079" spans="1:2" x14ac:dyDescent="0.2">
      <c r="A13079" s="12"/>
      <c r="B13079" s="13"/>
    </row>
    <row r="13080" spans="1:2" x14ac:dyDescent="0.2">
      <c r="A13080" s="12"/>
      <c r="B13080" s="13"/>
    </row>
    <row r="13081" spans="1:2" x14ac:dyDescent="0.2">
      <c r="A13081" s="12"/>
      <c r="B13081" s="13"/>
    </row>
    <row r="13082" spans="1:2" x14ac:dyDescent="0.2">
      <c r="A13082" s="12"/>
      <c r="B13082" s="13"/>
    </row>
    <row r="13083" spans="1:2" x14ac:dyDescent="0.2">
      <c r="A13083" s="12"/>
      <c r="B13083" s="13"/>
    </row>
    <row r="13084" spans="1:2" x14ac:dyDescent="0.2">
      <c r="A13084" s="12"/>
      <c r="B13084" s="13"/>
    </row>
    <row r="13085" spans="1:2" x14ac:dyDescent="0.2">
      <c r="A13085" s="12"/>
      <c r="B13085" s="13"/>
    </row>
    <row r="13086" spans="1:2" x14ac:dyDescent="0.2">
      <c r="A13086" s="12"/>
      <c r="B13086" s="13"/>
    </row>
    <row r="13087" spans="1:2" x14ac:dyDescent="0.2">
      <c r="A13087" s="12"/>
      <c r="B13087" s="13"/>
    </row>
    <row r="13088" spans="1:2" x14ac:dyDescent="0.2">
      <c r="A13088" s="12"/>
      <c r="B13088" s="13"/>
    </row>
    <row r="13089" spans="1:2" x14ac:dyDescent="0.2">
      <c r="A13089" s="12"/>
      <c r="B13089" s="13"/>
    </row>
    <row r="13090" spans="1:2" x14ac:dyDescent="0.2">
      <c r="A13090" s="12"/>
      <c r="B13090" s="13"/>
    </row>
    <row r="13091" spans="1:2" x14ac:dyDescent="0.2">
      <c r="A13091" s="12"/>
      <c r="B13091" s="13"/>
    </row>
    <row r="13092" spans="1:2" x14ac:dyDescent="0.2">
      <c r="A13092" s="12"/>
      <c r="B13092" s="13"/>
    </row>
    <row r="13093" spans="1:2" x14ac:dyDescent="0.2">
      <c r="A13093" s="12"/>
      <c r="B13093" s="13"/>
    </row>
    <row r="13094" spans="1:2" x14ac:dyDescent="0.2">
      <c r="A13094" s="12"/>
      <c r="B13094" s="13"/>
    </row>
    <row r="13095" spans="1:2" x14ac:dyDescent="0.2">
      <c r="A13095" s="12"/>
      <c r="B13095" s="13"/>
    </row>
    <row r="13096" spans="1:2" x14ac:dyDescent="0.2">
      <c r="A13096" s="12"/>
      <c r="B13096" s="13"/>
    </row>
    <row r="13097" spans="1:2" x14ac:dyDescent="0.2">
      <c r="A13097" s="12"/>
      <c r="B13097" s="13"/>
    </row>
    <row r="13098" spans="1:2" x14ac:dyDescent="0.2">
      <c r="A13098" s="12"/>
      <c r="B13098" s="13"/>
    </row>
    <row r="13099" spans="1:2" x14ac:dyDescent="0.2">
      <c r="A13099" s="12"/>
      <c r="B13099" s="13"/>
    </row>
    <row r="13100" spans="1:2" x14ac:dyDescent="0.2">
      <c r="A13100" s="12"/>
      <c r="B13100" s="13"/>
    </row>
    <row r="13101" spans="1:2" x14ac:dyDescent="0.2">
      <c r="A13101" s="12"/>
      <c r="B13101" s="13"/>
    </row>
    <row r="13102" spans="1:2" x14ac:dyDescent="0.2">
      <c r="A13102" s="12"/>
      <c r="B13102" s="13"/>
    </row>
    <row r="13103" spans="1:2" x14ac:dyDescent="0.2">
      <c r="A13103" s="12"/>
      <c r="B13103" s="13"/>
    </row>
    <row r="13104" spans="1:2" x14ac:dyDescent="0.2">
      <c r="A13104" s="12"/>
      <c r="B13104" s="13"/>
    </row>
    <row r="13105" spans="1:2" x14ac:dyDescent="0.2">
      <c r="A13105" s="12"/>
      <c r="B13105" s="13"/>
    </row>
    <row r="13106" spans="1:2" x14ac:dyDescent="0.2">
      <c r="A13106" s="12"/>
      <c r="B13106" s="13"/>
    </row>
    <row r="13107" spans="1:2" x14ac:dyDescent="0.2">
      <c r="A13107" s="12"/>
      <c r="B13107" s="13"/>
    </row>
    <row r="13108" spans="1:2" x14ac:dyDescent="0.2">
      <c r="A13108" s="12"/>
      <c r="B13108" s="13"/>
    </row>
    <row r="13109" spans="1:2" x14ac:dyDescent="0.2">
      <c r="A13109" s="12"/>
      <c r="B13109" s="13"/>
    </row>
    <row r="13110" spans="1:2" x14ac:dyDescent="0.2">
      <c r="A13110" s="12"/>
      <c r="B13110" s="13"/>
    </row>
    <row r="13111" spans="1:2" x14ac:dyDescent="0.2">
      <c r="A13111" s="12"/>
      <c r="B13111" s="13"/>
    </row>
    <row r="13112" spans="1:2" x14ac:dyDescent="0.2">
      <c r="A13112" s="12"/>
      <c r="B13112" s="13"/>
    </row>
    <row r="13113" spans="1:2" x14ac:dyDescent="0.2">
      <c r="A13113" s="12"/>
      <c r="B13113" s="13"/>
    </row>
    <row r="13114" spans="1:2" x14ac:dyDescent="0.2">
      <c r="A13114" s="12"/>
      <c r="B13114" s="13"/>
    </row>
    <row r="13115" spans="1:2" x14ac:dyDescent="0.2">
      <c r="A13115" s="12"/>
      <c r="B13115" s="13"/>
    </row>
    <row r="13116" spans="1:2" x14ac:dyDescent="0.2">
      <c r="A13116" s="12"/>
      <c r="B13116" s="13"/>
    </row>
    <row r="13117" spans="1:2" x14ac:dyDescent="0.2">
      <c r="A13117" s="12"/>
      <c r="B13117" s="13"/>
    </row>
    <row r="13118" spans="1:2" x14ac:dyDescent="0.2">
      <c r="A13118" s="12"/>
      <c r="B13118" s="13"/>
    </row>
    <row r="13119" spans="1:2" x14ac:dyDescent="0.2">
      <c r="A13119" s="12"/>
      <c r="B13119" s="13"/>
    </row>
    <row r="13120" spans="1:2" x14ac:dyDescent="0.2">
      <c r="A13120" s="12"/>
      <c r="B13120" s="13"/>
    </row>
    <row r="13121" spans="1:2" x14ac:dyDescent="0.2">
      <c r="A13121" s="12"/>
      <c r="B13121" s="13"/>
    </row>
    <row r="13122" spans="1:2" x14ac:dyDescent="0.2">
      <c r="A13122" s="12"/>
      <c r="B13122" s="13"/>
    </row>
    <row r="13123" spans="1:2" x14ac:dyDescent="0.2">
      <c r="A13123" s="12"/>
      <c r="B13123" s="13"/>
    </row>
    <row r="13124" spans="1:2" x14ac:dyDescent="0.2">
      <c r="A13124" s="12"/>
      <c r="B13124" s="13"/>
    </row>
    <row r="13125" spans="1:2" x14ac:dyDescent="0.2">
      <c r="A13125" s="12"/>
      <c r="B13125" s="13"/>
    </row>
    <row r="13126" spans="1:2" x14ac:dyDescent="0.2">
      <c r="A13126" s="12"/>
      <c r="B13126" s="13"/>
    </row>
    <row r="13127" spans="1:2" x14ac:dyDescent="0.2">
      <c r="A13127" s="12"/>
      <c r="B13127" s="13"/>
    </row>
    <row r="13128" spans="1:2" x14ac:dyDescent="0.2">
      <c r="A13128" s="12"/>
      <c r="B13128" s="13"/>
    </row>
    <row r="13129" spans="1:2" x14ac:dyDescent="0.2">
      <c r="A13129" s="12"/>
      <c r="B13129" s="13"/>
    </row>
    <row r="13130" spans="1:2" x14ac:dyDescent="0.2">
      <c r="A13130" s="12"/>
      <c r="B13130" s="13"/>
    </row>
    <row r="13131" spans="1:2" x14ac:dyDescent="0.2">
      <c r="A13131" s="12"/>
      <c r="B13131" s="13"/>
    </row>
    <row r="13132" spans="1:2" x14ac:dyDescent="0.2">
      <c r="A13132" s="12"/>
      <c r="B13132" s="13"/>
    </row>
    <row r="13133" spans="1:2" x14ac:dyDescent="0.2">
      <c r="A13133" s="12"/>
      <c r="B13133" s="13"/>
    </row>
    <row r="13134" spans="1:2" x14ac:dyDescent="0.2">
      <c r="A13134" s="12"/>
      <c r="B13134" s="13"/>
    </row>
    <row r="13135" spans="1:2" x14ac:dyDescent="0.2">
      <c r="A13135" s="12"/>
      <c r="B13135" s="13"/>
    </row>
    <row r="13136" spans="1:2" x14ac:dyDescent="0.2">
      <c r="A13136" s="12"/>
      <c r="B13136" s="13"/>
    </row>
    <row r="13137" spans="1:2" x14ac:dyDescent="0.2">
      <c r="A13137" s="12"/>
      <c r="B13137" s="13"/>
    </row>
    <row r="13138" spans="1:2" x14ac:dyDescent="0.2">
      <c r="A13138" s="12"/>
      <c r="B13138" s="13"/>
    </row>
    <row r="13139" spans="1:2" x14ac:dyDescent="0.2">
      <c r="A13139" s="12"/>
      <c r="B13139" s="13"/>
    </row>
    <row r="13140" spans="1:2" x14ac:dyDescent="0.2">
      <c r="A13140" s="12"/>
      <c r="B13140" s="13"/>
    </row>
    <row r="13141" spans="1:2" x14ac:dyDescent="0.2">
      <c r="A13141" s="12"/>
      <c r="B13141" s="13"/>
    </row>
    <row r="13142" spans="1:2" x14ac:dyDescent="0.2">
      <c r="A13142" s="12"/>
      <c r="B13142" s="13"/>
    </row>
    <row r="13143" spans="1:2" x14ac:dyDescent="0.2">
      <c r="A13143" s="12"/>
      <c r="B13143" s="13"/>
    </row>
    <row r="13144" spans="1:2" x14ac:dyDescent="0.2">
      <c r="A13144" s="12"/>
      <c r="B13144" s="13"/>
    </row>
    <row r="13145" spans="1:2" x14ac:dyDescent="0.2">
      <c r="A13145" s="12"/>
      <c r="B13145" s="13"/>
    </row>
    <row r="13146" spans="1:2" x14ac:dyDescent="0.2">
      <c r="A13146" s="12"/>
      <c r="B13146" s="13"/>
    </row>
    <row r="13147" spans="1:2" x14ac:dyDescent="0.2">
      <c r="A13147" s="12"/>
      <c r="B13147" s="13"/>
    </row>
    <row r="13148" spans="1:2" x14ac:dyDescent="0.2">
      <c r="A13148" s="12"/>
      <c r="B13148" s="13"/>
    </row>
    <row r="13149" spans="1:2" x14ac:dyDescent="0.2">
      <c r="A13149" s="12"/>
      <c r="B13149" s="13"/>
    </row>
    <row r="13150" spans="1:2" x14ac:dyDescent="0.2">
      <c r="A13150" s="12"/>
      <c r="B13150" s="13"/>
    </row>
    <row r="13151" spans="1:2" x14ac:dyDescent="0.2">
      <c r="A13151" s="12"/>
      <c r="B13151" s="13"/>
    </row>
    <row r="13152" spans="1:2" x14ac:dyDescent="0.2">
      <c r="A13152" s="12"/>
      <c r="B13152" s="13"/>
    </row>
    <row r="13153" spans="1:2" x14ac:dyDescent="0.2">
      <c r="A13153" s="12"/>
      <c r="B13153" s="13"/>
    </row>
    <row r="13154" spans="1:2" x14ac:dyDescent="0.2">
      <c r="A13154" s="12"/>
      <c r="B13154" s="13"/>
    </row>
    <row r="13155" spans="1:2" x14ac:dyDescent="0.2">
      <c r="A13155" s="12"/>
      <c r="B13155" s="13"/>
    </row>
    <row r="13156" spans="1:2" x14ac:dyDescent="0.2">
      <c r="A13156" s="12"/>
      <c r="B13156" s="13"/>
    </row>
    <row r="13157" spans="1:2" x14ac:dyDescent="0.2">
      <c r="A13157" s="12"/>
      <c r="B13157" s="13"/>
    </row>
    <row r="13158" spans="1:2" x14ac:dyDescent="0.2">
      <c r="A13158" s="12"/>
      <c r="B13158" s="13"/>
    </row>
    <row r="13159" spans="1:2" x14ac:dyDescent="0.2">
      <c r="A13159" s="12"/>
      <c r="B13159" s="13"/>
    </row>
    <row r="13160" spans="1:2" x14ac:dyDescent="0.2">
      <c r="A13160" s="12"/>
      <c r="B13160" s="13"/>
    </row>
    <row r="13161" spans="1:2" x14ac:dyDescent="0.2">
      <c r="A13161" s="12"/>
      <c r="B13161" s="13"/>
    </row>
    <row r="13162" spans="1:2" x14ac:dyDescent="0.2">
      <c r="A13162" s="12"/>
      <c r="B13162" s="13"/>
    </row>
    <row r="13163" spans="1:2" x14ac:dyDescent="0.2">
      <c r="A13163" s="12"/>
      <c r="B13163" s="13"/>
    </row>
    <row r="13164" spans="1:2" x14ac:dyDescent="0.2">
      <c r="A13164" s="12"/>
      <c r="B13164" s="13"/>
    </row>
    <row r="13165" spans="1:2" x14ac:dyDescent="0.2">
      <c r="A13165" s="12"/>
      <c r="B13165" s="13"/>
    </row>
    <row r="13166" spans="1:2" x14ac:dyDescent="0.2">
      <c r="A13166" s="12"/>
      <c r="B13166" s="13"/>
    </row>
    <row r="13167" spans="1:2" x14ac:dyDescent="0.2">
      <c r="A13167" s="12"/>
      <c r="B13167" s="13"/>
    </row>
    <row r="13168" spans="1:2" x14ac:dyDescent="0.2">
      <c r="A13168" s="12"/>
      <c r="B13168" s="13"/>
    </row>
    <row r="13169" spans="1:2" x14ac:dyDescent="0.2">
      <c r="A13169" s="12"/>
      <c r="B13169" s="13"/>
    </row>
    <row r="13170" spans="1:2" x14ac:dyDescent="0.2">
      <c r="A13170" s="12"/>
      <c r="B13170" s="13"/>
    </row>
    <row r="13171" spans="1:2" x14ac:dyDescent="0.2">
      <c r="A13171" s="12"/>
      <c r="B13171" s="13"/>
    </row>
    <row r="13172" spans="1:2" x14ac:dyDescent="0.2">
      <c r="A13172" s="12"/>
      <c r="B13172" s="13"/>
    </row>
    <row r="13173" spans="1:2" x14ac:dyDescent="0.2">
      <c r="A13173" s="12"/>
      <c r="B13173" s="13"/>
    </row>
    <row r="13174" spans="1:2" x14ac:dyDescent="0.2">
      <c r="A13174" s="12"/>
      <c r="B13174" s="13"/>
    </row>
    <row r="13175" spans="1:2" x14ac:dyDescent="0.2">
      <c r="A13175" s="12"/>
      <c r="B13175" s="13"/>
    </row>
    <row r="13176" spans="1:2" x14ac:dyDescent="0.2">
      <c r="A13176" s="12"/>
      <c r="B13176" s="13"/>
    </row>
    <row r="13177" spans="1:2" x14ac:dyDescent="0.2">
      <c r="A13177" s="12"/>
      <c r="B13177" s="13"/>
    </row>
    <row r="13178" spans="1:2" x14ac:dyDescent="0.2">
      <c r="A13178" s="12"/>
      <c r="B13178" s="13"/>
    </row>
    <row r="13179" spans="1:2" x14ac:dyDescent="0.2">
      <c r="A13179" s="12"/>
      <c r="B13179" s="13"/>
    </row>
    <row r="13180" spans="1:2" x14ac:dyDescent="0.2">
      <c r="A13180" s="12"/>
      <c r="B13180" s="13"/>
    </row>
    <row r="13181" spans="1:2" x14ac:dyDescent="0.2">
      <c r="A13181" s="12"/>
      <c r="B13181" s="13"/>
    </row>
    <row r="13182" spans="1:2" x14ac:dyDescent="0.2">
      <c r="A13182" s="12"/>
      <c r="B13182" s="13"/>
    </row>
    <row r="13183" spans="1:2" x14ac:dyDescent="0.2">
      <c r="A13183" s="12"/>
      <c r="B13183" s="13"/>
    </row>
    <row r="13184" spans="1:2" x14ac:dyDescent="0.2">
      <c r="A13184" s="12"/>
      <c r="B13184" s="13"/>
    </row>
    <row r="13185" spans="1:2" x14ac:dyDescent="0.2">
      <c r="A13185" s="12"/>
      <c r="B13185" s="13"/>
    </row>
    <row r="13186" spans="1:2" x14ac:dyDescent="0.2">
      <c r="A13186" s="12"/>
      <c r="B13186" s="13"/>
    </row>
    <row r="13187" spans="1:2" x14ac:dyDescent="0.2">
      <c r="A13187" s="12"/>
      <c r="B13187" s="13"/>
    </row>
    <row r="13188" spans="1:2" x14ac:dyDescent="0.2">
      <c r="A13188" s="12"/>
      <c r="B13188" s="13"/>
    </row>
    <row r="13189" spans="1:2" x14ac:dyDescent="0.2">
      <c r="A13189" s="12"/>
      <c r="B13189" s="13"/>
    </row>
    <row r="13190" spans="1:2" x14ac:dyDescent="0.2">
      <c r="A13190" s="12"/>
      <c r="B13190" s="13"/>
    </row>
    <row r="13191" spans="1:2" x14ac:dyDescent="0.2">
      <c r="A13191" s="12"/>
      <c r="B13191" s="13"/>
    </row>
    <row r="13192" spans="1:2" x14ac:dyDescent="0.2">
      <c r="A13192" s="12"/>
      <c r="B13192" s="13"/>
    </row>
    <row r="13193" spans="1:2" x14ac:dyDescent="0.2">
      <c r="A13193" s="12"/>
      <c r="B13193" s="13"/>
    </row>
    <row r="13194" spans="1:2" x14ac:dyDescent="0.2">
      <c r="A13194" s="12"/>
      <c r="B13194" s="13"/>
    </row>
    <row r="13195" spans="1:2" x14ac:dyDescent="0.2">
      <c r="A13195" s="12"/>
      <c r="B13195" s="13"/>
    </row>
    <row r="13196" spans="1:2" x14ac:dyDescent="0.2">
      <c r="A13196" s="12"/>
      <c r="B13196" s="13"/>
    </row>
    <row r="13197" spans="1:2" x14ac:dyDescent="0.2">
      <c r="A13197" s="12"/>
      <c r="B13197" s="13"/>
    </row>
    <row r="13198" spans="1:2" x14ac:dyDescent="0.2">
      <c r="A13198" s="12"/>
      <c r="B13198" s="13"/>
    </row>
    <row r="13199" spans="1:2" x14ac:dyDescent="0.2">
      <c r="A13199" s="12"/>
      <c r="B13199" s="13"/>
    </row>
    <row r="13200" spans="1:2" x14ac:dyDescent="0.2">
      <c r="A13200" s="12"/>
      <c r="B13200" s="13"/>
    </row>
    <row r="13201" spans="1:2" x14ac:dyDescent="0.2">
      <c r="A13201" s="12"/>
      <c r="B13201" s="13"/>
    </row>
    <row r="13202" spans="1:2" x14ac:dyDescent="0.2">
      <c r="A13202" s="12"/>
      <c r="B13202" s="13"/>
    </row>
    <row r="13203" spans="1:2" x14ac:dyDescent="0.2">
      <c r="A13203" s="12"/>
      <c r="B13203" s="13"/>
    </row>
    <row r="13204" spans="1:2" x14ac:dyDescent="0.2">
      <c r="A13204" s="12"/>
      <c r="B13204" s="13"/>
    </row>
    <row r="13205" spans="1:2" x14ac:dyDescent="0.2">
      <c r="A13205" s="12"/>
      <c r="B13205" s="13"/>
    </row>
    <row r="13206" spans="1:2" x14ac:dyDescent="0.2">
      <c r="A13206" s="12"/>
      <c r="B13206" s="13"/>
    </row>
    <row r="13207" spans="1:2" x14ac:dyDescent="0.2">
      <c r="A13207" s="12"/>
      <c r="B13207" s="13"/>
    </row>
    <row r="13208" spans="1:2" x14ac:dyDescent="0.2">
      <c r="A13208" s="12"/>
      <c r="B13208" s="13"/>
    </row>
    <row r="13209" spans="1:2" x14ac:dyDescent="0.2">
      <c r="A13209" s="12"/>
      <c r="B13209" s="13"/>
    </row>
    <row r="13210" spans="1:2" x14ac:dyDescent="0.2">
      <c r="A13210" s="12"/>
      <c r="B13210" s="13"/>
    </row>
    <row r="13211" spans="1:2" x14ac:dyDescent="0.2">
      <c r="A13211" s="12"/>
      <c r="B13211" s="13"/>
    </row>
    <row r="13212" spans="1:2" x14ac:dyDescent="0.2">
      <c r="A13212" s="12"/>
      <c r="B13212" s="13"/>
    </row>
    <row r="13213" spans="1:2" x14ac:dyDescent="0.2">
      <c r="A13213" s="12"/>
      <c r="B13213" s="13"/>
    </row>
    <row r="13214" spans="1:2" x14ac:dyDescent="0.2">
      <c r="A13214" s="12"/>
      <c r="B13214" s="13"/>
    </row>
    <row r="13215" spans="1:2" x14ac:dyDescent="0.2">
      <c r="A13215" s="12"/>
      <c r="B13215" s="13"/>
    </row>
    <row r="13216" spans="1:2" x14ac:dyDescent="0.2">
      <c r="A13216" s="12"/>
      <c r="B13216" s="13"/>
    </row>
    <row r="13217" spans="1:2" x14ac:dyDescent="0.2">
      <c r="A13217" s="12"/>
      <c r="B13217" s="13"/>
    </row>
    <row r="13218" spans="1:2" x14ac:dyDescent="0.2">
      <c r="A13218" s="12"/>
      <c r="B13218" s="13"/>
    </row>
    <row r="13219" spans="1:2" x14ac:dyDescent="0.2">
      <c r="A13219" s="12"/>
      <c r="B13219" s="13"/>
    </row>
    <row r="13220" spans="1:2" x14ac:dyDescent="0.2">
      <c r="A13220" s="12"/>
      <c r="B13220" s="13"/>
    </row>
    <row r="13221" spans="1:2" x14ac:dyDescent="0.2">
      <c r="A13221" s="12"/>
      <c r="B13221" s="13"/>
    </row>
    <row r="13222" spans="1:2" x14ac:dyDescent="0.2">
      <c r="A13222" s="12"/>
      <c r="B13222" s="13"/>
    </row>
    <row r="13223" spans="1:2" x14ac:dyDescent="0.2">
      <c r="A13223" s="12"/>
      <c r="B13223" s="13"/>
    </row>
    <row r="13224" spans="1:2" x14ac:dyDescent="0.2">
      <c r="A13224" s="12"/>
      <c r="B13224" s="13"/>
    </row>
    <row r="13225" spans="1:2" x14ac:dyDescent="0.2">
      <c r="A13225" s="12"/>
      <c r="B13225" s="13"/>
    </row>
    <row r="13226" spans="1:2" x14ac:dyDescent="0.2">
      <c r="A13226" s="12"/>
      <c r="B13226" s="13"/>
    </row>
    <row r="13227" spans="1:2" x14ac:dyDescent="0.2">
      <c r="A13227" s="12"/>
      <c r="B13227" s="13"/>
    </row>
    <row r="13228" spans="1:2" x14ac:dyDescent="0.2">
      <c r="A13228" s="12"/>
      <c r="B13228" s="13"/>
    </row>
    <row r="13229" spans="1:2" x14ac:dyDescent="0.2">
      <c r="A13229" s="12"/>
      <c r="B13229" s="13"/>
    </row>
    <row r="13230" spans="1:2" x14ac:dyDescent="0.2">
      <c r="A13230" s="12"/>
      <c r="B13230" s="13"/>
    </row>
    <row r="13231" spans="1:2" x14ac:dyDescent="0.2">
      <c r="A13231" s="12"/>
      <c r="B13231" s="13"/>
    </row>
    <row r="13232" spans="1:2" x14ac:dyDescent="0.2">
      <c r="A13232" s="12"/>
      <c r="B13232" s="13"/>
    </row>
    <row r="13233" spans="1:2" x14ac:dyDescent="0.2">
      <c r="A13233" s="12"/>
      <c r="B13233" s="13"/>
    </row>
    <row r="13234" spans="1:2" x14ac:dyDescent="0.2">
      <c r="A13234" s="12"/>
      <c r="B13234" s="13"/>
    </row>
    <row r="13235" spans="1:2" x14ac:dyDescent="0.2">
      <c r="A13235" s="12"/>
      <c r="B13235" s="13"/>
    </row>
    <row r="13236" spans="1:2" x14ac:dyDescent="0.2">
      <c r="A13236" s="12"/>
      <c r="B13236" s="13"/>
    </row>
    <row r="13237" spans="1:2" x14ac:dyDescent="0.2">
      <c r="A13237" s="12"/>
      <c r="B13237" s="13"/>
    </row>
    <row r="13238" spans="1:2" x14ac:dyDescent="0.2">
      <c r="A13238" s="12"/>
      <c r="B13238" s="13"/>
    </row>
    <row r="13239" spans="1:2" x14ac:dyDescent="0.2">
      <c r="A13239" s="12"/>
      <c r="B13239" s="13"/>
    </row>
    <row r="13240" spans="1:2" x14ac:dyDescent="0.2">
      <c r="A13240" s="12"/>
      <c r="B13240" s="13"/>
    </row>
    <row r="13241" spans="1:2" x14ac:dyDescent="0.2">
      <c r="A13241" s="12"/>
      <c r="B13241" s="13"/>
    </row>
    <row r="13242" spans="1:2" x14ac:dyDescent="0.2">
      <c r="A13242" s="12"/>
      <c r="B13242" s="13"/>
    </row>
    <row r="13243" spans="1:2" x14ac:dyDescent="0.2">
      <c r="A13243" s="12"/>
      <c r="B13243" s="13"/>
    </row>
    <row r="13244" spans="1:2" x14ac:dyDescent="0.2">
      <c r="A13244" s="12"/>
      <c r="B13244" s="13"/>
    </row>
    <row r="13245" spans="1:2" x14ac:dyDescent="0.2">
      <c r="A13245" s="12"/>
      <c r="B13245" s="13"/>
    </row>
    <row r="13246" spans="1:2" x14ac:dyDescent="0.2">
      <c r="A13246" s="12"/>
      <c r="B13246" s="13"/>
    </row>
    <row r="13247" spans="1:2" x14ac:dyDescent="0.2">
      <c r="A13247" s="12"/>
      <c r="B13247" s="13"/>
    </row>
    <row r="13248" spans="1:2" x14ac:dyDescent="0.2">
      <c r="A13248" s="12"/>
      <c r="B13248" s="13"/>
    </row>
    <row r="13249" spans="1:2" x14ac:dyDescent="0.2">
      <c r="A13249" s="12"/>
      <c r="B13249" s="13"/>
    </row>
    <row r="13250" spans="1:2" x14ac:dyDescent="0.2">
      <c r="A13250" s="12"/>
      <c r="B13250" s="13"/>
    </row>
    <row r="13251" spans="1:2" x14ac:dyDescent="0.2">
      <c r="A13251" s="12"/>
      <c r="B13251" s="13"/>
    </row>
    <row r="13252" spans="1:2" x14ac:dyDescent="0.2">
      <c r="A13252" s="12"/>
      <c r="B13252" s="13"/>
    </row>
    <row r="13253" spans="1:2" x14ac:dyDescent="0.2">
      <c r="A13253" s="12"/>
      <c r="B13253" s="13"/>
    </row>
    <row r="13254" spans="1:2" x14ac:dyDescent="0.2">
      <c r="A13254" s="12"/>
      <c r="B13254" s="13"/>
    </row>
    <row r="13255" spans="1:2" x14ac:dyDescent="0.2">
      <c r="A13255" s="12"/>
      <c r="B13255" s="13"/>
    </row>
    <row r="13256" spans="1:2" x14ac:dyDescent="0.2">
      <c r="A13256" s="12"/>
      <c r="B13256" s="13"/>
    </row>
    <row r="13257" spans="1:2" x14ac:dyDescent="0.2">
      <c r="A13257" s="12"/>
      <c r="B13257" s="13"/>
    </row>
    <row r="13258" spans="1:2" x14ac:dyDescent="0.2">
      <c r="A13258" s="12"/>
      <c r="B13258" s="13"/>
    </row>
    <row r="13259" spans="1:2" x14ac:dyDescent="0.2">
      <c r="A13259" s="12"/>
      <c r="B13259" s="13"/>
    </row>
    <row r="13260" spans="1:2" x14ac:dyDescent="0.2">
      <c r="A13260" s="12"/>
      <c r="B13260" s="13"/>
    </row>
    <row r="13261" spans="1:2" x14ac:dyDescent="0.2">
      <c r="A13261" s="12"/>
      <c r="B13261" s="13"/>
    </row>
    <row r="13262" spans="1:2" x14ac:dyDescent="0.2">
      <c r="A13262" s="12"/>
      <c r="B13262" s="13"/>
    </row>
    <row r="13263" spans="1:2" x14ac:dyDescent="0.2">
      <c r="A13263" s="12"/>
      <c r="B13263" s="13"/>
    </row>
    <row r="13264" spans="1:2" x14ac:dyDescent="0.2">
      <c r="A13264" s="12"/>
      <c r="B13264" s="13"/>
    </row>
    <row r="13265" spans="1:2" x14ac:dyDescent="0.2">
      <c r="A13265" s="12"/>
      <c r="B13265" s="13"/>
    </row>
    <row r="13266" spans="1:2" x14ac:dyDescent="0.2">
      <c r="A13266" s="12"/>
      <c r="B13266" s="13"/>
    </row>
    <row r="13267" spans="1:2" x14ac:dyDescent="0.2">
      <c r="A13267" s="12"/>
      <c r="B13267" s="13"/>
    </row>
    <row r="13268" spans="1:2" x14ac:dyDescent="0.2">
      <c r="A13268" s="12"/>
      <c r="B13268" s="13"/>
    </row>
    <row r="13269" spans="1:2" x14ac:dyDescent="0.2">
      <c r="A13269" s="12"/>
      <c r="B13269" s="13"/>
    </row>
    <row r="13270" spans="1:2" x14ac:dyDescent="0.2">
      <c r="A13270" s="12"/>
      <c r="B13270" s="13"/>
    </row>
    <row r="13271" spans="1:2" x14ac:dyDescent="0.2">
      <c r="A13271" s="12"/>
      <c r="B13271" s="13"/>
    </row>
    <row r="13272" spans="1:2" x14ac:dyDescent="0.2">
      <c r="A13272" s="12"/>
      <c r="B13272" s="13"/>
    </row>
    <row r="13273" spans="1:2" x14ac:dyDescent="0.2">
      <c r="A13273" s="12"/>
      <c r="B13273" s="13"/>
    </row>
    <row r="13274" spans="1:2" x14ac:dyDescent="0.2">
      <c r="A13274" s="12"/>
      <c r="B13274" s="13"/>
    </row>
    <row r="13275" spans="1:2" x14ac:dyDescent="0.2">
      <c r="A13275" s="12"/>
      <c r="B13275" s="13"/>
    </row>
    <row r="13276" spans="1:2" x14ac:dyDescent="0.2">
      <c r="A13276" s="12"/>
      <c r="B13276" s="13"/>
    </row>
    <row r="13277" spans="1:2" x14ac:dyDescent="0.2">
      <c r="A13277" s="12"/>
      <c r="B13277" s="13"/>
    </row>
    <row r="13278" spans="1:2" x14ac:dyDescent="0.2">
      <c r="A13278" s="12"/>
      <c r="B13278" s="13"/>
    </row>
    <row r="13279" spans="1:2" x14ac:dyDescent="0.2">
      <c r="A13279" s="12"/>
      <c r="B13279" s="13"/>
    </row>
    <row r="13280" spans="1:2" x14ac:dyDescent="0.2">
      <c r="A13280" s="12"/>
      <c r="B13280" s="13"/>
    </row>
    <row r="13281" spans="1:2" x14ac:dyDescent="0.2">
      <c r="A13281" s="12"/>
      <c r="B13281" s="13"/>
    </row>
    <row r="13282" spans="1:2" x14ac:dyDescent="0.2">
      <c r="A13282" s="12"/>
      <c r="B13282" s="13"/>
    </row>
    <row r="13283" spans="1:2" x14ac:dyDescent="0.2">
      <c r="A13283" s="12"/>
      <c r="B13283" s="13"/>
    </row>
    <row r="13284" spans="1:2" x14ac:dyDescent="0.2">
      <c r="A13284" s="12"/>
      <c r="B13284" s="13"/>
    </row>
    <row r="13285" spans="1:2" x14ac:dyDescent="0.2">
      <c r="A13285" s="12"/>
      <c r="B13285" s="13"/>
    </row>
    <row r="13286" spans="1:2" x14ac:dyDescent="0.2">
      <c r="A13286" s="12"/>
      <c r="B13286" s="13"/>
    </row>
    <row r="13287" spans="1:2" x14ac:dyDescent="0.2">
      <c r="A13287" s="12"/>
      <c r="B13287" s="13"/>
    </row>
    <row r="13288" spans="1:2" x14ac:dyDescent="0.2">
      <c r="A13288" s="12"/>
      <c r="B13288" s="13"/>
    </row>
    <row r="13289" spans="1:2" x14ac:dyDescent="0.2">
      <c r="A13289" s="12"/>
      <c r="B13289" s="13"/>
    </row>
    <row r="13290" spans="1:2" x14ac:dyDescent="0.2">
      <c r="A13290" s="12"/>
      <c r="B13290" s="13"/>
    </row>
    <row r="13291" spans="1:2" x14ac:dyDescent="0.2">
      <c r="A13291" s="12"/>
      <c r="B13291" s="13"/>
    </row>
    <row r="13292" spans="1:2" x14ac:dyDescent="0.2">
      <c r="A13292" s="12"/>
      <c r="B13292" s="13"/>
    </row>
    <row r="13293" spans="1:2" x14ac:dyDescent="0.2">
      <c r="A13293" s="12"/>
      <c r="B13293" s="13"/>
    </row>
    <row r="13294" spans="1:2" x14ac:dyDescent="0.2">
      <c r="A13294" s="12"/>
      <c r="B13294" s="13"/>
    </row>
    <row r="13295" spans="1:2" x14ac:dyDescent="0.2">
      <c r="A13295" s="12"/>
      <c r="B13295" s="13"/>
    </row>
    <row r="13296" spans="1:2" x14ac:dyDescent="0.2">
      <c r="A13296" s="12"/>
      <c r="B13296" s="13"/>
    </row>
    <row r="13297" spans="1:2" x14ac:dyDescent="0.2">
      <c r="A13297" s="12"/>
      <c r="B13297" s="13"/>
    </row>
    <row r="13298" spans="1:2" x14ac:dyDescent="0.2">
      <c r="A13298" s="12"/>
      <c r="B13298" s="13"/>
    </row>
    <row r="13299" spans="1:2" x14ac:dyDescent="0.2">
      <c r="A13299" s="12"/>
      <c r="B13299" s="13"/>
    </row>
    <row r="13300" spans="1:2" x14ac:dyDescent="0.2">
      <c r="A13300" s="12"/>
      <c r="B13300" s="13"/>
    </row>
    <row r="13301" spans="1:2" x14ac:dyDescent="0.2">
      <c r="A13301" s="12"/>
      <c r="B13301" s="13"/>
    </row>
    <row r="13302" spans="1:2" x14ac:dyDescent="0.2">
      <c r="A13302" s="12"/>
      <c r="B13302" s="13"/>
    </row>
    <row r="13303" spans="1:2" x14ac:dyDescent="0.2">
      <c r="A13303" s="12"/>
      <c r="B13303" s="13"/>
    </row>
    <row r="13304" spans="1:2" x14ac:dyDescent="0.2">
      <c r="A13304" s="12"/>
      <c r="B13304" s="13"/>
    </row>
    <row r="13305" spans="1:2" x14ac:dyDescent="0.2">
      <c r="A13305" s="12"/>
      <c r="B13305" s="13"/>
    </row>
    <row r="13306" spans="1:2" x14ac:dyDescent="0.2">
      <c r="A13306" s="12"/>
      <c r="B13306" s="13"/>
    </row>
    <row r="13307" spans="1:2" x14ac:dyDescent="0.2">
      <c r="A13307" s="12"/>
      <c r="B13307" s="13"/>
    </row>
    <row r="13308" spans="1:2" x14ac:dyDescent="0.2">
      <c r="A13308" s="12"/>
      <c r="B13308" s="13"/>
    </row>
    <row r="13309" spans="1:2" x14ac:dyDescent="0.2">
      <c r="A13309" s="12"/>
      <c r="B13309" s="13"/>
    </row>
    <row r="13310" spans="1:2" x14ac:dyDescent="0.2">
      <c r="A13310" s="12"/>
      <c r="B13310" s="13"/>
    </row>
    <row r="13311" spans="1:2" x14ac:dyDescent="0.2">
      <c r="A13311" s="12"/>
      <c r="B13311" s="13"/>
    </row>
    <row r="13312" spans="1:2" x14ac:dyDescent="0.2">
      <c r="A13312" s="12"/>
      <c r="B13312" s="13"/>
    </row>
    <row r="13313" spans="1:2" x14ac:dyDescent="0.2">
      <c r="A13313" s="12"/>
      <c r="B13313" s="13"/>
    </row>
    <row r="13314" spans="1:2" x14ac:dyDescent="0.2">
      <c r="A13314" s="12"/>
      <c r="B13314" s="13"/>
    </row>
    <row r="13315" spans="1:2" x14ac:dyDescent="0.2">
      <c r="A13315" s="12"/>
      <c r="B13315" s="13"/>
    </row>
    <row r="13316" spans="1:2" x14ac:dyDescent="0.2">
      <c r="A13316" s="12"/>
      <c r="B13316" s="13"/>
    </row>
    <row r="13317" spans="1:2" x14ac:dyDescent="0.2">
      <c r="A13317" s="12"/>
      <c r="B13317" s="13"/>
    </row>
    <row r="13318" spans="1:2" x14ac:dyDescent="0.2">
      <c r="A13318" s="12"/>
      <c r="B13318" s="13"/>
    </row>
    <row r="13319" spans="1:2" x14ac:dyDescent="0.2">
      <c r="A13319" s="12"/>
      <c r="B13319" s="13"/>
    </row>
    <row r="13320" spans="1:2" x14ac:dyDescent="0.2">
      <c r="A13320" s="12"/>
      <c r="B13320" s="13"/>
    </row>
    <row r="13321" spans="1:2" x14ac:dyDescent="0.2">
      <c r="A13321" s="12"/>
      <c r="B13321" s="13"/>
    </row>
    <row r="13322" spans="1:2" x14ac:dyDescent="0.2">
      <c r="A13322" s="12"/>
      <c r="B13322" s="13"/>
    </row>
    <row r="13323" spans="1:2" x14ac:dyDescent="0.2">
      <c r="A13323" s="12"/>
      <c r="B13323" s="13"/>
    </row>
    <row r="13324" spans="1:2" x14ac:dyDescent="0.2">
      <c r="A13324" s="12"/>
      <c r="B13324" s="13"/>
    </row>
    <row r="13325" spans="1:2" x14ac:dyDescent="0.2">
      <c r="A13325" s="12"/>
      <c r="B13325" s="13"/>
    </row>
    <row r="13326" spans="1:2" x14ac:dyDescent="0.2">
      <c r="A13326" s="12"/>
      <c r="B13326" s="13"/>
    </row>
    <row r="13327" spans="1:2" x14ac:dyDescent="0.2">
      <c r="A13327" s="12"/>
      <c r="B13327" s="13"/>
    </row>
    <row r="13328" spans="1:2" x14ac:dyDescent="0.2">
      <c r="A13328" s="12"/>
      <c r="B13328" s="13"/>
    </row>
    <row r="13329" spans="1:2" x14ac:dyDescent="0.2">
      <c r="A13329" s="12"/>
      <c r="B13329" s="13"/>
    </row>
    <row r="13330" spans="1:2" x14ac:dyDescent="0.2">
      <c r="A13330" s="12"/>
      <c r="B13330" s="13"/>
    </row>
    <row r="13331" spans="1:2" x14ac:dyDescent="0.2">
      <c r="A13331" s="12"/>
      <c r="B13331" s="13"/>
    </row>
    <row r="13332" spans="1:2" x14ac:dyDescent="0.2">
      <c r="A13332" s="12"/>
      <c r="B13332" s="13"/>
    </row>
    <row r="13333" spans="1:2" x14ac:dyDescent="0.2">
      <c r="A13333" s="12"/>
      <c r="B13333" s="13"/>
    </row>
    <row r="13334" spans="1:2" x14ac:dyDescent="0.2">
      <c r="A13334" s="12"/>
      <c r="B13334" s="13"/>
    </row>
    <row r="13335" spans="1:2" x14ac:dyDescent="0.2">
      <c r="A13335" s="12"/>
      <c r="B13335" s="13"/>
    </row>
    <row r="13336" spans="1:2" x14ac:dyDescent="0.2">
      <c r="A13336" s="12"/>
      <c r="B13336" s="13"/>
    </row>
    <row r="13337" spans="1:2" x14ac:dyDescent="0.2">
      <c r="A13337" s="12"/>
      <c r="B13337" s="13"/>
    </row>
    <row r="13338" spans="1:2" x14ac:dyDescent="0.2">
      <c r="A13338" s="12"/>
      <c r="B13338" s="13"/>
    </row>
    <row r="13339" spans="1:2" x14ac:dyDescent="0.2">
      <c r="A13339" s="12"/>
      <c r="B13339" s="13"/>
    </row>
    <row r="13340" spans="1:2" x14ac:dyDescent="0.2">
      <c r="A13340" s="12"/>
      <c r="B13340" s="13"/>
    </row>
    <row r="13341" spans="1:2" x14ac:dyDescent="0.2">
      <c r="A13341" s="12"/>
      <c r="B13341" s="13"/>
    </row>
    <row r="13342" spans="1:2" x14ac:dyDescent="0.2">
      <c r="A13342" s="12"/>
      <c r="B13342" s="13"/>
    </row>
    <row r="13343" spans="1:2" x14ac:dyDescent="0.2">
      <c r="A13343" s="12"/>
      <c r="B13343" s="13"/>
    </row>
    <row r="13344" spans="1:2" x14ac:dyDescent="0.2">
      <c r="A13344" s="12"/>
      <c r="B13344" s="13"/>
    </row>
    <row r="13345" spans="1:2" x14ac:dyDescent="0.2">
      <c r="A13345" s="12"/>
      <c r="B13345" s="13"/>
    </row>
    <row r="13346" spans="1:2" x14ac:dyDescent="0.2">
      <c r="A13346" s="12"/>
      <c r="B13346" s="13"/>
    </row>
    <row r="13347" spans="1:2" x14ac:dyDescent="0.2">
      <c r="A13347" s="12"/>
      <c r="B13347" s="13"/>
    </row>
    <row r="13348" spans="1:2" x14ac:dyDescent="0.2">
      <c r="A13348" s="12"/>
      <c r="B13348" s="13"/>
    </row>
    <row r="13349" spans="1:2" x14ac:dyDescent="0.2">
      <c r="A13349" s="12"/>
      <c r="B13349" s="13"/>
    </row>
    <row r="13350" spans="1:2" x14ac:dyDescent="0.2">
      <c r="A13350" s="12"/>
      <c r="B13350" s="13"/>
    </row>
    <row r="13351" spans="1:2" x14ac:dyDescent="0.2">
      <c r="A13351" s="12"/>
      <c r="B13351" s="13"/>
    </row>
    <row r="13352" spans="1:2" x14ac:dyDescent="0.2">
      <c r="A13352" s="12"/>
      <c r="B13352" s="13"/>
    </row>
    <row r="13353" spans="1:2" x14ac:dyDescent="0.2">
      <c r="A13353" s="12"/>
      <c r="B13353" s="13"/>
    </row>
    <row r="13354" spans="1:2" x14ac:dyDescent="0.2">
      <c r="A13354" s="12"/>
      <c r="B13354" s="13"/>
    </row>
    <row r="13355" spans="1:2" x14ac:dyDescent="0.2">
      <c r="A13355" s="12"/>
      <c r="B13355" s="13"/>
    </row>
    <row r="13356" spans="1:2" x14ac:dyDescent="0.2">
      <c r="A13356" s="12"/>
      <c r="B13356" s="13"/>
    </row>
    <row r="13357" spans="1:2" x14ac:dyDescent="0.2">
      <c r="A13357" s="12"/>
      <c r="B13357" s="13"/>
    </row>
    <row r="13358" spans="1:2" x14ac:dyDescent="0.2">
      <c r="A13358" s="12"/>
      <c r="B13358" s="13"/>
    </row>
    <row r="13359" spans="1:2" x14ac:dyDescent="0.2">
      <c r="A13359" s="12"/>
      <c r="B13359" s="13"/>
    </row>
    <row r="13360" spans="1:2" x14ac:dyDescent="0.2">
      <c r="A13360" s="12"/>
      <c r="B13360" s="13"/>
    </row>
    <row r="13361" spans="1:2" x14ac:dyDescent="0.2">
      <c r="A13361" s="12"/>
      <c r="B13361" s="13"/>
    </row>
    <row r="13362" spans="1:2" x14ac:dyDescent="0.2">
      <c r="A13362" s="12"/>
      <c r="B13362" s="13"/>
    </row>
    <row r="13363" spans="1:2" x14ac:dyDescent="0.2">
      <c r="A13363" s="12"/>
      <c r="B13363" s="13"/>
    </row>
    <row r="13364" spans="1:2" x14ac:dyDescent="0.2">
      <c r="A13364" s="12"/>
      <c r="B13364" s="13"/>
    </row>
    <row r="13365" spans="1:2" x14ac:dyDescent="0.2">
      <c r="A13365" s="12"/>
      <c r="B13365" s="13"/>
    </row>
    <row r="13366" spans="1:2" x14ac:dyDescent="0.2">
      <c r="A13366" s="12"/>
      <c r="B13366" s="13"/>
    </row>
    <row r="13367" spans="1:2" x14ac:dyDescent="0.2">
      <c r="A13367" s="12"/>
      <c r="B13367" s="13"/>
    </row>
    <row r="13368" spans="1:2" x14ac:dyDescent="0.2">
      <c r="A13368" s="12"/>
      <c r="B13368" s="13"/>
    </row>
    <row r="13369" spans="1:2" x14ac:dyDescent="0.2">
      <c r="A13369" s="12"/>
      <c r="B13369" s="13"/>
    </row>
    <row r="13370" spans="1:2" x14ac:dyDescent="0.2">
      <c r="A13370" s="12"/>
      <c r="B13370" s="13"/>
    </row>
    <row r="13371" spans="1:2" x14ac:dyDescent="0.2">
      <c r="A13371" s="12"/>
      <c r="B13371" s="13"/>
    </row>
    <row r="13372" spans="1:2" x14ac:dyDescent="0.2">
      <c r="A13372" s="12"/>
      <c r="B13372" s="13"/>
    </row>
    <row r="13373" spans="1:2" x14ac:dyDescent="0.2">
      <c r="A13373" s="12"/>
      <c r="B13373" s="13"/>
    </row>
    <row r="13374" spans="1:2" x14ac:dyDescent="0.2">
      <c r="A13374" s="12"/>
      <c r="B13374" s="13"/>
    </row>
    <row r="13375" spans="1:2" x14ac:dyDescent="0.2">
      <c r="A13375" s="12"/>
      <c r="B13375" s="13"/>
    </row>
    <row r="13376" spans="1:2" x14ac:dyDescent="0.2">
      <c r="A13376" s="12"/>
      <c r="B13376" s="13"/>
    </row>
    <row r="13377" spans="1:2" x14ac:dyDescent="0.2">
      <c r="A13377" s="12"/>
      <c r="B13377" s="13"/>
    </row>
    <row r="13378" spans="1:2" x14ac:dyDescent="0.2">
      <c r="A13378" s="12"/>
      <c r="B13378" s="13"/>
    </row>
    <row r="13379" spans="1:2" x14ac:dyDescent="0.2">
      <c r="A13379" s="12"/>
      <c r="B13379" s="13"/>
    </row>
    <row r="13380" spans="1:2" x14ac:dyDescent="0.2">
      <c r="A13380" s="12"/>
      <c r="B13380" s="13"/>
    </row>
    <row r="13381" spans="1:2" x14ac:dyDescent="0.2">
      <c r="A13381" s="12"/>
      <c r="B13381" s="13"/>
    </row>
    <row r="13382" spans="1:2" x14ac:dyDescent="0.2">
      <c r="A13382" s="12"/>
      <c r="B13382" s="13"/>
    </row>
    <row r="13383" spans="1:2" x14ac:dyDescent="0.2">
      <c r="A13383" s="12"/>
      <c r="B13383" s="13"/>
    </row>
    <row r="13384" spans="1:2" x14ac:dyDescent="0.2">
      <c r="A13384" s="12"/>
      <c r="B13384" s="13"/>
    </row>
    <row r="13385" spans="1:2" x14ac:dyDescent="0.2">
      <c r="A13385" s="12"/>
      <c r="B13385" s="13"/>
    </row>
    <row r="13386" spans="1:2" x14ac:dyDescent="0.2">
      <c r="A13386" s="12"/>
      <c r="B13386" s="13"/>
    </row>
    <row r="13387" spans="1:2" x14ac:dyDescent="0.2">
      <c r="A13387" s="12"/>
      <c r="B13387" s="13"/>
    </row>
    <row r="13388" spans="1:2" x14ac:dyDescent="0.2">
      <c r="A13388" s="12"/>
      <c r="B13388" s="13"/>
    </row>
    <row r="13389" spans="1:2" x14ac:dyDescent="0.2">
      <c r="A13389" s="12"/>
      <c r="B13389" s="13"/>
    </row>
    <row r="13390" spans="1:2" x14ac:dyDescent="0.2">
      <c r="A13390" s="12"/>
      <c r="B13390" s="13"/>
    </row>
    <row r="13391" spans="1:2" x14ac:dyDescent="0.2">
      <c r="A13391" s="12"/>
      <c r="B13391" s="13"/>
    </row>
    <row r="13392" spans="1:2" x14ac:dyDescent="0.2">
      <c r="A13392" s="12"/>
      <c r="B13392" s="13"/>
    </row>
    <row r="13393" spans="1:2" x14ac:dyDescent="0.2">
      <c r="A13393" s="12"/>
      <c r="B13393" s="13"/>
    </row>
    <row r="13394" spans="1:2" x14ac:dyDescent="0.2">
      <c r="A13394" s="12"/>
      <c r="B13394" s="13"/>
    </row>
    <row r="13395" spans="1:2" x14ac:dyDescent="0.2">
      <c r="A13395" s="12"/>
      <c r="B13395" s="13"/>
    </row>
    <row r="13396" spans="1:2" x14ac:dyDescent="0.2">
      <c r="A13396" s="12"/>
      <c r="B13396" s="13"/>
    </row>
    <row r="13397" spans="1:2" x14ac:dyDescent="0.2">
      <c r="A13397" s="12"/>
      <c r="B13397" s="13"/>
    </row>
    <row r="13398" spans="1:2" x14ac:dyDescent="0.2">
      <c r="A13398" s="12"/>
      <c r="B13398" s="13"/>
    </row>
    <row r="13399" spans="1:2" x14ac:dyDescent="0.2">
      <c r="A13399" s="12"/>
      <c r="B13399" s="13"/>
    </row>
    <row r="13400" spans="1:2" x14ac:dyDescent="0.2">
      <c r="A13400" s="12"/>
      <c r="B13400" s="13"/>
    </row>
    <row r="13401" spans="1:2" x14ac:dyDescent="0.2">
      <c r="A13401" s="12"/>
      <c r="B13401" s="13"/>
    </row>
    <row r="13402" spans="1:2" x14ac:dyDescent="0.2">
      <c r="A13402" s="12"/>
      <c r="B13402" s="13"/>
    </row>
    <row r="13403" spans="1:2" x14ac:dyDescent="0.2">
      <c r="A13403" s="12"/>
      <c r="B13403" s="13"/>
    </row>
    <row r="13404" spans="1:2" x14ac:dyDescent="0.2">
      <c r="A13404" s="12"/>
      <c r="B13404" s="13"/>
    </row>
    <row r="13405" spans="1:2" x14ac:dyDescent="0.2">
      <c r="A13405" s="12"/>
      <c r="B13405" s="13"/>
    </row>
    <row r="13406" spans="1:2" x14ac:dyDescent="0.2">
      <c r="A13406" s="12"/>
      <c r="B13406" s="13"/>
    </row>
    <row r="13407" spans="1:2" x14ac:dyDescent="0.2">
      <c r="A13407" s="12"/>
      <c r="B13407" s="13"/>
    </row>
    <row r="13408" spans="1:2" x14ac:dyDescent="0.2">
      <c r="A13408" s="12"/>
      <c r="B13408" s="13"/>
    </row>
    <row r="13409" spans="1:2" x14ac:dyDescent="0.2">
      <c r="A13409" s="12"/>
      <c r="B13409" s="13"/>
    </row>
    <row r="13410" spans="1:2" x14ac:dyDescent="0.2">
      <c r="A13410" s="12"/>
      <c r="B13410" s="13"/>
    </row>
    <row r="13411" spans="1:2" x14ac:dyDescent="0.2">
      <c r="A13411" s="12"/>
      <c r="B13411" s="13"/>
    </row>
    <row r="13412" spans="1:2" x14ac:dyDescent="0.2">
      <c r="A13412" s="12"/>
      <c r="B13412" s="13"/>
    </row>
    <row r="13413" spans="1:2" x14ac:dyDescent="0.2">
      <c r="A13413" s="12"/>
      <c r="B13413" s="13"/>
    </row>
    <row r="13414" spans="1:2" x14ac:dyDescent="0.2">
      <c r="A13414" s="12"/>
      <c r="B13414" s="13"/>
    </row>
    <row r="13415" spans="1:2" x14ac:dyDescent="0.2">
      <c r="A13415" s="12"/>
      <c r="B13415" s="13"/>
    </row>
    <row r="13416" spans="1:2" x14ac:dyDescent="0.2">
      <c r="A13416" s="12"/>
      <c r="B13416" s="13"/>
    </row>
    <row r="13417" spans="1:2" x14ac:dyDescent="0.2">
      <c r="A13417" s="12"/>
      <c r="B13417" s="13"/>
    </row>
    <row r="13418" spans="1:2" x14ac:dyDescent="0.2">
      <c r="A13418" s="12"/>
      <c r="B13418" s="13"/>
    </row>
    <row r="13419" spans="1:2" x14ac:dyDescent="0.2">
      <c r="A13419" s="12"/>
      <c r="B13419" s="13"/>
    </row>
    <row r="13420" spans="1:2" x14ac:dyDescent="0.2">
      <c r="A13420" s="12"/>
      <c r="B13420" s="13"/>
    </row>
    <row r="13421" spans="1:2" x14ac:dyDescent="0.2">
      <c r="A13421" s="12"/>
      <c r="B13421" s="13"/>
    </row>
    <row r="13422" spans="1:2" x14ac:dyDescent="0.2">
      <c r="A13422" s="12"/>
      <c r="B13422" s="13"/>
    </row>
    <row r="13423" spans="1:2" x14ac:dyDescent="0.2">
      <c r="A13423" s="12"/>
      <c r="B13423" s="13"/>
    </row>
    <row r="13424" spans="1:2" x14ac:dyDescent="0.2">
      <c r="A13424" s="12"/>
      <c r="B13424" s="13"/>
    </row>
    <row r="13425" spans="1:2" x14ac:dyDescent="0.2">
      <c r="A13425" s="12"/>
      <c r="B13425" s="13"/>
    </row>
    <row r="13426" spans="1:2" x14ac:dyDescent="0.2">
      <c r="A13426" s="12"/>
      <c r="B13426" s="13"/>
    </row>
    <row r="13427" spans="1:2" x14ac:dyDescent="0.2">
      <c r="A13427" s="12"/>
      <c r="B13427" s="13"/>
    </row>
    <row r="13428" spans="1:2" x14ac:dyDescent="0.2">
      <c r="A13428" s="12"/>
      <c r="B13428" s="13"/>
    </row>
    <row r="13429" spans="1:2" x14ac:dyDescent="0.2">
      <c r="A13429" s="12"/>
      <c r="B13429" s="13"/>
    </row>
    <row r="13430" spans="1:2" x14ac:dyDescent="0.2">
      <c r="A13430" s="12"/>
      <c r="B13430" s="13"/>
    </row>
    <row r="13431" spans="1:2" x14ac:dyDescent="0.2">
      <c r="A13431" s="12"/>
      <c r="B13431" s="13"/>
    </row>
    <row r="13432" spans="1:2" x14ac:dyDescent="0.2">
      <c r="A13432" s="12"/>
      <c r="B13432" s="13"/>
    </row>
    <row r="13433" spans="1:2" x14ac:dyDescent="0.2">
      <c r="A13433" s="12"/>
      <c r="B13433" s="13"/>
    </row>
    <row r="13434" spans="1:2" x14ac:dyDescent="0.2">
      <c r="A13434" s="12"/>
      <c r="B13434" s="13"/>
    </row>
    <row r="13435" spans="1:2" x14ac:dyDescent="0.2">
      <c r="A13435" s="12"/>
      <c r="B13435" s="13"/>
    </row>
    <row r="13436" spans="1:2" x14ac:dyDescent="0.2">
      <c r="A13436" s="12"/>
      <c r="B13436" s="13"/>
    </row>
    <row r="13437" spans="1:2" x14ac:dyDescent="0.2">
      <c r="A13437" s="12"/>
      <c r="B13437" s="13"/>
    </row>
    <row r="13438" spans="1:2" x14ac:dyDescent="0.2">
      <c r="A13438" s="12"/>
      <c r="B13438" s="13"/>
    </row>
    <row r="13439" spans="1:2" x14ac:dyDescent="0.2">
      <c r="A13439" s="12"/>
      <c r="B13439" s="13"/>
    </row>
    <row r="13440" spans="1:2" x14ac:dyDescent="0.2">
      <c r="A13440" s="12"/>
      <c r="B13440" s="13"/>
    </row>
    <row r="13441" spans="1:2" x14ac:dyDescent="0.2">
      <c r="A13441" s="12"/>
      <c r="B13441" s="13"/>
    </row>
    <row r="13442" spans="1:2" x14ac:dyDescent="0.2">
      <c r="A13442" s="12"/>
      <c r="B13442" s="13"/>
    </row>
    <row r="13443" spans="1:2" x14ac:dyDescent="0.2">
      <c r="A13443" s="12"/>
      <c r="B13443" s="13"/>
    </row>
    <row r="13444" spans="1:2" x14ac:dyDescent="0.2">
      <c r="A13444" s="12"/>
      <c r="B13444" s="13"/>
    </row>
    <row r="13445" spans="1:2" x14ac:dyDescent="0.2">
      <c r="A13445" s="12"/>
      <c r="B13445" s="13"/>
    </row>
    <row r="13446" spans="1:2" x14ac:dyDescent="0.2">
      <c r="A13446" s="12"/>
      <c r="B13446" s="13"/>
    </row>
    <row r="13447" spans="1:2" x14ac:dyDescent="0.2">
      <c r="A13447" s="12"/>
      <c r="B13447" s="13"/>
    </row>
    <row r="13448" spans="1:2" x14ac:dyDescent="0.2">
      <c r="A13448" s="12"/>
      <c r="B13448" s="13"/>
    </row>
    <row r="13449" spans="1:2" x14ac:dyDescent="0.2">
      <c r="A13449" s="12"/>
      <c r="B13449" s="13"/>
    </row>
    <row r="13450" spans="1:2" x14ac:dyDescent="0.2">
      <c r="A13450" s="12"/>
      <c r="B13450" s="13"/>
    </row>
    <row r="13451" spans="1:2" x14ac:dyDescent="0.2">
      <c r="A13451" s="12"/>
      <c r="B13451" s="13"/>
    </row>
    <row r="13452" spans="1:2" x14ac:dyDescent="0.2">
      <c r="A13452" s="12"/>
      <c r="B13452" s="13"/>
    </row>
    <row r="13453" spans="1:2" x14ac:dyDescent="0.2">
      <c r="A13453" s="12"/>
      <c r="B13453" s="13"/>
    </row>
    <row r="13454" spans="1:2" x14ac:dyDescent="0.2">
      <c r="A13454" s="12"/>
      <c r="B13454" s="13"/>
    </row>
    <row r="13455" spans="1:2" x14ac:dyDescent="0.2">
      <c r="A13455" s="12"/>
      <c r="B13455" s="13"/>
    </row>
    <row r="13456" spans="1:2" x14ac:dyDescent="0.2">
      <c r="A13456" s="12"/>
      <c r="B13456" s="13"/>
    </row>
    <row r="13457" spans="1:2" x14ac:dyDescent="0.2">
      <c r="A13457" s="12"/>
      <c r="B13457" s="13"/>
    </row>
    <row r="13458" spans="1:2" x14ac:dyDescent="0.2">
      <c r="A13458" s="12"/>
      <c r="B13458" s="13"/>
    </row>
    <row r="13459" spans="1:2" x14ac:dyDescent="0.2">
      <c r="A13459" s="12"/>
      <c r="B13459" s="13"/>
    </row>
    <row r="13460" spans="1:2" x14ac:dyDescent="0.2">
      <c r="A13460" s="12"/>
      <c r="B13460" s="13"/>
    </row>
    <row r="13461" spans="1:2" x14ac:dyDescent="0.2">
      <c r="A13461" s="12"/>
      <c r="B13461" s="13"/>
    </row>
    <row r="13462" spans="1:2" x14ac:dyDescent="0.2">
      <c r="A13462" s="12"/>
      <c r="B13462" s="13"/>
    </row>
    <row r="13463" spans="1:2" x14ac:dyDescent="0.2">
      <c r="A13463" s="12"/>
      <c r="B13463" s="13"/>
    </row>
    <row r="13464" spans="1:2" x14ac:dyDescent="0.2">
      <c r="A13464" s="12"/>
      <c r="B13464" s="13"/>
    </row>
    <row r="13465" spans="1:2" x14ac:dyDescent="0.2">
      <c r="A13465" s="12"/>
      <c r="B13465" s="13"/>
    </row>
    <row r="13466" spans="1:2" x14ac:dyDescent="0.2">
      <c r="A13466" s="12"/>
      <c r="B13466" s="13"/>
    </row>
    <row r="13467" spans="1:2" x14ac:dyDescent="0.2">
      <c r="A13467" s="12"/>
      <c r="B13467" s="13"/>
    </row>
    <row r="13468" spans="1:2" x14ac:dyDescent="0.2">
      <c r="A13468" s="12"/>
      <c r="B13468" s="13"/>
    </row>
    <row r="13469" spans="1:2" x14ac:dyDescent="0.2">
      <c r="A13469" s="12"/>
      <c r="B13469" s="13"/>
    </row>
    <row r="13470" spans="1:2" x14ac:dyDescent="0.2">
      <c r="A13470" s="12"/>
      <c r="B13470" s="13"/>
    </row>
    <row r="13471" spans="1:2" x14ac:dyDescent="0.2">
      <c r="A13471" s="12"/>
      <c r="B13471" s="13"/>
    </row>
    <row r="13472" spans="1:2" x14ac:dyDescent="0.2">
      <c r="A13472" s="12"/>
      <c r="B13472" s="13"/>
    </row>
    <row r="13473" spans="1:2" x14ac:dyDescent="0.2">
      <c r="A13473" s="12"/>
      <c r="B13473" s="13"/>
    </row>
    <row r="13474" spans="1:2" x14ac:dyDescent="0.2">
      <c r="A13474" s="12"/>
      <c r="B13474" s="13"/>
    </row>
    <row r="13475" spans="1:2" x14ac:dyDescent="0.2">
      <c r="A13475" s="12"/>
      <c r="B13475" s="13"/>
    </row>
    <row r="13476" spans="1:2" x14ac:dyDescent="0.2">
      <c r="A13476" s="12"/>
      <c r="B13476" s="13"/>
    </row>
    <row r="13477" spans="1:2" x14ac:dyDescent="0.2">
      <c r="A13477" s="12"/>
      <c r="B13477" s="13"/>
    </row>
    <row r="13478" spans="1:2" x14ac:dyDescent="0.2">
      <c r="A13478" s="12"/>
      <c r="B13478" s="13"/>
    </row>
    <row r="13479" spans="1:2" x14ac:dyDescent="0.2">
      <c r="A13479" s="12"/>
      <c r="B13479" s="13"/>
    </row>
    <row r="13480" spans="1:2" x14ac:dyDescent="0.2">
      <c r="A13480" s="12"/>
      <c r="B13480" s="13"/>
    </row>
    <row r="13481" spans="1:2" x14ac:dyDescent="0.2">
      <c r="A13481" s="12"/>
      <c r="B13481" s="13"/>
    </row>
    <row r="13482" spans="1:2" x14ac:dyDescent="0.2">
      <c r="A13482" s="12"/>
      <c r="B13482" s="13"/>
    </row>
    <row r="13483" spans="1:2" x14ac:dyDescent="0.2">
      <c r="A13483" s="12"/>
      <c r="B13483" s="13"/>
    </row>
    <row r="13484" spans="1:2" x14ac:dyDescent="0.2">
      <c r="A13484" s="12"/>
      <c r="B13484" s="13"/>
    </row>
    <row r="13485" spans="1:2" x14ac:dyDescent="0.2">
      <c r="A13485" s="12"/>
      <c r="B13485" s="13"/>
    </row>
    <row r="13486" spans="1:2" x14ac:dyDescent="0.2">
      <c r="A13486" s="12"/>
      <c r="B13486" s="13"/>
    </row>
    <row r="13487" spans="1:2" x14ac:dyDescent="0.2">
      <c r="A13487" s="12"/>
      <c r="B13487" s="13"/>
    </row>
    <row r="13488" spans="1:2" x14ac:dyDescent="0.2">
      <c r="A13488" s="12"/>
      <c r="B13488" s="13"/>
    </row>
    <row r="13489" spans="1:2" x14ac:dyDescent="0.2">
      <c r="A13489" s="12"/>
      <c r="B13489" s="13"/>
    </row>
    <row r="13490" spans="1:2" x14ac:dyDescent="0.2">
      <c r="A13490" s="12"/>
      <c r="B13490" s="13"/>
    </row>
    <row r="13491" spans="1:2" x14ac:dyDescent="0.2">
      <c r="A13491" s="12"/>
      <c r="B13491" s="13"/>
    </row>
    <row r="13492" spans="1:2" x14ac:dyDescent="0.2">
      <c r="A13492" s="12"/>
      <c r="B13492" s="13"/>
    </row>
    <row r="13493" spans="1:2" x14ac:dyDescent="0.2">
      <c r="A13493" s="12"/>
      <c r="B13493" s="13"/>
    </row>
    <row r="13494" spans="1:2" x14ac:dyDescent="0.2">
      <c r="A13494" s="12"/>
      <c r="B13494" s="13"/>
    </row>
    <row r="13495" spans="1:2" x14ac:dyDescent="0.2">
      <c r="A13495" s="12"/>
      <c r="B13495" s="13"/>
    </row>
    <row r="13496" spans="1:2" x14ac:dyDescent="0.2">
      <c r="A13496" s="12"/>
      <c r="B13496" s="13"/>
    </row>
    <row r="13497" spans="1:2" x14ac:dyDescent="0.2">
      <c r="A13497" s="12"/>
      <c r="B13497" s="13"/>
    </row>
    <row r="13498" spans="1:2" x14ac:dyDescent="0.2">
      <c r="A13498" s="12"/>
      <c r="B13498" s="13"/>
    </row>
    <row r="13499" spans="1:2" x14ac:dyDescent="0.2">
      <c r="A13499" s="12"/>
      <c r="B13499" s="13"/>
    </row>
    <row r="13500" spans="1:2" x14ac:dyDescent="0.2">
      <c r="A13500" s="12"/>
      <c r="B13500" s="13"/>
    </row>
    <row r="13501" spans="1:2" x14ac:dyDescent="0.2">
      <c r="A13501" s="12"/>
      <c r="B13501" s="13"/>
    </row>
    <row r="13502" spans="1:2" x14ac:dyDescent="0.2">
      <c r="A13502" s="12"/>
      <c r="B13502" s="13"/>
    </row>
    <row r="13503" spans="1:2" x14ac:dyDescent="0.2">
      <c r="A13503" s="12"/>
      <c r="B13503" s="13"/>
    </row>
    <row r="13504" spans="1:2" x14ac:dyDescent="0.2">
      <c r="A13504" s="12"/>
      <c r="B13504" s="13"/>
    </row>
    <row r="13505" spans="1:2" x14ac:dyDescent="0.2">
      <c r="A13505" s="12"/>
      <c r="B13505" s="13"/>
    </row>
    <row r="13506" spans="1:2" x14ac:dyDescent="0.2">
      <c r="A13506" s="12"/>
      <c r="B13506" s="13"/>
    </row>
    <row r="13507" spans="1:2" x14ac:dyDescent="0.2">
      <c r="A13507" s="12"/>
      <c r="B13507" s="13"/>
    </row>
    <row r="13508" spans="1:2" x14ac:dyDescent="0.2">
      <c r="A13508" s="12"/>
      <c r="B13508" s="13"/>
    </row>
    <row r="13509" spans="1:2" x14ac:dyDescent="0.2">
      <c r="A13509" s="12"/>
      <c r="B13509" s="13"/>
    </row>
    <row r="13510" spans="1:2" x14ac:dyDescent="0.2">
      <c r="A13510" s="12"/>
      <c r="B13510" s="13"/>
    </row>
    <row r="13511" spans="1:2" x14ac:dyDescent="0.2">
      <c r="A13511" s="12"/>
      <c r="B13511" s="13"/>
    </row>
    <row r="13512" spans="1:2" x14ac:dyDescent="0.2">
      <c r="A13512" s="12"/>
      <c r="B13512" s="13"/>
    </row>
    <row r="13513" spans="1:2" x14ac:dyDescent="0.2">
      <c r="A13513" s="12"/>
      <c r="B13513" s="13"/>
    </row>
    <row r="13514" spans="1:2" x14ac:dyDescent="0.2">
      <c r="A13514" s="12"/>
      <c r="B13514" s="13"/>
    </row>
    <row r="13515" spans="1:2" x14ac:dyDescent="0.2">
      <c r="A13515" s="12"/>
      <c r="B13515" s="13"/>
    </row>
    <row r="13516" spans="1:2" x14ac:dyDescent="0.2">
      <c r="A13516" s="12"/>
      <c r="B13516" s="13"/>
    </row>
    <row r="13517" spans="1:2" x14ac:dyDescent="0.2">
      <c r="A13517" s="12"/>
      <c r="B13517" s="13"/>
    </row>
    <row r="13518" spans="1:2" x14ac:dyDescent="0.2">
      <c r="A13518" s="12"/>
      <c r="B13518" s="13"/>
    </row>
    <row r="13519" spans="1:2" x14ac:dyDescent="0.2">
      <c r="A13519" s="12"/>
      <c r="B13519" s="13"/>
    </row>
    <row r="13520" spans="1:2" x14ac:dyDescent="0.2">
      <c r="A13520" s="12"/>
      <c r="B13520" s="13"/>
    </row>
    <row r="13521" spans="1:2" x14ac:dyDescent="0.2">
      <c r="A13521" s="12"/>
      <c r="B13521" s="13"/>
    </row>
    <row r="13522" spans="1:2" x14ac:dyDescent="0.2">
      <c r="A13522" s="12"/>
      <c r="B13522" s="13"/>
    </row>
    <row r="13523" spans="1:2" x14ac:dyDescent="0.2">
      <c r="A13523" s="12"/>
      <c r="B13523" s="13"/>
    </row>
    <row r="13524" spans="1:2" x14ac:dyDescent="0.2">
      <c r="A13524" s="12"/>
      <c r="B13524" s="13"/>
    </row>
    <row r="13525" spans="1:2" x14ac:dyDescent="0.2">
      <c r="A13525" s="12"/>
      <c r="B13525" s="13"/>
    </row>
    <row r="13526" spans="1:2" x14ac:dyDescent="0.2">
      <c r="A13526" s="12"/>
      <c r="B13526" s="13"/>
    </row>
    <row r="13527" spans="1:2" x14ac:dyDescent="0.2">
      <c r="A13527" s="12"/>
      <c r="B13527" s="13"/>
    </row>
    <row r="13528" spans="1:2" x14ac:dyDescent="0.2">
      <c r="A13528" s="12"/>
      <c r="B13528" s="13"/>
    </row>
    <row r="13529" spans="1:2" x14ac:dyDescent="0.2">
      <c r="A13529" s="12"/>
      <c r="B13529" s="13"/>
    </row>
    <row r="13530" spans="1:2" x14ac:dyDescent="0.2">
      <c r="A13530" s="12"/>
      <c r="B13530" s="13"/>
    </row>
    <row r="13531" spans="1:2" x14ac:dyDescent="0.2">
      <c r="A13531" s="12"/>
      <c r="B13531" s="13"/>
    </row>
    <row r="13532" spans="1:2" x14ac:dyDescent="0.2">
      <c r="A13532" s="12"/>
      <c r="B13532" s="13"/>
    </row>
    <row r="13533" spans="1:2" x14ac:dyDescent="0.2">
      <c r="A13533" s="12"/>
      <c r="B13533" s="13"/>
    </row>
    <row r="13534" spans="1:2" x14ac:dyDescent="0.2">
      <c r="A13534" s="12"/>
      <c r="B13534" s="13"/>
    </row>
    <row r="13535" spans="1:2" x14ac:dyDescent="0.2">
      <c r="A13535" s="12"/>
      <c r="B13535" s="13"/>
    </row>
    <row r="13536" spans="1:2" x14ac:dyDescent="0.2">
      <c r="A13536" s="12"/>
      <c r="B13536" s="13"/>
    </row>
    <row r="13537" spans="1:2" x14ac:dyDescent="0.2">
      <c r="A13537" s="12"/>
      <c r="B13537" s="13"/>
    </row>
    <row r="13538" spans="1:2" x14ac:dyDescent="0.2">
      <c r="A13538" s="12"/>
      <c r="B13538" s="13"/>
    </row>
    <row r="13539" spans="1:2" x14ac:dyDescent="0.2">
      <c r="A13539" s="12"/>
      <c r="B13539" s="13"/>
    </row>
    <row r="13540" spans="1:2" x14ac:dyDescent="0.2">
      <c r="A13540" s="12"/>
      <c r="B13540" s="13"/>
    </row>
    <row r="13541" spans="1:2" x14ac:dyDescent="0.2">
      <c r="A13541" s="12"/>
      <c r="B13541" s="13"/>
    </row>
    <row r="13542" spans="1:2" x14ac:dyDescent="0.2">
      <c r="A13542" s="12"/>
      <c r="B13542" s="13"/>
    </row>
    <row r="13543" spans="1:2" x14ac:dyDescent="0.2">
      <c r="A13543" s="12"/>
      <c r="B13543" s="13"/>
    </row>
    <row r="13544" spans="1:2" x14ac:dyDescent="0.2">
      <c r="A13544" s="12"/>
      <c r="B13544" s="13"/>
    </row>
    <row r="13545" spans="1:2" x14ac:dyDescent="0.2">
      <c r="A13545" s="12"/>
      <c r="B13545" s="13"/>
    </row>
    <row r="13546" spans="1:2" x14ac:dyDescent="0.2">
      <c r="A13546" s="12"/>
      <c r="B13546" s="13"/>
    </row>
    <row r="13547" spans="1:2" x14ac:dyDescent="0.2">
      <c r="A13547" s="12"/>
      <c r="B13547" s="13"/>
    </row>
    <row r="13548" spans="1:2" x14ac:dyDescent="0.2">
      <c r="A13548" s="12"/>
      <c r="B13548" s="13"/>
    </row>
    <row r="13549" spans="1:2" x14ac:dyDescent="0.2">
      <c r="A13549" s="12"/>
      <c r="B13549" s="13"/>
    </row>
    <row r="13550" spans="1:2" x14ac:dyDescent="0.2">
      <c r="A13550" s="12"/>
      <c r="B13550" s="13"/>
    </row>
    <row r="13551" spans="1:2" x14ac:dyDescent="0.2">
      <c r="A13551" s="12"/>
      <c r="B13551" s="13"/>
    </row>
    <row r="13552" spans="1:2" x14ac:dyDescent="0.2">
      <c r="A13552" s="12"/>
      <c r="B13552" s="13"/>
    </row>
    <row r="13553" spans="1:2" x14ac:dyDescent="0.2">
      <c r="A13553" s="12"/>
      <c r="B13553" s="13"/>
    </row>
    <row r="13554" spans="1:2" x14ac:dyDescent="0.2">
      <c r="A13554" s="12"/>
      <c r="B13554" s="13"/>
    </row>
    <row r="13555" spans="1:2" x14ac:dyDescent="0.2">
      <c r="A13555" s="12"/>
      <c r="B13555" s="13"/>
    </row>
    <row r="13556" spans="1:2" x14ac:dyDescent="0.2">
      <c r="A13556" s="12"/>
      <c r="B13556" s="13"/>
    </row>
    <row r="13557" spans="1:2" x14ac:dyDescent="0.2">
      <c r="A13557" s="12"/>
      <c r="B13557" s="13"/>
    </row>
    <row r="13558" spans="1:2" x14ac:dyDescent="0.2">
      <c r="A13558" s="12"/>
      <c r="B13558" s="13"/>
    </row>
    <row r="13559" spans="1:2" x14ac:dyDescent="0.2">
      <c r="A13559" s="12"/>
      <c r="B13559" s="13"/>
    </row>
    <row r="13560" spans="1:2" x14ac:dyDescent="0.2">
      <c r="A13560" s="12"/>
      <c r="B13560" s="13"/>
    </row>
    <row r="13561" spans="1:2" x14ac:dyDescent="0.2">
      <c r="A13561" s="12"/>
      <c r="B13561" s="13"/>
    </row>
    <row r="13562" spans="1:2" x14ac:dyDescent="0.2">
      <c r="A13562" s="12"/>
      <c r="B13562" s="13"/>
    </row>
    <row r="13563" spans="1:2" x14ac:dyDescent="0.2">
      <c r="A13563" s="12"/>
      <c r="B13563" s="13"/>
    </row>
    <row r="13564" spans="1:2" x14ac:dyDescent="0.2">
      <c r="A13564" s="12"/>
      <c r="B13564" s="13"/>
    </row>
    <row r="13565" spans="1:2" x14ac:dyDescent="0.2">
      <c r="A13565" s="12"/>
      <c r="B13565" s="13"/>
    </row>
    <row r="13566" spans="1:2" x14ac:dyDescent="0.2">
      <c r="A13566" s="12"/>
      <c r="B13566" s="13"/>
    </row>
    <row r="13567" spans="1:2" x14ac:dyDescent="0.2">
      <c r="A13567" s="12"/>
      <c r="B13567" s="13"/>
    </row>
    <row r="13568" spans="1:2" x14ac:dyDescent="0.2">
      <c r="A13568" s="12"/>
      <c r="B13568" s="13"/>
    </row>
    <row r="13569" spans="1:2" x14ac:dyDescent="0.2">
      <c r="A13569" s="12"/>
      <c r="B13569" s="13"/>
    </row>
    <row r="13570" spans="1:2" x14ac:dyDescent="0.2">
      <c r="A13570" s="12"/>
      <c r="B13570" s="13"/>
    </row>
    <row r="13571" spans="1:2" x14ac:dyDescent="0.2">
      <c r="A13571" s="12"/>
      <c r="B13571" s="13"/>
    </row>
    <row r="13572" spans="1:2" x14ac:dyDescent="0.2">
      <c r="A13572" s="12"/>
      <c r="B13572" s="13"/>
    </row>
    <row r="13573" spans="1:2" x14ac:dyDescent="0.2">
      <c r="A13573" s="12"/>
      <c r="B13573" s="13"/>
    </row>
    <row r="13574" spans="1:2" x14ac:dyDescent="0.2">
      <c r="A13574" s="12"/>
      <c r="B13574" s="13"/>
    </row>
    <row r="13575" spans="1:2" x14ac:dyDescent="0.2">
      <c r="A13575" s="12"/>
      <c r="B13575" s="13"/>
    </row>
    <row r="13576" spans="1:2" x14ac:dyDescent="0.2">
      <c r="A13576" s="12"/>
      <c r="B13576" s="13"/>
    </row>
    <row r="13577" spans="1:2" x14ac:dyDescent="0.2">
      <c r="A13577" s="12"/>
      <c r="B13577" s="13"/>
    </row>
    <row r="13578" spans="1:2" x14ac:dyDescent="0.2">
      <c r="A13578" s="12"/>
      <c r="B13578" s="13"/>
    </row>
    <row r="13579" spans="1:2" x14ac:dyDescent="0.2">
      <c r="A13579" s="12"/>
      <c r="B13579" s="13"/>
    </row>
    <row r="13580" spans="1:2" x14ac:dyDescent="0.2">
      <c r="A13580" s="12"/>
      <c r="B13580" s="13"/>
    </row>
    <row r="13581" spans="1:2" x14ac:dyDescent="0.2">
      <c r="A13581" s="12"/>
      <c r="B13581" s="13"/>
    </row>
    <row r="13582" spans="1:2" x14ac:dyDescent="0.2">
      <c r="A13582" s="12"/>
      <c r="B13582" s="13"/>
    </row>
    <row r="13583" spans="1:2" x14ac:dyDescent="0.2">
      <c r="A13583" s="12"/>
      <c r="B13583" s="13"/>
    </row>
    <row r="13584" spans="1:2" x14ac:dyDescent="0.2">
      <c r="A13584" s="12"/>
      <c r="B13584" s="13"/>
    </row>
    <row r="13585" spans="1:2" x14ac:dyDescent="0.2">
      <c r="A13585" s="12"/>
      <c r="B13585" s="13"/>
    </row>
    <row r="13586" spans="1:2" x14ac:dyDescent="0.2">
      <c r="A13586" s="12"/>
      <c r="B13586" s="13"/>
    </row>
    <row r="13587" spans="1:2" x14ac:dyDescent="0.2">
      <c r="A13587" s="12"/>
      <c r="B13587" s="13"/>
    </row>
    <row r="13588" spans="1:2" x14ac:dyDescent="0.2">
      <c r="A13588" s="12"/>
      <c r="B13588" s="13"/>
    </row>
    <row r="13589" spans="1:2" x14ac:dyDescent="0.2">
      <c r="A13589" s="12"/>
      <c r="B13589" s="13"/>
    </row>
    <row r="13590" spans="1:2" x14ac:dyDescent="0.2">
      <c r="A13590" s="12"/>
      <c r="B13590" s="13"/>
    </row>
    <row r="13591" spans="1:2" x14ac:dyDescent="0.2">
      <c r="A13591" s="12"/>
      <c r="B13591" s="13"/>
    </row>
    <row r="13592" spans="1:2" x14ac:dyDescent="0.2">
      <c r="A13592" s="12"/>
      <c r="B13592" s="13"/>
    </row>
    <row r="13593" spans="1:2" x14ac:dyDescent="0.2">
      <c r="A13593" s="12"/>
      <c r="B13593" s="13"/>
    </row>
    <row r="13594" spans="1:2" x14ac:dyDescent="0.2">
      <c r="A13594" s="12"/>
      <c r="B13594" s="13"/>
    </row>
    <row r="13595" spans="1:2" x14ac:dyDescent="0.2">
      <c r="A13595" s="12"/>
      <c r="B13595" s="13"/>
    </row>
    <row r="13596" spans="1:2" x14ac:dyDescent="0.2">
      <c r="A13596" s="12"/>
      <c r="B13596" s="13"/>
    </row>
    <row r="13597" spans="1:2" x14ac:dyDescent="0.2">
      <c r="A13597" s="12"/>
      <c r="B13597" s="13"/>
    </row>
    <row r="13598" spans="1:2" x14ac:dyDescent="0.2">
      <c r="A13598" s="12"/>
      <c r="B13598" s="13"/>
    </row>
    <row r="13599" spans="1:2" x14ac:dyDescent="0.2">
      <c r="A13599" s="12"/>
      <c r="B13599" s="13"/>
    </row>
    <row r="13600" spans="1:2" x14ac:dyDescent="0.2">
      <c r="A13600" s="12"/>
      <c r="B13600" s="13"/>
    </row>
    <row r="13601" spans="1:2" x14ac:dyDescent="0.2">
      <c r="A13601" s="12"/>
      <c r="B13601" s="13"/>
    </row>
    <row r="13602" spans="1:2" x14ac:dyDescent="0.2">
      <c r="A13602" s="12"/>
      <c r="B13602" s="13"/>
    </row>
    <row r="13603" spans="1:2" x14ac:dyDescent="0.2">
      <c r="A13603" s="12"/>
      <c r="B13603" s="13"/>
    </row>
    <row r="13604" spans="1:2" x14ac:dyDescent="0.2">
      <c r="A13604" s="12"/>
      <c r="B13604" s="13"/>
    </row>
    <row r="13605" spans="1:2" x14ac:dyDescent="0.2">
      <c r="A13605" s="12"/>
      <c r="B13605" s="13"/>
    </row>
    <row r="13606" spans="1:2" x14ac:dyDescent="0.2">
      <c r="A13606" s="12"/>
      <c r="B13606" s="13"/>
    </row>
    <row r="13607" spans="1:2" x14ac:dyDescent="0.2">
      <c r="A13607" s="12"/>
      <c r="B13607" s="13"/>
    </row>
    <row r="13608" spans="1:2" x14ac:dyDescent="0.2">
      <c r="A13608" s="12"/>
      <c r="B13608" s="13"/>
    </row>
    <row r="13609" spans="1:2" x14ac:dyDescent="0.2">
      <c r="A13609" s="12"/>
      <c r="B13609" s="13"/>
    </row>
    <row r="13610" spans="1:2" x14ac:dyDescent="0.2">
      <c r="A13610" s="12"/>
      <c r="B13610" s="13"/>
    </row>
    <row r="13611" spans="1:2" x14ac:dyDescent="0.2">
      <c r="A13611" s="12"/>
      <c r="B13611" s="13"/>
    </row>
    <row r="13612" spans="1:2" x14ac:dyDescent="0.2">
      <c r="A13612" s="12"/>
      <c r="B13612" s="13"/>
    </row>
    <row r="13613" spans="1:2" x14ac:dyDescent="0.2">
      <c r="A13613" s="12"/>
      <c r="B13613" s="13"/>
    </row>
    <row r="13614" spans="1:2" x14ac:dyDescent="0.2">
      <c r="A13614" s="12"/>
      <c r="B13614" s="13"/>
    </row>
    <row r="13615" spans="1:2" x14ac:dyDescent="0.2">
      <c r="A13615" s="12"/>
      <c r="B13615" s="13"/>
    </row>
    <row r="13616" spans="1:2" x14ac:dyDescent="0.2">
      <c r="A13616" s="12"/>
      <c r="B13616" s="13"/>
    </row>
    <row r="13617" spans="1:2" x14ac:dyDescent="0.2">
      <c r="A13617" s="12"/>
      <c r="B13617" s="13"/>
    </row>
    <row r="13618" spans="1:2" x14ac:dyDescent="0.2">
      <c r="A13618" s="12"/>
      <c r="B13618" s="13"/>
    </row>
    <row r="13619" spans="1:2" x14ac:dyDescent="0.2">
      <c r="A13619" s="12"/>
      <c r="B13619" s="13"/>
    </row>
    <row r="13620" spans="1:2" x14ac:dyDescent="0.2">
      <c r="A13620" s="12"/>
      <c r="B13620" s="13"/>
    </row>
    <row r="13621" spans="1:2" x14ac:dyDescent="0.2">
      <c r="A13621" s="12"/>
      <c r="B13621" s="13"/>
    </row>
    <row r="13622" spans="1:2" x14ac:dyDescent="0.2">
      <c r="A13622" s="12"/>
      <c r="B13622" s="13"/>
    </row>
    <row r="13623" spans="1:2" x14ac:dyDescent="0.2">
      <c r="A13623" s="12"/>
      <c r="B13623" s="13"/>
    </row>
    <row r="13624" spans="1:2" x14ac:dyDescent="0.2">
      <c r="A13624" s="12"/>
      <c r="B13624" s="13"/>
    </row>
    <row r="13625" spans="1:2" x14ac:dyDescent="0.2">
      <c r="A13625" s="12"/>
      <c r="B13625" s="13"/>
    </row>
    <row r="13626" spans="1:2" x14ac:dyDescent="0.2">
      <c r="A13626" s="12"/>
      <c r="B13626" s="13"/>
    </row>
    <row r="13627" spans="1:2" x14ac:dyDescent="0.2">
      <c r="A13627" s="12"/>
      <c r="B13627" s="13"/>
    </row>
    <row r="13628" spans="1:2" x14ac:dyDescent="0.2">
      <c r="A13628" s="12"/>
      <c r="B13628" s="13"/>
    </row>
    <row r="13629" spans="1:2" x14ac:dyDescent="0.2">
      <c r="A13629" s="12"/>
      <c r="B13629" s="13"/>
    </row>
    <row r="13630" spans="1:2" x14ac:dyDescent="0.2">
      <c r="A13630" s="12"/>
      <c r="B13630" s="13"/>
    </row>
    <row r="13631" spans="1:2" x14ac:dyDescent="0.2">
      <c r="A13631" s="12"/>
      <c r="B13631" s="13"/>
    </row>
    <row r="13632" spans="1:2" x14ac:dyDescent="0.2">
      <c r="A13632" s="12"/>
      <c r="B13632" s="13"/>
    </row>
    <row r="13633" spans="1:2" x14ac:dyDescent="0.2">
      <c r="A13633" s="12"/>
      <c r="B13633" s="13"/>
    </row>
    <row r="13634" spans="1:2" x14ac:dyDescent="0.2">
      <c r="A13634" s="12"/>
      <c r="B13634" s="13"/>
    </row>
    <row r="13635" spans="1:2" x14ac:dyDescent="0.2">
      <c r="A13635" s="12"/>
      <c r="B13635" s="13"/>
    </row>
    <row r="13636" spans="1:2" x14ac:dyDescent="0.2">
      <c r="A13636" s="12"/>
      <c r="B13636" s="13"/>
    </row>
    <row r="13637" spans="1:2" x14ac:dyDescent="0.2">
      <c r="A13637" s="12"/>
      <c r="B13637" s="13"/>
    </row>
    <row r="13638" spans="1:2" x14ac:dyDescent="0.2">
      <c r="A13638" s="12"/>
      <c r="B13638" s="13"/>
    </row>
    <row r="13639" spans="1:2" x14ac:dyDescent="0.2">
      <c r="A13639" s="12"/>
      <c r="B13639" s="13"/>
    </row>
    <row r="13640" spans="1:2" x14ac:dyDescent="0.2">
      <c r="A13640" s="12"/>
      <c r="B13640" s="13"/>
    </row>
    <row r="13641" spans="1:2" x14ac:dyDescent="0.2">
      <c r="A13641" s="12"/>
      <c r="B13641" s="13"/>
    </row>
    <row r="13642" spans="1:2" x14ac:dyDescent="0.2">
      <c r="A13642" s="12"/>
      <c r="B13642" s="13"/>
    </row>
    <row r="13643" spans="1:2" x14ac:dyDescent="0.2">
      <c r="A13643" s="12"/>
      <c r="B13643" s="13"/>
    </row>
    <row r="13644" spans="1:2" x14ac:dyDescent="0.2">
      <c r="A13644" s="12"/>
      <c r="B13644" s="13"/>
    </row>
    <row r="13645" spans="1:2" x14ac:dyDescent="0.2">
      <c r="A13645" s="12"/>
      <c r="B13645" s="13"/>
    </row>
    <row r="13646" spans="1:2" x14ac:dyDescent="0.2">
      <c r="A13646" s="12"/>
      <c r="B13646" s="13"/>
    </row>
    <row r="13647" spans="1:2" x14ac:dyDescent="0.2">
      <c r="A13647" s="12"/>
      <c r="B13647" s="13"/>
    </row>
    <row r="13648" spans="1:2" x14ac:dyDescent="0.2">
      <c r="A13648" s="12"/>
      <c r="B13648" s="13"/>
    </row>
    <row r="13649" spans="1:2" x14ac:dyDescent="0.2">
      <c r="A13649" s="12"/>
      <c r="B13649" s="13"/>
    </row>
    <row r="13650" spans="1:2" x14ac:dyDescent="0.2">
      <c r="A13650" s="12"/>
      <c r="B13650" s="13"/>
    </row>
    <row r="13651" spans="1:2" x14ac:dyDescent="0.2">
      <c r="A13651" s="12"/>
      <c r="B13651" s="13"/>
    </row>
    <row r="13652" spans="1:2" x14ac:dyDescent="0.2">
      <c r="A13652" s="12"/>
      <c r="B13652" s="13"/>
    </row>
    <row r="13653" spans="1:2" x14ac:dyDescent="0.2">
      <c r="A13653" s="12"/>
      <c r="B13653" s="13"/>
    </row>
    <row r="13654" spans="1:2" x14ac:dyDescent="0.2">
      <c r="A13654" s="12"/>
      <c r="B13654" s="13"/>
    </row>
    <row r="13655" spans="1:2" x14ac:dyDescent="0.2">
      <c r="A13655" s="12"/>
      <c r="B13655" s="13"/>
    </row>
    <row r="13656" spans="1:2" x14ac:dyDescent="0.2">
      <c r="A13656" s="12"/>
      <c r="B13656" s="13"/>
    </row>
    <row r="13657" spans="1:2" x14ac:dyDescent="0.2">
      <c r="A13657" s="12"/>
      <c r="B13657" s="13"/>
    </row>
    <row r="13658" spans="1:2" x14ac:dyDescent="0.2">
      <c r="A13658" s="12"/>
      <c r="B13658" s="13"/>
    </row>
    <row r="13659" spans="1:2" x14ac:dyDescent="0.2">
      <c r="A13659" s="12"/>
      <c r="B13659" s="13"/>
    </row>
    <row r="13660" spans="1:2" x14ac:dyDescent="0.2">
      <c r="A13660" s="12"/>
      <c r="B13660" s="13"/>
    </row>
    <row r="13661" spans="1:2" x14ac:dyDescent="0.2">
      <c r="A13661" s="12"/>
      <c r="B13661" s="13"/>
    </row>
    <row r="13662" spans="1:2" x14ac:dyDescent="0.2">
      <c r="A13662" s="12"/>
      <c r="B13662" s="13"/>
    </row>
    <row r="13663" spans="1:2" x14ac:dyDescent="0.2">
      <c r="A13663" s="12"/>
      <c r="B13663" s="13"/>
    </row>
    <row r="13664" spans="1:2" x14ac:dyDescent="0.2">
      <c r="A13664" s="12"/>
      <c r="B13664" s="13"/>
    </row>
    <row r="13665" spans="1:2" x14ac:dyDescent="0.2">
      <c r="A13665" s="12"/>
      <c r="B13665" s="13"/>
    </row>
    <row r="13666" spans="1:2" x14ac:dyDescent="0.2">
      <c r="A13666" s="12"/>
      <c r="B13666" s="13"/>
    </row>
    <row r="13667" spans="1:2" x14ac:dyDescent="0.2">
      <c r="A13667" s="12"/>
      <c r="B13667" s="13"/>
    </row>
    <row r="13668" spans="1:2" x14ac:dyDescent="0.2">
      <c r="A13668" s="12"/>
      <c r="B13668" s="13"/>
    </row>
    <row r="13669" spans="1:2" x14ac:dyDescent="0.2">
      <c r="A13669" s="12"/>
      <c r="B13669" s="13"/>
    </row>
    <row r="13670" spans="1:2" x14ac:dyDescent="0.2">
      <c r="A13670" s="12"/>
      <c r="B13670" s="13"/>
    </row>
    <row r="13671" spans="1:2" x14ac:dyDescent="0.2">
      <c r="A13671" s="12"/>
      <c r="B13671" s="13"/>
    </row>
    <row r="13672" spans="1:2" x14ac:dyDescent="0.2">
      <c r="A13672" s="12"/>
      <c r="B13672" s="13"/>
    </row>
    <row r="13673" spans="1:2" x14ac:dyDescent="0.2">
      <c r="A13673" s="12"/>
      <c r="B13673" s="13"/>
    </row>
    <row r="13674" spans="1:2" x14ac:dyDescent="0.2">
      <c r="A13674" s="12"/>
      <c r="B13674" s="13"/>
    </row>
    <row r="13675" spans="1:2" x14ac:dyDescent="0.2">
      <c r="A13675" s="12"/>
      <c r="B13675" s="13"/>
    </row>
    <row r="13676" spans="1:2" x14ac:dyDescent="0.2">
      <c r="A13676" s="12"/>
      <c r="B13676" s="13"/>
    </row>
    <row r="13677" spans="1:2" x14ac:dyDescent="0.2">
      <c r="A13677" s="12"/>
      <c r="B13677" s="13"/>
    </row>
    <row r="13678" spans="1:2" x14ac:dyDescent="0.2">
      <c r="A13678" s="12"/>
      <c r="B13678" s="13"/>
    </row>
    <row r="13679" spans="1:2" x14ac:dyDescent="0.2">
      <c r="A13679" s="12"/>
      <c r="B13679" s="13"/>
    </row>
    <row r="13680" spans="1:2" x14ac:dyDescent="0.2">
      <c r="A13680" s="12"/>
      <c r="B13680" s="13"/>
    </row>
    <row r="13681" spans="1:2" x14ac:dyDescent="0.2">
      <c r="A13681" s="12"/>
      <c r="B13681" s="13"/>
    </row>
    <row r="13682" spans="1:2" x14ac:dyDescent="0.2">
      <c r="A13682" s="12"/>
      <c r="B13682" s="13"/>
    </row>
    <row r="13683" spans="1:2" x14ac:dyDescent="0.2">
      <c r="A13683" s="12"/>
      <c r="B13683" s="13"/>
    </row>
    <row r="13684" spans="1:2" x14ac:dyDescent="0.2">
      <c r="A13684" s="12"/>
      <c r="B13684" s="13"/>
    </row>
    <row r="13685" spans="1:2" x14ac:dyDescent="0.2">
      <c r="A13685" s="12"/>
      <c r="B13685" s="13"/>
    </row>
    <row r="13686" spans="1:2" x14ac:dyDescent="0.2">
      <c r="A13686" s="12"/>
      <c r="B13686" s="13"/>
    </row>
    <row r="13687" spans="1:2" x14ac:dyDescent="0.2">
      <c r="A13687" s="12"/>
      <c r="B13687" s="13"/>
    </row>
    <row r="13688" spans="1:2" x14ac:dyDescent="0.2">
      <c r="A13688" s="12"/>
      <c r="B13688" s="13"/>
    </row>
    <row r="13689" spans="1:2" x14ac:dyDescent="0.2">
      <c r="A13689" s="12"/>
      <c r="B13689" s="13"/>
    </row>
    <row r="13690" spans="1:2" x14ac:dyDescent="0.2">
      <c r="A13690" s="12"/>
      <c r="B13690" s="13"/>
    </row>
    <row r="13691" spans="1:2" x14ac:dyDescent="0.2">
      <c r="A13691" s="12"/>
      <c r="B13691" s="13"/>
    </row>
    <row r="13692" spans="1:2" x14ac:dyDescent="0.2">
      <c r="A13692" s="12"/>
      <c r="B13692" s="13"/>
    </row>
    <row r="13693" spans="1:2" x14ac:dyDescent="0.2">
      <c r="A13693" s="12"/>
      <c r="B13693" s="13"/>
    </row>
    <row r="13694" spans="1:2" x14ac:dyDescent="0.2">
      <c r="A13694" s="12"/>
      <c r="B13694" s="13"/>
    </row>
    <row r="13695" spans="1:2" x14ac:dyDescent="0.2">
      <c r="A13695" s="12"/>
      <c r="B13695" s="13"/>
    </row>
    <row r="13696" spans="1:2" x14ac:dyDescent="0.2">
      <c r="A13696" s="12"/>
      <c r="B13696" s="13"/>
    </row>
    <row r="13697" spans="1:2" x14ac:dyDescent="0.2">
      <c r="A13697" s="12"/>
      <c r="B13697" s="13"/>
    </row>
    <row r="13698" spans="1:2" x14ac:dyDescent="0.2">
      <c r="A13698" s="12"/>
      <c r="B13698" s="13"/>
    </row>
    <row r="13699" spans="1:2" x14ac:dyDescent="0.2">
      <c r="A13699" s="12"/>
      <c r="B13699" s="13"/>
    </row>
    <row r="13700" spans="1:2" x14ac:dyDescent="0.2">
      <c r="A13700" s="12"/>
      <c r="B13700" s="13"/>
    </row>
    <row r="13701" spans="1:2" x14ac:dyDescent="0.2">
      <c r="A13701" s="12"/>
      <c r="B13701" s="13"/>
    </row>
    <row r="13702" spans="1:2" x14ac:dyDescent="0.2">
      <c r="A13702" s="12"/>
      <c r="B13702" s="13"/>
    </row>
    <row r="13703" spans="1:2" x14ac:dyDescent="0.2">
      <c r="A13703" s="12"/>
      <c r="B13703" s="13"/>
    </row>
    <row r="13704" spans="1:2" x14ac:dyDescent="0.2">
      <c r="A13704" s="12"/>
      <c r="B13704" s="13"/>
    </row>
    <row r="13705" spans="1:2" x14ac:dyDescent="0.2">
      <c r="A13705" s="12"/>
      <c r="B13705" s="13"/>
    </row>
    <row r="13706" spans="1:2" x14ac:dyDescent="0.2">
      <c r="A13706" s="12"/>
      <c r="B13706" s="13"/>
    </row>
    <row r="13707" spans="1:2" x14ac:dyDescent="0.2">
      <c r="A13707" s="12"/>
      <c r="B13707" s="13"/>
    </row>
    <row r="13708" spans="1:2" x14ac:dyDescent="0.2">
      <c r="A13708" s="12"/>
      <c r="B13708" s="13"/>
    </row>
    <row r="13709" spans="1:2" x14ac:dyDescent="0.2">
      <c r="A13709" s="12"/>
      <c r="B13709" s="13"/>
    </row>
    <row r="13710" spans="1:2" x14ac:dyDescent="0.2">
      <c r="A13710" s="12"/>
      <c r="B13710" s="13"/>
    </row>
    <row r="13711" spans="1:2" x14ac:dyDescent="0.2">
      <c r="A13711" s="12"/>
      <c r="B13711" s="13"/>
    </row>
    <row r="13712" spans="1:2" x14ac:dyDescent="0.2">
      <c r="A13712" s="12"/>
      <c r="B13712" s="13"/>
    </row>
    <row r="13713" spans="1:2" x14ac:dyDescent="0.2">
      <c r="A13713" s="12"/>
      <c r="B13713" s="13"/>
    </row>
    <row r="13714" spans="1:2" x14ac:dyDescent="0.2">
      <c r="A13714" s="12"/>
      <c r="B13714" s="13"/>
    </row>
    <row r="13715" spans="1:2" x14ac:dyDescent="0.2">
      <c r="A13715" s="12"/>
      <c r="B13715" s="13"/>
    </row>
    <row r="13716" spans="1:2" x14ac:dyDescent="0.2">
      <c r="A13716" s="12"/>
      <c r="B13716" s="13"/>
    </row>
    <row r="13717" spans="1:2" x14ac:dyDescent="0.2">
      <c r="A13717" s="12"/>
      <c r="B13717" s="13"/>
    </row>
    <row r="13718" spans="1:2" x14ac:dyDescent="0.2">
      <c r="A13718" s="12"/>
      <c r="B13718" s="13"/>
    </row>
    <row r="13719" spans="1:2" x14ac:dyDescent="0.2">
      <c r="A13719" s="12"/>
      <c r="B13719" s="13"/>
    </row>
    <row r="13720" spans="1:2" x14ac:dyDescent="0.2">
      <c r="A13720" s="12"/>
      <c r="B13720" s="13"/>
    </row>
    <row r="13721" spans="1:2" x14ac:dyDescent="0.2">
      <c r="A13721" s="12"/>
      <c r="B13721" s="13"/>
    </row>
    <row r="13722" spans="1:2" x14ac:dyDescent="0.2">
      <c r="A13722" s="12"/>
      <c r="B13722" s="13"/>
    </row>
    <row r="13723" spans="1:2" x14ac:dyDescent="0.2">
      <c r="A13723" s="12"/>
      <c r="B13723" s="13"/>
    </row>
    <row r="13724" spans="1:2" x14ac:dyDescent="0.2">
      <c r="A13724" s="12"/>
      <c r="B13724" s="13"/>
    </row>
    <row r="13725" spans="1:2" x14ac:dyDescent="0.2">
      <c r="A13725" s="12"/>
      <c r="B13725" s="13"/>
    </row>
    <row r="13726" spans="1:2" x14ac:dyDescent="0.2">
      <c r="A13726" s="12"/>
      <c r="B13726" s="13"/>
    </row>
    <row r="13727" spans="1:2" x14ac:dyDescent="0.2">
      <c r="A13727" s="12"/>
      <c r="B13727" s="13"/>
    </row>
    <row r="13728" spans="1:2" x14ac:dyDescent="0.2">
      <c r="A13728" s="12"/>
      <c r="B13728" s="13"/>
    </row>
    <row r="13729" spans="1:2" x14ac:dyDescent="0.2">
      <c r="A13729" s="12"/>
      <c r="B13729" s="13"/>
    </row>
    <row r="13730" spans="1:2" x14ac:dyDescent="0.2">
      <c r="A13730" s="12"/>
      <c r="B13730" s="13"/>
    </row>
    <row r="13731" spans="1:2" x14ac:dyDescent="0.2">
      <c r="A13731" s="12"/>
      <c r="B13731" s="13"/>
    </row>
    <row r="13732" spans="1:2" x14ac:dyDescent="0.2">
      <c r="A13732" s="12"/>
      <c r="B13732" s="13"/>
    </row>
    <row r="13733" spans="1:2" x14ac:dyDescent="0.2">
      <c r="A13733" s="12"/>
      <c r="B13733" s="13"/>
    </row>
    <row r="13734" spans="1:2" x14ac:dyDescent="0.2">
      <c r="A13734" s="12"/>
      <c r="B13734" s="13"/>
    </row>
    <row r="13735" spans="1:2" x14ac:dyDescent="0.2">
      <c r="A13735" s="12"/>
      <c r="B13735" s="13"/>
    </row>
    <row r="13736" spans="1:2" x14ac:dyDescent="0.2">
      <c r="A13736" s="12"/>
      <c r="B13736" s="13"/>
    </row>
    <row r="13737" spans="1:2" x14ac:dyDescent="0.2">
      <c r="A13737" s="12"/>
      <c r="B13737" s="13"/>
    </row>
    <row r="13738" spans="1:2" x14ac:dyDescent="0.2">
      <c r="A13738" s="12"/>
      <c r="B13738" s="13"/>
    </row>
    <row r="13739" spans="1:2" x14ac:dyDescent="0.2">
      <c r="A13739" s="12"/>
      <c r="B13739" s="13"/>
    </row>
    <row r="13740" spans="1:2" x14ac:dyDescent="0.2">
      <c r="A13740" s="12"/>
      <c r="B13740" s="13"/>
    </row>
    <row r="13741" spans="1:2" x14ac:dyDescent="0.2">
      <c r="A13741" s="12"/>
      <c r="B13741" s="13"/>
    </row>
    <row r="13742" spans="1:2" x14ac:dyDescent="0.2">
      <c r="A13742" s="12"/>
      <c r="B13742" s="13"/>
    </row>
    <row r="13743" spans="1:2" x14ac:dyDescent="0.2">
      <c r="A13743" s="12"/>
      <c r="B13743" s="13"/>
    </row>
    <row r="13744" spans="1:2" x14ac:dyDescent="0.2">
      <c r="A13744" s="12"/>
      <c r="B13744" s="13"/>
    </row>
    <row r="13745" spans="1:2" x14ac:dyDescent="0.2">
      <c r="A13745" s="12"/>
      <c r="B13745" s="13"/>
    </row>
    <row r="13746" spans="1:2" x14ac:dyDescent="0.2">
      <c r="A13746" s="12"/>
      <c r="B13746" s="13"/>
    </row>
    <row r="13747" spans="1:2" x14ac:dyDescent="0.2">
      <c r="A13747" s="12"/>
      <c r="B13747" s="13"/>
    </row>
    <row r="13748" spans="1:2" x14ac:dyDescent="0.2">
      <c r="A13748" s="12"/>
      <c r="B13748" s="13"/>
    </row>
    <row r="13749" spans="1:2" x14ac:dyDescent="0.2">
      <c r="A13749" s="12"/>
      <c r="B13749" s="13"/>
    </row>
    <row r="13750" spans="1:2" x14ac:dyDescent="0.2">
      <c r="A13750" s="12"/>
      <c r="B13750" s="13"/>
    </row>
    <row r="13751" spans="1:2" x14ac:dyDescent="0.2">
      <c r="A13751" s="12"/>
      <c r="B13751" s="13"/>
    </row>
    <row r="13752" spans="1:2" x14ac:dyDescent="0.2">
      <c r="A13752" s="12"/>
      <c r="B13752" s="13"/>
    </row>
    <row r="13753" spans="1:2" x14ac:dyDescent="0.2">
      <c r="A13753" s="12"/>
      <c r="B13753" s="13"/>
    </row>
    <row r="13754" spans="1:2" x14ac:dyDescent="0.2">
      <c r="A13754" s="12"/>
      <c r="B13754" s="13"/>
    </row>
    <row r="13755" spans="1:2" x14ac:dyDescent="0.2">
      <c r="A13755" s="12"/>
      <c r="B13755" s="13"/>
    </row>
    <row r="13756" spans="1:2" x14ac:dyDescent="0.2">
      <c r="A13756" s="12"/>
      <c r="B13756" s="13"/>
    </row>
    <row r="13757" spans="1:2" x14ac:dyDescent="0.2">
      <c r="A13757" s="12"/>
      <c r="B13757" s="13"/>
    </row>
    <row r="13758" spans="1:2" x14ac:dyDescent="0.2">
      <c r="A13758" s="12"/>
      <c r="B13758" s="13"/>
    </row>
    <row r="13759" spans="1:2" x14ac:dyDescent="0.2">
      <c r="A13759" s="12"/>
      <c r="B13759" s="13"/>
    </row>
    <row r="13760" spans="1:2" x14ac:dyDescent="0.2">
      <c r="A13760" s="12"/>
      <c r="B13760" s="13"/>
    </row>
    <row r="13761" spans="1:2" x14ac:dyDescent="0.2">
      <c r="A13761" s="12"/>
      <c r="B13761" s="13"/>
    </row>
    <row r="13762" spans="1:2" x14ac:dyDescent="0.2">
      <c r="A13762" s="12"/>
      <c r="B13762" s="13"/>
    </row>
    <row r="13763" spans="1:2" x14ac:dyDescent="0.2">
      <c r="A13763" s="12"/>
      <c r="B13763" s="13"/>
    </row>
    <row r="13764" spans="1:2" x14ac:dyDescent="0.2">
      <c r="A13764" s="12"/>
      <c r="B13764" s="13"/>
    </row>
    <row r="13765" spans="1:2" x14ac:dyDescent="0.2">
      <c r="A13765" s="12"/>
      <c r="B13765" s="13"/>
    </row>
    <row r="13766" spans="1:2" x14ac:dyDescent="0.2">
      <c r="A13766" s="12"/>
      <c r="B13766" s="13"/>
    </row>
    <row r="13767" spans="1:2" x14ac:dyDescent="0.2">
      <c r="A13767" s="12"/>
      <c r="B13767" s="13"/>
    </row>
    <row r="13768" spans="1:2" x14ac:dyDescent="0.2">
      <c r="A13768" s="12"/>
      <c r="B13768" s="13"/>
    </row>
    <row r="13769" spans="1:2" x14ac:dyDescent="0.2">
      <c r="A13769" s="12"/>
      <c r="B13769" s="13"/>
    </row>
    <row r="13770" spans="1:2" x14ac:dyDescent="0.2">
      <c r="A13770" s="12"/>
      <c r="B13770" s="13"/>
    </row>
    <row r="13771" spans="1:2" x14ac:dyDescent="0.2">
      <c r="A13771" s="12"/>
      <c r="B13771" s="13"/>
    </row>
    <row r="13772" spans="1:2" x14ac:dyDescent="0.2">
      <c r="A13772" s="12"/>
      <c r="B13772" s="13"/>
    </row>
    <row r="13773" spans="1:2" x14ac:dyDescent="0.2">
      <c r="A13773" s="12"/>
      <c r="B13773" s="13"/>
    </row>
    <row r="13774" spans="1:2" x14ac:dyDescent="0.2">
      <c r="A13774" s="12"/>
      <c r="B13774" s="13"/>
    </row>
    <row r="13775" spans="1:2" x14ac:dyDescent="0.2">
      <c r="A13775" s="12"/>
      <c r="B13775" s="13"/>
    </row>
    <row r="13776" spans="1:2" x14ac:dyDescent="0.2">
      <c r="A13776" s="12"/>
      <c r="B13776" s="13"/>
    </row>
    <row r="13777" spans="1:2" x14ac:dyDescent="0.2">
      <c r="A13777" s="12"/>
      <c r="B13777" s="13"/>
    </row>
    <row r="13778" spans="1:2" x14ac:dyDescent="0.2">
      <c r="A13778" s="12"/>
      <c r="B13778" s="13"/>
    </row>
    <row r="13779" spans="1:2" x14ac:dyDescent="0.2">
      <c r="A13779" s="12"/>
      <c r="B13779" s="13"/>
    </row>
    <row r="13780" spans="1:2" x14ac:dyDescent="0.2">
      <c r="A13780" s="12"/>
      <c r="B13780" s="13"/>
    </row>
    <row r="13781" spans="1:2" x14ac:dyDescent="0.2">
      <c r="A13781" s="12"/>
      <c r="B13781" s="13"/>
    </row>
    <row r="13782" spans="1:2" x14ac:dyDescent="0.2">
      <c r="A13782" s="12"/>
      <c r="B13782" s="13"/>
    </row>
    <row r="13783" spans="1:2" x14ac:dyDescent="0.2">
      <c r="A13783" s="12"/>
      <c r="B13783" s="13"/>
    </row>
    <row r="13784" spans="1:2" x14ac:dyDescent="0.2">
      <c r="A13784" s="12"/>
      <c r="B13784" s="13"/>
    </row>
    <row r="13785" spans="1:2" x14ac:dyDescent="0.2">
      <c r="A13785" s="12"/>
      <c r="B13785" s="13"/>
    </row>
    <row r="13786" spans="1:2" x14ac:dyDescent="0.2">
      <c r="A13786" s="12"/>
      <c r="B13786" s="13"/>
    </row>
    <row r="13787" spans="1:2" x14ac:dyDescent="0.2">
      <c r="A13787" s="12"/>
      <c r="B13787" s="13"/>
    </row>
    <row r="13788" spans="1:2" x14ac:dyDescent="0.2">
      <c r="A13788" s="12"/>
      <c r="B13788" s="13"/>
    </row>
    <row r="13789" spans="1:2" x14ac:dyDescent="0.2">
      <c r="A13789" s="12"/>
      <c r="B13789" s="13"/>
    </row>
    <row r="13790" spans="1:2" x14ac:dyDescent="0.2">
      <c r="A13790" s="12"/>
      <c r="B13790" s="13"/>
    </row>
    <row r="13791" spans="1:2" x14ac:dyDescent="0.2">
      <c r="A13791" s="12"/>
      <c r="B13791" s="13"/>
    </row>
    <row r="13792" spans="1:2" x14ac:dyDescent="0.2">
      <c r="A13792" s="12"/>
      <c r="B13792" s="13"/>
    </row>
    <row r="13793" spans="1:2" x14ac:dyDescent="0.2">
      <c r="A13793" s="12"/>
      <c r="B13793" s="13"/>
    </row>
    <row r="13794" spans="1:2" x14ac:dyDescent="0.2">
      <c r="A13794" s="12"/>
      <c r="B13794" s="13"/>
    </row>
    <row r="13795" spans="1:2" x14ac:dyDescent="0.2">
      <c r="A13795" s="12"/>
      <c r="B13795" s="13"/>
    </row>
    <row r="13796" spans="1:2" x14ac:dyDescent="0.2">
      <c r="A13796" s="12"/>
      <c r="B13796" s="13"/>
    </row>
    <row r="13797" spans="1:2" x14ac:dyDescent="0.2">
      <c r="A13797" s="12"/>
      <c r="B13797" s="13"/>
    </row>
    <row r="13798" spans="1:2" x14ac:dyDescent="0.2">
      <c r="A13798" s="12"/>
      <c r="B13798" s="13"/>
    </row>
    <row r="13799" spans="1:2" x14ac:dyDescent="0.2">
      <c r="A13799" s="12"/>
      <c r="B13799" s="13"/>
    </row>
    <row r="13800" spans="1:2" x14ac:dyDescent="0.2">
      <c r="A13800" s="12"/>
      <c r="B13800" s="13"/>
    </row>
    <row r="13801" spans="1:2" x14ac:dyDescent="0.2">
      <c r="A13801" s="12"/>
      <c r="B13801" s="13"/>
    </row>
    <row r="13802" spans="1:2" x14ac:dyDescent="0.2">
      <c r="A13802" s="12"/>
      <c r="B13802" s="13"/>
    </row>
    <row r="13803" spans="1:2" x14ac:dyDescent="0.2">
      <c r="A13803" s="12"/>
      <c r="B13803" s="13"/>
    </row>
    <row r="13804" spans="1:2" x14ac:dyDescent="0.2">
      <c r="A13804" s="12"/>
      <c r="B13804" s="13"/>
    </row>
    <row r="13805" spans="1:2" x14ac:dyDescent="0.2">
      <c r="A13805" s="12"/>
      <c r="B13805" s="13"/>
    </row>
    <row r="13806" spans="1:2" x14ac:dyDescent="0.2">
      <c r="A13806" s="12"/>
      <c r="B13806" s="13"/>
    </row>
    <row r="13807" spans="1:2" x14ac:dyDescent="0.2">
      <c r="A13807" s="12"/>
      <c r="B13807" s="13"/>
    </row>
    <row r="13808" spans="1:2" x14ac:dyDescent="0.2">
      <c r="A13808" s="12"/>
      <c r="B13808" s="13"/>
    </row>
    <row r="13809" spans="1:2" x14ac:dyDescent="0.2">
      <c r="A13809" s="12"/>
      <c r="B13809" s="13"/>
    </row>
    <row r="13810" spans="1:2" x14ac:dyDescent="0.2">
      <c r="A13810" s="12"/>
      <c r="B13810" s="13"/>
    </row>
    <row r="13811" spans="1:2" x14ac:dyDescent="0.2">
      <c r="A13811" s="12"/>
      <c r="B13811" s="13"/>
    </row>
    <row r="13812" spans="1:2" x14ac:dyDescent="0.2">
      <c r="A13812" s="12"/>
      <c r="B13812" s="13"/>
    </row>
    <row r="13813" spans="1:2" x14ac:dyDescent="0.2">
      <c r="A13813" s="12"/>
      <c r="B13813" s="13"/>
    </row>
    <row r="13814" spans="1:2" x14ac:dyDescent="0.2">
      <c r="A13814" s="12"/>
      <c r="B13814" s="13"/>
    </row>
    <row r="13815" spans="1:2" x14ac:dyDescent="0.2">
      <c r="A13815" s="12"/>
      <c r="B13815" s="13"/>
    </row>
    <row r="13816" spans="1:2" x14ac:dyDescent="0.2">
      <c r="A13816" s="12"/>
      <c r="B13816" s="13"/>
    </row>
    <row r="13817" spans="1:2" x14ac:dyDescent="0.2">
      <c r="A13817" s="12"/>
      <c r="B13817" s="13"/>
    </row>
    <row r="13818" spans="1:2" x14ac:dyDescent="0.2">
      <c r="A13818" s="12"/>
      <c r="B13818" s="13"/>
    </row>
    <row r="13819" spans="1:2" x14ac:dyDescent="0.2">
      <c r="A13819" s="12"/>
      <c r="B13819" s="13"/>
    </row>
    <row r="13820" spans="1:2" x14ac:dyDescent="0.2">
      <c r="A13820" s="12"/>
      <c r="B13820" s="13"/>
    </row>
    <row r="13821" spans="1:2" x14ac:dyDescent="0.2">
      <c r="A13821" s="12"/>
      <c r="B13821" s="13"/>
    </row>
    <row r="13822" spans="1:2" x14ac:dyDescent="0.2">
      <c r="A13822" s="12"/>
      <c r="B13822" s="13"/>
    </row>
    <row r="13823" spans="1:2" x14ac:dyDescent="0.2">
      <c r="A13823" s="12"/>
      <c r="B13823" s="13"/>
    </row>
    <row r="13824" spans="1:2" x14ac:dyDescent="0.2">
      <c r="A13824" s="12"/>
      <c r="B13824" s="13"/>
    </row>
    <row r="13825" spans="1:2" x14ac:dyDescent="0.2">
      <c r="A13825" s="12"/>
      <c r="B13825" s="13"/>
    </row>
    <row r="13826" spans="1:2" x14ac:dyDescent="0.2">
      <c r="A13826" s="12"/>
      <c r="B13826" s="13"/>
    </row>
    <row r="13827" spans="1:2" x14ac:dyDescent="0.2">
      <c r="A13827" s="12"/>
      <c r="B13827" s="13"/>
    </row>
    <row r="13828" spans="1:2" x14ac:dyDescent="0.2">
      <c r="A13828" s="12"/>
      <c r="B13828" s="13"/>
    </row>
    <row r="13829" spans="1:2" x14ac:dyDescent="0.2">
      <c r="A13829" s="12"/>
      <c r="B13829" s="13"/>
    </row>
    <row r="13830" spans="1:2" x14ac:dyDescent="0.2">
      <c r="A13830" s="12"/>
      <c r="B13830" s="13"/>
    </row>
    <row r="13831" spans="1:2" x14ac:dyDescent="0.2">
      <c r="A13831" s="12"/>
      <c r="B13831" s="13"/>
    </row>
    <row r="13832" spans="1:2" x14ac:dyDescent="0.2">
      <c r="A13832" s="12"/>
      <c r="B13832" s="13"/>
    </row>
    <row r="13833" spans="1:2" x14ac:dyDescent="0.2">
      <c r="A13833" s="12"/>
      <c r="B13833" s="13"/>
    </row>
    <row r="13834" spans="1:2" x14ac:dyDescent="0.2">
      <c r="A13834" s="12"/>
      <c r="B13834" s="13"/>
    </row>
    <row r="13835" spans="1:2" x14ac:dyDescent="0.2">
      <c r="A13835" s="12"/>
      <c r="B13835" s="13"/>
    </row>
    <row r="13836" spans="1:2" x14ac:dyDescent="0.2">
      <c r="A13836" s="12"/>
      <c r="B13836" s="13"/>
    </row>
    <row r="13837" spans="1:2" x14ac:dyDescent="0.2">
      <c r="A13837" s="12"/>
      <c r="B13837" s="13"/>
    </row>
    <row r="13838" spans="1:2" x14ac:dyDescent="0.2">
      <c r="A13838" s="12"/>
      <c r="B13838" s="13"/>
    </row>
    <row r="13839" spans="1:2" x14ac:dyDescent="0.2">
      <c r="A13839" s="12"/>
      <c r="B13839" s="13"/>
    </row>
    <row r="13840" spans="1:2" x14ac:dyDescent="0.2">
      <c r="A13840" s="12"/>
      <c r="B13840" s="13"/>
    </row>
    <row r="13841" spans="1:2" x14ac:dyDescent="0.2">
      <c r="A13841" s="12"/>
      <c r="B13841" s="13"/>
    </row>
    <row r="13842" spans="1:2" x14ac:dyDescent="0.2">
      <c r="A13842" s="12"/>
      <c r="B13842" s="13"/>
    </row>
    <row r="13843" spans="1:2" x14ac:dyDescent="0.2">
      <c r="A13843" s="12"/>
      <c r="B13843" s="13"/>
    </row>
    <row r="13844" spans="1:2" x14ac:dyDescent="0.2">
      <c r="A13844" s="12"/>
      <c r="B13844" s="13"/>
    </row>
    <row r="13845" spans="1:2" x14ac:dyDescent="0.2">
      <c r="A13845" s="12"/>
      <c r="B13845" s="13"/>
    </row>
    <row r="13846" spans="1:2" x14ac:dyDescent="0.2">
      <c r="A13846" s="12"/>
      <c r="B13846" s="13"/>
    </row>
    <row r="13847" spans="1:2" x14ac:dyDescent="0.2">
      <c r="A13847" s="12"/>
      <c r="B13847" s="13"/>
    </row>
    <row r="13848" spans="1:2" x14ac:dyDescent="0.2">
      <c r="A13848" s="12"/>
      <c r="B13848" s="13"/>
    </row>
    <row r="13849" spans="1:2" x14ac:dyDescent="0.2">
      <c r="A13849" s="12"/>
      <c r="B13849" s="13"/>
    </row>
    <row r="13850" spans="1:2" x14ac:dyDescent="0.2">
      <c r="A13850" s="12"/>
      <c r="B13850" s="13"/>
    </row>
    <row r="13851" spans="1:2" x14ac:dyDescent="0.2">
      <c r="A13851" s="12"/>
      <c r="B13851" s="13"/>
    </row>
    <row r="13852" spans="1:2" x14ac:dyDescent="0.2">
      <c r="A13852" s="12"/>
      <c r="B13852" s="13"/>
    </row>
    <row r="13853" spans="1:2" x14ac:dyDescent="0.2">
      <c r="A13853" s="12"/>
      <c r="B13853" s="13"/>
    </row>
    <row r="13854" spans="1:2" x14ac:dyDescent="0.2">
      <c r="A13854" s="12"/>
      <c r="B13854" s="13"/>
    </row>
    <row r="13855" spans="1:2" x14ac:dyDescent="0.2">
      <c r="A13855" s="12"/>
      <c r="B13855" s="13"/>
    </row>
    <row r="13856" spans="1:2" x14ac:dyDescent="0.2">
      <c r="A13856" s="12"/>
      <c r="B13856" s="13"/>
    </row>
    <row r="13857" spans="1:2" x14ac:dyDescent="0.2">
      <c r="A13857" s="12"/>
      <c r="B13857" s="13"/>
    </row>
    <row r="13858" spans="1:2" x14ac:dyDescent="0.2">
      <c r="A13858" s="12"/>
      <c r="B13858" s="13"/>
    </row>
    <row r="13859" spans="1:2" x14ac:dyDescent="0.2">
      <c r="A13859" s="12"/>
      <c r="B13859" s="13"/>
    </row>
    <row r="13860" spans="1:2" x14ac:dyDescent="0.2">
      <c r="A13860" s="12"/>
      <c r="B13860" s="13"/>
    </row>
    <row r="13861" spans="1:2" x14ac:dyDescent="0.2">
      <c r="A13861" s="12"/>
      <c r="B13861" s="13"/>
    </row>
    <row r="13862" spans="1:2" x14ac:dyDescent="0.2">
      <c r="A13862" s="12"/>
      <c r="B13862" s="13"/>
    </row>
    <row r="13863" spans="1:2" x14ac:dyDescent="0.2">
      <c r="A13863" s="12"/>
      <c r="B13863" s="13"/>
    </row>
    <row r="13864" spans="1:2" x14ac:dyDescent="0.2">
      <c r="A13864" s="12"/>
      <c r="B13864" s="13"/>
    </row>
    <row r="13865" spans="1:2" x14ac:dyDescent="0.2">
      <c r="A13865" s="12"/>
      <c r="B13865" s="13"/>
    </row>
    <row r="13866" spans="1:2" x14ac:dyDescent="0.2">
      <c r="A13866" s="12"/>
      <c r="B13866" s="13"/>
    </row>
    <row r="13867" spans="1:2" x14ac:dyDescent="0.2">
      <c r="A13867" s="12"/>
      <c r="B13867" s="13"/>
    </row>
    <row r="13868" spans="1:2" x14ac:dyDescent="0.2">
      <c r="A13868" s="12"/>
      <c r="B13868" s="13"/>
    </row>
    <row r="13869" spans="1:2" x14ac:dyDescent="0.2">
      <c r="A13869" s="12"/>
      <c r="B13869" s="13"/>
    </row>
    <row r="13870" spans="1:2" x14ac:dyDescent="0.2">
      <c r="A13870" s="12"/>
      <c r="B13870" s="13"/>
    </row>
    <row r="13871" spans="1:2" x14ac:dyDescent="0.2">
      <c r="A13871" s="12"/>
      <c r="B13871" s="13"/>
    </row>
    <row r="13872" spans="1:2" x14ac:dyDescent="0.2">
      <c r="A13872" s="12"/>
      <c r="B13872" s="13"/>
    </row>
    <row r="13873" spans="1:2" x14ac:dyDescent="0.2">
      <c r="A13873" s="12"/>
      <c r="B13873" s="13"/>
    </row>
    <row r="13874" spans="1:2" x14ac:dyDescent="0.2">
      <c r="A13874" s="12"/>
      <c r="B13874" s="13"/>
    </row>
    <row r="13875" spans="1:2" x14ac:dyDescent="0.2">
      <c r="A13875" s="12"/>
      <c r="B13875" s="13"/>
    </row>
    <row r="13876" spans="1:2" x14ac:dyDescent="0.2">
      <c r="A13876" s="12"/>
      <c r="B13876" s="13"/>
    </row>
    <row r="13877" spans="1:2" x14ac:dyDescent="0.2">
      <c r="A13877" s="12"/>
      <c r="B13877" s="13"/>
    </row>
    <row r="13878" spans="1:2" x14ac:dyDescent="0.2">
      <c r="A13878" s="12"/>
      <c r="B13878" s="13"/>
    </row>
    <row r="13879" spans="1:2" x14ac:dyDescent="0.2">
      <c r="A13879" s="12"/>
      <c r="B13879" s="13"/>
    </row>
    <row r="13880" spans="1:2" x14ac:dyDescent="0.2">
      <c r="A13880" s="12"/>
      <c r="B13880" s="13"/>
    </row>
    <row r="13881" spans="1:2" x14ac:dyDescent="0.2">
      <c r="A13881" s="12"/>
      <c r="B13881" s="13"/>
    </row>
    <row r="13882" spans="1:2" x14ac:dyDescent="0.2">
      <c r="A13882" s="12"/>
      <c r="B13882" s="13"/>
    </row>
    <row r="13883" spans="1:2" x14ac:dyDescent="0.2">
      <c r="A13883" s="12"/>
      <c r="B13883" s="13"/>
    </row>
    <row r="13884" spans="1:2" x14ac:dyDescent="0.2">
      <c r="A13884" s="12"/>
      <c r="B13884" s="13"/>
    </row>
    <row r="13885" spans="1:2" x14ac:dyDescent="0.2">
      <c r="A13885" s="12"/>
      <c r="B13885" s="13"/>
    </row>
    <row r="13886" spans="1:2" x14ac:dyDescent="0.2">
      <c r="A13886" s="12"/>
      <c r="B13886" s="13"/>
    </row>
    <row r="13887" spans="1:2" x14ac:dyDescent="0.2">
      <c r="A13887" s="12"/>
      <c r="B13887" s="13"/>
    </row>
    <row r="13888" spans="1:2" x14ac:dyDescent="0.2">
      <c r="A13888" s="12"/>
      <c r="B13888" s="13"/>
    </row>
    <row r="13889" spans="1:2" x14ac:dyDescent="0.2">
      <c r="A13889" s="12"/>
      <c r="B13889" s="13"/>
    </row>
    <row r="13890" spans="1:2" x14ac:dyDescent="0.2">
      <c r="A13890" s="12"/>
      <c r="B13890" s="13"/>
    </row>
    <row r="13891" spans="1:2" x14ac:dyDescent="0.2">
      <c r="A13891" s="12"/>
      <c r="B13891" s="13"/>
    </row>
    <row r="13892" spans="1:2" x14ac:dyDescent="0.2">
      <c r="A13892" s="12"/>
      <c r="B13892" s="13"/>
    </row>
    <row r="13893" spans="1:2" x14ac:dyDescent="0.2">
      <c r="A13893" s="12"/>
      <c r="B13893" s="13"/>
    </row>
    <row r="13894" spans="1:2" x14ac:dyDescent="0.2">
      <c r="A13894" s="12"/>
      <c r="B13894" s="13"/>
    </row>
    <row r="13895" spans="1:2" x14ac:dyDescent="0.2">
      <c r="A13895" s="12"/>
      <c r="B13895" s="13"/>
    </row>
    <row r="13896" spans="1:2" x14ac:dyDescent="0.2">
      <c r="A13896" s="12"/>
      <c r="B13896" s="13"/>
    </row>
    <row r="13897" spans="1:2" x14ac:dyDescent="0.2">
      <c r="A13897" s="12"/>
      <c r="B13897" s="13"/>
    </row>
    <row r="13898" spans="1:2" x14ac:dyDescent="0.2">
      <c r="A13898" s="12"/>
      <c r="B13898" s="13"/>
    </row>
    <row r="13899" spans="1:2" x14ac:dyDescent="0.2">
      <c r="A13899" s="12"/>
      <c r="B13899" s="13"/>
    </row>
    <row r="13900" spans="1:2" x14ac:dyDescent="0.2">
      <c r="A13900" s="12"/>
      <c r="B13900" s="13"/>
    </row>
    <row r="13901" spans="1:2" x14ac:dyDescent="0.2">
      <c r="A13901" s="12"/>
      <c r="B13901" s="13"/>
    </row>
    <row r="13902" spans="1:2" x14ac:dyDescent="0.2">
      <c r="A13902" s="12"/>
      <c r="B13902" s="13"/>
    </row>
    <row r="13903" spans="1:2" x14ac:dyDescent="0.2">
      <c r="A13903" s="12"/>
      <c r="B13903" s="13"/>
    </row>
    <row r="13904" spans="1:2" x14ac:dyDescent="0.2">
      <c r="A13904" s="12"/>
      <c r="B13904" s="13"/>
    </row>
    <row r="13905" spans="1:2" x14ac:dyDescent="0.2">
      <c r="A13905" s="12"/>
      <c r="B13905" s="13"/>
    </row>
    <row r="13906" spans="1:2" x14ac:dyDescent="0.2">
      <c r="A13906" s="12"/>
      <c r="B13906" s="13"/>
    </row>
    <row r="13907" spans="1:2" x14ac:dyDescent="0.2">
      <c r="A13907" s="12"/>
      <c r="B13907" s="13"/>
    </row>
    <row r="13908" spans="1:2" x14ac:dyDescent="0.2">
      <c r="A13908" s="12"/>
      <c r="B13908" s="13"/>
    </row>
    <row r="13909" spans="1:2" x14ac:dyDescent="0.2">
      <c r="A13909" s="12"/>
      <c r="B13909" s="13"/>
    </row>
    <row r="13910" spans="1:2" x14ac:dyDescent="0.2">
      <c r="A13910" s="12"/>
      <c r="B13910" s="13"/>
    </row>
    <row r="13911" spans="1:2" x14ac:dyDescent="0.2">
      <c r="A13911" s="12"/>
      <c r="B13911" s="13"/>
    </row>
    <row r="13912" spans="1:2" x14ac:dyDescent="0.2">
      <c r="A13912" s="12"/>
      <c r="B13912" s="13"/>
    </row>
    <row r="13913" spans="1:2" x14ac:dyDescent="0.2">
      <c r="A13913" s="12"/>
      <c r="B13913" s="13"/>
    </row>
    <row r="13914" spans="1:2" x14ac:dyDescent="0.2">
      <c r="A13914" s="12"/>
      <c r="B13914" s="13"/>
    </row>
    <row r="13915" spans="1:2" x14ac:dyDescent="0.2">
      <c r="A13915" s="12"/>
      <c r="B13915" s="13"/>
    </row>
    <row r="13916" spans="1:2" x14ac:dyDescent="0.2">
      <c r="A13916" s="12"/>
      <c r="B13916" s="13"/>
    </row>
    <row r="13917" spans="1:2" x14ac:dyDescent="0.2">
      <c r="A13917" s="12"/>
      <c r="B13917" s="13"/>
    </row>
    <row r="13918" spans="1:2" x14ac:dyDescent="0.2">
      <c r="A13918" s="12"/>
      <c r="B13918" s="13"/>
    </row>
    <row r="13919" spans="1:2" x14ac:dyDescent="0.2">
      <c r="A13919" s="12"/>
      <c r="B13919" s="13"/>
    </row>
    <row r="13920" spans="1:2" x14ac:dyDescent="0.2">
      <c r="A13920" s="12"/>
      <c r="B13920" s="13"/>
    </row>
    <row r="13921" spans="1:2" x14ac:dyDescent="0.2">
      <c r="A13921" s="12"/>
      <c r="B13921" s="13"/>
    </row>
    <row r="13922" spans="1:2" x14ac:dyDescent="0.2">
      <c r="A13922" s="12"/>
      <c r="B13922" s="13"/>
    </row>
    <row r="13923" spans="1:2" x14ac:dyDescent="0.2">
      <c r="A13923" s="12"/>
      <c r="B13923" s="13"/>
    </row>
    <row r="13924" spans="1:2" x14ac:dyDescent="0.2">
      <c r="A13924" s="12"/>
      <c r="B13924" s="13"/>
    </row>
    <row r="13925" spans="1:2" x14ac:dyDescent="0.2">
      <c r="A13925" s="12"/>
      <c r="B13925" s="13"/>
    </row>
    <row r="13926" spans="1:2" x14ac:dyDescent="0.2">
      <c r="A13926" s="12"/>
      <c r="B13926" s="13"/>
    </row>
    <row r="13927" spans="1:2" x14ac:dyDescent="0.2">
      <c r="A13927" s="12"/>
      <c r="B13927" s="13"/>
    </row>
    <row r="13928" spans="1:2" x14ac:dyDescent="0.2">
      <c r="A13928" s="12"/>
      <c r="B13928" s="13"/>
    </row>
    <row r="13929" spans="1:2" x14ac:dyDescent="0.2">
      <c r="A13929" s="12"/>
      <c r="B13929" s="13"/>
    </row>
    <row r="13930" spans="1:2" x14ac:dyDescent="0.2">
      <c r="A13930" s="12"/>
      <c r="B13930" s="13"/>
    </row>
    <row r="13931" spans="1:2" x14ac:dyDescent="0.2">
      <c r="A13931" s="12"/>
      <c r="B13931" s="13"/>
    </row>
    <row r="13932" spans="1:2" x14ac:dyDescent="0.2">
      <c r="A13932" s="12"/>
      <c r="B13932" s="13"/>
    </row>
    <row r="13933" spans="1:2" x14ac:dyDescent="0.2">
      <c r="A13933" s="12"/>
      <c r="B13933" s="13"/>
    </row>
    <row r="13934" spans="1:2" x14ac:dyDescent="0.2">
      <c r="A13934" s="12"/>
      <c r="B13934" s="13"/>
    </row>
    <row r="13935" spans="1:2" x14ac:dyDescent="0.2">
      <c r="A13935" s="12"/>
      <c r="B13935" s="13"/>
    </row>
    <row r="13936" spans="1:2" x14ac:dyDescent="0.2">
      <c r="A13936" s="12"/>
      <c r="B13936" s="13"/>
    </row>
    <row r="13937" spans="1:2" x14ac:dyDescent="0.2">
      <c r="A13937" s="12"/>
      <c r="B13937" s="13"/>
    </row>
    <row r="13938" spans="1:2" x14ac:dyDescent="0.2">
      <c r="A13938" s="12"/>
      <c r="B13938" s="13"/>
    </row>
    <row r="13939" spans="1:2" x14ac:dyDescent="0.2">
      <c r="A13939" s="12"/>
      <c r="B13939" s="13"/>
    </row>
    <row r="13940" spans="1:2" x14ac:dyDescent="0.2">
      <c r="A13940" s="12"/>
      <c r="B13940" s="13"/>
    </row>
    <row r="13941" spans="1:2" x14ac:dyDescent="0.2">
      <c r="A13941" s="12"/>
      <c r="B13941" s="13"/>
    </row>
    <row r="13942" spans="1:2" x14ac:dyDescent="0.2">
      <c r="A13942" s="12"/>
      <c r="B13942" s="13"/>
    </row>
    <row r="13943" spans="1:2" x14ac:dyDescent="0.2">
      <c r="A13943" s="12"/>
      <c r="B13943" s="13"/>
    </row>
    <row r="13944" spans="1:2" x14ac:dyDescent="0.2">
      <c r="A13944" s="12"/>
      <c r="B13944" s="13"/>
    </row>
    <row r="13945" spans="1:2" x14ac:dyDescent="0.2">
      <c r="A13945" s="12"/>
      <c r="B13945" s="13"/>
    </row>
    <row r="13946" spans="1:2" x14ac:dyDescent="0.2">
      <c r="A13946" s="12"/>
      <c r="B13946" s="13"/>
    </row>
    <row r="13947" spans="1:2" x14ac:dyDescent="0.2">
      <c r="A13947" s="12"/>
      <c r="B13947" s="13"/>
    </row>
    <row r="13948" spans="1:2" x14ac:dyDescent="0.2">
      <c r="A13948" s="12"/>
      <c r="B13948" s="13"/>
    </row>
    <row r="13949" spans="1:2" x14ac:dyDescent="0.2">
      <c r="A13949" s="12"/>
      <c r="B13949" s="13"/>
    </row>
    <row r="13950" spans="1:2" x14ac:dyDescent="0.2">
      <c r="A13950" s="12"/>
      <c r="B13950" s="13"/>
    </row>
    <row r="13951" spans="1:2" x14ac:dyDescent="0.2">
      <c r="A13951" s="12"/>
      <c r="B13951" s="13"/>
    </row>
    <row r="13952" spans="1:2" x14ac:dyDescent="0.2">
      <c r="A13952" s="12"/>
      <c r="B13952" s="13"/>
    </row>
    <row r="13953" spans="1:2" x14ac:dyDescent="0.2">
      <c r="A13953" s="12"/>
      <c r="B13953" s="13"/>
    </row>
    <row r="13954" spans="1:2" x14ac:dyDescent="0.2">
      <c r="A13954" s="12"/>
      <c r="B13954" s="13"/>
    </row>
    <row r="13955" spans="1:2" x14ac:dyDescent="0.2">
      <c r="A13955" s="12"/>
      <c r="B13955" s="13"/>
    </row>
    <row r="13956" spans="1:2" x14ac:dyDescent="0.2">
      <c r="A13956" s="12"/>
      <c r="B13956" s="13"/>
    </row>
    <row r="13957" spans="1:2" x14ac:dyDescent="0.2">
      <c r="A13957" s="12"/>
      <c r="B13957" s="13"/>
    </row>
    <row r="13958" spans="1:2" x14ac:dyDescent="0.2">
      <c r="A13958" s="12"/>
      <c r="B13958" s="13"/>
    </row>
    <row r="13959" spans="1:2" x14ac:dyDescent="0.2">
      <c r="A13959" s="12"/>
      <c r="B13959" s="13"/>
    </row>
    <row r="13960" spans="1:2" x14ac:dyDescent="0.2">
      <c r="A13960" s="12"/>
      <c r="B13960" s="13"/>
    </row>
    <row r="13961" spans="1:2" x14ac:dyDescent="0.2">
      <c r="A13961" s="12"/>
      <c r="B13961" s="13"/>
    </row>
    <row r="13962" spans="1:2" x14ac:dyDescent="0.2">
      <c r="A13962" s="12"/>
      <c r="B13962" s="13"/>
    </row>
    <row r="13963" spans="1:2" x14ac:dyDescent="0.2">
      <c r="A13963" s="12"/>
      <c r="B13963" s="13"/>
    </row>
    <row r="13964" spans="1:2" x14ac:dyDescent="0.2">
      <c r="A13964" s="12"/>
      <c r="B13964" s="13"/>
    </row>
    <row r="13965" spans="1:2" x14ac:dyDescent="0.2">
      <c r="A13965" s="12"/>
      <c r="B13965" s="13"/>
    </row>
    <row r="13966" spans="1:2" x14ac:dyDescent="0.2">
      <c r="A13966" s="12"/>
      <c r="B13966" s="13"/>
    </row>
    <row r="13967" spans="1:2" x14ac:dyDescent="0.2">
      <c r="A13967" s="12"/>
      <c r="B13967" s="13"/>
    </row>
    <row r="13968" spans="1:2" x14ac:dyDescent="0.2">
      <c r="A13968" s="12"/>
      <c r="B13968" s="13"/>
    </row>
    <row r="13969" spans="1:2" x14ac:dyDescent="0.2">
      <c r="A13969" s="12"/>
      <c r="B13969" s="13"/>
    </row>
    <row r="13970" spans="1:2" x14ac:dyDescent="0.2">
      <c r="A13970" s="12"/>
      <c r="B13970" s="13"/>
    </row>
    <row r="13971" spans="1:2" x14ac:dyDescent="0.2">
      <c r="A13971" s="12"/>
      <c r="B13971" s="13"/>
    </row>
    <row r="13972" spans="1:2" x14ac:dyDescent="0.2">
      <c r="A13972" s="12"/>
      <c r="B13972" s="13"/>
    </row>
    <row r="13973" spans="1:2" x14ac:dyDescent="0.2">
      <c r="A13973" s="12"/>
      <c r="B13973" s="13"/>
    </row>
    <row r="13974" spans="1:2" x14ac:dyDescent="0.2">
      <c r="A13974" s="12"/>
      <c r="B13974" s="13"/>
    </row>
    <row r="13975" spans="1:2" x14ac:dyDescent="0.2">
      <c r="A13975" s="12"/>
      <c r="B13975" s="13"/>
    </row>
    <row r="13976" spans="1:2" x14ac:dyDescent="0.2">
      <c r="A13976" s="12"/>
      <c r="B13976" s="13"/>
    </row>
    <row r="13977" spans="1:2" x14ac:dyDescent="0.2">
      <c r="A13977" s="12"/>
      <c r="B13977" s="13"/>
    </row>
    <row r="13978" spans="1:2" x14ac:dyDescent="0.2">
      <c r="A13978" s="12"/>
      <c r="B13978" s="13"/>
    </row>
    <row r="13979" spans="1:2" x14ac:dyDescent="0.2">
      <c r="A13979" s="12"/>
      <c r="B13979" s="13"/>
    </row>
    <row r="13980" spans="1:2" x14ac:dyDescent="0.2">
      <c r="A13980" s="12"/>
      <c r="B13980" s="13"/>
    </row>
    <row r="13981" spans="1:2" x14ac:dyDescent="0.2">
      <c r="A13981" s="12"/>
      <c r="B13981" s="13"/>
    </row>
    <row r="13982" spans="1:2" x14ac:dyDescent="0.2">
      <c r="A13982" s="12"/>
      <c r="B13982" s="13"/>
    </row>
    <row r="13983" spans="1:2" x14ac:dyDescent="0.2">
      <c r="A13983" s="12"/>
      <c r="B13983" s="13"/>
    </row>
    <row r="13984" spans="1:2" x14ac:dyDescent="0.2">
      <c r="A13984" s="12"/>
      <c r="B13984" s="13"/>
    </row>
    <row r="13985" spans="1:2" x14ac:dyDescent="0.2">
      <c r="A13985" s="12"/>
      <c r="B13985" s="13"/>
    </row>
    <row r="13986" spans="1:2" x14ac:dyDescent="0.2">
      <c r="A13986" s="12"/>
      <c r="B13986" s="13"/>
    </row>
    <row r="13987" spans="1:2" x14ac:dyDescent="0.2">
      <c r="A13987" s="12"/>
      <c r="B13987" s="13"/>
    </row>
    <row r="13988" spans="1:2" x14ac:dyDescent="0.2">
      <c r="A13988" s="12"/>
      <c r="B13988" s="13"/>
    </row>
    <row r="13989" spans="1:2" x14ac:dyDescent="0.2">
      <c r="A13989" s="12"/>
      <c r="B13989" s="13"/>
    </row>
    <row r="13990" spans="1:2" x14ac:dyDescent="0.2">
      <c r="A13990" s="12"/>
      <c r="B13990" s="13"/>
    </row>
    <row r="13991" spans="1:2" x14ac:dyDescent="0.2">
      <c r="A13991" s="12"/>
      <c r="B13991" s="13"/>
    </row>
    <row r="13992" spans="1:2" x14ac:dyDescent="0.2">
      <c r="A13992" s="12"/>
      <c r="B13992" s="13"/>
    </row>
    <row r="13993" spans="1:2" x14ac:dyDescent="0.2">
      <c r="A13993" s="12"/>
      <c r="B13993" s="13"/>
    </row>
    <row r="13994" spans="1:2" x14ac:dyDescent="0.2">
      <c r="A13994" s="12"/>
      <c r="B13994" s="13"/>
    </row>
    <row r="13995" spans="1:2" x14ac:dyDescent="0.2">
      <c r="A13995" s="12"/>
      <c r="B13995" s="13"/>
    </row>
    <row r="13996" spans="1:2" x14ac:dyDescent="0.2">
      <c r="A13996" s="12"/>
      <c r="B13996" s="13"/>
    </row>
    <row r="13997" spans="1:2" x14ac:dyDescent="0.2">
      <c r="A13997" s="12"/>
      <c r="B13997" s="13"/>
    </row>
    <row r="13998" spans="1:2" x14ac:dyDescent="0.2">
      <c r="A13998" s="12"/>
      <c r="B13998" s="13"/>
    </row>
    <row r="13999" spans="1:2" x14ac:dyDescent="0.2">
      <c r="A13999" s="12"/>
      <c r="B13999" s="13"/>
    </row>
    <row r="14000" spans="1:2" x14ac:dyDescent="0.2">
      <c r="A14000" s="12"/>
      <c r="B14000" s="13"/>
    </row>
    <row r="14001" spans="1:2" x14ac:dyDescent="0.2">
      <c r="A14001" s="12"/>
      <c r="B14001" s="13"/>
    </row>
    <row r="14002" spans="1:2" x14ac:dyDescent="0.2">
      <c r="A14002" s="12"/>
      <c r="B14002" s="13"/>
    </row>
    <row r="14003" spans="1:2" x14ac:dyDescent="0.2">
      <c r="A14003" s="12"/>
      <c r="B14003" s="13"/>
    </row>
    <row r="14004" spans="1:2" x14ac:dyDescent="0.2">
      <c r="A14004" s="12"/>
      <c r="B14004" s="13"/>
    </row>
    <row r="14005" spans="1:2" x14ac:dyDescent="0.2">
      <c r="A14005" s="12"/>
      <c r="B14005" s="13"/>
    </row>
    <row r="14006" spans="1:2" x14ac:dyDescent="0.2">
      <c r="A14006" s="12"/>
      <c r="B14006" s="13"/>
    </row>
    <row r="14007" spans="1:2" x14ac:dyDescent="0.2">
      <c r="A14007" s="12"/>
      <c r="B14007" s="13"/>
    </row>
    <row r="14008" spans="1:2" x14ac:dyDescent="0.2">
      <c r="A14008" s="12"/>
      <c r="B14008" s="13"/>
    </row>
    <row r="14009" spans="1:2" x14ac:dyDescent="0.2">
      <c r="A14009" s="12"/>
      <c r="B14009" s="13"/>
    </row>
    <row r="14010" spans="1:2" x14ac:dyDescent="0.2">
      <c r="A14010" s="12"/>
      <c r="B14010" s="13"/>
    </row>
    <row r="14011" spans="1:2" x14ac:dyDescent="0.2">
      <c r="A14011" s="12"/>
      <c r="B14011" s="13"/>
    </row>
    <row r="14012" spans="1:2" x14ac:dyDescent="0.2">
      <c r="A14012" s="12"/>
      <c r="B14012" s="13"/>
    </row>
    <row r="14013" spans="1:2" x14ac:dyDescent="0.2">
      <c r="A14013" s="12"/>
      <c r="B14013" s="13"/>
    </row>
    <row r="14014" spans="1:2" x14ac:dyDescent="0.2">
      <c r="A14014" s="12"/>
      <c r="B14014" s="13"/>
    </row>
    <row r="14015" spans="1:2" x14ac:dyDescent="0.2">
      <c r="A14015" s="12"/>
      <c r="B14015" s="13"/>
    </row>
    <row r="14016" spans="1:2" x14ac:dyDescent="0.2">
      <c r="A14016" s="12"/>
      <c r="B14016" s="13"/>
    </row>
    <row r="14017" spans="1:2" x14ac:dyDescent="0.2">
      <c r="A14017" s="12"/>
      <c r="B14017" s="13"/>
    </row>
    <row r="14018" spans="1:2" x14ac:dyDescent="0.2">
      <c r="A14018" s="12"/>
      <c r="B14018" s="13"/>
    </row>
    <row r="14019" spans="1:2" x14ac:dyDescent="0.2">
      <c r="A14019" s="12"/>
      <c r="B14019" s="13"/>
    </row>
    <row r="14020" spans="1:2" x14ac:dyDescent="0.2">
      <c r="A14020" s="12"/>
      <c r="B14020" s="13"/>
    </row>
    <row r="14021" spans="1:2" x14ac:dyDescent="0.2">
      <c r="A14021" s="12"/>
      <c r="B14021" s="13"/>
    </row>
    <row r="14022" spans="1:2" x14ac:dyDescent="0.2">
      <c r="A14022" s="12"/>
      <c r="B14022" s="13"/>
    </row>
    <row r="14023" spans="1:2" x14ac:dyDescent="0.2">
      <c r="A14023" s="12"/>
      <c r="B14023" s="13"/>
    </row>
    <row r="14024" spans="1:2" x14ac:dyDescent="0.2">
      <c r="A14024" s="12"/>
      <c r="B14024" s="13"/>
    </row>
    <row r="14025" spans="1:2" x14ac:dyDescent="0.2">
      <c r="A14025" s="12"/>
      <c r="B14025" s="13"/>
    </row>
    <row r="14026" spans="1:2" x14ac:dyDescent="0.2">
      <c r="A14026" s="12"/>
      <c r="B14026" s="13"/>
    </row>
    <row r="14027" spans="1:2" x14ac:dyDescent="0.2">
      <c r="A14027" s="12"/>
      <c r="B14027" s="13"/>
    </row>
    <row r="14028" spans="1:2" x14ac:dyDescent="0.2">
      <c r="A14028" s="12"/>
      <c r="B14028" s="13"/>
    </row>
    <row r="14029" spans="1:2" x14ac:dyDescent="0.2">
      <c r="A14029" s="12"/>
      <c r="B14029" s="13"/>
    </row>
    <row r="14030" spans="1:2" x14ac:dyDescent="0.2">
      <c r="A14030" s="12"/>
      <c r="B14030" s="13"/>
    </row>
    <row r="14031" spans="1:2" x14ac:dyDescent="0.2">
      <c r="A14031" s="12"/>
      <c r="B14031" s="13"/>
    </row>
    <row r="14032" spans="1:2" x14ac:dyDescent="0.2">
      <c r="A14032" s="12"/>
      <c r="B14032" s="13"/>
    </row>
    <row r="14033" spans="1:2" x14ac:dyDescent="0.2">
      <c r="A14033" s="12"/>
      <c r="B14033" s="13"/>
    </row>
    <row r="14034" spans="1:2" x14ac:dyDescent="0.2">
      <c r="A14034" s="12"/>
      <c r="B14034" s="13"/>
    </row>
    <row r="14035" spans="1:2" x14ac:dyDescent="0.2">
      <c r="A14035" s="12"/>
      <c r="B14035" s="13"/>
    </row>
    <row r="14036" spans="1:2" x14ac:dyDescent="0.2">
      <c r="A14036" s="12"/>
      <c r="B14036" s="13"/>
    </row>
    <row r="14037" spans="1:2" x14ac:dyDescent="0.2">
      <c r="A14037" s="12"/>
      <c r="B14037" s="13"/>
    </row>
    <row r="14038" spans="1:2" x14ac:dyDescent="0.2">
      <c r="A14038" s="12"/>
      <c r="B14038" s="13"/>
    </row>
    <row r="14039" spans="1:2" x14ac:dyDescent="0.2">
      <c r="A14039" s="12"/>
      <c r="B14039" s="13"/>
    </row>
    <row r="14040" spans="1:2" x14ac:dyDescent="0.2">
      <c r="A14040" s="12"/>
      <c r="B14040" s="13"/>
    </row>
    <row r="14041" spans="1:2" x14ac:dyDescent="0.2">
      <c r="A14041" s="12"/>
      <c r="B14041" s="13"/>
    </row>
    <row r="14042" spans="1:2" x14ac:dyDescent="0.2">
      <c r="A14042" s="12"/>
      <c r="B14042" s="13"/>
    </row>
    <row r="14043" spans="1:2" x14ac:dyDescent="0.2">
      <c r="A14043" s="12"/>
      <c r="B14043" s="13"/>
    </row>
    <row r="14044" spans="1:2" x14ac:dyDescent="0.2">
      <c r="A14044" s="12"/>
      <c r="B14044" s="13"/>
    </row>
    <row r="14045" spans="1:2" x14ac:dyDescent="0.2">
      <c r="A14045" s="12"/>
      <c r="B14045" s="13"/>
    </row>
    <row r="14046" spans="1:2" x14ac:dyDescent="0.2">
      <c r="A14046" s="12"/>
      <c r="B14046" s="13"/>
    </row>
    <row r="14047" spans="1:2" x14ac:dyDescent="0.2">
      <c r="A14047" s="12"/>
      <c r="B14047" s="13"/>
    </row>
    <row r="14048" spans="1:2" x14ac:dyDescent="0.2">
      <c r="A14048" s="12"/>
      <c r="B14048" s="13"/>
    </row>
    <row r="14049" spans="1:2" x14ac:dyDescent="0.2">
      <c r="A14049" s="12"/>
      <c r="B14049" s="13"/>
    </row>
    <row r="14050" spans="1:2" x14ac:dyDescent="0.2">
      <c r="A14050" s="12"/>
      <c r="B14050" s="13"/>
    </row>
    <row r="14051" spans="1:2" x14ac:dyDescent="0.2">
      <c r="A14051" s="12"/>
      <c r="B14051" s="13"/>
    </row>
    <row r="14052" spans="1:2" x14ac:dyDescent="0.2">
      <c r="A14052" s="12"/>
      <c r="B14052" s="13"/>
    </row>
    <row r="14053" spans="1:2" x14ac:dyDescent="0.2">
      <c r="A14053" s="12"/>
      <c r="B14053" s="13"/>
    </row>
    <row r="14054" spans="1:2" x14ac:dyDescent="0.2">
      <c r="A14054" s="12"/>
      <c r="B14054" s="13"/>
    </row>
    <row r="14055" spans="1:2" x14ac:dyDescent="0.2">
      <c r="A14055" s="12"/>
      <c r="B14055" s="13"/>
    </row>
    <row r="14056" spans="1:2" x14ac:dyDescent="0.2">
      <c r="A14056" s="12"/>
      <c r="B14056" s="13"/>
    </row>
    <row r="14057" spans="1:2" x14ac:dyDescent="0.2">
      <c r="A14057" s="12"/>
      <c r="B14057" s="13"/>
    </row>
    <row r="14058" spans="1:2" x14ac:dyDescent="0.2">
      <c r="A14058" s="12"/>
      <c r="B14058" s="13"/>
    </row>
    <row r="14059" spans="1:2" x14ac:dyDescent="0.2">
      <c r="A14059" s="12"/>
      <c r="B14059" s="13"/>
    </row>
    <row r="14060" spans="1:2" x14ac:dyDescent="0.2">
      <c r="A14060" s="12"/>
      <c r="B14060" s="13"/>
    </row>
    <row r="14061" spans="1:2" x14ac:dyDescent="0.2">
      <c r="A14061" s="12"/>
      <c r="B14061" s="13"/>
    </row>
    <row r="14062" spans="1:2" x14ac:dyDescent="0.2">
      <c r="A14062" s="12"/>
      <c r="B14062" s="13"/>
    </row>
    <row r="14063" spans="1:2" x14ac:dyDescent="0.2">
      <c r="A14063" s="12"/>
      <c r="B14063" s="13"/>
    </row>
    <row r="14064" spans="1:2" x14ac:dyDescent="0.2">
      <c r="A14064" s="12"/>
      <c r="B14064" s="13"/>
    </row>
    <row r="14065" spans="1:2" x14ac:dyDescent="0.2">
      <c r="A14065" s="12"/>
      <c r="B14065" s="13"/>
    </row>
    <row r="14066" spans="1:2" x14ac:dyDescent="0.2">
      <c r="A14066" s="12"/>
      <c r="B14066" s="13"/>
    </row>
    <row r="14067" spans="1:2" x14ac:dyDescent="0.2">
      <c r="A14067" s="12"/>
      <c r="B14067" s="13"/>
    </row>
    <row r="14068" spans="1:2" x14ac:dyDescent="0.2">
      <c r="A14068" s="12"/>
      <c r="B14068" s="13"/>
    </row>
    <row r="14069" spans="1:2" x14ac:dyDescent="0.2">
      <c r="A14069" s="12"/>
      <c r="B14069" s="13"/>
    </row>
    <row r="14070" spans="1:2" x14ac:dyDescent="0.2">
      <c r="A14070" s="12"/>
      <c r="B14070" s="13"/>
    </row>
    <row r="14071" spans="1:2" x14ac:dyDescent="0.2">
      <c r="A14071" s="12"/>
      <c r="B14071" s="13"/>
    </row>
    <row r="14072" spans="1:2" x14ac:dyDescent="0.2">
      <c r="A14072" s="12"/>
      <c r="B14072" s="13"/>
    </row>
    <row r="14073" spans="1:2" x14ac:dyDescent="0.2">
      <c r="A14073" s="12"/>
      <c r="B14073" s="13"/>
    </row>
    <row r="14074" spans="1:2" x14ac:dyDescent="0.2">
      <c r="A14074" s="12"/>
      <c r="B14074" s="13"/>
    </row>
    <row r="14075" spans="1:2" x14ac:dyDescent="0.2">
      <c r="A14075" s="12"/>
      <c r="B14075" s="13"/>
    </row>
    <row r="14076" spans="1:2" x14ac:dyDescent="0.2">
      <c r="A14076" s="12"/>
      <c r="B14076" s="13"/>
    </row>
    <row r="14077" spans="1:2" x14ac:dyDescent="0.2">
      <c r="A14077" s="12"/>
      <c r="B14077" s="13"/>
    </row>
    <row r="14078" spans="1:2" x14ac:dyDescent="0.2">
      <c r="A14078" s="12"/>
      <c r="B14078" s="13"/>
    </row>
    <row r="14079" spans="1:2" x14ac:dyDescent="0.2">
      <c r="A14079" s="12"/>
      <c r="B14079" s="13"/>
    </row>
    <row r="14080" spans="1:2" x14ac:dyDescent="0.2">
      <c r="A14080" s="12"/>
      <c r="B14080" s="13"/>
    </row>
    <row r="14081" spans="1:2" x14ac:dyDescent="0.2">
      <c r="A14081" s="12"/>
      <c r="B14081" s="13"/>
    </row>
    <row r="14082" spans="1:2" x14ac:dyDescent="0.2">
      <c r="A14082" s="12"/>
      <c r="B14082" s="13"/>
    </row>
    <row r="14083" spans="1:2" x14ac:dyDescent="0.2">
      <c r="A14083" s="12"/>
      <c r="B14083" s="13"/>
    </row>
    <row r="14084" spans="1:2" x14ac:dyDescent="0.2">
      <c r="A14084" s="12"/>
      <c r="B14084" s="13"/>
    </row>
    <row r="14085" spans="1:2" x14ac:dyDescent="0.2">
      <c r="A14085" s="12"/>
      <c r="B14085" s="13"/>
    </row>
    <row r="14086" spans="1:2" x14ac:dyDescent="0.2">
      <c r="A14086" s="12"/>
      <c r="B14086" s="13"/>
    </row>
    <row r="14087" spans="1:2" x14ac:dyDescent="0.2">
      <c r="A14087" s="12"/>
      <c r="B14087" s="13"/>
    </row>
    <row r="14088" spans="1:2" x14ac:dyDescent="0.2">
      <c r="A14088" s="12"/>
      <c r="B14088" s="13"/>
    </row>
    <row r="14089" spans="1:2" x14ac:dyDescent="0.2">
      <c r="A14089" s="12"/>
      <c r="B14089" s="13"/>
    </row>
    <row r="14090" spans="1:2" x14ac:dyDescent="0.2">
      <c r="A14090" s="12"/>
      <c r="B14090" s="13"/>
    </row>
    <row r="14091" spans="1:2" x14ac:dyDescent="0.2">
      <c r="A14091" s="12"/>
      <c r="B14091" s="13"/>
    </row>
    <row r="14092" spans="1:2" x14ac:dyDescent="0.2">
      <c r="A14092" s="12"/>
      <c r="B14092" s="13"/>
    </row>
    <row r="14093" spans="1:2" x14ac:dyDescent="0.2">
      <c r="A14093" s="12"/>
      <c r="B14093" s="13"/>
    </row>
    <row r="14094" spans="1:2" x14ac:dyDescent="0.2">
      <c r="A14094" s="12"/>
      <c r="B14094" s="13"/>
    </row>
    <row r="14095" spans="1:2" x14ac:dyDescent="0.2">
      <c r="A14095" s="12"/>
      <c r="B14095" s="13"/>
    </row>
    <row r="14096" spans="1:2" x14ac:dyDescent="0.2">
      <c r="A14096" s="12"/>
      <c r="B14096" s="13"/>
    </row>
    <row r="14097" spans="1:2" x14ac:dyDescent="0.2">
      <c r="A14097" s="12"/>
      <c r="B14097" s="13"/>
    </row>
    <row r="14098" spans="1:2" x14ac:dyDescent="0.2">
      <c r="A14098" s="12"/>
      <c r="B14098" s="13"/>
    </row>
    <row r="14099" spans="1:2" x14ac:dyDescent="0.2">
      <c r="A14099" s="12"/>
      <c r="B14099" s="13"/>
    </row>
    <row r="14100" spans="1:2" x14ac:dyDescent="0.2">
      <c r="A14100" s="12"/>
      <c r="B14100" s="13"/>
    </row>
    <row r="14101" spans="1:2" x14ac:dyDescent="0.2">
      <c r="A14101" s="12"/>
      <c r="B14101" s="13"/>
    </row>
    <row r="14102" spans="1:2" x14ac:dyDescent="0.2">
      <c r="A14102" s="12"/>
      <c r="B14102" s="13"/>
    </row>
    <row r="14103" spans="1:2" x14ac:dyDescent="0.2">
      <c r="A14103" s="12"/>
      <c r="B14103" s="13"/>
    </row>
    <row r="14104" spans="1:2" x14ac:dyDescent="0.2">
      <c r="A14104" s="12"/>
      <c r="B14104" s="13"/>
    </row>
    <row r="14105" spans="1:2" x14ac:dyDescent="0.2">
      <c r="A14105" s="12"/>
      <c r="B14105" s="13"/>
    </row>
    <row r="14106" spans="1:2" x14ac:dyDescent="0.2">
      <c r="A14106" s="12"/>
      <c r="B14106" s="13"/>
    </row>
    <row r="14107" spans="1:2" x14ac:dyDescent="0.2">
      <c r="A14107" s="12"/>
      <c r="B14107" s="13"/>
    </row>
    <row r="14108" spans="1:2" x14ac:dyDescent="0.2">
      <c r="A14108" s="12"/>
      <c r="B14108" s="13"/>
    </row>
    <row r="14109" spans="1:2" x14ac:dyDescent="0.2">
      <c r="A14109" s="12"/>
      <c r="B14109" s="13"/>
    </row>
    <row r="14110" spans="1:2" x14ac:dyDescent="0.2">
      <c r="A14110" s="12"/>
      <c r="B14110" s="13"/>
    </row>
    <row r="14111" spans="1:2" x14ac:dyDescent="0.2">
      <c r="A14111" s="12"/>
      <c r="B14111" s="13"/>
    </row>
    <row r="14112" spans="1:2" x14ac:dyDescent="0.2">
      <c r="A14112" s="12"/>
      <c r="B14112" s="13"/>
    </row>
    <row r="14113" spans="1:2" x14ac:dyDescent="0.2">
      <c r="A14113" s="12"/>
      <c r="B14113" s="13"/>
    </row>
    <row r="14114" spans="1:2" x14ac:dyDescent="0.2">
      <c r="A14114" s="12"/>
      <c r="B14114" s="13"/>
    </row>
    <row r="14115" spans="1:2" x14ac:dyDescent="0.2">
      <c r="A14115" s="12"/>
      <c r="B14115" s="13"/>
    </row>
    <row r="14116" spans="1:2" x14ac:dyDescent="0.2">
      <c r="A14116" s="12"/>
      <c r="B14116" s="13"/>
    </row>
    <row r="14117" spans="1:2" x14ac:dyDescent="0.2">
      <c r="A14117" s="12"/>
      <c r="B14117" s="13"/>
    </row>
    <row r="14118" spans="1:2" x14ac:dyDescent="0.2">
      <c r="A14118" s="12"/>
      <c r="B14118" s="13"/>
    </row>
    <row r="14119" spans="1:2" x14ac:dyDescent="0.2">
      <c r="A14119" s="12"/>
      <c r="B14119" s="13"/>
    </row>
    <row r="14120" spans="1:2" x14ac:dyDescent="0.2">
      <c r="A14120" s="12"/>
      <c r="B14120" s="13"/>
    </row>
    <row r="14121" spans="1:2" x14ac:dyDescent="0.2">
      <c r="A14121" s="12"/>
      <c r="B14121" s="13"/>
    </row>
    <row r="14122" spans="1:2" x14ac:dyDescent="0.2">
      <c r="A14122" s="12"/>
      <c r="B14122" s="13"/>
    </row>
    <row r="14123" spans="1:2" x14ac:dyDescent="0.2">
      <c r="A14123" s="12"/>
      <c r="B14123" s="13"/>
    </row>
    <row r="14124" spans="1:2" x14ac:dyDescent="0.2">
      <c r="A14124" s="12"/>
      <c r="B14124" s="13"/>
    </row>
    <row r="14125" spans="1:2" x14ac:dyDescent="0.2">
      <c r="A14125" s="12"/>
      <c r="B14125" s="13"/>
    </row>
    <row r="14126" spans="1:2" x14ac:dyDescent="0.2">
      <c r="A14126" s="12"/>
      <c r="B14126" s="13"/>
    </row>
    <row r="14127" spans="1:2" x14ac:dyDescent="0.2">
      <c r="A14127" s="12"/>
      <c r="B14127" s="13"/>
    </row>
    <row r="14128" spans="1:2" x14ac:dyDescent="0.2">
      <c r="A14128" s="12"/>
      <c r="B14128" s="13"/>
    </row>
    <row r="14129" spans="1:2" x14ac:dyDescent="0.2">
      <c r="A14129" s="12"/>
      <c r="B14129" s="13"/>
    </row>
    <row r="14130" spans="1:2" x14ac:dyDescent="0.2">
      <c r="A14130" s="12"/>
      <c r="B14130" s="13"/>
    </row>
    <row r="14131" spans="1:2" x14ac:dyDescent="0.2">
      <c r="A14131" s="12"/>
      <c r="B14131" s="13"/>
    </row>
    <row r="14132" spans="1:2" x14ac:dyDescent="0.2">
      <c r="A14132" s="12"/>
      <c r="B14132" s="13"/>
    </row>
    <row r="14133" spans="1:2" x14ac:dyDescent="0.2">
      <c r="A14133" s="12"/>
      <c r="B14133" s="13"/>
    </row>
    <row r="14134" spans="1:2" x14ac:dyDescent="0.2">
      <c r="A14134" s="12"/>
      <c r="B14134" s="13"/>
    </row>
    <row r="14135" spans="1:2" x14ac:dyDescent="0.2">
      <c r="A14135" s="12"/>
      <c r="B14135" s="13"/>
    </row>
    <row r="14136" spans="1:2" x14ac:dyDescent="0.2">
      <c r="A14136" s="12"/>
      <c r="B14136" s="13"/>
    </row>
    <row r="14137" spans="1:2" x14ac:dyDescent="0.2">
      <c r="A14137" s="12"/>
      <c r="B14137" s="13"/>
    </row>
    <row r="14138" spans="1:2" x14ac:dyDescent="0.2">
      <c r="A14138" s="12"/>
      <c r="B14138" s="13"/>
    </row>
    <row r="14139" spans="1:2" x14ac:dyDescent="0.2">
      <c r="A14139" s="12"/>
      <c r="B14139" s="13"/>
    </row>
    <row r="14140" spans="1:2" x14ac:dyDescent="0.2">
      <c r="A14140" s="12"/>
      <c r="B14140" s="13"/>
    </row>
    <row r="14141" spans="1:2" x14ac:dyDescent="0.2">
      <c r="A14141" s="12"/>
      <c r="B14141" s="13"/>
    </row>
    <row r="14142" spans="1:2" x14ac:dyDescent="0.2">
      <c r="A14142" s="12"/>
      <c r="B14142" s="13"/>
    </row>
    <row r="14143" spans="1:2" x14ac:dyDescent="0.2">
      <c r="A14143" s="12"/>
      <c r="B14143" s="13"/>
    </row>
    <row r="14144" spans="1:2" x14ac:dyDescent="0.2">
      <c r="A14144" s="12"/>
      <c r="B14144" s="13"/>
    </row>
    <row r="14145" spans="1:2" x14ac:dyDescent="0.2">
      <c r="A14145" s="12"/>
      <c r="B14145" s="13"/>
    </row>
    <row r="14146" spans="1:2" x14ac:dyDescent="0.2">
      <c r="A14146" s="12"/>
      <c r="B14146" s="13"/>
    </row>
    <row r="14147" spans="1:2" x14ac:dyDescent="0.2">
      <c r="A14147" s="12"/>
      <c r="B14147" s="13"/>
    </row>
    <row r="14148" spans="1:2" x14ac:dyDescent="0.2">
      <c r="A14148" s="12"/>
      <c r="B14148" s="13"/>
    </row>
    <row r="14149" spans="1:2" x14ac:dyDescent="0.2">
      <c r="A14149" s="12"/>
      <c r="B14149" s="13"/>
    </row>
    <row r="14150" spans="1:2" x14ac:dyDescent="0.2">
      <c r="A14150" s="12"/>
      <c r="B14150" s="13"/>
    </row>
    <row r="14151" spans="1:2" x14ac:dyDescent="0.2">
      <c r="A14151" s="12"/>
      <c r="B14151" s="13"/>
    </row>
    <row r="14152" spans="1:2" x14ac:dyDescent="0.2">
      <c r="A14152" s="12"/>
      <c r="B14152" s="13"/>
    </row>
    <row r="14153" spans="1:2" x14ac:dyDescent="0.2">
      <c r="A14153" s="12"/>
      <c r="B14153" s="13"/>
    </row>
    <row r="14154" spans="1:2" x14ac:dyDescent="0.2">
      <c r="A14154" s="12"/>
      <c r="B14154" s="13"/>
    </row>
    <row r="14155" spans="1:2" x14ac:dyDescent="0.2">
      <c r="A14155" s="12"/>
      <c r="B14155" s="13"/>
    </row>
    <row r="14156" spans="1:2" x14ac:dyDescent="0.2">
      <c r="A14156" s="12"/>
      <c r="B14156" s="13"/>
    </row>
    <row r="14157" spans="1:2" x14ac:dyDescent="0.2">
      <c r="A14157" s="12"/>
      <c r="B14157" s="13"/>
    </row>
    <row r="14158" spans="1:2" x14ac:dyDescent="0.2">
      <c r="A14158" s="12"/>
      <c r="B14158" s="13"/>
    </row>
    <row r="14159" spans="1:2" x14ac:dyDescent="0.2">
      <c r="A14159" s="12"/>
      <c r="B14159" s="13"/>
    </row>
    <row r="14160" spans="1:2" x14ac:dyDescent="0.2">
      <c r="A14160" s="12"/>
      <c r="B14160" s="13"/>
    </row>
    <row r="14161" spans="1:2" x14ac:dyDescent="0.2">
      <c r="A14161" s="12"/>
      <c r="B14161" s="13"/>
    </row>
    <row r="14162" spans="1:2" x14ac:dyDescent="0.2">
      <c r="A14162" s="12"/>
      <c r="B14162" s="13"/>
    </row>
    <row r="14163" spans="1:2" x14ac:dyDescent="0.2">
      <c r="A14163" s="12"/>
      <c r="B14163" s="13"/>
    </row>
    <row r="14164" spans="1:2" x14ac:dyDescent="0.2">
      <c r="A14164" s="12"/>
      <c r="B14164" s="13"/>
    </row>
    <row r="14165" spans="1:2" x14ac:dyDescent="0.2">
      <c r="A14165" s="12"/>
      <c r="B14165" s="13"/>
    </row>
    <row r="14166" spans="1:2" x14ac:dyDescent="0.2">
      <c r="A14166" s="12"/>
      <c r="B14166" s="13"/>
    </row>
    <row r="14167" spans="1:2" x14ac:dyDescent="0.2">
      <c r="A14167" s="12"/>
      <c r="B14167" s="13"/>
    </row>
    <row r="14168" spans="1:2" x14ac:dyDescent="0.2">
      <c r="A14168" s="12"/>
      <c r="B14168" s="13"/>
    </row>
    <row r="14169" spans="1:2" x14ac:dyDescent="0.2">
      <c r="A14169" s="12"/>
      <c r="B14169" s="13"/>
    </row>
    <row r="14170" spans="1:2" x14ac:dyDescent="0.2">
      <c r="A14170" s="12"/>
      <c r="B14170" s="13"/>
    </row>
    <row r="14171" spans="1:2" x14ac:dyDescent="0.2">
      <c r="A14171" s="12"/>
      <c r="B14171" s="13"/>
    </row>
    <row r="14172" spans="1:2" x14ac:dyDescent="0.2">
      <c r="A14172" s="12"/>
      <c r="B14172" s="13"/>
    </row>
    <row r="14173" spans="1:2" x14ac:dyDescent="0.2">
      <c r="A14173" s="12"/>
      <c r="B14173" s="13"/>
    </row>
    <row r="14174" spans="1:2" x14ac:dyDescent="0.2">
      <c r="A14174" s="12"/>
      <c r="B14174" s="13"/>
    </row>
    <row r="14175" spans="1:2" x14ac:dyDescent="0.2">
      <c r="A14175" s="12"/>
      <c r="B14175" s="13"/>
    </row>
    <row r="14176" spans="1:2" x14ac:dyDescent="0.2">
      <c r="A14176" s="12"/>
      <c r="B14176" s="13"/>
    </row>
    <row r="14177" spans="1:2" x14ac:dyDescent="0.2">
      <c r="A14177" s="12"/>
      <c r="B14177" s="13"/>
    </row>
    <row r="14178" spans="1:2" x14ac:dyDescent="0.2">
      <c r="A14178" s="12"/>
      <c r="B14178" s="13"/>
    </row>
    <row r="14179" spans="1:2" x14ac:dyDescent="0.2">
      <c r="A14179" s="12"/>
      <c r="B14179" s="13"/>
    </row>
    <row r="14180" spans="1:2" x14ac:dyDescent="0.2">
      <c r="A14180" s="12"/>
      <c r="B14180" s="13"/>
    </row>
    <row r="14181" spans="1:2" x14ac:dyDescent="0.2">
      <c r="A14181" s="12"/>
      <c r="B14181" s="13"/>
    </row>
    <row r="14182" spans="1:2" x14ac:dyDescent="0.2">
      <c r="A14182" s="12"/>
      <c r="B14182" s="13"/>
    </row>
    <row r="14183" spans="1:2" x14ac:dyDescent="0.2">
      <c r="A14183" s="12"/>
      <c r="B14183" s="13"/>
    </row>
    <row r="14184" spans="1:2" x14ac:dyDescent="0.2">
      <c r="A14184" s="12"/>
      <c r="B14184" s="13"/>
    </row>
    <row r="14185" spans="1:2" x14ac:dyDescent="0.2">
      <c r="A14185" s="12"/>
      <c r="B14185" s="13"/>
    </row>
    <row r="14186" spans="1:2" x14ac:dyDescent="0.2">
      <c r="A14186" s="12"/>
      <c r="B14186" s="13"/>
    </row>
    <row r="14187" spans="1:2" x14ac:dyDescent="0.2">
      <c r="A14187" s="12"/>
      <c r="B14187" s="13"/>
    </row>
    <row r="14188" spans="1:2" x14ac:dyDescent="0.2">
      <c r="A14188" s="12"/>
      <c r="B14188" s="13"/>
    </row>
    <row r="14189" spans="1:2" x14ac:dyDescent="0.2">
      <c r="A14189" s="12"/>
      <c r="B14189" s="13"/>
    </row>
    <row r="14190" spans="1:2" x14ac:dyDescent="0.2">
      <c r="A14190" s="12"/>
      <c r="B14190" s="13"/>
    </row>
    <row r="14191" spans="1:2" x14ac:dyDescent="0.2">
      <c r="A14191" s="12"/>
      <c r="B14191" s="13"/>
    </row>
    <row r="14192" spans="1:2" x14ac:dyDescent="0.2">
      <c r="A14192" s="12"/>
      <c r="B14192" s="13"/>
    </row>
    <row r="14193" spans="1:2" x14ac:dyDescent="0.2">
      <c r="A14193" s="12"/>
      <c r="B14193" s="13"/>
    </row>
    <row r="14194" spans="1:2" x14ac:dyDescent="0.2">
      <c r="A14194" s="12"/>
      <c r="B14194" s="13"/>
    </row>
    <row r="14195" spans="1:2" x14ac:dyDescent="0.2">
      <c r="A14195" s="12"/>
      <c r="B14195" s="13"/>
    </row>
    <row r="14196" spans="1:2" x14ac:dyDescent="0.2">
      <c r="A14196" s="12"/>
      <c r="B14196" s="13"/>
    </row>
    <row r="14197" spans="1:2" x14ac:dyDescent="0.2">
      <c r="A14197" s="12"/>
      <c r="B14197" s="13"/>
    </row>
    <row r="14198" spans="1:2" x14ac:dyDescent="0.2">
      <c r="A14198" s="12"/>
      <c r="B14198" s="13"/>
    </row>
    <row r="14199" spans="1:2" x14ac:dyDescent="0.2">
      <c r="A14199" s="12"/>
      <c r="B14199" s="13"/>
    </row>
    <row r="14200" spans="1:2" x14ac:dyDescent="0.2">
      <c r="A14200" s="12"/>
      <c r="B14200" s="13"/>
    </row>
    <row r="14201" spans="1:2" x14ac:dyDescent="0.2">
      <c r="A14201" s="12"/>
      <c r="B14201" s="13"/>
    </row>
    <row r="14202" spans="1:2" x14ac:dyDescent="0.2">
      <c r="A14202" s="12"/>
      <c r="B14202" s="13"/>
    </row>
    <row r="14203" spans="1:2" x14ac:dyDescent="0.2">
      <c r="A14203" s="12"/>
      <c r="B14203" s="13"/>
    </row>
    <row r="14204" spans="1:2" x14ac:dyDescent="0.2">
      <c r="A14204" s="12"/>
      <c r="B14204" s="13"/>
    </row>
    <row r="14205" spans="1:2" x14ac:dyDescent="0.2">
      <c r="A14205" s="12"/>
      <c r="B14205" s="13"/>
    </row>
    <row r="14206" spans="1:2" x14ac:dyDescent="0.2">
      <c r="A14206" s="12"/>
      <c r="B14206" s="13"/>
    </row>
    <row r="14207" spans="1:2" x14ac:dyDescent="0.2">
      <c r="A14207" s="12"/>
      <c r="B14207" s="13"/>
    </row>
    <row r="14208" spans="1:2" x14ac:dyDescent="0.2">
      <c r="A14208" s="12"/>
      <c r="B14208" s="13"/>
    </row>
    <row r="14209" spans="1:2" x14ac:dyDescent="0.2">
      <c r="A14209" s="12"/>
      <c r="B14209" s="13"/>
    </row>
    <row r="14210" spans="1:2" x14ac:dyDescent="0.2">
      <c r="A14210" s="12"/>
      <c r="B14210" s="13"/>
    </row>
    <row r="14211" spans="1:2" x14ac:dyDescent="0.2">
      <c r="A14211" s="12"/>
      <c r="B14211" s="13"/>
    </row>
    <row r="14212" spans="1:2" x14ac:dyDescent="0.2">
      <c r="A14212" s="12"/>
      <c r="B14212" s="13"/>
    </row>
    <row r="14213" spans="1:2" x14ac:dyDescent="0.2">
      <c r="A14213" s="12"/>
      <c r="B14213" s="13"/>
    </row>
    <row r="14214" spans="1:2" x14ac:dyDescent="0.2">
      <c r="A14214" s="12"/>
      <c r="B14214" s="13"/>
    </row>
    <row r="14215" spans="1:2" x14ac:dyDescent="0.2">
      <c r="A14215" s="12"/>
      <c r="B14215" s="13"/>
    </row>
    <row r="14216" spans="1:2" x14ac:dyDescent="0.2">
      <c r="A14216" s="12"/>
      <c r="B14216" s="13"/>
    </row>
    <row r="14217" spans="1:2" x14ac:dyDescent="0.2">
      <c r="A14217" s="12"/>
      <c r="B14217" s="13"/>
    </row>
    <row r="14218" spans="1:2" x14ac:dyDescent="0.2">
      <c r="A14218" s="12"/>
      <c r="B14218" s="13"/>
    </row>
    <row r="14219" spans="1:2" x14ac:dyDescent="0.2">
      <c r="A14219" s="12"/>
      <c r="B14219" s="13"/>
    </row>
    <row r="14220" spans="1:2" x14ac:dyDescent="0.2">
      <c r="A14220" s="12"/>
      <c r="B14220" s="13"/>
    </row>
    <row r="14221" spans="1:2" x14ac:dyDescent="0.2">
      <c r="A14221" s="12"/>
      <c r="B14221" s="13"/>
    </row>
    <row r="14222" spans="1:2" x14ac:dyDescent="0.2">
      <c r="A14222" s="12"/>
      <c r="B14222" s="13"/>
    </row>
    <row r="14223" spans="1:2" x14ac:dyDescent="0.2">
      <c r="A14223" s="12"/>
      <c r="B14223" s="13"/>
    </row>
    <row r="14224" spans="1:2" x14ac:dyDescent="0.2">
      <c r="A14224" s="12"/>
      <c r="B14224" s="13"/>
    </row>
    <row r="14225" spans="1:2" x14ac:dyDescent="0.2">
      <c r="A14225" s="12"/>
      <c r="B14225" s="13"/>
    </row>
    <row r="14226" spans="1:2" x14ac:dyDescent="0.2">
      <c r="A14226" s="12"/>
      <c r="B14226" s="13"/>
    </row>
    <row r="14227" spans="1:2" x14ac:dyDescent="0.2">
      <c r="A14227" s="12"/>
      <c r="B14227" s="13"/>
    </row>
    <row r="14228" spans="1:2" x14ac:dyDescent="0.2">
      <c r="A14228" s="12"/>
      <c r="B14228" s="13"/>
    </row>
    <row r="14229" spans="1:2" x14ac:dyDescent="0.2">
      <c r="A14229" s="12"/>
      <c r="B14229" s="13"/>
    </row>
    <row r="14230" spans="1:2" x14ac:dyDescent="0.2">
      <c r="A14230" s="12"/>
      <c r="B14230" s="13"/>
    </row>
    <row r="14231" spans="1:2" x14ac:dyDescent="0.2">
      <c r="A14231" s="12"/>
      <c r="B14231" s="13"/>
    </row>
    <row r="14232" spans="1:2" x14ac:dyDescent="0.2">
      <c r="A14232" s="12"/>
      <c r="B14232" s="13"/>
    </row>
    <row r="14233" spans="1:2" x14ac:dyDescent="0.2">
      <c r="A14233" s="12"/>
      <c r="B14233" s="13"/>
    </row>
    <row r="14234" spans="1:2" x14ac:dyDescent="0.2">
      <c r="A14234" s="12"/>
      <c r="B14234" s="13"/>
    </row>
    <row r="14235" spans="1:2" x14ac:dyDescent="0.2">
      <c r="A14235" s="12"/>
      <c r="B14235" s="13"/>
    </row>
    <row r="14236" spans="1:2" x14ac:dyDescent="0.2">
      <c r="A14236" s="12"/>
      <c r="B14236" s="13"/>
    </row>
    <row r="14237" spans="1:2" x14ac:dyDescent="0.2">
      <c r="A14237" s="12"/>
      <c r="B14237" s="13"/>
    </row>
    <row r="14238" spans="1:2" x14ac:dyDescent="0.2">
      <c r="A14238" s="12"/>
      <c r="B14238" s="13"/>
    </row>
    <row r="14239" spans="1:2" x14ac:dyDescent="0.2">
      <c r="A14239" s="12"/>
      <c r="B14239" s="13"/>
    </row>
    <row r="14240" spans="1:2" x14ac:dyDescent="0.2">
      <c r="A14240" s="12"/>
      <c r="B14240" s="13"/>
    </row>
    <row r="14241" spans="1:2" x14ac:dyDescent="0.2">
      <c r="A14241" s="12"/>
      <c r="B14241" s="13"/>
    </row>
    <row r="14242" spans="1:2" x14ac:dyDescent="0.2">
      <c r="A14242" s="12"/>
      <c r="B14242" s="13"/>
    </row>
    <row r="14243" spans="1:2" x14ac:dyDescent="0.2">
      <c r="A14243" s="12"/>
      <c r="B14243" s="13"/>
    </row>
    <row r="14244" spans="1:2" x14ac:dyDescent="0.2">
      <c r="A14244" s="12"/>
      <c r="B14244" s="13"/>
    </row>
    <row r="14245" spans="1:2" x14ac:dyDescent="0.2">
      <c r="A14245" s="12"/>
      <c r="B14245" s="13"/>
    </row>
    <row r="14246" spans="1:2" x14ac:dyDescent="0.2">
      <c r="A14246" s="12"/>
      <c r="B14246" s="13"/>
    </row>
    <row r="14247" spans="1:2" x14ac:dyDescent="0.2">
      <c r="A14247" s="12"/>
      <c r="B14247" s="13"/>
    </row>
    <row r="14248" spans="1:2" x14ac:dyDescent="0.2">
      <c r="A14248" s="12"/>
      <c r="B14248" s="13"/>
    </row>
    <row r="14249" spans="1:2" x14ac:dyDescent="0.2">
      <c r="A14249" s="12"/>
      <c r="B14249" s="13"/>
    </row>
    <row r="14250" spans="1:2" x14ac:dyDescent="0.2">
      <c r="A14250" s="12"/>
      <c r="B14250" s="13"/>
    </row>
    <row r="14251" spans="1:2" x14ac:dyDescent="0.2">
      <c r="A14251" s="12"/>
      <c r="B14251" s="13"/>
    </row>
    <row r="14252" spans="1:2" x14ac:dyDescent="0.2">
      <c r="A14252" s="12"/>
      <c r="B14252" s="13"/>
    </row>
    <row r="14253" spans="1:2" x14ac:dyDescent="0.2">
      <c r="A14253" s="12"/>
      <c r="B14253" s="13"/>
    </row>
    <row r="14254" spans="1:2" x14ac:dyDescent="0.2">
      <c r="A14254" s="12"/>
      <c r="B14254" s="13"/>
    </row>
    <row r="14255" spans="1:2" x14ac:dyDescent="0.2">
      <c r="A14255" s="12"/>
      <c r="B14255" s="13"/>
    </row>
    <row r="14256" spans="1:2" x14ac:dyDescent="0.2">
      <c r="A14256" s="12"/>
      <c r="B14256" s="13"/>
    </row>
    <row r="14257" spans="1:2" x14ac:dyDescent="0.2">
      <c r="A14257" s="12"/>
      <c r="B14257" s="13"/>
    </row>
    <row r="14258" spans="1:2" x14ac:dyDescent="0.2">
      <c r="A14258" s="12"/>
      <c r="B14258" s="13"/>
    </row>
    <row r="14259" spans="1:2" x14ac:dyDescent="0.2">
      <c r="A14259" s="12"/>
      <c r="B14259" s="13"/>
    </row>
    <row r="14260" spans="1:2" x14ac:dyDescent="0.2">
      <c r="A14260" s="12"/>
      <c r="B14260" s="13"/>
    </row>
    <row r="14261" spans="1:2" x14ac:dyDescent="0.2">
      <c r="A14261" s="12"/>
      <c r="B14261" s="13"/>
    </row>
    <row r="14262" spans="1:2" x14ac:dyDescent="0.2">
      <c r="A14262" s="12"/>
      <c r="B14262" s="13"/>
    </row>
    <row r="14263" spans="1:2" x14ac:dyDescent="0.2">
      <c r="A14263" s="12"/>
      <c r="B14263" s="13"/>
    </row>
    <row r="14264" spans="1:2" x14ac:dyDescent="0.2">
      <c r="A14264" s="12"/>
      <c r="B14264" s="13"/>
    </row>
    <row r="14265" spans="1:2" x14ac:dyDescent="0.2">
      <c r="A14265" s="12"/>
      <c r="B14265" s="13"/>
    </row>
    <row r="14266" spans="1:2" x14ac:dyDescent="0.2">
      <c r="A14266" s="12"/>
      <c r="B14266" s="13"/>
    </row>
    <row r="14267" spans="1:2" x14ac:dyDescent="0.2">
      <c r="A14267" s="12"/>
      <c r="B14267" s="13"/>
    </row>
    <row r="14268" spans="1:2" x14ac:dyDescent="0.2">
      <c r="A14268" s="12"/>
      <c r="B14268" s="13"/>
    </row>
    <row r="14269" spans="1:2" x14ac:dyDescent="0.2">
      <c r="A14269" s="12"/>
      <c r="B14269" s="13"/>
    </row>
    <row r="14270" spans="1:2" x14ac:dyDescent="0.2">
      <c r="A14270" s="12"/>
      <c r="B14270" s="13"/>
    </row>
    <row r="14271" spans="1:2" x14ac:dyDescent="0.2">
      <c r="A14271" s="12"/>
      <c r="B14271" s="13"/>
    </row>
    <row r="14272" spans="1:2" x14ac:dyDescent="0.2">
      <c r="A14272" s="12"/>
      <c r="B14272" s="13"/>
    </row>
    <row r="14273" spans="1:2" x14ac:dyDescent="0.2">
      <c r="A14273" s="12"/>
      <c r="B14273" s="13"/>
    </row>
    <row r="14274" spans="1:2" x14ac:dyDescent="0.2">
      <c r="A14274" s="12"/>
      <c r="B14274" s="13"/>
    </row>
    <row r="14275" spans="1:2" x14ac:dyDescent="0.2">
      <c r="A14275" s="12"/>
      <c r="B14275" s="13"/>
    </row>
    <row r="14276" spans="1:2" x14ac:dyDescent="0.2">
      <c r="A14276" s="12"/>
      <c r="B14276" s="13"/>
    </row>
    <row r="14277" spans="1:2" x14ac:dyDescent="0.2">
      <c r="A14277" s="12"/>
      <c r="B14277" s="13"/>
    </row>
    <row r="14278" spans="1:2" x14ac:dyDescent="0.2">
      <c r="A14278" s="12"/>
      <c r="B14278" s="13"/>
    </row>
    <row r="14279" spans="1:2" x14ac:dyDescent="0.2">
      <c r="A14279" s="12"/>
      <c r="B14279" s="13"/>
    </row>
    <row r="14280" spans="1:2" x14ac:dyDescent="0.2">
      <c r="A14280" s="12"/>
      <c r="B14280" s="13"/>
    </row>
    <row r="14281" spans="1:2" x14ac:dyDescent="0.2">
      <c r="A14281" s="12"/>
      <c r="B14281" s="13"/>
    </row>
    <row r="14282" spans="1:2" x14ac:dyDescent="0.2">
      <c r="A14282" s="12"/>
      <c r="B14282" s="13"/>
    </row>
    <row r="14283" spans="1:2" x14ac:dyDescent="0.2">
      <c r="A14283" s="12"/>
      <c r="B14283" s="13"/>
    </row>
    <row r="14284" spans="1:2" x14ac:dyDescent="0.2">
      <c r="A14284" s="12"/>
      <c r="B14284" s="13"/>
    </row>
    <row r="14285" spans="1:2" x14ac:dyDescent="0.2">
      <c r="A14285" s="12"/>
      <c r="B14285" s="13"/>
    </row>
    <row r="14286" spans="1:2" x14ac:dyDescent="0.2">
      <c r="A14286" s="12"/>
      <c r="B14286" s="13"/>
    </row>
    <row r="14287" spans="1:2" x14ac:dyDescent="0.2">
      <c r="A14287" s="12"/>
      <c r="B14287" s="13"/>
    </row>
    <row r="14288" spans="1:2" x14ac:dyDescent="0.2">
      <c r="A14288" s="12"/>
      <c r="B14288" s="13"/>
    </row>
    <row r="14289" spans="1:2" x14ac:dyDescent="0.2">
      <c r="A14289" s="12"/>
      <c r="B14289" s="13"/>
    </row>
    <row r="14290" spans="1:2" x14ac:dyDescent="0.2">
      <c r="A14290" s="12"/>
      <c r="B14290" s="13"/>
    </row>
    <row r="14291" spans="1:2" x14ac:dyDescent="0.2">
      <c r="A14291" s="12"/>
      <c r="B14291" s="13"/>
    </row>
    <row r="14292" spans="1:2" x14ac:dyDescent="0.2">
      <c r="A14292" s="12"/>
      <c r="B14292" s="13"/>
    </row>
    <row r="14293" spans="1:2" x14ac:dyDescent="0.2">
      <c r="A14293" s="12"/>
      <c r="B14293" s="13"/>
    </row>
    <row r="14294" spans="1:2" x14ac:dyDescent="0.2">
      <c r="A14294" s="12"/>
      <c r="B14294" s="13"/>
    </row>
    <row r="14295" spans="1:2" x14ac:dyDescent="0.2">
      <c r="A14295" s="12"/>
      <c r="B14295" s="13"/>
    </row>
    <row r="14296" spans="1:2" x14ac:dyDescent="0.2">
      <c r="A14296" s="12"/>
      <c r="B14296" s="13"/>
    </row>
    <row r="14297" spans="1:2" x14ac:dyDescent="0.2">
      <c r="A14297" s="12"/>
      <c r="B14297" s="13"/>
    </row>
    <row r="14298" spans="1:2" x14ac:dyDescent="0.2">
      <c r="A14298" s="12"/>
      <c r="B14298" s="13"/>
    </row>
    <row r="14299" spans="1:2" x14ac:dyDescent="0.2">
      <c r="A14299" s="12"/>
      <c r="B14299" s="13"/>
    </row>
    <row r="14300" spans="1:2" x14ac:dyDescent="0.2">
      <c r="A14300" s="12"/>
      <c r="B14300" s="13"/>
    </row>
    <row r="14301" spans="1:2" x14ac:dyDescent="0.2">
      <c r="A14301" s="12"/>
      <c r="B14301" s="13"/>
    </row>
    <row r="14302" spans="1:2" x14ac:dyDescent="0.2">
      <c r="A14302" s="12"/>
      <c r="B14302" s="13"/>
    </row>
    <row r="14303" spans="1:2" x14ac:dyDescent="0.2">
      <c r="A14303" s="12"/>
      <c r="B14303" s="13"/>
    </row>
    <row r="14304" spans="1:2" x14ac:dyDescent="0.2">
      <c r="A14304" s="12"/>
      <c r="B14304" s="13"/>
    </row>
    <row r="14305" spans="1:2" x14ac:dyDescent="0.2">
      <c r="A14305" s="12"/>
      <c r="B14305" s="13"/>
    </row>
    <row r="14306" spans="1:2" x14ac:dyDescent="0.2">
      <c r="A14306" s="12"/>
      <c r="B14306" s="13"/>
    </row>
    <row r="14307" spans="1:2" x14ac:dyDescent="0.2">
      <c r="A14307" s="12"/>
      <c r="B14307" s="13"/>
    </row>
    <row r="14308" spans="1:2" x14ac:dyDescent="0.2">
      <c r="A14308" s="12"/>
      <c r="B14308" s="13"/>
    </row>
    <row r="14309" spans="1:2" x14ac:dyDescent="0.2">
      <c r="A14309" s="12"/>
      <c r="B14309" s="13"/>
    </row>
    <row r="14310" spans="1:2" x14ac:dyDescent="0.2">
      <c r="A14310" s="12"/>
      <c r="B14310" s="13"/>
    </row>
    <row r="14311" spans="1:2" x14ac:dyDescent="0.2">
      <c r="A14311" s="12"/>
      <c r="B14311" s="13"/>
    </row>
    <row r="14312" spans="1:2" x14ac:dyDescent="0.2">
      <c r="A14312" s="12"/>
      <c r="B14312" s="13"/>
    </row>
    <row r="14313" spans="1:2" x14ac:dyDescent="0.2">
      <c r="A14313" s="12"/>
      <c r="B14313" s="13"/>
    </row>
    <row r="14314" spans="1:2" x14ac:dyDescent="0.2">
      <c r="A14314" s="12"/>
      <c r="B14314" s="13"/>
    </row>
    <row r="14315" spans="1:2" x14ac:dyDescent="0.2">
      <c r="A14315" s="12"/>
      <c r="B14315" s="13"/>
    </row>
    <row r="14316" spans="1:2" x14ac:dyDescent="0.2">
      <c r="A14316" s="12"/>
      <c r="B14316" s="13"/>
    </row>
    <row r="14317" spans="1:2" x14ac:dyDescent="0.2">
      <c r="A14317" s="12"/>
      <c r="B14317" s="13"/>
    </row>
    <row r="14318" spans="1:2" x14ac:dyDescent="0.2">
      <c r="A14318" s="12"/>
      <c r="B14318" s="13"/>
    </row>
    <row r="14319" spans="1:2" x14ac:dyDescent="0.2">
      <c r="A14319" s="12"/>
      <c r="B14319" s="13"/>
    </row>
    <row r="14320" spans="1:2" x14ac:dyDescent="0.2">
      <c r="A14320" s="12"/>
      <c r="B14320" s="13"/>
    </row>
    <row r="14321" spans="1:2" x14ac:dyDescent="0.2">
      <c r="A14321" s="12"/>
      <c r="B14321" s="13"/>
    </row>
    <row r="14322" spans="1:2" x14ac:dyDescent="0.2">
      <c r="A14322" s="12"/>
      <c r="B14322" s="13"/>
    </row>
    <row r="14323" spans="1:2" x14ac:dyDescent="0.2">
      <c r="A14323" s="12"/>
      <c r="B14323" s="13"/>
    </row>
    <row r="14324" spans="1:2" x14ac:dyDescent="0.2">
      <c r="A14324" s="12"/>
      <c r="B14324" s="13"/>
    </row>
    <row r="14325" spans="1:2" x14ac:dyDescent="0.2">
      <c r="A14325" s="12"/>
      <c r="B14325" s="13"/>
    </row>
    <row r="14326" spans="1:2" x14ac:dyDescent="0.2">
      <c r="A14326" s="12"/>
      <c r="B14326" s="13"/>
    </row>
    <row r="14327" spans="1:2" x14ac:dyDescent="0.2">
      <c r="A14327" s="12"/>
      <c r="B14327" s="13"/>
    </row>
    <row r="14328" spans="1:2" x14ac:dyDescent="0.2">
      <c r="A14328" s="12"/>
      <c r="B14328" s="13"/>
    </row>
    <row r="14329" spans="1:2" x14ac:dyDescent="0.2">
      <c r="A14329" s="12"/>
      <c r="B14329" s="13"/>
    </row>
    <row r="14330" spans="1:2" x14ac:dyDescent="0.2">
      <c r="A14330" s="12"/>
      <c r="B14330" s="13"/>
    </row>
    <row r="14331" spans="1:2" x14ac:dyDescent="0.2">
      <c r="A14331" s="12"/>
      <c r="B14331" s="13"/>
    </row>
    <row r="14332" spans="1:2" x14ac:dyDescent="0.2">
      <c r="A14332" s="12"/>
      <c r="B14332" s="13"/>
    </row>
    <row r="14333" spans="1:2" x14ac:dyDescent="0.2">
      <c r="A14333" s="12"/>
      <c r="B14333" s="13"/>
    </row>
    <row r="14334" spans="1:2" x14ac:dyDescent="0.2">
      <c r="A14334" s="12"/>
      <c r="B14334" s="13"/>
    </row>
    <row r="14335" spans="1:2" x14ac:dyDescent="0.2">
      <c r="A14335" s="12"/>
      <c r="B14335" s="13"/>
    </row>
    <row r="14336" spans="1:2" x14ac:dyDescent="0.2">
      <c r="A14336" s="12"/>
      <c r="B14336" s="13"/>
    </row>
    <row r="14337" spans="1:2" x14ac:dyDescent="0.2">
      <c r="A14337" s="12"/>
      <c r="B14337" s="13"/>
    </row>
    <row r="14338" spans="1:2" x14ac:dyDescent="0.2">
      <c r="A14338" s="12"/>
      <c r="B14338" s="13"/>
    </row>
    <row r="14339" spans="1:2" x14ac:dyDescent="0.2">
      <c r="A14339" s="12"/>
      <c r="B14339" s="13"/>
    </row>
    <row r="14340" spans="1:2" x14ac:dyDescent="0.2">
      <c r="A14340" s="12"/>
      <c r="B14340" s="13"/>
    </row>
    <row r="14341" spans="1:2" x14ac:dyDescent="0.2">
      <c r="A14341" s="12"/>
      <c r="B14341" s="13"/>
    </row>
    <row r="14342" spans="1:2" x14ac:dyDescent="0.2">
      <c r="A14342" s="12"/>
      <c r="B14342" s="13"/>
    </row>
    <row r="14343" spans="1:2" x14ac:dyDescent="0.2">
      <c r="A14343" s="12"/>
      <c r="B14343" s="13"/>
    </row>
    <row r="14344" spans="1:2" x14ac:dyDescent="0.2">
      <c r="A14344" s="12"/>
      <c r="B14344" s="13"/>
    </row>
    <row r="14345" spans="1:2" x14ac:dyDescent="0.2">
      <c r="A14345" s="12"/>
      <c r="B14345" s="13"/>
    </row>
    <row r="14346" spans="1:2" x14ac:dyDescent="0.2">
      <c r="A14346" s="12"/>
      <c r="B14346" s="13"/>
    </row>
    <row r="14347" spans="1:2" x14ac:dyDescent="0.2">
      <c r="A14347" s="12"/>
      <c r="B14347" s="13"/>
    </row>
    <row r="14348" spans="1:2" x14ac:dyDescent="0.2">
      <c r="A14348" s="12"/>
      <c r="B14348" s="13"/>
    </row>
    <row r="14349" spans="1:2" x14ac:dyDescent="0.2">
      <c r="A14349" s="12"/>
      <c r="B14349" s="13"/>
    </row>
    <row r="14350" spans="1:2" x14ac:dyDescent="0.2">
      <c r="A14350" s="12"/>
      <c r="B14350" s="13"/>
    </row>
    <row r="14351" spans="1:2" x14ac:dyDescent="0.2">
      <c r="A14351" s="12"/>
      <c r="B14351" s="13"/>
    </row>
    <row r="14352" spans="1:2" x14ac:dyDescent="0.2">
      <c r="A14352" s="12"/>
      <c r="B14352" s="13"/>
    </row>
    <row r="14353" spans="1:2" x14ac:dyDescent="0.2">
      <c r="A14353" s="12"/>
      <c r="B14353" s="13"/>
    </row>
    <row r="14354" spans="1:2" x14ac:dyDescent="0.2">
      <c r="A14354" s="12"/>
      <c r="B14354" s="13"/>
    </row>
    <row r="14355" spans="1:2" x14ac:dyDescent="0.2">
      <c r="A14355" s="12"/>
      <c r="B14355" s="13"/>
    </row>
    <row r="14356" spans="1:2" x14ac:dyDescent="0.2">
      <c r="A14356" s="12"/>
      <c r="B14356" s="13"/>
    </row>
    <row r="14357" spans="1:2" x14ac:dyDescent="0.2">
      <c r="A14357" s="12"/>
      <c r="B14357" s="13"/>
    </row>
    <row r="14358" spans="1:2" x14ac:dyDescent="0.2">
      <c r="A14358" s="12"/>
      <c r="B14358" s="13"/>
    </row>
    <row r="14359" spans="1:2" x14ac:dyDescent="0.2">
      <c r="A14359" s="12"/>
      <c r="B14359" s="13"/>
    </row>
    <row r="14360" spans="1:2" x14ac:dyDescent="0.2">
      <c r="A14360" s="12"/>
      <c r="B14360" s="13"/>
    </row>
    <row r="14361" spans="1:2" x14ac:dyDescent="0.2">
      <c r="A14361" s="12"/>
      <c r="B14361" s="13"/>
    </row>
    <row r="14362" spans="1:2" x14ac:dyDescent="0.2">
      <c r="A14362" s="12"/>
      <c r="B14362" s="13"/>
    </row>
    <row r="14363" spans="1:2" x14ac:dyDescent="0.2">
      <c r="A14363" s="12"/>
      <c r="B14363" s="13"/>
    </row>
    <row r="14364" spans="1:2" x14ac:dyDescent="0.2">
      <c r="A14364" s="12"/>
      <c r="B14364" s="13"/>
    </row>
    <row r="14365" spans="1:2" x14ac:dyDescent="0.2">
      <c r="A14365" s="12"/>
      <c r="B14365" s="13"/>
    </row>
    <row r="14366" spans="1:2" x14ac:dyDescent="0.2">
      <c r="A14366" s="12"/>
      <c r="B14366" s="13"/>
    </row>
    <row r="14367" spans="1:2" x14ac:dyDescent="0.2">
      <c r="A14367" s="12"/>
      <c r="B14367" s="13"/>
    </row>
    <row r="14368" spans="1:2" x14ac:dyDescent="0.2">
      <c r="A14368" s="12"/>
      <c r="B14368" s="13"/>
    </row>
    <row r="14369" spans="1:2" x14ac:dyDescent="0.2">
      <c r="A14369" s="12"/>
      <c r="B14369" s="13"/>
    </row>
    <row r="14370" spans="1:2" x14ac:dyDescent="0.2">
      <c r="A14370" s="12"/>
      <c r="B14370" s="13"/>
    </row>
    <row r="14371" spans="1:2" x14ac:dyDescent="0.2">
      <c r="A14371" s="12"/>
      <c r="B14371" s="13"/>
    </row>
    <row r="14372" spans="1:2" x14ac:dyDescent="0.2">
      <c r="A14372" s="12"/>
      <c r="B14372" s="13"/>
    </row>
    <row r="14373" spans="1:2" x14ac:dyDescent="0.2">
      <c r="A14373" s="12"/>
      <c r="B14373" s="13"/>
    </row>
    <row r="14374" spans="1:2" x14ac:dyDescent="0.2">
      <c r="A14374" s="12"/>
      <c r="B14374" s="13"/>
    </row>
    <row r="14375" spans="1:2" x14ac:dyDescent="0.2">
      <c r="A14375" s="12"/>
      <c r="B14375" s="13"/>
    </row>
    <row r="14376" spans="1:2" x14ac:dyDescent="0.2">
      <c r="A14376" s="12"/>
      <c r="B14376" s="13"/>
    </row>
    <row r="14377" spans="1:2" x14ac:dyDescent="0.2">
      <c r="A14377" s="12"/>
      <c r="B14377" s="13"/>
    </row>
    <row r="14378" spans="1:2" x14ac:dyDescent="0.2">
      <c r="A14378" s="12"/>
      <c r="B14378" s="13"/>
    </row>
    <row r="14379" spans="1:2" x14ac:dyDescent="0.2">
      <c r="A14379" s="12"/>
      <c r="B14379" s="13"/>
    </row>
    <row r="14380" spans="1:2" x14ac:dyDescent="0.2">
      <c r="A14380" s="12"/>
      <c r="B14380" s="13"/>
    </row>
    <row r="14381" spans="1:2" x14ac:dyDescent="0.2">
      <c r="A14381" s="12"/>
      <c r="B14381" s="13"/>
    </row>
    <row r="14382" spans="1:2" x14ac:dyDescent="0.2">
      <c r="A14382" s="12"/>
      <c r="B14382" s="13"/>
    </row>
    <row r="14383" spans="1:2" x14ac:dyDescent="0.2">
      <c r="A14383" s="12"/>
      <c r="B14383" s="13"/>
    </row>
    <row r="14384" spans="1:2" x14ac:dyDescent="0.2">
      <c r="A14384" s="12"/>
      <c r="B14384" s="13"/>
    </row>
    <row r="14385" spans="1:2" x14ac:dyDescent="0.2">
      <c r="A14385" s="12"/>
      <c r="B14385" s="13"/>
    </row>
    <row r="14386" spans="1:2" x14ac:dyDescent="0.2">
      <c r="A14386" s="12"/>
      <c r="B14386" s="13"/>
    </row>
    <row r="14387" spans="1:2" x14ac:dyDescent="0.2">
      <c r="A14387" s="12"/>
      <c r="B14387" s="13"/>
    </row>
    <row r="14388" spans="1:2" x14ac:dyDescent="0.2">
      <c r="A14388" s="12"/>
      <c r="B14388" s="13"/>
    </row>
    <row r="14389" spans="1:2" x14ac:dyDescent="0.2">
      <c r="A14389" s="12"/>
      <c r="B14389" s="13"/>
    </row>
    <row r="14390" spans="1:2" x14ac:dyDescent="0.2">
      <c r="A14390" s="12"/>
      <c r="B14390" s="13"/>
    </row>
    <row r="14391" spans="1:2" x14ac:dyDescent="0.2">
      <c r="A14391" s="12"/>
      <c r="B14391" s="13"/>
    </row>
    <row r="14392" spans="1:2" x14ac:dyDescent="0.2">
      <c r="A14392" s="12"/>
      <c r="B14392" s="13"/>
    </row>
    <row r="14393" spans="1:2" x14ac:dyDescent="0.2">
      <c r="A14393" s="12"/>
      <c r="B14393" s="13"/>
    </row>
    <row r="14394" spans="1:2" x14ac:dyDescent="0.2">
      <c r="A14394" s="12"/>
      <c r="B14394" s="13"/>
    </row>
    <row r="14395" spans="1:2" x14ac:dyDescent="0.2">
      <c r="A14395" s="12"/>
      <c r="B14395" s="13"/>
    </row>
    <row r="14396" spans="1:2" x14ac:dyDescent="0.2">
      <c r="A14396" s="12"/>
      <c r="B14396" s="13"/>
    </row>
    <row r="14397" spans="1:2" x14ac:dyDescent="0.2">
      <c r="A14397" s="12"/>
      <c r="B14397" s="13"/>
    </row>
    <row r="14398" spans="1:2" x14ac:dyDescent="0.2">
      <c r="A14398" s="12"/>
      <c r="B14398" s="13"/>
    </row>
    <row r="14399" spans="1:2" x14ac:dyDescent="0.2">
      <c r="A14399" s="12"/>
      <c r="B14399" s="13"/>
    </row>
    <row r="14400" spans="1:2" x14ac:dyDescent="0.2">
      <c r="A14400" s="12"/>
      <c r="B14400" s="13"/>
    </row>
    <row r="14401" spans="1:2" x14ac:dyDescent="0.2">
      <c r="A14401" s="12"/>
      <c r="B14401" s="13"/>
    </row>
    <row r="14402" spans="1:2" x14ac:dyDescent="0.2">
      <c r="A14402" s="12"/>
      <c r="B14402" s="13"/>
    </row>
    <row r="14403" spans="1:2" x14ac:dyDescent="0.2">
      <c r="A14403" s="12"/>
      <c r="B14403" s="13"/>
    </row>
    <row r="14404" spans="1:2" x14ac:dyDescent="0.2">
      <c r="A14404" s="12"/>
      <c r="B14404" s="13"/>
    </row>
    <row r="14405" spans="1:2" x14ac:dyDescent="0.2">
      <c r="A14405" s="12"/>
      <c r="B14405" s="13"/>
    </row>
    <row r="14406" spans="1:2" x14ac:dyDescent="0.2">
      <c r="A14406" s="12"/>
      <c r="B14406" s="13"/>
    </row>
    <row r="14407" spans="1:2" x14ac:dyDescent="0.2">
      <c r="A14407" s="12"/>
      <c r="B14407" s="13"/>
    </row>
    <row r="14408" spans="1:2" x14ac:dyDescent="0.2">
      <c r="A14408" s="12"/>
      <c r="B14408" s="13"/>
    </row>
    <row r="14409" spans="1:2" x14ac:dyDescent="0.2">
      <c r="A14409" s="12"/>
      <c r="B14409" s="13"/>
    </row>
    <row r="14410" spans="1:2" x14ac:dyDescent="0.2">
      <c r="A14410" s="12"/>
      <c r="B14410" s="13"/>
    </row>
    <row r="14411" spans="1:2" x14ac:dyDescent="0.2">
      <c r="A14411" s="12"/>
      <c r="B14411" s="13"/>
    </row>
    <row r="14412" spans="1:2" x14ac:dyDescent="0.2">
      <c r="A14412" s="12"/>
      <c r="B14412" s="13"/>
    </row>
    <row r="14413" spans="1:2" x14ac:dyDescent="0.2">
      <c r="A14413" s="12"/>
      <c r="B14413" s="13"/>
    </row>
    <row r="14414" spans="1:2" x14ac:dyDescent="0.2">
      <c r="A14414" s="12"/>
      <c r="B14414" s="13"/>
    </row>
    <row r="14415" spans="1:2" x14ac:dyDescent="0.2">
      <c r="A14415" s="12"/>
      <c r="B14415" s="13"/>
    </row>
    <row r="14416" spans="1:2" x14ac:dyDescent="0.2">
      <c r="A14416" s="12"/>
      <c r="B14416" s="13"/>
    </row>
    <row r="14417" spans="1:2" x14ac:dyDescent="0.2">
      <c r="A14417" s="12"/>
      <c r="B14417" s="13"/>
    </row>
    <row r="14418" spans="1:2" x14ac:dyDescent="0.2">
      <c r="A14418" s="12"/>
      <c r="B14418" s="13"/>
    </row>
    <row r="14419" spans="1:2" x14ac:dyDescent="0.2">
      <c r="A14419" s="12"/>
      <c r="B14419" s="13"/>
    </row>
    <row r="14420" spans="1:2" x14ac:dyDescent="0.2">
      <c r="A14420" s="12"/>
      <c r="B14420" s="13"/>
    </row>
    <row r="14421" spans="1:2" x14ac:dyDescent="0.2">
      <c r="A14421" s="12"/>
      <c r="B14421" s="13"/>
    </row>
    <row r="14422" spans="1:2" x14ac:dyDescent="0.2">
      <c r="A14422" s="12"/>
      <c r="B14422" s="13"/>
    </row>
    <row r="14423" spans="1:2" x14ac:dyDescent="0.2">
      <c r="A14423" s="12"/>
      <c r="B14423" s="13"/>
    </row>
    <row r="14424" spans="1:2" x14ac:dyDescent="0.2">
      <c r="A14424" s="12"/>
      <c r="B14424" s="13"/>
    </row>
    <row r="14425" spans="1:2" x14ac:dyDescent="0.2">
      <c r="A14425" s="12"/>
      <c r="B14425" s="13"/>
    </row>
    <row r="14426" spans="1:2" x14ac:dyDescent="0.2">
      <c r="A14426" s="12"/>
      <c r="B14426" s="13"/>
    </row>
    <row r="14427" spans="1:2" x14ac:dyDescent="0.2">
      <c r="A14427" s="12"/>
      <c r="B14427" s="13"/>
    </row>
    <row r="14428" spans="1:2" x14ac:dyDescent="0.2">
      <c r="A14428" s="12"/>
      <c r="B14428" s="13"/>
    </row>
    <row r="14429" spans="1:2" x14ac:dyDescent="0.2">
      <c r="A14429" s="12"/>
      <c r="B14429" s="13"/>
    </row>
    <row r="14430" spans="1:2" x14ac:dyDescent="0.2">
      <c r="A14430" s="12"/>
      <c r="B14430" s="13"/>
    </row>
    <row r="14431" spans="1:2" x14ac:dyDescent="0.2">
      <c r="A14431" s="12"/>
      <c r="B14431" s="13"/>
    </row>
    <row r="14432" spans="1:2" x14ac:dyDescent="0.2">
      <c r="A14432" s="12"/>
      <c r="B14432" s="13"/>
    </row>
    <row r="14433" spans="1:2" x14ac:dyDescent="0.2">
      <c r="A14433" s="12"/>
      <c r="B14433" s="13"/>
    </row>
    <row r="14434" spans="1:2" x14ac:dyDescent="0.2">
      <c r="A14434" s="12"/>
      <c r="B14434" s="13"/>
    </row>
    <row r="14435" spans="1:2" x14ac:dyDescent="0.2">
      <c r="A14435" s="12"/>
      <c r="B14435" s="13"/>
    </row>
    <row r="14436" spans="1:2" x14ac:dyDescent="0.2">
      <c r="A14436" s="12"/>
      <c r="B14436" s="13"/>
    </row>
    <row r="14437" spans="1:2" x14ac:dyDescent="0.2">
      <c r="A14437" s="12"/>
      <c r="B14437" s="13"/>
    </row>
    <row r="14438" spans="1:2" x14ac:dyDescent="0.2">
      <c r="A14438" s="12"/>
      <c r="B14438" s="13"/>
    </row>
    <row r="14439" spans="1:2" x14ac:dyDescent="0.2">
      <c r="A14439" s="12"/>
      <c r="B14439" s="13"/>
    </row>
    <row r="14440" spans="1:2" x14ac:dyDescent="0.2">
      <c r="A14440" s="12"/>
      <c r="B14440" s="13"/>
    </row>
    <row r="14441" spans="1:2" x14ac:dyDescent="0.2">
      <c r="A14441" s="12"/>
      <c r="B14441" s="13"/>
    </row>
    <row r="14442" spans="1:2" x14ac:dyDescent="0.2">
      <c r="A14442" s="12"/>
      <c r="B14442" s="13"/>
    </row>
    <row r="14443" spans="1:2" x14ac:dyDescent="0.2">
      <c r="A14443" s="12"/>
      <c r="B14443" s="13"/>
    </row>
    <row r="14444" spans="1:2" x14ac:dyDescent="0.2">
      <c r="A14444" s="12"/>
      <c r="B14444" s="13"/>
    </row>
    <row r="14445" spans="1:2" x14ac:dyDescent="0.2">
      <c r="A14445" s="12"/>
      <c r="B14445" s="13"/>
    </row>
    <row r="14446" spans="1:2" x14ac:dyDescent="0.2">
      <c r="A14446" s="12"/>
      <c r="B14446" s="13"/>
    </row>
    <row r="14447" spans="1:2" x14ac:dyDescent="0.2">
      <c r="A14447" s="12"/>
      <c r="B14447" s="13"/>
    </row>
    <row r="14448" spans="1:2" x14ac:dyDescent="0.2">
      <c r="A14448" s="12"/>
      <c r="B14448" s="13"/>
    </row>
    <row r="14449" spans="1:2" x14ac:dyDescent="0.2">
      <c r="A14449" s="12"/>
      <c r="B14449" s="13"/>
    </row>
    <row r="14450" spans="1:2" x14ac:dyDescent="0.2">
      <c r="A14450" s="12"/>
      <c r="B14450" s="13"/>
    </row>
    <row r="14451" spans="1:2" x14ac:dyDescent="0.2">
      <c r="A14451" s="12"/>
      <c r="B14451" s="13"/>
    </row>
    <row r="14452" spans="1:2" x14ac:dyDescent="0.2">
      <c r="A14452" s="12"/>
      <c r="B14452" s="13"/>
    </row>
    <row r="14453" spans="1:2" x14ac:dyDescent="0.2">
      <c r="A14453" s="12"/>
      <c r="B14453" s="13"/>
    </row>
    <row r="14454" spans="1:2" x14ac:dyDescent="0.2">
      <c r="A14454" s="12"/>
      <c r="B14454" s="13"/>
    </row>
    <row r="14455" spans="1:2" x14ac:dyDescent="0.2">
      <c r="A14455" s="12"/>
      <c r="B14455" s="13"/>
    </row>
    <row r="14456" spans="1:2" x14ac:dyDescent="0.2">
      <c r="A14456" s="12"/>
      <c r="B14456" s="13"/>
    </row>
    <row r="14457" spans="1:2" x14ac:dyDescent="0.2">
      <c r="A14457" s="12"/>
      <c r="B14457" s="13"/>
    </row>
    <row r="14458" spans="1:2" x14ac:dyDescent="0.2">
      <c r="A14458" s="12"/>
      <c r="B14458" s="13"/>
    </row>
    <row r="14459" spans="1:2" x14ac:dyDescent="0.2">
      <c r="A14459" s="12"/>
      <c r="B14459" s="13"/>
    </row>
    <row r="14460" spans="1:2" x14ac:dyDescent="0.2">
      <c r="A14460" s="12"/>
      <c r="B14460" s="13"/>
    </row>
    <row r="14461" spans="1:2" x14ac:dyDescent="0.2">
      <c r="A14461" s="12"/>
      <c r="B14461" s="13"/>
    </row>
    <row r="14462" spans="1:2" x14ac:dyDescent="0.2">
      <c r="A14462" s="12"/>
      <c r="B14462" s="13"/>
    </row>
    <row r="14463" spans="1:2" x14ac:dyDescent="0.2">
      <c r="A14463" s="12"/>
      <c r="B14463" s="13"/>
    </row>
    <row r="14464" spans="1:2" x14ac:dyDescent="0.2">
      <c r="A14464" s="12"/>
      <c r="B14464" s="13"/>
    </row>
    <row r="14465" spans="1:2" x14ac:dyDescent="0.2">
      <c r="A14465" s="12"/>
      <c r="B14465" s="13"/>
    </row>
    <row r="14466" spans="1:2" x14ac:dyDescent="0.2">
      <c r="A14466" s="12"/>
      <c r="B14466" s="13"/>
    </row>
    <row r="14467" spans="1:2" x14ac:dyDescent="0.2">
      <c r="A14467" s="12"/>
      <c r="B14467" s="13"/>
    </row>
    <row r="14468" spans="1:2" x14ac:dyDescent="0.2">
      <c r="A14468" s="12"/>
      <c r="B14468" s="13"/>
    </row>
    <row r="14469" spans="1:2" x14ac:dyDescent="0.2">
      <c r="A14469" s="12"/>
      <c r="B14469" s="13"/>
    </row>
    <row r="14470" spans="1:2" x14ac:dyDescent="0.2">
      <c r="A14470" s="12"/>
      <c r="B14470" s="13"/>
    </row>
    <row r="14471" spans="1:2" x14ac:dyDescent="0.2">
      <c r="A14471" s="12"/>
      <c r="B14471" s="13"/>
    </row>
    <row r="14472" spans="1:2" x14ac:dyDescent="0.2">
      <c r="A14472" s="12"/>
      <c r="B14472" s="13"/>
    </row>
    <row r="14473" spans="1:2" x14ac:dyDescent="0.2">
      <c r="A14473" s="12"/>
      <c r="B14473" s="13"/>
    </row>
    <row r="14474" spans="1:2" x14ac:dyDescent="0.2">
      <c r="A14474" s="12"/>
      <c r="B14474" s="13"/>
    </row>
    <row r="14475" spans="1:2" x14ac:dyDescent="0.2">
      <c r="A14475" s="12"/>
      <c r="B14475" s="13"/>
    </row>
    <row r="14476" spans="1:2" x14ac:dyDescent="0.2">
      <c r="A14476" s="12"/>
      <c r="B14476" s="13"/>
    </row>
    <row r="14477" spans="1:2" x14ac:dyDescent="0.2">
      <c r="A14477" s="12"/>
      <c r="B14477" s="13"/>
    </row>
    <row r="14478" spans="1:2" x14ac:dyDescent="0.2">
      <c r="A14478" s="12"/>
      <c r="B14478" s="13"/>
    </row>
    <row r="14479" spans="1:2" x14ac:dyDescent="0.2">
      <c r="A14479" s="12"/>
      <c r="B14479" s="13"/>
    </row>
    <row r="14480" spans="1:2" x14ac:dyDescent="0.2">
      <c r="A14480" s="12"/>
      <c r="B14480" s="13"/>
    </row>
    <row r="14481" spans="1:2" x14ac:dyDescent="0.2">
      <c r="A14481" s="12"/>
      <c r="B14481" s="13"/>
    </row>
    <row r="14482" spans="1:2" x14ac:dyDescent="0.2">
      <c r="A14482" s="12"/>
      <c r="B14482" s="13"/>
    </row>
    <row r="14483" spans="1:2" x14ac:dyDescent="0.2">
      <c r="A14483" s="12"/>
      <c r="B14483" s="13"/>
    </row>
    <row r="14484" spans="1:2" x14ac:dyDescent="0.2">
      <c r="A14484" s="12"/>
      <c r="B14484" s="13"/>
    </row>
    <row r="14485" spans="1:2" x14ac:dyDescent="0.2">
      <c r="A14485" s="12"/>
      <c r="B14485" s="13"/>
    </row>
    <row r="14486" spans="1:2" x14ac:dyDescent="0.2">
      <c r="A14486" s="12"/>
      <c r="B14486" s="13"/>
    </row>
    <row r="14487" spans="1:2" x14ac:dyDescent="0.2">
      <c r="A14487" s="12"/>
      <c r="B14487" s="13"/>
    </row>
    <row r="14488" spans="1:2" x14ac:dyDescent="0.2">
      <c r="A14488" s="12"/>
      <c r="B14488" s="13"/>
    </row>
    <row r="14489" spans="1:2" x14ac:dyDescent="0.2">
      <c r="A14489" s="12"/>
      <c r="B14489" s="13"/>
    </row>
    <row r="14490" spans="1:2" x14ac:dyDescent="0.2">
      <c r="A14490" s="12"/>
      <c r="B14490" s="13"/>
    </row>
    <row r="14491" spans="1:2" x14ac:dyDescent="0.2">
      <c r="A14491" s="12"/>
      <c r="B14491" s="13"/>
    </row>
    <row r="14492" spans="1:2" x14ac:dyDescent="0.2">
      <c r="A14492" s="12"/>
      <c r="B14492" s="13"/>
    </row>
    <row r="14493" spans="1:2" x14ac:dyDescent="0.2">
      <c r="A14493" s="12"/>
      <c r="B14493" s="13"/>
    </row>
    <row r="14494" spans="1:2" x14ac:dyDescent="0.2">
      <c r="A14494" s="12"/>
      <c r="B14494" s="13"/>
    </row>
    <row r="14495" spans="1:2" x14ac:dyDescent="0.2">
      <c r="A14495" s="12"/>
      <c r="B14495" s="13"/>
    </row>
    <row r="14496" spans="1:2" x14ac:dyDescent="0.2">
      <c r="A14496" s="12"/>
      <c r="B14496" s="13"/>
    </row>
    <row r="14497" spans="1:2" x14ac:dyDescent="0.2">
      <c r="A14497" s="12"/>
      <c r="B14497" s="13"/>
    </row>
    <row r="14498" spans="1:2" x14ac:dyDescent="0.2">
      <c r="A14498" s="12"/>
      <c r="B14498" s="13"/>
    </row>
    <row r="14499" spans="1:2" x14ac:dyDescent="0.2">
      <c r="A14499" s="12"/>
      <c r="B14499" s="13"/>
    </row>
    <row r="14500" spans="1:2" x14ac:dyDescent="0.2">
      <c r="A14500" s="12"/>
      <c r="B14500" s="13"/>
    </row>
    <row r="14501" spans="1:2" x14ac:dyDescent="0.2">
      <c r="A14501" s="12"/>
      <c r="B14501" s="13"/>
    </row>
    <row r="14502" spans="1:2" x14ac:dyDescent="0.2">
      <c r="A14502" s="12"/>
      <c r="B14502" s="13"/>
    </row>
    <row r="14503" spans="1:2" x14ac:dyDescent="0.2">
      <c r="A14503" s="12"/>
      <c r="B14503" s="13"/>
    </row>
    <row r="14504" spans="1:2" x14ac:dyDescent="0.2">
      <c r="A14504" s="12"/>
      <c r="B14504" s="13"/>
    </row>
    <row r="14505" spans="1:2" x14ac:dyDescent="0.2">
      <c r="A14505" s="12"/>
      <c r="B14505" s="13"/>
    </row>
    <row r="14506" spans="1:2" x14ac:dyDescent="0.2">
      <c r="A14506" s="12"/>
      <c r="B14506" s="13"/>
    </row>
    <row r="14507" spans="1:2" x14ac:dyDescent="0.2">
      <c r="A14507" s="12"/>
      <c r="B14507" s="13"/>
    </row>
    <row r="14508" spans="1:2" x14ac:dyDescent="0.2">
      <c r="A14508" s="12"/>
      <c r="B14508" s="13"/>
    </row>
    <row r="14509" spans="1:2" x14ac:dyDescent="0.2">
      <c r="A14509" s="12"/>
      <c r="B14509" s="13"/>
    </row>
    <row r="14510" spans="1:2" x14ac:dyDescent="0.2">
      <c r="A14510" s="12"/>
      <c r="B14510" s="13"/>
    </row>
    <row r="14511" spans="1:2" x14ac:dyDescent="0.2">
      <c r="A14511" s="12"/>
      <c r="B14511" s="13"/>
    </row>
    <row r="14512" spans="1:2" x14ac:dyDescent="0.2">
      <c r="A14512" s="12"/>
      <c r="B14512" s="13"/>
    </row>
    <row r="14513" spans="1:2" x14ac:dyDescent="0.2">
      <c r="A14513" s="12"/>
      <c r="B14513" s="13"/>
    </row>
    <row r="14514" spans="1:2" x14ac:dyDescent="0.2">
      <c r="A14514" s="12"/>
      <c r="B14514" s="13"/>
    </row>
    <row r="14515" spans="1:2" x14ac:dyDescent="0.2">
      <c r="A14515" s="12"/>
      <c r="B14515" s="13"/>
    </row>
    <row r="14516" spans="1:2" x14ac:dyDescent="0.2">
      <c r="A14516" s="12"/>
      <c r="B14516" s="13"/>
    </row>
    <row r="14517" spans="1:2" x14ac:dyDescent="0.2">
      <c r="A14517" s="12"/>
      <c r="B14517" s="13"/>
    </row>
    <row r="14518" spans="1:2" x14ac:dyDescent="0.2">
      <c r="A14518" s="12"/>
      <c r="B14518" s="13"/>
    </row>
    <row r="14519" spans="1:2" x14ac:dyDescent="0.2">
      <c r="A14519" s="12"/>
      <c r="B14519" s="13"/>
    </row>
    <row r="14520" spans="1:2" x14ac:dyDescent="0.2">
      <c r="A14520" s="12"/>
      <c r="B14520" s="13"/>
    </row>
    <row r="14521" spans="1:2" x14ac:dyDescent="0.2">
      <c r="A14521" s="12"/>
      <c r="B14521" s="13"/>
    </row>
    <row r="14522" spans="1:2" x14ac:dyDescent="0.2">
      <c r="A14522" s="12"/>
      <c r="B14522" s="13"/>
    </row>
    <row r="14523" spans="1:2" x14ac:dyDescent="0.2">
      <c r="A14523" s="12"/>
      <c r="B14523" s="13"/>
    </row>
    <row r="14524" spans="1:2" x14ac:dyDescent="0.2">
      <c r="A14524" s="12"/>
      <c r="B14524" s="13"/>
    </row>
    <row r="14525" spans="1:2" x14ac:dyDescent="0.2">
      <c r="A14525" s="12"/>
      <c r="B14525" s="13"/>
    </row>
    <row r="14526" spans="1:2" x14ac:dyDescent="0.2">
      <c r="A14526" s="12"/>
      <c r="B14526" s="13"/>
    </row>
    <row r="14527" spans="1:2" x14ac:dyDescent="0.2">
      <c r="A14527" s="12"/>
      <c r="B14527" s="13"/>
    </row>
    <row r="14528" spans="1:2" x14ac:dyDescent="0.2">
      <c r="A14528" s="12"/>
      <c r="B14528" s="13"/>
    </row>
    <row r="14529" spans="1:2" x14ac:dyDescent="0.2">
      <c r="A14529" s="12"/>
      <c r="B14529" s="13"/>
    </row>
    <row r="14530" spans="1:2" x14ac:dyDescent="0.2">
      <c r="A14530" s="12"/>
      <c r="B14530" s="13"/>
    </row>
    <row r="14531" spans="1:2" x14ac:dyDescent="0.2">
      <c r="A14531" s="12"/>
      <c r="B14531" s="13"/>
    </row>
    <row r="14532" spans="1:2" x14ac:dyDescent="0.2">
      <c r="A14532" s="12"/>
      <c r="B14532" s="13"/>
    </row>
    <row r="14533" spans="1:2" x14ac:dyDescent="0.2">
      <c r="A14533" s="12"/>
      <c r="B14533" s="13"/>
    </row>
    <row r="14534" spans="1:2" x14ac:dyDescent="0.2">
      <c r="A14534" s="12"/>
      <c r="B14534" s="13"/>
    </row>
    <row r="14535" spans="1:2" x14ac:dyDescent="0.2">
      <c r="A14535" s="12"/>
      <c r="B14535" s="13"/>
    </row>
    <row r="14536" spans="1:2" x14ac:dyDescent="0.2">
      <c r="A14536" s="12"/>
      <c r="B14536" s="13"/>
    </row>
    <row r="14537" spans="1:2" x14ac:dyDescent="0.2">
      <c r="A14537" s="12"/>
      <c r="B14537" s="13"/>
    </row>
    <row r="14538" spans="1:2" x14ac:dyDescent="0.2">
      <c r="A14538" s="12"/>
      <c r="B14538" s="13"/>
    </row>
    <row r="14539" spans="1:2" x14ac:dyDescent="0.2">
      <c r="A14539" s="12"/>
      <c r="B14539" s="13"/>
    </row>
    <row r="14540" spans="1:2" x14ac:dyDescent="0.2">
      <c r="A14540" s="12"/>
      <c r="B14540" s="13"/>
    </row>
    <row r="14541" spans="1:2" x14ac:dyDescent="0.2">
      <c r="A14541" s="12"/>
      <c r="B14541" s="13"/>
    </row>
    <row r="14542" spans="1:2" x14ac:dyDescent="0.2">
      <c r="A14542" s="12"/>
      <c r="B14542" s="13"/>
    </row>
    <row r="14543" spans="1:2" x14ac:dyDescent="0.2">
      <c r="A14543" s="12"/>
      <c r="B14543" s="13"/>
    </row>
    <row r="14544" spans="1:2" x14ac:dyDescent="0.2">
      <c r="A14544" s="12"/>
      <c r="B14544" s="13"/>
    </row>
    <row r="14545" spans="1:2" x14ac:dyDescent="0.2">
      <c r="A14545" s="12"/>
      <c r="B14545" s="13"/>
    </row>
    <row r="14546" spans="1:2" x14ac:dyDescent="0.2">
      <c r="A14546" s="12"/>
      <c r="B14546" s="13"/>
    </row>
    <row r="14547" spans="1:2" x14ac:dyDescent="0.2">
      <c r="A14547" s="12"/>
      <c r="B14547" s="13"/>
    </row>
    <row r="14548" spans="1:2" x14ac:dyDescent="0.2">
      <c r="A14548" s="12"/>
      <c r="B14548" s="13"/>
    </row>
    <row r="14549" spans="1:2" x14ac:dyDescent="0.2">
      <c r="A14549" s="12"/>
      <c r="B14549" s="13"/>
    </row>
    <row r="14550" spans="1:2" x14ac:dyDescent="0.2">
      <c r="A14550" s="12"/>
      <c r="B14550" s="13"/>
    </row>
    <row r="14551" spans="1:2" x14ac:dyDescent="0.2">
      <c r="A14551" s="12"/>
      <c r="B14551" s="13"/>
    </row>
    <row r="14552" spans="1:2" x14ac:dyDescent="0.2">
      <c r="A14552" s="12"/>
      <c r="B14552" s="13"/>
    </row>
    <row r="14553" spans="1:2" x14ac:dyDescent="0.2">
      <c r="A14553" s="12"/>
      <c r="B14553" s="13"/>
    </row>
    <row r="14554" spans="1:2" x14ac:dyDescent="0.2">
      <c r="A14554" s="12"/>
      <c r="B14554" s="13"/>
    </row>
    <row r="14555" spans="1:2" x14ac:dyDescent="0.2">
      <c r="A14555" s="12"/>
      <c r="B14555" s="13"/>
    </row>
    <row r="14556" spans="1:2" x14ac:dyDescent="0.2">
      <c r="A14556" s="12"/>
      <c r="B14556" s="13"/>
    </row>
    <row r="14557" spans="1:2" x14ac:dyDescent="0.2">
      <c r="A14557" s="12"/>
      <c r="B14557" s="13"/>
    </row>
    <row r="14558" spans="1:2" x14ac:dyDescent="0.2">
      <c r="A14558" s="12"/>
      <c r="B14558" s="13"/>
    </row>
    <row r="14559" spans="1:2" x14ac:dyDescent="0.2">
      <c r="A14559" s="12"/>
      <c r="B14559" s="13"/>
    </row>
    <row r="14560" spans="1:2" x14ac:dyDescent="0.2">
      <c r="A14560" s="12"/>
      <c r="B14560" s="13"/>
    </row>
    <row r="14561" spans="1:2" x14ac:dyDescent="0.2">
      <c r="A14561" s="12"/>
      <c r="B14561" s="13"/>
    </row>
    <row r="14562" spans="1:2" x14ac:dyDescent="0.2">
      <c r="A14562" s="12"/>
      <c r="B14562" s="13"/>
    </row>
    <row r="14563" spans="1:2" x14ac:dyDescent="0.2">
      <c r="A14563" s="12"/>
      <c r="B14563" s="13"/>
    </row>
    <row r="14564" spans="1:2" x14ac:dyDescent="0.2">
      <c r="A14564" s="12"/>
      <c r="B14564" s="13"/>
    </row>
    <row r="14565" spans="1:2" x14ac:dyDescent="0.2">
      <c r="A14565" s="12"/>
      <c r="B14565" s="13"/>
    </row>
    <row r="14566" spans="1:2" x14ac:dyDescent="0.2">
      <c r="A14566" s="12"/>
      <c r="B14566" s="13"/>
    </row>
    <row r="14567" spans="1:2" x14ac:dyDescent="0.2">
      <c r="A14567" s="12"/>
      <c r="B14567" s="13"/>
    </row>
    <row r="14568" spans="1:2" x14ac:dyDescent="0.2">
      <c r="A14568" s="12"/>
      <c r="B14568" s="13"/>
    </row>
    <row r="14569" spans="1:2" x14ac:dyDescent="0.2">
      <c r="A14569" s="12"/>
      <c r="B14569" s="13"/>
    </row>
    <row r="14570" spans="1:2" x14ac:dyDescent="0.2">
      <c r="A14570" s="12"/>
      <c r="B14570" s="13"/>
    </row>
    <row r="14571" spans="1:2" x14ac:dyDescent="0.2">
      <c r="A14571" s="12"/>
      <c r="B14571" s="13"/>
    </row>
    <row r="14572" spans="1:2" x14ac:dyDescent="0.2">
      <c r="A14572" s="12"/>
      <c r="B14572" s="13"/>
    </row>
    <row r="14573" spans="1:2" x14ac:dyDescent="0.2">
      <c r="A14573" s="12"/>
      <c r="B14573" s="13"/>
    </row>
    <row r="14574" spans="1:2" x14ac:dyDescent="0.2">
      <c r="A14574" s="12"/>
      <c r="B14574" s="13"/>
    </row>
    <row r="14575" spans="1:2" x14ac:dyDescent="0.2">
      <c r="A14575" s="12"/>
      <c r="B14575" s="13"/>
    </row>
    <row r="14576" spans="1:2" x14ac:dyDescent="0.2">
      <c r="A14576" s="12"/>
      <c r="B14576" s="13"/>
    </row>
    <row r="14577" spans="1:2" x14ac:dyDescent="0.2">
      <c r="A14577" s="12"/>
      <c r="B14577" s="13"/>
    </row>
    <row r="14578" spans="1:2" x14ac:dyDescent="0.2">
      <c r="A14578" s="12"/>
      <c r="B14578" s="13"/>
    </row>
    <row r="14579" spans="1:2" x14ac:dyDescent="0.2">
      <c r="A14579" s="12"/>
      <c r="B14579" s="13"/>
    </row>
    <row r="14580" spans="1:2" x14ac:dyDescent="0.2">
      <c r="A14580" s="12"/>
      <c r="B14580" s="13"/>
    </row>
    <row r="14581" spans="1:2" x14ac:dyDescent="0.2">
      <c r="A14581" s="12"/>
      <c r="B14581" s="13"/>
    </row>
    <row r="14582" spans="1:2" x14ac:dyDescent="0.2">
      <c r="A14582" s="12"/>
      <c r="B14582" s="13"/>
    </row>
    <row r="14583" spans="1:2" x14ac:dyDescent="0.2">
      <c r="A14583" s="12"/>
      <c r="B14583" s="13"/>
    </row>
    <row r="14584" spans="1:2" x14ac:dyDescent="0.2">
      <c r="A14584" s="12"/>
      <c r="B14584" s="13"/>
    </row>
    <row r="14585" spans="1:2" x14ac:dyDescent="0.2">
      <c r="A14585" s="12"/>
      <c r="B14585" s="13"/>
    </row>
    <row r="14586" spans="1:2" x14ac:dyDescent="0.2">
      <c r="A14586" s="12"/>
      <c r="B14586" s="13"/>
    </row>
    <row r="14587" spans="1:2" x14ac:dyDescent="0.2">
      <c r="A14587" s="12"/>
      <c r="B14587" s="13"/>
    </row>
    <row r="14588" spans="1:2" x14ac:dyDescent="0.2">
      <c r="A14588" s="12"/>
      <c r="B14588" s="13"/>
    </row>
    <row r="14589" spans="1:2" x14ac:dyDescent="0.2">
      <c r="A14589" s="12"/>
      <c r="B14589" s="13"/>
    </row>
    <row r="14590" spans="1:2" x14ac:dyDescent="0.2">
      <c r="A14590" s="12"/>
      <c r="B14590" s="13"/>
    </row>
    <row r="14591" spans="1:2" x14ac:dyDescent="0.2">
      <c r="A14591" s="12"/>
      <c r="B14591" s="13"/>
    </row>
    <row r="14592" spans="1:2" x14ac:dyDescent="0.2">
      <c r="A14592" s="12"/>
      <c r="B14592" s="13"/>
    </row>
    <row r="14593" spans="1:2" x14ac:dyDescent="0.2">
      <c r="A14593" s="12"/>
      <c r="B14593" s="13"/>
    </row>
    <row r="14594" spans="1:2" x14ac:dyDescent="0.2">
      <c r="A14594" s="12"/>
      <c r="B14594" s="13"/>
    </row>
    <row r="14595" spans="1:2" x14ac:dyDescent="0.2">
      <c r="A14595" s="12"/>
      <c r="B14595" s="13"/>
    </row>
    <row r="14596" spans="1:2" x14ac:dyDescent="0.2">
      <c r="A14596" s="12"/>
      <c r="B14596" s="13"/>
    </row>
    <row r="14597" spans="1:2" x14ac:dyDescent="0.2">
      <c r="A14597" s="12"/>
      <c r="B14597" s="13"/>
    </row>
    <row r="14598" spans="1:2" x14ac:dyDescent="0.2">
      <c r="A14598" s="12"/>
      <c r="B14598" s="13"/>
    </row>
    <row r="14599" spans="1:2" x14ac:dyDescent="0.2">
      <c r="A14599" s="12"/>
      <c r="B14599" s="13"/>
    </row>
    <row r="14600" spans="1:2" x14ac:dyDescent="0.2">
      <c r="A14600" s="12"/>
      <c r="B14600" s="13"/>
    </row>
    <row r="14601" spans="1:2" x14ac:dyDescent="0.2">
      <c r="A14601" s="12"/>
      <c r="B14601" s="13"/>
    </row>
    <row r="14602" spans="1:2" x14ac:dyDescent="0.2">
      <c r="A14602" s="12"/>
      <c r="B14602" s="13"/>
    </row>
    <row r="14603" spans="1:2" x14ac:dyDescent="0.2">
      <c r="A14603" s="12"/>
      <c r="B14603" s="13"/>
    </row>
    <row r="14604" spans="1:2" x14ac:dyDescent="0.2">
      <c r="A14604" s="12"/>
      <c r="B14604" s="13"/>
    </row>
    <row r="14605" spans="1:2" x14ac:dyDescent="0.2">
      <c r="A14605" s="12"/>
      <c r="B14605" s="13"/>
    </row>
    <row r="14606" spans="1:2" x14ac:dyDescent="0.2">
      <c r="A14606" s="12"/>
      <c r="B14606" s="13"/>
    </row>
    <row r="14607" spans="1:2" x14ac:dyDescent="0.2">
      <c r="A14607" s="12"/>
      <c r="B14607" s="13"/>
    </row>
    <row r="14608" spans="1:2" x14ac:dyDescent="0.2">
      <c r="A14608" s="12"/>
      <c r="B14608" s="13"/>
    </row>
    <row r="14609" spans="1:2" x14ac:dyDescent="0.2">
      <c r="A14609" s="12"/>
      <c r="B14609" s="13"/>
    </row>
    <row r="14610" spans="1:2" x14ac:dyDescent="0.2">
      <c r="A14610" s="12"/>
      <c r="B14610" s="13"/>
    </row>
    <row r="14611" spans="1:2" x14ac:dyDescent="0.2">
      <c r="A14611" s="12"/>
      <c r="B14611" s="13"/>
    </row>
    <row r="14612" spans="1:2" x14ac:dyDescent="0.2">
      <c r="A14612" s="12"/>
      <c r="B14612" s="13"/>
    </row>
    <row r="14613" spans="1:2" x14ac:dyDescent="0.2">
      <c r="A14613" s="12"/>
      <c r="B14613" s="13"/>
    </row>
    <row r="14614" spans="1:2" x14ac:dyDescent="0.2">
      <c r="A14614" s="12"/>
      <c r="B14614" s="13"/>
    </row>
    <row r="14615" spans="1:2" x14ac:dyDescent="0.2">
      <c r="A14615" s="12"/>
      <c r="B14615" s="13"/>
    </row>
    <row r="14616" spans="1:2" x14ac:dyDescent="0.2">
      <c r="A14616" s="12"/>
      <c r="B14616" s="13"/>
    </row>
    <row r="14617" spans="1:2" x14ac:dyDescent="0.2">
      <c r="A14617" s="12"/>
      <c r="B14617" s="13"/>
    </row>
    <row r="14618" spans="1:2" x14ac:dyDescent="0.2">
      <c r="A14618" s="12"/>
      <c r="B14618" s="13"/>
    </row>
    <row r="14619" spans="1:2" x14ac:dyDescent="0.2">
      <c r="A14619" s="12"/>
      <c r="B14619" s="13"/>
    </row>
    <row r="14620" spans="1:2" x14ac:dyDescent="0.2">
      <c r="A14620" s="12"/>
      <c r="B14620" s="13"/>
    </row>
    <row r="14621" spans="1:2" x14ac:dyDescent="0.2">
      <c r="A14621" s="12"/>
      <c r="B14621" s="13"/>
    </row>
    <row r="14622" spans="1:2" x14ac:dyDescent="0.2">
      <c r="A14622" s="12"/>
      <c r="B14622" s="13"/>
    </row>
    <row r="14623" spans="1:2" x14ac:dyDescent="0.2">
      <c r="A14623" s="12"/>
      <c r="B14623" s="13"/>
    </row>
    <row r="14624" spans="1:2" x14ac:dyDescent="0.2">
      <c r="A14624" s="12"/>
      <c r="B14624" s="13"/>
    </row>
    <row r="14625" spans="1:2" x14ac:dyDescent="0.2">
      <c r="A14625" s="12"/>
      <c r="B14625" s="13"/>
    </row>
    <row r="14626" spans="1:2" x14ac:dyDescent="0.2">
      <c r="A14626" s="12"/>
      <c r="B14626" s="13"/>
    </row>
    <row r="14627" spans="1:2" x14ac:dyDescent="0.2">
      <c r="A14627" s="12"/>
      <c r="B14627" s="13"/>
    </row>
    <row r="14628" spans="1:2" x14ac:dyDescent="0.2">
      <c r="A14628" s="12"/>
      <c r="B14628" s="13"/>
    </row>
    <row r="14629" spans="1:2" x14ac:dyDescent="0.2">
      <c r="A14629" s="12"/>
      <c r="B14629" s="13"/>
    </row>
    <row r="14630" spans="1:2" x14ac:dyDescent="0.2">
      <c r="A14630" s="12"/>
      <c r="B14630" s="13"/>
    </row>
    <row r="14631" spans="1:2" x14ac:dyDescent="0.2">
      <c r="A14631" s="12"/>
      <c r="B14631" s="13"/>
    </row>
    <row r="14632" spans="1:2" x14ac:dyDescent="0.2">
      <c r="A14632" s="12"/>
      <c r="B14632" s="13"/>
    </row>
    <row r="14633" spans="1:2" x14ac:dyDescent="0.2">
      <c r="A14633" s="12"/>
      <c r="B14633" s="13"/>
    </row>
    <row r="14634" spans="1:2" x14ac:dyDescent="0.2">
      <c r="A14634" s="12"/>
      <c r="B14634" s="13"/>
    </row>
    <row r="14635" spans="1:2" x14ac:dyDescent="0.2">
      <c r="A14635" s="12"/>
      <c r="B14635" s="13"/>
    </row>
    <row r="14636" spans="1:2" x14ac:dyDescent="0.2">
      <c r="A14636" s="12"/>
      <c r="B14636" s="13"/>
    </row>
    <row r="14637" spans="1:2" x14ac:dyDescent="0.2">
      <c r="A14637" s="12"/>
      <c r="B14637" s="13"/>
    </row>
    <row r="14638" spans="1:2" x14ac:dyDescent="0.2">
      <c r="A14638" s="12"/>
      <c r="B14638" s="13"/>
    </row>
    <row r="14639" spans="1:2" x14ac:dyDescent="0.2">
      <c r="A14639" s="12"/>
      <c r="B14639" s="13"/>
    </row>
    <row r="14640" spans="1:2" x14ac:dyDescent="0.2">
      <c r="A14640" s="12"/>
      <c r="B14640" s="13"/>
    </row>
    <row r="14641" spans="1:2" x14ac:dyDescent="0.2">
      <c r="A14641" s="12"/>
      <c r="B14641" s="13"/>
    </row>
    <row r="14642" spans="1:2" x14ac:dyDescent="0.2">
      <c r="A14642" s="12"/>
      <c r="B14642" s="13"/>
    </row>
    <row r="14643" spans="1:2" x14ac:dyDescent="0.2">
      <c r="A14643" s="12"/>
      <c r="B14643" s="13"/>
    </row>
    <row r="14644" spans="1:2" x14ac:dyDescent="0.2">
      <c r="A14644" s="12"/>
      <c r="B14644" s="13"/>
    </row>
    <row r="14645" spans="1:2" x14ac:dyDescent="0.2">
      <c r="A14645" s="12"/>
      <c r="B14645" s="13"/>
    </row>
    <row r="14646" spans="1:2" x14ac:dyDescent="0.2">
      <c r="A14646" s="12"/>
      <c r="B14646" s="13"/>
    </row>
    <row r="14647" spans="1:2" x14ac:dyDescent="0.2">
      <c r="A14647" s="12"/>
      <c r="B14647" s="13"/>
    </row>
    <row r="14648" spans="1:2" x14ac:dyDescent="0.2">
      <c r="A14648" s="12"/>
      <c r="B14648" s="13"/>
    </row>
    <row r="14649" spans="1:2" x14ac:dyDescent="0.2">
      <c r="A14649" s="12"/>
      <c r="B14649" s="13"/>
    </row>
    <row r="14650" spans="1:2" x14ac:dyDescent="0.2">
      <c r="A14650" s="12"/>
      <c r="B14650" s="13"/>
    </row>
    <row r="14651" spans="1:2" x14ac:dyDescent="0.2">
      <c r="A14651" s="12"/>
      <c r="B14651" s="13"/>
    </row>
    <row r="14652" spans="1:2" x14ac:dyDescent="0.2">
      <c r="A14652" s="12"/>
      <c r="B14652" s="13"/>
    </row>
    <row r="14653" spans="1:2" x14ac:dyDescent="0.2">
      <c r="A14653" s="12"/>
      <c r="B14653" s="13"/>
    </row>
    <row r="14654" spans="1:2" x14ac:dyDescent="0.2">
      <c r="A14654" s="12"/>
      <c r="B14654" s="13"/>
    </row>
    <row r="14655" spans="1:2" x14ac:dyDescent="0.2">
      <c r="A14655" s="12"/>
      <c r="B14655" s="13"/>
    </row>
    <row r="14656" spans="1:2" x14ac:dyDescent="0.2">
      <c r="A14656" s="12"/>
      <c r="B14656" s="13"/>
    </row>
    <row r="14657" spans="1:2" x14ac:dyDescent="0.2">
      <c r="A14657" s="12"/>
      <c r="B14657" s="13"/>
    </row>
    <row r="14658" spans="1:2" x14ac:dyDescent="0.2">
      <c r="A14658" s="12"/>
      <c r="B14658" s="13"/>
    </row>
    <row r="14659" spans="1:2" x14ac:dyDescent="0.2">
      <c r="A14659" s="12"/>
      <c r="B14659" s="13"/>
    </row>
    <row r="14660" spans="1:2" x14ac:dyDescent="0.2">
      <c r="A14660" s="12"/>
      <c r="B14660" s="13"/>
    </row>
    <row r="14661" spans="1:2" x14ac:dyDescent="0.2">
      <c r="A14661" s="12"/>
      <c r="B14661" s="13"/>
    </row>
    <row r="14662" spans="1:2" x14ac:dyDescent="0.2">
      <c r="A14662" s="12"/>
      <c r="B14662" s="13"/>
    </row>
    <row r="14663" spans="1:2" x14ac:dyDescent="0.2">
      <c r="A14663" s="12"/>
      <c r="B14663" s="13"/>
    </row>
    <row r="14664" spans="1:2" x14ac:dyDescent="0.2">
      <c r="A14664" s="12"/>
      <c r="B14664" s="13"/>
    </row>
    <row r="14665" spans="1:2" x14ac:dyDescent="0.2">
      <c r="A14665" s="12"/>
      <c r="B14665" s="13"/>
    </row>
    <row r="14666" spans="1:2" x14ac:dyDescent="0.2">
      <c r="A14666" s="12"/>
      <c r="B14666" s="13"/>
    </row>
    <row r="14667" spans="1:2" x14ac:dyDescent="0.2">
      <c r="A14667" s="12"/>
      <c r="B14667" s="13"/>
    </row>
    <row r="14668" spans="1:2" x14ac:dyDescent="0.2">
      <c r="A14668" s="12"/>
      <c r="B14668" s="13"/>
    </row>
    <row r="14669" spans="1:2" x14ac:dyDescent="0.2">
      <c r="A14669" s="12"/>
      <c r="B14669" s="13"/>
    </row>
    <row r="14670" spans="1:2" x14ac:dyDescent="0.2">
      <c r="A14670" s="12"/>
      <c r="B14670" s="13"/>
    </row>
    <row r="14671" spans="1:2" x14ac:dyDescent="0.2">
      <c r="A14671" s="12"/>
      <c r="B14671" s="13"/>
    </row>
    <row r="14672" spans="1:2" x14ac:dyDescent="0.2">
      <c r="A14672" s="12"/>
      <c r="B14672" s="13"/>
    </row>
    <row r="14673" spans="1:2" x14ac:dyDescent="0.2">
      <c r="A14673" s="12"/>
      <c r="B14673" s="13"/>
    </row>
    <row r="14674" spans="1:2" x14ac:dyDescent="0.2">
      <c r="A14674" s="12"/>
      <c r="B14674" s="13"/>
    </row>
    <row r="14675" spans="1:2" x14ac:dyDescent="0.2">
      <c r="A14675" s="12"/>
      <c r="B14675" s="13"/>
    </row>
    <row r="14676" spans="1:2" x14ac:dyDescent="0.2">
      <c r="A14676" s="12"/>
      <c r="B14676" s="13"/>
    </row>
    <row r="14677" spans="1:2" x14ac:dyDescent="0.2">
      <c r="A14677" s="12"/>
      <c r="B14677" s="13"/>
    </row>
    <row r="14678" spans="1:2" x14ac:dyDescent="0.2">
      <c r="A14678" s="12"/>
      <c r="B14678" s="13"/>
    </row>
    <row r="14679" spans="1:2" x14ac:dyDescent="0.2">
      <c r="A14679" s="12"/>
      <c r="B14679" s="13"/>
    </row>
    <row r="14680" spans="1:2" x14ac:dyDescent="0.2">
      <c r="A14680" s="12"/>
      <c r="B14680" s="13"/>
    </row>
    <row r="14681" spans="1:2" x14ac:dyDescent="0.2">
      <c r="A14681" s="12"/>
      <c r="B14681" s="13"/>
    </row>
    <row r="14682" spans="1:2" x14ac:dyDescent="0.2">
      <c r="A14682" s="12"/>
      <c r="B14682" s="13"/>
    </row>
    <row r="14683" spans="1:2" x14ac:dyDescent="0.2">
      <c r="A14683" s="12"/>
      <c r="B14683" s="13"/>
    </row>
    <row r="14684" spans="1:2" x14ac:dyDescent="0.2">
      <c r="A14684" s="12"/>
      <c r="B14684" s="13"/>
    </row>
    <row r="14685" spans="1:2" x14ac:dyDescent="0.2">
      <c r="A14685" s="12"/>
      <c r="B14685" s="13"/>
    </row>
    <row r="14686" spans="1:2" x14ac:dyDescent="0.2">
      <c r="A14686" s="12"/>
      <c r="B14686" s="13"/>
    </row>
    <row r="14687" spans="1:2" x14ac:dyDescent="0.2">
      <c r="A14687" s="12"/>
      <c r="B14687" s="13"/>
    </row>
    <row r="14688" spans="1:2" x14ac:dyDescent="0.2">
      <c r="A14688" s="12"/>
      <c r="B14688" s="13"/>
    </row>
    <row r="14689" spans="1:2" x14ac:dyDescent="0.2">
      <c r="A14689" s="12"/>
      <c r="B14689" s="13"/>
    </row>
    <row r="14690" spans="1:2" x14ac:dyDescent="0.2">
      <c r="A14690" s="12"/>
      <c r="B14690" s="13"/>
    </row>
    <row r="14691" spans="1:2" x14ac:dyDescent="0.2">
      <c r="A14691" s="12"/>
      <c r="B14691" s="13"/>
    </row>
    <row r="14692" spans="1:2" x14ac:dyDescent="0.2">
      <c r="A14692" s="12"/>
      <c r="B14692" s="13"/>
    </row>
    <row r="14693" spans="1:2" x14ac:dyDescent="0.2">
      <c r="A14693" s="12"/>
      <c r="B14693" s="13"/>
    </row>
    <row r="14694" spans="1:2" x14ac:dyDescent="0.2">
      <c r="A14694" s="12"/>
      <c r="B14694" s="13"/>
    </row>
    <row r="14695" spans="1:2" x14ac:dyDescent="0.2">
      <c r="A14695" s="12"/>
      <c r="B14695" s="13"/>
    </row>
    <row r="14696" spans="1:2" x14ac:dyDescent="0.2">
      <c r="A14696" s="12"/>
      <c r="B14696" s="13"/>
    </row>
    <row r="14697" spans="1:2" x14ac:dyDescent="0.2">
      <c r="A14697" s="12"/>
      <c r="B14697" s="13"/>
    </row>
    <row r="14698" spans="1:2" x14ac:dyDescent="0.2">
      <c r="A14698" s="12"/>
      <c r="B14698" s="13"/>
    </row>
    <row r="14699" spans="1:2" x14ac:dyDescent="0.2">
      <c r="A14699" s="12"/>
      <c r="B14699" s="13"/>
    </row>
    <row r="14700" spans="1:2" x14ac:dyDescent="0.2">
      <c r="A14700" s="12"/>
      <c r="B14700" s="13"/>
    </row>
    <row r="14701" spans="1:2" x14ac:dyDescent="0.2">
      <c r="A14701" s="12"/>
      <c r="B14701" s="13"/>
    </row>
    <row r="14702" spans="1:2" x14ac:dyDescent="0.2">
      <c r="A14702" s="12"/>
      <c r="B14702" s="13"/>
    </row>
    <row r="14703" spans="1:2" x14ac:dyDescent="0.2">
      <c r="A14703" s="12"/>
      <c r="B14703" s="13"/>
    </row>
    <row r="14704" spans="1:2" x14ac:dyDescent="0.2">
      <c r="A14704" s="12"/>
      <c r="B14704" s="13"/>
    </row>
    <row r="14705" spans="1:2" x14ac:dyDescent="0.2">
      <c r="A14705" s="12"/>
      <c r="B14705" s="13"/>
    </row>
    <row r="14706" spans="1:2" x14ac:dyDescent="0.2">
      <c r="A14706" s="12"/>
      <c r="B14706" s="13"/>
    </row>
    <row r="14707" spans="1:2" x14ac:dyDescent="0.2">
      <c r="A14707" s="12"/>
      <c r="B14707" s="13"/>
    </row>
    <row r="14708" spans="1:2" x14ac:dyDescent="0.2">
      <c r="A14708" s="12"/>
      <c r="B14708" s="13"/>
    </row>
    <row r="14709" spans="1:2" x14ac:dyDescent="0.2">
      <c r="A14709" s="12"/>
      <c r="B14709" s="13"/>
    </row>
    <row r="14710" spans="1:2" x14ac:dyDescent="0.2">
      <c r="A14710" s="12"/>
      <c r="B14710" s="13"/>
    </row>
    <row r="14711" spans="1:2" x14ac:dyDescent="0.2">
      <c r="A14711" s="12"/>
      <c r="B14711" s="13"/>
    </row>
    <row r="14712" spans="1:2" x14ac:dyDescent="0.2">
      <c r="A14712" s="12"/>
      <c r="B14712" s="13"/>
    </row>
    <row r="14713" spans="1:2" x14ac:dyDescent="0.2">
      <c r="A14713" s="12"/>
      <c r="B14713" s="13"/>
    </row>
    <row r="14714" spans="1:2" x14ac:dyDescent="0.2">
      <c r="A14714" s="12"/>
      <c r="B14714" s="13"/>
    </row>
    <row r="14715" spans="1:2" x14ac:dyDescent="0.2">
      <c r="A14715" s="12"/>
      <c r="B14715" s="13"/>
    </row>
    <row r="14716" spans="1:2" x14ac:dyDescent="0.2">
      <c r="A14716" s="12"/>
      <c r="B14716" s="13"/>
    </row>
    <row r="14717" spans="1:2" x14ac:dyDescent="0.2">
      <c r="A14717" s="12"/>
      <c r="B14717" s="13"/>
    </row>
    <row r="14718" spans="1:2" x14ac:dyDescent="0.2">
      <c r="A14718" s="12"/>
      <c r="B14718" s="13"/>
    </row>
    <row r="14719" spans="1:2" x14ac:dyDescent="0.2">
      <c r="A14719" s="12"/>
      <c r="B14719" s="13"/>
    </row>
    <row r="14720" spans="1:2" x14ac:dyDescent="0.2">
      <c r="A14720" s="12"/>
      <c r="B14720" s="13"/>
    </row>
    <row r="14721" spans="1:2" x14ac:dyDescent="0.2">
      <c r="A14721" s="12"/>
      <c r="B14721" s="13"/>
    </row>
    <row r="14722" spans="1:2" x14ac:dyDescent="0.2">
      <c r="A14722" s="12"/>
      <c r="B14722" s="13"/>
    </row>
    <row r="14723" spans="1:2" x14ac:dyDescent="0.2">
      <c r="A14723" s="12"/>
      <c r="B14723" s="13"/>
    </row>
    <row r="14724" spans="1:2" x14ac:dyDescent="0.2">
      <c r="A14724" s="12"/>
      <c r="B14724" s="13"/>
    </row>
    <row r="14725" spans="1:2" x14ac:dyDescent="0.2">
      <c r="A14725" s="12"/>
      <c r="B14725" s="13"/>
    </row>
    <row r="14726" spans="1:2" x14ac:dyDescent="0.2">
      <c r="A14726" s="12"/>
      <c r="B14726" s="13"/>
    </row>
    <row r="14727" spans="1:2" x14ac:dyDescent="0.2">
      <c r="A14727" s="12"/>
      <c r="B14727" s="13"/>
    </row>
    <row r="14728" spans="1:2" x14ac:dyDescent="0.2">
      <c r="A14728" s="12"/>
      <c r="B14728" s="13"/>
    </row>
    <row r="14729" spans="1:2" x14ac:dyDescent="0.2">
      <c r="A14729" s="12"/>
      <c r="B14729" s="13"/>
    </row>
    <row r="14730" spans="1:2" x14ac:dyDescent="0.2">
      <c r="A14730" s="12"/>
      <c r="B14730" s="13"/>
    </row>
    <row r="14731" spans="1:2" x14ac:dyDescent="0.2">
      <c r="A14731" s="12"/>
      <c r="B14731" s="13"/>
    </row>
    <row r="14732" spans="1:2" x14ac:dyDescent="0.2">
      <c r="A14732" s="12"/>
      <c r="B14732" s="13"/>
    </row>
    <row r="14733" spans="1:2" x14ac:dyDescent="0.2">
      <c r="A14733" s="12"/>
      <c r="B14733" s="13"/>
    </row>
    <row r="14734" spans="1:2" x14ac:dyDescent="0.2">
      <c r="A14734" s="12"/>
      <c r="B14734" s="13"/>
    </row>
    <row r="14735" spans="1:2" x14ac:dyDescent="0.2">
      <c r="A14735" s="12"/>
      <c r="B14735" s="13"/>
    </row>
    <row r="14736" spans="1:2" x14ac:dyDescent="0.2">
      <c r="A14736" s="12"/>
      <c r="B14736" s="13"/>
    </row>
    <row r="14737" spans="1:2" x14ac:dyDescent="0.2">
      <c r="A14737" s="12"/>
      <c r="B14737" s="13"/>
    </row>
    <row r="14738" spans="1:2" x14ac:dyDescent="0.2">
      <c r="A14738" s="12"/>
      <c r="B14738" s="13"/>
    </row>
    <row r="14739" spans="1:2" x14ac:dyDescent="0.2">
      <c r="A14739" s="12"/>
      <c r="B14739" s="13"/>
    </row>
    <row r="14740" spans="1:2" x14ac:dyDescent="0.2">
      <c r="A14740" s="12"/>
      <c r="B14740" s="13"/>
    </row>
    <row r="14741" spans="1:2" x14ac:dyDescent="0.2">
      <c r="A14741" s="12"/>
      <c r="B14741" s="13"/>
    </row>
    <row r="14742" spans="1:2" x14ac:dyDescent="0.2">
      <c r="A14742" s="12"/>
      <c r="B14742" s="13"/>
    </row>
    <row r="14743" spans="1:2" x14ac:dyDescent="0.2">
      <c r="A14743" s="12"/>
      <c r="B14743" s="13"/>
    </row>
    <row r="14744" spans="1:2" x14ac:dyDescent="0.2">
      <c r="A14744" s="12"/>
      <c r="B14744" s="13"/>
    </row>
    <row r="14745" spans="1:2" x14ac:dyDescent="0.2">
      <c r="A14745" s="12"/>
      <c r="B14745" s="13"/>
    </row>
    <row r="14746" spans="1:2" x14ac:dyDescent="0.2">
      <c r="A14746" s="12"/>
      <c r="B14746" s="13"/>
    </row>
    <row r="14747" spans="1:2" x14ac:dyDescent="0.2">
      <c r="A14747" s="12"/>
      <c r="B14747" s="13"/>
    </row>
    <row r="14748" spans="1:2" x14ac:dyDescent="0.2">
      <c r="A14748" s="12"/>
      <c r="B14748" s="13"/>
    </row>
    <row r="14749" spans="1:2" x14ac:dyDescent="0.2">
      <c r="A14749" s="12"/>
      <c r="B14749" s="13"/>
    </row>
    <row r="14750" spans="1:2" x14ac:dyDescent="0.2">
      <c r="A14750" s="12"/>
      <c r="B14750" s="13"/>
    </row>
    <row r="14751" spans="1:2" x14ac:dyDescent="0.2">
      <c r="A14751" s="12"/>
      <c r="B14751" s="13"/>
    </row>
    <row r="14752" spans="1:2" x14ac:dyDescent="0.2">
      <c r="A14752" s="12"/>
      <c r="B14752" s="13"/>
    </row>
    <row r="14753" spans="1:2" x14ac:dyDescent="0.2">
      <c r="A14753" s="12"/>
      <c r="B14753" s="13"/>
    </row>
    <row r="14754" spans="1:2" x14ac:dyDescent="0.2">
      <c r="A14754" s="12"/>
      <c r="B14754" s="13"/>
    </row>
    <row r="14755" spans="1:2" x14ac:dyDescent="0.2">
      <c r="A14755" s="12"/>
      <c r="B14755" s="13"/>
    </row>
    <row r="14756" spans="1:2" x14ac:dyDescent="0.2">
      <c r="A14756" s="12"/>
      <c r="B14756" s="13"/>
    </row>
    <row r="14757" spans="1:2" x14ac:dyDescent="0.2">
      <c r="A14757" s="12"/>
      <c r="B14757" s="13"/>
    </row>
    <row r="14758" spans="1:2" x14ac:dyDescent="0.2">
      <c r="A14758" s="12"/>
      <c r="B14758" s="13"/>
    </row>
    <row r="14759" spans="1:2" x14ac:dyDescent="0.2">
      <c r="A14759" s="12"/>
      <c r="B14759" s="13"/>
    </row>
    <row r="14760" spans="1:2" x14ac:dyDescent="0.2">
      <c r="A14760" s="12"/>
      <c r="B14760" s="13"/>
    </row>
    <row r="14761" spans="1:2" x14ac:dyDescent="0.2">
      <c r="A14761" s="12"/>
      <c r="B14761" s="13"/>
    </row>
    <row r="14762" spans="1:2" x14ac:dyDescent="0.2">
      <c r="A14762" s="12"/>
      <c r="B14762" s="13"/>
    </row>
    <row r="14763" spans="1:2" x14ac:dyDescent="0.2">
      <c r="A14763" s="12"/>
      <c r="B14763" s="13"/>
    </row>
    <row r="14764" spans="1:2" x14ac:dyDescent="0.2">
      <c r="A14764" s="12"/>
      <c r="B14764" s="13"/>
    </row>
    <row r="14765" spans="1:2" x14ac:dyDescent="0.2">
      <c r="A14765" s="12"/>
      <c r="B14765" s="13"/>
    </row>
    <row r="14766" spans="1:2" x14ac:dyDescent="0.2">
      <c r="A14766" s="12"/>
      <c r="B14766" s="13"/>
    </row>
    <row r="14767" spans="1:2" x14ac:dyDescent="0.2">
      <c r="A14767" s="12"/>
      <c r="B14767" s="13"/>
    </row>
    <row r="14768" spans="1:2" x14ac:dyDescent="0.2">
      <c r="A14768" s="12"/>
      <c r="B14768" s="13"/>
    </row>
    <row r="14769" spans="1:2" x14ac:dyDescent="0.2">
      <c r="A14769" s="12"/>
      <c r="B14769" s="13"/>
    </row>
    <row r="14770" spans="1:2" x14ac:dyDescent="0.2">
      <c r="A14770" s="12"/>
      <c r="B14770" s="13"/>
    </row>
    <row r="14771" spans="1:2" x14ac:dyDescent="0.2">
      <c r="A14771" s="12"/>
      <c r="B14771" s="13"/>
    </row>
    <row r="14772" spans="1:2" x14ac:dyDescent="0.2">
      <c r="A14772" s="12"/>
      <c r="B14772" s="13"/>
    </row>
    <row r="14773" spans="1:2" x14ac:dyDescent="0.2">
      <c r="A14773" s="12"/>
      <c r="B14773" s="13"/>
    </row>
    <row r="14774" spans="1:2" x14ac:dyDescent="0.2">
      <c r="A14774" s="12"/>
      <c r="B14774" s="13"/>
    </row>
    <row r="14775" spans="1:2" x14ac:dyDescent="0.2">
      <c r="A14775" s="12"/>
      <c r="B14775" s="13"/>
    </row>
    <row r="14776" spans="1:2" x14ac:dyDescent="0.2">
      <c r="A14776" s="12"/>
      <c r="B14776" s="13"/>
    </row>
    <row r="14777" spans="1:2" x14ac:dyDescent="0.2">
      <c r="A14777" s="12"/>
      <c r="B14777" s="13"/>
    </row>
    <row r="14778" spans="1:2" x14ac:dyDescent="0.2">
      <c r="A14778" s="12"/>
      <c r="B14778" s="13"/>
    </row>
    <row r="14779" spans="1:2" x14ac:dyDescent="0.2">
      <c r="A14779" s="12"/>
      <c r="B14779" s="13"/>
    </row>
    <row r="14780" spans="1:2" x14ac:dyDescent="0.2">
      <c r="A14780" s="12"/>
      <c r="B14780" s="13"/>
    </row>
    <row r="14781" spans="1:2" x14ac:dyDescent="0.2">
      <c r="A14781" s="12"/>
      <c r="B14781" s="13"/>
    </row>
    <row r="14782" spans="1:2" x14ac:dyDescent="0.2">
      <c r="A14782" s="12"/>
      <c r="B14782" s="13"/>
    </row>
    <row r="14783" spans="1:2" x14ac:dyDescent="0.2">
      <c r="A14783" s="12"/>
      <c r="B14783" s="13"/>
    </row>
    <row r="14784" spans="1:2" x14ac:dyDescent="0.2">
      <c r="A14784" s="12"/>
      <c r="B14784" s="13"/>
    </row>
    <row r="14785" spans="1:2" x14ac:dyDescent="0.2">
      <c r="A14785" s="12"/>
      <c r="B14785" s="13"/>
    </row>
    <row r="14786" spans="1:2" x14ac:dyDescent="0.2">
      <c r="A14786" s="12"/>
      <c r="B14786" s="13"/>
    </row>
    <row r="14787" spans="1:2" x14ac:dyDescent="0.2">
      <c r="A14787" s="12"/>
      <c r="B14787" s="13"/>
    </row>
    <row r="14788" spans="1:2" x14ac:dyDescent="0.2">
      <c r="A14788" s="12"/>
      <c r="B14788" s="13"/>
    </row>
    <row r="14789" spans="1:2" x14ac:dyDescent="0.2">
      <c r="A14789" s="12"/>
      <c r="B14789" s="13"/>
    </row>
    <row r="14790" spans="1:2" x14ac:dyDescent="0.2">
      <c r="A14790" s="12"/>
      <c r="B14790" s="13"/>
    </row>
    <row r="14791" spans="1:2" x14ac:dyDescent="0.2">
      <c r="A14791" s="12"/>
      <c r="B14791" s="13"/>
    </row>
    <row r="14792" spans="1:2" x14ac:dyDescent="0.2">
      <c r="A14792" s="12"/>
      <c r="B14792" s="13"/>
    </row>
    <row r="14793" spans="1:2" x14ac:dyDescent="0.2">
      <c r="A14793" s="12"/>
      <c r="B14793" s="13"/>
    </row>
    <row r="14794" spans="1:2" x14ac:dyDescent="0.2">
      <c r="A14794" s="12"/>
      <c r="B14794" s="13"/>
    </row>
    <row r="14795" spans="1:2" x14ac:dyDescent="0.2">
      <c r="A14795" s="12"/>
      <c r="B14795" s="13"/>
    </row>
    <row r="14796" spans="1:2" x14ac:dyDescent="0.2">
      <c r="A14796" s="12"/>
      <c r="B14796" s="13"/>
    </row>
    <row r="14797" spans="1:2" x14ac:dyDescent="0.2">
      <c r="A14797" s="12"/>
      <c r="B14797" s="13"/>
    </row>
    <row r="14798" spans="1:2" x14ac:dyDescent="0.2">
      <c r="A14798" s="12"/>
      <c r="B14798" s="13"/>
    </row>
    <row r="14799" spans="1:2" x14ac:dyDescent="0.2">
      <c r="A14799" s="12"/>
      <c r="B14799" s="13"/>
    </row>
    <row r="14800" spans="1:2" x14ac:dyDescent="0.2">
      <c r="A14800" s="12"/>
      <c r="B14800" s="13"/>
    </row>
    <row r="14801" spans="1:2" x14ac:dyDescent="0.2">
      <c r="A14801" s="12"/>
      <c r="B14801" s="13"/>
    </row>
    <row r="14802" spans="1:2" x14ac:dyDescent="0.2">
      <c r="A14802" s="12"/>
      <c r="B14802" s="13"/>
    </row>
    <row r="14803" spans="1:2" x14ac:dyDescent="0.2">
      <c r="A14803" s="12"/>
      <c r="B14803" s="13"/>
    </row>
    <row r="14804" spans="1:2" x14ac:dyDescent="0.2">
      <c r="A14804" s="12"/>
      <c r="B14804" s="13"/>
    </row>
    <row r="14805" spans="1:2" x14ac:dyDescent="0.2">
      <c r="A14805" s="12"/>
      <c r="B14805" s="13"/>
    </row>
    <row r="14806" spans="1:2" x14ac:dyDescent="0.2">
      <c r="A14806" s="12"/>
      <c r="B14806" s="13"/>
    </row>
    <row r="14807" spans="1:2" x14ac:dyDescent="0.2">
      <c r="A14807" s="12"/>
      <c r="B14807" s="13"/>
    </row>
    <row r="14808" spans="1:2" x14ac:dyDescent="0.2">
      <c r="A14808" s="12"/>
      <c r="B14808" s="13"/>
    </row>
    <row r="14809" spans="1:2" x14ac:dyDescent="0.2">
      <c r="A14809" s="12"/>
      <c r="B14809" s="13"/>
    </row>
    <row r="14810" spans="1:2" x14ac:dyDescent="0.2">
      <c r="A14810" s="12"/>
      <c r="B14810" s="13"/>
    </row>
    <row r="14811" spans="1:2" x14ac:dyDescent="0.2">
      <c r="A14811" s="12"/>
      <c r="B14811" s="13"/>
    </row>
    <row r="14812" spans="1:2" x14ac:dyDescent="0.2">
      <c r="A14812" s="12"/>
      <c r="B14812" s="13"/>
    </row>
    <row r="14813" spans="1:2" x14ac:dyDescent="0.2">
      <c r="A14813" s="12"/>
      <c r="B14813" s="13"/>
    </row>
    <row r="14814" spans="1:2" x14ac:dyDescent="0.2">
      <c r="A14814" s="12"/>
      <c r="B14814" s="13"/>
    </row>
    <row r="14815" spans="1:2" x14ac:dyDescent="0.2">
      <c r="A14815" s="12"/>
      <c r="B14815" s="13"/>
    </row>
    <row r="14816" spans="1:2" x14ac:dyDescent="0.2">
      <c r="A14816" s="12"/>
      <c r="B14816" s="13"/>
    </row>
    <row r="14817" spans="1:2" x14ac:dyDescent="0.2">
      <c r="A14817" s="12"/>
      <c r="B14817" s="13"/>
    </row>
    <row r="14818" spans="1:2" x14ac:dyDescent="0.2">
      <c r="A14818" s="12"/>
      <c r="B14818" s="13"/>
    </row>
    <row r="14819" spans="1:2" x14ac:dyDescent="0.2">
      <c r="A14819" s="12"/>
      <c r="B14819" s="13"/>
    </row>
    <row r="14820" spans="1:2" x14ac:dyDescent="0.2">
      <c r="A14820" s="12"/>
      <c r="B14820" s="13"/>
    </row>
    <row r="14821" spans="1:2" x14ac:dyDescent="0.2">
      <c r="A14821" s="12"/>
      <c r="B14821" s="13"/>
    </row>
    <row r="14822" spans="1:2" x14ac:dyDescent="0.2">
      <c r="A14822" s="12"/>
      <c r="B14822" s="13"/>
    </row>
    <row r="14823" spans="1:2" x14ac:dyDescent="0.2">
      <c r="A14823" s="12"/>
      <c r="B14823" s="13"/>
    </row>
    <row r="14824" spans="1:2" x14ac:dyDescent="0.2">
      <c r="A14824" s="12"/>
      <c r="B14824" s="13"/>
    </row>
    <row r="14825" spans="1:2" x14ac:dyDescent="0.2">
      <c r="A14825" s="12"/>
      <c r="B14825" s="13"/>
    </row>
    <row r="14826" spans="1:2" x14ac:dyDescent="0.2">
      <c r="A14826" s="12"/>
      <c r="B14826" s="13"/>
    </row>
    <row r="14827" spans="1:2" x14ac:dyDescent="0.2">
      <c r="A14827" s="12"/>
      <c r="B14827" s="13"/>
    </row>
    <row r="14828" spans="1:2" x14ac:dyDescent="0.2">
      <c r="A14828" s="12"/>
      <c r="B14828" s="13"/>
    </row>
    <row r="14829" spans="1:2" x14ac:dyDescent="0.2">
      <c r="A14829" s="12"/>
      <c r="B14829" s="13"/>
    </row>
    <row r="14830" spans="1:2" x14ac:dyDescent="0.2">
      <c r="A14830" s="12"/>
      <c r="B14830" s="13"/>
    </row>
    <row r="14831" spans="1:2" x14ac:dyDescent="0.2">
      <c r="A14831" s="12"/>
      <c r="B14831" s="13"/>
    </row>
    <row r="14832" spans="1:2" x14ac:dyDescent="0.2">
      <c r="A14832" s="12"/>
      <c r="B14832" s="13"/>
    </row>
    <row r="14833" spans="1:2" x14ac:dyDescent="0.2">
      <c r="A14833" s="12"/>
      <c r="B14833" s="13"/>
    </row>
    <row r="14834" spans="1:2" x14ac:dyDescent="0.2">
      <c r="A14834" s="12"/>
      <c r="B14834" s="13"/>
    </row>
    <row r="14835" spans="1:2" x14ac:dyDescent="0.2">
      <c r="A14835" s="12"/>
      <c r="B14835" s="13"/>
    </row>
    <row r="14836" spans="1:2" x14ac:dyDescent="0.2">
      <c r="A14836" s="12"/>
      <c r="B14836" s="13"/>
    </row>
    <row r="14837" spans="1:2" x14ac:dyDescent="0.2">
      <c r="A14837" s="12"/>
      <c r="B14837" s="13"/>
    </row>
    <row r="14838" spans="1:2" x14ac:dyDescent="0.2">
      <c r="A14838" s="12"/>
      <c r="B14838" s="13"/>
    </row>
    <row r="14839" spans="1:2" x14ac:dyDescent="0.2">
      <c r="A14839" s="12"/>
      <c r="B14839" s="13"/>
    </row>
    <row r="14840" spans="1:2" x14ac:dyDescent="0.2">
      <c r="A14840" s="12"/>
      <c r="B14840" s="13"/>
    </row>
    <row r="14841" spans="1:2" x14ac:dyDescent="0.2">
      <c r="A14841" s="12"/>
      <c r="B14841" s="13"/>
    </row>
    <row r="14842" spans="1:2" x14ac:dyDescent="0.2">
      <c r="A14842" s="12"/>
      <c r="B14842" s="13"/>
    </row>
    <row r="14843" spans="1:2" x14ac:dyDescent="0.2">
      <c r="A14843" s="12"/>
      <c r="B14843" s="13"/>
    </row>
    <row r="14844" spans="1:2" x14ac:dyDescent="0.2">
      <c r="A14844" s="12"/>
      <c r="B14844" s="13"/>
    </row>
    <row r="14845" spans="1:2" x14ac:dyDescent="0.2">
      <c r="A14845" s="12"/>
      <c r="B14845" s="13"/>
    </row>
    <row r="14846" spans="1:2" x14ac:dyDescent="0.2">
      <c r="A14846" s="12"/>
      <c r="B14846" s="13"/>
    </row>
    <row r="14847" spans="1:2" x14ac:dyDescent="0.2">
      <c r="A14847" s="12"/>
      <c r="B14847" s="13"/>
    </row>
    <row r="14848" spans="1:2" x14ac:dyDescent="0.2">
      <c r="A14848" s="12"/>
      <c r="B14848" s="13"/>
    </row>
    <row r="14849" spans="1:2" x14ac:dyDescent="0.2">
      <c r="A14849" s="12"/>
      <c r="B14849" s="13"/>
    </row>
    <row r="14850" spans="1:2" x14ac:dyDescent="0.2">
      <c r="A14850" s="12"/>
      <c r="B14850" s="13"/>
    </row>
    <row r="14851" spans="1:2" x14ac:dyDescent="0.2">
      <c r="A14851" s="12"/>
      <c r="B14851" s="13"/>
    </row>
    <row r="14852" spans="1:2" x14ac:dyDescent="0.2">
      <c r="A14852" s="12"/>
      <c r="B14852" s="13"/>
    </row>
    <row r="14853" spans="1:2" x14ac:dyDescent="0.2">
      <c r="A14853" s="12"/>
      <c r="B14853" s="13"/>
    </row>
    <row r="14854" spans="1:2" x14ac:dyDescent="0.2">
      <c r="A14854" s="12"/>
      <c r="B14854" s="13"/>
    </row>
    <row r="14855" spans="1:2" x14ac:dyDescent="0.2">
      <c r="A14855" s="12"/>
      <c r="B14855" s="13"/>
    </row>
    <row r="14856" spans="1:2" x14ac:dyDescent="0.2">
      <c r="A14856" s="12"/>
      <c r="B14856" s="13"/>
    </row>
    <row r="14857" spans="1:2" x14ac:dyDescent="0.2">
      <c r="A14857" s="12"/>
      <c r="B14857" s="13"/>
    </row>
    <row r="14858" spans="1:2" x14ac:dyDescent="0.2">
      <c r="A14858" s="12"/>
      <c r="B14858" s="13"/>
    </row>
    <row r="14859" spans="1:2" x14ac:dyDescent="0.2">
      <c r="A14859" s="12"/>
      <c r="B14859" s="13"/>
    </row>
    <row r="14860" spans="1:2" x14ac:dyDescent="0.2">
      <c r="A14860" s="12"/>
      <c r="B14860" s="13"/>
    </row>
    <row r="14861" spans="1:2" x14ac:dyDescent="0.2">
      <c r="A14861" s="12"/>
      <c r="B14861" s="13"/>
    </row>
    <row r="14862" spans="1:2" x14ac:dyDescent="0.2">
      <c r="A14862" s="12"/>
      <c r="B14862" s="13"/>
    </row>
    <row r="14863" spans="1:2" x14ac:dyDescent="0.2">
      <c r="A14863" s="12"/>
      <c r="B14863" s="13"/>
    </row>
    <row r="14864" spans="1:2" x14ac:dyDescent="0.2">
      <c r="A14864" s="12"/>
      <c r="B14864" s="13"/>
    </row>
    <row r="14865" spans="1:2" x14ac:dyDescent="0.2">
      <c r="A14865" s="12"/>
      <c r="B14865" s="13"/>
    </row>
    <row r="14866" spans="1:2" x14ac:dyDescent="0.2">
      <c r="A14866" s="12"/>
      <c r="B14866" s="13"/>
    </row>
    <row r="14867" spans="1:2" x14ac:dyDescent="0.2">
      <c r="A14867" s="12"/>
      <c r="B14867" s="13"/>
    </row>
    <row r="14868" spans="1:2" x14ac:dyDescent="0.2">
      <c r="A14868" s="12"/>
      <c r="B14868" s="13"/>
    </row>
    <row r="14869" spans="1:2" x14ac:dyDescent="0.2">
      <c r="A14869" s="12"/>
      <c r="B14869" s="13"/>
    </row>
    <row r="14870" spans="1:2" x14ac:dyDescent="0.2">
      <c r="A14870" s="12"/>
      <c r="B14870" s="13"/>
    </row>
    <row r="14871" spans="1:2" x14ac:dyDescent="0.2">
      <c r="A14871" s="12"/>
      <c r="B14871" s="13"/>
    </row>
    <row r="14872" spans="1:2" x14ac:dyDescent="0.2">
      <c r="A14872" s="12"/>
      <c r="B14872" s="13"/>
    </row>
    <row r="14873" spans="1:2" x14ac:dyDescent="0.2">
      <c r="A14873" s="12"/>
      <c r="B14873" s="13"/>
    </row>
    <row r="14874" spans="1:2" x14ac:dyDescent="0.2">
      <c r="A14874" s="12"/>
      <c r="B14874" s="13"/>
    </row>
    <row r="14875" spans="1:2" x14ac:dyDescent="0.2">
      <c r="A14875" s="12"/>
      <c r="B14875" s="13"/>
    </row>
    <row r="14876" spans="1:2" x14ac:dyDescent="0.2">
      <c r="A14876" s="12"/>
      <c r="B14876" s="13"/>
    </row>
    <row r="14877" spans="1:2" x14ac:dyDescent="0.2">
      <c r="A14877" s="12"/>
      <c r="B14877" s="13"/>
    </row>
    <row r="14878" spans="1:2" x14ac:dyDescent="0.2">
      <c r="A14878" s="12"/>
      <c r="B14878" s="13"/>
    </row>
    <row r="14879" spans="1:2" x14ac:dyDescent="0.2">
      <c r="A14879" s="12"/>
      <c r="B14879" s="13"/>
    </row>
    <row r="14880" spans="1:2" x14ac:dyDescent="0.2">
      <c r="A14880" s="12"/>
      <c r="B14880" s="13"/>
    </row>
    <row r="14881" spans="1:2" x14ac:dyDescent="0.2">
      <c r="A14881" s="12"/>
      <c r="B14881" s="13"/>
    </row>
    <row r="14882" spans="1:2" x14ac:dyDescent="0.2">
      <c r="A14882" s="12"/>
      <c r="B14882" s="13"/>
    </row>
    <row r="14883" spans="1:2" x14ac:dyDescent="0.2">
      <c r="A14883" s="12"/>
      <c r="B14883" s="13"/>
    </row>
    <row r="14884" spans="1:2" x14ac:dyDescent="0.2">
      <c r="A14884" s="12"/>
      <c r="B14884" s="13"/>
    </row>
    <row r="14885" spans="1:2" x14ac:dyDescent="0.2">
      <c r="A14885" s="12"/>
      <c r="B14885" s="13"/>
    </row>
    <row r="14886" spans="1:2" x14ac:dyDescent="0.2">
      <c r="A14886" s="12"/>
      <c r="B14886" s="13"/>
    </row>
    <row r="14887" spans="1:2" x14ac:dyDescent="0.2">
      <c r="A14887" s="12"/>
      <c r="B14887" s="13"/>
    </row>
    <row r="14888" spans="1:2" x14ac:dyDescent="0.2">
      <c r="A14888" s="12"/>
      <c r="B14888" s="13"/>
    </row>
    <row r="14889" spans="1:2" x14ac:dyDescent="0.2">
      <c r="A14889" s="12"/>
      <c r="B14889" s="13"/>
    </row>
    <row r="14890" spans="1:2" x14ac:dyDescent="0.2">
      <c r="A14890" s="12"/>
      <c r="B14890" s="13"/>
    </row>
    <row r="14891" spans="1:2" x14ac:dyDescent="0.2">
      <c r="A14891" s="12"/>
      <c r="B14891" s="13"/>
    </row>
    <row r="14892" spans="1:2" x14ac:dyDescent="0.2">
      <c r="A14892" s="12"/>
      <c r="B14892" s="13"/>
    </row>
    <row r="14893" spans="1:2" x14ac:dyDescent="0.2">
      <c r="A14893" s="12"/>
      <c r="B14893" s="13"/>
    </row>
    <row r="14894" spans="1:2" x14ac:dyDescent="0.2">
      <c r="A14894" s="12"/>
      <c r="B14894" s="13"/>
    </row>
    <row r="14895" spans="1:2" x14ac:dyDescent="0.2">
      <c r="A14895" s="12"/>
      <c r="B14895" s="13"/>
    </row>
    <row r="14896" spans="1:2" x14ac:dyDescent="0.2">
      <c r="A14896" s="12"/>
      <c r="B14896" s="13"/>
    </row>
    <row r="14897" spans="1:2" x14ac:dyDescent="0.2">
      <c r="A14897" s="12"/>
      <c r="B14897" s="13"/>
    </row>
    <row r="14898" spans="1:2" x14ac:dyDescent="0.2">
      <c r="A14898" s="12"/>
      <c r="B14898" s="13"/>
    </row>
    <row r="14899" spans="1:2" x14ac:dyDescent="0.2">
      <c r="A14899" s="12"/>
      <c r="B14899" s="13"/>
    </row>
    <row r="14900" spans="1:2" x14ac:dyDescent="0.2">
      <c r="A14900" s="12"/>
      <c r="B14900" s="13"/>
    </row>
    <row r="14901" spans="1:2" x14ac:dyDescent="0.2">
      <c r="A14901" s="12"/>
      <c r="B14901" s="13"/>
    </row>
    <row r="14902" spans="1:2" x14ac:dyDescent="0.2">
      <c r="A14902" s="12"/>
      <c r="B14902" s="13"/>
    </row>
    <row r="14903" spans="1:2" x14ac:dyDescent="0.2">
      <c r="A14903" s="12"/>
      <c r="B14903" s="13"/>
    </row>
    <row r="14904" spans="1:2" x14ac:dyDescent="0.2">
      <c r="A14904" s="12"/>
      <c r="B14904" s="13"/>
    </row>
    <row r="14905" spans="1:2" x14ac:dyDescent="0.2">
      <c r="A14905" s="12"/>
      <c r="B14905" s="13"/>
    </row>
    <row r="14906" spans="1:2" x14ac:dyDescent="0.2">
      <c r="A14906" s="12"/>
      <c r="B14906" s="13"/>
    </row>
    <row r="14907" spans="1:2" x14ac:dyDescent="0.2">
      <c r="A14907" s="12"/>
      <c r="B14907" s="13"/>
    </row>
    <row r="14908" spans="1:2" x14ac:dyDescent="0.2">
      <c r="A14908" s="12"/>
      <c r="B14908" s="13"/>
    </row>
    <row r="14909" spans="1:2" x14ac:dyDescent="0.2">
      <c r="A14909" s="12"/>
      <c r="B14909" s="13"/>
    </row>
    <row r="14910" spans="1:2" x14ac:dyDescent="0.2">
      <c r="A14910" s="12"/>
      <c r="B14910" s="13"/>
    </row>
    <row r="14911" spans="1:2" x14ac:dyDescent="0.2">
      <c r="A14911" s="12"/>
      <c r="B14911" s="13"/>
    </row>
    <row r="14912" spans="1:2" x14ac:dyDescent="0.2">
      <c r="A14912" s="12"/>
      <c r="B14912" s="13"/>
    </row>
    <row r="14913" spans="1:2" x14ac:dyDescent="0.2">
      <c r="A14913" s="12"/>
      <c r="B14913" s="13"/>
    </row>
    <row r="14914" spans="1:2" x14ac:dyDescent="0.2">
      <c r="A14914" s="12"/>
      <c r="B14914" s="13"/>
    </row>
    <row r="14915" spans="1:2" x14ac:dyDescent="0.2">
      <c r="A14915" s="12"/>
      <c r="B14915" s="13"/>
    </row>
    <row r="14916" spans="1:2" x14ac:dyDescent="0.2">
      <c r="A14916" s="12"/>
      <c r="B14916" s="13"/>
    </row>
    <row r="14917" spans="1:2" x14ac:dyDescent="0.2">
      <c r="A14917" s="12"/>
      <c r="B14917" s="13"/>
    </row>
    <row r="14918" spans="1:2" x14ac:dyDescent="0.2">
      <c r="A14918" s="12"/>
      <c r="B14918" s="13"/>
    </row>
    <row r="14919" spans="1:2" x14ac:dyDescent="0.2">
      <c r="A14919" s="12"/>
      <c r="B14919" s="13"/>
    </row>
    <row r="14920" spans="1:2" x14ac:dyDescent="0.2">
      <c r="A14920" s="12"/>
      <c r="B14920" s="13"/>
    </row>
    <row r="14921" spans="1:2" x14ac:dyDescent="0.2">
      <c r="A14921" s="12"/>
      <c r="B14921" s="13"/>
    </row>
    <row r="14922" spans="1:2" x14ac:dyDescent="0.2">
      <c r="A14922" s="12"/>
      <c r="B14922" s="13"/>
    </row>
    <row r="14923" spans="1:2" x14ac:dyDescent="0.2">
      <c r="A14923" s="12"/>
      <c r="B14923" s="13"/>
    </row>
    <row r="14924" spans="1:2" x14ac:dyDescent="0.2">
      <c r="A14924" s="12"/>
      <c r="B14924" s="13"/>
    </row>
    <row r="14925" spans="1:2" x14ac:dyDescent="0.2">
      <c r="A14925" s="12"/>
      <c r="B14925" s="13"/>
    </row>
    <row r="14926" spans="1:2" x14ac:dyDescent="0.2">
      <c r="A14926" s="12"/>
      <c r="B14926" s="13"/>
    </row>
    <row r="14927" spans="1:2" x14ac:dyDescent="0.2">
      <c r="A14927" s="12"/>
      <c r="B14927" s="13"/>
    </row>
    <row r="14928" spans="1:2" x14ac:dyDescent="0.2">
      <c r="A14928" s="12"/>
      <c r="B14928" s="13"/>
    </row>
    <row r="14929" spans="1:2" x14ac:dyDescent="0.2">
      <c r="A14929" s="12"/>
      <c r="B14929" s="13"/>
    </row>
    <row r="14930" spans="1:2" x14ac:dyDescent="0.2">
      <c r="A14930" s="12"/>
      <c r="B14930" s="13"/>
    </row>
    <row r="14931" spans="1:2" x14ac:dyDescent="0.2">
      <c r="A14931" s="12"/>
      <c r="B14931" s="13"/>
    </row>
    <row r="14932" spans="1:2" x14ac:dyDescent="0.2">
      <c r="A14932" s="12"/>
      <c r="B14932" s="13"/>
    </row>
    <row r="14933" spans="1:2" x14ac:dyDescent="0.2">
      <c r="A14933" s="12"/>
      <c r="B14933" s="13"/>
    </row>
    <row r="14934" spans="1:2" x14ac:dyDescent="0.2">
      <c r="A14934" s="12"/>
      <c r="B14934" s="13"/>
    </row>
    <row r="14935" spans="1:2" x14ac:dyDescent="0.2">
      <c r="A14935" s="12"/>
      <c r="B14935" s="13"/>
    </row>
    <row r="14936" spans="1:2" x14ac:dyDescent="0.2">
      <c r="A14936" s="12"/>
      <c r="B14936" s="13"/>
    </row>
    <row r="14937" spans="1:2" x14ac:dyDescent="0.2">
      <c r="A14937" s="12"/>
      <c r="B14937" s="13"/>
    </row>
    <row r="14938" spans="1:2" x14ac:dyDescent="0.2">
      <c r="A14938" s="12"/>
      <c r="B14938" s="13"/>
    </row>
    <row r="14939" spans="1:2" x14ac:dyDescent="0.2">
      <c r="A14939" s="12"/>
      <c r="B14939" s="13"/>
    </row>
    <row r="14940" spans="1:2" x14ac:dyDescent="0.2">
      <c r="A14940" s="12"/>
      <c r="B14940" s="13"/>
    </row>
    <row r="14941" spans="1:2" x14ac:dyDescent="0.2">
      <c r="A14941" s="12"/>
      <c r="B14941" s="13"/>
    </row>
    <row r="14942" spans="1:2" x14ac:dyDescent="0.2">
      <c r="A14942" s="12"/>
      <c r="B14942" s="13"/>
    </row>
    <row r="14943" spans="1:2" x14ac:dyDescent="0.2">
      <c r="A14943" s="12"/>
      <c r="B14943" s="13"/>
    </row>
    <row r="14944" spans="1:2" x14ac:dyDescent="0.2">
      <c r="A14944" s="12"/>
      <c r="B14944" s="13"/>
    </row>
    <row r="14945" spans="1:2" x14ac:dyDescent="0.2">
      <c r="A14945" s="12"/>
      <c r="B14945" s="13"/>
    </row>
    <row r="14946" spans="1:2" x14ac:dyDescent="0.2">
      <c r="A14946" s="12"/>
      <c r="B14946" s="13"/>
    </row>
    <row r="14947" spans="1:2" x14ac:dyDescent="0.2">
      <c r="A14947" s="12"/>
      <c r="B14947" s="13"/>
    </row>
    <row r="14948" spans="1:2" x14ac:dyDescent="0.2">
      <c r="A14948" s="12"/>
      <c r="B14948" s="13"/>
    </row>
    <row r="14949" spans="1:2" x14ac:dyDescent="0.2">
      <c r="A14949" s="12"/>
      <c r="B14949" s="13"/>
    </row>
    <row r="14950" spans="1:2" x14ac:dyDescent="0.2">
      <c r="A14950" s="12"/>
      <c r="B14950" s="13"/>
    </row>
    <row r="14951" spans="1:2" x14ac:dyDescent="0.2">
      <c r="A14951" s="12"/>
      <c r="B14951" s="13"/>
    </row>
    <row r="14952" spans="1:2" x14ac:dyDescent="0.2">
      <c r="A14952" s="12"/>
      <c r="B14952" s="13"/>
    </row>
    <row r="14953" spans="1:2" x14ac:dyDescent="0.2">
      <c r="A14953" s="12"/>
      <c r="B14953" s="13"/>
    </row>
    <row r="14954" spans="1:2" x14ac:dyDescent="0.2">
      <c r="A14954" s="12"/>
      <c r="B14954" s="13"/>
    </row>
    <row r="14955" spans="1:2" x14ac:dyDescent="0.2">
      <c r="A14955" s="12"/>
      <c r="B14955" s="13"/>
    </row>
    <row r="14956" spans="1:2" x14ac:dyDescent="0.2">
      <c r="A14956" s="12"/>
      <c r="B14956" s="13"/>
    </row>
    <row r="14957" spans="1:2" x14ac:dyDescent="0.2">
      <c r="A14957" s="12"/>
      <c r="B14957" s="13"/>
    </row>
    <row r="14958" spans="1:2" x14ac:dyDescent="0.2">
      <c r="A14958" s="12"/>
      <c r="B14958" s="13"/>
    </row>
    <row r="14959" spans="1:2" x14ac:dyDescent="0.2">
      <c r="A14959" s="12"/>
      <c r="B14959" s="13"/>
    </row>
    <row r="14960" spans="1:2" x14ac:dyDescent="0.2">
      <c r="A14960" s="12"/>
      <c r="B14960" s="13"/>
    </row>
    <row r="14961" spans="1:2" x14ac:dyDescent="0.2">
      <c r="A14961" s="12"/>
      <c r="B14961" s="13"/>
    </row>
    <row r="14962" spans="1:2" x14ac:dyDescent="0.2">
      <c r="A14962" s="12"/>
      <c r="B14962" s="13"/>
    </row>
    <row r="14963" spans="1:2" x14ac:dyDescent="0.2">
      <c r="A14963" s="12"/>
      <c r="B14963" s="13"/>
    </row>
    <row r="14964" spans="1:2" x14ac:dyDescent="0.2">
      <c r="A14964" s="12"/>
      <c r="B14964" s="13"/>
    </row>
    <row r="14965" spans="1:2" x14ac:dyDescent="0.2">
      <c r="A14965" s="12"/>
      <c r="B14965" s="13"/>
    </row>
    <row r="14966" spans="1:2" x14ac:dyDescent="0.2">
      <c r="A14966" s="12"/>
      <c r="B14966" s="13"/>
    </row>
    <row r="14967" spans="1:2" x14ac:dyDescent="0.2">
      <c r="A14967" s="12"/>
      <c r="B14967" s="13"/>
    </row>
    <row r="14968" spans="1:2" x14ac:dyDescent="0.2">
      <c r="A14968" s="12"/>
      <c r="B14968" s="13"/>
    </row>
    <row r="14969" spans="1:2" x14ac:dyDescent="0.2">
      <c r="A14969" s="12"/>
      <c r="B14969" s="13"/>
    </row>
    <row r="14970" spans="1:2" x14ac:dyDescent="0.2">
      <c r="A14970" s="12"/>
      <c r="B14970" s="13"/>
    </row>
    <row r="14971" spans="1:2" x14ac:dyDescent="0.2">
      <c r="A14971" s="12"/>
      <c r="B14971" s="13"/>
    </row>
    <row r="14972" spans="1:2" x14ac:dyDescent="0.2">
      <c r="A14972" s="12"/>
      <c r="B14972" s="13"/>
    </row>
    <row r="14973" spans="1:2" x14ac:dyDescent="0.2">
      <c r="A14973" s="12"/>
      <c r="B14973" s="13"/>
    </row>
    <row r="14974" spans="1:2" x14ac:dyDescent="0.2">
      <c r="A14974" s="12"/>
      <c r="B14974" s="13"/>
    </row>
    <row r="14975" spans="1:2" x14ac:dyDescent="0.2">
      <c r="A14975" s="12"/>
      <c r="B14975" s="13"/>
    </row>
    <row r="14976" spans="1:2" x14ac:dyDescent="0.2">
      <c r="A14976" s="12"/>
      <c r="B14976" s="13"/>
    </row>
    <row r="14977" spans="1:2" x14ac:dyDescent="0.2">
      <c r="A14977" s="12"/>
      <c r="B14977" s="13"/>
    </row>
    <row r="14978" spans="1:2" x14ac:dyDescent="0.2">
      <c r="A14978" s="12"/>
      <c r="B14978" s="13"/>
    </row>
    <row r="14979" spans="1:2" x14ac:dyDescent="0.2">
      <c r="A14979" s="12"/>
      <c r="B14979" s="13"/>
    </row>
    <row r="14980" spans="1:2" x14ac:dyDescent="0.2">
      <c r="A14980" s="12"/>
      <c r="B14980" s="13"/>
    </row>
    <row r="14981" spans="1:2" x14ac:dyDescent="0.2">
      <c r="A14981" s="12"/>
      <c r="B14981" s="13"/>
    </row>
    <row r="14982" spans="1:2" x14ac:dyDescent="0.2">
      <c r="A14982" s="12"/>
      <c r="B14982" s="13"/>
    </row>
    <row r="14983" spans="1:2" x14ac:dyDescent="0.2">
      <c r="A14983" s="12"/>
      <c r="B14983" s="13"/>
    </row>
    <row r="14984" spans="1:2" x14ac:dyDescent="0.2">
      <c r="A14984" s="12"/>
      <c r="B14984" s="13"/>
    </row>
    <row r="14985" spans="1:2" x14ac:dyDescent="0.2">
      <c r="A14985" s="12"/>
      <c r="B14985" s="13"/>
    </row>
    <row r="14986" spans="1:2" x14ac:dyDescent="0.2">
      <c r="A14986" s="12"/>
      <c r="B14986" s="13"/>
    </row>
    <row r="14987" spans="1:2" x14ac:dyDescent="0.2">
      <c r="A14987" s="12"/>
      <c r="B14987" s="13"/>
    </row>
    <row r="14988" spans="1:2" x14ac:dyDescent="0.2">
      <c r="A14988" s="12"/>
      <c r="B14988" s="13"/>
    </row>
    <row r="14989" spans="1:2" x14ac:dyDescent="0.2">
      <c r="A14989" s="12"/>
      <c r="B14989" s="13"/>
    </row>
    <row r="14990" spans="1:2" x14ac:dyDescent="0.2">
      <c r="A14990" s="12"/>
      <c r="B14990" s="13"/>
    </row>
    <row r="14991" spans="1:2" x14ac:dyDescent="0.2">
      <c r="A14991" s="12"/>
      <c r="B14991" s="13"/>
    </row>
    <row r="14992" spans="1:2" x14ac:dyDescent="0.2">
      <c r="A14992" s="12"/>
      <c r="B14992" s="13"/>
    </row>
    <row r="14993" spans="1:2" x14ac:dyDescent="0.2">
      <c r="A14993" s="12"/>
      <c r="B14993" s="13"/>
    </row>
    <row r="14994" spans="1:2" x14ac:dyDescent="0.2">
      <c r="A14994" s="12"/>
      <c r="B14994" s="13"/>
    </row>
    <row r="14995" spans="1:2" x14ac:dyDescent="0.2">
      <c r="A14995" s="12"/>
      <c r="B14995" s="13"/>
    </row>
    <row r="14996" spans="1:2" x14ac:dyDescent="0.2">
      <c r="A14996" s="12"/>
      <c r="B14996" s="13"/>
    </row>
    <row r="14997" spans="1:2" x14ac:dyDescent="0.2">
      <c r="A14997" s="12"/>
      <c r="B14997" s="13"/>
    </row>
    <row r="14998" spans="1:2" x14ac:dyDescent="0.2">
      <c r="A14998" s="12"/>
      <c r="B14998" s="13"/>
    </row>
    <row r="14999" spans="1:2" x14ac:dyDescent="0.2">
      <c r="A14999" s="12"/>
      <c r="B14999" s="13"/>
    </row>
    <row r="15000" spans="1:2" x14ac:dyDescent="0.2">
      <c r="A15000" s="12"/>
      <c r="B15000" s="13"/>
    </row>
    <row r="15001" spans="1:2" x14ac:dyDescent="0.2">
      <c r="A15001" s="12"/>
      <c r="B15001" s="13"/>
    </row>
    <row r="15002" spans="1:2" x14ac:dyDescent="0.2">
      <c r="A15002" s="12"/>
      <c r="B15002" s="13"/>
    </row>
    <row r="15003" spans="1:2" x14ac:dyDescent="0.2">
      <c r="A15003" s="12"/>
      <c r="B15003" s="13"/>
    </row>
    <row r="15004" spans="1:2" x14ac:dyDescent="0.2">
      <c r="A15004" s="12"/>
      <c r="B15004" s="13"/>
    </row>
    <row r="15005" spans="1:2" x14ac:dyDescent="0.2">
      <c r="A15005" s="12"/>
      <c r="B15005" s="13"/>
    </row>
    <row r="15006" spans="1:2" x14ac:dyDescent="0.2">
      <c r="A15006" s="12"/>
      <c r="B15006" s="13"/>
    </row>
    <row r="15007" spans="1:2" x14ac:dyDescent="0.2">
      <c r="A15007" s="12"/>
      <c r="B15007" s="13"/>
    </row>
    <row r="15008" spans="1:2" x14ac:dyDescent="0.2">
      <c r="A15008" s="12"/>
      <c r="B15008" s="13"/>
    </row>
    <row r="15009" spans="1:2" x14ac:dyDescent="0.2">
      <c r="A15009" s="12"/>
      <c r="B15009" s="13"/>
    </row>
    <row r="15010" spans="1:2" x14ac:dyDescent="0.2">
      <c r="A15010" s="12"/>
      <c r="B15010" s="13"/>
    </row>
    <row r="15011" spans="1:2" x14ac:dyDescent="0.2">
      <c r="A15011" s="12"/>
      <c r="B15011" s="13"/>
    </row>
    <row r="15012" spans="1:2" x14ac:dyDescent="0.2">
      <c r="A15012" s="12"/>
      <c r="B15012" s="13"/>
    </row>
    <row r="15013" spans="1:2" x14ac:dyDescent="0.2">
      <c r="A15013" s="12"/>
      <c r="B15013" s="13"/>
    </row>
    <row r="15014" spans="1:2" x14ac:dyDescent="0.2">
      <c r="A15014" s="12"/>
      <c r="B15014" s="13"/>
    </row>
    <row r="15015" spans="1:2" x14ac:dyDescent="0.2">
      <c r="A15015" s="12"/>
      <c r="B15015" s="13"/>
    </row>
    <row r="15016" spans="1:2" x14ac:dyDescent="0.2">
      <c r="A15016" s="12"/>
      <c r="B15016" s="13"/>
    </row>
    <row r="15017" spans="1:2" x14ac:dyDescent="0.2">
      <c r="A15017" s="12"/>
      <c r="B15017" s="13"/>
    </row>
    <row r="15018" spans="1:2" x14ac:dyDescent="0.2">
      <c r="A15018" s="12"/>
      <c r="B15018" s="13"/>
    </row>
    <row r="15019" spans="1:2" x14ac:dyDescent="0.2">
      <c r="A15019" s="12"/>
      <c r="B15019" s="13"/>
    </row>
    <row r="15020" spans="1:2" x14ac:dyDescent="0.2">
      <c r="A15020" s="12"/>
      <c r="B15020" s="13"/>
    </row>
    <row r="15021" spans="1:2" x14ac:dyDescent="0.2">
      <c r="A15021" s="12"/>
      <c r="B15021" s="13"/>
    </row>
    <row r="15022" spans="1:2" x14ac:dyDescent="0.2">
      <c r="A15022" s="12"/>
      <c r="B15022" s="13"/>
    </row>
    <row r="15023" spans="1:2" x14ac:dyDescent="0.2">
      <c r="A15023" s="12"/>
      <c r="B15023" s="13"/>
    </row>
    <row r="15024" spans="1:2" x14ac:dyDescent="0.2">
      <c r="A15024" s="12"/>
      <c r="B15024" s="13"/>
    </row>
    <row r="15025" spans="1:2" x14ac:dyDescent="0.2">
      <c r="A15025" s="12"/>
      <c r="B15025" s="13"/>
    </row>
    <row r="15026" spans="1:2" x14ac:dyDescent="0.2">
      <c r="A15026" s="12"/>
      <c r="B15026" s="13"/>
    </row>
    <row r="15027" spans="1:2" x14ac:dyDescent="0.2">
      <c r="A15027" s="12"/>
      <c r="B15027" s="13"/>
    </row>
    <row r="15028" spans="1:2" x14ac:dyDescent="0.2">
      <c r="A15028" s="12"/>
      <c r="B15028" s="13"/>
    </row>
    <row r="15029" spans="1:2" x14ac:dyDescent="0.2">
      <c r="A15029" s="12"/>
      <c r="B15029" s="13"/>
    </row>
    <row r="15030" spans="1:2" x14ac:dyDescent="0.2">
      <c r="A15030" s="12"/>
      <c r="B15030" s="13"/>
    </row>
    <row r="15031" spans="1:2" x14ac:dyDescent="0.2">
      <c r="A15031" s="12"/>
      <c r="B15031" s="13"/>
    </row>
    <row r="15032" spans="1:2" x14ac:dyDescent="0.2">
      <c r="A15032" s="12"/>
      <c r="B15032" s="13"/>
    </row>
    <row r="15033" spans="1:2" x14ac:dyDescent="0.2">
      <c r="A15033" s="12"/>
      <c r="B15033" s="13"/>
    </row>
    <row r="15034" spans="1:2" x14ac:dyDescent="0.2">
      <c r="A15034" s="12"/>
      <c r="B15034" s="13"/>
    </row>
    <row r="15035" spans="1:2" x14ac:dyDescent="0.2">
      <c r="A15035" s="12"/>
      <c r="B15035" s="13"/>
    </row>
    <row r="15036" spans="1:2" x14ac:dyDescent="0.2">
      <c r="A15036" s="12"/>
      <c r="B15036" s="13"/>
    </row>
    <row r="15037" spans="1:2" x14ac:dyDescent="0.2">
      <c r="A15037" s="12"/>
      <c r="B15037" s="13"/>
    </row>
    <row r="15038" spans="1:2" x14ac:dyDescent="0.2">
      <c r="A15038" s="12"/>
      <c r="B15038" s="13"/>
    </row>
    <row r="15039" spans="1:2" x14ac:dyDescent="0.2">
      <c r="A15039" s="12"/>
      <c r="B15039" s="13"/>
    </row>
    <row r="15040" spans="1:2" x14ac:dyDescent="0.2">
      <c r="A15040" s="12"/>
      <c r="B15040" s="13"/>
    </row>
    <row r="15041" spans="1:2" x14ac:dyDescent="0.2">
      <c r="A15041" s="12"/>
      <c r="B15041" s="13"/>
    </row>
    <row r="15042" spans="1:2" x14ac:dyDescent="0.2">
      <c r="A15042" s="12"/>
      <c r="B15042" s="13"/>
    </row>
    <row r="15043" spans="1:2" x14ac:dyDescent="0.2">
      <c r="A15043" s="12"/>
      <c r="B15043" s="13"/>
    </row>
    <row r="15044" spans="1:2" x14ac:dyDescent="0.2">
      <c r="A15044" s="12"/>
      <c r="B15044" s="13"/>
    </row>
    <row r="15045" spans="1:2" x14ac:dyDescent="0.2">
      <c r="A15045" s="12"/>
      <c r="B15045" s="13"/>
    </row>
    <row r="15046" spans="1:2" x14ac:dyDescent="0.2">
      <c r="A15046" s="12"/>
      <c r="B15046" s="13"/>
    </row>
    <row r="15047" spans="1:2" x14ac:dyDescent="0.2">
      <c r="A15047" s="12"/>
      <c r="B15047" s="13"/>
    </row>
    <row r="15048" spans="1:2" x14ac:dyDescent="0.2">
      <c r="A15048" s="12"/>
      <c r="B15048" s="13"/>
    </row>
    <row r="15049" spans="1:2" x14ac:dyDescent="0.2">
      <c r="A15049" s="12"/>
      <c r="B15049" s="13"/>
    </row>
    <row r="15050" spans="1:2" x14ac:dyDescent="0.2">
      <c r="A15050" s="12"/>
      <c r="B15050" s="13"/>
    </row>
    <row r="15051" spans="1:2" x14ac:dyDescent="0.2">
      <c r="A15051" s="12"/>
      <c r="B15051" s="13"/>
    </row>
    <row r="15052" spans="1:2" x14ac:dyDescent="0.2">
      <c r="A15052" s="12"/>
      <c r="B15052" s="13"/>
    </row>
    <row r="15053" spans="1:2" x14ac:dyDescent="0.2">
      <c r="A15053" s="12"/>
      <c r="B15053" s="13"/>
    </row>
    <row r="15054" spans="1:2" x14ac:dyDescent="0.2">
      <c r="A15054" s="12"/>
      <c r="B15054" s="13"/>
    </row>
    <row r="15055" spans="1:2" x14ac:dyDescent="0.2">
      <c r="A15055" s="12"/>
      <c r="B15055" s="13"/>
    </row>
    <row r="15056" spans="1:2" x14ac:dyDescent="0.2">
      <c r="A15056" s="12"/>
      <c r="B15056" s="13"/>
    </row>
    <row r="15057" spans="1:2" x14ac:dyDescent="0.2">
      <c r="A15057" s="12"/>
      <c r="B15057" s="13"/>
    </row>
    <row r="15058" spans="1:2" x14ac:dyDescent="0.2">
      <c r="A15058" s="12"/>
      <c r="B15058" s="13"/>
    </row>
    <row r="15059" spans="1:2" x14ac:dyDescent="0.2">
      <c r="A15059" s="12"/>
      <c r="B15059" s="13"/>
    </row>
    <row r="15060" spans="1:2" x14ac:dyDescent="0.2">
      <c r="A15060" s="12"/>
      <c r="B15060" s="13"/>
    </row>
    <row r="15061" spans="1:2" x14ac:dyDescent="0.2">
      <c r="A15061" s="12"/>
      <c r="B15061" s="13"/>
    </row>
    <row r="15062" spans="1:2" x14ac:dyDescent="0.2">
      <c r="A15062" s="12"/>
      <c r="B15062" s="13"/>
    </row>
    <row r="15063" spans="1:2" x14ac:dyDescent="0.2">
      <c r="A15063" s="12"/>
      <c r="B15063" s="13"/>
    </row>
    <row r="15064" spans="1:2" x14ac:dyDescent="0.2">
      <c r="A15064" s="12"/>
      <c r="B15064" s="13"/>
    </row>
    <row r="15065" spans="1:2" x14ac:dyDescent="0.2">
      <c r="A15065" s="12"/>
      <c r="B15065" s="13"/>
    </row>
    <row r="15066" spans="1:2" x14ac:dyDescent="0.2">
      <c r="A15066" s="12"/>
      <c r="B15066" s="13"/>
    </row>
    <row r="15067" spans="1:2" x14ac:dyDescent="0.2">
      <c r="A15067" s="12"/>
      <c r="B15067" s="13"/>
    </row>
    <row r="15068" spans="1:2" x14ac:dyDescent="0.2">
      <c r="A15068" s="12"/>
      <c r="B15068" s="13"/>
    </row>
    <row r="15069" spans="1:2" x14ac:dyDescent="0.2">
      <c r="A15069" s="12"/>
      <c r="B15069" s="13"/>
    </row>
    <row r="15070" spans="1:2" x14ac:dyDescent="0.2">
      <c r="A15070" s="12"/>
      <c r="B15070" s="13"/>
    </row>
    <row r="15071" spans="1:2" x14ac:dyDescent="0.2">
      <c r="A15071" s="12"/>
      <c r="B15071" s="13"/>
    </row>
    <row r="15072" spans="1:2" x14ac:dyDescent="0.2">
      <c r="A15072" s="12"/>
      <c r="B15072" s="13"/>
    </row>
    <row r="15073" spans="1:2" x14ac:dyDescent="0.2">
      <c r="A15073" s="12"/>
      <c r="B15073" s="13"/>
    </row>
    <row r="15074" spans="1:2" x14ac:dyDescent="0.2">
      <c r="A15074" s="12"/>
      <c r="B15074" s="13"/>
    </row>
    <row r="15075" spans="1:2" x14ac:dyDescent="0.2">
      <c r="A15075" s="12"/>
      <c r="B15075" s="13"/>
    </row>
    <row r="15076" spans="1:2" x14ac:dyDescent="0.2">
      <c r="A15076" s="12"/>
      <c r="B15076" s="13"/>
    </row>
    <row r="15077" spans="1:2" x14ac:dyDescent="0.2">
      <c r="A15077" s="12"/>
      <c r="B15077" s="13"/>
    </row>
    <row r="15078" spans="1:2" x14ac:dyDescent="0.2">
      <c r="A15078" s="12"/>
      <c r="B15078" s="13"/>
    </row>
    <row r="15079" spans="1:2" x14ac:dyDescent="0.2">
      <c r="A15079" s="12"/>
      <c r="B15079" s="13"/>
    </row>
    <row r="15080" spans="1:2" x14ac:dyDescent="0.2">
      <c r="A15080" s="12"/>
      <c r="B15080" s="13"/>
    </row>
    <row r="15081" spans="1:2" x14ac:dyDescent="0.2">
      <c r="A15081" s="12"/>
      <c r="B15081" s="13"/>
    </row>
    <row r="15082" spans="1:2" x14ac:dyDescent="0.2">
      <c r="A15082" s="12"/>
      <c r="B15082" s="13"/>
    </row>
    <row r="15083" spans="1:2" x14ac:dyDescent="0.2">
      <c r="A15083" s="12"/>
      <c r="B15083" s="13"/>
    </row>
    <row r="15084" spans="1:2" x14ac:dyDescent="0.2">
      <c r="A15084" s="12"/>
      <c r="B15084" s="13"/>
    </row>
    <row r="15085" spans="1:2" x14ac:dyDescent="0.2">
      <c r="A15085" s="12"/>
      <c r="B15085" s="13"/>
    </row>
    <row r="15086" spans="1:2" x14ac:dyDescent="0.2">
      <c r="A15086" s="12"/>
      <c r="B15086" s="13"/>
    </row>
    <row r="15087" spans="1:2" x14ac:dyDescent="0.2">
      <c r="A15087" s="12"/>
      <c r="B15087" s="13"/>
    </row>
    <row r="15088" spans="1:2" x14ac:dyDescent="0.2">
      <c r="A15088" s="12"/>
      <c r="B15088" s="13"/>
    </row>
    <row r="15089" spans="1:2" x14ac:dyDescent="0.2">
      <c r="A15089" s="12"/>
      <c r="B15089" s="13"/>
    </row>
    <row r="15090" spans="1:2" x14ac:dyDescent="0.2">
      <c r="A15090" s="12"/>
      <c r="B15090" s="13"/>
    </row>
    <row r="15091" spans="1:2" x14ac:dyDescent="0.2">
      <c r="A15091" s="12"/>
      <c r="B15091" s="13"/>
    </row>
    <row r="15092" spans="1:2" x14ac:dyDescent="0.2">
      <c r="A15092" s="12"/>
      <c r="B15092" s="13"/>
    </row>
    <row r="15093" spans="1:2" x14ac:dyDescent="0.2">
      <c r="A15093" s="12"/>
      <c r="B15093" s="13"/>
    </row>
    <row r="15094" spans="1:2" x14ac:dyDescent="0.2">
      <c r="A15094" s="12"/>
      <c r="B15094" s="13"/>
    </row>
    <row r="15095" spans="1:2" x14ac:dyDescent="0.2">
      <c r="A15095" s="12"/>
      <c r="B15095" s="13"/>
    </row>
    <row r="15096" spans="1:2" x14ac:dyDescent="0.2">
      <c r="A15096" s="12"/>
      <c r="B15096" s="13"/>
    </row>
    <row r="15097" spans="1:2" x14ac:dyDescent="0.2">
      <c r="A15097" s="12"/>
      <c r="B15097" s="13"/>
    </row>
    <row r="15098" spans="1:2" x14ac:dyDescent="0.2">
      <c r="A15098" s="12"/>
      <c r="B15098" s="13"/>
    </row>
    <row r="15099" spans="1:2" x14ac:dyDescent="0.2">
      <c r="A15099" s="12"/>
      <c r="B15099" s="13"/>
    </row>
    <row r="15100" spans="1:2" x14ac:dyDescent="0.2">
      <c r="A15100" s="12"/>
      <c r="B15100" s="13"/>
    </row>
    <row r="15101" spans="1:2" x14ac:dyDescent="0.2">
      <c r="A15101" s="12"/>
      <c r="B15101" s="13"/>
    </row>
    <row r="15102" spans="1:2" x14ac:dyDescent="0.2">
      <c r="A15102" s="12"/>
      <c r="B15102" s="13"/>
    </row>
    <row r="15103" spans="1:2" x14ac:dyDescent="0.2">
      <c r="A15103" s="12"/>
      <c r="B15103" s="13"/>
    </row>
    <row r="15104" spans="1:2" x14ac:dyDescent="0.2">
      <c r="A15104" s="12"/>
      <c r="B15104" s="13"/>
    </row>
    <row r="15105" spans="1:2" x14ac:dyDescent="0.2">
      <c r="A15105" s="12"/>
      <c r="B15105" s="13"/>
    </row>
    <row r="15106" spans="1:2" x14ac:dyDescent="0.2">
      <c r="A15106" s="12"/>
      <c r="B15106" s="13"/>
    </row>
    <row r="15107" spans="1:2" x14ac:dyDescent="0.2">
      <c r="A15107" s="12"/>
      <c r="B15107" s="13"/>
    </row>
    <row r="15108" spans="1:2" x14ac:dyDescent="0.2">
      <c r="A15108" s="12"/>
      <c r="B15108" s="13"/>
    </row>
    <row r="15109" spans="1:2" x14ac:dyDescent="0.2">
      <c r="A15109" s="12"/>
      <c r="B15109" s="13"/>
    </row>
    <row r="15110" spans="1:2" x14ac:dyDescent="0.2">
      <c r="A15110" s="12"/>
      <c r="B15110" s="13"/>
    </row>
    <row r="15111" spans="1:2" x14ac:dyDescent="0.2">
      <c r="A15111" s="12"/>
      <c r="B15111" s="13"/>
    </row>
    <row r="15112" spans="1:2" x14ac:dyDescent="0.2">
      <c r="A15112" s="12"/>
      <c r="B15112" s="13"/>
    </row>
    <row r="15113" spans="1:2" x14ac:dyDescent="0.2">
      <c r="A15113" s="12"/>
      <c r="B15113" s="13"/>
    </row>
    <row r="15114" spans="1:2" x14ac:dyDescent="0.2">
      <c r="A15114" s="12"/>
      <c r="B15114" s="13"/>
    </row>
    <row r="15115" spans="1:2" x14ac:dyDescent="0.2">
      <c r="A15115" s="12"/>
      <c r="B15115" s="13"/>
    </row>
    <row r="15116" spans="1:2" x14ac:dyDescent="0.2">
      <c r="A15116" s="12"/>
      <c r="B15116" s="13"/>
    </row>
    <row r="15117" spans="1:2" x14ac:dyDescent="0.2">
      <c r="A15117" s="12"/>
      <c r="B15117" s="13"/>
    </row>
    <row r="15118" spans="1:2" x14ac:dyDescent="0.2">
      <c r="A15118" s="12"/>
      <c r="B15118" s="13"/>
    </row>
    <row r="15119" spans="1:2" x14ac:dyDescent="0.2">
      <c r="A15119" s="12"/>
      <c r="B15119" s="13"/>
    </row>
    <row r="15120" spans="1:2" x14ac:dyDescent="0.2">
      <c r="A15120" s="12"/>
      <c r="B15120" s="13"/>
    </row>
    <row r="15121" spans="1:2" x14ac:dyDescent="0.2">
      <c r="A15121" s="12"/>
      <c r="B15121" s="13"/>
    </row>
    <row r="15122" spans="1:2" x14ac:dyDescent="0.2">
      <c r="A15122" s="12"/>
      <c r="B15122" s="13"/>
    </row>
    <row r="15123" spans="1:2" x14ac:dyDescent="0.2">
      <c r="A15123" s="12"/>
      <c r="B15123" s="13"/>
    </row>
    <row r="15124" spans="1:2" x14ac:dyDescent="0.2">
      <c r="A15124" s="12"/>
      <c r="B15124" s="13"/>
    </row>
    <row r="15125" spans="1:2" x14ac:dyDescent="0.2">
      <c r="A15125" s="12"/>
      <c r="B15125" s="13"/>
    </row>
    <row r="15126" spans="1:2" x14ac:dyDescent="0.2">
      <c r="A15126" s="12"/>
      <c r="B15126" s="13"/>
    </row>
    <row r="15127" spans="1:2" x14ac:dyDescent="0.2">
      <c r="A15127" s="12"/>
      <c r="B15127" s="13"/>
    </row>
    <row r="15128" spans="1:2" x14ac:dyDescent="0.2">
      <c r="A15128" s="12"/>
      <c r="B15128" s="13"/>
    </row>
    <row r="15129" spans="1:2" x14ac:dyDescent="0.2">
      <c r="A15129" s="12"/>
      <c r="B15129" s="13"/>
    </row>
    <row r="15130" spans="1:2" x14ac:dyDescent="0.2">
      <c r="A15130" s="12"/>
      <c r="B15130" s="13"/>
    </row>
    <row r="15131" spans="1:2" x14ac:dyDescent="0.2">
      <c r="A15131" s="12"/>
      <c r="B15131" s="13"/>
    </row>
    <row r="15132" spans="1:2" x14ac:dyDescent="0.2">
      <c r="A15132" s="12"/>
      <c r="B15132" s="13"/>
    </row>
    <row r="15133" spans="1:2" x14ac:dyDescent="0.2">
      <c r="A15133" s="12"/>
      <c r="B15133" s="13"/>
    </row>
    <row r="15134" spans="1:2" x14ac:dyDescent="0.2">
      <c r="A15134" s="12"/>
      <c r="B15134" s="13"/>
    </row>
    <row r="15135" spans="1:2" x14ac:dyDescent="0.2">
      <c r="A15135" s="12"/>
      <c r="B15135" s="13"/>
    </row>
    <row r="15136" spans="1:2" x14ac:dyDescent="0.2">
      <c r="A15136" s="12"/>
      <c r="B15136" s="13"/>
    </row>
    <row r="15137" spans="1:2" x14ac:dyDescent="0.2">
      <c r="A15137" s="12"/>
      <c r="B15137" s="13"/>
    </row>
    <row r="15138" spans="1:2" x14ac:dyDescent="0.2">
      <c r="A15138" s="12"/>
      <c r="B15138" s="13"/>
    </row>
    <row r="15139" spans="1:2" x14ac:dyDescent="0.2">
      <c r="A15139" s="12"/>
      <c r="B15139" s="13"/>
    </row>
    <row r="15140" spans="1:2" x14ac:dyDescent="0.2">
      <c r="A15140" s="12"/>
      <c r="B15140" s="13"/>
    </row>
    <row r="15141" spans="1:2" x14ac:dyDescent="0.2">
      <c r="A15141" s="12"/>
      <c r="B15141" s="13"/>
    </row>
    <row r="15142" spans="1:2" x14ac:dyDescent="0.2">
      <c r="A15142" s="12"/>
      <c r="B15142" s="13"/>
    </row>
    <row r="15143" spans="1:2" x14ac:dyDescent="0.2">
      <c r="A15143" s="12"/>
      <c r="B15143" s="13"/>
    </row>
    <row r="15144" spans="1:2" x14ac:dyDescent="0.2">
      <c r="A15144" s="12"/>
      <c r="B15144" s="13"/>
    </row>
    <row r="15145" spans="1:2" x14ac:dyDescent="0.2">
      <c r="A15145" s="12"/>
      <c r="B15145" s="13"/>
    </row>
    <row r="15146" spans="1:2" x14ac:dyDescent="0.2">
      <c r="A15146" s="12"/>
      <c r="B15146" s="13"/>
    </row>
    <row r="15147" spans="1:2" x14ac:dyDescent="0.2">
      <c r="A15147" s="12"/>
      <c r="B15147" s="13"/>
    </row>
    <row r="15148" spans="1:2" x14ac:dyDescent="0.2">
      <c r="A15148" s="12"/>
      <c r="B15148" s="13"/>
    </row>
    <row r="15149" spans="1:2" x14ac:dyDescent="0.2">
      <c r="A15149" s="12"/>
      <c r="B15149" s="13"/>
    </row>
    <row r="15150" spans="1:2" x14ac:dyDescent="0.2">
      <c r="A15150" s="12"/>
      <c r="B15150" s="13"/>
    </row>
    <row r="15151" spans="1:2" x14ac:dyDescent="0.2">
      <c r="A15151" s="12"/>
      <c r="B15151" s="13"/>
    </row>
    <row r="15152" spans="1:2" x14ac:dyDescent="0.2">
      <c r="A15152" s="12"/>
      <c r="B15152" s="13"/>
    </row>
    <row r="15153" spans="1:2" x14ac:dyDescent="0.2">
      <c r="A15153" s="12"/>
      <c r="B15153" s="13"/>
    </row>
    <row r="15154" spans="1:2" x14ac:dyDescent="0.2">
      <c r="A15154" s="12"/>
      <c r="B15154" s="13"/>
    </row>
    <row r="15155" spans="1:2" x14ac:dyDescent="0.2">
      <c r="A15155" s="12"/>
      <c r="B15155" s="13"/>
    </row>
    <row r="15156" spans="1:2" x14ac:dyDescent="0.2">
      <c r="A15156" s="12"/>
      <c r="B15156" s="13"/>
    </row>
    <row r="15157" spans="1:2" x14ac:dyDescent="0.2">
      <c r="A15157" s="12"/>
      <c r="B15157" s="13"/>
    </row>
    <row r="15158" spans="1:2" x14ac:dyDescent="0.2">
      <c r="A15158" s="12"/>
      <c r="B15158" s="13"/>
    </row>
    <row r="15159" spans="1:2" x14ac:dyDescent="0.2">
      <c r="A15159" s="12"/>
      <c r="B15159" s="13"/>
    </row>
    <row r="15160" spans="1:2" x14ac:dyDescent="0.2">
      <c r="A15160" s="12"/>
      <c r="B15160" s="13"/>
    </row>
    <row r="15161" spans="1:2" x14ac:dyDescent="0.2">
      <c r="A15161" s="12"/>
      <c r="B15161" s="13"/>
    </row>
    <row r="15162" spans="1:2" x14ac:dyDescent="0.2">
      <c r="A15162" s="12"/>
      <c r="B15162" s="13"/>
    </row>
    <row r="15163" spans="1:2" x14ac:dyDescent="0.2">
      <c r="A15163" s="12"/>
      <c r="B15163" s="13"/>
    </row>
    <row r="15164" spans="1:2" x14ac:dyDescent="0.2">
      <c r="A15164" s="12"/>
      <c r="B15164" s="13"/>
    </row>
    <row r="15165" spans="1:2" x14ac:dyDescent="0.2">
      <c r="A15165" s="12"/>
      <c r="B15165" s="13"/>
    </row>
    <row r="15166" spans="1:2" x14ac:dyDescent="0.2">
      <c r="A15166" s="12"/>
      <c r="B15166" s="13"/>
    </row>
    <row r="15167" spans="1:2" x14ac:dyDescent="0.2">
      <c r="A15167" s="12"/>
      <c r="B15167" s="13"/>
    </row>
    <row r="15168" spans="1:2" x14ac:dyDescent="0.2">
      <c r="A15168" s="12"/>
      <c r="B15168" s="13"/>
    </row>
    <row r="15169" spans="1:2" x14ac:dyDescent="0.2">
      <c r="A15169" s="12"/>
      <c r="B15169" s="13"/>
    </row>
    <row r="15170" spans="1:2" x14ac:dyDescent="0.2">
      <c r="A15170" s="12"/>
      <c r="B15170" s="13"/>
    </row>
    <row r="15171" spans="1:2" x14ac:dyDescent="0.2">
      <c r="A15171" s="12"/>
      <c r="B15171" s="13"/>
    </row>
    <row r="15172" spans="1:2" x14ac:dyDescent="0.2">
      <c r="A15172" s="12"/>
      <c r="B15172" s="13"/>
    </row>
    <row r="15173" spans="1:2" x14ac:dyDescent="0.2">
      <c r="A15173" s="12"/>
      <c r="B15173" s="13"/>
    </row>
    <row r="15174" spans="1:2" x14ac:dyDescent="0.2">
      <c r="A15174" s="12"/>
      <c r="B15174" s="13"/>
    </row>
    <row r="15175" spans="1:2" x14ac:dyDescent="0.2">
      <c r="A15175" s="12"/>
      <c r="B15175" s="13"/>
    </row>
    <row r="15176" spans="1:2" x14ac:dyDescent="0.2">
      <c r="A15176" s="12"/>
      <c r="B15176" s="13"/>
    </row>
    <row r="15177" spans="1:2" x14ac:dyDescent="0.2">
      <c r="A15177" s="12"/>
      <c r="B15177" s="13"/>
    </row>
    <row r="15178" spans="1:2" x14ac:dyDescent="0.2">
      <c r="A15178" s="12"/>
      <c r="B15178" s="13"/>
    </row>
    <row r="15179" spans="1:2" x14ac:dyDescent="0.2">
      <c r="A15179" s="12"/>
      <c r="B15179" s="13"/>
    </row>
    <row r="15180" spans="1:2" x14ac:dyDescent="0.2">
      <c r="A15180" s="12"/>
      <c r="B15180" s="13"/>
    </row>
    <row r="15181" spans="1:2" x14ac:dyDescent="0.2">
      <c r="A15181" s="12"/>
      <c r="B15181" s="13"/>
    </row>
    <row r="15182" spans="1:2" x14ac:dyDescent="0.2">
      <c r="A15182" s="12"/>
      <c r="B15182" s="13"/>
    </row>
    <row r="15183" spans="1:2" x14ac:dyDescent="0.2">
      <c r="A15183" s="12"/>
      <c r="B15183" s="13"/>
    </row>
    <row r="15184" spans="1:2" x14ac:dyDescent="0.2">
      <c r="A15184" s="12"/>
      <c r="B15184" s="13"/>
    </row>
    <row r="15185" spans="1:2" x14ac:dyDescent="0.2">
      <c r="A15185" s="12"/>
      <c r="B15185" s="13"/>
    </row>
    <row r="15186" spans="1:2" x14ac:dyDescent="0.2">
      <c r="A15186" s="12"/>
      <c r="B15186" s="13"/>
    </row>
    <row r="15187" spans="1:2" x14ac:dyDescent="0.2">
      <c r="A15187" s="12"/>
      <c r="B15187" s="13"/>
    </row>
    <row r="15188" spans="1:2" x14ac:dyDescent="0.2">
      <c r="A15188" s="12"/>
      <c r="B15188" s="13"/>
    </row>
    <row r="15189" spans="1:2" x14ac:dyDescent="0.2">
      <c r="A15189" s="12"/>
      <c r="B15189" s="13"/>
    </row>
    <row r="15190" spans="1:2" x14ac:dyDescent="0.2">
      <c r="A15190" s="12"/>
      <c r="B15190" s="13"/>
    </row>
    <row r="15191" spans="1:2" x14ac:dyDescent="0.2">
      <c r="A15191" s="12"/>
      <c r="B15191" s="13"/>
    </row>
    <row r="15192" spans="1:2" x14ac:dyDescent="0.2">
      <c r="A15192" s="12"/>
      <c r="B15192" s="13"/>
    </row>
    <row r="15193" spans="1:2" x14ac:dyDescent="0.2">
      <c r="A15193" s="12"/>
      <c r="B15193" s="13"/>
    </row>
    <row r="15194" spans="1:2" x14ac:dyDescent="0.2">
      <c r="A15194" s="12"/>
      <c r="B15194" s="13"/>
    </row>
    <row r="15195" spans="1:2" x14ac:dyDescent="0.2">
      <c r="A15195" s="12"/>
      <c r="B15195" s="13"/>
    </row>
    <row r="15196" spans="1:2" x14ac:dyDescent="0.2">
      <c r="A15196" s="12"/>
      <c r="B15196" s="13"/>
    </row>
    <row r="15197" spans="1:2" x14ac:dyDescent="0.2">
      <c r="A15197" s="12"/>
      <c r="B15197" s="13"/>
    </row>
    <row r="15198" spans="1:2" x14ac:dyDescent="0.2">
      <c r="A15198" s="12"/>
      <c r="B15198" s="13"/>
    </row>
    <row r="15199" spans="1:2" x14ac:dyDescent="0.2">
      <c r="A15199" s="12"/>
      <c r="B15199" s="13"/>
    </row>
    <row r="15200" spans="1:2" x14ac:dyDescent="0.2">
      <c r="A15200" s="12"/>
      <c r="B15200" s="13"/>
    </row>
    <row r="15201" spans="1:2" x14ac:dyDescent="0.2">
      <c r="A15201" s="12"/>
      <c r="B15201" s="13"/>
    </row>
    <row r="15202" spans="1:2" x14ac:dyDescent="0.2">
      <c r="A15202" s="12"/>
      <c r="B15202" s="13"/>
    </row>
    <row r="15203" spans="1:2" x14ac:dyDescent="0.2">
      <c r="A15203" s="12"/>
      <c r="B15203" s="13"/>
    </row>
    <row r="15204" spans="1:2" x14ac:dyDescent="0.2">
      <c r="A15204" s="12"/>
      <c r="B15204" s="13"/>
    </row>
    <row r="15205" spans="1:2" x14ac:dyDescent="0.2">
      <c r="A15205" s="12"/>
      <c r="B15205" s="13"/>
    </row>
    <row r="15206" spans="1:2" x14ac:dyDescent="0.2">
      <c r="A15206" s="12"/>
      <c r="B15206" s="13"/>
    </row>
    <row r="15207" spans="1:2" x14ac:dyDescent="0.2">
      <c r="A15207" s="12"/>
      <c r="B15207" s="13"/>
    </row>
    <row r="15208" spans="1:2" x14ac:dyDescent="0.2">
      <c r="A15208" s="12"/>
      <c r="B15208" s="13"/>
    </row>
    <row r="15209" spans="1:2" x14ac:dyDescent="0.2">
      <c r="A15209" s="12"/>
      <c r="B15209" s="13"/>
    </row>
    <row r="15210" spans="1:2" x14ac:dyDescent="0.2">
      <c r="A15210" s="12"/>
      <c r="B15210" s="13"/>
    </row>
    <row r="15211" spans="1:2" x14ac:dyDescent="0.2">
      <c r="A15211" s="12"/>
      <c r="B15211" s="13"/>
    </row>
    <row r="15212" spans="1:2" x14ac:dyDescent="0.2">
      <c r="A15212" s="12"/>
      <c r="B15212" s="13"/>
    </row>
    <row r="15213" spans="1:2" x14ac:dyDescent="0.2">
      <c r="A15213" s="12"/>
      <c r="B15213" s="13"/>
    </row>
    <row r="15214" spans="1:2" x14ac:dyDescent="0.2">
      <c r="A15214" s="12"/>
      <c r="B15214" s="13"/>
    </row>
    <row r="15215" spans="1:2" x14ac:dyDescent="0.2">
      <c r="A15215" s="12"/>
      <c r="B15215" s="13"/>
    </row>
    <row r="15216" spans="1:2" x14ac:dyDescent="0.2">
      <c r="A15216" s="12"/>
      <c r="B15216" s="13"/>
    </row>
    <row r="15217" spans="1:2" x14ac:dyDescent="0.2">
      <c r="A15217" s="12"/>
      <c r="B15217" s="13"/>
    </row>
    <row r="15218" spans="1:2" x14ac:dyDescent="0.2">
      <c r="A15218" s="12"/>
      <c r="B15218" s="13"/>
    </row>
    <row r="15219" spans="1:2" x14ac:dyDescent="0.2">
      <c r="A15219" s="12"/>
      <c r="B15219" s="13"/>
    </row>
    <row r="15220" spans="1:2" x14ac:dyDescent="0.2">
      <c r="A15220" s="12"/>
      <c r="B15220" s="13"/>
    </row>
    <row r="15221" spans="1:2" x14ac:dyDescent="0.2">
      <c r="A15221" s="12"/>
      <c r="B15221" s="13"/>
    </row>
    <row r="15222" spans="1:2" x14ac:dyDescent="0.2">
      <c r="A15222" s="12"/>
      <c r="B15222" s="13"/>
    </row>
    <row r="15223" spans="1:2" x14ac:dyDescent="0.2">
      <c r="A15223" s="12"/>
      <c r="B15223" s="13"/>
    </row>
    <row r="15224" spans="1:2" x14ac:dyDescent="0.2">
      <c r="A15224" s="12"/>
      <c r="B15224" s="13"/>
    </row>
    <row r="15225" spans="1:2" x14ac:dyDescent="0.2">
      <c r="A15225" s="12"/>
      <c r="B15225" s="13"/>
    </row>
    <row r="15226" spans="1:2" x14ac:dyDescent="0.2">
      <c r="A15226" s="12"/>
      <c r="B15226" s="13"/>
    </row>
    <row r="15227" spans="1:2" x14ac:dyDescent="0.2">
      <c r="A15227" s="12"/>
      <c r="B15227" s="13"/>
    </row>
    <row r="15228" spans="1:2" x14ac:dyDescent="0.2">
      <c r="A15228" s="12"/>
      <c r="B15228" s="13"/>
    </row>
    <row r="15229" spans="1:2" x14ac:dyDescent="0.2">
      <c r="A15229" s="12"/>
      <c r="B15229" s="13"/>
    </row>
    <row r="15230" spans="1:2" x14ac:dyDescent="0.2">
      <c r="A15230" s="12"/>
      <c r="B15230" s="13"/>
    </row>
    <row r="15231" spans="1:2" x14ac:dyDescent="0.2">
      <c r="A15231" s="12"/>
      <c r="B15231" s="13"/>
    </row>
    <row r="15232" spans="1:2" x14ac:dyDescent="0.2">
      <c r="A15232" s="12"/>
      <c r="B15232" s="13"/>
    </row>
    <row r="15233" spans="1:2" x14ac:dyDescent="0.2">
      <c r="A15233" s="12"/>
      <c r="B15233" s="13"/>
    </row>
    <row r="15234" spans="1:2" x14ac:dyDescent="0.2">
      <c r="A15234" s="12"/>
      <c r="B15234" s="13"/>
    </row>
    <row r="15235" spans="1:2" x14ac:dyDescent="0.2">
      <c r="A15235" s="12"/>
      <c r="B15235" s="13"/>
    </row>
    <row r="15236" spans="1:2" x14ac:dyDescent="0.2">
      <c r="A15236" s="12"/>
      <c r="B15236" s="13"/>
    </row>
    <row r="15237" spans="1:2" x14ac:dyDescent="0.2">
      <c r="A15237" s="12"/>
      <c r="B15237" s="13"/>
    </row>
    <row r="15238" spans="1:2" x14ac:dyDescent="0.2">
      <c r="A15238" s="12"/>
      <c r="B15238" s="13"/>
    </row>
    <row r="15239" spans="1:2" x14ac:dyDescent="0.2">
      <c r="A15239" s="12"/>
      <c r="B15239" s="13"/>
    </row>
    <row r="15240" spans="1:2" x14ac:dyDescent="0.2">
      <c r="A15240" s="12"/>
      <c r="B15240" s="13"/>
    </row>
    <row r="15241" spans="1:2" x14ac:dyDescent="0.2">
      <c r="A15241" s="12"/>
      <c r="B15241" s="13"/>
    </row>
    <row r="15242" spans="1:2" x14ac:dyDescent="0.2">
      <c r="A15242" s="12"/>
      <c r="B15242" s="13"/>
    </row>
    <row r="15243" spans="1:2" x14ac:dyDescent="0.2">
      <c r="A15243" s="12"/>
      <c r="B15243" s="13"/>
    </row>
    <row r="15244" spans="1:2" x14ac:dyDescent="0.2">
      <c r="A15244" s="12"/>
      <c r="B15244" s="13"/>
    </row>
    <row r="15245" spans="1:2" x14ac:dyDescent="0.2">
      <c r="A15245" s="12"/>
      <c r="B15245" s="13"/>
    </row>
    <row r="15246" spans="1:2" x14ac:dyDescent="0.2">
      <c r="A15246" s="12"/>
      <c r="B15246" s="13"/>
    </row>
    <row r="15247" spans="1:2" x14ac:dyDescent="0.2">
      <c r="A15247" s="12"/>
      <c r="B15247" s="13"/>
    </row>
    <row r="15248" spans="1:2" x14ac:dyDescent="0.2">
      <c r="A15248" s="12"/>
      <c r="B15248" s="13"/>
    </row>
    <row r="15249" spans="1:2" x14ac:dyDescent="0.2">
      <c r="A15249" s="12"/>
      <c r="B15249" s="13"/>
    </row>
    <row r="15250" spans="1:2" x14ac:dyDescent="0.2">
      <c r="A15250" s="12"/>
      <c r="B15250" s="13"/>
    </row>
    <row r="15251" spans="1:2" x14ac:dyDescent="0.2">
      <c r="A15251" s="12"/>
      <c r="B15251" s="13"/>
    </row>
    <row r="15252" spans="1:2" x14ac:dyDescent="0.2">
      <c r="A15252" s="12"/>
      <c r="B15252" s="13"/>
    </row>
    <row r="15253" spans="1:2" x14ac:dyDescent="0.2">
      <c r="A15253" s="12"/>
      <c r="B15253" s="13"/>
    </row>
    <row r="15254" spans="1:2" x14ac:dyDescent="0.2">
      <c r="A15254" s="12"/>
      <c r="B15254" s="13"/>
    </row>
    <row r="15255" spans="1:2" x14ac:dyDescent="0.2">
      <c r="A15255" s="12"/>
      <c r="B15255" s="13"/>
    </row>
    <row r="15256" spans="1:2" x14ac:dyDescent="0.2">
      <c r="A15256" s="12"/>
      <c r="B15256" s="13"/>
    </row>
    <row r="15257" spans="1:2" x14ac:dyDescent="0.2">
      <c r="A15257" s="12"/>
      <c r="B15257" s="13"/>
    </row>
    <row r="15258" spans="1:2" x14ac:dyDescent="0.2">
      <c r="A15258" s="12"/>
      <c r="B15258" s="13"/>
    </row>
    <row r="15259" spans="1:2" x14ac:dyDescent="0.2">
      <c r="A15259" s="12"/>
      <c r="B15259" s="13"/>
    </row>
    <row r="15260" spans="1:2" x14ac:dyDescent="0.2">
      <c r="A15260" s="12"/>
      <c r="B15260" s="13"/>
    </row>
    <row r="15261" spans="1:2" x14ac:dyDescent="0.2">
      <c r="A15261" s="12"/>
      <c r="B15261" s="13"/>
    </row>
    <row r="15262" spans="1:2" x14ac:dyDescent="0.2">
      <c r="A15262" s="12"/>
      <c r="B15262" s="13"/>
    </row>
    <row r="15263" spans="1:2" x14ac:dyDescent="0.2">
      <c r="A15263" s="12"/>
      <c r="B15263" s="13"/>
    </row>
    <row r="15264" spans="1:2" x14ac:dyDescent="0.2">
      <c r="A15264" s="12"/>
      <c r="B15264" s="13"/>
    </row>
    <row r="15265" spans="1:2" x14ac:dyDescent="0.2">
      <c r="A15265" s="12"/>
      <c r="B15265" s="13"/>
    </row>
    <row r="15266" spans="1:2" x14ac:dyDescent="0.2">
      <c r="A15266" s="12"/>
      <c r="B15266" s="13"/>
    </row>
    <row r="15267" spans="1:2" x14ac:dyDescent="0.2">
      <c r="A15267" s="12"/>
      <c r="B15267" s="13"/>
    </row>
    <row r="15268" spans="1:2" x14ac:dyDescent="0.2">
      <c r="A15268" s="12"/>
      <c r="B15268" s="13"/>
    </row>
    <row r="15269" spans="1:2" x14ac:dyDescent="0.2">
      <c r="A15269" s="12"/>
      <c r="B15269" s="13"/>
    </row>
    <row r="15270" spans="1:2" x14ac:dyDescent="0.2">
      <c r="A15270" s="12"/>
      <c r="B15270" s="13"/>
    </row>
    <row r="15271" spans="1:2" x14ac:dyDescent="0.2">
      <c r="A15271" s="12"/>
      <c r="B15271" s="13"/>
    </row>
    <row r="15272" spans="1:2" x14ac:dyDescent="0.2">
      <c r="A15272" s="12"/>
      <c r="B15272" s="13"/>
    </row>
    <row r="15273" spans="1:2" x14ac:dyDescent="0.2">
      <c r="A15273" s="12"/>
      <c r="B15273" s="13"/>
    </row>
    <row r="15274" spans="1:2" x14ac:dyDescent="0.2">
      <c r="A15274" s="12"/>
      <c r="B15274" s="13"/>
    </row>
    <row r="15275" spans="1:2" x14ac:dyDescent="0.2">
      <c r="A15275" s="12"/>
      <c r="B15275" s="13"/>
    </row>
    <row r="15276" spans="1:2" x14ac:dyDescent="0.2">
      <c r="A15276" s="12"/>
      <c r="B15276" s="13"/>
    </row>
    <row r="15277" spans="1:2" x14ac:dyDescent="0.2">
      <c r="A15277" s="12"/>
      <c r="B15277" s="13"/>
    </row>
    <row r="15278" spans="1:2" x14ac:dyDescent="0.2">
      <c r="A15278" s="12"/>
      <c r="B15278" s="13"/>
    </row>
    <row r="15279" spans="1:2" x14ac:dyDescent="0.2">
      <c r="A15279" s="12"/>
      <c r="B15279" s="13"/>
    </row>
    <row r="15280" spans="1:2" x14ac:dyDescent="0.2">
      <c r="A15280" s="12"/>
      <c r="B15280" s="13"/>
    </row>
    <row r="15281" spans="1:2" x14ac:dyDescent="0.2">
      <c r="A15281" s="12"/>
      <c r="B15281" s="13"/>
    </row>
    <row r="15282" spans="1:2" x14ac:dyDescent="0.2">
      <c r="A15282" s="12"/>
      <c r="B15282" s="13"/>
    </row>
    <row r="15283" spans="1:2" x14ac:dyDescent="0.2">
      <c r="A15283" s="12"/>
      <c r="B15283" s="13"/>
    </row>
    <row r="15284" spans="1:2" x14ac:dyDescent="0.2">
      <c r="A15284" s="12"/>
      <c r="B15284" s="13"/>
    </row>
    <row r="15285" spans="1:2" x14ac:dyDescent="0.2">
      <c r="A15285" s="12"/>
      <c r="B15285" s="13"/>
    </row>
    <row r="15286" spans="1:2" x14ac:dyDescent="0.2">
      <c r="A15286" s="12"/>
      <c r="B15286" s="13"/>
    </row>
    <row r="15287" spans="1:2" x14ac:dyDescent="0.2">
      <c r="A15287" s="12"/>
      <c r="B15287" s="13"/>
    </row>
    <row r="15288" spans="1:2" x14ac:dyDescent="0.2">
      <c r="A15288" s="12"/>
      <c r="B15288" s="13"/>
    </row>
    <row r="15289" spans="1:2" x14ac:dyDescent="0.2">
      <c r="A15289" s="12"/>
      <c r="B15289" s="13"/>
    </row>
    <row r="15290" spans="1:2" x14ac:dyDescent="0.2">
      <c r="A15290" s="12"/>
      <c r="B15290" s="13"/>
    </row>
    <row r="15291" spans="1:2" x14ac:dyDescent="0.2">
      <c r="A15291" s="12"/>
      <c r="B15291" s="13"/>
    </row>
    <row r="15292" spans="1:2" x14ac:dyDescent="0.2">
      <c r="A15292" s="12"/>
      <c r="B15292" s="13"/>
    </row>
    <row r="15293" spans="1:2" x14ac:dyDescent="0.2">
      <c r="A15293" s="12"/>
      <c r="B15293" s="13"/>
    </row>
    <row r="15294" spans="1:2" x14ac:dyDescent="0.2">
      <c r="A15294" s="12"/>
      <c r="B15294" s="13"/>
    </row>
    <row r="15295" spans="1:2" x14ac:dyDescent="0.2">
      <c r="A15295" s="12"/>
      <c r="B15295" s="13"/>
    </row>
    <row r="15296" spans="1:2" x14ac:dyDescent="0.2">
      <c r="A15296" s="12"/>
      <c r="B15296" s="13"/>
    </row>
    <row r="15297" spans="1:2" x14ac:dyDescent="0.2">
      <c r="A15297" s="12"/>
      <c r="B15297" s="13"/>
    </row>
    <row r="15298" spans="1:2" x14ac:dyDescent="0.2">
      <c r="A15298" s="12"/>
      <c r="B15298" s="13"/>
    </row>
    <row r="15299" spans="1:2" x14ac:dyDescent="0.2">
      <c r="A15299" s="12"/>
      <c r="B15299" s="13"/>
    </row>
    <row r="15300" spans="1:2" x14ac:dyDescent="0.2">
      <c r="A15300" s="12"/>
      <c r="B15300" s="13"/>
    </row>
    <row r="15301" spans="1:2" x14ac:dyDescent="0.2">
      <c r="A15301" s="12"/>
      <c r="B15301" s="13"/>
    </row>
    <row r="15302" spans="1:2" x14ac:dyDescent="0.2">
      <c r="A15302" s="12"/>
      <c r="B15302" s="13"/>
    </row>
    <row r="15303" spans="1:2" x14ac:dyDescent="0.2">
      <c r="A15303" s="12"/>
      <c r="B15303" s="13"/>
    </row>
    <row r="15304" spans="1:2" x14ac:dyDescent="0.2">
      <c r="A15304" s="12"/>
      <c r="B15304" s="13"/>
    </row>
    <row r="15305" spans="1:2" x14ac:dyDescent="0.2">
      <c r="A15305" s="12"/>
      <c r="B15305" s="13"/>
    </row>
    <row r="15306" spans="1:2" x14ac:dyDescent="0.2">
      <c r="A15306" s="12"/>
      <c r="B15306" s="13"/>
    </row>
    <row r="15307" spans="1:2" x14ac:dyDescent="0.2">
      <c r="A15307" s="12"/>
      <c r="B15307" s="13"/>
    </row>
    <row r="15308" spans="1:2" x14ac:dyDescent="0.2">
      <c r="A15308" s="12"/>
      <c r="B15308" s="13"/>
    </row>
    <row r="15309" spans="1:2" x14ac:dyDescent="0.2">
      <c r="A15309" s="12"/>
      <c r="B15309" s="13"/>
    </row>
    <row r="15310" spans="1:2" x14ac:dyDescent="0.2">
      <c r="A15310" s="12"/>
      <c r="B15310" s="13"/>
    </row>
    <row r="15311" spans="1:2" x14ac:dyDescent="0.2">
      <c r="A15311" s="12"/>
      <c r="B15311" s="13"/>
    </row>
    <row r="15312" spans="1:2" x14ac:dyDescent="0.2">
      <c r="A15312" s="12"/>
      <c r="B15312" s="13"/>
    </row>
    <row r="15313" spans="1:2" x14ac:dyDescent="0.2">
      <c r="A15313" s="12"/>
      <c r="B15313" s="13"/>
    </row>
    <row r="15314" spans="1:2" x14ac:dyDescent="0.2">
      <c r="A15314" s="12"/>
      <c r="B15314" s="13"/>
    </row>
    <row r="15315" spans="1:2" x14ac:dyDescent="0.2">
      <c r="A15315" s="12"/>
      <c r="B15315" s="13"/>
    </row>
    <row r="15316" spans="1:2" x14ac:dyDescent="0.2">
      <c r="A15316" s="12"/>
      <c r="B15316" s="13"/>
    </row>
    <row r="15317" spans="1:2" x14ac:dyDescent="0.2">
      <c r="A15317" s="12"/>
      <c r="B15317" s="13"/>
    </row>
    <row r="15318" spans="1:2" x14ac:dyDescent="0.2">
      <c r="A15318" s="12"/>
      <c r="B15318" s="13"/>
    </row>
    <row r="15319" spans="1:2" x14ac:dyDescent="0.2">
      <c r="A15319" s="12"/>
      <c r="B15319" s="13"/>
    </row>
    <row r="15320" spans="1:2" x14ac:dyDescent="0.2">
      <c r="A15320" s="12"/>
      <c r="B15320" s="13"/>
    </row>
    <row r="15321" spans="1:2" x14ac:dyDescent="0.2">
      <c r="A15321" s="12"/>
      <c r="B15321" s="13"/>
    </row>
    <row r="15322" spans="1:2" x14ac:dyDescent="0.2">
      <c r="A15322" s="12"/>
      <c r="B15322" s="13"/>
    </row>
    <row r="15323" spans="1:2" x14ac:dyDescent="0.2">
      <c r="A15323" s="12"/>
      <c r="B15323" s="13"/>
    </row>
    <row r="15324" spans="1:2" x14ac:dyDescent="0.2">
      <c r="A15324" s="12"/>
      <c r="B15324" s="13"/>
    </row>
    <row r="15325" spans="1:2" x14ac:dyDescent="0.2">
      <c r="A15325" s="12"/>
      <c r="B15325" s="13"/>
    </row>
    <row r="15326" spans="1:2" x14ac:dyDescent="0.2">
      <c r="A15326" s="12"/>
      <c r="B15326" s="13"/>
    </row>
    <row r="15327" spans="1:2" x14ac:dyDescent="0.2">
      <c r="A15327" s="12"/>
      <c r="B15327" s="13"/>
    </row>
    <row r="15328" spans="1:2" x14ac:dyDescent="0.2">
      <c r="A15328" s="12"/>
      <c r="B15328" s="13"/>
    </row>
    <row r="15329" spans="1:2" x14ac:dyDescent="0.2">
      <c r="A15329" s="12"/>
      <c r="B15329" s="13"/>
    </row>
    <row r="15330" spans="1:2" x14ac:dyDescent="0.2">
      <c r="A15330" s="12"/>
      <c r="B15330" s="13"/>
    </row>
    <row r="15331" spans="1:2" x14ac:dyDescent="0.2">
      <c r="A15331" s="12"/>
      <c r="B15331" s="13"/>
    </row>
    <row r="15332" spans="1:2" x14ac:dyDescent="0.2">
      <c r="A15332" s="12"/>
      <c r="B15332" s="13"/>
    </row>
    <row r="15333" spans="1:2" x14ac:dyDescent="0.2">
      <c r="A15333" s="12"/>
      <c r="B15333" s="13"/>
    </row>
    <row r="15334" spans="1:2" x14ac:dyDescent="0.2">
      <c r="A15334" s="12"/>
      <c r="B15334" s="13"/>
    </row>
    <row r="15335" spans="1:2" x14ac:dyDescent="0.2">
      <c r="A15335" s="12"/>
      <c r="B15335" s="13"/>
    </row>
    <row r="15336" spans="1:2" x14ac:dyDescent="0.2">
      <c r="A15336" s="12"/>
      <c r="B15336" s="13"/>
    </row>
    <row r="15337" spans="1:2" x14ac:dyDescent="0.2">
      <c r="A15337" s="12"/>
      <c r="B15337" s="13"/>
    </row>
    <row r="15338" spans="1:2" x14ac:dyDescent="0.2">
      <c r="A15338" s="12"/>
      <c r="B15338" s="13"/>
    </row>
    <row r="15339" spans="1:2" x14ac:dyDescent="0.2">
      <c r="A15339" s="12"/>
      <c r="B15339" s="13"/>
    </row>
    <row r="15340" spans="1:2" x14ac:dyDescent="0.2">
      <c r="A15340" s="12"/>
      <c r="B15340" s="13"/>
    </row>
    <row r="15341" spans="1:2" x14ac:dyDescent="0.2">
      <c r="A15341" s="12"/>
      <c r="B15341" s="13"/>
    </row>
    <row r="15342" spans="1:2" x14ac:dyDescent="0.2">
      <c r="A15342" s="12"/>
      <c r="B15342" s="13"/>
    </row>
    <row r="15343" spans="1:2" x14ac:dyDescent="0.2">
      <c r="A15343" s="12"/>
      <c r="B15343" s="13"/>
    </row>
    <row r="15344" spans="1:2" x14ac:dyDescent="0.2">
      <c r="A15344" s="12"/>
      <c r="B15344" s="13"/>
    </row>
    <row r="15345" spans="1:2" x14ac:dyDescent="0.2">
      <c r="A15345" s="12"/>
      <c r="B15345" s="13"/>
    </row>
    <row r="15346" spans="1:2" x14ac:dyDescent="0.2">
      <c r="A15346" s="12"/>
      <c r="B15346" s="13"/>
    </row>
    <row r="15347" spans="1:2" x14ac:dyDescent="0.2">
      <c r="A15347" s="12"/>
      <c r="B15347" s="13"/>
    </row>
    <row r="15348" spans="1:2" x14ac:dyDescent="0.2">
      <c r="A15348" s="12"/>
      <c r="B15348" s="13"/>
    </row>
    <row r="15349" spans="1:2" x14ac:dyDescent="0.2">
      <c r="A15349" s="12"/>
      <c r="B15349" s="13"/>
    </row>
    <row r="15350" spans="1:2" x14ac:dyDescent="0.2">
      <c r="A15350" s="12"/>
      <c r="B15350" s="13"/>
    </row>
    <row r="15351" spans="1:2" x14ac:dyDescent="0.2">
      <c r="A15351" s="12"/>
      <c r="B15351" s="13"/>
    </row>
    <row r="15352" spans="1:2" x14ac:dyDescent="0.2">
      <c r="A15352" s="12"/>
      <c r="B15352" s="13"/>
    </row>
    <row r="15353" spans="1:2" x14ac:dyDescent="0.2">
      <c r="A15353" s="12"/>
      <c r="B15353" s="13"/>
    </row>
    <row r="15354" spans="1:2" x14ac:dyDescent="0.2">
      <c r="A15354" s="12"/>
      <c r="B15354" s="13"/>
    </row>
    <row r="15355" spans="1:2" x14ac:dyDescent="0.2">
      <c r="A15355" s="12"/>
      <c r="B15355" s="13"/>
    </row>
    <row r="15356" spans="1:2" x14ac:dyDescent="0.2">
      <c r="A15356" s="12"/>
      <c r="B15356" s="13"/>
    </row>
    <row r="15357" spans="1:2" x14ac:dyDescent="0.2">
      <c r="A15357" s="12"/>
      <c r="B15357" s="13"/>
    </row>
    <row r="15358" spans="1:2" x14ac:dyDescent="0.2">
      <c r="A15358" s="12"/>
      <c r="B15358" s="13"/>
    </row>
    <row r="15359" spans="1:2" x14ac:dyDescent="0.2">
      <c r="A15359" s="12"/>
      <c r="B15359" s="13"/>
    </row>
    <row r="15360" spans="1:2" x14ac:dyDescent="0.2">
      <c r="A15360" s="12"/>
      <c r="B15360" s="13"/>
    </row>
    <row r="15361" spans="1:2" x14ac:dyDescent="0.2">
      <c r="A15361" s="12"/>
      <c r="B15361" s="13"/>
    </row>
    <row r="15362" spans="1:2" x14ac:dyDescent="0.2">
      <c r="A15362" s="12"/>
      <c r="B15362" s="13"/>
    </row>
    <row r="15363" spans="1:2" x14ac:dyDescent="0.2">
      <c r="A15363" s="12"/>
      <c r="B15363" s="13"/>
    </row>
    <row r="15364" spans="1:2" x14ac:dyDescent="0.2">
      <c r="A15364" s="12"/>
      <c r="B15364" s="13"/>
    </row>
    <row r="15365" spans="1:2" x14ac:dyDescent="0.2">
      <c r="A15365" s="12"/>
      <c r="B15365" s="13"/>
    </row>
    <row r="15366" spans="1:2" x14ac:dyDescent="0.2">
      <c r="A15366" s="12"/>
      <c r="B15366" s="13"/>
    </row>
    <row r="15367" spans="1:2" x14ac:dyDescent="0.2">
      <c r="A15367" s="12"/>
      <c r="B15367" s="13"/>
    </row>
    <row r="15368" spans="1:2" x14ac:dyDescent="0.2">
      <c r="A15368" s="12"/>
      <c r="B15368" s="13"/>
    </row>
    <row r="15369" spans="1:2" x14ac:dyDescent="0.2">
      <c r="A15369" s="12"/>
      <c r="B15369" s="13"/>
    </row>
    <row r="15370" spans="1:2" x14ac:dyDescent="0.2">
      <c r="A15370" s="12"/>
      <c r="B15370" s="13"/>
    </row>
    <row r="15371" spans="1:2" x14ac:dyDescent="0.2">
      <c r="A15371" s="12"/>
      <c r="B15371" s="13"/>
    </row>
    <row r="15372" spans="1:2" x14ac:dyDescent="0.2">
      <c r="A15372" s="12"/>
      <c r="B15372" s="13"/>
    </row>
    <row r="15373" spans="1:2" x14ac:dyDescent="0.2">
      <c r="A15373" s="12"/>
      <c r="B15373" s="13"/>
    </row>
    <row r="15374" spans="1:2" x14ac:dyDescent="0.2">
      <c r="A15374" s="12"/>
      <c r="B15374" s="13"/>
    </row>
    <row r="15375" spans="1:2" x14ac:dyDescent="0.2">
      <c r="A15375" s="12"/>
      <c r="B15375" s="13"/>
    </row>
    <row r="15376" spans="1:2" x14ac:dyDescent="0.2">
      <c r="A15376" s="12"/>
      <c r="B15376" s="13"/>
    </row>
    <row r="15377" spans="1:2" x14ac:dyDescent="0.2">
      <c r="A15377" s="12"/>
      <c r="B15377" s="13"/>
    </row>
    <row r="15378" spans="1:2" x14ac:dyDescent="0.2">
      <c r="A15378" s="12"/>
      <c r="B15378" s="13"/>
    </row>
    <row r="15379" spans="1:2" x14ac:dyDescent="0.2">
      <c r="A15379" s="12"/>
      <c r="B15379" s="13"/>
    </row>
    <row r="15380" spans="1:2" x14ac:dyDescent="0.2">
      <c r="A15380" s="12"/>
      <c r="B15380" s="13"/>
    </row>
    <row r="15381" spans="1:2" x14ac:dyDescent="0.2">
      <c r="A15381" s="12"/>
      <c r="B15381" s="13"/>
    </row>
    <row r="15382" spans="1:2" x14ac:dyDescent="0.2">
      <c r="A15382" s="12"/>
      <c r="B15382" s="13"/>
    </row>
    <row r="15383" spans="1:2" x14ac:dyDescent="0.2">
      <c r="A15383" s="12"/>
      <c r="B15383" s="13"/>
    </row>
    <row r="15384" spans="1:2" x14ac:dyDescent="0.2">
      <c r="A15384" s="12"/>
      <c r="B15384" s="13"/>
    </row>
    <row r="15385" spans="1:2" x14ac:dyDescent="0.2">
      <c r="A15385" s="12"/>
      <c r="B15385" s="13"/>
    </row>
    <row r="15386" spans="1:2" x14ac:dyDescent="0.2">
      <c r="A15386" s="12"/>
      <c r="B15386" s="13"/>
    </row>
    <row r="15387" spans="1:2" x14ac:dyDescent="0.2">
      <c r="A15387" s="12"/>
      <c r="B15387" s="13"/>
    </row>
    <row r="15388" spans="1:2" x14ac:dyDescent="0.2">
      <c r="A15388" s="12"/>
      <c r="B15388" s="13"/>
    </row>
    <row r="15389" spans="1:2" x14ac:dyDescent="0.2">
      <c r="A15389" s="12"/>
      <c r="B15389" s="13"/>
    </row>
    <row r="15390" spans="1:2" x14ac:dyDescent="0.2">
      <c r="A15390" s="12"/>
      <c r="B15390" s="13"/>
    </row>
    <row r="15391" spans="1:2" x14ac:dyDescent="0.2">
      <c r="A15391" s="12"/>
      <c r="B15391" s="13"/>
    </row>
    <row r="15392" spans="1:2" x14ac:dyDescent="0.2">
      <c r="A15392" s="12"/>
      <c r="B15392" s="13"/>
    </row>
    <row r="15393" spans="1:2" x14ac:dyDescent="0.2">
      <c r="A15393" s="12"/>
      <c r="B15393" s="13"/>
    </row>
    <row r="15394" spans="1:2" x14ac:dyDescent="0.2">
      <c r="A15394" s="12"/>
      <c r="B15394" s="13"/>
    </row>
    <row r="15395" spans="1:2" x14ac:dyDescent="0.2">
      <c r="A15395" s="12"/>
      <c r="B15395" s="13"/>
    </row>
    <row r="15396" spans="1:2" x14ac:dyDescent="0.2">
      <c r="A15396" s="12"/>
      <c r="B15396" s="13"/>
    </row>
    <row r="15397" spans="1:2" x14ac:dyDescent="0.2">
      <c r="A15397" s="12"/>
      <c r="B15397" s="13"/>
    </row>
    <row r="15398" spans="1:2" x14ac:dyDescent="0.2">
      <c r="A15398" s="12"/>
      <c r="B15398" s="13"/>
    </row>
    <row r="15399" spans="1:2" x14ac:dyDescent="0.2">
      <c r="A15399" s="12"/>
      <c r="B15399" s="13"/>
    </row>
    <row r="15400" spans="1:2" x14ac:dyDescent="0.2">
      <c r="A15400" s="12"/>
      <c r="B15400" s="13"/>
    </row>
    <row r="15401" spans="1:2" x14ac:dyDescent="0.2">
      <c r="A15401" s="12"/>
      <c r="B15401" s="13"/>
    </row>
    <row r="15402" spans="1:2" x14ac:dyDescent="0.2">
      <c r="A15402" s="12"/>
      <c r="B15402" s="13"/>
    </row>
    <row r="15403" spans="1:2" x14ac:dyDescent="0.2">
      <c r="A15403" s="12"/>
      <c r="B15403" s="13"/>
    </row>
    <row r="15404" spans="1:2" x14ac:dyDescent="0.2">
      <c r="A15404" s="12"/>
      <c r="B15404" s="13"/>
    </row>
    <row r="15405" spans="1:2" x14ac:dyDescent="0.2">
      <c r="A15405" s="12"/>
      <c r="B15405" s="13"/>
    </row>
    <row r="15406" spans="1:2" x14ac:dyDescent="0.2">
      <c r="A15406" s="12"/>
      <c r="B15406" s="13"/>
    </row>
    <row r="15407" spans="1:2" x14ac:dyDescent="0.2">
      <c r="A15407" s="12"/>
      <c r="B15407" s="13"/>
    </row>
    <row r="15408" spans="1:2" x14ac:dyDescent="0.2">
      <c r="A15408" s="12"/>
      <c r="B15408" s="13"/>
    </row>
    <row r="15409" spans="1:2" x14ac:dyDescent="0.2">
      <c r="A15409" s="12"/>
      <c r="B15409" s="13"/>
    </row>
    <row r="15410" spans="1:2" x14ac:dyDescent="0.2">
      <c r="A15410" s="12"/>
      <c r="B15410" s="13"/>
    </row>
    <row r="15411" spans="1:2" x14ac:dyDescent="0.2">
      <c r="A15411" s="12"/>
      <c r="B15411" s="13"/>
    </row>
    <row r="15412" spans="1:2" x14ac:dyDescent="0.2">
      <c r="A15412" s="12"/>
      <c r="B15412" s="13"/>
    </row>
    <row r="15413" spans="1:2" x14ac:dyDescent="0.2">
      <c r="A15413" s="12"/>
      <c r="B15413" s="13"/>
    </row>
    <row r="15414" spans="1:2" x14ac:dyDescent="0.2">
      <c r="A15414" s="12"/>
      <c r="B15414" s="13"/>
    </row>
    <row r="15415" spans="1:2" x14ac:dyDescent="0.2">
      <c r="A15415" s="12"/>
      <c r="B15415" s="13"/>
    </row>
    <row r="15416" spans="1:2" x14ac:dyDescent="0.2">
      <c r="A15416" s="12"/>
      <c r="B15416" s="13"/>
    </row>
    <row r="15417" spans="1:2" x14ac:dyDescent="0.2">
      <c r="A15417" s="12"/>
      <c r="B15417" s="13"/>
    </row>
    <row r="15418" spans="1:2" x14ac:dyDescent="0.2">
      <c r="A15418" s="12"/>
      <c r="B15418" s="13"/>
    </row>
    <row r="15419" spans="1:2" x14ac:dyDescent="0.2">
      <c r="A15419" s="12"/>
      <c r="B15419" s="13"/>
    </row>
    <row r="15420" spans="1:2" x14ac:dyDescent="0.2">
      <c r="A15420" s="12"/>
      <c r="B15420" s="13"/>
    </row>
    <row r="15421" spans="1:2" x14ac:dyDescent="0.2">
      <c r="A15421" s="12"/>
      <c r="B15421" s="13"/>
    </row>
    <row r="15422" spans="1:2" x14ac:dyDescent="0.2">
      <c r="A15422" s="12"/>
      <c r="B15422" s="13"/>
    </row>
    <row r="15423" spans="1:2" x14ac:dyDescent="0.2">
      <c r="A15423" s="12"/>
      <c r="B15423" s="13"/>
    </row>
    <row r="15424" spans="1:2" x14ac:dyDescent="0.2">
      <c r="A15424" s="12"/>
      <c r="B15424" s="13"/>
    </row>
    <row r="15425" spans="1:2" x14ac:dyDescent="0.2">
      <c r="A15425" s="12"/>
      <c r="B15425" s="13"/>
    </row>
    <row r="15426" spans="1:2" x14ac:dyDescent="0.2">
      <c r="A15426" s="12"/>
      <c r="B15426" s="13"/>
    </row>
    <row r="15427" spans="1:2" x14ac:dyDescent="0.2">
      <c r="A15427" s="12"/>
      <c r="B15427" s="13"/>
    </row>
    <row r="15428" spans="1:2" x14ac:dyDescent="0.2">
      <c r="A15428" s="12"/>
      <c r="B15428" s="13"/>
    </row>
    <row r="15429" spans="1:2" x14ac:dyDescent="0.2">
      <c r="A15429" s="12"/>
      <c r="B15429" s="13"/>
    </row>
    <row r="15430" spans="1:2" x14ac:dyDescent="0.2">
      <c r="A15430" s="12"/>
      <c r="B15430" s="13"/>
    </row>
    <row r="15431" spans="1:2" x14ac:dyDescent="0.2">
      <c r="A15431" s="12"/>
      <c r="B15431" s="13"/>
    </row>
    <row r="15432" spans="1:2" x14ac:dyDescent="0.2">
      <c r="A15432" s="12"/>
      <c r="B15432" s="13"/>
    </row>
    <row r="15433" spans="1:2" x14ac:dyDescent="0.2">
      <c r="A15433" s="12"/>
      <c r="B15433" s="13"/>
    </row>
    <row r="15434" spans="1:2" x14ac:dyDescent="0.2">
      <c r="A15434" s="12"/>
      <c r="B15434" s="13"/>
    </row>
    <row r="15435" spans="1:2" x14ac:dyDescent="0.2">
      <c r="A15435" s="12"/>
      <c r="B15435" s="13"/>
    </row>
    <row r="15436" spans="1:2" x14ac:dyDescent="0.2">
      <c r="A15436" s="12"/>
      <c r="B15436" s="13"/>
    </row>
    <row r="15437" spans="1:2" x14ac:dyDescent="0.2">
      <c r="A15437" s="12"/>
      <c r="B15437" s="13"/>
    </row>
    <row r="15438" spans="1:2" x14ac:dyDescent="0.2">
      <c r="A15438" s="12"/>
      <c r="B15438" s="13"/>
    </row>
    <row r="15439" spans="1:2" x14ac:dyDescent="0.2">
      <c r="A15439" s="12"/>
      <c r="B15439" s="13"/>
    </row>
    <row r="15440" spans="1:2" x14ac:dyDescent="0.2">
      <c r="A15440" s="12"/>
      <c r="B15440" s="13"/>
    </row>
    <row r="15441" spans="1:2" x14ac:dyDescent="0.2">
      <c r="A15441" s="12"/>
      <c r="B15441" s="13"/>
    </row>
    <row r="15442" spans="1:2" x14ac:dyDescent="0.2">
      <c r="A15442" s="12"/>
      <c r="B15442" s="13"/>
    </row>
    <row r="15443" spans="1:2" x14ac:dyDescent="0.2">
      <c r="A15443" s="12"/>
      <c r="B15443" s="13"/>
    </row>
    <row r="15444" spans="1:2" x14ac:dyDescent="0.2">
      <c r="A15444" s="12"/>
      <c r="B15444" s="13"/>
    </row>
    <row r="15445" spans="1:2" x14ac:dyDescent="0.2">
      <c r="A15445" s="12"/>
      <c r="B15445" s="13"/>
    </row>
    <row r="15446" spans="1:2" x14ac:dyDescent="0.2">
      <c r="A15446" s="12"/>
      <c r="B15446" s="13"/>
    </row>
    <row r="15447" spans="1:2" x14ac:dyDescent="0.2">
      <c r="A15447" s="12"/>
      <c r="B15447" s="13"/>
    </row>
    <row r="15448" spans="1:2" x14ac:dyDescent="0.2">
      <c r="A15448" s="12"/>
      <c r="B15448" s="13"/>
    </row>
    <row r="15449" spans="1:2" x14ac:dyDescent="0.2">
      <c r="A15449" s="12"/>
      <c r="B15449" s="13"/>
    </row>
    <row r="15450" spans="1:2" x14ac:dyDescent="0.2">
      <c r="A15450" s="12"/>
      <c r="B15450" s="13"/>
    </row>
    <row r="15451" spans="1:2" x14ac:dyDescent="0.2">
      <c r="A15451" s="12"/>
      <c r="B15451" s="13"/>
    </row>
    <row r="15452" spans="1:2" x14ac:dyDescent="0.2">
      <c r="A15452" s="12"/>
      <c r="B15452" s="13"/>
    </row>
    <row r="15453" spans="1:2" x14ac:dyDescent="0.2">
      <c r="A15453" s="12"/>
      <c r="B15453" s="13"/>
    </row>
    <row r="15454" spans="1:2" x14ac:dyDescent="0.2">
      <c r="A15454" s="12"/>
      <c r="B15454" s="13"/>
    </row>
    <row r="15455" spans="1:2" x14ac:dyDescent="0.2">
      <c r="A15455" s="12"/>
      <c r="B15455" s="13"/>
    </row>
    <row r="15456" spans="1:2" x14ac:dyDescent="0.2">
      <c r="A15456" s="12"/>
      <c r="B15456" s="13"/>
    </row>
    <row r="15457" spans="1:2" x14ac:dyDescent="0.2">
      <c r="A15457" s="12"/>
      <c r="B15457" s="13"/>
    </row>
    <row r="15458" spans="1:2" x14ac:dyDescent="0.2">
      <c r="A15458" s="12"/>
      <c r="B15458" s="13"/>
    </row>
    <row r="15459" spans="1:2" x14ac:dyDescent="0.2">
      <c r="A15459" s="12"/>
      <c r="B15459" s="13"/>
    </row>
    <row r="15460" spans="1:2" x14ac:dyDescent="0.2">
      <c r="A15460" s="12"/>
      <c r="B15460" s="13"/>
    </row>
    <row r="15461" spans="1:2" x14ac:dyDescent="0.2">
      <c r="A15461" s="12"/>
      <c r="B15461" s="13"/>
    </row>
    <row r="15462" spans="1:2" x14ac:dyDescent="0.2">
      <c r="A15462" s="12"/>
      <c r="B15462" s="13"/>
    </row>
    <row r="15463" spans="1:2" x14ac:dyDescent="0.2">
      <c r="A15463" s="12"/>
      <c r="B15463" s="13"/>
    </row>
    <row r="15464" spans="1:2" x14ac:dyDescent="0.2">
      <c r="A15464" s="12"/>
      <c r="B15464" s="13"/>
    </row>
    <row r="15465" spans="1:2" x14ac:dyDescent="0.2">
      <c r="A15465" s="12"/>
      <c r="B15465" s="13"/>
    </row>
    <row r="15466" spans="1:2" x14ac:dyDescent="0.2">
      <c r="A15466" s="12"/>
      <c r="B15466" s="13"/>
    </row>
    <row r="15467" spans="1:2" x14ac:dyDescent="0.2">
      <c r="A15467" s="12"/>
      <c r="B15467" s="13"/>
    </row>
    <row r="15468" spans="1:2" x14ac:dyDescent="0.2">
      <c r="A15468" s="12"/>
      <c r="B15468" s="13"/>
    </row>
    <row r="15469" spans="1:2" x14ac:dyDescent="0.2">
      <c r="A15469" s="12"/>
      <c r="B15469" s="13"/>
    </row>
    <row r="15470" spans="1:2" x14ac:dyDescent="0.2">
      <c r="A15470" s="12"/>
      <c r="B15470" s="13"/>
    </row>
    <row r="15471" spans="1:2" x14ac:dyDescent="0.2">
      <c r="A15471" s="12"/>
      <c r="B15471" s="13"/>
    </row>
    <row r="15472" spans="1:2" x14ac:dyDescent="0.2">
      <c r="A15472" s="12"/>
      <c r="B15472" s="13"/>
    </row>
    <row r="15473" spans="1:2" x14ac:dyDescent="0.2">
      <c r="A15473" s="12"/>
      <c r="B15473" s="13"/>
    </row>
    <row r="15474" spans="1:2" x14ac:dyDescent="0.2">
      <c r="A15474" s="12"/>
      <c r="B15474" s="13"/>
    </row>
    <row r="15475" spans="1:2" x14ac:dyDescent="0.2">
      <c r="A15475" s="12"/>
      <c r="B15475" s="13"/>
    </row>
    <row r="15476" spans="1:2" x14ac:dyDescent="0.2">
      <c r="A15476" s="12"/>
      <c r="B15476" s="13"/>
    </row>
    <row r="15477" spans="1:2" x14ac:dyDescent="0.2">
      <c r="A15477" s="12"/>
      <c r="B15477" s="13"/>
    </row>
    <row r="15478" spans="1:2" x14ac:dyDescent="0.2">
      <c r="A15478" s="12"/>
      <c r="B15478" s="13"/>
    </row>
    <row r="15479" spans="1:2" x14ac:dyDescent="0.2">
      <c r="A15479" s="12"/>
      <c r="B15479" s="13"/>
    </row>
    <row r="15480" spans="1:2" x14ac:dyDescent="0.2">
      <c r="A15480" s="12"/>
      <c r="B15480" s="13"/>
    </row>
    <row r="15481" spans="1:2" x14ac:dyDescent="0.2">
      <c r="A15481" s="12"/>
      <c r="B15481" s="13"/>
    </row>
    <row r="15482" spans="1:2" x14ac:dyDescent="0.2">
      <c r="A15482" s="12"/>
      <c r="B15482" s="13"/>
    </row>
    <row r="15483" spans="1:2" x14ac:dyDescent="0.2">
      <c r="A15483" s="12"/>
      <c r="B15483" s="13"/>
    </row>
    <row r="15484" spans="1:2" x14ac:dyDescent="0.2">
      <c r="A15484" s="12"/>
      <c r="B15484" s="13"/>
    </row>
    <row r="15485" spans="1:2" x14ac:dyDescent="0.2">
      <c r="A15485" s="12"/>
      <c r="B15485" s="13"/>
    </row>
    <row r="15486" spans="1:2" x14ac:dyDescent="0.2">
      <c r="A15486" s="12"/>
      <c r="B15486" s="13"/>
    </row>
    <row r="15487" spans="1:2" x14ac:dyDescent="0.2">
      <c r="A15487" s="12"/>
      <c r="B15487" s="13"/>
    </row>
    <row r="15488" spans="1:2" x14ac:dyDescent="0.2">
      <c r="A15488" s="12"/>
      <c r="B15488" s="13"/>
    </row>
    <row r="15489" spans="1:2" x14ac:dyDescent="0.2">
      <c r="A15489" s="12"/>
      <c r="B15489" s="13"/>
    </row>
    <row r="15490" spans="1:2" x14ac:dyDescent="0.2">
      <c r="A15490" s="12"/>
      <c r="B15490" s="13"/>
    </row>
    <row r="15491" spans="1:2" x14ac:dyDescent="0.2">
      <c r="A15491" s="12"/>
      <c r="B15491" s="13"/>
    </row>
    <row r="15492" spans="1:2" x14ac:dyDescent="0.2">
      <c r="A15492" s="12"/>
      <c r="B15492" s="13"/>
    </row>
    <row r="15493" spans="1:2" x14ac:dyDescent="0.2">
      <c r="A15493" s="12"/>
      <c r="B15493" s="13"/>
    </row>
    <row r="15494" spans="1:2" x14ac:dyDescent="0.2">
      <c r="A15494" s="12"/>
      <c r="B15494" s="13"/>
    </row>
    <row r="15495" spans="1:2" x14ac:dyDescent="0.2">
      <c r="A15495" s="12"/>
      <c r="B15495" s="13"/>
    </row>
    <row r="15496" spans="1:2" x14ac:dyDescent="0.2">
      <c r="A15496" s="12"/>
      <c r="B15496" s="13"/>
    </row>
    <row r="15497" spans="1:2" x14ac:dyDescent="0.2">
      <c r="A15497" s="12"/>
      <c r="B15497" s="13"/>
    </row>
    <row r="15498" spans="1:2" x14ac:dyDescent="0.2">
      <c r="A15498" s="12"/>
      <c r="B15498" s="13"/>
    </row>
    <row r="15499" spans="1:2" x14ac:dyDescent="0.2">
      <c r="A15499" s="12"/>
      <c r="B15499" s="13"/>
    </row>
    <row r="15500" spans="1:2" x14ac:dyDescent="0.2">
      <c r="A15500" s="12"/>
      <c r="B15500" s="13"/>
    </row>
    <row r="15501" spans="1:2" x14ac:dyDescent="0.2">
      <c r="A15501" s="12"/>
      <c r="B15501" s="13"/>
    </row>
    <row r="15502" spans="1:2" x14ac:dyDescent="0.2">
      <c r="A15502" s="12"/>
      <c r="B15502" s="13"/>
    </row>
    <row r="15503" spans="1:2" x14ac:dyDescent="0.2">
      <c r="A15503" s="12"/>
      <c r="B15503" s="13"/>
    </row>
    <row r="15504" spans="1:2" x14ac:dyDescent="0.2">
      <c r="A15504" s="12"/>
      <c r="B15504" s="13"/>
    </row>
    <row r="15505" spans="1:2" x14ac:dyDescent="0.2">
      <c r="A15505" s="12"/>
      <c r="B15505" s="13"/>
    </row>
    <row r="15506" spans="1:2" x14ac:dyDescent="0.2">
      <c r="A15506" s="12"/>
      <c r="B15506" s="13"/>
    </row>
    <row r="15507" spans="1:2" x14ac:dyDescent="0.2">
      <c r="A15507" s="12"/>
      <c r="B15507" s="13"/>
    </row>
    <row r="15508" spans="1:2" x14ac:dyDescent="0.2">
      <c r="A15508" s="12"/>
      <c r="B15508" s="13"/>
    </row>
    <row r="15509" spans="1:2" x14ac:dyDescent="0.2">
      <c r="A15509" s="12"/>
      <c r="B15509" s="13"/>
    </row>
    <row r="15510" spans="1:2" x14ac:dyDescent="0.2">
      <c r="A15510" s="12"/>
      <c r="B15510" s="13"/>
    </row>
    <row r="15511" spans="1:2" x14ac:dyDescent="0.2">
      <c r="A15511" s="12"/>
      <c r="B15511" s="13"/>
    </row>
    <row r="15512" spans="1:2" x14ac:dyDescent="0.2">
      <c r="A15512" s="12"/>
      <c r="B15512" s="13"/>
    </row>
    <row r="15513" spans="1:2" x14ac:dyDescent="0.2">
      <c r="A15513" s="12"/>
      <c r="B15513" s="13"/>
    </row>
    <row r="15514" spans="1:2" x14ac:dyDescent="0.2">
      <c r="A15514" s="12"/>
      <c r="B15514" s="13"/>
    </row>
    <row r="15515" spans="1:2" x14ac:dyDescent="0.2">
      <c r="A15515" s="12"/>
      <c r="B15515" s="13"/>
    </row>
    <row r="15516" spans="1:2" x14ac:dyDescent="0.2">
      <c r="A15516" s="12"/>
      <c r="B15516" s="13"/>
    </row>
    <row r="15517" spans="1:2" x14ac:dyDescent="0.2">
      <c r="A15517" s="12"/>
      <c r="B15517" s="13"/>
    </row>
    <row r="15518" spans="1:2" x14ac:dyDescent="0.2">
      <c r="A15518" s="12"/>
      <c r="B15518" s="13"/>
    </row>
    <row r="15519" spans="1:2" x14ac:dyDescent="0.2">
      <c r="A15519" s="12"/>
      <c r="B15519" s="13"/>
    </row>
    <row r="15520" spans="1:2" x14ac:dyDescent="0.2">
      <c r="A15520" s="12"/>
      <c r="B15520" s="13"/>
    </row>
    <row r="15521" spans="1:2" x14ac:dyDescent="0.2">
      <c r="A15521" s="12"/>
      <c r="B15521" s="13"/>
    </row>
    <row r="15522" spans="1:2" x14ac:dyDescent="0.2">
      <c r="A15522" s="12"/>
      <c r="B15522" s="13"/>
    </row>
    <row r="15523" spans="1:2" x14ac:dyDescent="0.2">
      <c r="A15523" s="12"/>
      <c r="B15523" s="13"/>
    </row>
    <row r="15524" spans="1:2" x14ac:dyDescent="0.2">
      <c r="A15524" s="12"/>
      <c r="B15524" s="13"/>
    </row>
    <row r="15525" spans="1:2" x14ac:dyDescent="0.2">
      <c r="A15525" s="12"/>
      <c r="B15525" s="13"/>
    </row>
    <row r="15526" spans="1:2" x14ac:dyDescent="0.2">
      <c r="A15526" s="12"/>
      <c r="B15526" s="13"/>
    </row>
    <row r="15527" spans="1:2" x14ac:dyDescent="0.2">
      <c r="A15527" s="12"/>
      <c r="B15527" s="13"/>
    </row>
    <row r="15528" spans="1:2" x14ac:dyDescent="0.2">
      <c r="A15528" s="12"/>
      <c r="B15528" s="13"/>
    </row>
    <row r="15529" spans="1:2" x14ac:dyDescent="0.2">
      <c r="A15529" s="12"/>
      <c r="B15529" s="13"/>
    </row>
    <row r="15530" spans="1:2" x14ac:dyDescent="0.2">
      <c r="A15530" s="12"/>
      <c r="B15530" s="13"/>
    </row>
    <row r="15531" spans="1:2" x14ac:dyDescent="0.2">
      <c r="A15531" s="12"/>
      <c r="B15531" s="13"/>
    </row>
    <row r="15532" spans="1:2" x14ac:dyDescent="0.2">
      <c r="A15532" s="12"/>
      <c r="B15532" s="13"/>
    </row>
    <row r="15533" spans="1:2" x14ac:dyDescent="0.2">
      <c r="A15533" s="12"/>
      <c r="B15533" s="13"/>
    </row>
    <row r="15534" spans="1:2" x14ac:dyDescent="0.2">
      <c r="A15534" s="12"/>
      <c r="B15534" s="13"/>
    </row>
    <row r="15535" spans="1:2" x14ac:dyDescent="0.2">
      <c r="A15535" s="12"/>
      <c r="B15535" s="13"/>
    </row>
    <row r="15536" spans="1:2" x14ac:dyDescent="0.2">
      <c r="A15536" s="12"/>
      <c r="B15536" s="13"/>
    </row>
    <row r="15537" spans="1:2" x14ac:dyDescent="0.2">
      <c r="A15537" s="12"/>
      <c r="B15537" s="13"/>
    </row>
    <row r="15538" spans="1:2" x14ac:dyDescent="0.2">
      <c r="A15538" s="12"/>
      <c r="B15538" s="13"/>
    </row>
    <row r="15539" spans="1:2" x14ac:dyDescent="0.2">
      <c r="A15539" s="12"/>
      <c r="B15539" s="13"/>
    </row>
    <row r="15540" spans="1:2" x14ac:dyDescent="0.2">
      <c r="A15540" s="12"/>
      <c r="B15540" s="13"/>
    </row>
    <row r="15541" spans="1:2" x14ac:dyDescent="0.2">
      <c r="A15541" s="12"/>
      <c r="B15541" s="13"/>
    </row>
    <row r="15542" spans="1:2" x14ac:dyDescent="0.2">
      <c r="A15542" s="12"/>
      <c r="B15542" s="13"/>
    </row>
    <row r="15543" spans="1:2" x14ac:dyDescent="0.2">
      <c r="A15543" s="12"/>
      <c r="B15543" s="13"/>
    </row>
    <row r="15544" spans="1:2" x14ac:dyDescent="0.2">
      <c r="A15544" s="12"/>
      <c r="B15544" s="13"/>
    </row>
    <row r="15545" spans="1:2" x14ac:dyDescent="0.2">
      <c r="A15545" s="12"/>
      <c r="B15545" s="13"/>
    </row>
    <row r="15546" spans="1:2" x14ac:dyDescent="0.2">
      <c r="A15546" s="12"/>
      <c r="B15546" s="13"/>
    </row>
    <row r="15547" spans="1:2" x14ac:dyDescent="0.2">
      <c r="A15547" s="12"/>
      <c r="B15547" s="13"/>
    </row>
    <row r="15548" spans="1:2" x14ac:dyDescent="0.2">
      <c r="A15548" s="12"/>
      <c r="B15548" s="13"/>
    </row>
    <row r="15549" spans="1:2" x14ac:dyDescent="0.2">
      <c r="A15549" s="12"/>
      <c r="B15549" s="13"/>
    </row>
    <row r="15550" spans="1:2" x14ac:dyDescent="0.2">
      <c r="A15550" s="12"/>
      <c r="B15550" s="13"/>
    </row>
    <row r="15551" spans="1:2" x14ac:dyDescent="0.2">
      <c r="A15551" s="12"/>
      <c r="B15551" s="13"/>
    </row>
    <row r="15552" spans="1:2" x14ac:dyDescent="0.2">
      <c r="A15552" s="12"/>
      <c r="B15552" s="13"/>
    </row>
    <row r="15553" spans="1:2" x14ac:dyDescent="0.2">
      <c r="A15553" s="12"/>
      <c r="B15553" s="13"/>
    </row>
    <row r="15554" spans="1:2" x14ac:dyDescent="0.2">
      <c r="A15554" s="12"/>
      <c r="B15554" s="13"/>
    </row>
    <row r="15555" spans="1:2" x14ac:dyDescent="0.2">
      <c r="A15555" s="12"/>
      <c r="B15555" s="13"/>
    </row>
    <row r="15556" spans="1:2" x14ac:dyDescent="0.2">
      <c r="A15556" s="12"/>
      <c r="B15556" s="13"/>
    </row>
    <row r="15557" spans="1:2" x14ac:dyDescent="0.2">
      <c r="A15557" s="12"/>
      <c r="B15557" s="13"/>
    </row>
    <row r="15558" spans="1:2" x14ac:dyDescent="0.2">
      <c r="A15558" s="12"/>
      <c r="B15558" s="13"/>
    </row>
    <row r="15559" spans="1:2" x14ac:dyDescent="0.2">
      <c r="A15559" s="12"/>
      <c r="B15559" s="13"/>
    </row>
    <row r="15560" spans="1:2" x14ac:dyDescent="0.2">
      <c r="A15560" s="12"/>
      <c r="B15560" s="13"/>
    </row>
    <row r="15561" spans="1:2" x14ac:dyDescent="0.2">
      <c r="A15561" s="12"/>
      <c r="B15561" s="13"/>
    </row>
    <row r="15562" spans="1:2" x14ac:dyDescent="0.2">
      <c r="A15562" s="12"/>
      <c r="B15562" s="13"/>
    </row>
    <row r="15563" spans="1:2" x14ac:dyDescent="0.2">
      <c r="A15563" s="12"/>
      <c r="B15563" s="13"/>
    </row>
    <row r="15564" spans="1:2" x14ac:dyDescent="0.2">
      <c r="A15564" s="12"/>
      <c r="B15564" s="13"/>
    </row>
    <row r="15565" spans="1:2" x14ac:dyDescent="0.2">
      <c r="A15565" s="12"/>
      <c r="B15565" s="13"/>
    </row>
    <row r="15566" spans="1:2" x14ac:dyDescent="0.2">
      <c r="A15566" s="12"/>
      <c r="B15566" s="13"/>
    </row>
    <row r="15567" spans="1:2" x14ac:dyDescent="0.2">
      <c r="A15567" s="12"/>
      <c r="B15567" s="13"/>
    </row>
    <row r="15568" spans="1:2" x14ac:dyDescent="0.2">
      <c r="A15568" s="12"/>
      <c r="B15568" s="13"/>
    </row>
    <row r="15569" spans="1:2" x14ac:dyDescent="0.2">
      <c r="A15569" s="12"/>
      <c r="B15569" s="13"/>
    </row>
    <row r="15570" spans="1:2" x14ac:dyDescent="0.2">
      <c r="A15570" s="12"/>
      <c r="B15570" s="13"/>
    </row>
    <row r="15571" spans="1:2" x14ac:dyDescent="0.2">
      <c r="A15571" s="12"/>
      <c r="B15571" s="13"/>
    </row>
    <row r="15572" spans="1:2" x14ac:dyDescent="0.2">
      <c r="A15572" s="12"/>
      <c r="B15572" s="13"/>
    </row>
    <row r="15573" spans="1:2" x14ac:dyDescent="0.2">
      <c r="A15573" s="12"/>
      <c r="B15573" s="13"/>
    </row>
    <row r="15574" spans="1:2" x14ac:dyDescent="0.2">
      <c r="A15574" s="12"/>
      <c r="B15574" s="13"/>
    </row>
    <row r="15575" spans="1:2" x14ac:dyDescent="0.2">
      <c r="A15575" s="12"/>
      <c r="B15575" s="13"/>
    </row>
    <row r="15576" spans="1:2" x14ac:dyDescent="0.2">
      <c r="A15576" s="12"/>
      <c r="B15576" s="13"/>
    </row>
    <row r="15577" spans="1:2" x14ac:dyDescent="0.2">
      <c r="A15577" s="12"/>
      <c r="B15577" s="13"/>
    </row>
    <row r="15578" spans="1:2" x14ac:dyDescent="0.2">
      <c r="A15578" s="12"/>
      <c r="B15578" s="13"/>
    </row>
    <row r="15579" spans="1:2" x14ac:dyDescent="0.2">
      <c r="A15579" s="12"/>
      <c r="B15579" s="13"/>
    </row>
    <row r="15580" spans="1:2" x14ac:dyDescent="0.2">
      <c r="A15580" s="12"/>
      <c r="B15580" s="13"/>
    </row>
    <row r="15581" spans="1:2" x14ac:dyDescent="0.2">
      <c r="A15581" s="12"/>
      <c r="B15581" s="13"/>
    </row>
    <row r="15582" spans="1:2" x14ac:dyDescent="0.2">
      <c r="A15582" s="12"/>
      <c r="B15582" s="13"/>
    </row>
    <row r="15583" spans="1:2" x14ac:dyDescent="0.2">
      <c r="A15583" s="12"/>
      <c r="B15583" s="13"/>
    </row>
    <row r="15584" spans="1:2" x14ac:dyDescent="0.2">
      <c r="A15584" s="12"/>
      <c r="B15584" s="13"/>
    </row>
    <row r="15585" spans="1:2" x14ac:dyDescent="0.2">
      <c r="A15585" s="12"/>
      <c r="B15585" s="13"/>
    </row>
    <row r="15586" spans="1:2" x14ac:dyDescent="0.2">
      <c r="A15586" s="12"/>
      <c r="B15586" s="13"/>
    </row>
    <row r="15587" spans="1:2" x14ac:dyDescent="0.2">
      <c r="A15587" s="12"/>
      <c r="B15587" s="13"/>
    </row>
    <row r="15588" spans="1:2" x14ac:dyDescent="0.2">
      <c r="A15588" s="12"/>
      <c r="B15588" s="13"/>
    </row>
    <row r="15589" spans="1:2" x14ac:dyDescent="0.2">
      <c r="A15589" s="12"/>
      <c r="B15589" s="13"/>
    </row>
    <row r="15590" spans="1:2" x14ac:dyDescent="0.2">
      <c r="A15590" s="12"/>
      <c r="B15590" s="13"/>
    </row>
    <row r="15591" spans="1:2" x14ac:dyDescent="0.2">
      <c r="A15591" s="12"/>
      <c r="B15591" s="13"/>
    </row>
    <row r="15592" spans="1:2" x14ac:dyDescent="0.2">
      <c r="A15592" s="12"/>
      <c r="B15592" s="13"/>
    </row>
    <row r="15593" spans="1:2" x14ac:dyDescent="0.2">
      <c r="A15593" s="12"/>
      <c r="B15593" s="13"/>
    </row>
    <row r="15594" spans="1:2" x14ac:dyDescent="0.2">
      <c r="A15594" s="12"/>
      <c r="B15594" s="13"/>
    </row>
    <row r="15595" spans="1:2" x14ac:dyDescent="0.2">
      <c r="A15595" s="12"/>
      <c r="B15595" s="13"/>
    </row>
    <row r="15596" spans="1:2" x14ac:dyDescent="0.2">
      <c r="A15596" s="12"/>
      <c r="B15596" s="13"/>
    </row>
    <row r="15597" spans="1:2" x14ac:dyDescent="0.2">
      <c r="A15597" s="12"/>
      <c r="B15597" s="13"/>
    </row>
    <row r="15598" spans="1:2" x14ac:dyDescent="0.2">
      <c r="A15598" s="12"/>
      <c r="B15598" s="13"/>
    </row>
    <row r="15599" spans="1:2" x14ac:dyDescent="0.2">
      <c r="A15599" s="12"/>
      <c r="B15599" s="13"/>
    </row>
    <row r="15600" spans="1:2" x14ac:dyDescent="0.2">
      <c r="A15600" s="12"/>
      <c r="B15600" s="13"/>
    </row>
    <row r="15601" spans="1:2" x14ac:dyDescent="0.2">
      <c r="A15601" s="12"/>
      <c r="B15601" s="13"/>
    </row>
    <row r="15602" spans="1:2" x14ac:dyDescent="0.2">
      <c r="A15602" s="12"/>
      <c r="B15602" s="13"/>
    </row>
    <row r="15603" spans="1:2" x14ac:dyDescent="0.2">
      <c r="A15603" s="12"/>
      <c r="B15603" s="13"/>
    </row>
    <row r="15604" spans="1:2" x14ac:dyDescent="0.2">
      <c r="A15604" s="12"/>
      <c r="B15604" s="13"/>
    </row>
    <row r="15605" spans="1:2" x14ac:dyDescent="0.2">
      <c r="A15605" s="12"/>
      <c r="B15605" s="13"/>
    </row>
    <row r="15606" spans="1:2" x14ac:dyDescent="0.2">
      <c r="A15606" s="12"/>
      <c r="B15606" s="13"/>
    </row>
    <row r="15607" spans="1:2" x14ac:dyDescent="0.2">
      <c r="A15607" s="12"/>
      <c r="B15607" s="13"/>
    </row>
    <row r="15608" spans="1:2" x14ac:dyDescent="0.2">
      <c r="A15608" s="12"/>
      <c r="B15608" s="13"/>
    </row>
    <row r="15609" spans="1:2" x14ac:dyDescent="0.2">
      <c r="A15609" s="12"/>
      <c r="B15609" s="13"/>
    </row>
    <row r="15610" spans="1:2" x14ac:dyDescent="0.2">
      <c r="A15610" s="12"/>
      <c r="B15610" s="13"/>
    </row>
    <row r="15611" spans="1:2" x14ac:dyDescent="0.2">
      <c r="A15611" s="12"/>
      <c r="B15611" s="13"/>
    </row>
    <row r="15612" spans="1:2" x14ac:dyDescent="0.2">
      <c r="A15612" s="12"/>
      <c r="B15612" s="13"/>
    </row>
    <row r="15613" spans="1:2" x14ac:dyDescent="0.2">
      <c r="A15613" s="12"/>
      <c r="B15613" s="13"/>
    </row>
    <row r="15614" spans="1:2" x14ac:dyDescent="0.2">
      <c r="A15614" s="12"/>
      <c r="B15614" s="13"/>
    </row>
    <row r="15615" spans="1:2" x14ac:dyDescent="0.2">
      <c r="A15615" s="12"/>
      <c r="B15615" s="13"/>
    </row>
    <row r="15616" spans="1:2" x14ac:dyDescent="0.2">
      <c r="A15616" s="12"/>
      <c r="B15616" s="13"/>
    </row>
    <row r="15617" spans="1:2" x14ac:dyDescent="0.2">
      <c r="A15617" s="12"/>
      <c r="B15617" s="13"/>
    </row>
    <row r="15618" spans="1:2" x14ac:dyDescent="0.2">
      <c r="A15618" s="12"/>
      <c r="B15618" s="13"/>
    </row>
    <row r="15619" spans="1:2" x14ac:dyDescent="0.2">
      <c r="A15619" s="12"/>
      <c r="B15619" s="13"/>
    </row>
    <row r="15620" spans="1:2" x14ac:dyDescent="0.2">
      <c r="A15620" s="12"/>
      <c r="B15620" s="13"/>
    </row>
    <row r="15621" spans="1:2" x14ac:dyDescent="0.2">
      <c r="A15621" s="12"/>
      <c r="B15621" s="13"/>
    </row>
    <row r="15622" spans="1:2" x14ac:dyDescent="0.2">
      <c r="A15622" s="12"/>
      <c r="B15622" s="13"/>
    </row>
    <row r="15623" spans="1:2" x14ac:dyDescent="0.2">
      <c r="A15623" s="12"/>
      <c r="B15623" s="13"/>
    </row>
    <row r="15624" spans="1:2" x14ac:dyDescent="0.2">
      <c r="A15624" s="12"/>
      <c r="B15624" s="13"/>
    </row>
    <row r="15625" spans="1:2" x14ac:dyDescent="0.2">
      <c r="A15625" s="12"/>
      <c r="B15625" s="13"/>
    </row>
    <row r="15626" spans="1:2" x14ac:dyDescent="0.2">
      <c r="A15626" s="12"/>
      <c r="B15626" s="13"/>
    </row>
    <row r="15627" spans="1:2" x14ac:dyDescent="0.2">
      <c r="A15627" s="12"/>
      <c r="B15627" s="13"/>
    </row>
    <row r="15628" spans="1:2" x14ac:dyDescent="0.2">
      <c r="A15628" s="12"/>
      <c r="B15628" s="13"/>
    </row>
    <row r="15629" spans="1:2" x14ac:dyDescent="0.2">
      <c r="A15629" s="12"/>
      <c r="B15629" s="13"/>
    </row>
    <row r="15630" spans="1:2" x14ac:dyDescent="0.2">
      <c r="A15630" s="12"/>
      <c r="B15630" s="13"/>
    </row>
    <row r="15631" spans="1:2" x14ac:dyDescent="0.2">
      <c r="A15631" s="12"/>
      <c r="B15631" s="13"/>
    </row>
    <row r="15632" spans="1:2" x14ac:dyDescent="0.2">
      <c r="A15632" s="12"/>
      <c r="B15632" s="13"/>
    </row>
    <row r="15633" spans="1:2" x14ac:dyDescent="0.2">
      <c r="A15633" s="12"/>
      <c r="B15633" s="13"/>
    </row>
    <row r="15634" spans="1:2" x14ac:dyDescent="0.2">
      <c r="A15634" s="12"/>
      <c r="B15634" s="13"/>
    </row>
    <row r="15635" spans="1:2" x14ac:dyDescent="0.2">
      <c r="A15635" s="12"/>
      <c r="B15635" s="13"/>
    </row>
    <row r="15636" spans="1:2" x14ac:dyDescent="0.2">
      <c r="A15636" s="12"/>
      <c r="B15636" s="13"/>
    </row>
    <row r="15637" spans="1:2" x14ac:dyDescent="0.2">
      <c r="A15637" s="12"/>
      <c r="B15637" s="13"/>
    </row>
    <row r="15638" spans="1:2" x14ac:dyDescent="0.2">
      <c r="A15638" s="12"/>
      <c r="B15638" s="13"/>
    </row>
    <row r="15639" spans="1:2" x14ac:dyDescent="0.2">
      <c r="A15639" s="12"/>
      <c r="B15639" s="13"/>
    </row>
    <row r="15640" spans="1:2" x14ac:dyDescent="0.2">
      <c r="A15640" s="12"/>
      <c r="B15640" s="13"/>
    </row>
    <row r="15641" spans="1:2" x14ac:dyDescent="0.2">
      <c r="A15641" s="12"/>
      <c r="B15641" s="13"/>
    </row>
    <row r="15642" spans="1:2" x14ac:dyDescent="0.2">
      <c r="A15642" s="12"/>
      <c r="B15642" s="13"/>
    </row>
    <row r="15643" spans="1:2" x14ac:dyDescent="0.2">
      <c r="A15643" s="12"/>
      <c r="B15643" s="13"/>
    </row>
    <row r="15644" spans="1:2" x14ac:dyDescent="0.2">
      <c r="A15644" s="12"/>
      <c r="B15644" s="13"/>
    </row>
    <row r="15645" spans="1:2" x14ac:dyDescent="0.2">
      <c r="A15645" s="12"/>
      <c r="B15645" s="13"/>
    </row>
    <row r="15646" spans="1:2" x14ac:dyDescent="0.2">
      <c r="A15646" s="12"/>
      <c r="B15646" s="13"/>
    </row>
    <row r="15647" spans="1:2" x14ac:dyDescent="0.2">
      <c r="A15647" s="12"/>
      <c r="B15647" s="13"/>
    </row>
    <row r="15648" spans="1:2" x14ac:dyDescent="0.2">
      <c r="A15648" s="12"/>
      <c r="B15648" s="13"/>
    </row>
    <row r="15649" spans="1:2" x14ac:dyDescent="0.2">
      <c r="A15649" s="12"/>
      <c r="B15649" s="13"/>
    </row>
    <row r="15650" spans="1:2" x14ac:dyDescent="0.2">
      <c r="A15650" s="12"/>
      <c r="B15650" s="13"/>
    </row>
    <row r="15651" spans="1:2" x14ac:dyDescent="0.2">
      <c r="A15651" s="12"/>
      <c r="B15651" s="13"/>
    </row>
    <row r="15652" spans="1:2" x14ac:dyDescent="0.2">
      <c r="A15652" s="12"/>
      <c r="B15652" s="13"/>
    </row>
    <row r="15653" spans="1:2" x14ac:dyDescent="0.2">
      <c r="A15653" s="12"/>
      <c r="B15653" s="13"/>
    </row>
    <row r="15654" spans="1:2" x14ac:dyDescent="0.2">
      <c r="A15654" s="12"/>
      <c r="B15654" s="13"/>
    </row>
    <row r="15655" spans="1:2" x14ac:dyDescent="0.2">
      <c r="A15655" s="12"/>
      <c r="B15655" s="13"/>
    </row>
    <row r="15656" spans="1:2" x14ac:dyDescent="0.2">
      <c r="A15656" s="12"/>
      <c r="B15656" s="13"/>
    </row>
    <row r="15657" spans="1:2" x14ac:dyDescent="0.2">
      <c r="A15657" s="12"/>
      <c r="B15657" s="13"/>
    </row>
    <row r="15658" spans="1:2" x14ac:dyDescent="0.2">
      <c r="A15658" s="12"/>
      <c r="B15658" s="13"/>
    </row>
    <row r="15659" spans="1:2" x14ac:dyDescent="0.2">
      <c r="A15659" s="12"/>
      <c r="B15659" s="13"/>
    </row>
    <row r="15660" spans="1:2" x14ac:dyDescent="0.2">
      <c r="A15660" s="12"/>
      <c r="B15660" s="13"/>
    </row>
    <row r="15661" spans="1:2" x14ac:dyDescent="0.2">
      <c r="A15661" s="12"/>
      <c r="B15661" s="13"/>
    </row>
    <row r="15662" spans="1:2" x14ac:dyDescent="0.2">
      <c r="A15662" s="12"/>
      <c r="B15662" s="13"/>
    </row>
    <row r="15663" spans="1:2" x14ac:dyDescent="0.2">
      <c r="A15663" s="12"/>
      <c r="B15663" s="13"/>
    </row>
    <row r="15664" spans="1:2" x14ac:dyDescent="0.2">
      <c r="A15664" s="12"/>
      <c r="B15664" s="13"/>
    </row>
    <row r="15665" spans="1:2" x14ac:dyDescent="0.2">
      <c r="A15665" s="12"/>
      <c r="B15665" s="13"/>
    </row>
    <row r="15666" spans="1:2" x14ac:dyDescent="0.2">
      <c r="A15666" s="12"/>
      <c r="B15666" s="13"/>
    </row>
    <row r="15667" spans="1:2" x14ac:dyDescent="0.2">
      <c r="A15667" s="12"/>
      <c r="B15667" s="13"/>
    </row>
    <row r="15668" spans="1:2" x14ac:dyDescent="0.2">
      <c r="A15668" s="12"/>
      <c r="B15668" s="13"/>
    </row>
    <row r="15669" spans="1:2" x14ac:dyDescent="0.2">
      <c r="A15669" s="12"/>
      <c r="B15669" s="13"/>
    </row>
    <row r="15670" spans="1:2" x14ac:dyDescent="0.2">
      <c r="A15670" s="12"/>
      <c r="B15670" s="13"/>
    </row>
    <row r="15671" spans="1:2" x14ac:dyDescent="0.2">
      <c r="A15671" s="12"/>
      <c r="B15671" s="13"/>
    </row>
    <row r="15672" spans="1:2" x14ac:dyDescent="0.2">
      <c r="A15672" s="12"/>
      <c r="B15672" s="13"/>
    </row>
    <row r="15673" spans="1:2" x14ac:dyDescent="0.2">
      <c r="A15673" s="12"/>
      <c r="B15673" s="13"/>
    </row>
    <row r="15674" spans="1:2" x14ac:dyDescent="0.2">
      <c r="A15674" s="12"/>
      <c r="B15674" s="13"/>
    </row>
    <row r="15675" spans="1:2" x14ac:dyDescent="0.2">
      <c r="A15675" s="12"/>
      <c r="B15675" s="13"/>
    </row>
    <row r="15676" spans="1:2" x14ac:dyDescent="0.2">
      <c r="A15676" s="12"/>
      <c r="B15676" s="13"/>
    </row>
    <row r="15677" spans="1:2" x14ac:dyDescent="0.2">
      <c r="A15677" s="12"/>
      <c r="B15677" s="13"/>
    </row>
    <row r="15678" spans="1:2" x14ac:dyDescent="0.2">
      <c r="A15678" s="12"/>
      <c r="B15678" s="13"/>
    </row>
    <row r="15679" spans="1:2" x14ac:dyDescent="0.2">
      <c r="A15679" s="12"/>
      <c r="B15679" s="13"/>
    </row>
    <row r="15680" spans="1:2" x14ac:dyDescent="0.2">
      <c r="A15680" s="12"/>
      <c r="B15680" s="13"/>
    </row>
    <row r="15681" spans="1:2" x14ac:dyDescent="0.2">
      <c r="A15681" s="12"/>
      <c r="B15681" s="13"/>
    </row>
    <row r="15682" spans="1:2" x14ac:dyDescent="0.2">
      <c r="A15682" s="12"/>
      <c r="B15682" s="13"/>
    </row>
    <row r="15683" spans="1:2" x14ac:dyDescent="0.2">
      <c r="A15683" s="12"/>
      <c r="B15683" s="13"/>
    </row>
    <row r="15684" spans="1:2" x14ac:dyDescent="0.2">
      <c r="A15684" s="12"/>
      <c r="B15684" s="13"/>
    </row>
    <row r="15685" spans="1:2" x14ac:dyDescent="0.2">
      <c r="A15685" s="12"/>
      <c r="B15685" s="13"/>
    </row>
    <row r="15686" spans="1:2" x14ac:dyDescent="0.2">
      <c r="A15686" s="12"/>
      <c r="B15686" s="13"/>
    </row>
    <row r="15687" spans="1:2" x14ac:dyDescent="0.2">
      <c r="A15687" s="12"/>
      <c r="B15687" s="13"/>
    </row>
    <row r="15688" spans="1:2" x14ac:dyDescent="0.2">
      <c r="A15688" s="12"/>
      <c r="B15688" s="13"/>
    </row>
    <row r="15689" spans="1:2" x14ac:dyDescent="0.2">
      <c r="A15689" s="12"/>
      <c r="B15689" s="13"/>
    </row>
    <row r="15690" spans="1:2" x14ac:dyDescent="0.2">
      <c r="A15690" s="12"/>
      <c r="B15690" s="13"/>
    </row>
    <row r="15691" spans="1:2" x14ac:dyDescent="0.2">
      <c r="A15691" s="12"/>
      <c r="B15691" s="13"/>
    </row>
    <row r="15692" spans="1:2" x14ac:dyDescent="0.2">
      <c r="A15692" s="12"/>
      <c r="B15692" s="13"/>
    </row>
    <row r="15693" spans="1:2" x14ac:dyDescent="0.2">
      <c r="A15693" s="12"/>
      <c r="B15693" s="13"/>
    </row>
    <row r="15694" spans="1:2" x14ac:dyDescent="0.2">
      <c r="A15694" s="12"/>
      <c r="B15694" s="13"/>
    </row>
    <row r="15695" spans="1:2" x14ac:dyDescent="0.2">
      <c r="A15695" s="12"/>
      <c r="B15695" s="13"/>
    </row>
    <row r="15696" spans="1:2" x14ac:dyDescent="0.2">
      <c r="A15696" s="12"/>
      <c r="B15696" s="13"/>
    </row>
    <row r="15697" spans="1:2" x14ac:dyDescent="0.2">
      <c r="A15697" s="12"/>
      <c r="B15697" s="13"/>
    </row>
    <row r="15698" spans="1:2" x14ac:dyDescent="0.2">
      <c r="A15698" s="12"/>
      <c r="B15698" s="13"/>
    </row>
    <row r="15699" spans="1:2" x14ac:dyDescent="0.2">
      <c r="A15699" s="12"/>
      <c r="B15699" s="13"/>
    </row>
    <row r="15700" spans="1:2" x14ac:dyDescent="0.2">
      <c r="A15700" s="12"/>
      <c r="B15700" s="13"/>
    </row>
    <row r="15701" spans="1:2" x14ac:dyDescent="0.2">
      <c r="A15701" s="12"/>
      <c r="B15701" s="13"/>
    </row>
    <row r="15702" spans="1:2" x14ac:dyDescent="0.2">
      <c r="A15702" s="12"/>
      <c r="B15702" s="13"/>
    </row>
    <row r="15703" spans="1:2" x14ac:dyDescent="0.2">
      <c r="A15703" s="12"/>
      <c r="B15703" s="13"/>
    </row>
    <row r="15704" spans="1:2" x14ac:dyDescent="0.2">
      <c r="A15704" s="12"/>
      <c r="B15704" s="13"/>
    </row>
    <row r="15705" spans="1:2" x14ac:dyDescent="0.2">
      <c r="A15705" s="12"/>
      <c r="B15705" s="13"/>
    </row>
    <row r="15706" spans="1:2" x14ac:dyDescent="0.2">
      <c r="A15706" s="12"/>
      <c r="B15706" s="13"/>
    </row>
    <row r="15707" spans="1:2" x14ac:dyDescent="0.2">
      <c r="A15707" s="12"/>
      <c r="B15707" s="13"/>
    </row>
    <row r="15708" spans="1:2" x14ac:dyDescent="0.2">
      <c r="A15708" s="12"/>
      <c r="B15708" s="13"/>
    </row>
    <row r="15709" spans="1:2" x14ac:dyDescent="0.2">
      <c r="A15709" s="12"/>
      <c r="B15709" s="13"/>
    </row>
    <row r="15710" spans="1:2" x14ac:dyDescent="0.2">
      <c r="A15710" s="12"/>
      <c r="B15710" s="13"/>
    </row>
    <row r="15711" spans="1:2" x14ac:dyDescent="0.2">
      <c r="A15711" s="12"/>
      <c r="B15711" s="13"/>
    </row>
    <row r="15712" spans="1:2" x14ac:dyDescent="0.2">
      <c r="A15712" s="12"/>
      <c r="B15712" s="13"/>
    </row>
    <row r="15713" spans="1:2" x14ac:dyDescent="0.2">
      <c r="A15713" s="12"/>
      <c r="B15713" s="13"/>
    </row>
    <row r="15714" spans="1:2" x14ac:dyDescent="0.2">
      <c r="A15714" s="12"/>
      <c r="B15714" s="13"/>
    </row>
    <row r="15715" spans="1:2" x14ac:dyDescent="0.2">
      <c r="A15715" s="12"/>
      <c r="B15715" s="13"/>
    </row>
    <row r="15716" spans="1:2" x14ac:dyDescent="0.2">
      <c r="A15716" s="12"/>
      <c r="B15716" s="13"/>
    </row>
    <row r="15717" spans="1:2" x14ac:dyDescent="0.2">
      <c r="A15717" s="12"/>
      <c r="B15717" s="13"/>
    </row>
    <row r="15718" spans="1:2" x14ac:dyDescent="0.2">
      <c r="A15718" s="12"/>
      <c r="B15718" s="13"/>
    </row>
    <row r="15719" spans="1:2" x14ac:dyDescent="0.2">
      <c r="A15719" s="12"/>
      <c r="B15719" s="13"/>
    </row>
    <row r="15720" spans="1:2" x14ac:dyDescent="0.2">
      <c r="A15720" s="12"/>
      <c r="B15720" s="13"/>
    </row>
    <row r="15721" spans="1:2" x14ac:dyDescent="0.2">
      <c r="A15721" s="12"/>
      <c r="B15721" s="13"/>
    </row>
    <row r="15722" spans="1:2" x14ac:dyDescent="0.2">
      <c r="A15722" s="12"/>
      <c r="B15722" s="13"/>
    </row>
    <row r="15723" spans="1:2" x14ac:dyDescent="0.2">
      <c r="A15723" s="12"/>
      <c r="B15723" s="13"/>
    </row>
    <row r="15724" spans="1:2" x14ac:dyDescent="0.2">
      <c r="A15724" s="12"/>
      <c r="B15724" s="13"/>
    </row>
    <row r="15725" spans="1:2" x14ac:dyDescent="0.2">
      <c r="A15725" s="12"/>
      <c r="B15725" s="13"/>
    </row>
    <row r="15726" spans="1:2" x14ac:dyDescent="0.2">
      <c r="A15726" s="12"/>
      <c r="B15726" s="13"/>
    </row>
    <row r="15727" spans="1:2" x14ac:dyDescent="0.2">
      <c r="A15727" s="12"/>
      <c r="B15727" s="13"/>
    </row>
    <row r="15728" spans="1:2" x14ac:dyDescent="0.2">
      <c r="A15728" s="12"/>
      <c r="B15728" s="13"/>
    </row>
    <row r="15729" spans="1:2" x14ac:dyDescent="0.2">
      <c r="A15729" s="12"/>
      <c r="B15729" s="13"/>
    </row>
    <row r="15730" spans="1:2" x14ac:dyDescent="0.2">
      <c r="A15730" s="12"/>
      <c r="B15730" s="13"/>
    </row>
    <row r="15731" spans="1:2" x14ac:dyDescent="0.2">
      <c r="A15731" s="12"/>
      <c r="B15731" s="13"/>
    </row>
    <row r="15732" spans="1:2" x14ac:dyDescent="0.2">
      <c r="A15732" s="12"/>
      <c r="B15732" s="13"/>
    </row>
    <row r="15733" spans="1:2" x14ac:dyDescent="0.2">
      <c r="A15733" s="12"/>
      <c r="B15733" s="13"/>
    </row>
    <row r="15734" spans="1:2" x14ac:dyDescent="0.2">
      <c r="A15734" s="12"/>
      <c r="B15734" s="13"/>
    </row>
    <row r="15735" spans="1:2" x14ac:dyDescent="0.2">
      <c r="A15735" s="12"/>
      <c r="B15735" s="13"/>
    </row>
    <row r="15736" spans="1:2" x14ac:dyDescent="0.2">
      <c r="A15736" s="12"/>
      <c r="B15736" s="13"/>
    </row>
    <row r="15737" spans="1:2" x14ac:dyDescent="0.2">
      <c r="A15737" s="12"/>
      <c r="B15737" s="13"/>
    </row>
    <row r="15738" spans="1:2" x14ac:dyDescent="0.2">
      <c r="A15738" s="12"/>
      <c r="B15738" s="13"/>
    </row>
    <row r="15739" spans="1:2" x14ac:dyDescent="0.2">
      <c r="A15739" s="12"/>
      <c r="B15739" s="13"/>
    </row>
    <row r="15740" spans="1:2" x14ac:dyDescent="0.2">
      <c r="A15740" s="12"/>
      <c r="B15740" s="13"/>
    </row>
    <row r="15741" spans="1:2" x14ac:dyDescent="0.2">
      <c r="A15741" s="12"/>
      <c r="B15741" s="13"/>
    </row>
    <row r="15742" spans="1:2" x14ac:dyDescent="0.2">
      <c r="A15742" s="12"/>
      <c r="B15742" s="13"/>
    </row>
    <row r="15743" spans="1:2" x14ac:dyDescent="0.2">
      <c r="A15743" s="12"/>
      <c r="B15743" s="13"/>
    </row>
    <row r="15744" spans="1:2" x14ac:dyDescent="0.2">
      <c r="A15744" s="12"/>
      <c r="B15744" s="13"/>
    </row>
    <row r="15745" spans="1:2" x14ac:dyDescent="0.2">
      <c r="A15745" s="12"/>
      <c r="B15745" s="13"/>
    </row>
    <row r="15746" spans="1:2" x14ac:dyDescent="0.2">
      <c r="A15746" s="12"/>
      <c r="B15746" s="13"/>
    </row>
    <row r="15747" spans="1:2" x14ac:dyDescent="0.2">
      <c r="A15747" s="12"/>
      <c r="B15747" s="13"/>
    </row>
    <row r="15748" spans="1:2" x14ac:dyDescent="0.2">
      <c r="A15748" s="12"/>
      <c r="B15748" s="13"/>
    </row>
    <row r="15749" spans="1:2" x14ac:dyDescent="0.2">
      <c r="A15749" s="12"/>
      <c r="B15749" s="13"/>
    </row>
    <row r="15750" spans="1:2" x14ac:dyDescent="0.2">
      <c r="A15750" s="12"/>
      <c r="B15750" s="13"/>
    </row>
    <row r="15751" spans="1:2" x14ac:dyDescent="0.2">
      <c r="A15751" s="12"/>
      <c r="B15751" s="13"/>
    </row>
    <row r="15752" spans="1:2" x14ac:dyDescent="0.2">
      <c r="A15752" s="12"/>
      <c r="B15752" s="13"/>
    </row>
    <row r="15753" spans="1:2" x14ac:dyDescent="0.2">
      <c r="A15753" s="12"/>
      <c r="B15753" s="13"/>
    </row>
    <row r="15754" spans="1:2" x14ac:dyDescent="0.2">
      <c r="A15754" s="12"/>
      <c r="B15754" s="13"/>
    </row>
    <row r="15755" spans="1:2" x14ac:dyDescent="0.2">
      <c r="A15755" s="12"/>
      <c r="B15755" s="13"/>
    </row>
    <row r="15756" spans="1:2" x14ac:dyDescent="0.2">
      <c r="A15756" s="12"/>
      <c r="B15756" s="13"/>
    </row>
    <row r="15757" spans="1:2" x14ac:dyDescent="0.2">
      <c r="A15757" s="12"/>
      <c r="B15757" s="13"/>
    </row>
    <row r="15758" spans="1:2" x14ac:dyDescent="0.2">
      <c r="A15758" s="12"/>
      <c r="B15758" s="13"/>
    </row>
    <row r="15759" spans="1:2" x14ac:dyDescent="0.2">
      <c r="A15759" s="12"/>
      <c r="B15759" s="13"/>
    </row>
    <row r="15760" spans="1:2" x14ac:dyDescent="0.2">
      <c r="A15760" s="12"/>
      <c r="B15760" s="13"/>
    </row>
    <row r="15761" spans="1:2" x14ac:dyDescent="0.2">
      <c r="A15761" s="12"/>
      <c r="B15761" s="13"/>
    </row>
    <row r="15762" spans="1:2" x14ac:dyDescent="0.2">
      <c r="A15762" s="12"/>
      <c r="B15762" s="13"/>
    </row>
    <row r="15763" spans="1:2" x14ac:dyDescent="0.2">
      <c r="A15763" s="12"/>
      <c r="B15763" s="13"/>
    </row>
    <row r="15764" spans="1:2" x14ac:dyDescent="0.2">
      <c r="A15764" s="12"/>
      <c r="B15764" s="13"/>
    </row>
    <row r="15765" spans="1:2" x14ac:dyDescent="0.2">
      <c r="A15765" s="12"/>
      <c r="B15765" s="13"/>
    </row>
    <row r="15766" spans="1:2" x14ac:dyDescent="0.2">
      <c r="A15766" s="12"/>
      <c r="B15766" s="13"/>
    </row>
    <row r="15767" spans="1:2" x14ac:dyDescent="0.2">
      <c r="A15767" s="12"/>
      <c r="B15767" s="13"/>
    </row>
    <row r="15768" spans="1:2" x14ac:dyDescent="0.2">
      <c r="A15768" s="12"/>
      <c r="B15768" s="13"/>
    </row>
    <row r="15769" spans="1:2" x14ac:dyDescent="0.2">
      <c r="A15769" s="12"/>
      <c r="B15769" s="13"/>
    </row>
    <row r="15770" spans="1:2" x14ac:dyDescent="0.2">
      <c r="A15770" s="12"/>
      <c r="B15770" s="13"/>
    </row>
    <row r="15771" spans="1:2" x14ac:dyDescent="0.2">
      <c r="A15771" s="12"/>
      <c r="B15771" s="13"/>
    </row>
    <row r="15772" spans="1:2" x14ac:dyDescent="0.2">
      <c r="A15772" s="12"/>
      <c r="B15772" s="13"/>
    </row>
    <row r="15773" spans="1:2" x14ac:dyDescent="0.2">
      <c r="A15773" s="12"/>
      <c r="B15773" s="13"/>
    </row>
    <row r="15774" spans="1:2" x14ac:dyDescent="0.2">
      <c r="A15774" s="12"/>
      <c r="B15774" s="13"/>
    </row>
    <row r="15775" spans="1:2" x14ac:dyDescent="0.2">
      <c r="A15775" s="12"/>
      <c r="B15775" s="13"/>
    </row>
    <row r="15776" spans="1:2" x14ac:dyDescent="0.2">
      <c r="A15776" s="12"/>
      <c r="B15776" s="13"/>
    </row>
    <row r="15777" spans="1:2" x14ac:dyDescent="0.2">
      <c r="A15777" s="12"/>
      <c r="B15777" s="13"/>
    </row>
    <row r="15778" spans="1:2" x14ac:dyDescent="0.2">
      <c r="A15778" s="12"/>
      <c r="B15778" s="13"/>
    </row>
    <row r="15779" spans="1:2" x14ac:dyDescent="0.2">
      <c r="A15779" s="12"/>
      <c r="B15779" s="13"/>
    </row>
    <row r="15780" spans="1:2" x14ac:dyDescent="0.2">
      <c r="A15780" s="12"/>
      <c r="B15780" s="13"/>
    </row>
    <row r="15781" spans="1:2" x14ac:dyDescent="0.2">
      <c r="A15781" s="12"/>
      <c r="B15781" s="13"/>
    </row>
    <row r="15782" spans="1:2" x14ac:dyDescent="0.2">
      <c r="A15782" s="12"/>
      <c r="B15782" s="13"/>
    </row>
    <row r="15783" spans="1:2" x14ac:dyDescent="0.2">
      <c r="A15783" s="12"/>
      <c r="B15783" s="13"/>
    </row>
    <row r="15784" spans="1:2" x14ac:dyDescent="0.2">
      <c r="A15784" s="12"/>
      <c r="B15784" s="13"/>
    </row>
    <row r="15785" spans="1:2" x14ac:dyDescent="0.2">
      <c r="A15785" s="12"/>
      <c r="B15785" s="13"/>
    </row>
    <row r="15786" spans="1:2" x14ac:dyDescent="0.2">
      <c r="A15786" s="12"/>
      <c r="B15786" s="13"/>
    </row>
    <row r="15787" spans="1:2" x14ac:dyDescent="0.2">
      <c r="A15787" s="12"/>
      <c r="B15787" s="13"/>
    </row>
    <row r="15788" spans="1:2" x14ac:dyDescent="0.2">
      <c r="A15788" s="12"/>
      <c r="B15788" s="13"/>
    </row>
    <row r="15789" spans="1:2" x14ac:dyDescent="0.2">
      <c r="A15789" s="12"/>
      <c r="B15789" s="13"/>
    </row>
    <row r="15790" spans="1:2" x14ac:dyDescent="0.2">
      <c r="A15790" s="12"/>
      <c r="B15790" s="13"/>
    </row>
    <row r="15791" spans="1:2" x14ac:dyDescent="0.2">
      <c r="A15791" s="12"/>
      <c r="B15791" s="13"/>
    </row>
    <row r="15792" spans="1:2" x14ac:dyDescent="0.2">
      <c r="A15792" s="12"/>
      <c r="B15792" s="13"/>
    </row>
    <row r="15793" spans="1:2" x14ac:dyDescent="0.2">
      <c r="A15793" s="12"/>
      <c r="B15793" s="13"/>
    </row>
    <row r="15794" spans="1:2" x14ac:dyDescent="0.2">
      <c r="A15794" s="12"/>
      <c r="B15794" s="13"/>
    </row>
    <row r="15795" spans="1:2" x14ac:dyDescent="0.2">
      <c r="A15795" s="12"/>
      <c r="B15795" s="13"/>
    </row>
    <row r="15796" spans="1:2" x14ac:dyDescent="0.2">
      <c r="A15796" s="12"/>
      <c r="B15796" s="13"/>
    </row>
    <row r="15797" spans="1:2" x14ac:dyDescent="0.2">
      <c r="A15797" s="12"/>
      <c r="B15797" s="13"/>
    </row>
    <row r="15798" spans="1:2" x14ac:dyDescent="0.2">
      <c r="A15798" s="12"/>
      <c r="B15798" s="13"/>
    </row>
    <row r="15799" spans="1:2" x14ac:dyDescent="0.2">
      <c r="A15799" s="12"/>
      <c r="B15799" s="13"/>
    </row>
    <row r="15800" spans="1:2" x14ac:dyDescent="0.2">
      <c r="A15800" s="12"/>
      <c r="B15800" s="13"/>
    </row>
    <row r="15801" spans="1:2" x14ac:dyDescent="0.2">
      <c r="A15801" s="12"/>
      <c r="B15801" s="13"/>
    </row>
    <row r="15802" spans="1:2" x14ac:dyDescent="0.2">
      <c r="A15802" s="12"/>
      <c r="B15802" s="13"/>
    </row>
    <row r="15803" spans="1:2" x14ac:dyDescent="0.2">
      <c r="A15803" s="12"/>
      <c r="B15803" s="13"/>
    </row>
    <row r="15804" spans="1:2" x14ac:dyDescent="0.2">
      <c r="A15804" s="12"/>
      <c r="B15804" s="13"/>
    </row>
    <row r="15805" spans="1:2" x14ac:dyDescent="0.2">
      <c r="A15805" s="12"/>
      <c r="B15805" s="13"/>
    </row>
    <row r="15806" spans="1:2" x14ac:dyDescent="0.2">
      <c r="A15806" s="12"/>
      <c r="B15806" s="13"/>
    </row>
    <row r="15807" spans="1:2" x14ac:dyDescent="0.2">
      <c r="A15807" s="12"/>
      <c r="B15807" s="13"/>
    </row>
    <row r="15808" spans="1:2" x14ac:dyDescent="0.2">
      <c r="A15808" s="12"/>
      <c r="B15808" s="13"/>
    </row>
    <row r="15809" spans="1:2" x14ac:dyDescent="0.2">
      <c r="A15809" s="12"/>
      <c r="B15809" s="13"/>
    </row>
    <row r="15810" spans="1:2" x14ac:dyDescent="0.2">
      <c r="A15810" s="12"/>
      <c r="B15810" s="13"/>
    </row>
    <row r="15811" spans="1:2" x14ac:dyDescent="0.2">
      <c r="A15811" s="12"/>
      <c r="B15811" s="13"/>
    </row>
    <row r="15812" spans="1:2" x14ac:dyDescent="0.2">
      <c r="A15812" s="12"/>
      <c r="B15812" s="13"/>
    </row>
    <row r="15813" spans="1:2" x14ac:dyDescent="0.2">
      <c r="A15813" s="12"/>
      <c r="B15813" s="13"/>
    </row>
    <row r="15814" spans="1:2" x14ac:dyDescent="0.2">
      <c r="A15814" s="12"/>
      <c r="B15814" s="13"/>
    </row>
    <row r="15815" spans="1:2" x14ac:dyDescent="0.2">
      <c r="A15815" s="12"/>
      <c r="B15815" s="13"/>
    </row>
    <row r="15816" spans="1:2" x14ac:dyDescent="0.2">
      <c r="A15816" s="12"/>
      <c r="B15816" s="13"/>
    </row>
    <row r="15817" spans="1:2" x14ac:dyDescent="0.2">
      <c r="A15817" s="12"/>
      <c r="B15817" s="13"/>
    </row>
    <row r="15818" spans="1:2" x14ac:dyDescent="0.2">
      <c r="A15818" s="12"/>
      <c r="B15818" s="13"/>
    </row>
    <row r="15819" spans="1:2" x14ac:dyDescent="0.2">
      <c r="A15819" s="12"/>
      <c r="B15819" s="13"/>
    </row>
    <row r="15820" spans="1:2" x14ac:dyDescent="0.2">
      <c r="A15820" s="12"/>
      <c r="B15820" s="13"/>
    </row>
    <row r="15821" spans="1:2" x14ac:dyDescent="0.2">
      <c r="A15821" s="12"/>
      <c r="B15821" s="13"/>
    </row>
    <row r="15822" spans="1:2" x14ac:dyDescent="0.2">
      <c r="A15822" s="12"/>
      <c r="B15822" s="13"/>
    </row>
    <row r="15823" spans="1:2" x14ac:dyDescent="0.2">
      <c r="A15823" s="12"/>
      <c r="B15823" s="13"/>
    </row>
    <row r="15824" spans="1:2" x14ac:dyDescent="0.2">
      <c r="A15824" s="12"/>
      <c r="B15824" s="13"/>
    </row>
    <row r="15825" spans="1:2" x14ac:dyDescent="0.2">
      <c r="A15825" s="12"/>
      <c r="B15825" s="13"/>
    </row>
    <row r="15826" spans="1:2" x14ac:dyDescent="0.2">
      <c r="A15826" s="12"/>
      <c r="B15826" s="13"/>
    </row>
    <row r="15827" spans="1:2" x14ac:dyDescent="0.2">
      <c r="A15827" s="12"/>
      <c r="B15827" s="13"/>
    </row>
    <row r="15828" spans="1:2" x14ac:dyDescent="0.2">
      <c r="A15828" s="12"/>
      <c r="B15828" s="13"/>
    </row>
    <row r="15829" spans="1:2" x14ac:dyDescent="0.2">
      <c r="A15829" s="12"/>
      <c r="B15829" s="13"/>
    </row>
    <row r="15830" spans="1:2" x14ac:dyDescent="0.2">
      <c r="A15830" s="12"/>
      <c r="B15830" s="13"/>
    </row>
    <row r="15831" spans="1:2" x14ac:dyDescent="0.2">
      <c r="A15831" s="12"/>
      <c r="B15831" s="13"/>
    </row>
    <row r="15832" spans="1:2" x14ac:dyDescent="0.2">
      <c r="A15832" s="12"/>
      <c r="B15832" s="13"/>
    </row>
    <row r="15833" spans="1:2" x14ac:dyDescent="0.2">
      <c r="A15833" s="12"/>
      <c r="B15833" s="13"/>
    </row>
    <row r="15834" spans="1:2" x14ac:dyDescent="0.2">
      <c r="A15834" s="12"/>
      <c r="B15834" s="13"/>
    </row>
    <row r="15835" spans="1:2" x14ac:dyDescent="0.2">
      <c r="A15835" s="12"/>
      <c r="B15835" s="13"/>
    </row>
    <row r="15836" spans="1:2" x14ac:dyDescent="0.2">
      <c r="A15836" s="12"/>
      <c r="B15836" s="13"/>
    </row>
    <row r="15837" spans="1:2" x14ac:dyDescent="0.2">
      <c r="A15837" s="12"/>
      <c r="B15837" s="13"/>
    </row>
    <row r="15838" spans="1:2" x14ac:dyDescent="0.2">
      <c r="A15838" s="12"/>
      <c r="B15838" s="13"/>
    </row>
    <row r="15839" spans="1:2" x14ac:dyDescent="0.2">
      <c r="A15839" s="12"/>
      <c r="B15839" s="13"/>
    </row>
    <row r="15840" spans="1:2" x14ac:dyDescent="0.2">
      <c r="A15840" s="12"/>
      <c r="B15840" s="13"/>
    </row>
    <row r="15841" spans="1:2" x14ac:dyDescent="0.2">
      <c r="A15841" s="12"/>
      <c r="B15841" s="13"/>
    </row>
    <row r="15842" spans="1:2" x14ac:dyDescent="0.2">
      <c r="A15842" s="12"/>
      <c r="B15842" s="13"/>
    </row>
    <row r="15843" spans="1:2" x14ac:dyDescent="0.2">
      <c r="A15843" s="12"/>
      <c r="B15843" s="13"/>
    </row>
    <row r="15844" spans="1:2" x14ac:dyDescent="0.2">
      <c r="A15844" s="12"/>
      <c r="B15844" s="13"/>
    </row>
    <row r="15845" spans="1:2" x14ac:dyDescent="0.2">
      <c r="A15845" s="12"/>
      <c r="B15845" s="13"/>
    </row>
    <row r="15846" spans="1:2" x14ac:dyDescent="0.2">
      <c r="A15846" s="12"/>
      <c r="B15846" s="13"/>
    </row>
    <row r="15847" spans="1:2" x14ac:dyDescent="0.2">
      <c r="A15847" s="12"/>
      <c r="B15847" s="13"/>
    </row>
    <row r="15848" spans="1:2" x14ac:dyDescent="0.2">
      <c r="A15848" s="12"/>
      <c r="B15848" s="13"/>
    </row>
    <row r="15849" spans="1:2" x14ac:dyDescent="0.2">
      <c r="A15849" s="12"/>
      <c r="B15849" s="13"/>
    </row>
    <row r="15850" spans="1:2" x14ac:dyDescent="0.2">
      <c r="A15850" s="12"/>
      <c r="B15850" s="13"/>
    </row>
    <row r="15851" spans="1:2" x14ac:dyDescent="0.2">
      <c r="A15851" s="12"/>
      <c r="B15851" s="13"/>
    </row>
    <row r="15852" spans="1:2" x14ac:dyDescent="0.2">
      <c r="A15852" s="12"/>
      <c r="B15852" s="13"/>
    </row>
    <row r="15853" spans="1:2" x14ac:dyDescent="0.2">
      <c r="A15853" s="12"/>
      <c r="B15853" s="13"/>
    </row>
    <row r="15854" spans="1:2" x14ac:dyDescent="0.2">
      <c r="A15854" s="12"/>
      <c r="B15854" s="13"/>
    </row>
    <row r="15855" spans="1:2" x14ac:dyDescent="0.2">
      <c r="A15855" s="12"/>
      <c r="B15855" s="13"/>
    </row>
    <row r="15856" spans="1:2" x14ac:dyDescent="0.2">
      <c r="A15856" s="12"/>
      <c r="B15856" s="13"/>
    </row>
    <row r="15857" spans="1:2" x14ac:dyDescent="0.2">
      <c r="A15857" s="12"/>
      <c r="B15857" s="13"/>
    </row>
    <row r="15858" spans="1:2" x14ac:dyDescent="0.2">
      <c r="A15858" s="12"/>
      <c r="B15858" s="13"/>
    </row>
    <row r="15859" spans="1:2" x14ac:dyDescent="0.2">
      <c r="A15859" s="12"/>
      <c r="B15859" s="13"/>
    </row>
    <row r="15860" spans="1:2" x14ac:dyDescent="0.2">
      <c r="A15860" s="12"/>
      <c r="B15860" s="13"/>
    </row>
    <row r="15861" spans="1:2" x14ac:dyDescent="0.2">
      <c r="A15861" s="12"/>
      <c r="B15861" s="13"/>
    </row>
    <row r="15862" spans="1:2" x14ac:dyDescent="0.2">
      <c r="A15862" s="12"/>
      <c r="B15862" s="13"/>
    </row>
    <row r="15863" spans="1:2" x14ac:dyDescent="0.2">
      <c r="A15863" s="12"/>
      <c r="B15863" s="13"/>
    </row>
    <row r="15864" spans="1:2" x14ac:dyDescent="0.2">
      <c r="A15864" s="12"/>
      <c r="B15864" s="13"/>
    </row>
    <row r="15865" spans="1:2" x14ac:dyDescent="0.2">
      <c r="A15865" s="12"/>
      <c r="B15865" s="13"/>
    </row>
    <row r="15866" spans="1:2" x14ac:dyDescent="0.2">
      <c r="A15866" s="12"/>
      <c r="B15866" s="13"/>
    </row>
    <row r="15867" spans="1:2" x14ac:dyDescent="0.2">
      <c r="A15867" s="12"/>
      <c r="B15867" s="13"/>
    </row>
    <row r="15868" spans="1:2" x14ac:dyDescent="0.2">
      <c r="A15868" s="12"/>
      <c r="B15868" s="13"/>
    </row>
    <row r="15869" spans="1:2" x14ac:dyDescent="0.2">
      <c r="A15869" s="12"/>
      <c r="B15869" s="13"/>
    </row>
    <row r="15870" spans="1:2" x14ac:dyDescent="0.2">
      <c r="A15870" s="12"/>
      <c r="B15870" s="13"/>
    </row>
    <row r="15871" spans="1:2" x14ac:dyDescent="0.2">
      <c r="A15871" s="12"/>
      <c r="B15871" s="13"/>
    </row>
    <row r="15872" spans="1:2" x14ac:dyDescent="0.2">
      <c r="A15872" s="12"/>
      <c r="B15872" s="13"/>
    </row>
    <row r="15873" spans="1:2" x14ac:dyDescent="0.2">
      <c r="A15873" s="12"/>
      <c r="B15873" s="13"/>
    </row>
    <row r="15874" spans="1:2" x14ac:dyDescent="0.2">
      <c r="A15874" s="12"/>
      <c r="B15874" s="13"/>
    </row>
    <row r="15875" spans="1:2" x14ac:dyDescent="0.2">
      <c r="A15875" s="12"/>
      <c r="B15875" s="13"/>
    </row>
    <row r="15876" spans="1:2" x14ac:dyDescent="0.2">
      <c r="A15876" s="12"/>
      <c r="B15876" s="13"/>
    </row>
    <row r="15877" spans="1:2" x14ac:dyDescent="0.2">
      <c r="A15877" s="12"/>
      <c r="B15877" s="13"/>
    </row>
    <row r="15878" spans="1:2" x14ac:dyDescent="0.2">
      <c r="A15878" s="12"/>
      <c r="B15878" s="13"/>
    </row>
    <row r="15879" spans="1:2" x14ac:dyDescent="0.2">
      <c r="A15879" s="12"/>
      <c r="B15879" s="13"/>
    </row>
    <row r="15880" spans="1:2" x14ac:dyDescent="0.2">
      <c r="A15880" s="12"/>
      <c r="B15880" s="13"/>
    </row>
    <row r="15881" spans="1:2" x14ac:dyDescent="0.2">
      <c r="A15881" s="12"/>
      <c r="B15881" s="13"/>
    </row>
    <row r="15882" spans="1:2" x14ac:dyDescent="0.2">
      <c r="A15882" s="12"/>
      <c r="B15882" s="13"/>
    </row>
    <row r="15883" spans="1:2" x14ac:dyDescent="0.2">
      <c r="A15883" s="12"/>
      <c r="B15883" s="13"/>
    </row>
    <row r="15884" spans="1:2" x14ac:dyDescent="0.2">
      <c r="A15884" s="12"/>
      <c r="B15884" s="13"/>
    </row>
    <row r="15885" spans="1:2" x14ac:dyDescent="0.2">
      <c r="A15885" s="12"/>
      <c r="B15885" s="13"/>
    </row>
    <row r="15886" spans="1:2" x14ac:dyDescent="0.2">
      <c r="A15886" s="12"/>
      <c r="B15886" s="13"/>
    </row>
    <row r="15887" spans="1:2" x14ac:dyDescent="0.2">
      <c r="A15887" s="12"/>
      <c r="B15887" s="13"/>
    </row>
    <row r="15888" spans="1:2" x14ac:dyDescent="0.2">
      <c r="A15888" s="12"/>
      <c r="B15888" s="13"/>
    </row>
    <row r="15889" spans="1:2" x14ac:dyDescent="0.2">
      <c r="A15889" s="12"/>
      <c r="B15889" s="13"/>
    </row>
    <row r="15890" spans="1:2" x14ac:dyDescent="0.2">
      <c r="A15890" s="12"/>
      <c r="B15890" s="13"/>
    </row>
    <row r="15891" spans="1:2" x14ac:dyDescent="0.2">
      <c r="A15891" s="12"/>
      <c r="B15891" s="13"/>
    </row>
    <row r="15892" spans="1:2" x14ac:dyDescent="0.2">
      <c r="A15892" s="12"/>
      <c r="B15892" s="13"/>
    </row>
    <row r="15893" spans="1:2" x14ac:dyDescent="0.2">
      <c r="A15893" s="12"/>
      <c r="B15893" s="13"/>
    </row>
    <row r="15894" spans="1:2" x14ac:dyDescent="0.2">
      <c r="A15894" s="12"/>
      <c r="B15894" s="13"/>
    </row>
    <row r="15895" spans="1:2" x14ac:dyDescent="0.2">
      <c r="A15895" s="12"/>
      <c r="B15895" s="13"/>
    </row>
    <row r="15896" spans="1:2" x14ac:dyDescent="0.2">
      <c r="A15896" s="12"/>
      <c r="B15896" s="13"/>
    </row>
    <row r="15897" spans="1:2" x14ac:dyDescent="0.2">
      <c r="A15897" s="12"/>
      <c r="B15897" s="13"/>
    </row>
    <row r="15898" spans="1:2" x14ac:dyDescent="0.2">
      <c r="A15898" s="12"/>
      <c r="B15898" s="13"/>
    </row>
    <row r="15899" spans="1:2" x14ac:dyDescent="0.2">
      <c r="A15899" s="12"/>
      <c r="B15899" s="13"/>
    </row>
    <row r="15900" spans="1:2" x14ac:dyDescent="0.2">
      <c r="A15900" s="12"/>
      <c r="B15900" s="13"/>
    </row>
    <row r="15901" spans="1:2" x14ac:dyDescent="0.2">
      <c r="A15901" s="12"/>
      <c r="B15901" s="13"/>
    </row>
    <row r="15902" spans="1:2" x14ac:dyDescent="0.2">
      <c r="A15902" s="12"/>
      <c r="B15902" s="13"/>
    </row>
    <row r="15903" spans="1:2" x14ac:dyDescent="0.2">
      <c r="A15903" s="12"/>
      <c r="B15903" s="13"/>
    </row>
    <row r="15904" spans="1:2" x14ac:dyDescent="0.2">
      <c r="A15904" s="12"/>
      <c r="B15904" s="13"/>
    </row>
    <row r="15905" spans="1:2" x14ac:dyDescent="0.2">
      <c r="A15905" s="12"/>
      <c r="B15905" s="13"/>
    </row>
    <row r="15906" spans="1:2" x14ac:dyDescent="0.2">
      <c r="A15906" s="12"/>
      <c r="B15906" s="13"/>
    </row>
    <row r="15907" spans="1:2" x14ac:dyDescent="0.2">
      <c r="A15907" s="12"/>
      <c r="B15907" s="13"/>
    </row>
    <row r="15908" spans="1:2" x14ac:dyDescent="0.2">
      <c r="A15908" s="12"/>
      <c r="B15908" s="13"/>
    </row>
    <row r="15909" spans="1:2" x14ac:dyDescent="0.2">
      <c r="A15909" s="12"/>
      <c r="B15909" s="13"/>
    </row>
    <row r="15910" spans="1:2" x14ac:dyDescent="0.2">
      <c r="A15910" s="12"/>
      <c r="B15910" s="13"/>
    </row>
    <row r="15911" spans="1:2" x14ac:dyDescent="0.2">
      <c r="A15911" s="12"/>
      <c r="B15911" s="13"/>
    </row>
    <row r="15912" spans="1:2" x14ac:dyDescent="0.2">
      <c r="A15912" s="12"/>
      <c r="B15912" s="13"/>
    </row>
    <row r="15913" spans="1:2" x14ac:dyDescent="0.2">
      <c r="A15913" s="12"/>
      <c r="B15913" s="13"/>
    </row>
    <row r="15914" spans="1:2" x14ac:dyDescent="0.2">
      <c r="A15914" s="12"/>
      <c r="B15914" s="13"/>
    </row>
    <row r="15915" spans="1:2" x14ac:dyDescent="0.2">
      <c r="A15915" s="12"/>
      <c r="B15915" s="13"/>
    </row>
    <row r="15916" spans="1:2" x14ac:dyDescent="0.2">
      <c r="A15916" s="12"/>
      <c r="B15916" s="13"/>
    </row>
    <row r="15917" spans="1:2" x14ac:dyDescent="0.2">
      <c r="A15917" s="12"/>
      <c r="B15917" s="13"/>
    </row>
    <row r="15918" spans="1:2" x14ac:dyDescent="0.2">
      <c r="A15918" s="12"/>
      <c r="B15918" s="13"/>
    </row>
    <row r="15919" spans="1:2" x14ac:dyDescent="0.2">
      <c r="A15919" s="12"/>
      <c r="B15919" s="13"/>
    </row>
    <row r="15920" spans="1:2" x14ac:dyDescent="0.2">
      <c r="A15920" s="12"/>
      <c r="B15920" s="13"/>
    </row>
    <row r="15921" spans="1:2" x14ac:dyDescent="0.2">
      <c r="A15921" s="12"/>
      <c r="B15921" s="13"/>
    </row>
    <row r="15922" spans="1:2" x14ac:dyDescent="0.2">
      <c r="A15922" s="12"/>
      <c r="B15922" s="13"/>
    </row>
    <row r="15923" spans="1:2" x14ac:dyDescent="0.2">
      <c r="A15923" s="12"/>
      <c r="B15923" s="13"/>
    </row>
    <row r="15924" spans="1:2" x14ac:dyDescent="0.2">
      <c r="A15924" s="12"/>
      <c r="B15924" s="13"/>
    </row>
    <row r="15925" spans="1:2" x14ac:dyDescent="0.2">
      <c r="A15925" s="12"/>
      <c r="B15925" s="13"/>
    </row>
    <row r="15926" spans="1:2" x14ac:dyDescent="0.2">
      <c r="A15926" s="12"/>
      <c r="B15926" s="13"/>
    </row>
    <row r="15927" spans="1:2" x14ac:dyDescent="0.2">
      <c r="A15927" s="12"/>
      <c r="B15927" s="13"/>
    </row>
    <row r="15928" spans="1:2" x14ac:dyDescent="0.2">
      <c r="A15928" s="12"/>
      <c r="B15928" s="13"/>
    </row>
    <row r="15929" spans="1:2" x14ac:dyDescent="0.2">
      <c r="A15929" s="12"/>
      <c r="B15929" s="13"/>
    </row>
    <row r="15930" spans="1:2" x14ac:dyDescent="0.2">
      <c r="A15930" s="12"/>
      <c r="B15930" s="13"/>
    </row>
    <row r="15931" spans="1:2" x14ac:dyDescent="0.2">
      <c r="A15931" s="12"/>
      <c r="B15931" s="13"/>
    </row>
    <row r="15932" spans="1:2" x14ac:dyDescent="0.2">
      <c r="A15932" s="12"/>
      <c r="B15932" s="13"/>
    </row>
    <row r="15933" spans="1:2" x14ac:dyDescent="0.2">
      <c r="A15933" s="12"/>
      <c r="B15933" s="13"/>
    </row>
    <row r="15934" spans="1:2" x14ac:dyDescent="0.2">
      <c r="A15934" s="12"/>
      <c r="B15934" s="13"/>
    </row>
    <row r="15935" spans="1:2" x14ac:dyDescent="0.2">
      <c r="A15935" s="12"/>
      <c r="B15935" s="13"/>
    </row>
    <row r="15936" spans="1:2" x14ac:dyDescent="0.2">
      <c r="A15936" s="12"/>
      <c r="B15936" s="13"/>
    </row>
    <row r="15937" spans="1:2" x14ac:dyDescent="0.2">
      <c r="A15937" s="12"/>
      <c r="B15937" s="13"/>
    </row>
    <row r="15938" spans="1:2" x14ac:dyDescent="0.2">
      <c r="A15938" s="12"/>
      <c r="B15938" s="13"/>
    </row>
    <row r="15939" spans="1:2" x14ac:dyDescent="0.2">
      <c r="A15939" s="12"/>
      <c r="B15939" s="13"/>
    </row>
    <row r="15940" spans="1:2" x14ac:dyDescent="0.2">
      <c r="A15940" s="12"/>
      <c r="B15940" s="13"/>
    </row>
    <row r="15941" spans="1:2" x14ac:dyDescent="0.2">
      <c r="A15941" s="12"/>
      <c r="B15941" s="13"/>
    </row>
    <row r="15942" spans="1:2" x14ac:dyDescent="0.2">
      <c r="A15942" s="12"/>
      <c r="B15942" s="13"/>
    </row>
    <row r="15943" spans="1:2" x14ac:dyDescent="0.2">
      <c r="A15943" s="12"/>
      <c r="B15943" s="13"/>
    </row>
    <row r="15944" spans="1:2" x14ac:dyDescent="0.2">
      <c r="A15944" s="12"/>
      <c r="B15944" s="13"/>
    </row>
    <row r="15945" spans="1:2" x14ac:dyDescent="0.2">
      <c r="A15945" s="12"/>
      <c r="B15945" s="13"/>
    </row>
    <row r="15946" spans="1:2" x14ac:dyDescent="0.2">
      <c r="A15946" s="12"/>
      <c r="B15946" s="13"/>
    </row>
    <row r="15947" spans="1:2" x14ac:dyDescent="0.2">
      <c r="A15947" s="12"/>
      <c r="B15947" s="13"/>
    </row>
    <row r="15948" spans="1:2" x14ac:dyDescent="0.2">
      <c r="A15948" s="12"/>
      <c r="B15948" s="13"/>
    </row>
    <row r="15949" spans="1:2" x14ac:dyDescent="0.2">
      <c r="A15949" s="12"/>
      <c r="B15949" s="13"/>
    </row>
    <row r="15950" spans="1:2" x14ac:dyDescent="0.2">
      <c r="A15950" s="12"/>
      <c r="B15950" s="13"/>
    </row>
    <row r="15951" spans="1:2" x14ac:dyDescent="0.2">
      <c r="A15951" s="12"/>
      <c r="B15951" s="13"/>
    </row>
    <row r="15952" spans="1:2" x14ac:dyDescent="0.2">
      <c r="A15952" s="12"/>
      <c r="B15952" s="13"/>
    </row>
    <row r="15953" spans="1:2" x14ac:dyDescent="0.2">
      <c r="A15953" s="12"/>
      <c r="B15953" s="13"/>
    </row>
    <row r="15954" spans="1:2" x14ac:dyDescent="0.2">
      <c r="A15954" s="12"/>
      <c r="B15954" s="13"/>
    </row>
    <row r="15955" spans="1:2" x14ac:dyDescent="0.2">
      <c r="A15955" s="12"/>
      <c r="B15955" s="13"/>
    </row>
    <row r="15956" spans="1:2" x14ac:dyDescent="0.2">
      <c r="A15956" s="12"/>
      <c r="B15956" s="13"/>
    </row>
    <row r="15957" spans="1:2" x14ac:dyDescent="0.2">
      <c r="A15957" s="12"/>
      <c r="B15957" s="13"/>
    </row>
    <row r="15958" spans="1:2" x14ac:dyDescent="0.2">
      <c r="A15958" s="12"/>
      <c r="B15958" s="13"/>
    </row>
    <row r="15959" spans="1:2" x14ac:dyDescent="0.2">
      <c r="A15959" s="12"/>
      <c r="B15959" s="13"/>
    </row>
    <row r="15960" spans="1:2" x14ac:dyDescent="0.2">
      <c r="A15960" s="12"/>
      <c r="B15960" s="13"/>
    </row>
    <row r="15961" spans="1:2" x14ac:dyDescent="0.2">
      <c r="A15961" s="12"/>
      <c r="B15961" s="13"/>
    </row>
    <row r="15962" spans="1:2" x14ac:dyDescent="0.2">
      <c r="A15962" s="12"/>
      <c r="B15962" s="13"/>
    </row>
    <row r="15963" spans="1:2" x14ac:dyDescent="0.2">
      <c r="A15963" s="12"/>
      <c r="B15963" s="13"/>
    </row>
    <row r="15964" spans="1:2" x14ac:dyDescent="0.2">
      <c r="A15964" s="12"/>
      <c r="B15964" s="13"/>
    </row>
    <row r="15965" spans="1:2" x14ac:dyDescent="0.2">
      <c r="A15965" s="12"/>
      <c r="B15965" s="13"/>
    </row>
    <row r="15966" spans="1:2" x14ac:dyDescent="0.2">
      <c r="A15966" s="12"/>
      <c r="B15966" s="13"/>
    </row>
    <row r="15967" spans="1:2" x14ac:dyDescent="0.2">
      <c r="A15967" s="12"/>
      <c r="B15967" s="13"/>
    </row>
    <row r="15968" spans="1:2" x14ac:dyDescent="0.2">
      <c r="A15968" s="12"/>
      <c r="B15968" s="13"/>
    </row>
    <row r="15969" spans="1:2" x14ac:dyDescent="0.2">
      <c r="A15969" s="12"/>
      <c r="B15969" s="13"/>
    </row>
    <row r="15970" spans="1:2" x14ac:dyDescent="0.2">
      <c r="A15970" s="12"/>
      <c r="B15970" s="13"/>
    </row>
    <row r="15971" spans="1:2" x14ac:dyDescent="0.2">
      <c r="A15971" s="12"/>
      <c r="B15971" s="13"/>
    </row>
    <row r="15972" spans="1:2" x14ac:dyDescent="0.2">
      <c r="A15972" s="12"/>
      <c r="B15972" s="13"/>
    </row>
    <row r="15973" spans="1:2" x14ac:dyDescent="0.2">
      <c r="A15973" s="12"/>
      <c r="B15973" s="13"/>
    </row>
    <row r="15974" spans="1:2" x14ac:dyDescent="0.2">
      <c r="A15974" s="12"/>
      <c r="B15974" s="13"/>
    </row>
    <row r="15975" spans="1:2" x14ac:dyDescent="0.2">
      <c r="A15975" s="12"/>
      <c r="B15975" s="13"/>
    </row>
    <row r="15976" spans="1:2" x14ac:dyDescent="0.2">
      <c r="A15976" s="12"/>
      <c r="B15976" s="13"/>
    </row>
    <row r="15977" spans="1:2" x14ac:dyDescent="0.2">
      <c r="A15977" s="12"/>
      <c r="B15977" s="13"/>
    </row>
    <row r="15978" spans="1:2" x14ac:dyDescent="0.2">
      <c r="A15978" s="12"/>
      <c r="B15978" s="13"/>
    </row>
    <row r="15979" spans="1:2" x14ac:dyDescent="0.2">
      <c r="A15979" s="12"/>
      <c r="B15979" s="13"/>
    </row>
    <row r="15980" spans="1:2" x14ac:dyDescent="0.2">
      <c r="A15980" s="12"/>
      <c r="B15980" s="13"/>
    </row>
    <row r="15981" spans="1:2" x14ac:dyDescent="0.2">
      <c r="A15981" s="12"/>
      <c r="B15981" s="13"/>
    </row>
    <row r="15982" spans="1:2" x14ac:dyDescent="0.2">
      <c r="A15982" s="12"/>
      <c r="B15982" s="13"/>
    </row>
    <row r="15983" spans="1:2" x14ac:dyDescent="0.2">
      <c r="A15983" s="12"/>
      <c r="B15983" s="13"/>
    </row>
    <row r="15984" spans="1:2" x14ac:dyDescent="0.2">
      <c r="A15984" s="12"/>
      <c r="B15984" s="13"/>
    </row>
    <row r="15985" spans="1:2" x14ac:dyDescent="0.2">
      <c r="A15985" s="12"/>
      <c r="B15985" s="13"/>
    </row>
    <row r="15986" spans="1:2" x14ac:dyDescent="0.2">
      <c r="A15986" s="12"/>
      <c r="B15986" s="13"/>
    </row>
    <row r="15987" spans="1:2" x14ac:dyDescent="0.2">
      <c r="A15987" s="12"/>
      <c r="B15987" s="13"/>
    </row>
    <row r="15988" spans="1:2" x14ac:dyDescent="0.2">
      <c r="A15988" s="12"/>
      <c r="B15988" s="13"/>
    </row>
    <row r="15989" spans="1:2" x14ac:dyDescent="0.2">
      <c r="A15989" s="12"/>
      <c r="B15989" s="13"/>
    </row>
    <row r="15990" spans="1:2" x14ac:dyDescent="0.2">
      <c r="A15990" s="12"/>
      <c r="B15990" s="13"/>
    </row>
    <row r="15991" spans="1:2" x14ac:dyDescent="0.2">
      <c r="A15991" s="12"/>
      <c r="B15991" s="13"/>
    </row>
    <row r="15992" spans="1:2" x14ac:dyDescent="0.2">
      <c r="A15992" s="12"/>
      <c r="B15992" s="13"/>
    </row>
    <row r="15993" spans="1:2" x14ac:dyDescent="0.2">
      <c r="A15993" s="12"/>
      <c r="B15993" s="13"/>
    </row>
    <row r="15994" spans="1:2" x14ac:dyDescent="0.2">
      <c r="A15994" s="12"/>
      <c r="B15994" s="13"/>
    </row>
    <row r="15995" spans="1:2" x14ac:dyDescent="0.2">
      <c r="A15995" s="12"/>
      <c r="B15995" s="13"/>
    </row>
    <row r="15996" spans="1:2" x14ac:dyDescent="0.2">
      <c r="A15996" s="12"/>
      <c r="B15996" s="13"/>
    </row>
    <row r="15997" spans="1:2" x14ac:dyDescent="0.2">
      <c r="A15997" s="12"/>
      <c r="B15997" s="13"/>
    </row>
    <row r="15998" spans="1:2" x14ac:dyDescent="0.2">
      <c r="A15998" s="12"/>
      <c r="B15998" s="13"/>
    </row>
    <row r="15999" spans="1:2" x14ac:dyDescent="0.2">
      <c r="A15999" s="12"/>
      <c r="B15999" s="13"/>
    </row>
    <row r="16000" spans="1:2" x14ac:dyDescent="0.2">
      <c r="A16000" s="12"/>
      <c r="B16000" s="13"/>
    </row>
    <row r="16001" spans="1:2" x14ac:dyDescent="0.2">
      <c r="A16001" s="12"/>
      <c r="B16001" s="13"/>
    </row>
    <row r="16002" spans="1:2" x14ac:dyDescent="0.2">
      <c r="A16002" s="12"/>
      <c r="B16002" s="13"/>
    </row>
    <row r="16003" spans="1:2" x14ac:dyDescent="0.2">
      <c r="A16003" s="12"/>
      <c r="B16003" s="13"/>
    </row>
    <row r="16004" spans="1:2" x14ac:dyDescent="0.2">
      <c r="A16004" s="12"/>
      <c r="B16004" s="13"/>
    </row>
    <row r="16005" spans="1:2" x14ac:dyDescent="0.2">
      <c r="A16005" s="12"/>
      <c r="B16005" s="13"/>
    </row>
    <row r="16006" spans="1:2" x14ac:dyDescent="0.2">
      <c r="A16006" s="12"/>
      <c r="B16006" s="13"/>
    </row>
    <row r="16007" spans="1:2" x14ac:dyDescent="0.2">
      <c r="A16007" s="12"/>
      <c r="B16007" s="13"/>
    </row>
    <row r="16008" spans="1:2" x14ac:dyDescent="0.2">
      <c r="A16008" s="12"/>
      <c r="B16008" s="13"/>
    </row>
    <row r="16009" spans="1:2" x14ac:dyDescent="0.2">
      <c r="A16009" s="12"/>
      <c r="B16009" s="13"/>
    </row>
    <row r="16010" spans="1:2" x14ac:dyDescent="0.2">
      <c r="A16010" s="12"/>
      <c r="B16010" s="13"/>
    </row>
    <row r="16011" spans="1:2" x14ac:dyDescent="0.2">
      <c r="A16011" s="12"/>
      <c r="B16011" s="13"/>
    </row>
    <row r="16012" spans="1:2" x14ac:dyDescent="0.2">
      <c r="A16012" s="12"/>
      <c r="B16012" s="13"/>
    </row>
    <row r="16013" spans="1:2" x14ac:dyDescent="0.2">
      <c r="A16013" s="12"/>
      <c r="B16013" s="13"/>
    </row>
    <row r="16014" spans="1:2" x14ac:dyDescent="0.2">
      <c r="A16014" s="12"/>
      <c r="B16014" s="13"/>
    </row>
    <row r="16015" spans="1:2" x14ac:dyDescent="0.2">
      <c r="A16015" s="12"/>
      <c r="B16015" s="13"/>
    </row>
    <row r="16016" spans="1:2" x14ac:dyDescent="0.2">
      <c r="A16016" s="12"/>
      <c r="B16016" s="13"/>
    </row>
    <row r="16017" spans="1:2" x14ac:dyDescent="0.2">
      <c r="A16017" s="12"/>
      <c r="B16017" s="13"/>
    </row>
    <row r="16018" spans="1:2" x14ac:dyDescent="0.2">
      <c r="A16018" s="12"/>
      <c r="B16018" s="13"/>
    </row>
    <row r="16019" spans="1:2" x14ac:dyDescent="0.2">
      <c r="A16019" s="12"/>
      <c r="B16019" s="13"/>
    </row>
    <row r="16020" spans="1:2" x14ac:dyDescent="0.2">
      <c r="A16020" s="12"/>
      <c r="B16020" s="13"/>
    </row>
    <row r="16021" spans="1:2" x14ac:dyDescent="0.2">
      <c r="A16021" s="12"/>
      <c r="B16021" s="13"/>
    </row>
    <row r="16022" spans="1:2" x14ac:dyDescent="0.2">
      <c r="A16022" s="12"/>
      <c r="B16022" s="13"/>
    </row>
    <row r="16023" spans="1:2" x14ac:dyDescent="0.2">
      <c r="A16023" s="12"/>
      <c r="B16023" s="13"/>
    </row>
    <row r="16024" spans="1:2" x14ac:dyDescent="0.2">
      <c r="A16024" s="12"/>
      <c r="B16024" s="13"/>
    </row>
    <row r="16025" spans="1:2" x14ac:dyDescent="0.2">
      <c r="A16025" s="12"/>
      <c r="B16025" s="13"/>
    </row>
    <row r="16026" spans="1:2" x14ac:dyDescent="0.2">
      <c r="A16026" s="12"/>
      <c r="B16026" s="13"/>
    </row>
    <row r="16027" spans="1:2" x14ac:dyDescent="0.2">
      <c r="A16027" s="12"/>
      <c r="B16027" s="13"/>
    </row>
    <row r="16028" spans="1:2" x14ac:dyDescent="0.2">
      <c r="A16028" s="12"/>
      <c r="B16028" s="13"/>
    </row>
    <row r="16029" spans="1:2" x14ac:dyDescent="0.2">
      <c r="A16029" s="12"/>
      <c r="B16029" s="13"/>
    </row>
    <row r="16030" spans="1:2" x14ac:dyDescent="0.2">
      <c r="A16030" s="12"/>
      <c r="B16030" s="13"/>
    </row>
    <row r="16031" spans="1:2" x14ac:dyDescent="0.2">
      <c r="A16031" s="12"/>
      <c r="B16031" s="13"/>
    </row>
    <row r="16032" spans="1:2" x14ac:dyDescent="0.2">
      <c r="A16032" s="12"/>
      <c r="B16032" s="13"/>
    </row>
    <row r="16033" spans="1:2" x14ac:dyDescent="0.2">
      <c r="A16033" s="12"/>
      <c r="B16033" s="13"/>
    </row>
    <row r="16034" spans="1:2" x14ac:dyDescent="0.2">
      <c r="A16034" s="12"/>
      <c r="B16034" s="13"/>
    </row>
    <row r="16035" spans="1:2" x14ac:dyDescent="0.2">
      <c r="A16035" s="12"/>
      <c r="B16035" s="13"/>
    </row>
    <row r="16036" spans="1:2" x14ac:dyDescent="0.2">
      <c r="A16036" s="12"/>
      <c r="B16036" s="13"/>
    </row>
    <row r="16037" spans="1:2" x14ac:dyDescent="0.2">
      <c r="A16037" s="12"/>
      <c r="B16037" s="13"/>
    </row>
    <row r="16038" spans="1:2" x14ac:dyDescent="0.2">
      <c r="A16038" s="12"/>
      <c r="B16038" s="13"/>
    </row>
    <row r="16039" spans="1:2" x14ac:dyDescent="0.2">
      <c r="A16039" s="12"/>
      <c r="B16039" s="13"/>
    </row>
    <row r="16040" spans="1:2" x14ac:dyDescent="0.2">
      <c r="A16040" s="12"/>
      <c r="B16040" s="13"/>
    </row>
    <row r="16041" spans="1:2" x14ac:dyDescent="0.2">
      <c r="A16041" s="12"/>
      <c r="B16041" s="13"/>
    </row>
    <row r="16042" spans="1:2" x14ac:dyDescent="0.2">
      <c r="A16042" s="12"/>
      <c r="B16042" s="13"/>
    </row>
    <row r="16043" spans="1:2" x14ac:dyDescent="0.2">
      <c r="A16043" s="12"/>
      <c r="B16043" s="13"/>
    </row>
    <row r="16044" spans="1:2" x14ac:dyDescent="0.2">
      <c r="A16044" s="12"/>
      <c r="B16044" s="13"/>
    </row>
    <row r="16045" spans="1:2" x14ac:dyDescent="0.2">
      <c r="A16045" s="12"/>
      <c r="B16045" s="13"/>
    </row>
    <row r="16046" spans="1:2" x14ac:dyDescent="0.2">
      <c r="A16046" s="12"/>
      <c r="B16046" s="13"/>
    </row>
    <row r="16047" spans="1:2" x14ac:dyDescent="0.2">
      <c r="A16047" s="12"/>
      <c r="B16047" s="13"/>
    </row>
    <row r="16048" spans="1:2" x14ac:dyDescent="0.2">
      <c r="A16048" s="12"/>
      <c r="B16048" s="13"/>
    </row>
    <row r="16049" spans="1:2" x14ac:dyDescent="0.2">
      <c r="A16049" s="12"/>
      <c r="B16049" s="13"/>
    </row>
    <row r="16050" spans="1:2" x14ac:dyDescent="0.2">
      <c r="A16050" s="12"/>
      <c r="B16050" s="13"/>
    </row>
    <row r="16051" spans="1:2" x14ac:dyDescent="0.2">
      <c r="A16051" s="12"/>
      <c r="B16051" s="13"/>
    </row>
    <row r="16052" spans="1:2" x14ac:dyDescent="0.2">
      <c r="A16052" s="12"/>
      <c r="B16052" s="13"/>
    </row>
    <row r="16053" spans="1:2" x14ac:dyDescent="0.2">
      <c r="A16053" s="12"/>
      <c r="B16053" s="13"/>
    </row>
    <row r="16054" spans="1:2" x14ac:dyDescent="0.2">
      <c r="A16054" s="12"/>
      <c r="B16054" s="13"/>
    </row>
    <row r="16055" spans="1:2" x14ac:dyDescent="0.2">
      <c r="A16055" s="12"/>
      <c r="B16055" s="13"/>
    </row>
    <row r="16056" spans="1:2" x14ac:dyDescent="0.2">
      <c r="A16056" s="12"/>
      <c r="B16056" s="13"/>
    </row>
    <row r="16057" spans="1:2" x14ac:dyDescent="0.2">
      <c r="A16057" s="12"/>
      <c r="B16057" s="13"/>
    </row>
    <row r="16058" spans="1:2" x14ac:dyDescent="0.2">
      <c r="A16058" s="12"/>
      <c r="B16058" s="13"/>
    </row>
    <row r="16059" spans="1:2" x14ac:dyDescent="0.2">
      <c r="A16059" s="12"/>
      <c r="B16059" s="13"/>
    </row>
    <row r="16060" spans="1:2" x14ac:dyDescent="0.2">
      <c r="A16060" s="12"/>
      <c r="B16060" s="13"/>
    </row>
    <row r="16061" spans="1:2" x14ac:dyDescent="0.2">
      <c r="A16061" s="12"/>
      <c r="B16061" s="13"/>
    </row>
    <row r="16062" spans="1:2" x14ac:dyDescent="0.2">
      <c r="A16062" s="12"/>
      <c r="B16062" s="13"/>
    </row>
    <row r="16063" spans="1:2" x14ac:dyDescent="0.2">
      <c r="A16063" s="12"/>
      <c r="B16063" s="13"/>
    </row>
    <row r="16064" spans="1:2" x14ac:dyDescent="0.2">
      <c r="A16064" s="12"/>
      <c r="B16064" s="13"/>
    </row>
    <row r="16065" spans="1:2" x14ac:dyDescent="0.2">
      <c r="A16065" s="12"/>
      <c r="B16065" s="13"/>
    </row>
    <row r="16066" spans="1:2" x14ac:dyDescent="0.2">
      <c r="A16066" s="12"/>
      <c r="B16066" s="13"/>
    </row>
    <row r="16067" spans="1:2" x14ac:dyDescent="0.2">
      <c r="A16067" s="12"/>
      <c r="B16067" s="13"/>
    </row>
    <row r="16068" spans="1:2" x14ac:dyDescent="0.2">
      <c r="A16068" s="12"/>
      <c r="B16068" s="13"/>
    </row>
    <row r="16069" spans="1:2" x14ac:dyDescent="0.2">
      <c r="A16069" s="12"/>
      <c r="B16069" s="13"/>
    </row>
    <row r="16070" spans="1:2" x14ac:dyDescent="0.2">
      <c r="A16070" s="12"/>
      <c r="B16070" s="13"/>
    </row>
    <row r="16071" spans="1:2" x14ac:dyDescent="0.2">
      <c r="A16071" s="12"/>
      <c r="B16071" s="13"/>
    </row>
    <row r="16072" spans="1:2" x14ac:dyDescent="0.2">
      <c r="A16072" s="12"/>
      <c r="B16072" s="13"/>
    </row>
    <row r="16073" spans="1:2" x14ac:dyDescent="0.2">
      <c r="A16073" s="12"/>
      <c r="B16073" s="13"/>
    </row>
    <row r="16074" spans="1:2" x14ac:dyDescent="0.2">
      <c r="A16074" s="12"/>
      <c r="B16074" s="13"/>
    </row>
    <row r="16075" spans="1:2" x14ac:dyDescent="0.2">
      <c r="A16075" s="12"/>
      <c r="B16075" s="13"/>
    </row>
    <row r="16076" spans="1:2" x14ac:dyDescent="0.2">
      <c r="A16076" s="12"/>
      <c r="B16076" s="13"/>
    </row>
    <row r="16077" spans="1:2" x14ac:dyDescent="0.2">
      <c r="A16077" s="12"/>
      <c r="B16077" s="13"/>
    </row>
    <row r="16078" spans="1:2" x14ac:dyDescent="0.2">
      <c r="A16078" s="12"/>
      <c r="B16078" s="13"/>
    </row>
    <row r="16079" spans="1:2" x14ac:dyDescent="0.2">
      <c r="A16079" s="12"/>
      <c r="B16079" s="13"/>
    </row>
    <row r="16080" spans="1:2" x14ac:dyDescent="0.2">
      <c r="A16080" s="12"/>
      <c r="B16080" s="13"/>
    </row>
    <row r="16081" spans="1:2" x14ac:dyDescent="0.2">
      <c r="A16081" s="12"/>
      <c r="B16081" s="13"/>
    </row>
    <row r="16082" spans="1:2" x14ac:dyDescent="0.2">
      <c r="A16082" s="12"/>
      <c r="B16082" s="13"/>
    </row>
    <row r="16083" spans="1:2" x14ac:dyDescent="0.2">
      <c r="A16083" s="12"/>
      <c r="B16083" s="13"/>
    </row>
    <row r="16084" spans="1:2" x14ac:dyDescent="0.2">
      <c r="A16084" s="12"/>
      <c r="B16084" s="13"/>
    </row>
    <row r="16085" spans="1:2" x14ac:dyDescent="0.2">
      <c r="A16085" s="12"/>
      <c r="B16085" s="13"/>
    </row>
    <row r="16086" spans="1:2" x14ac:dyDescent="0.2">
      <c r="A16086" s="12"/>
      <c r="B16086" s="13"/>
    </row>
    <row r="16087" spans="1:2" x14ac:dyDescent="0.2">
      <c r="A16087" s="12"/>
      <c r="B16087" s="13"/>
    </row>
    <row r="16088" spans="1:2" x14ac:dyDescent="0.2">
      <c r="A16088" s="12"/>
      <c r="B16088" s="13"/>
    </row>
    <row r="16089" spans="1:2" x14ac:dyDescent="0.2">
      <c r="A16089" s="12"/>
      <c r="B16089" s="13"/>
    </row>
    <row r="16090" spans="1:2" x14ac:dyDescent="0.2">
      <c r="A16090" s="12"/>
      <c r="B16090" s="13"/>
    </row>
    <row r="16091" spans="1:2" x14ac:dyDescent="0.2">
      <c r="A16091" s="12"/>
      <c r="B16091" s="13"/>
    </row>
    <row r="16092" spans="1:2" x14ac:dyDescent="0.2">
      <c r="A16092" s="12"/>
      <c r="B16092" s="13"/>
    </row>
    <row r="16093" spans="1:2" x14ac:dyDescent="0.2">
      <c r="A16093" s="12"/>
      <c r="B16093" s="13"/>
    </row>
    <row r="16094" spans="1:2" x14ac:dyDescent="0.2">
      <c r="A16094" s="12"/>
      <c r="B16094" s="13"/>
    </row>
    <row r="16095" spans="1:2" x14ac:dyDescent="0.2">
      <c r="A16095" s="12"/>
      <c r="B16095" s="13"/>
    </row>
    <row r="16096" spans="1:2" x14ac:dyDescent="0.2">
      <c r="A16096" s="12"/>
      <c r="B16096" s="13"/>
    </row>
    <row r="16097" spans="1:2" x14ac:dyDescent="0.2">
      <c r="A16097" s="12"/>
      <c r="B16097" s="13"/>
    </row>
    <row r="16098" spans="1:2" x14ac:dyDescent="0.2">
      <c r="A16098" s="12"/>
      <c r="B16098" s="13"/>
    </row>
    <row r="16099" spans="1:2" x14ac:dyDescent="0.2">
      <c r="A16099" s="12"/>
      <c r="B16099" s="13"/>
    </row>
    <row r="16100" spans="1:2" x14ac:dyDescent="0.2">
      <c r="A16100" s="12"/>
      <c r="B16100" s="13"/>
    </row>
    <row r="16101" spans="1:2" x14ac:dyDescent="0.2">
      <c r="A16101" s="12"/>
      <c r="B16101" s="13"/>
    </row>
    <row r="16102" spans="1:2" x14ac:dyDescent="0.2">
      <c r="A16102" s="12"/>
      <c r="B16102" s="13"/>
    </row>
    <row r="16103" spans="1:2" x14ac:dyDescent="0.2">
      <c r="A16103" s="12"/>
      <c r="B16103" s="13"/>
    </row>
    <row r="16104" spans="1:2" x14ac:dyDescent="0.2">
      <c r="A16104" s="12"/>
      <c r="B16104" s="13"/>
    </row>
    <row r="16105" spans="1:2" x14ac:dyDescent="0.2">
      <c r="A16105" s="12"/>
      <c r="B16105" s="13"/>
    </row>
    <row r="16106" spans="1:2" x14ac:dyDescent="0.2">
      <c r="A16106" s="12"/>
      <c r="B16106" s="13"/>
    </row>
    <row r="16107" spans="1:2" x14ac:dyDescent="0.2">
      <c r="A16107" s="12"/>
      <c r="B16107" s="13"/>
    </row>
    <row r="16108" spans="1:2" x14ac:dyDescent="0.2">
      <c r="A16108" s="12"/>
      <c r="B16108" s="13"/>
    </row>
    <row r="16109" spans="1:2" x14ac:dyDescent="0.2">
      <c r="A16109" s="12"/>
      <c r="B16109" s="13"/>
    </row>
    <row r="16110" spans="1:2" x14ac:dyDescent="0.2">
      <c r="A16110" s="12"/>
      <c r="B16110" s="13"/>
    </row>
    <row r="16111" spans="1:2" x14ac:dyDescent="0.2">
      <c r="A16111" s="12"/>
      <c r="B16111" s="13"/>
    </row>
    <row r="16112" spans="1:2" x14ac:dyDescent="0.2">
      <c r="A16112" s="12"/>
      <c r="B16112" s="13"/>
    </row>
    <row r="16113" spans="1:2" x14ac:dyDescent="0.2">
      <c r="A16113" s="12"/>
      <c r="B16113" s="13"/>
    </row>
    <row r="16114" spans="1:2" x14ac:dyDescent="0.2">
      <c r="A16114" s="12"/>
      <c r="B16114" s="13"/>
    </row>
    <row r="16115" spans="1:2" x14ac:dyDescent="0.2">
      <c r="A16115" s="12"/>
      <c r="B16115" s="13"/>
    </row>
    <row r="16116" spans="1:2" x14ac:dyDescent="0.2">
      <c r="A16116" s="12"/>
      <c r="B16116" s="13"/>
    </row>
    <row r="16117" spans="1:2" x14ac:dyDescent="0.2">
      <c r="A16117" s="12"/>
      <c r="B16117" s="13"/>
    </row>
    <row r="16118" spans="1:2" x14ac:dyDescent="0.2">
      <c r="A16118" s="12"/>
      <c r="B16118" s="13"/>
    </row>
    <row r="16119" spans="1:2" x14ac:dyDescent="0.2">
      <c r="A16119" s="12"/>
      <c r="B16119" s="13"/>
    </row>
    <row r="16120" spans="1:2" x14ac:dyDescent="0.2">
      <c r="A16120" s="12"/>
      <c r="B16120" s="13"/>
    </row>
    <row r="16121" spans="1:2" x14ac:dyDescent="0.2">
      <c r="A16121" s="12"/>
      <c r="B16121" s="13"/>
    </row>
    <row r="16122" spans="1:2" x14ac:dyDescent="0.2">
      <c r="A16122" s="12"/>
      <c r="B16122" s="13"/>
    </row>
    <row r="16123" spans="1:2" x14ac:dyDescent="0.2">
      <c r="A16123" s="12"/>
      <c r="B16123" s="13"/>
    </row>
    <row r="16124" spans="1:2" x14ac:dyDescent="0.2">
      <c r="A16124" s="12"/>
      <c r="B16124" s="13"/>
    </row>
    <row r="16125" spans="1:2" x14ac:dyDescent="0.2">
      <c r="A16125" s="12"/>
      <c r="B16125" s="13"/>
    </row>
    <row r="16126" spans="1:2" x14ac:dyDescent="0.2">
      <c r="A16126" s="12"/>
      <c r="B16126" s="13"/>
    </row>
    <row r="16127" spans="1:2" x14ac:dyDescent="0.2">
      <c r="A16127" s="12"/>
      <c r="B16127" s="13"/>
    </row>
    <row r="16128" spans="1:2" x14ac:dyDescent="0.2">
      <c r="A16128" s="12"/>
      <c r="B16128" s="13"/>
    </row>
    <row r="16129" spans="1:2" x14ac:dyDescent="0.2">
      <c r="A16129" s="12"/>
      <c r="B16129" s="13"/>
    </row>
    <row r="16130" spans="1:2" x14ac:dyDescent="0.2">
      <c r="A16130" s="12"/>
      <c r="B16130" s="13"/>
    </row>
    <row r="16131" spans="1:2" x14ac:dyDescent="0.2">
      <c r="A16131" s="12"/>
      <c r="B16131" s="13"/>
    </row>
    <row r="16132" spans="1:2" x14ac:dyDescent="0.2">
      <c r="A16132" s="12"/>
      <c r="B16132" s="13"/>
    </row>
    <row r="16133" spans="1:2" x14ac:dyDescent="0.2">
      <c r="A16133" s="12"/>
      <c r="B16133" s="13"/>
    </row>
    <row r="16134" spans="1:2" x14ac:dyDescent="0.2">
      <c r="A16134" s="12"/>
      <c r="B16134" s="13"/>
    </row>
    <row r="16135" spans="1:2" x14ac:dyDescent="0.2">
      <c r="A16135" s="12"/>
      <c r="B16135" s="13"/>
    </row>
    <row r="16136" spans="1:2" x14ac:dyDescent="0.2">
      <c r="A16136" s="12"/>
      <c r="B16136" s="13"/>
    </row>
    <row r="16137" spans="1:2" x14ac:dyDescent="0.2">
      <c r="A16137" s="12"/>
      <c r="B16137" s="13"/>
    </row>
    <row r="16138" spans="1:2" x14ac:dyDescent="0.2">
      <c r="A16138" s="12"/>
      <c r="B16138" s="13"/>
    </row>
    <row r="16139" spans="1:2" x14ac:dyDescent="0.2">
      <c r="A16139" s="12"/>
      <c r="B16139" s="13"/>
    </row>
    <row r="16140" spans="1:2" x14ac:dyDescent="0.2">
      <c r="A16140" s="12"/>
      <c r="B16140" s="13"/>
    </row>
    <row r="16141" spans="1:2" x14ac:dyDescent="0.2">
      <c r="A16141" s="12"/>
      <c r="B16141" s="13"/>
    </row>
    <row r="16142" spans="1:2" x14ac:dyDescent="0.2">
      <c r="A16142" s="12"/>
      <c r="B16142" s="13"/>
    </row>
    <row r="16143" spans="1:2" x14ac:dyDescent="0.2">
      <c r="A16143" s="12"/>
      <c r="B16143" s="13"/>
    </row>
    <row r="16144" spans="1:2" x14ac:dyDescent="0.2">
      <c r="A16144" s="12"/>
      <c r="B16144" s="13"/>
    </row>
    <row r="16145" spans="1:2" x14ac:dyDescent="0.2">
      <c r="A16145" s="12"/>
      <c r="B16145" s="13"/>
    </row>
    <row r="16146" spans="1:2" x14ac:dyDescent="0.2">
      <c r="A16146" s="12"/>
      <c r="B16146" s="13"/>
    </row>
    <row r="16147" spans="1:2" x14ac:dyDescent="0.2">
      <c r="A16147" s="12"/>
      <c r="B16147" s="13"/>
    </row>
    <row r="16148" spans="1:2" x14ac:dyDescent="0.2">
      <c r="A16148" s="12"/>
      <c r="B16148" s="13"/>
    </row>
    <row r="16149" spans="1:2" x14ac:dyDescent="0.2">
      <c r="A16149" s="12"/>
      <c r="B16149" s="13"/>
    </row>
    <row r="16150" spans="1:2" x14ac:dyDescent="0.2">
      <c r="A16150" s="12"/>
      <c r="B16150" s="13"/>
    </row>
    <row r="16151" spans="1:2" x14ac:dyDescent="0.2">
      <c r="A16151" s="12"/>
      <c r="B16151" s="13"/>
    </row>
    <row r="16152" spans="1:2" x14ac:dyDescent="0.2">
      <c r="A16152" s="12"/>
      <c r="B16152" s="13"/>
    </row>
    <row r="16153" spans="1:2" x14ac:dyDescent="0.2">
      <c r="A16153" s="12"/>
      <c r="B16153" s="13"/>
    </row>
    <row r="16154" spans="1:2" x14ac:dyDescent="0.2">
      <c r="A16154" s="12"/>
      <c r="B16154" s="13"/>
    </row>
    <row r="16155" spans="1:2" x14ac:dyDescent="0.2">
      <c r="A16155" s="12"/>
      <c r="B16155" s="13"/>
    </row>
    <row r="16156" spans="1:2" x14ac:dyDescent="0.2">
      <c r="A16156" s="12"/>
      <c r="B16156" s="13"/>
    </row>
    <row r="16157" spans="1:2" x14ac:dyDescent="0.2">
      <c r="A16157" s="12"/>
      <c r="B16157" s="13"/>
    </row>
    <row r="16158" spans="1:2" x14ac:dyDescent="0.2">
      <c r="A16158" s="12"/>
      <c r="B16158" s="13"/>
    </row>
    <row r="16159" spans="1:2" x14ac:dyDescent="0.2">
      <c r="A16159" s="12"/>
      <c r="B16159" s="13"/>
    </row>
    <row r="16160" spans="1:2" x14ac:dyDescent="0.2">
      <c r="A16160" s="12"/>
      <c r="B16160" s="13"/>
    </row>
    <row r="16161" spans="1:2" x14ac:dyDescent="0.2">
      <c r="A16161" s="12"/>
      <c r="B16161" s="13"/>
    </row>
    <row r="16162" spans="1:2" x14ac:dyDescent="0.2">
      <c r="A16162" s="12"/>
      <c r="B16162" s="13"/>
    </row>
    <row r="16163" spans="1:2" x14ac:dyDescent="0.2">
      <c r="A16163" s="12"/>
      <c r="B16163" s="13"/>
    </row>
    <row r="16164" spans="1:2" x14ac:dyDescent="0.2">
      <c r="A16164" s="12"/>
      <c r="B16164" s="13"/>
    </row>
    <row r="16165" spans="1:2" x14ac:dyDescent="0.2">
      <c r="A16165" s="12"/>
      <c r="B16165" s="13"/>
    </row>
    <row r="16166" spans="1:2" x14ac:dyDescent="0.2">
      <c r="A16166" s="12"/>
      <c r="B16166" s="13"/>
    </row>
    <row r="16167" spans="1:2" x14ac:dyDescent="0.2">
      <c r="A16167" s="12"/>
      <c r="B16167" s="13"/>
    </row>
    <row r="16168" spans="1:2" x14ac:dyDescent="0.2">
      <c r="A16168" s="12"/>
      <c r="B16168" s="13"/>
    </row>
    <row r="16169" spans="1:2" x14ac:dyDescent="0.2">
      <c r="A16169" s="12"/>
      <c r="B16169" s="13"/>
    </row>
    <row r="16170" spans="1:2" x14ac:dyDescent="0.2">
      <c r="A16170" s="12"/>
      <c r="B16170" s="13"/>
    </row>
    <row r="16171" spans="1:2" x14ac:dyDescent="0.2">
      <c r="A16171" s="12"/>
      <c r="B16171" s="13"/>
    </row>
    <row r="16172" spans="1:2" x14ac:dyDescent="0.2">
      <c r="A16172" s="12"/>
      <c r="B16172" s="13"/>
    </row>
    <row r="16173" spans="1:2" x14ac:dyDescent="0.2">
      <c r="A16173" s="12"/>
      <c r="B16173" s="13"/>
    </row>
    <row r="16174" spans="1:2" x14ac:dyDescent="0.2">
      <c r="A16174" s="12"/>
      <c r="B16174" s="13"/>
    </row>
    <row r="16175" spans="1:2" x14ac:dyDescent="0.2">
      <c r="A16175" s="12"/>
      <c r="B16175" s="13"/>
    </row>
    <row r="16176" spans="1:2" x14ac:dyDescent="0.2">
      <c r="A16176" s="12"/>
      <c r="B16176" s="13"/>
    </row>
    <row r="16177" spans="1:2" x14ac:dyDescent="0.2">
      <c r="A16177" s="12"/>
      <c r="B16177" s="13"/>
    </row>
    <row r="16178" spans="1:2" x14ac:dyDescent="0.2">
      <c r="A16178" s="12"/>
      <c r="B16178" s="13"/>
    </row>
    <row r="16179" spans="1:2" x14ac:dyDescent="0.2">
      <c r="A16179" s="12"/>
      <c r="B16179" s="13"/>
    </row>
    <row r="16180" spans="1:2" x14ac:dyDescent="0.2">
      <c r="A16180" s="12"/>
      <c r="B16180" s="13"/>
    </row>
    <row r="16181" spans="1:2" x14ac:dyDescent="0.2">
      <c r="A16181" s="12"/>
      <c r="B16181" s="13"/>
    </row>
    <row r="16182" spans="1:2" x14ac:dyDescent="0.2">
      <c r="A16182" s="12"/>
      <c r="B16182" s="13"/>
    </row>
    <row r="16183" spans="1:2" x14ac:dyDescent="0.2">
      <c r="A16183" s="12"/>
      <c r="B16183" s="13"/>
    </row>
    <row r="16184" spans="1:2" x14ac:dyDescent="0.2">
      <c r="A16184" s="12"/>
      <c r="B16184" s="13"/>
    </row>
    <row r="16185" spans="1:2" x14ac:dyDescent="0.2">
      <c r="A16185" s="12"/>
      <c r="B16185" s="13"/>
    </row>
    <row r="16186" spans="1:2" x14ac:dyDescent="0.2">
      <c r="A16186" s="12"/>
      <c r="B16186" s="13"/>
    </row>
    <row r="16187" spans="1:2" x14ac:dyDescent="0.2">
      <c r="A16187" s="12"/>
      <c r="B16187" s="13"/>
    </row>
    <row r="16188" spans="1:2" x14ac:dyDescent="0.2">
      <c r="A16188" s="12"/>
      <c r="B16188" s="13"/>
    </row>
    <row r="16189" spans="1:2" x14ac:dyDescent="0.2">
      <c r="A16189" s="12"/>
      <c r="B16189" s="13"/>
    </row>
    <row r="16190" spans="1:2" x14ac:dyDescent="0.2">
      <c r="A16190" s="12"/>
      <c r="B16190" s="13"/>
    </row>
    <row r="16191" spans="1:2" x14ac:dyDescent="0.2">
      <c r="A16191" s="12"/>
      <c r="B16191" s="13"/>
    </row>
    <row r="16192" spans="1:2" x14ac:dyDescent="0.2">
      <c r="A16192" s="12"/>
      <c r="B16192" s="13"/>
    </row>
    <row r="16193" spans="1:2" x14ac:dyDescent="0.2">
      <c r="A16193" s="12"/>
      <c r="B16193" s="13"/>
    </row>
    <row r="16194" spans="1:2" x14ac:dyDescent="0.2">
      <c r="A16194" s="12"/>
      <c r="B16194" s="13"/>
    </row>
    <row r="16195" spans="1:2" x14ac:dyDescent="0.2">
      <c r="A16195" s="12"/>
      <c r="B16195" s="13"/>
    </row>
    <row r="16196" spans="1:2" x14ac:dyDescent="0.2">
      <c r="A16196" s="12"/>
      <c r="B16196" s="13"/>
    </row>
    <row r="16197" spans="1:2" x14ac:dyDescent="0.2">
      <c r="A16197" s="12"/>
      <c r="B16197" s="13"/>
    </row>
    <row r="16198" spans="1:2" x14ac:dyDescent="0.2">
      <c r="A16198" s="12"/>
      <c r="B16198" s="13"/>
    </row>
    <row r="16199" spans="1:2" x14ac:dyDescent="0.2">
      <c r="A16199" s="12"/>
      <c r="B16199" s="13"/>
    </row>
    <row r="16200" spans="1:2" x14ac:dyDescent="0.2">
      <c r="A16200" s="12"/>
      <c r="B16200" s="13"/>
    </row>
    <row r="16201" spans="1:2" x14ac:dyDescent="0.2">
      <c r="A16201" s="12"/>
      <c r="B16201" s="13"/>
    </row>
    <row r="16202" spans="1:2" x14ac:dyDescent="0.2">
      <c r="A16202" s="12"/>
      <c r="B16202" s="13"/>
    </row>
    <row r="16203" spans="1:2" x14ac:dyDescent="0.2">
      <c r="A16203" s="12"/>
      <c r="B16203" s="13"/>
    </row>
    <row r="16204" spans="1:2" x14ac:dyDescent="0.2">
      <c r="A16204" s="12"/>
      <c r="B16204" s="13"/>
    </row>
    <row r="16205" spans="1:2" x14ac:dyDescent="0.2">
      <c r="A16205" s="12"/>
      <c r="B16205" s="13"/>
    </row>
    <row r="16206" spans="1:2" x14ac:dyDescent="0.2">
      <c r="A16206" s="12"/>
      <c r="B16206" s="13"/>
    </row>
    <row r="16207" spans="1:2" x14ac:dyDescent="0.2">
      <c r="A16207" s="12"/>
      <c r="B16207" s="13"/>
    </row>
    <row r="16208" spans="1:2" x14ac:dyDescent="0.2">
      <c r="A16208" s="12"/>
      <c r="B16208" s="13"/>
    </row>
    <row r="16209" spans="1:2" x14ac:dyDescent="0.2">
      <c r="A16209" s="12"/>
      <c r="B16209" s="13"/>
    </row>
    <row r="16210" spans="1:2" x14ac:dyDescent="0.2">
      <c r="A16210" s="12"/>
      <c r="B16210" s="13"/>
    </row>
    <row r="16211" spans="1:2" x14ac:dyDescent="0.2">
      <c r="A16211" s="12"/>
      <c r="B16211" s="13"/>
    </row>
    <row r="16212" spans="1:2" x14ac:dyDescent="0.2">
      <c r="A16212" s="12"/>
      <c r="B16212" s="13"/>
    </row>
    <row r="16213" spans="1:2" x14ac:dyDescent="0.2">
      <c r="A16213" s="12"/>
      <c r="B16213" s="13"/>
    </row>
    <row r="16214" spans="1:2" x14ac:dyDescent="0.2">
      <c r="A16214" s="12"/>
      <c r="B16214" s="13"/>
    </row>
    <row r="16215" spans="1:2" x14ac:dyDescent="0.2">
      <c r="A16215" s="12"/>
      <c r="B16215" s="13"/>
    </row>
    <row r="16216" spans="1:2" x14ac:dyDescent="0.2">
      <c r="A16216" s="12"/>
      <c r="B16216" s="13"/>
    </row>
    <row r="16217" spans="1:2" x14ac:dyDescent="0.2">
      <c r="A16217" s="12"/>
      <c r="B16217" s="13"/>
    </row>
    <row r="16218" spans="1:2" x14ac:dyDescent="0.2">
      <c r="A16218" s="12"/>
      <c r="B16218" s="13"/>
    </row>
    <row r="16219" spans="1:2" x14ac:dyDescent="0.2">
      <c r="A16219" s="12"/>
      <c r="B16219" s="13"/>
    </row>
    <row r="16220" spans="1:2" x14ac:dyDescent="0.2">
      <c r="A16220" s="12"/>
      <c r="B16220" s="13"/>
    </row>
    <row r="16221" spans="1:2" x14ac:dyDescent="0.2">
      <c r="A16221" s="12"/>
      <c r="B16221" s="13"/>
    </row>
    <row r="16222" spans="1:2" x14ac:dyDescent="0.2">
      <c r="A16222" s="12"/>
      <c r="B16222" s="13"/>
    </row>
    <row r="16223" spans="1:2" x14ac:dyDescent="0.2">
      <c r="A16223" s="12"/>
      <c r="B16223" s="13"/>
    </row>
    <row r="16224" spans="1:2" x14ac:dyDescent="0.2">
      <c r="A16224" s="12"/>
      <c r="B16224" s="13"/>
    </row>
    <row r="16225" spans="1:2" x14ac:dyDescent="0.2">
      <c r="A16225" s="12"/>
      <c r="B16225" s="13"/>
    </row>
    <row r="16226" spans="1:2" x14ac:dyDescent="0.2">
      <c r="A16226" s="12"/>
      <c r="B16226" s="13"/>
    </row>
    <row r="16227" spans="1:2" x14ac:dyDescent="0.2">
      <c r="A16227" s="12"/>
      <c r="B16227" s="13"/>
    </row>
    <row r="16228" spans="1:2" x14ac:dyDescent="0.2">
      <c r="A16228" s="12"/>
      <c r="B16228" s="13"/>
    </row>
    <row r="16229" spans="1:2" x14ac:dyDescent="0.2">
      <c r="A16229" s="12"/>
      <c r="B16229" s="13"/>
    </row>
    <row r="16230" spans="1:2" x14ac:dyDescent="0.2">
      <c r="A16230" s="12"/>
      <c r="B16230" s="13"/>
    </row>
    <row r="16231" spans="1:2" x14ac:dyDescent="0.2">
      <c r="A16231" s="12"/>
      <c r="B16231" s="13"/>
    </row>
    <row r="16232" spans="1:2" x14ac:dyDescent="0.2">
      <c r="A16232" s="12"/>
      <c r="B16232" s="13"/>
    </row>
    <row r="16233" spans="1:2" x14ac:dyDescent="0.2">
      <c r="A16233" s="12"/>
      <c r="B16233" s="13"/>
    </row>
    <row r="16234" spans="1:2" x14ac:dyDescent="0.2">
      <c r="A16234" s="12"/>
      <c r="B16234" s="13"/>
    </row>
    <row r="16235" spans="1:2" x14ac:dyDescent="0.2">
      <c r="A16235" s="12"/>
      <c r="B16235" s="13"/>
    </row>
    <row r="16236" spans="1:2" x14ac:dyDescent="0.2">
      <c r="A16236" s="12"/>
      <c r="B16236" s="13"/>
    </row>
    <row r="16237" spans="1:2" x14ac:dyDescent="0.2">
      <c r="A16237" s="12"/>
      <c r="B16237" s="13"/>
    </row>
    <row r="16238" spans="1:2" x14ac:dyDescent="0.2">
      <c r="A16238" s="12"/>
      <c r="B16238" s="13"/>
    </row>
    <row r="16239" spans="1:2" x14ac:dyDescent="0.2">
      <c r="A16239" s="12"/>
      <c r="B16239" s="13"/>
    </row>
    <row r="16240" spans="1:2" x14ac:dyDescent="0.2">
      <c r="A16240" s="12"/>
      <c r="B16240" s="13"/>
    </row>
    <row r="16241" spans="1:2" x14ac:dyDescent="0.2">
      <c r="A16241" s="12"/>
      <c r="B16241" s="13"/>
    </row>
    <row r="16242" spans="1:2" x14ac:dyDescent="0.2">
      <c r="A16242" s="12"/>
      <c r="B16242" s="13"/>
    </row>
    <row r="16243" spans="1:2" x14ac:dyDescent="0.2">
      <c r="A16243" s="12"/>
      <c r="B16243" s="13"/>
    </row>
    <row r="16244" spans="1:2" x14ac:dyDescent="0.2">
      <c r="A16244" s="12"/>
      <c r="B16244" s="13"/>
    </row>
    <row r="16245" spans="1:2" x14ac:dyDescent="0.2">
      <c r="A16245" s="12"/>
      <c r="B16245" s="13"/>
    </row>
    <row r="16246" spans="1:2" x14ac:dyDescent="0.2">
      <c r="A16246" s="12"/>
      <c r="B16246" s="13"/>
    </row>
    <row r="16247" spans="1:2" x14ac:dyDescent="0.2">
      <c r="A16247" s="12"/>
      <c r="B16247" s="13"/>
    </row>
    <row r="16248" spans="1:2" x14ac:dyDescent="0.2">
      <c r="A16248" s="12"/>
      <c r="B16248" s="13"/>
    </row>
    <row r="16249" spans="1:2" x14ac:dyDescent="0.2">
      <c r="A16249" s="12"/>
      <c r="B16249" s="13"/>
    </row>
    <row r="16250" spans="1:2" x14ac:dyDescent="0.2">
      <c r="A16250" s="12"/>
      <c r="B16250" s="13"/>
    </row>
    <row r="16251" spans="1:2" x14ac:dyDescent="0.2">
      <c r="A16251" s="12"/>
      <c r="B16251" s="13"/>
    </row>
    <row r="16252" spans="1:2" x14ac:dyDescent="0.2">
      <c r="A16252" s="12"/>
      <c r="B16252" s="13"/>
    </row>
    <row r="16253" spans="1:2" x14ac:dyDescent="0.2">
      <c r="A16253" s="12"/>
      <c r="B16253" s="13"/>
    </row>
    <row r="16254" spans="1:2" x14ac:dyDescent="0.2">
      <c r="A16254" s="12"/>
      <c r="B16254" s="13"/>
    </row>
    <row r="16255" spans="1:2" x14ac:dyDescent="0.2">
      <c r="A16255" s="12"/>
      <c r="B16255" s="13"/>
    </row>
    <row r="16256" spans="1:2" x14ac:dyDescent="0.2">
      <c r="A16256" s="12"/>
      <c r="B16256" s="13"/>
    </row>
    <row r="16257" spans="1:2" x14ac:dyDescent="0.2">
      <c r="A16257" s="12"/>
      <c r="B16257" s="13"/>
    </row>
    <row r="16258" spans="1:2" x14ac:dyDescent="0.2">
      <c r="A16258" s="12"/>
      <c r="B16258" s="13"/>
    </row>
    <row r="16259" spans="1:2" x14ac:dyDescent="0.2">
      <c r="A16259" s="12"/>
      <c r="B16259" s="13"/>
    </row>
    <row r="16260" spans="1:2" x14ac:dyDescent="0.2">
      <c r="A16260" s="12"/>
      <c r="B16260" s="13"/>
    </row>
    <row r="16261" spans="1:2" x14ac:dyDescent="0.2">
      <c r="A16261" s="12"/>
      <c r="B16261" s="13"/>
    </row>
    <row r="16262" spans="1:2" x14ac:dyDescent="0.2">
      <c r="A16262" s="12"/>
      <c r="B16262" s="13"/>
    </row>
    <row r="16263" spans="1:2" x14ac:dyDescent="0.2">
      <c r="A16263" s="12"/>
      <c r="B16263" s="13"/>
    </row>
    <row r="16264" spans="1:2" x14ac:dyDescent="0.2">
      <c r="A16264" s="12"/>
      <c r="B16264" s="13"/>
    </row>
    <row r="16265" spans="1:2" x14ac:dyDescent="0.2">
      <c r="A16265" s="12"/>
      <c r="B16265" s="13"/>
    </row>
    <row r="16266" spans="1:2" x14ac:dyDescent="0.2">
      <c r="A16266" s="12"/>
      <c r="B16266" s="13"/>
    </row>
    <row r="16267" spans="1:2" x14ac:dyDescent="0.2">
      <c r="A16267" s="12"/>
      <c r="B16267" s="13"/>
    </row>
    <row r="16268" spans="1:2" x14ac:dyDescent="0.2">
      <c r="A16268" s="12"/>
      <c r="B16268" s="13"/>
    </row>
    <row r="16269" spans="1:2" x14ac:dyDescent="0.2">
      <c r="A16269" s="12"/>
      <c r="B16269" s="13"/>
    </row>
    <row r="16270" spans="1:2" x14ac:dyDescent="0.2">
      <c r="A16270" s="12"/>
      <c r="B16270" s="13"/>
    </row>
    <row r="16271" spans="1:2" x14ac:dyDescent="0.2">
      <c r="A16271" s="12"/>
      <c r="B16271" s="13"/>
    </row>
    <row r="16272" spans="1:2" x14ac:dyDescent="0.2">
      <c r="A16272" s="12"/>
      <c r="B16272" s="13"/>
    </row>
    <row r="16273" spans="1:2" x14ac:dyDescent="0.2">
      <c r="A16273" s="12"/>
      <c r="B16273" s="13"/>
    </row>
    <row r="16274" spans="1:2" x14ac:dyDescent="0.2">
      <c r="A16274" s="12"/>
      <c r="B16274" s="13"/>
    </row>
    <row r="16275" spans="1:2" x14ac:dyDescent="0.2">
      <c r="A16275" s="12"/>
      <c r="B16275" s="13"/>
    </row>
    <row r="16276" spans="1:2" x14ac:dyDescent="0.2">
      <c r="A16276" s="12"/>
      <c r="B16276" s="13"/>
    </row>
    <row r="16277" spans="1:2" x14ac:dyDescent="0.2">
      <c r="A16277" s="12"/>
      <c r="B16277" s="13"/>
    </row>
    <row r="16278" spans="1:2" x14ac:dyDescent="0.2">
      <c r="A16278" s="12"/>
      <c r="B16278" s="13"/>
    </row>
    <row r="16279" spans="1:2" x14ac:dyDescent="0.2">
      <c r="A16279" s="12"/>
      <c r="B16279" s="13"/>
    </row>
    <row r="16280" spans="1:2" x14ac:dyDescent="0.2">
      <c r="A16280" s="12"/>
      <c r="B16280" s="13"/>
    </row>
    <row r="16281" spans="1:2" x14ac:dyDescent="0.2">
      <c r="A16281" s="12"/>
      <c r="B16281" s="13"/>
    </row>
    <row r="16282" spans="1:2" x14ac:dyDescent="0.2">
      <c r="A16282" s="12"/>
      <c r="B16282" s="13"/>
    </row>
    <row r="16283" spans="1:2" x14ac:dyDescent="0.2">
      <c r="A16283" s="12"/>
      <c r="B16283" s="13"/>
    </row>
    <row r="16284" spans="1:2" x14ac:dyDescent="0.2">
      <c r="A16284" s="12"/>
      <c r="B16284" s="13"/>
    </row>
    <row r="16285" spans="1:2" x14ac:dyDescent="0.2">
      <c r="A16285" s="12"/>
      <c r="B16285" s="13"/>
    </row>
    <row r="16286" spans="1:2" x14ac:dyDescent="0.2">
      <c r="A16286" s="12"/>
      <c r="B16286" s="13"/>
    </row>
    <row r="16287" spans="1:2" x14ac:dyDescent="0.2">
      <c r="A16287" s="12"/>
      <c r="B16287" s="13"/>
    </row>
    <row r="16288" spans="1:2" x14ac:dyDescent="0.2">
      <c r="A16288" s="12"/>
      <c r="B16288" s="13"/>
    </row>
    <row r="16289" spans="1:2" x14ac:dyDescent="0.2">
      <c r="A16289" s="12"/>
      <c r="B16289" s="13"/>
    </row>
    <row r="16290" spans="1:2" x14ac:dyDescent="0.2">
      <c r="A16290" s="12"/>
      <c r="B16290" s="13"/>
    </row>
    <row r="16291" spans="1:2" x14ac:dyDescent="0.2">
      <c r="A16291" s="12"/>
      <c r="B16291" s="13"/>
    </row>
    <row r="16292" spans="1:2" x14ac:dyDescent="0.2">
      <c r="A16292" s="12"/>
      <c r="B16292" s="13"/>
    </row>
    <row r="16293" spans="1:2" x14ac:dyDescent="0.2">
      <c r="A16293" s="12"/>
      <c r="B16293" s="13"/>
    </row>
    <row r="16294" spans="1:2" x14ac:dyDescent="0.2">
      <c r="A16294" s="12"/>
      <c r="B16294" s="13"/>
    </row>
    <row r="16295" spans="1:2" x14ac:dyDescent="0.2">
      <c r="A16295" s="12"/>
      <c r="B16295" s="13"/>
    </row>
    <row r="16296" spans="1:2" x14ac:dyDescent="0.2">
      <c r="A16296" s="12"/>
      <c r="B16296" s="13"/>
    </row>
    <row r="16297" spans="1:2" x14ac:dyDescent="0.2">
      <c r="A16297" s="12"/>
      <c r="B16297" s="13"/>
    </row>
    <row r="16298" spans="1:2" x14ac:dyDescent="0.2">
      <c r="A16298" s="12"/>
      <c r="B16298" s="13"/>
    </row>
    <row r="16299" spans="1:2" x14ac:dyDescent="0.2">
      <c r="A16299" s="12"/>
      <c r="B16299" s="13"/>
    </row>
    <row r="16300" spans="1:2" x14ac:dyDescent="0.2">
      <c r="A16300" s="12"/>
      <c r="B16300" s="13"/>
    </row>
    <row r="16301" spans="1:2" x14ac:dyDescent="0.2">
      <c r="A16301" s="12"/>
      <c r="B16301" s="13"/>
    </row>
    <row r="16302" spans="1:2" x14ac:dyDescent="0.2">
      <c r="A16302" s="12"/>
      <c r="B16302" s="13"/>
    </row>
    <row r="16303" spans="1:2" x14ac:dyDescent="0.2">
      <c r="A16303" s="12"/>
      <c r="B16303" s="13"/>
    </row>
    <row r="16304" spans="1:2" x14ac:dyDescent="0.2">
      <c r="A16304" s="12"/>
      <c r="B16304" s="13"/>
    </row>
    <row r="16305" spans="1:2" x14ac:dyDescent="0.2">
      <c r="A16305" s="12"/>
      <c r="B16305" s="13"/>
    </row>
    <row r="16306" spans="1:2" x14ac:dyDescent="0.2">
      <c r="A16306" s="12"/>
      <c r="B16306" s="13"/>
    </row>
    <row r="16307" spans="1:2" x14ac:dyDescent="0.2">
      <c r="A16307" s="12"/>
      <c r="B16307" s="13"/>
    </row>
    <row r="16308" spans="1:2" x14ac:dyDescent="0.2">
      <c r="A16308" s="12"/>
      <c r="B16308" s="13"/>
    </row>
    <row r="16309" spans="1:2" x14ac:dyDescent="0.2">
      <c r="A16309" s="12"/>
      <c r="B16309" s="13"/>
    </row>
    <row r="16310" spans="1:2" x14ac:dyDescent="0.2">
      <c r="A16310" s="12"/>
      <c r="B16310" s="13"/>
    </row>
    <row r="16311" spans="1:2" x14ac:dyDescent="0.2">
      <c r="A16311" s="12"/>
      <c r="B16311" s="13"/>
    </row>
    <row r="16312" spans="1:2" x14ac:dyDescent="0.2">
      <c r="A16312" s="12"/>
      <c r="B16312" s="13"/>
    </row>
    <row r="16313" spans="1:2" x14ac:dyDescent="0.2">
      <c r="A16313" s="12"/>
      <c r="B16313" s="13"/>
    </row>
    <row r="16314" spans="1:2" x14ac:dyDescent="0.2">
      <c r="A16314" s="12"/>
      <c r="B16314" s="13"/>
    </row>
    <row r="16315" spans="1:2" x14ac:dyDescent="0.2">
      <c r="A16315" s="12"/>
      <c r="B16315" s="13"/>
    </row>
    <row r="16316" spans="1:2" x14ac:dyDescent="0.2">
      <c r="A16316" s="12"/>
      <c r="B16316" s="13"/>
    </row>
    <row r="16317" spans="1:2" x14ac:dyDescent="0.2">
      <c r="A16317" s="12"/>
      <c r="B16317" s="13"/>
    </row>
    <row r="16318" spans="1:2" x14ac:dyDescent="0.2">
      <c r="A16318" s="12"/>
      <c r="B16318" s="13"/>
    </row>
    <row r="16319" spans="1:2" x14ac:dyDescent="0.2">
      <c r="A16319" s="12"/>
      <c r="B16319" s="13"/>
    </row>
    <row r="16320" spans="1:2" x14ac:dyDescent="0.2">
      <c r="A16320" s="12"/>
      <c r="B16320" s="13"/>
    </row>
    <row r="16321" spans="1:2" x14ac:dyDescent="0.2">
      <c r="A16321" s="12"/>
      <c r="B16321" s="13"/>
    </row>
    <row r="16322" spans="1:2" x14ac:dyDescent="0.2">
      <c r="A16322" s="12"/>
      <c r="B16322" s="13"/>
    </row>
    <row r="16323" spans="1:2" x14ac:dyDescent="0.2">
      <c r="A16323" s="12"/>
      <c r="B16323" s="13"/>
    </row>
    <row r="16324" spans="1:2" x14ac:dyDescent="0.2">
      <c r="A16324" s="12"/>
      <c r="B16324" s="13"/>
    </row>
    <row r="16325" spans="1:2" x14ac:dyDescent="0.2">
      <c r="A16325" s="12"/>
      <c r="B16325" s="13"/>
    </row>
    <row r="16326" spans="1:2" x14ac:dyDescent="0.2">
      <c r="A16326" s="12"/>
      <c r="B16326" s="13"/>
    </row>
    <row r="16327" spans="1:2" x14ac:dyDescent="0.2">
      <c r="A16327" s="12"/>
      <c r="B16327" s="13"/>
    </row>
    <row r="16328" spans="1:2" x14ac:dyDescent="0.2">
      <c r="A16328" s="12"/>
      <c r="B16328" s="13"/>
    </row>
    <row r="16329" spans="1:2" x14ac:dyDescent="0.2">
      <c r="A16329" s="12"/>
      <c r="B16329" s="13"/>
    </row>
    <row r="16330" spans="1:2" x14ac:dyDescent="0.2">
      <c r="A16330" s="12"/>
      <c r="B16330" s="13"/>
    </row>
    <row r="16331" spans="1:2" x14ac:dyDescent="0.2">
      <c r="A16331" s="12"/>
      <c r="B16331" s="13"/>
    </row>
    <row r="16332" spans="1:2" x14ac:dyDescent="0.2">
      <c r="A16332" s="12"/>
      <c r="B16332" s="13"/>
    </row>
    <row r="16333" spans="1:2" x14ac:dyDescent="0.2">
      <c r="A16333" s="12"/>
      <c r="B16333" s="13"/>
    </row>
    <row r="16334" spans="1:2" x14ac:dyDescent="0.2">
      <c r="A16334" s="12"/>
      <c r="B16334" s="13"/>
    </row>
    <row r="16335" spans="1:2" x14ac:dyDescent="0.2">
      <c r="A16335" s="12"/>
      <c r="B16335" s="13"/>
    </row>
    <row r="16336" spans="1:2" x14ac:dyDescent="0.2">
      <c r="A16336" s="12"/>
      <c r="B16336" s="13"/>
    </row>
    <row r="16337" spans="1:2" x14ac:dyDescent="0.2">
      <c r="A16337" s="12"/>
      <c r="B16337" s="13"/>
    </row>
    <row r="16338" spans="1:2" x14ac:dyDescent="0.2">
      <c r="A16338" s="12"/>
      <c r="B16338" s="13"/>
    </row>
    <row r="16339" spans="1:2" x14ac:dyDescent="0.2">
      <c r="A16339" s="12"/>
      <c r="B16339" s="13"/>
    </row>
    <row r="16340" spans="1:2" x14ac:dyDescent="0.2">
      <c r="A16340" s="12"/>
      <c r="B16340" s="13"/>
    </row>
    <row r="16341" spans="1:2" x14ac:dyDescent="0.2">
      <c r="A16341" s="12"/>
      <c r="B16341" s="13"/>
    </row>
    <row r="16342" spans="1:2" x14ac:dyDescent="0.2">
      <c r="A16342" s="12"/>
      <c r="B16342" s="13"/>
    </row>
    <row r="16343" spans="1:2" x14ac:dyDescent="0.2">
      <c r="A16343" s="12"/>
      <c r="B16343" s="13"/>
    </row>
    <row r="16344" spans="1:2" x14ac:dyDescent="0.2">
      <c r="A16344" s="12"/>
      <c r="B16344" s="13"/>
    </row>
    <row r="16345" spans="1:2" x14ac:dyDescent="0.2">
      <c r="A16345" s="12"/>
      <c r="B16345" s="13"/>
    </row>
    <row r="16346" spans="1:2" x14ac:dyDescent="0.2">
      <c r="A16346" s="12"/>
      <c r="B16346" s="13"/>
    </row>
    <row r="16347" spans="1:2" x14ac:dyDescent="0.2">
      <c r="A16347" s="12"/>
      <c r="B16347" s="13"/>
    </row>
    <row r="16348" spans="1:2" x14ac:dyDescent="0.2">
      <c r="A16348" s="12"/>
      <c r="B16348" s="13"/>
    </row>
    <row r="16349" spans="1:2" x14ac:dyDescent="0.2">
      <c r="A16349" s="12"/>
      <c r="B16349" s="13"/>
    </row>
    <row r="16350" spans="1:2" x14ac:dyDescent="0.2">
      <c r="A16350" s="12"/>
      <c r="B16350" s="13"/>
    </row>
    <row r="16351" spans="1:2" x14ac:dyDescent="0.2">
      <c r="A16351" s="12"/>
      <c r="B16351" s="13"/>
    </row>
    <row r="16352" spans="1:2" x14ac:dyDescent="0.2">
      <c r="A16352" s="12"/>
      <c r="B16352" s="13"/>
    </row>
    <row r="16353" spans="1:2" x14ac:dyDescent="0.2">
      <c r="A16353" s="12"/>
      <c r="B16353" s="13"/>
    </row>
    <row r="16354" spans="1:2" x14ac:dyDescent="0.2">
      <c r="A16354" s="12"/>
      <c r="B16354" s="13"/>
    </row>
    <row r="16355" spans="1:2" x14ac:dyDescent="0.2">
      <c r="A16355" s="12"/>
      <c r="B16355" s="13"/>
    </row>
    <row r="16356" spans="1:2" x14ac:dyDescent="0.2">
      <c r="A16356" s="12"/>
      <c r="B16356" s="13"/>
    </row>
    <row r="16357" spans="1:2" x14ac:dyDescent="0.2">
      <c r="A16357" s="12"/>
      <c r="B16357" s="13"/>
    </row>
    <row r="16358" spans="1:2" x14ac:dyDescent="0.2">
      <c r="A16358" s="12"/>
      <c r="B16358" s="13"/>
    </row>
    <row r="16359" spans="1:2" x14ac:dyDescent="0.2">
      <c r="A16359" s="12"/>
      <c r="B16359" s="13"/>
    </row>
    <row r="16360" spans="1:2" x14ac:dyDescent="0.2">
      <c r="A16360" s="12"/>
      <c r="B16360" s="13"/>
    </row>
    <row r="16361" spans="1:2" x14ac:dyDescent="0.2">
      <c r="A16361" s="12"/>
      <c r="B16361" s="13"/>
    </row>
    <row r="16362" spans="1:2" x14ac:dyDescent="0.2">
      <c r="A16362" s="12"/>
      <c r="B16362" s="13"/>
    </row>
    <row r="16363" spans="1:2" x14ac:dyDescent="0.2">
      <c r="A16363" s="12"/>
      <c r="B16363" s="13"/>
    </row>
    <row r="16364" spans="1:2" x14ac:dyDescent="0.2">
      <c r="A16364" s="12"/>
      <c r="B16364" s="13"/>
    </row>
    <row r="16365" spans="1:2" x14ac:dyDescent="0.2">
      <c r="A16365" s="12"/>
      <c r="B16365" s="13"/>
    </row>
    <row r="16366" spans="1:2" x14ac:dyDescent="0.2">
      <c r="A16366" s="12"/>
      <c r="B16366" s="13"/>
    </row>
    <row r="16367" spans="1:2" x14ac:dyDescent="0.2">
      <c r="A16367" s="12"/>
      <c r="B16367" s="13"/>
    </row>
    <row r="16368" spans="1:2" x14ac:dyDescent="0.2">
      <c r="A16368" s="12"/>
      <c r="B16368" s="13"/>
    </row>
    <row r="16369" spans="1:2" x14ac:dyDescent="0.2">
      <c r="A16369" s="12"/>
      <c r="B16369" s="13"/>
    </row>
    <row r="16370" spans="1:2" x14ac:dyDescent="0.2">
      <c r="A16370" s="12"/>
      <c r="B16370" s="13"/>
    </row>
    <row r="16371" spans="1:2" x14ac:dyDescent="0.2">
      <c r="A16371" s="12"/>
      <c r="B16371" s="13"/>
    </row>
    <row r="16372" spans="1:2" x14ac:dyDescent="0.2">
      <c r="A16372" s="12"/>
      <c r="B16372" s="13"/>
    </row>
    <row r="16373" spans="1:2" x14ac:dyDescent="0.2">
      <c r="A16373" s="12"/>
      <c r="B16373" s="13"/>
    </row>
    <row r="16374" spans="1:2" x14ac:dyDescent="0.2">
      <c r="A16374" s="12"/>
      <c r="B16374" s="13"/>
    </row>
    <row r="16375" spans="1:2" x14ac:dyDescent="0.2">
      <c r="A16375" s="12"/>
      <c r="B16375" s="13"/>
    </row>
    <row r="16376" spans="1:2" x14ac:dyDescent="0.2">
      <c r="A16376" s="12"/>
      <c r="B16376" s="13"/>
    </row>
    <row r="16377" spans="1:2" x14ac:dyDescent="0.2">
      <c r="A16377" s="12"/>
      <c r="B16377" s="13"/>
    </row>
    <row r="16378" spans="1:2" x14ac:dyDescent="0.2">
      <c r="A16378" s="12"/>
      <c r="B16378" s="13"/>
    </row>
    <row r="16379" spans="1:2" x14ac:dyDescent="0.2">
      <c r="A16379" s="12"/>
      <c r="B16379" s="13"/>
    </row>
    <row r="16380" spans="1:2" x14ac:dyDescent="0.2">
      <c r="A16380" s="12"/>
      <c r="B16380" s="13"/>
    </row>
  </sheetData>
  <mergeCells count="13">
    <mergeCell ref="AA2:AB2"/>
    <mergeCell ref="Y1:Z1"/>
    <mergeCell ref="AA1:AB1"/>
    <mergeCell ref="O2:P2"/>
    <mergeCell ref="Q1:R1"/>
    <mergeCell ref="S1:T1"/>
    <mergeCell ref="U1:V1"/>
    <mergeCell ref="W1:X1"/>
    <mergeCell ref="Q2:R2"/>
    <mergeCell ref="S2:T2"/>
    <mergeCell ref="U2:V2"/>
    <mergeCell ref="W2:X2"/>
    <mergeCell ref="Y2:Z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D2CE0-2E48-E949-976E-D88715B001BC}">
  <dimension ref="A1:AD40"/>
  <sheetViews>
    <sheetView topLeftCell="K1" workbookViewId="0">
      <selection activeCell="R26" sqref="R26"/>
    </sheetView>
  </sheetViews>
  <sheetFormatPr baseColWidth="10" defaultColWidth="11" defaultRowHeight="16" x14ac:dyDescent="0.2"/>
  <cols>
    <col min="1" max="1" width="17.1640625" customWidth="1"/>
    <col min="2" max="3" width="10.83203125"/>
    <col min="5" max="5" width="10.83203125"/>
    <col min="7" max="9" width="10.83203125"/>
    <col min="11" max="11" width="10.83203125"/>
    <col min="13" max="13" width="10.83203125"/>
    <col min="14" max="14" width="10.83203125" style="1"/>
    <col min="16" max="16" width="10.83203125"/>
    <col min="18" max="18" width="10.83203125"/>
    <col min="20" max="20" width="10.83203125"/>
    <col min="22" max="22" width="10.83203125"/>
    <col min="24" max="24" width="10.83203125"/>
    <col min="26" max="26" width="10.83203125"/>
    <col min="28" max="28" width="10.83203125"/>
    <col min="30" max="30" width="10.83203125"/>
  </cols>
  <sheetData>
    <row r="1" spans="1:30" x14ac:dyDescent="0.2">
      <c r="B1" t="s">
        <v>5247</v>
      </c>
      <c r="D1" t="s">
        <v>5248</v>
      </c>
      <c r="F1" t="s">
        <v>5249</v>
      </c>
      <c r="H1" t="s">
        <v>5250</v>
      </c>
      <c r="J1" t="s">
        <v>5251</v>
      </c>
      <c r="L1" t="s">
        <v>5252</v>
      </c>
      <c r="O1" t="s">
        <v>5253</v>
      </c>
      <c r="Q1" t="s">
        <v>5254</v>
      </c>
      <c r="S1" t="s">
        <v>5255</v>
      </c>
      <c r="U1" t="s">
        <v>5256</v>
      </c>
      <c r="W1" t="s">
        <v>5257</v>
      </c>
      <c r="Y1" t="s">
        <v>5258</v>
      </c>
      <c r="AA1" t="s">
        <v>5259</v>
      </c>
      <c r="AC1" t="s">
        <v>5260</v>
      </c>
    </row>
    <row r="2" spans="1:30" x14ac:dyDescent="0.2">
      <c r="A2" t="s">
        <v>5242</v>
      </c>
      <c r="B2" t="s">
        <v>4988</v>
      </c>
      <c r="D2" t="s">
        <v>5005</v>
      </c>
      <c r="F2" t="s">
        <v>5031</v>
      </c>
      <c r="H2" t="s">
        <v>5040</v>
      </c>
      <c r="J2" t="s">
        <v>5064</v>
      </c>
      <c r="L2" t="s">
        <v>5067</v>
      </c>
      <c r="O2" t="s">
        <v>5238</v>
      </c>
      <c r="Q2" t="s">
        <v>5239</v>
      </c>
      <c r="S2" t="s">
        <v>5240</v>
      </c>
      <c r="U2" t="s">
        <v>5237</v>
      </c>
      <c r="W2" t="s">
        <v>5233</v>
      </c>
      <c r="Y2" t="s">
        <v>5231</v>
      </c>
      <c r="AA2" t="s">
        <v>5229</v>
      </c>
      <c r="AC2" t="s">
        <v>5225</v>
      </c>
    </row>
    <row r="3" spans="1:30" x14ac:dyDescent="0.2">
      <c r="A3">
        <v>10</v>
      </c>
      <c r="C3" t="str">
        <f>IF(B3&gt;0, B3/60, "")</f>
        <v/>
      </c>
      <c r="E3" t="str">
        <f>IF(D3&gt;0, D3/60, "")</f>
        <v/>
      </c>
      <c r="F3">
        <v>310.99</v>
      </c>
      <c r="G3">
        <f>IF(F3&gt;0, F3/60, "")</f>
        <v>5.1831666666666667</v>
      </c>
      <c r="H3">
        <v>39</v>
      </c>
      <c r="I3">
        <f>IF(H3&gt;0, H3/60, "")</f>
        <v>0.65</v>
      </c>
      <c r="K3" t="str">
        <f>IF(J3&gt;0, J3/60, "")</f>
        <v/>
      </c>
      <c r="M3" t="str">
        <f>IF(L3&gt;0, L3/60, "")</f>
        <v/>
      </c>
      <c r="O3">
        <v>1800.96</v>
      </c>
      <c r="P3">
        <f>IF(O3&gt;0, O3/60, "")</f>
        <v>30.016000000000002</v>
      </c>
      <c r="Q3">
        <v>88</v>
      </c>
      <c r="R3">
        <f>IF(Q3&gt;0, Q3/60, "")</f>
        <v>1.4666666666666666</v>
      </c>
      <c r="S3">
        <v>50942.26</v>
      </c>
      <c r="T3">
        <f>IF(S3&gt;0, S3/60, "")</f>
        <v>849.03766666666672</v>
      </c>
      <c r="U3">
        <v>3487.84</v>
      </c>
      <c r="V3">
        <f>IF(U3&gt;0, U3/60, "")</f>
        <v>58.13066666666667</v>
      </c>
      <c r="W3">
        <v>1144.96</v>
      </c>
      <c r="X3">
        <f>IF(W3&gt;0, W3/60, "")</f>
        <v>19.082666666666668</v>
      </c>
      <c r="Y3">
        <v>15496.34</v>
      </c>
      <c r="Z3">
        <f>IF(Y3&gt;0, Y3/60, "")</f>
        <v>258.27233333333334</v>
      </c>
      <c r="AA3">
        <v>244.99</v>
      </c>
      <c r="AB3">
        <f>IF(AA3&gt;0, AA3/60, "")</f>
        <v>4.0831666666666671</v>
      </c>
      <c r="AC3">
        <v>2656.94</v>
      </c>
      <c r="AD3">
        <f>IF(AC3&gt;0, AC3/60, "")</f>
        <v>44.282333333333334</v>
      </c>
    </row>
    <row r="4" spans="1:30" x14ac:dyDescent="0.2">
      <c r="A4">
        <v>36</v>
      </c>
      <c r="B4">
        <v>130</v>
      </c>
      <c r="C4">
        <f t="shared" ref="C4:E22" si="0">IF(B4&gt;0, B4/60, "")</f>
        <v>2.1666666666666665</v>
      </c>
      <c r="D4">
        <v>253.99</v>
      </c>
      <c r="E4">
        <f t="shared" si="0"/>
        <v>4.2331666666666665</v>
      </c>
      <c r="F4">
        <v>104</v>
      </c>
      <c r="G4">
        <f t="shared" ref="G4" si="1">IF(F4&gt;0, F4/60, "")</f>
        <v>1.7333333333333334</v>
      </c>
      <c r="H4">
        <v>220</v>
      </c>
      <c r="I4">
        <f t="shared" ref="I4" si="2">IF(H4&gt;0, H4/60, "")</f>
        <v>3.6666666666666665</v>
      </c>
      <c r="K4" t="str">
        <f t="shared" ref="K4:M4" si="3">IF(J4&gt;0, J4/60, "")</f>
        <v/>
      </c>
      <c r="M4" t="str">
        <f t="shared" si="3"/>
        <v/>
      </c>
      <c r="O4">
        <v>7429.94</v>
      </c>
      <c r="P4">
        <f t="shared" ref="P4" si="4">IF(O4&gt;0, O4/60, "")</f>
        <v>123.83233333333332</v>
      </c>
      <c r="Q4">
        <v>9329.6</v>
      </c>
      <c r="R4">
        <f t="shared" ref="R4" si="5">IF(Q4&gt;0, Q4/60, "")</f>
        <v>155.49333333333334</v>
      </c>
      <c r="S4">
        <v>15553.61</v>
      </c>
      <c r="T4">
        <f t="shared" ref="T4" si="6">IF(S4&gt;0, S4/60, "")</f>
        <v>259.22683333333333</v>
      </c>
      <c r="V4" t="str">
        <f t="shared" ref="V4" si="7">IF(U4&gt;0, U4/60, "")</f>
        <v/>
      </c>
      <c r="W4">
        <v>4188.87</v>
      </c>
      <c r="X4">
        <f t="shared" ref="X4" si="8">IF(W4&gt;0, W4/60, "")</f>
        <v>69.814499999999995</v>
      </c>
      <c r="Y4">
        <v>712.96</v>
      </c>
      <c r="Z4">
        <f t="shared" ref="Z4" si="9">IF(Y4&gt;0, Y4/60, "")</f>
        <v>11.882666666666667</v>
      </c>
      <c r="AB4" t="str">
        <f t="shared" ref="AB4" si="10">IF(AA4&gt;0, AA4/60, "")</f>
        <v/>
      </c>
      <c r="AC4">
        <v>575</v>
      </c>
      <c r="AD4">
        <f t="shared" ref="AD4" si="11">IF(AC4&gt;0, AC4/60, "")</f>
        <v>9.5833333333333339</v>
      </c>
    </row>
    <row r="5" spans="1:30" x14ac:dyDescent="0.2">
      <c r="A5">
        <v>37</v>
      </c>
      <c r="B5">
        <v>96</v>
      </c>
      <c r="C5">
        <f t="shared" si="0"/>
        <v>1.6</v>
      </c>
      <c r="D5">
        <v>43</v>
      </c>
      <c r="E5">
        <f t="shared" si="0"/>
        <v>0.71666666666666667</v>
      </c>
      <c r="F5">
        <v>323.99</v>
      </c>
      <c r="G5">
        <f t="shared" ref="G5" si="12">IF(F5&gt;0, F5/60, "")</f>
        <v>5.3998333333333335</v>
      </c>
      <c r="H5">
        <v>37</v>
      </c>
      <c r="I5">
        <f t="shared" ref="I5" si="13">IF(H5&gt;0, H5/60, "")</f>
        <v>0.6166666666666667</v>
      </c>
      <c r="J5">
        <v>212.98</v>
      </c>
      <c r="K5">
        <f t="shared" ref="K5:M5" si="14">IF(J5&gt;0, J5/60, "")</f>
        <v>3.5496666666666665</v>
      </c>
      <c r="M5" t="str">
        <f t="shared" si="14"/>
        <v/>
      </c>
      <c r="O5">
        <v>6080.7</v>
      </c>
      <c r="P5">
        <f t="shared" ref="P5" si="15">IF(O5&gt;0, O5/60, "")</f>
        <v>101.345</v>
      </c>
      <c r="Q5">
        <v>5321.83</v>
      </c>
      <c r="R5">
        <f t="shared" ref="R5" si="16">IF(Q5&gt;0, Q5/60, "")</f>
        <v>88.697166666666661</v>
      </c>
      <c r="S5">
        <v>4807.74</v>
      </c>
      <c r="T5">
        <f t="shared" ref="T5" si="17">IF(S5&gt;0, S5/60, "")</f>
        <v>80.128999999999991</v>
      </c>
      <c r="V5" t="str">
        <f t="shared" ref="V5" si="18">IF(U5&gt;0, U5/60, "")</f>
        <v/>
      </c>
      <c r="W5">
        <v>5579.79</v>
      </c>
      <c r="X5">
        <f t="shared" ref="X5" si="19">IF(W5&gt;0, W5/60, "")</f>
        <v>92.996499999999997</v>
      </c>
      <c r="Z5" t="str">
        <f t="shared" ref="Z5" si="20">IF(Y5&gt;0, Y5/60, "")</f>
        <v/>
      </c>
      <c r="AA5">
        <v>1169.96</v>
      </c>
      <c r="AB5">
        <f t="shared" ref="AB5" si="21">IF(AA5&gt;0, AA5/60, "")</f>
        <v>19.499333333333333</v>
      </c>
      <c r="AC5">
        <v>1112.96</v>
      </c>
      <c r="AD5">
        <f t="shared" ref="AD5" si="22">IF(AC5&gt;0, AC5/60, "")</f>
        <v>18.549333333333333</v>
      </c>
    </row>
    <row r="6" spans="1:30" x14ac:dyDescent="0.2">
      <c r="A6">
        <v>38</v>
      </c>
      <c r="C6" t="str">
        <f t="shared" si="0"/>
        <v/>
      </c>
      <c r="D6">
        <v>140.97999999999999</v>
      </c>
      <c r="E6">
        <f t="shared" si="0"/>
        <v>2.3496666666666663</v>
      </c>
      <c r="F6">
        <v>60.99</v>
      </c>
      <c r="G6">
        <f t="shared" ref="G6" si="23">IF(F6&gt;0, F6/60, "")</f>
        <v>1.0165</v>
      </c>
      <c r="H6">
        <v>28</v>
      </c>
      <c r="I6">
        <f t="shared" ref="I6" si="24">IF(H6&gt;0, H6/60, "")</f>
        <v>0.46666666666666667</v>
      </c>
      <c r="K6" t="str">
        <f t="shared" ref="K6:M6" si="25">IF(J6&gt;0, J6/60, "")</f>
        <v/>
      </c>
      <c r="M6" t="str">
        <f t="shared" si="25"/>
        <v/>
      </c>
      <c r="O6">
        <v>3234.95</v>
      </c>
      <c r="P6">
        <f t="shared" ref="P6" si="26">IF(O6&gt;0, O6/60, "")</f>
        <v>53.915833333333332</v>
      </c>
      <c r="Q6">
        <v>4739.8599999999997</v>
      </c>
      <c r="R6">
        <f t="shared" ref="R6" si="27">IF(Q6&gt;0, Q6/60, "")</f>
        <v>78.99766666666666</v>
      </c>
      <c r="S6">
        <v>40258.11</v>
      </c>
      <c r="T6">
        <f t="shared" ref="T6" si="28">IF(S6&gt;0, S6/60, "")</f>
        <v>670.96850000000006</v>
      </c>
      <c r="V6" t="str">
        <f t="shared" ref="V6" si="29">IF(U6&gt;0, U6/60, "")</f>
        <v/>
      </c>
      <c r="W6">
        <v>3896.92</v>
      </c>
      <c r="X6">
        <f t="shared" ref="X6" si="30">IF(W6&gt;0, W6/60, "")</f>
        <v>64.948666666666668</v>
      </c>
      <c r="Y6">
        <v>22</v>
      </c>
      <c r="Z6">
        <f t="shared" ref="Z6" si="31">IF(Y6&gt;0, Y6/60, "")</f>
        <v>0.36666666666666664</v>
      </c>
      <c r="AA6">
        <v>30</v>
      </c>
      <c r="AB6">
        <f t="shared" ref="AB6" si="32">IF(AA6&gt;0, AA6/60, "")</f>
        <v>0.5</v>
      </c>
      <c r="AC6">
        <v>710.98</v>
      </c>
      <c r="AD6">
        <f t="shared" ref="AD6" si="33">IF(AC6&gt;0, AC6/60, "")</f>
        <v>11.849666666666668</v>
      </c>
    </row>
    <row r="7" spans="1:30" x14ac:dyDescent="0.2">
      <c r="A7">
        <v>39</v>
      </c>
      <c r="B7">
        <v>144</v>
      </c>
      <c r="C7">
        <f t="shared" si="0"/>
        <v>2.4</v>
      </c>
      <c r="D7">
        <v>166</v>
      </c>
      <c r="E7">
        <f t="shared" si="0"/>
        <v>2.7666666666666666</v>
      </c>
      <c r="F7">
        <v>96.99</v>
      </c>
      <c r="G7">
        <f t="shared" ref="G7" si="34">IF(F7&gt;0, F7/60, "")</f>
        <v>1.6164999999999998</v>
      </c>
      <c r="H7">
        <v>210</v>
      </c>
      <c r="I7">
        <f t="shared" ref="I7" si="35">IF(H7&gt;0, H7/60, "")</f>
        <v>3.5</v>
      </c>
      <c r="J7">
        <v>150.99</v>
      </c>
      <c r="K7">
        <f t="shared" ref="K7:M7" si="36">IF(J7&gt;0, J7/60, "")</f>
        <v>2.5165000000000002</v>
      </c>
      <c r="L7">
        <v>118</v>
      </c>
      <c r="M7">
        <f t="shared" si="36"/>
        <v>1.9666666666666666</v>
      </c>
      <c r="O7">
        <v>1023.97</v>
      </c>
      <c r="P7">
        <f t="shared" ref="P7" si="37">IF(O7&gt;0, O7/60, "")</f>
        <v>17.066166666666668</v>
      </c>
      <c r="Q7">
        <v>4731.8999999999996</v>
      </c>
      <c r="R7">
        <f t="shared" ref="R7" si="38">IF(Q7&gt;0, Q7/60, "")</f>
        <v>78.864999999999995</v>
      </c>
      <c r="S7">
        <v>5816.77</v>
      </c>
      <c r="T7">
        <f t="shared" ref="T7" si="39">IF(S7&gt;0, S7/60, "")</f>
        <v>96.94616666666667</v>
      </c>
      <c r="U7">
        <v>6393.85</v>
      </c>
      <c r="V7">
        <f t="shared" ref="V7" si="40">IF(U7&gt;0, U7/60, "")</f>
        <v>106.56416666666668</v>
      </c>
      <c r="W7">
        <v>5439.82</v>
      </c>
      <c r="X7">
        <f t="shared" ref="X7" si="41">IF(W7&gt;0, W7/60, "")</f>
        <v>90.663666666666657</v>
      </c>
      <c r="Y7">
        <v>254</v>
      </c>
      <c r="Z7">
        <f t="shared" ref="Z7" si="42">IF(Y7&gt;0, Y7/60, "")</f>
        <v>4.2333333333333334</v>
      </c>
      <c r="AA7">
        <v>4514.9799999999996</v>
      </c>
      <c r="AB7">
        <f t="shared" ref="AB7" si="43">IF(AA7&gt;0, AA7/60, "")</f>
        <v>75.249666666666656</v>
      </c>
      <c r="AC7">
        <v>8330.7199999999993</v>
      </c>
      <c r="AD7">
        <f t="shared" ref="AD7" si="44">IF(AC7&gt;0, AC7/60, "")</f>
        <v>138.84533333333331</v>
      </c>
    </row>
    <row r="8" spans="1:30" x14ac:dyDescent="0.2">
      <c r="A8">
        <v>42</v>
      </c>
      <c r="B8">
        <v>209.98</v>
      </c>
      <c r="C8">
        <f t="shared" si="0"/>
        <v>3.4996666666666667</v>
      </c>
      <c r="D8">
        <v>387.98</v>
      </c>
      <c r="E8">
        <f t="shared" si="0"/>
        <v>6.4663333333333339</v>
      </c>
      <c r="F8">
        <v>195.96</v>
      </c>
      <c r="G8">
        <f t="shared" ref="G8" si="45">IF(F8&gt;0, F8/60, "")</f>
        <v>3.266</v>
      </c>
      <c r="H8">
        <v>1034.9100000000001</v>
      </c>
      <c r="I8">
        <f t="shared" ref="I8" si="46">IF(H8&gt;0, H8/60, "")</f>
        <v>17.2485</v>
      </c>
      <c r="J8">
        <v>2392.85</v>
      </c>
      <c r="K8">
        <f t="shared" ref="K8:M8" si="47">IF(J8&gt;0, J8/60, "")</f>
        <v>39.880833333333335</v>
      </c>
      <c r="L8">
        <v>1109.9100000000001</v>
      </c>
      <c r="M8">
        <f t="shared" si="47"/>
        <v>18.4985</v>
      </c>
      <c r="O8">
        <v>4038.8</v>
      </c>
      <c r="P8">
        <f t="shared" ref="P8" si="48">IF(O8&gt;0, O8/60, "")</f>
        <v>67.313333333333333</v>
      </c>
      <c r="Q8">
        <v>4355.66</v>
      </c>
      <c r="R8">
        <f t="shared" ref="R8" si="49">IF(Q8&gt;0, Q8/60, "")</f>
        <v>72.594333333333324</v>
      </c>
      <c r="S8">
        <v>6200.51</v>
      </c>
      <c r="T8">
        <f t="shared" ref="T8" si="50">IF(S8&gt;0, S8/60, "")</f>
        <v>103.34183333333334</v>
      </c>
      <c r="V8" t="str">
        <f t="shared" ref="V8" si="51">IF(U8&gt;0, U8/60, "")</f>
        <v/>
      </c>
      <c r="W8">
        <v>4713.7299999999996</v>
      </c>
      <c r="X8">
        <f t="shared" ref="X8" si="52">IF(W8&gt;0, W8/60, "")</f>
        <v>78.562166666666656</v>
      </c>
      <c r="Y8">
        <v>719.95</v>
      </c>
      <c r="Z8">
        <f t="shared" ref="Z8" si="53">IF(Y8&gt;0, Y8/60, "")</f>
        <v>11.999166666666667</v>
      </c>
      <c r="AA8">
        <v>12555.29</v>
      </c>
      <c r="AB8">
        <f t="shared" ref="AB8" si="54">IF(AA8&gt;0, AA8/60, "")</f>
        <v>209.25483333333335</v>
      </c>
      <c r="AC8">
        <v>2984.75</v>
      </c>
      <c r="AD8">
        <f t="shared" ref="AD8" si="55">IF(AC8&gt;0, AC8/60, "")</f>
        <v>49.74583333333333</v>
      </c>
    </row>
    <row r="9" spans="1:30" x14ac:dyDescent="0.2">
      <c r="A9">
        <v>44</v>
      </c>
      <c r="B9">
        <v>163</v>
      </c>
      <c r="C9">
        <f t="shared" si="0"/>
        <v>2.7166666666666668</v>
      </c>
      <c r="E9" t="str">
        <f t="shared" si="0"/>
        <v/>
      </c>
      <c r="G9" t="str">
        <f t="shared" ref="G9" si="56">IF(F9&gt;0, F9/60, "")</f>
        <v/>
      </c>
      <c r="I9" t="str">
        <f t="shared" ref="I9" si="57">IF(H9&gt;0, H9/60, "")</f>
        <v/>
      </c>
      <c r="K9" t="str">
        <f t="shared" ref="K9:M9" si="58">IF(J9&gt;0, J9/60, "")</f>
        <v/>
      </c>
      <c r="L9">
        <v>2270.9899999999998</v>
      </c>
      <c r="M9">
        <f t="shared" si="58"/>
        <v>37.849833333333329</v>
      </c>
      <c r="O9">
        <v>1931.95</v>
      </c>
      <c r="P9">
        <f t="shared" ref="P9" si="59">IF(O9&gt;0, O9/60, "")</f>
        <v>32.19916666666667</v>
      </c>
      <c r="Q9">
        <v>2418.91</v>
      </c>
      <c r="R9">
        <f t="shared" ref="R9" si="60">IF(Q9&gt;0, Q9/60, "")</f>
        <v>40.315166666666663</v>
      </c>
      <c r="S9">
        <v>23374.46</v>
      </c>
      <c r="T9">
        <f t="shared" ref="T9" si="61">IF(S9&gt;0, S9/60, "")</f>
        <v>389.5743333333333</v>
      </c>
      <c r="V9" t="str">
        <f t="shared" ref="V9" si="62">IF(U9&gt;0, U9/60, "")</f>
        <v/>
      </c>
      <c r="W9">
        <v>29</v>
      </c>
      <c r="X9">
        <f t="shared" ref="X9" si="63">IF(W9&gt;0, W9/60, "")</f>
        <v>0.48333333333333334</v>
      </c>
      <c r="Y9">
        <v>632.01</v>
      </c>
      <c r="Z9">
        <f t="shared" ref="Z9" si="64">IF(Y9&gt;0, Y9/60, "")</f>
        <v>10.5335</v>
      </c>
      <c r="AA9">
        <v>4606.95</v>
      </c>
      <c r="AB9">
        <f t="shared" ref="AB9" si="65">IF(AA9&gt;0, AA9/60, "")</f>
        <v>76.782499999999999</v>
      </c>
      <c r="AC9">
        <v>1029.1199999999999</v>
      </c>
      <c r="AD9">
        <f t="shared" ref="AD9" si="66">IF(AC9&gt;0, AC9/60, "")</f>
        <v>17.151999999999997</v>
      </c>
    </row>
    <row r="10" spans="1:30" x14ac:dyDescent="0.2">
      <c r="A10">
        <v>48</v>
      </c>
      <c r="B10">
        <v>79</v>
      </c>
      <c r="C10">
        <f t="shared" si="0"/>
        <v>1.3166666666666667</v>
      </c>
      <c r="D10">
        <v>247.98</v>
      </c>
      <c r="E10">
        <f t="shared" si="0"/>
        <v>4.133</v>
      </c>
      <c r="G10" t="str">
        <f t="shared" ref="G10" si="67">IF(F10&gt;0, F10/60, "")</f>
        <v/>
      </c>
      <c r="H10">
        <v>7</v>
      </c>
      <c r="I10">
        <f t="shared" ref="I10" si="68">IF(H10&gt;0, H10/60, "")</f>
        <v>0.11666666666666667</v>
      </c>
      <c r="J10">
        <v>423.99</v>
      </c>
      <c r="K10">
        <f t="shared" ref="K10:M10" si="69">IF(J10&gt;0, J10/60, "")</f>
        <v>7.0665000000000004</v>
      </c>
      <c r="M10" t="str">
        <f t="shared" si="69"/>
        <v/>
      </c>
      <c r="O10">
        <v>19431.2</v>
      </c>
      <c r="P10">
        <f t="shared" ref="P10" si="70">IF(O10&gt;0, O10/60, "")</f>
        <v>323.85333333333335</v>
      </c>
      <c r="Q10">
        <v>1128.99</v>
      </c>
      <c r="R10">
        <f t="shared" ref="R10" si="71">IF(Q10&gt;0, Q10/60, "")</f>
        <v>18.816500000000001</v>
      </c>
      <c r="S10">
        <v>16323.5</v>
      </c>
      <c r="T10">
        <f t="shared" ref="T10" si="72">IF(S10&gt;0, S10/60, "")</f>
        <v>272.05833333333334</v>
      </c>
      <c r="V10" t="str">
        <f t="shared" ref="V10" si="73">IF(U10&gt;0, U10/60, "")</f>
        <v/>
      </c>
      <c r="W10">
        <v>1308.95</v>
      </c>
      <c r="X10">
        <f t="shared" ref="X10" si="74">IF(W10&gt;0, W10/60, "")</f>
        <v>21.815833333333334</v>
      </c>
      <c r="Y10">
        <v>17</v>
      </c>
      <c r="Z10">
        <f t="shared" ref="Z10" si="75">IF(Y10&gt;0, Y10/60, "")</f>
        <v>0.28333333333333333</v>
      </c>
      <c r="AA10">
        <v>2180.9</v>
      </c>
      <c r="AB10">
        <f t="shared" ref="AB10" si="76">IF(AA10&gt;0, AA10/60, "")</f>
        <v>36.348333333333336</v>
      </c>
      <c r="AC10">
        <v>1777.98</v>
      </c>
      <c r="AD10">
        <f t="shared" ref="AD10" si="77">IF(AC10&gt;0, AC10/60, "")</f>
        <v>29.632999999999999</v>
      </c>
    </row>
    <row r="11" spans="1:30" x14ac:dyDescent="0.2">
      <c r="A11">
        <v>49</v>
      </c>
      <c r="B11">
        <v>92.98</v>
      </c>
      <c r="C11">
        <f t="shared" si="0"/>
        <v>1.5496666666666667</v>
      </c>
      <c r="D11">
        <v>69</v>
      </c>
      <c r="E11">
        <f t="shared" si="0"/>
        <v>1.1499999999999999</v>
      </c>
      <c r="F11">
        <v>16</v>
      </c>
      <c r="G11">
        <f t="shared" ref="G11" si="78">IF(F11&gt;0, F11/60, "")</f>
        <v>0.26666666666666666</v>
      </c>
      <c r="H11">
        <v>2603.8200000000002</v>
      </c>
      <c r="I11">
        <f t="shared" ref="I11" si="79">IF(H11&gt;0, H11/60, "")</f>
        <v>43.397000000000006</v>
      </c>
      <c r="J11">
        <v>1502.94</v>
      </c>
      <c r="K11">
        <f t="shared" ref="K11:M11" si="80">IF(J11&gt;0, J11/60, "")</f>
        <v>25.048999999999999</v>
      </c>
      <c r="M11" t="str">
        <f t="shared" si="80"/>
        <v/>
      </c>
      <c r="O11">
        <v>696.94</v>
      </c>
      <c r="P11">
        <f t="shared" ref="P11" si="81">IF(O11&gt;0, O11/60, "")</f>
        <v>11.615666666666668</v>
      </c>
      <c r="Q11">
        <v>5083.38</v>
      </c>
      <c r="R11">
        <f t="shared" ref="R11" si="82">IF(Q11&gt;0, Q11/60, "")</f>
        <v>84.722999999999999</v>
      </c>
      <c r="S11">
        <v>22542.29</v>
      </c>
      <c r="T11">
        <f t="shared" ref="T11" si="83">IF(S11&gt;0, S11/60, "")</f>
        <v>375.70483333333334</v>
      </c>
      <c r="V11" t="str">
        <f t="shared" ref="V11" si="84">IF(U11&gt;0, U11/60, "")</f>
        <v/>
      </c>
      <c r="W11">
        <v>782.91</v>
      </c>
      <c r="X11">
        <f t="shared" ref="X11" si="85">IF(W11&gt;0, W11/60, "")</f>
        <v>13.048499999999999</v>
      </c>
      <c r="Y11">
        <v>136.99</v>
      </c>
      <c r="Z11">
        <f t="shared" ref="Z11" si="86">IF(Y11&gt;0, Y11/60, "")</f>
        <v>2.2831666666666668</v>
      </c>
      <c r="AA11">
        <v>88</v>
      </c>
      <c r="AB11">
        <f t="shared" ref="AB11" si="87">IF(AA11&gt;0, AA11/60, "")</f>
        <v>1.4666666666666666</v>
      </c>
      <c r="AC11">
        <v>124.02</v>
      </c>
      <c r="AD11">
        <f t="shared" ref="AD11" si="88">IF(AC11&gt;0, AC11/60, "")</f>
        <v>2.0669999999999997</v>
      </c>
    </row>
    <row r="12" spans="1:30" x14ac:dyDescent="0.2">
      <c r="A12">
        <v>51</v>
      </c>
      <c r="B12">
        <v>60.94</v>
      </c>
      <c r="C12">
        <f t="shared" si="0"/>
        <v>1.0156666666666667</v>
      </c>
      <c r="D12">
        <v>106</v>
      </c>
      <c r="E12">
        <f t="shared" si="0"/>
        <v>1.7666666666666666</v>
      </c>
      <c r="G12" t="str">
        <f t="shared" ref="G12" si="89">IF(F12&gt;0, F12/60, "")</f>
        <v/>
      </c>
      <c r="H12">
        <v>6</v>
      </c>
      <c r="I12">
        <f t="shared" ref="I12" si="90">IF(H12&gt;0, H12/60, "")</f>
        <v>0.1</v>
      </c>
      <c r="J12">
        <v>27</v>
      </c>
      <c r="K12">
        <f t="shared" ref="K12:M12" si="91">IF(J12&gt;0, J12/60, "")</f>
        <v>0.45</v>
      </c>
      <c r="M12" t="str">
        <f t="shared" si="91"/>
        <v/>
      </c>
      <c r="O12">
        <v>349.05</v>
      </c>
      <c r="P12">
        <f t="shared" ref="P12" si="92">IF(O12&gt;0, O12/60, "")</f>
        <v>5.8174999999999999</v>
      </c>
      <c r="Q12">
        <v>43</v>
      </c>
      <c r="R12">
        <f t="shared" ref="R12" si="93">IF(Q12&gt;0, Q12/60, "")</f>
        <v>0.71666666666666667</v>
      </c>
      <c r="S12">
        <v>60</v>
      </c>
      <c r="T12">
        <f t="shared" ref="T12" si="94">IF(S12&gt;0, S12/60, "")</f>
        <v>1</v>
      </c>
      <c r="V12" t="str">
        <f t="shared" ref="V12" si="95">IF(U12&gt;0, U12/60, "")</f>
        <v/>
      </c>
      <c r="W12">
        <v>5927.95</v>
      </c>
      <c r="X12">
        <f t="shared" ref="X12" si="96">IF(W12&gt;0, W12/60, "")</f>
        <v>98.799166666666665</v>
      </c>
      <c r="Y12">
        <v>230.99</v>
      </c>
      <c r="Z12">
        <f t="shared" ref="Z12" si="97">IF(Y12&gt;0, Y12/60, "")</f>
        <v>3.8498333333333337</v>
      </c>
      <c r="AA12">
        <v>5286.44</v>
      </c>
      <c r="AB12">
        <f t="shared" ref="AB12" si="98">IF(AA12&gt;0, AA12/60, "")</f>
        <v>88.10733333333333</v>
      </c>
      <c r="AC12">
        <v>1907.9</v>
      </c>
      <c r="AD12">
        <f t="shared" ref="AD12" si="99">IF(AC12&gt;0, AC12/60, "")</f>
        <v>31.798333333333336</v>
      </c>
    </row>
    <row r="13" spans="1:30" x14ac:dyDescent="0.2">
      <c r="A13">
        <v>58</v>
      </c>
      <c r="B13">
        <v>258.99</v>
      </c>
      <c r="C13">
        <f t="shared" si="0"/>
        <v>4.3165000000000004</v>
      </c>
      <c r="E13" t="str">
        <f t="shared" si="0"/>
        <v/>
      </c>
      <c r="G13" t="str">
        <f t="shared" ref="G13" si="100">IF(F13&gt;0, F13/60, "")</f>
        <v/>
      </c>
      <c r="I13" t="str">
        <f t="shared" ref="I13" si="101">IF(H13&gt;0, H13/60, "")</f>
        <v/>
      </c>
      <c r="K13" t="str">
        <f t="shared" ref="K13:M13" si="102">IF(J13&gt;0, J13/60, "")</f>
        <v/>
      </c>
      <c r="M13" t="str">
        <f t="shared" si="102"/>
        <v/>
      </c>
      <c r="O13">
        <v>2029.92</v>
      </c>
      <c r="P13">
        <f t="shared" ref="P13" si="103">IF(O13&gt;0, O13/60, "")</f>
        <v>33.832000000000001</v>
      </c>
      <c r="Q13">
        <v>4631.71</v>
      </c>
      <c r="R13">
        <f t="shared" ref="R13" si="104">IF(Q13&gt;0, Q13/60, "")</f>
        <v>77.195166666666665</v>
      </c>
      <c r="S13">
        <v>21392.37</v>
      </c>
      <c r="T13">
        <f t="shared" ref="T13" si="105">IF(S13&gt;0, S13/60, "")</f>
        <v>356.53949999999998</v>
      </c>
      <c r="U13">
        <v>6796.55</v>
      </c>
      <c r="V13">
        <f t="shared" ref="V13" si="106">IF(U13&gt;0, U13/60, "")</f>
        <v>113.27583333333334</v>
      </c>
      <c r="W13">
        <v>2810.79</v>
      </c>
      <c r="X13">
        <f t="shared" ref="X13" si="107">IF(W13&gt;0, W13/60, "")</f>
        <v>46.846499999999999</v>
      </c>
      <c r="Y13">
        <v>3035.81</v>
      </c>
      <c r="Z13">
        <f t="shared" ref="Z13" si="108">IF(Y13&gt;0, Y13/60, "")</f>
        <v>50.596833333333329</v>
      </c>
      <c r="AA13">
        <v>1431.84</v>
      </c>
      <c r="AB13">
        <f t="shared" ref="AB13" si="109">IF(AA13&gt;0, AA13/60, "")</f>
        <v>23.863999999999997</v>
      </c>
      <c r="AC13">
        <v>3586.59</v>
      </c>
      <c r="AD13">
        <f t="shared" ref="AD13" si="110">IF(AC13&gt;0, AC13/60, "")</f>
        <v>59.776500000000006</v>
      </c>
    </row>
    <row r="14" spans="1:30" x14ac:dyDescent="0.2">
      <c r="A14">
        <v>59</v>
      </c>
      <c r="B14">
        <v>2230.6</v>
      </c>
      <c r="C14">
        <f t="shared" si="0"/>
        <v>37.176666666666662</v>
      </c>
      <c r="D14">
        <v>161</v>
      </c>
      <c r="E14">
        <f t="shared" si="0"/>
        <v>2.6833333333333331</v>
      </c>
      <c r="F14">
        <v>251.98</v>
      </c>
      <c r="G14">
        <f t="shared" ref="G14" si="111">IF(F14&gt;0, F14/60, "")</f>
        <v>4.1996666666666664</v>
      </c>
      <c r="H14">
        <v>8.99</v>
      </c>
      <c r="I14">
        <f t="shared" ref="I14" si="112">IF(H14&gt;0, H14/60, "")</f>
        <v>0.14983333333333335</v>
      </c>
      <c r="J14">
        <v>135</v>
      </c>
      <c r="K14">
        <f t="shared" ref="K14:M14" si="113">IF(J14&gt;0, J14/60, "")</f>
        <v>2.25</v>
      </c>
      <c r="M14" t="str">
        <f t="shared" si="113"/>
        <v/>
      </c>
      <c r="O14">
        <v>8625.76</v>
      </c>
      <c r="P14">
        <f t="shared" ref="P14" si="114">IF(O14&gt;0, O14/60, "")</f>
        <v>143.76266666666666</v>
      </c>
      <c r="Q14">
        <v>1943.96</v>
      </c>
      <c r="R14">
        <f t="shared" ref="R14" si="115">IF(Q14&gt;0, Q14/60, "")</f>
        <v>32.399333333333331</v>
      </c>
      <c r="S14">
        <v>14102.58</v>
      </c>
      <c r="T14">
        <f t="shared" ref="T14" si="116">IF(S14&gt;0, S14/60, "")</f>
        <v>235.04300000000001</v>
      </c>
      <c r="V14" t="str">
        <f t="shared" ref="V14" si="117">IF(U14&gt;0, U14/60, "")</f>
        <v/>
      </c>
      <c r="W14">
        <v>3007.89</v>
      </c>
      <c r="X14">
        <f t="shared" ref="X14" si="118">IF(W14&gt;0, W14/60, "")</f>
        <v>50.131499999999996</v>
      </c>
      <c r="Y14">
        <v>4011.75</v>
      </c>
      <c r="Z14">
        <f t="shared" ref="Z14" si="119">IF(Y14&gt;0, Y14/60, "")</f>
        <v>66.862499999999997</v>
      </c>
      <c r="AB14" t="str">
        <f t="shared" ref="AB14" si="120">IF(AA14&gt;0, AA14/60, "")</f>
        <v/>
      </c>
      <c r="AC14">
        <v>3517.88</v>
      </c>
      <c r="AD14">
        <f t="shared" ref="AD14" si="121">IF(AC14&gt;0, AC14/60, "")</f>
        <v>58.631333333333338</v>
      </c>
    </row>
    <row r="15" spans="1:30" x14ac:dyDescent="0.2">
      <c r="A15">
        <v>87</v>
      </c>
      <c r="C15" t="str">
        <f t="shared" si="0"/>
        <v/>
      </c>
      <c r="D15">
        <v>95</v>
      </c>
      <c r="E15">
        <f t="shared" si="0"/>
        <v>1.5833333333333333</v>
      </c>
      <c r="F15">
        <v>51</v>
      </c>
      <c r="G15">
        <f t="shared" ref="G15" si="122">IF(F15&gt;0, F15/60, "")</f>
        <v>0.85</v>
      </c>
      <c r="H15">
        <v>160.99</v>
      </c>
      <c r="I15">
        <f t="shared" ref="I15" si="123">IF(H15&gt;0, H15/60, "")</f>
        <v>2.6831666666666667</v>
      </c>
      <c r="K15" t="str">
        <f t="shared" ref="K15:M15" si="124">IF(J15&gt;0, J15/60, "")</f>
        <v/>
      </c>
      <c r="M15" t="str">
        <f t="shared" si="124"/>
        <v/>
      </c>
      <c r="O15">
        <v>6399.85</v>
      </c>
      <c r="P15">
        <f t="shared" ref="P15" si="125">IF(O15&gt;0, O15/60, "")</f>
        <v>106.66416666666667</v>
      </c>
      <c r="Q15">
        <v>15442.32</v>
      </c>
      <c r="R15">
        <f t="shared" ref="R15" si="126">IF(Q15&gt;0, Q15/60, "")</f>
        <v>257.37200000000001</v>
      </c>
      <c r="S15">
        <v>581.98</v>
      </c>
      <c r="T15">
        <f t="shared" ref="T15" si="127">IF(S15&gt;0, S15/60, "")</f>
        <v>9.6996666666666673</v>
      </c>
      <c r="V15" t="str">
        <f t="shared" ref="V15" si="128">IF(U15&gt;0, U15/60, "")</f>
        <v/>
      </c>
      <c r="W15">
        <v>3198.96</v>
      </c>
      <c r="X15">
        <f t="shared" ref="X15" si="129">IF(W15&gt;0, W15/60, "")</f>
        <v>53.316000000000003</v>
      </c>
      <c r="Y15">
        <v>1930.35</v>
      </c>
      <c r="Z15">
        <f t="shared" ref="Z15" si="130">IF(Y15&gt;0, Y15/60, "")</f>
        <v>32.172499999999999</v>
      </c>
      <c r="AB15" t="str">
        <f t="shared" ref="AB15" si="131">IF(AA15&gt;0, AA15/60, "")</f>
        <v/>
      </c>
      <c r="AC15">
        <v>3182.05</v>
      </c>
      <c r="AD15">
        <f t="shared" ref="AD15" si="132">IF(AC15&gt;0, AC15/60, "")</f>
        <v>53.034166666666671</v>
      </c>
    </row>
    <row r="16" spans="1:30" x14ac:dyDescent="0.2">
      <c r="A16">
        <v>138</v>
      </c>
      <c r="B16">
        <v>56.98</v>
      </c>
      <c r="C16">
        <f t="shared" si="0"/>
        <v>0.94966666666666666</v>
      </c>
      <c r="D16">
        <v>104.99</v>
      </c>
      <c r="E16">
        <f t="shared" si="0"/>
        <v>1.7498333333333334</v>
      </c>
      <c r="F16">
        <v>1622.66</v>
      </c>
      <c r="G16">
        <f t="shared" ref="G16" si="133">IF(F16&gt;0, F16/60, "")</f>
        <v>27.044333333333334</v>
      </c>
      <c r="I16" t="str">
        <f t="shared" ref="I16" si="134">IF(H16&gt;0, H16/60, "")</f>
        <v/>
      </c>
      <c r="J16">
        <v>719.86</v>
      </c>
      <c r="K16">
        <f t="shared" ref="K16:M16" si="135">IF(J16&gt;0, J16/60, "")</f>
        <v>11.997666666666667</v>
      </c>
      <c r="M16" t="str">
        <f t="shared" si="135"/>
        <v/>
      </c>
      <c r="O16">
        <v>134.96</v>
      </c>
      <c r="P16">
        <f t="shared" ref="P16" si="136">IF(O16&gt;0, O16/60, "")</f>
        <v>2.2493333333333334</v>
      </c>
      <c r="Q16">
        <v>1577.99</v>
      </c>
      <c r="R16">
        <f t="shared" ref="R16" si="137">IF(Q16&gt;0, Q16/60, "")</f>
        <v>26.299833333333332</v>
      </c>
      <c r="S16">
        <v>40933.49</v>
      </c>
      <c r="T16">
        <f t="shared" ref="T16" si="138">IF(S16&gt;0, S16/60, "")</f>
        <v>682.22483333333332</v>
      </c>
      <c r="U16">
        <v>33748.29</v>
      </c>
      <c r="V16">
        <f t="shared" ref="V16" si="139">IF(U16&gt;0, U16/60, "")</f>
        <v>562.47149999999999</v>
      </c>
      <c r="W16">
        <v>2727.79</v>
      </c>
      <c r="X16">
        <f t="shared" ref="X16" si="140">IF(W16&gt;0, W16/60, "")</f>
        <v>45.463166666666666</v>
      </c>
      <c r="Y16">
        <v>3896.95</v>
      </c>
      <c r="Z16">
        <f t="shared" ref="Z16" si="141">IF(Y16&gt;0, Y16/60, "")</f>
        <v>64.94916666666667</v>
      </c>
      <c r="AB16" t="str">
        <f t="shared" ref="AB16" si="142">IF(AA16&gt;0, AA16/60, "")</f>
        <v/>
      </c>
      <c r="AC16">
        <v>340.01</v>
      </c>
      <c r="AD16">
        <f t="shared" ref="AD16" si="143">IF(AC16&gt;0, AC16/60, "")</f>
        <v>5.6668333333333329</v>
      </c>
    </row>
    <row r="17" spans="1:30" x14ac:dyDescent="0.2">
      <c r="A17">
        <v>139</v>
      </c>
      <c r="B17">
        <v>14</v>
      </c>
      <c r="C17">
        <f t="shared" si="0"/>
        <v>0.23333333333333334</v>
      </c>
      <c r="D17">
        <v>1197.02</v>
      </c>
      <c r="E17">
        <f t="shared" si="0"/>
        <v>19.950333333333333</v>
      </c>
      <c r="F17">
        <v>122.99</v>
      </c>
      <c r="G17">
        <f t="shared" ref="G17" si="144">IF(F17&gt;0, F17/60, "")</f>
        <v>2.0498333333333334</v>
      </c>
      <c r="I17" t="str">
        <f t="shared" ref="I17" si="145">IF(H17&gt;0, H17/60, "")</f>
        <v/>
      </c>
      <c r="J17">
        <v>95</v>
      </c>
      <c r="K17">
        <f t="shared" ref="K17:M17" si="146">IF(J17&gt;0, J17/60, "")</f>
        <v>1.5833333333333333</v>
      </c>
      <c r="L17">
        <v>2320.86</v>
      </c>
      <c r="M17">
        <f t="shared" si="146"/>
        <v>38.681000000000004</v>
      </c>
      <c r="O17">
        <v>5795.62</v>
      </c>
      <c r="P17">
        <f t="shared" ref="P17" si="147">IF(O17&gt;0, O17/60, "")</f>
        <v>96.593666666666664</v>
      </c>
      <c r="Q17">
        <v>3613.75</v>
      </c>
      <c r="R17">
        <f t="shared" ref="R17" si="148">IF(Q17&gt;0, Q17/60, "")</f>
        <v>60.229166666666664</v>
      </c>
      <c r="S17">
        <v>12010.56</v>
      </c>
      <c r="T17">
        <f t="shared" ref="T17" si="149">IF(S17&gt;0, S17/60, "")</f>
        <v>200.17599999999999</v>
      </c>
      <c r="U17">
        <v>22246.78</v>
      </c>
      <c r="V17">
        <f t="shared" ref="V17" si="150">IF(U17&gt;0, U17/60, "")</f>
        <v>370.77966666666663</v>
      </c>
      <c r="W17">
        <v>1327.92</v>
      </c>
      <c r="X17">
        <f t="shared" ref="X17" si="151">IF(W17&gt;0, W17/60, "")</f>
        <v>22.132000000000001</v>
      </c>
      <c r="Y17">
        <v>7753.45</v>
      </c>
      <c r="Z17">
        <f t="shared" ref="Z17" si="152">IF(Y17&gt;0, Y17/60, "")</f>
        <v>129.22416666666666</v>
      </c>
      <c r="AA17">
        <v>863.92</v>
      </c>
      <c r="AB17">
        <f t="shared" ref="AB17" si="153">IF(AA17&gt;0, AA17/60, "")</f>
        <v>14.398666666666665</v>
      </c>
      <c r="AC17">
        <v>110</v>
      </c>
      <c r="AD17">
        <f t="shared" ref="AD17" si="154">IF(AC17&gt;0, AC17/60, "")</f>
        <v>1.8333333333333333</v>
      </c>
    </row>
    <row r="18" spans="1:30" x14ac:dyDescent="0.2">
      <c r="A18">
        <v>140</v>
      </c>
      <c r="B18">
        <v>26</v>
      </c>
      <c r="C18">
        <f t="shared" si="0"/>
        <v>0.43333333333333335</v>
      </c>
      <c r="D18">
        <v>77</v>
      </c>
      <c r="E18">
        <f t="shared" si="0"/>
        <v>1.2833333333333334</v>
      </c>
      <c r="F18">
        <v>183.99</v>
      </c>
      <c r="G18">
        <f t="shared" ref="G18" si="155">IF(F18&gt;0, F18/60, "")</f>
        <v>3.0665</v>
      </c>
      <c r="H18">
        <v>81.03</v>
      </c>
      <c r="I18">
        <f t="shared" ref="I18" si="156">IF(H18&gt;0, H18/60, "")</f>
        <v>1.3505</v>
      </c>
      <c r="K18" t="str">
        <f t="shared" ref="K18:M18" si="157">IF(J18&gt;0, J18/60, "")</f>
        <v/>
      </c>
      <c r="M18" t="str">
        <f t="shared" si="157"/>
        <v/>
      </c>
      <c r="O18">
        <v>5837.85</v>
      </c>
      <c r="P18">
        <f t="shared" ref="P18" si="158">IF(O18&gt;0, O18/60, "")</f>
        <v>97.297499999999999</v>
      </c>
      <c r="Q18">
        <v>449.4</v>
      </c>
      <c r="R18">
        <f t="shared" ref="R18" si="159">IF(Q18&gt;0, Q18/60, "")</f>
        <v>7.4899999999999993</v>
      </c>
      <c r="S18">
        <v>3610.8</v>
      </c>
      <c r="T18">
        <f t="shared" ref="T18" si="160">IF(S18&gt;0, S18/60, "")</f>
        <v>60.18</v>
      </c>
      <c r="V18" t="str">
        <f t="shared" ref="V18" si="161">IF(U18&gt;0, U18/60, "")</f>
        <v/>
      </c>
      <c r="W18">
        <v>10422.76</v>
      </c>
      <c r="X18">
        <f t="shared" ref="X18" si="162">IF(W18&gt;0, W18/60, "")</f>
        <v>173.71266666666668</v>
      </c>
      <c r="Y18">
        <v>2455.29</v>
      </c>
      <c r="Z18">
        <f t="shared" ref="Z18" si="163">IF(Y18&gt;0, Y18/60, "")</f>
        <v>40.921500000000002</v>
      </c>
      <c r="AB18" t="str">
        <f t="shared" ref="AB18" si="164">IF(AA18&gt;0, AA18/60, "")</f>
        <v/>
      </c>
      <c r="AC18">
        <v>659.19</v>
      </c>
      <c r="AD18">
        <f t="shared" ref="AD18" si="165">IF(AC18&gt;0, AC18/60, "")</f>
        <v>10.986500000000001</v>
      </c>
    </row>
    <row r="19" spans="1:30" x14ac:dyDescent="0.2">
      <c r="A19">
        <v>235</v>
      </c>
      <c r="C19" t="str">
        <f t="shared" si="0"/>
        <v/>
      </c>
      <c r="D19">
        <v>479</v>
      </c>
      <c r="E19">
        <f t="shared" si="0"/>
        <v>7.9833333333333334</v>
      </c>
      <c r="F19">
        <v>1342.96</v>
      </c>
      <c r="G19">
        <f t="shared" ref="G19" si="166">IF(F19&gt;0, F19/60, "")</f>
        <v>22.382666666666669</v>
      </c>
      <c r="H19">
        <v>539.98</v>
      </c>
      <c r="I19">
        <f t="shared" ref="I19" si="167">IF(H19&gt;0, H19/60, "")</f>
        <v>8.9996666666666663</v>
      </c>
      <c r="K19" t="str">
        <f t="shared" ref="K19:M19" si="168">IF(J19&gt;0, J19/60, "")</f>
        <v/>
      </c>
      <c r="M19" t="str">
        <f t="shared" si="168"/>
        <v/>
      </c>
      <c r="O19">
        <v>4300.9399999999996</v>
      </c>
      <c r="P19">
        <f t="shared" ref="P19" si="169">IF(O19&gt;0, O19/60, "")</f>
        <v>71.682333333333332</v>
      </c>
      <c r="Q19">
        <v>34393.64</v>
      </c>
      <c r="R19">
        <f t="shared" ref="R19" si="170">IF(Q19&gt;0, Q19/60, "")</f>
        <v>573.22733333333338</v>
      </c>
      <c r="S19">
        <v>12633.85</v>
      </c>
      <c r="T19">
        <f t="shared" ref="T19" si="171">IF(S19&gt;0, S19/60, "")</f>
        <v>210.56416666666667</v>
      </c>
      <c r="V19" t="str">
        <f t="shared" ref="V19" si="172">IF(U19&gt;0, U19/60, "")</f>
        <v/>
      </c>
      <c r="W19">
        <v>3543.94</v>
      </c>
      <c r="X19">
        <f t="shared" ref="X19" si="173">IF(W19&gt;0, W19/60, "")</f>
        <v>59.065666666666665</v>
      </c>
      <c r="Y19">
        <v>612.98</v>
      </c>
      <c r="Z19">
        <f t="shared" ref="Z19" si="174">IF(Y19&gt;0, Y19/60, "")</f>
        <v>10.216333333333333</v>
      </c>
      <c r="AA19">
        <v>180.99</v>
      </c>
      <c r="AB19">
        <f t="shared" ref="AB19" si="175">IF(AA19&gt;0, AA19/60, "")</f>
        <v>3.0165000000000002</v>
      </c>
      <c r="AC19">
        <v>7046.95</v>
      </c>
      <c r="AD19">
        <f t="shared" ref="AD19" si="176">IF(AC19&gt;0, AC19/60, "")</f>
        <v>117.44916666666667</v>
      </c>
    </row>
    <row r="20" spans="1:30" x14ac:dyDescent="0.2">
      <c r="A20">
        <v>239</v>
      </c>
      <c r="B20">
        <v>7</v>
      </c>
      <c r="C20">
        <f t="shared" si="0"/>
        <v>0.11666666666666667</v>
      </c>
      <c r="D20">
        <v>37</v>
      </c>
      <c r="E20">
        <f t="shared" si="0"/>
        <v>0.6166666666666667</v>
      </c>
      <c r="F20">
        <v>72</v>
      </c>
      <c r="G20">
        <f t="shared" ref="G20" si="177">IF(F20&gt;0, F20/60, "")</f>
        <v>1.2</v>
      </c>
      <c r="I20" t="str">
        <f t="shared" ref="I20" si="178">IF(H20&gt;0, H20/60, "")</f>
        <v/>
      </c>
      <c r="K20" t="str">
        <f t="shared" ref="K20:M20" si="179">IF(J20&gt;0, J20/60, "")</f>
        <v/>
      </c>
      <c r="M20" t="str">
        <f t="shared" si="179"/>
        <v/>
      </c>
      <c r="O20">
        <v>8186</v>
      </c>
      <c r="P20">
        <f t="shared" ref="P20" si="180">IF(O20&gt;0, O20/60, "")</f>
        <v>136.43333333333334</v>
      </c>
      <c r="Q20">
        <v>19724.490000000002</v>
      </c>
      <c r="R20">
        <f t="shared" ref="R20" si="181">IF(Q20&gt;0, Q20/60, "")</f>
        <v>328.74150000000003</v>
      </c>
      <c r="S20">
        <v>151</v>
      </c>
      <c r="T20">
        <f t="shared" ref="T20" si="182">IF(S20&gt;0, S20/60, "")</f>
        <v>2.5166666666666666</v>
      </c>
      <c r="U20">
        <v>18171.78</v>
      </c>
      <c r="V20">
        <f t="shared" ref="V20" si="183">IF(U20&gt;0, U20/60, "")</f>
        <v>302.863</v>
      </c>
      <c r="W20">
        <v>706.99</v>
      </c>
      <c r="X20">
        <f t="shared" ref="X20" si="184">IF(W20&gt;0, W20/60, "")</f>
        <v>11.783166666666666</v>
      </c>
      <c r="Y20">
        <v>5167.91</v>
      </c>
      <c r="Z20">
        <f t="shared" ref="Z20" si="185">IF(Y20&gt;0, Y20/60, "")</f>
        <v>86.131833333333333</v>
      </c>
      <c r="AA20">
        <v>1792</v>
      </c>
      <c r="AB20">
        <f t="shared" ref="AB20" si="186">IF(AA20&gt;0, AA20/60, "")</f>
        <v>29.866666666666667</v>
      </c>
      <c r="AC20">
        <v>493.98</v>
      </c>
      <c r="AD20">
        <f t="shared" ref="AD20" si="187">IF(AC20&gt;0, AC20/60, "")</f>
        <v>8.2330000000000005</v>
      </c>
    </row>
    <row r="21" spans="1:30" x14ac:dyDescent="0.2">
      <c r="A21">
        <v>240</v>
      </c>
      <c r="B21">
        <v>42</v>
      </c>
      <c r="C21">
        <f t="shared" si="0"/>
        <v>0.7</v>
      </c>
      <c r="D21">
        <v>267</v>
      </c>
      <c r="E21">
        <f t="shared" si="0"/>
        <v>4.45</v>
      </c>
      <c r="F21">
        <v>97</v>
      </c>
      <c r="G21">
        <f t="shared" ref="G21" si="188">IF(F21&gt;0, F21/60, "")</f>
        <v>1.6166666666666667</v>
      </c>
      <c r="H21">
        <v>43.99</v>
      </c>
      <c r="I21">
        <f t="shared" ref="I21" si="189">IF(H21&gt;0, H21/60, "")</f>
        <v>0.73316666666666674</v>
      </c>
      <c r="K21" t="str">
        <f t="shared" ref="K21:M21" si="190">IF(J21&gt;0, J21/60, "")</f>
        <v/>
      </c>
      <c r="M21" t="str">
        <f t="shared" si="190"/>
        <v/>
      </c>
      <c r="O21">
        <v>7391.65</v>
      </c>
      <c r="P21">
        <f t="shared" ref="P21" si="191">IF(O21&gt;0, O21/60, "")</f>
        <v>123.19416666666666</v>
      </c>
      <c r="Q21">
        <v>12857.47</v>
      </c>
      <c r="R21">
        <f t="shared" ref="R21" si="192">IF(Q21&gt;0, Q21/60, "")</f>
        <v>214.29116666666667</v>
      </c>
      <c r="T21" t="str">
        <f t="shared" ref="T21" si="193">IF(S21&gt;0, S21/60, "")</f>
        <v/>
      </c>
      <c r="U21">
        <v>2644.98</v>
      </c>
      <c r="V21">
        <f t="shared" ref="V21" si="194">IF(U21&gt;0, U21/60, "")</f>
        <v>44.082999999999998</v>
      </c>
      <c r="W21">
        <v>1933.92</v>
      </c>
      <c r="X21">
        <f t="shared" ref="X21" si="195">IF(W21&gt;0, W21/60, "")</f>
        <v>32.231999999999999</v>
      </c>
      <c r="Y21">
        <v>5631.83</v>
      </c>
      <c r="Z21">
        <f t="shared" ref="Z21" si="196">IF(Y21&gt;0, Y21/60, "")</f>
        <v>93.863833333333332</v>
      </c>
      <c r="AA21">
        <v>12411.39</v>
      </c>
      <c r="AB21">
        <f t="shared" ref="AB21" si="197">IF(AA21&gt;0, AA21/60, "")</f>
        <v>206.85649999999998</v>
      </c>
      <c r="AC21">
        <v>3287.88</v>
      </c>
      <c r="AD21">
        <f t="shared" ref="AD21" si="198">IF(AC21&gt;0, AC21/60, "")</f>
        <v>54.798000000000002</v>
      </c>
    </row>
    <row r="22" spans="1:30" x14ac:dyDescent="0.2">
      <c r="A22">
        <v>246</v>
      </c>
      <c r="B22">
        <v>99</v>
      </c>
      <c r="C22">
        <f t="shared" si="0"/>
        <v>1.65</v>
      </c>
      <c r="D22">
        <v>262.99</v>
      </c>
      <c r="E22">
        <f t="shared" si="0"/>
        <v>4.3831666666666669</v>
      </c>
      <c r="G22" t="str">
        <f t="shared" ref="G22" si="199">IF(F22&gt;0, F22/60, "")</f>
        <v/>
      </c>
      <c r="H22">
        <v>137.99</v>
      </c>
      <c r="I22">
        <f t="shared" ref="I22" si="200">IF(H22&gt;0, H22/60, "")</f>
        <v>2.2998333333333334</v>
      </c>
      <c r="K22" t="str">
        <f t="shared" ref="K22:M22" si="201">IF(J22&gt;0, J22/60, "")</f>
        <v/>
      </c>
      <c r="M22" t="str">
        <f t="shared" si="201"/>
        <v/>
      </c>
      <c r="O22">
        <v>4725.29</v>
      </c>
      <c r="P22">
        <f t="shared" ref="P22" si="202">IF(O22&gt;0, O22/60, "")</f>
        <v>78.754833333333337</v>
      </c>
      <c r="Q22">
        <v>19049.62</v>
      </c>
      <c r="R22">
        <f t="shared" ref="R22" si="203">IF(Q22&gt;0, Q22/60, "")</f>
        <v>317.49366666666663</v>
      </c>
      <c r="T22" t="str">
        <f t="shared" ref="T22" si="204">IF(S22&gt;0, S22/60, "")</f>
        <v/>
      </c>
      <c r="V22" t="str">
        <f t="shared" ref="V22" si="205">IF(U22&gt;0, U22/60, "")</f>
        <v/>
      </c>
      <c r="W22">
        <v>9735.9500000000007</v>
      </c>
      <c r="X22">
        <f t="shared" ref="X22" si="206">IF(W22&gt;0, W22/60, "")</f>
        <v>162.26583333333335</v>
      </c>
      <c r="Y22">
        <v>1571.99</v>
      </c>
      <c r="Z22">
        <f t="shared" ref="Z22" si="207">IF(Y22&gt;0, Y22/60, "")</f>
        <v>26.199833333333334</v>
      </c>
      <c r="AA22">
        <v>3236.76</v>
      </c>
      <c r="AB22">
        <f t="shared" ref="AB22" si="208">IF(AA22&gt;0, AA22/60, "")</f>
        <v>53.946000000000005</v>
      </c>
      <c r="AC22">
        <v>965.96</v>
      </c>
      <c r="AD22">
        <f t="shared" ref="AD22" si="209">IF(AC22&gt;0, AC22/60, "")</f>
        <v>16.099333333333334</v>
      </c>
    </row>
    <row r="23" spans="1:30" s="1" customFormat="1" x14ac:dyDescent="0.2"/>
    <row r="24" spans="1:30" x14ac:dyDescent="0.2">
      <c r="A24" t="s">
        <v>5243</v>
      </c>
      <c r="B24">
        <v>3710.47</v>
      </c>
      <c r="C24">
        <f>ROUND(SUM(C4:C22),2)</f>
        <v>61.84</v>
      </c>
      <c r="D24">
        <f t="shared" ref="D24:AD24" si="210">ROUND(SUM(D4:D22),2)</f>
        <v>4095.93</v>
      </c>
      <c r="E24">
        <f t="shared" si="210"/>
        <v>68.27</v>
      </c>
      <c r="F24">
        <f t="shared" si="210"/>
        <v>4542.51</v>
      </c>
      <c r="G24">
        <f t="shared" si="210"/>
        <v>75.709999999999994</v>
      </c>
      <c r="H24">
        <f>ROUND(SUM(H4:H22),2)</f>
        <v>5119.7</v>
      </c>
      <c r="I24">
        <f t="shared" si="210"/>
        <v>85.33</v>
      </c>
      <c r="J24">
        <f t="shared" si="210"/>
        <v>5660.61</v>
      </c>
      <c r="K24">
        <f t="shared" si="210"/>
        <v>94.34</v>
      </c>
      <c r="L24">
        <f t="shared" si="210"/>
        <v>5819.76</v>
      </c>
      <c r="M24">
        <f t="shared" si="210"/>
        <v>97</v>
      </c>
      <c r="N24" s="1">
        <f t="shared" si="210"/>
        <v>0</v>
      </c>
      <c r="O24">
        <f t="shared" si="210"/>
        <v>97645.34</v>
      </c>
      <c r="P24">
        <f t="shared" si="210"/>
        <v>1627.42</v>
      </c>
      <c r="Q24">
        <f t="shared" si="210"/>
        <v>150837.48000000001</v>
      </c>
      <c r="R24">
        <f>ROUND(SUM(R4:R22),2)</f>
        <v>2513.96</v>
      </c>
      <c r="S24">
        <f>ROUND(SUM(S4:S22),2)</f>
        <v>240353.62</v>
      </c>
      <c r="T24">
        <f t="shared" si="210"/>
        <v>4005.89</v>
      </c>
      <c r="U24">
        <f>ROUND(SUM(U4:U22),2)</f>
        <v>90002.23</v>
      </c>
      <c r="V24">
        <f t="shared" si="210"/>
        <v>1500.04</v>
      </c>
      <c r="W24">
        <f t="shared" si="210"/>
        <v>71284.850000000006</v>
      </c>
      <c r="X24">
        <f t="shared" si="210"/>
        <v>1188.08</v>
      </c>
      <c r="Y24">
        <f t="shared" si="210"/>
        <v>38794.21</v>
      </c>
      <c r="Z24">
        <f t="shared" si="210"/>
        <v>646.57000000000005</v>
      </c>
      <c r="AA24">
        <f t="shared" si="210"/>
        <v>50349.42</v>
      </c>
      <c r="AB24">
        <f t="shared" si="210"/>
        <v>839.16</v>
      </c>
      <c r="AC24">
        <f t="shared" si="210"/>
        <v>41743.919999999998</v>
      </c>
      <c r="AD24">
        <f t="shared" si="210"/>
        <v>695.73</v>
      </c>
    </row>
    <row r="25" spans="1:30" x14ac:dyDescent="0.2">
      <c r="A25" t="s">
        <v>5261</v>
      </c>
      <c r="B25">
        <f>B24/3600</f>
        <v>1.030686111111111</v>
      </c>
      <c r="C25">
        <f>C24/60</f>
        <v>1.0306666666666666</v>
      </c>
      <c r="D25">
        <f t="shared" ref="D25:AD25" si="211">D24/60</f>
        <v>68.265500000000003</v>
      </c>
      <c r="E25">
        <f t="shared" si="211"/>
        <v>1.1378333333333333</v>
      </c>
      <c r="F25">
        <f t="shared" si="211"/>
        <v>75.708500000000001</v>
      </c>
      <c r="G25">
        <f t="shared" si="211"/>
        <v>1.2618333333333331</v>
      </c>
      <c r="H25">
        <f t="shared" si="211"/>
        <v>85.328333333333333</v>
      </c>
      <c r="I25">
        <f t="shared" si="211"/>
        <v>1.4221666666666666</v>
      </c>
      <c r="J25">
        <f t="shared" si="211"/>
        <v>94.343499999999992</v>
      </c>
      <c r="K25">
        <f t="shared" si="211"/>
        <v>1.5723333333333334</v>
      </c>
      <c r="L25">
        <f t="shared" si="211"/>
        <v>96.996000000000009</v>
      </c>
      <c r="M25">
        <f t="shared" si="211"/>
        <v>1.6166666666666667</v>
      </c>
      <c r="N25" s="1">
        <f t="shared" si="211"/>
        <v>0</v>
      </c>
      <c r="O25">
        <f t="shared" si="211"/>
        <v>1627.4223333333332</v>
      </c>
      <c r="P25">
        <f t="shared" si="211"/>
        <v>27.123666666666669</v>
      </c>
      <c r="Q25">
        <f t="shared" si="211"/>
        <v>2513.9580000000001</v>
      </c>
      <c r="R25">
        <f t="shared" si="211"/>
        <v>41.899333333333331</v>
      </c>
      <c r="S25">
        <f t="shared" si="211"/>
        <v>4005.8936666666664</v>
      </c>
      <c r="T25">
        <f t="shared" si="211"/>
        <v>66.764833333333328</v>
      </c>
      <c r="U25">
        <f t="shared" si="211"/>
        <v>1500.0371666666665</v>
      </c>
      <c r="V25">
        <f t="shared" si="211"/>
        <v>25.000666666666667</v>
      </c>
      <c r="W25">
        <f t="shared" si="211"/>
        <v>1188.0808333333334</v>
      </c>
      <c r="X25">
        <f t="shared" si="211"/>
        <v>19.801333333333332</v>
      </c>
      <c r="Y25">
        <f t="shared" si="211"/>
        <v>646.57016666666664</v>
      </c>
      <c r="Z25">
        <f t="shared" si="211"/>
        <v>10.776166666666667</v>
      </c>
      <c r="AA25">
        <f t="shared" si="211"/>
        <v>839.15699999999993</v>
      </c>
      <c r="AB25">
        <f t="shared" si="211"/>
        <v>13.985999999999999</v>
      </c>
      <c r="AC25">
        <f t="shared" si="211"/>
        <v>695.73199999999997</v>
      </c>
      <c r="AD25">
        <f t="shared" si="211"/>
        <v>11.595499999999999</v>
      </c>
    </row>
    <row r="26" spans="1:30" x14ac:dyDescent="0.2">
      <c r="A26" t="s">
        <v>5262</v>
      </c>
      <c r="B26">
        <f>MIN(B3:B22)</f>
        <v>7</v>
      </c>
      <c r="C26">
        <f>ROUND(MIN(C3:C22),2)</f>
        <v>0.12</v>
      </c>
      <c r="D26">
        <f t="shared" ref="D26:AD26" si="212">ROUND(MIN(D3:D22),2)</f>
        <v>37</v>
      </c>
      <c r="E26">
        <f t="shared" si="212"/>
        <v>0.62</v>
      </c>
      <c r="F26">
        <f t="shared" si="212"/>
        <v>16</v>
      </c>
      <c r="G26">
        <f t="shared" si="212"/>
        <v>0.27</v>
      </c>
      <c r="H26">
        <f t="shared" si="212"/>
        <v>6</v>
      </c>
      <c r="I26">
        <f t="shared" si="212"/>
        <v>0.1</v>
      </c>
      <c r="J26">
        <f t="shared" si="212"/>
        <v>27</v>
      </c>
      <c r="K26">
        <f t="shared" si="212"/>
        <v>0.45</v>
      </c>
      <c r="L26">
        <f t="shared" si="212"/>
        <v>118</v>
      </c>
      <c r="M26">
        <f t="shared" si="212"/>
        <v>1.97</v>
      </c>
      <c r="O26">
        <f t="shared" si="212"/>
        <v>134.96</v>
      </c>
      <c r="P26">
        <f t="shared" si="212"/>
        <v>2.25</v>
      </c>
      <c r="Q26">
        <f t="shared" si="212"/>
        <v>43</v>
      </c>
      <c r="R26">
        <f t="shared" si="212"/>
        <v>0.72</v>
      </c>
      <c r="S26">
        <f t="shared" si="212"/>
        <v>60</v>
      </c>
      <c r="T26">
        <f t="shared" si="212"/>
        <v>1</v>
      </c>
      <c r="U26">
        <f t="shared" si="212"/>
        <v>2644.98</v>
      </c>
      <c r="V26">
        <f t="shared" si="212"/>
        <v>44.08</v>
      </c>
      <c r="W26">
        <f t="shared" si="212"/>
        <v>29</v>
      </c>
      <c r="X26">
        <f t="shared" si="212"/>
        <v>0.48</v>
      </c>
      <c r="Y26">
        <f t="shared" si="212"/>
        <v>17</v>
      </c>
      <c r="Z26">
        <f t="shared" si="212"/>
        <v>0.28000000000000003</v>
      </c>
      <c r="AA26">
        <f t="shared" si="212"/>
        <v>30</v>
      </c>
      <c r="AB26">
        <f t="shared" si="212"/>
        <v>0.5</v>
      </c>
      <c r="AC26">
        <f t="shared" si="212"/>
        <v>110</v>
      </c>
      <c r="AD26">
        <f t="shared" si="212"/>
        <v>1.83</v>
      </c>
    </row>
    <row r="27" spans="1:30" x14ac:dyDescent="0.2">
      <c r="A27" t="s">
        <v>5263</v>
      </c>
      <c r="B27">
        <f>MAX(B3:B22)</f>
        <v>2230.6</v>
      </c>
      <c r="C27">
        <f>ROUND(MAX(C4:C23),2)</f>
        <v>37.18</v>
      </c>
      <c r="D27">
        <f t="shared" ref="D27:AD27" si="213">ROUND(MAX(D4:D23),2)</f>
        <v>1197.02</v>
      </c>
      <c r="E27">
        <f t="shared" si="213"/>
        <v>19.95</v>
      </c>
      <c r="F27">
        <f t="shared" si="213"/>
        <v>1622.66</v>
      </c>
      <c r="G27">
        <f t="shared" si="213"/>
        <v>27.04</v>
      </c>
      <c r="H27">
        <f t="shared" si="213"/>
        <v>2603.8200000000002</v>
      </c>
      <c r="I27">
        <f t="shared" si="213"/>
        <v>43.4</v>
      </c>
      <c r="J27">
        <f t="shared" si="213"/>
        <v>2392.85</v>
      </c>
      <c r="K27">
        <f t="shared" si="213"/>
        <v>39.880000000000003</v>
      </c>
      <c r="L27">
        <f t="shared" si="213"/>
        <v>2320.86</v>
      </c>
      <c r="M27">
        <f t="shared" si="213"/>
        <v>38.68</v>
      </c>
      <c r="O27">
        <f t="shared" si="213"/>
        <v>19431.2</v>
      </c>
      <c r="P27">
        <f t="shared" si="213"/>
        <v>323.85000000000002</v>
      </c>
      <c r="Q27">
        <f t="shared" si="213"/>
        <v>34393.64</v>
      </c>
      <c r="R27">
        <f t="shared" si="213"/>
        <v>573.23</v>
      </c>
      <c r="S27">
        <f t="shared" si="213"/>
        <v>40933.49</v>
      </c>
      <c r="T27">
        <f t="shared" si="213"/>
        <v>682.22</v>
      </c>
      <c r="U27">
        <f t="shared" si="213"/>
        <v>33748.29</v>
      </c>
      <c r="V27">
        <f t="shared" si="213"/>
        <v>562.47</v>
      </c>
      <c r="W27">
        <f t="shared" si="213"/>
        <v>10422.76</v>
      </c>
      <c r="X27">
        <f t="shared" si="213"/>
        <v>173.71</v>
      </c>
      <c r="Y27">
        <f t="shared" si="213"/>
        <v>7753.45</v>
      </c>
      <c r="Z27">
        <f t="shared" si="213"/>
        <v>129.22</v>
      </c>
      <c r="AA27">
        <f t="shared" si="213"/>
        <v>12555.29</v>
      </c>
      <c r="AB27">
        <f t="shared" si="213"/>
        <v>209.25</v>
      </c>
      <c r="AC27">
        <f t="shared" si="213"/>
        <v>8330.7199999999993</v>
      </c>
      <c r="AD27">
        <f t="shared" si="213"/>
        <v>138.85</v>
      </c>
    </row>
    <row r="28" spans="1:30" x14ac:dyDescent="0.2">
      <c r="A28" t="s">
        <v>5244</v>
      </c>
      <c r="C28">
        <f>ROUND(AVERAGE(C3:C22), 2)</f>
        <v>3.87</v>
      </c>
      <c r="D28">
        <f t="shared" ref="D28:AD28" si="214">ROUND(AVERAGE(D3:D22), 2)</f>
        <v>240.94</v>
      </c>
      <c r="E28">
        <f t="shared" si="214"/>
        <v>4.0199999999999996</v>
      </c>
      <c r="F28">
        <f t="shared" si="214"/>
        <v>323.57</v>
      </c>
      <c r="G28">
        <f t="shared" si="214"/>
        <v>5.39</v>
      </c>
      <c r="H28">
        <f t="shared" si="214"/>
        <v>343.91</v>
      </c>
      <c r="I28">
        <f t="shared" si="214"/>
        <v>5.73</v>
      </c>
      <c r="J28">
        <f t="shared" si="214"/>
        <v>628.96</v>
      </c>
      <c r="K28">
        <f t="shared" si="214"/>
        <v>10.48</v>
      </c>
      <c r="L28">
        <f t="shared" si="214"/>
        <v>1454.94</v>
      </c>
      <c r="M28">
        <f t="shared" si="214"/>
        <v>24.25</v>
      </c>
      <c r="O28">
        <f t="shared" si="214"/>
        <v>4972.32</v>
      </c>
      <c r="P28">
        <f t="shared" si="214"/>
        <v>82.87</v>
      </c>
      <c r="Q28">
        <f t="shared" si="214"/>
        <v>7546.27</v>
      </c>
      <c r="R28">
        <f t="shared" si="214"/>
        <v>125.77</v>
      </c>
      <c r="S28">
        <f t="shared" si="214"/>
        <v>16183.1</v>
      </c>
      <c r="T28">
        <f t="shared" si="214"/>
        <v>269.72000000000003</v>
      </c>
      <c r="U28">
        <f t="shared" si="214"/>
        <v>13355.72</v>
      </c>
      <c r="V28">
        <f t="shared" si="214"/>
        <v>222.6</v>
      </c>
      <c r="W28">
        <f t="shared" si="214"/>
        <v>3621.49</v>
      </c>
      <c r="X28">
        <f t="shared" si="214"/>
        <v>60.36</v>
      </c>
      <c r="Y28">
        <f t="shared" si="214"/>
        <v>2857.4</v>
      </c>
      <c r="Z28">
        <f t="shared" si="214"/>
        <v>47.62</v>
      </c>
      <c r="AA28">
        <f t="shared" si="214"/>
        <v>3372.96</v>
      </c>
      <c r="AB28">
        <f t="shared" si="214"/>
        <v>56.22</v>
      </c>
      <c r="AC28">
        <f t="shared" si="214"/>
        <v>2220.04</v>
      </c>
      <c r="AD28">
        <f t="shared" si="214"/>
        <v>37</v>
      </c>
    </row>
    <row r="29" spans="1:30" x14ac:dyDescent="0.2">
      <c r="A29" t="s">
        <v>5245</v>
      </c>
      <c r="C29">
        <f>ROUND(STDEV(C4:C23), 2)</f>
        <v>8.9600000000000009</v>
      </c>
      <c r="D29">
        <f t="shared" ref="D29:AD29" si="215">ROUND(STDEV(D4:D23), 2)</f>
        <v>275.11</v>
      </c>
      <c r="E29">
        <f t="shared" si="215"/>
        <v>4.59</v>
      </c>
      <c r="F29">
        <f t="shared" si="215"/>
        <v>500.76</v>
      </c>
      <c r="G29">
        <f t="shared" si="215"/>
        <v>8.35</v>
      </c>
      <c r="H29">
        <f t="shared" si="215"/>
        <v>702.66</v>
      </c>
      <c r="I29">
        <f t="shared" si="215"/>
        <v>11.71</v>
      </c>
      <c r="J29">
        <f t="shared" si="215"/>
        <v>807.65</v>
      </c>
      <c r="K29">
        <f t="shared" si="215"/>
        <v>13.46</v>
      </c>
      <c r="L29">
        <f t="shared" si="215"/>
        <v>1052.33</v>
      </c>
      <c r="M29">
        <f t="shared" si="215"/>
        <v>17.54</v>
      </c>
      <c r="O29">
        <f t="shared" si="215"/>
        <v>4407.93</v>
      </c>
      <c r="P29">
        <f t="shared" si="215"/>
        <v>73.47</v>
      </c>
      <c r="Q29">
        <f t="shared" si="215"/>
        <v>8801.26</v>
      </c>
      <c r="R29">
        <f t="shared" si="215"/>
        <v>146.69</v>
      </c>
      <c r="S29">
        <f t="shared" si="215"/>
        <v>12575.06</v>
      </c>
      <c r="T29">
        <f t="shared" si="215"/>
        <v>209.58</v>
      </c>
      <c r="U29">
        <f t="shared" si="215"/>
        <v>11900.28</v>
      </c>
      <c r="V29">
        <f t="shared" si="215"/>
        <v>198.34</v>
      </c>
      <c r="W29">
        <f t="shared" si="215"/>
        <v>2811.72</v>
      </c>
      <c r="X29">
        <f t="shared" si="215"/>
        <v>46.86</v>
      </c>
      <c r="Y29">
        <f t="shared" si="215"/>
        <v>2295.67</v>
      </c>
      <c r="Z29">
        <f t="shared" si="215"/>
        <v>38.26</v>
      </c>
      <c r="AA29">
        <f t="shared" si="215"/>
        <v>4139.9399999999996</v>
      </c>
      <c r="AB29">
        <f t="shared" si="215"/>
        <v>69</v>
      </c>
      <c r="AC29">
        <f t="shared" si="215"/>
        <v>2286.6799999999998</v>
      </c>
      <c r="AD29">
        <f t="shared" si="215"/>
        <v>38.11</v>
      </c>
    </row>
    <row r="30" spans="1:30" x14ac:dyDescent="0.2">
      <c r="A30" t="s">
        <v>5246</v>
      </c>
      <c r="B30">
        <v>16</v>
      </c>
      <c r="D30">
        <v>17</v>
      </c>
      <c r="F30">
        <v>15</v>
      </c>
      <c r="H30">
        <v>15</v>
      </c>
      <c r="J30">
        <v>9</v>
      </c>
      <c r="L30">
        <v>4</v>
      </c>
      <c r="O30">
        <v>20</v>
      </c>
      <c r="Q30">
        <v>20</v>
      </c>
      <c r="S30">
        <v>18</v>
      </c>
      <c r="U30">
        <v>7</v>
      </c>
      <c r="W30">
        <v>20</v>
      </c>
      <c r="Y30">
        <v>19</v>
      </c>
      <c r="AA30">
        <v>15</v>
      </c>
      <c r="AC30">
        <v>20</v>
      </c>
    </row>
    <row r="31" spans="1:30" s="1" customFormat="1" x14ac:dyDescent="0.2"/>
    <row r="32" spans="1:30" x14ac:dyDescent="0.2">
      <c r="A32" t="s">
        <v>5264</v>
      </c>
      <c r="B32" t="s">
        <v>5247</v>
      </c>
      <c r="C32" t="s">
        <v>5248</v>
      </c>
      <c r="D32" t="s">
        <v>5249</v>
      </c>
      <c r="E32" t="s">
        <v>5250</v>
      </c>
      <c r="F32" t="s">
        <v>5251</v>
      </c>
      <c r="G32" t="s">
        <v>5252</v>
      </c>
      <c r="I32" t="s">
        <v>5258</v>
      </c>
      <c r="J32" t="s">
        <v>5260</v>
      </c>
      <c r="K32" t="s">
        <v>5259</v>
      </c>
      <c r="L32" t="s">
        <v>5257</v>
      </c>
      <c r="M32" t="s">
        <v>5256</v>
      </c>
      <c r="N32" s="1" t="s">
        <v>5253</v>
      </c>
      <c r="O32" t="s">
        <v>5254</v>
      </c>
      <c r="P32" t="s">
        <v>5255</v>
      </c>
    </row>
    <row r="33" spans="1:16" x14ac:dyDescent="0.2">
      <c r="A33" t="s">
        <v>5265</v>
      </c>
      <c r="B33" t="s">
        <v>4988</v>
      </c>
      <c r="C33" t="s">
        <v>5005</v>
      </c>
      <c r="D33" t="s">
        <v>5031</v>
      </c>
      <c r="E33" t="s">
        <v>5040</v>
      </c>
      <c r="F33" t="s">
        <v>5064</v>
      </c>
      <c r="G33" t="s">
        <v>5067</v>
      </c>
      <c r="I33" t="s">
        <v>5231</v>
      </c>
      <c r="J33" t="s">
        <v>5225</v>
      </c>
      <c r="K33" t="s">
        <v>5229</v>
      </c>
      <c r="L33" t="s">
        <v>5233</v>
      </c>
      <c r="M33" t="s">
        <v>5237</v>
      </c>
      <c r="N33" s="1" t="s">
        <v>5238</v>
      </c>
      <c r="O33" t="s">
        <v>5239</v>
      </c>
      <c r="P33" t="s">
        <v>5240</v>
      </c>
    </row>
    <row r="34" spans="1:16" x14ac:dyDescent="0.2">
      <c r="A34" t="s">
        <v>5266</v>
      </c>
      <c r="B34">
        <v>61.84</v>
      </c>
      <c r="C34">
        <v>68.27</v>
      </c>
      <c r="D34">
        <v>75.709999999999994</v>
      </c>
      <c r="E34">
        <v>85.33</v>
      </c>
      <c r="F34">
        <v>94.34</v>
      </c>
      <c r="G34">
        <v>97</v>
      </c>
      <c r="I34">
        <v>646.57000000000005</v>
      </c>
      <c r="J34">
        <v>695.73</v>
      </c>
      <c r="K34">
        <v>839.16</v>
      </c>
      <c r="L34">
        <v>1188.08</v>
      </c>
      <c r="M34">
        <v>1500.04</v>
      </c>
      <c r="N34" s="1">
        <v>1627.42</v>
      </c>
      <c r="O34">
        <v>2513.96</v>
      </c>
      <c r="P34">
        <v>4005.89</v>
      </c>
    </row>
    <row r="35" spans="1:16" x14ac:dyDescent="0.2">
      <c r="A35" t="s">
        <v>5261</v>
      </c>
      <c r="B35">
        <v>1.0306666666666666</v>
      </c>
      <c r="C35">
        <v>1.1378333333333333</v>
      </c>
      <c r="D35">
        <v>1.2618333333333331</v>
      </c>
      <c r="E35">
        <v>1.4221666666666666</v>
      </c>
      <c r="F35">
        <v>1.5723333333333334</v>
      </c>
      <c r="G35">
        <v>1.6166666666666667</v>
      </c>
      <c r="I35">
        <v>10.776166666666667</v>
      </c>
      <c r="J35">
        <v>11.595499999999999</v>
      </c>
      <c r="K35">
        <v>13.985999999999999</v>
      </c>
      <c r="L35">
        <v>19.801333333333332</v>
      </c>
      <c r="M35">
        <v>25.000666666666667</v>
      </c>
      <c r="N35" s="1">
        <v>27.123666666666669</v>
      </c>
      <c r="O35">
        <v>41.899333333333331</v>
      </c>
      <c r="P35">
        <v>66.764833333333328</v>
      </c>
    </row>
    <row r="36" spans="1:16" x14ac:dyDescent="0.2">
      <c r="A36" t="s">
        <v>5267</v>
      </c>
      <c r="B36">
        <v>0.12</v>
      </c>
      <c r="C36">
        <v>0.62</v>
      </c>
      <c r="D36">
        <v>0.27</v>
      </c>
      <c r="E36">
        <v>0.1</v>
      </c>
      <c r="F36">
        <v>0.45</v>
      </c>
      <c r="G36">
        <v>1.97</v>
      </c>
      <c r="I36">
        <v>0.28000000000000003</v>
      </c>
      <c r="J36">
        <v>1.83</v>
      </c>
      <c r="K36">
        <v>0.5</v>
      </c>
      <c r="L36">
        <v>0.48</v>
      </c>
      <c r="M36">
        <v>44.08</v>
      </c>
      <c r="N36" s="1">
        <v>2.25</v>
      </c>
      <c r="O36">
        <v>0.72</v>
      </c>
      <c r="P36">
        <v>1</v>
      </c>
    </row>
    <row r="37" spans="1:16" x14ac:dyDescent="0.2">
      <c r="A37" t="s">
        <v>5268</v>
      </c>
      <c r="B37">
        <v>37.18</v>
      </c>
      <c r="C37">
        <v>19.95</v>
      </c>
      <c r="D37">
        <v>27.04</v>
      </c>
      <c r="E37">
        <v>43.4</v>
      </c>
      <c r="F37">
        <v>39.880000000000003</v>
      </c>
      <c r="G37">
        <v>38.68</v>
      </c>
      <c r="I37">
        <v>129.22</v>
      </c>
      <c r="J37">
        <v>138.85</v>
      </c>
      <c r="K37">
        <v>209.25</v>
      </c>
      <c r="L37">
        <v>173.71</v>
      </c>
      <c r="M37">
        <v>562.47</v>
      </c>
      <c r="N37" s="1">
        <v>323.85000000000002</v>
      </c>
      <c r="O37">
        <v>573.23</v>
      </c>
      <c r="P37">
        <v>682.22</v>
      </c>
    </row>
    <row r="38" spans="1:16" x14ac:dyDescent="0.2">
      <c r="A38" t="s">
        <v>5244</v>
      </c>
      <c r="B38">
        <v>3.87</v>
      </c>
      <c r="C38">
        <v>4.0199999999999996</v>
      </c>
      <c r="D38">
        <v>5.39</v>
      </c>
      <c r="E38">
        <v>5.73</v>
      </c>
      <c r="F38">
        <v>10.48</v>
      </c>
      <c r="G38">
        <v>24.25</v>
      </c>
      <c r="I38">
        <v>47.62</v>
      </c>
      <c r="J38">
        <v>37</v>
      </c>
      <c r="K38">
        <v>56.22</v>
      </c>
      <c r="L38">
        <v>60.36</v>
      </c>
      <c r="M38">
        <v>222.6</v>
      </c>
      <c r="N38" s="1">
        <v>82.87</v>
      </c>
      <c r="O38">
        <v>125.77</v>
      </c>
      <c r="P38">
        <v>269.72000000000003</v>
      </c>
    </row>
    <row r="39" spans="1:16" x14ac:dyDescent="0.2">
      <c r="A39" t="s">
        <v>5245</v>
      </c>
      <c r="B39">
        <v>8.9600000000000009</v>
      </c>
      <c r="C39">
        <v>4.59</v>
      </c>
      <c r="D39">
        <v>8.35</v>
      </c>
      <c r="E39">
        <v>11.71</v>
      </c>
      <c r="F39">
        <v>13.46</v>
      </c>
      <c r="G39">
        <v>17.54</v>
      </c>
      <c r="I39">
        <v>38.26</v>
      </c>
      <c r="J39">
        <v>38.11</v>
      </c>
      <c r="K39">
        <v>69</v>
      </c>
      <c r="L39">
        <v>46.86</v>
      </c>
      <c r="M39">
        <v>198.34</v>
      </c>
      <c r="N39" s="1">
        <v>73.47</v>
      </c>
      <c r="O39">
        <v>146.69</v>
      </c>
      <c r="P39">
        <v>209.58</v>
      </c>
    </row>
    <row r="40" spans="1:16" x14ac:dyDescent="0.2">
      <c r="A40" t="s">
        <v>5246</v>
      </c>
      <c r="B40">
        <v>16</v>
      </c>
      <c r="C40">
        <v>17</v>
      </c>
      <c r="D40">
        <v>15</v>
      </c>
      <c r="E40">
        <v>15</v>
      </c>
      <c r="F40">
        <v>9</v>
      </c>
      <c r="G40">
        <v>4</v>
      </c>
      <c r="I40">
        <v>19</v>
      </c>
      <c r="J40">
        <v>20</v>
      </c>
      <c r="K40">
        <v>15</v>
      </c>
      <c r="L40">
        <v>20</v>
      </c>
      <c r="M40">
        <v>7</v>
      </c>
      <c r="N40" s="1">
        <v>20</v>
      </c>
      <c r="O40">
        <v>20</v>
      </c>
      <c r="P40">
        <v>18</v>
      </c>
    </row>
  </sheetData>
  <sortState xmlns:xlrd2="http://schemas.microsoft.com/office/spreadsheetml/2017/richdata2" columnSort="1" ref="I32:P40">
    <sortCondition ref="I34:P34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CD22-36AB-2E4D-BD02-917C8C064B18}">
  <dimension ref="A1:J16384"/>
  <sheetViews>
    <sheetView tabSelected="1" zoomScale="161" workbookViewId="0">
      <selection activeCell="L20" sqref="L20"/>
    </sheetView>
  </sheetViews>
  <sheetFormatPr baseColWidth="10" defaultColWidth="11" defaultRowHeight="15.75" customHeight="1" x14ac:dyDescent="0.2"/>
  <cols>
    <col min="1" max="1" width="26.5" customWidth="1"/>
    <col min="2" max="2" width="90.83203125" customWidth="1"/>
    <col min="3" max="3" width="22" customWidth="1"/>
    <col min="4" max="4" width="15.83203125" customWidth="1"/>
    <col min="5" max="5" width="14.1640625" customWidth="1"/>
  </cols>
  <sheetData>
    <row r="1" spans="1:10" ht="16" x14ac:dyDescent="0.2">
      <c r="A1" t="s">
        <v>5264</v>
      </c>
      <c r="B1" t="s">
        <v>5265</v>
      </c>
      <c r="C1" t="s">
        <v>5266</v>
      </c>
      <c r="D1" t="s">
        <v>5261</v>
      </c>
      <c r="E1" t="s">
        <v>5244</v>
      </c>
      <c r="F1" t="s">
        <v>5267</v>
      </c>
      <c r="G1" t="s">
        <v>5268</v>
      </c>
      <c r="H1" t="s">
        <v>5246</v>
      </c>
    </row>
    <row r="2" spans="1:10" ht="16" x14ac:dyDescent="0.2">
      <c r="A2" t="s">
        <v>5255</v>
      </c>
      <c r="B2" t="s">
        <v>5240</v>
      </c>
      <c r="C2">
        <v>4005.89</v>
      </c>
      <c r="D2">
        <v>66.764833333333328</v>
      </c>
      <c r="E2" t="s">
        <v>5269</v>
      </c>
      <c r="F2">
        <v>1</v>
      </c>
      <c r="G2">
        <v>682.22</v>
      </c>
      <c r="H2">
        <v>18</v>
      </c>
    </row>
    <row r="3" spans="1:10" ht="16" x14ac:dyDescent="0.2">
      <c r="A3" t="s">
        <v>5254</v>
      </c>
      <c r="B3" t="s">
        <v>5239</v>
      </c>
      <c r="C3">
        <v>2513.96</v>
      </c>
      <c r="D3">
        <v>41.899333333333331</v>
      </c>
      <c r="E3" t="s">
        <v>5270</v>
      </c>
      <c r="F3">
        <v>0.72</v>
      </c>
      <c r="G3">
        <v>573.23</v>
      </c>
      <c r="H3">
        <v>20</v>
      </c>
    </row>
    <row r="4" spans="1:10" ht="16" x14ac:dyDescent="0.2">
      <c r="A4" t="s">
        <v>5253</v>
      </c>
      <c r="B4" t="s">
        <v>5238</v>
      </c>
      <c r="C4">
        <v>1627.42</v>
      </c>
      <c r="D4">
        <v>27.123666666666669</v>
      </c>
      <c r="E4" t="s">
        <v>5271</v>
      </c>
      <c r="F4">
        <v>2.25</v>
      </c>
      <c r="G4">
        <v>323.85000000000002</v>
      </c>
      <c r="H4">
        <v>20</v>
      </c>
    </row>
    <row r="5" spans="1:10" ht="16" x14ac:dyDescent="0.2">
      <c r="A5" t="s">
        <v>5256</v>
      </c>
      <c r="B5" t="s">
        <v>5237</v>
      </c>
      <c r="C5">
        <v>1500.04</v>
      </c>
      <c r="D5">
        <v>25.000666666666667</v>
      </c>
      <c r="E5" t="s">
        <v>5272</v>
      </c>
      <c r="F5">
        <v>44.08</v>
      </c>
      <c r="G5">
        <v>562.47</v>
      </c>
      <c r="H5">
        <v>7</v>
      </c>
    </row>
    <row r="6" spans="1:10" ht="16" x14ac:dyDescent="0.2">
      <c r="A6" t="s">
        <v>5257</v>
      </c>
      <c r="B6" t="s">
        <v>5233</v>
      </c>
      <c r="C6">
        <v>1188.08</v>
      </c>
      <c r="D6">
        <v>19.801333333333332</v>
      </c>
      <c r="E6" t="s">
        <v>5273</v>
      </c>
      <c r="F6">
        <v>0.48</v>
      </c>
      <c r="G6">
        <v>173.71</v>
      </c>
      <c r="H6">
        <v>20</v>
      </c>
    </row>
    <row r="7" spans="1:10" ht="16" x14ac:dyDescent="0.2">
      <c r="A7" t="s">
        <v>5259</v>
      </c>
      <c r="B7" t="s">
        <v>5229</v>
      </c>
      <c r="C7">
        <v>839.16</v>
      </c>
      <c r="D7">
        <v>13.985999999999999</v>
      </c>
      <c r="E7" t="s">
        <v>5274</v>
      </c>
      <c r="F7">
        <v>0.5</v>
      </c>
      <c r="G7">
        <v>209.25</v>
      </c>
      <c r="H7">
        <v>15</v>
      </c>
    </row>
    <row r="8" spans="1:10" ht="16" x14ac:dyDescent="0.2">
      <c r="A8" t="s">
        <v>5260</v>
      </c>
      <c r="B8" t="s">
        <v>5225</v>
      </c>
      <c r="C8">
        <v>695.73</v>
      </c>
      <c r="D8">
        <v>11.595499999999999</v>
      </c>
      <c r="E8" t="s">
        <v>5275</v>
      </c>
      <c r="F8">
        <v>1.83</v>
      </c>
      <c r="G8">
        <v>138.85</v>
      </c>
      <c r="H8">
        <v>20</v>
      </c>
    </row>
    <row r="9" spans="1:10" ht="16" x14ac:dyDescent="0.2">
      <c r="A9" t="s">
        <v>5258</v>
      </c>
      <c r="B9" t="s">
        <v>5231</v>
      </c>
      <c r="C9">
        <v>646.57000000000005</v>
      </c>
      <c r="D9">
        <v>10.776166666666667</v>
      </c>
      <c r="E9" t="s">
        <v>5276</v>
      </c>
      <c r="F9">
        <v>0.28000000000000003</v>
      </c>
      <c r="G9">
        <v>129.22</v>
      </c>
      <c r="H9">
        <v>19</v>
      </c>
    </row>
    <row r="10" spans="1:10" ht="16" x14ac:dyDescent="0.2">
      <c r="A10" t="s">
        <v>5252</v>
      </c>
      <c r="B10" t="s">
        <v>5067</v>
      </c>
      <c r="C10">
        <v>97</v>
      </c>
      <c r="D10">
        <v>1.6166666666666667</v>
      </c>
      <c r="E10" t="s">
        <v>5277</v>
      </c>
      <c r="F10">
        <v>1.97</v>
      </c>
      <c r="G10">
        <v>38.68</v>
      </c>
      <c r="H10">
        <v>4</v>
      </c>
    </row>
    <row r="11" spans="1:10" ht="16" x14ac:dyDescent="0.2">
      <c r="A11" t="s">
        <v>5251</v>
      </c>
      <c r="B11" t="s">
        <v>5064</v>
      </c>
      <c r="C11">
        <v>94.34</v>
      </c>
      <c r="D11">
        <v>1.5723333333333334</v>
      </c>
      <c r="E11" t="s">
        <v>5278</v>
      </c>
      <c r="F11">
        <v>0.45</v>
      </c>
      <c r="G11">
        <v>39.880000000000003</v>
      </c>
      <c r="H11">
        <v>9</v>
      </c>
      <c r="J11" s="2"/>
    </row>
    <row r="12" spans="1:10" ht="16" x14ac:dyDescent="0.2">
      <c r="A12" t="s">
        <v>5250</v>
      </c>
      <c r="B12" t="s">
        <v>5040</v>
      </c>
      <c r="C12">
        <v>85.33</v>
      </c>
      <c r="D12">
        <v>1.4221666666666666</v>
      </c>
      <c r="E12" t="s">
        <v>5279</v>
      </c>
      <c r="F12">
        <v>0.1</v>
      </c>
      <c r="G12">
        <v>43.4</v>
      </c>
      <c r="H12">
        <v>15</v>
      </c>
      <c r="J12" s="3"/>
    </row>
    <row r="13" spans="1:10" ht="16" x14ac:dyDescent="0.2">
      <c r="A13" t="s">
        <v>5249</v>
      </c>
      <c r="B13" t="s">
        <v>5031</v>
      </c>
      <c r="C13">
        <v>75.709999999999994</v>
      </c>
      <c r="D13">
        <v>1.2618333333333331</v>
      </c>
      <c r="E13" t="s">
        <v>5280</v>
      </c>
      <c r="F13">
        <v>0.27</v>
      </c>
      <c r="G13">
        <v>27.04</v>
      </c>
      <c r="H13">
        <v>15</v>
      </c>
      <c r="J13" s="3"/>
    </row>
    <row r="14" spans="1:10" ht="16" x14ac:dyDescent="0.2">
      <c r="A14" t="s">
        <v>5248</v>
      </c>
      <c r="B14" t="s">
        <v>5005</v>
      </c>
      <c r="C14">
        <v>68.27</v>
      </c>
      <c r="D14">
        <v>1.1378333333333333</v>
      </c>
      <c r="E14" t="s">
        <v>5281</v>
      </c>
      <c r="F14">
        <v>0.62</v>
      </c>
      <c r="G14">
        <v>19.95</v>
      </c>
      <c r="H14">
        <v>17</v>
      </c>
      <c r="J14" s="3"/>
    </row>
    <row r="15" spans="1:10" ht="16" x14ac:dyDescent="0.2">
      <c r="A15" t="s">
        <v>5247</v>
      </c>
      <c r="B15" t="s">
        <v>4988</v>
      </c>
      <c r="C15">
        <v>61.84</v>
      </c>
      <c r="D15">
        <v>1.0306666666666666</v>
      </c>
      <c r="E15" t="s">
        <v>5282</v>
      </c>
      <c r="F15">
        <v>0.12</v>
      </c>
      <c r="G15">
        <v>37.18</v>
      </c>
      <c r="H15">
        <v>16</v>
      </c>
      <c r="J15" s="3"/>
    </row>
    <row r="16" spans="1:10" ht="16" x14ac:dyDescent="0.2">
      <c r="A16" s="1"/>
      <c r="B16" s="1"/>
      <c r="C16" s="1"/>
      <c r="D16" s="1"/>
      <c r="E16" s="1"/>
      <c r="F16" s="1"/>
      <c r="G16" s="1"/>
      <c r="H16" s="1"/>
      <c r="J16" s="3"/>
    </row>
    <row r="17" spans="10:10" ht="16" x14ac:dyDescent="0.2">
      <c r="J17" s="3"/>
    </row>
    <row r="18" spans="10:10" ht="16" x14ac:dyDescent="0.2">
      <c r="J18" s="4"/>
    </row>
    <row r="19" spans="10:10" ht="16" x14ac:dyDescent="0.2">
      <c r="J19" s="3"/>
    </row>
    <row r="20" spans="10:10" ht="16" x14ac:dyDescent="0.2">
      <c r="J20" s="3"/>
    </row>
    <row r="21" spans="10:10" ht="16" x14ac:dyDescent="0.2">
      <c r="J21" s="3"/>
    </row>
    <row r="22" spans="10:10" ht="16" x14ac:dyDescent="0.2">
      <c r="J22" s="3"/>
    </row>
    <row r="23" spans="10:10" ht="16" x14ac:dyDescent="0.2">
      <c r="J23" s="3"/>
    </row>
    <row r="24" spans="10:10" ht="16" x14ac:dyDescent="0.2">
      <c r="J24" s="4"/>
    </row>
    <row r="25" spans="10:10" ht="16" x14ac:dyDescent="0.2"/>
    <row r="26" spans="10:10" ht="16" x14ac:dyDescent="0.2"/>
    <row r="27" spans="10:10" ht="16" x14ac:dyDescent="0.2"/>
    <row r="28" spans="10:10" ht="16" x14ac:dyDescent="0.2"/>
    <row r="29" spans="10:10" ht="16" x14ac:dyDescent="0.2"/>
    <row r="30" spans="10:10" ht="16" x14ac:dyDescent="0.2"/>
    <row r="31" spans="10:10" ht="16" x14ac:dyDescent="0.2"/>
    <row r="32" spans="10:10" ht="16" x14ac:dyDescent="0.2"/>
    <row r="33" ht="16" x14ac:dyDescent="0.2"/>
    <row r="34" ht="16" x14ac:dyDescent="0.2"/>
    <row r="35" ht="16" x14ac:dyDescent="0.2"/>
    <row r="36" ht="16" x14ac:dyDescent="0.2"/>
    <row r="37" ht="16" x14ac:dyDescent="0.2"/>
    <row r="38" ht="16" x14ac:dyDescent="0.2"/>
    <row r="39" ht="16" x14ac:dyDescent="0.2"/>
    <row r="40" ht="16" x14ac:dyDescent="0.2"/>
    <row r="41" ht="16" x14ac:dyDescent="0.2"/>
    <row r="42" ht="16" x14ac:dyDescent="0.2"/>
    <row r="43" ht="16" x14ac:dyDescent="0.2"/>
    <row r="44" ht="16" x14ac:dyDescent="0.2"/>
    <row r="45" ht="16" x14ac:dyDescent="0.2"/>
    <row r="46" ht="16" x14ac:dyDescent="0.2"/>
    <row r="47" ht="16" x14ac:dyDescent="0.2"/>
    <row r="48" ht="16" x14ac:dyDescent="0.2"/>
    <row r="49" ht="16" x14ac:dyDescent="0.2"/>
    <row r="50" ht="16" x14ac:dyDescent="0.2"/>
    <row r="51" ht="16" x14ac:dyDescent="0.2"/>
    <row r="52" ht="16" x14ac:dyDescent="0.2"/>
    <row r="53" ht="16" x14ac:dyDescent="0.2"/>
    <row r="54" ht="16" x14ac:dyDescent="0.2"/>
    <row r="55" ht="16" x14ac:dyDescent="0.2"/>
    <row r="56" ht="16" x14ac:dyDescent="0.2"/>
    <row r="57" ht="16" x14ac:dyDescent="0.2"/>
    <row r="58" ht="16" x14ac:dyDescent="0.2"/>
    <row r="59" ht="16" x14ac:dyDescent="0.2"/>
    <row r="60" ht="16" x14ac:dyDescent="0.2"/>
    <row r="61" ht="16" x14ac:dyDescent="0.2"/>
    <row r="62" ht="16" x14ac:dyDescent="0.2"/>
    <row r="63" ht="16" x14ac:dyDescent="0.2"/>
    <row r="64" ht="16" x14ac:dyDescent="0.2"/>
    <row r="65" ht="16" x14ac:dyDescent="0.2"/>
    <row r="66" ht="16" x14ac:dyDescent="0.2"/>
    <row r="67" ht="16" x14ac:dyDescent="0.2"/>
    <row r="68" ht="16" x14ac:dyDescent="0.2"/>
    <row r="69" ht="16" x14ac:dyDescent="0.2"/>
    <row r="70" ht="16" x14ac:dyDescent="0.2"/>
    <row r="71" ht="16" x14ac:dyDescent="0.2"/>
    <row r="72" ht="16" x14ac:dyDescent="0.2"/>
    <row r="73" ht="16" x14ac:dyDescent="0.2"/>
    <row r="74" ht="16" x14ac:dyDescent="0.2"/>
    <row r="75" ht="16" x14ac:dyDescent="0.2"/>
    <row r="76" ht="16" x14ac:dyDescent="0.2"/>
    <row r="77" ht="16" x14ac:dyDescent="0.2"/>
    <row r="78" ht="16" x14ac:dyDescent="0.2"/>
    <row r="79" ht="16" x14ac:dyDescent="0.2"/>
    <row r="80" ht="16" x14ac:dyDescent="0.2"/>
    <row r="81" ht="16" x14ac:dyDescent="0.2"/>
    <row r="82" ht="16" x14ac:dyDescent="0.2"/>
    <row r="83" ht="16" x14ac:dyDescent="0.2"/>
    <row r="84" ht="16" x14ac:dyDescent="0.2"/>
    <row r="85" ht="16" x14ac:dyDescent="0.2"/>
    <row r="86" ht="16" x14ac:dyDescent="0.2"/>
    <row r="87" ht="16" x14ac:dyDescent="0.2"/>
    <row r="88" ht="16" x14ac:dyDescent="0.2"/>
    <row r="89" ht="16" x14ac:dyDescent="0.2"/>
    <row r="90" ht="16" x14ac:dyDescent="0.2"/>
    <row r="91" ht="16" x14ac:dyDescent="0.2"/>
    <row r="92" ht="16" x14ac:dyDescent="0.2"/>
    <row r="93" ht="16" x14ac:dyDescent="0.2"/>
    <row r="94" ht="16" x14ac:dyDescent="0.2"/>
    <row r="95" ht="16" x14ac:dyDescent="0.2"/>
    <row r="96" ht="16" x14ac:dyDescent="0.2"/>
    <row r="97" ht="16" x14ac:dyDescent="0.2"/>
    <row r="98" ht="16" x14ac:dyDescent="0.2"/>
    <row r="99" ht="16" x14ac:dyDescent="0.2"/>
    <row r="100" ht="16" x14ac:dyDescent="0.2"/>
    <row r="101" ht="16" x14ac:dyDescent="0.2"/>
    <row r="102" ht="16" x14ac:dyDescent="0.2"/>
    <row r="103" ht="16" x14ac:dyDescent="0.2"/>
    <row r="104" ht="16" x14ac:dyDescent="0.2"/>
    <row r="105" ht="16" x14ac:dyDescent="0.2"/>
    <row r="106" ht="16" x14ac:dyDescent="0.2"/>
    <row r="107" ht="16" x14ac:dyDescent="0.2"/>
    <row r="108" ht="16" x14ac:dyDescent="0.2"/>
    <row r="109" ht="16" x14ac:dyDescent="0.2"/>
    <row r="110" ht="16" x14ac:dyDescent="0.2"/>
    <row r="111" ht="16" x14ac:dyDescent="0.2"/>
    <row r="112" ht="16" x14ac:dyDescent="0.2"/>
    <row r="113" ht="16" x14ac:dyDescent="0.2"/>
    <row r="114" ht="16" x14ac:dyDescent="0.2"/>
    <row r="115" ht="16" x14ac:dyDescent="0.2"/>
    <row r="116" ht="16" x14ac:dyDescent="0.2"/>
    <row r="117" ht="16" x14ac:dyDescent="0.2"/>
    <row r="118" ht="16" x14ac:dyDescent="0.2"/>
    <row r="119" ht="16" x14ac:dyDescent="0.2"/>
    <row r="120" ht="16" x14ac:dyDescent="0.2"/>
    <row r="121" ht="16" x14ac:dyDescent="0.2"/>
    <row r="122" ht="16" x14ac:dyDescent="0.2"/>
    <row r="123" ht="16" x14ac:dyDescent="0.2"/>
    <row r="124" ht="16" x14ac:dyDescent="0.2"/>
    <row r="125" ht="16" x14ac:dyDescent="0.2"/>
    <row r="126" ht="16" x14ac:dyDescent="0.2"/>
    <row r="127" ht="16" x14ac:dyDescent="0.2"/>
    <row r="128" ht="16" x14ac:dyDescent="0.2"/>
    <row r="129" ht="16" x14ac:dyDescent="0.2"/>
    <row r="130" ht="16" x14ac:dyDescent="0.2"/>
    <row r="131" ht="16" x14ac:dyDescent="0.2"/>
    <row r="132" ht="16" x14ac:dyDescent="0.2"/>
    <row r="133" ht="16" x14ac:dyDescent="0.2"/>
    <row r="134" ht="16" x14ac:dyDescent="0.2"/>
    <row r="135" ht="16" x14ac:dyDescent="0.2"/>
    <row r="136" ht="16" x14ac:dyDescent="0.2"/>
    <row r="137" ht="16" x14ac:dyDescent="0.2"/>
    <row r="138" ht="16" x14ac:dyDescent="0.2"/>
    <row r="139" ht="16" x14ac:dyDescent="0.2"/>
    <row r="140" ht="16" x14ac:dyDescent="0.2"/>
    <row r="141" ht="16" x14ac:dyDescent="0.2"/>
    <row r="142" ht="16" x14ac:dyDescent="0.2"/>
    <row r="143" ht="16" x14ac:dyDescent="0.2"/>
    <row r="144" ht="16" x14ac:dyDescent="0.2"/>
    <row r="145" ht="16" x14ac:dyDescent="0.2"/>
    <row r="146" ht="16" x14ac:dyDescent="0.2"/>
    <row r="147" ht="16" x14ac:dyDescent="0.2"/>
    <row r="148" ht="16" x14ac:dyDescent="0.2"/>
    <row r="149" ht="16" x14ac:dyDescent="0.2"/>
    <row r="150" ht="16" x14ac:dyDescent="0.2"/>
    <row r="151" ht="16" x14ac:dyDescent="0.2"/>
    <row r="152" ht="16" x14ac:dyDescent="0.2"/>
    <row r="153" ht="16" x14ac:dyDescent="0.2"/>
    <row r="154" ht="16" x14ac:dyDescent="0.2"/>
    <row r="155" ht="16" x14ac:dyDescent="0.2"/>
    <row r="156" ht="16" x14ac:dyDescent="0.2"/>
    <row r="157" ht="16" x14ac:dyDescent="0.2"/>
    <row r="158" ht="16" x14ac:dyDescent="0.2"/>
    <row r="159" ht="16" x14ac:dyDescent="0.2"/>
    <row r="160" ht="16" x14ac:dyDescent="0.2"/>
    <row r="161" ht="16" x14ac:dyDescent="0.2"/>
    <row r="162" ht="16" x14ac:dyDescent="0.2"/>
    <row r="163" ht="16" x14ac:dyDescent="0.2"/>
    <row r="164" ht="16" x14ac:dyDescent="0.2"/>
    <row r="165" ht="16" x14ac:dyDescent="0.2"/>
    <row r="166" ht="16" x14ac:dyDescent="0.2"/>
    <row r="167" ht="16" x14ac:dyDescent="0.2"/>
    <row r="168" ht="16" x14ac:dyDescent="0.2"/>
    <row r="169" ht="16" x14ac:dyDescent="0.2"/>
    <row r="170" ht="16" x14ac:dyDescent="0.2"/>
    <row r="171" ht="16" x14ac:dyDescent="0.2"/>
    <row r="172" ht="16" x14ac:dyDescent="0.2"/>
    <row r="173" ht="16" x14ac:dyDescent="0.2"/>
    <row r="174" ht="16" x14ac:dyDescent="0.2"/>
    <row r="175" ht="16" x14ac:dyDescent="0.2"/>
    <row r="176" ht="16" x14ac:dyDescent="0.2"/>
    <row r="177" ht="16" x14ac:dyDescent="0.2"/>
    <row r="178" ht="16" x14ac:dyDescent="0.2"/>
    <row r="179" ht="16" x14ac:dyDescent="0.2"/>
    <row r="180" ht="16" x14ac:dyDescent="0.2"/>
    <row r="181" ht="16" x14ac:dyDescent="0.2"/>
    <row r="182" ht="16" x14ac:dyDescent="0.2"/>
    <row r="183" ht="16" x14ac:dyDescent="0.2"/>
    <row r="184" ht="16" x14ac:dyDescent="0.2"/>
    <row r="185" ht="16" x14ac:dyDescent="0.2"/>
    <row r="186" ht="16" x14ac:dyDescent="0.2"/>
    <row r="187" ht="16" x14ac:dyDescent="0.2"/>
    <row r="188" ht="16" x14ac:dyDescent="0.2"/>
    <row r="189" ht="16" x14ac:dyDescent="0.2"/>
    <row r="190" ht="16" x14ac:dyDescent="0.2"/>
    <row r="191" ht="16" x14ac:dyDescent="0.2"/>
    <row r="192" ht="16" x14ac:dyDescent="0.2"/>
    <row r="193" ht="16" x14ac:dyDescent="0.2"/>
    <row r="194" ht="16" x14ac:dyDescent="0.2"/>
    <row r="195" ht="16" x14ac:dyDescent="0.2"/>
    <row r="196" ht="16" x14ac:dyDescent="0.2"/>
    <row r="197" ht="16" x14ac:dyDescent="0.2"/>
    <row r="198" ht="16" x14ac:dyDescent="0.2"/>
    <row r="199" ht="16" x14ac:dyDescent="0.2"/>
    <row r="200" ht="16" x14ac:dyDescent="0.2"/>
    <row r="201" ht="16" x14ac:dyDescent="0.2"/>
    <row r="202" ht="16" x14ac:dyDescent="0.2"/>
    <row r="203" ht="16" x14ac:dyDescent="0.2"/>
    <row r="204" ht="16" x14ac:dyDescent="0.2"/>
    <row r="205" ht="16" x14ac:dyDescent="0.2"/>
    <row r="206" ht="16" x14ac:dyDescent="0.2"/>
    <row r="207" ht="16" x14ac:dyDescent="0.2"/>
    <row r="208" ht="16" x14ac:dyDescent="0.2"/>
    <row r="209" ht="16" x14ac:dyDescent="0.2"/>
    <row r="210" ht="16" x14ac:dyDescent="0.2"/>
    <row r="211" ht="16" x14ac:dyDescent="0.2"/>
    <row r="212" ht="16" x14ac:dyDescent="0.2"/>
    <row r="213" ht="16" x14ac:dyDescent="0.2"/>
    <row r="214" ht="16" x14ac:dyDescent="0.2"/>
    <row r="215" ht="16" x14ac:dyDescent="0.2"/>
    <row r="216" ht="16" x14ac:dyDescent="0.2"/>
    <row r="217" ht="16" x14ac:dyDescent="0.2"/>
    <row r="218" ht="16" x14ac:dyDescent="0.2"/>
    <row r="219" ht="16" x14ac:dyDescent="0.2"/>
    <row r="220" ht="16" x14ac:dyDescent="0.2"/>
    <row r="221" ht="16" x14ac:dyDescent="0.2"/>
    <row r="222" ht="16" x14ac:dyDescent="0.2"/>
    <row r="223" ht="16" x14ac:dyDescent="0.2"/>
    <row r="224" ht="16" x14ac:dyDescent="0.2"/>
    <row r="225" ht="16" x14ac:dyDescent="0.2"/>
    <row r="226" ht="16" x14ac:dyDescent="0.2"/>
    <row r="227" ht="16" x14ac:dyDescent="0.2"/>
    <row r="228" ht="16" x14ac:dyDescent="0.2"/>
    <row r="229" ht="16" x14ac:dyDescent="0.2"/>
    <row r="230" ht="16" x14ac:dyDescent="0.2"/>
    <row r="231" ht="16" x14ac:dyDescent="0.2"/>
    <row r="232" ht="16" x14ac:dyDescent="0.2"/>
    <row r="233" ht="16" x14ac:dyDescent="0.2"/>
    <row r="234" ht="16" x14ac:dyDescent="0.2"/>
    <row r="235" ht="16" x14ac:dyDescent="0.2"/>
    <row r="236" ht="16" x14ac:dyDescent="0.2"/>
    <row r="237" ht="16" x14ac:dyDescent="0.2"/>
    <row r="238" ht="16" x14ac:dyDescent="0.2"/>
    <row r="239" ht="16" x14ac:dyDescent="0.2"/>
    <row r="240" ht="16" x14ac:dyDescent="0.2"/>
    <row r="241" ht="16" x14ac:dyDescent="0.2"/>
    <row r="242" ht="16" x14ac:dyDescent="0.2"/>
    <row r="243" ht="16" x14ac:dyDescent="0.2"/>
    <row r="244" ht="16" x14ac:dyDescent="0.2"/>
    <row r="245" ht="16" x14ac:dyDescent="0.2"/>
    <row r="246" ht="16" x14ac:dyDescent="0.2"/>
    <row r="247" ht="16" x14ac:dyDescent="0.2"/>
    <row r="248" ht="16" x14ac:dyDescent="0.2"/>
    <row r="249" ht="16" x14ac:dyDescent="0.2"/>
    <row r="250" ht="16" x14ac:dyDescent="0.2"/>
    <row r="251" ht="16" x14ac:dyDescent="0.2"/>
    <row r="252" ht="16" x14ac:dyDescent="0.2"/>
    <row r="253" ht="16" x14ac:dyDescent="0.2"/>
    <row r="254" ht="16" x14ac:dyDescent="0.2"/>
    <row r="255" ht="16" x14ac:dyDescent="0.2"/>
    <row r="256" ht="16" x14ac:dyDescent="0.2"/>
    <row r="257" ht="16" x14ac:dyDescent="0.2"/>
    <row r="258" ht="16" x14ac:dyDescent="0.2"/>
    <row r="259" ht="16" x14ac:dyDescent="0.2"/>
    <row r="260" ht="16" x14ac:dyDescent="0.2"/>
    <row r="261" ht="16" x14ac:dyDescent="0.2"/>
    <row r="262" ht="16" x14ac:dyDescent="0.2"/>
    <row r="263" ht="16" x14ac:dyDescent="0.2"/>
    <row r="264" ht="16" x14ac:dyDescent="0.2"/>
    <row r="265" ht="16" x14ac:dyDescent="0.2"/>
    <row r="266" ht="16" x14ac:dyDescent="0.2"/>
    <row r="267" ht="16" x14ac:dyDescent="0.2"/>
    <row r="268" ht="16" x14ac:dyDescent="0.2"/>
    <row r="269" ht="16" x14ac:dyDescent="0.2"/>
    <row r="270" ht="16" x14ac:dyDescent="0.2"/>
    <row r="271" ht="16" x14ac:dyDescent="0.2"/>
    <row r="272" ht="16" x14ac:dyDescent="0.2"/>
    <row r="273" ht="16" x14ac:dyDescent="0.2"/>
    <row r="274" ht="16" x14ac:dyDescent="0.2"/>
    <row r="275" ht="16" x14ac:dyDescent="0.2"/>
    <row r="276" ht="16" x14ac:dyDescent="0.2"/>
    <row r="277" ht="16" x14ac:dyDescent="0.2"/>
    <row r="278" ht="16" x14ac:dyDescent="0.2"/>
    <row r="279" ht="16" x14ac:dyDescent="0.2"/>
    <row r="280" ht="16" x14ac:dyDescent="0.2"/>
    <row r="281" ht="16" x14ac:dyDescent="0.2"/>
    <row r="282" ht="16" x14ac:dyDescent="0.2"/>
    <row r="283" ht="16" x14ac:dyDescent="0.2"/>
    <row r="284" ht="16" x14ac:dyDescent="0.2"/>
    <row r="285" ht="16" x14ac:dyDescent="0.2"/>
    <row r="286" ht="16" x14ac:dyDescent="0.2"/>
    <row r="287" ht="16" x14ac:dyDescent="0.2"/>
    <row r="288" ht="16" x14ac:dyDescent="0.2"/>
    <row r="289" ht="16" x14ac:dyDescent="0.2"/>
    <row r="290" ht="16" x14ac:dyDescent="0.2"/>
    <row r="291" ht="16" x14ac:dyDescent="0.2"/>
    <row r="292" ht="16" x14ac:dyDescent="0.2"/>
    <row r="293" ht="16" x14ac:dyDescent="0.2"/>
    <row r="294" ht="16" x14ac:dyDescent="0.2"/>
    <row r="295" ht="16" x14ac:dyDescent="0.2"/>
    <row r="296" ht="16" x14ac:dyDescent="0.2"/>
    <row r="297" ht="16" x14ac:dyDescent="0.2"/>
    <row r="298" ht="16" x14ac:dyDescent="0.2"/>
    <row r="299" ht="16" x14ac:dyDescent="0.2"/>
    <row r="300" ht="16" x14ac:dyDescent="0.2"/>
    <row r="301" ht="16" x14ac:dyDescent="0.2"/>
    <row r="302" ht="16" x14ac:dyDescent="0.2"/>
    <row r="303" ht="16" x14ac:dyDescent="0.2"/>
    <row r="304" ht="16" x14ac:dyDescent="0.2"/>
    <row r="305" ht="16" x14ac:dyDescent="0.2"/>
    <row r="306" ht="16" x14ac:dyDescent="0.2"/>
    <row r="307" ht="16" x14ac:dyDescent="0.2"/>
    <row r="308" ht="16" x14ac:dyDescent="0.2"/>
    <row r="309" ht="16" x14ac:dyDescent="0.2"/>
    <row r="310" ht="16" x14ac:dyDescent="0.2"/>
    <row r="311" ht="16" x14ac:dyDescent="0.2"/>
    <row r="312" ht="16" x14ac:dyDescent="0.2"/>
    <row r="313" ht="16" x14ac:dyDescent="0.2"/>
    <row r="314" ht="16" x14ac:dyDescent="0.2"/>
    <row r="315" ht="16" x14ac:dyDescent="0.2"/>
    <row r="316" ht="16" x14ac:dyDescent="0.2"/>
    <row r="317" ht="16" x14ac:dyDescent="0.2"/>
    <row r="318" ht="16" x14ac:dyDescent="0.2"/>
    <row r="319" ht="16" x14ac:dyDescent="0.2"/>
    <row r="320" ht="16" x14ac:dyDescent="0.2"/>
    <row r="321" ht="16" x14ac:dyDescent="0.2"/>
    <row r="322" ht="16" x14ac:dyDescent="0.2"/>
    <row r="323" ht="16" x14ac:dyDescent="0.2"/>
    <row r="324" ht="16" x14ac:dyDescent="0.2"/>
    <row r="325" ht="16" x14ac:dyDescent="0.2"/>
    <row r="326" ht="16" x14ac:dyDescent="0.2"/>
    <row r="327" ht="16" x14ac:dyDescent="0.2"/>
    <row r="328" ht="16" x14ac:dyDescent="0.2"/>
    <row r="329" ht="16" x14ac:dyDescent="0.2"/>
    <row r="330" ht="16" x14ac:dyDescent="0.2"/>
    <row r="331" ht="16" x14ac:dyDescent="0.2"/>
    <row r="332" ht="16" x14ac:dyDescent="0.2"/>
    <row r="333" ht="16" x14ac:dyDescent="0.2"/>
    <row r="334" ht="16" x14ac:dyDescent="0.2"/>
    <row r="335" ht="16" x14ac:dyDescent="0.2"/>
    <row r="336" ht="16" x14ac:dyDescent="0.2"/>
    <row r="337" ht="16" x14ac:dyDescent="0.2"/>
    <row r="338" ht="16" x14ac:dyDescent="0.2"/>
    <row r="339" ht="16" x14ac:dyDescent="0.2"/>
    <row r="340" ht="16" x14ac:dyDescent="0.2"/>
    <row r="341" ht="16" x14ac:dyDescent="0.2"/>
    <row r="342" ht="16" x14ac:dyDescent="0.2"/>
    <row r="343" ht="16" x14ac:dyDescent="0.2"/>
    <row r="344" ht="16" x14ac:dyDescent="0.2"/>
    <row r="345" ht="16" x14ac:dyDescent="0.2"/>
    <row r="346" ht="16" x14ac:dyDescent="0.2"/>
    <row r="347" ht="16" x14ac:dyDescent="0.2"/>
    <row r="348" ht="16" x14ac:dyDescent="0.2"/>
    <row r="349" ht="16" x14ac:dyDescent="0.2"/>
    <row r="350" ht="16" x14ac:dyDescent="0.2"/>
    <row r="351" ht="16" x14ac:dyDescent="0.2"/>
    <row r="352" ht="16" x14ac:dyDescent="0.2"/>
    <row r="353" ht="16" x14ac:dyDescent="0.2"/>
    <row r="354" ht="16" x14ac:dyDescent="0.2"/>
    <row r="355" ht="16" x14ac:dyDescent="0.2"/>
    <row r="356" ht="16" x14ac:dyDescent="0.2"/>
    <row r="357" ht="16" x14ac:dyDescent="0.2"/>
    <row r="358" ht="16" x14ac:dyDescent="0.2"/>
    <row r="359" ht="16" x14ac:dyDescent="0.2"/>
    <row r="360" ht="16" x14ac:dyDescent="0.2"/>
    <row r="361" ht="16" x14ac:dyDescent="0.2"/>
    <row r="362" ht="16" x14ac:dyDescent="0.2"/>
    <row r="363" ht="16" x14ac:dyDescent="0.2"/>
    <row r="364" ht="16" x14ac:dyDescent="0.2"/>
    <row r="365" ht="16" x14ac:dyDescent="0.2"/>
    <row r="366" ht="16" x14ac:dyDescent="0.2"/>
    <row r="367" ht="16" x14ac:dyDescent="0.2"/>
    <row r="368" ht="16" x14ac:dyDescent="0.2"/>
    <row r="369" ht="16" x14ac:dyDescent="0.2"/>
    <row r="370" ht="16" x14ac:dyDescent="0.2"/>
    <row r="371" ht="16" x14ac:dyDescent="0.2"/>
    <row r="372" ht="16" x14ac:dyDescent="0.2"/>
    <row r="373" ht="16" x14ac:dyDescent="0.2"/>
    <row r="374" ht="16" x14ac:dyDescent="0.2"/>
    <row r="375" ht="16" x14ac:dyDescent="0.2"/>
    <row r="376" ht="16" x14ac:dyDescent="0.2"/>
    <row r="377" ht="16" x14ac:dyDescent="0.2"/>
    <row r="378" ht="16" x14ac:dyDescent="0.2"/>
    <row r="379" ht="16" x14ac:dyDescent="0.2"/>
    <row r="380" ht="16" x14ac:dyDescent="0.2"/>
    <row r="381" ht="16" x14ac:dyDescent="0.2"/>
    <row r="382" ht="16" x14ac:dyDescent="0.2"/>
    <row r="383" ht="16" x14ac:dyDescent="0.2"/>
    <row r="384" ht="16" x14ac:dyDescent="0.2"/>
    <row r="385" ht="16" x14ac:dyDescent="0.2"/>
    <row r="386" ht="16" x14ac:dyDescent="0.2"/>
    <row r="387" ht="16" x14ac:dyDescent="0.2"/>
    <row r="388" ht="16" x14ac:dyDescent="0.2"/>
    <row r="389" ht="16" x14ac:dyDescent="0.2"/>
    <row r="390" ht="16" x14ac:dyDescent="0.2"/>
    <row r="391" ht="16" x14ac:dyDescent="0.2"/>
    <row r="392" ht="16" x14ac:dyDescent="0.2"/>
    <row r="393" ht="16" x14ac:dyDescent="0.2"/>
    <row r="394" ht="16" x14ac:dyDescent="0.2"/>
    <row r="395" ht="16" x14ac:dyDescent="0.2"/>
    <row r="396" ht="16" x14ac:dyDescent="0.2"/>
    <row r="397" ht="16" x14ac:dyDescent="0.2"/>
    <row r="398" ht="16" x14ac:dyDescent="0.2"/>
    <row r="399" ht="16" x14ac:dyDescent="0.2"/>
    <row r="400" ht="16" x14ac:dyDescent="0.2"/>
    <row r="401" ht="16" x14ac:dyDescent="0.2"/>
    <row r="402" ht="16" x14ac:dyDescent="0.2"/>
    <row r="403" ht="16" x14ac:dyDescent="0.2"/>
    <row r="404" ht="16" x14ac:dyDescent="0.2"/>
    <row r="405" ht="16" x14ac:dyDescent="0.2"/>
    <row r="406" ht="16" x14ac:dyDescent="0.2"/>
    <row r="407" ht="16" x14ac:dyDescent="0.2"/>
    <row r="408" ht="16" x14ac:dyDescent="0.2"/>
    <row r="409" ht="16" x14ac:dyDescent="0.2"/>
    <row r="410" ht="16" x14ac:dyDescent="0.2"/>
    <row r="411" ht="16" x14ac:dyDescent="0.2"/>
    <row r="412" ht="16" x14ac:dyDescent="0.2"/>
    <row r="413" ht="16" x14ac:dyDescent="0.2"/>
    <row r="414" ht="16" x14ac:dyDescent="0.2"/>
    <row r="415" ht="16" x14ac:dyDescent="0.2"/>
    <row r="416" ht="16" x14ac:dyDescent="0.2"/>
    <row r="417" ht="16" x14ac:dyDescent="0.2"/>
    <row r="418" ht="16" x14ac:dyDescent="0.2"/>
    <row r="419" ht="16" x14ac:dyDescent="0.2"/>
    <row r="420" ht="16" x14ac:dyDescent="0.2"/>
    <row r="421" ht="16" x14ac:dyDescent="0.2"/>
    <row r="422" ht="16" x14ac:dyDescent="0.2"/>
    <row r="423" ht="16" x14ac:dyDescent="0.2"/>
    <row r="424" ht="16" x14ac:dyDescent="0.2"/>
    <row r="425" ht="16" x14ac:dyDescent="0.2"/>
    <row r="426" ht="16" x14ac:dyDescent="0.2"/>
    <row r="427" ht="16" x14ac:dyDescent="0.2"/>
    <row r="428" ht="16" x14ac:dyDescent="0.2"/>
    <row r="429" ht="16" x14ac:dyDescent="0.2"/>
    <row r="430" ht="16" x14ac:dyDescent="0.2"/>
    <row r="431" ht="16" x14ac:dyDescent="0.2"/>
    <row r="432" ht="16" x14ac:dyDescent="0.2"/>
    <row r="433" ht="16" x14ac:dyDescent="0.2"/>
    <row r="434" ht="16" x14ac:dyDescent="0.2"/>
    <row r="435" ht="16" x14ac:dyDescent="0.2"/>
    <row r="436" ht="16" x14ac:dyDescent="0.2"/>
    <row r="437" ht="16" x14ac:dyDescent="0.2"/>
    <row r="438" ht="16" x14ac:dyDescent="0.2"/>
    <row r="439" ht="16" x14ac:dyDescent="0.2"/>
    <row r="440" ht="16" x14ac:dyDescent="0.2"/>
    <row r="441" ht="16" x14ac:dyDescent="0.2"/>
    <row r="442" ht="16" x14ac:dyDescent="0.2"/>
    <row r="443" ht="16" x14ac:dyDescent="0.2"/>
    <row r="444" ht="16" x14ac:dyDescent="0.2"/>
    <row r="445" ht="16" x14ac:dyDescent="0.2"/>
    <row r="446" ht="16" x14ac:dyDescent="0.2"/>
    <row r="447" ht="16" x14ac:dyDescent="0.2"/>
    <row r="448" ht="16" x14ac:dyDescent="0.2"/>
    <row r="449" ht="16" x14ac:dyDescent="0.2"/>
    <row r="450" ht="16" x14ac:dyDescent="0.2"/>
    <row r="451" ht="16" x14ac:dyDescent="0.2"/>
    <row r="452" ht="16" x14ac:dyDescent="0.2"/>
    <row r="453" ht="16" x14ac:dyDescent="0.2"/>
    <row r="454" ht="16" x14ac:dyDescent="0.2"/>
    <row r="455" ht="16" x14ac:dyDescent="0.2"/>
    <row r="456" ht="16" x14ac:dyDescent="0.2"/>
    <row r="457" ht="16" x14ac:dyDescent="0.2"/>
    <row r="458" ht="16" x14ac:dyDescent="0.2"/>
    <row r="459" ht="16" x14ac:dyDescent="0.2"/>
    <row r="460" ht="16" x14ac:dyDescent="0.2"/>
    <row r="461" ht="16" x14ac:dyDescent="0.2"/>
    <row r="462" ht="16" x14ac:dyDescent="0.2"/>
    <row r="463" ht="16" x14ac:dyDescent="0.2"/>
    <row r="464" ht="16" x14ac:dyDescent="0.2"/>
    <row r="465" ht="16" x14ac:dyDescent="0.2"/>
    <row r="466" ht="16" x14ac:dyDescent="0.2"/>
    <row r="467" ht="16" x14ac:dyDescent="0.2"/>
    <row r="468" ht="16" x14ac:dyDescent="0.2"/>
    <row r="469" ht="16" x14ac:dyDescent="0.2"/>
    <row r="470" ht="16" x14ac:dyDescent="0.2"/>
    <row r="471" ht="16" x14ac:dyDescent="0.2"/>
    <row r="472" ht="16" x14ac:dyDescent="0.2"/>
    <row r="473" ht="16" x14ac:dyDescent="0.2"/>
    <row r="474" ht="16" x14ac:dyDescent="0.2"/>
    <row r="475" ht="16" x14ac:dyDescent="0.2"/>
    <row r="476" ht="16" x14ac:dyDescent="0.2"/>
    <row r="477" ht="16" x14ac:dyDescent="0.2"/>
    <row r="478" ht="16" x14ac:dyDescent="0.2"/>
    <row r="479" ht="16" x14ac:dyDescent="0.2"/>
    <row r="480" ht="16" x14ac:dyDescent="0.2"/>
    <row r="481" ht="16" x14ac:dyDescent="0.2"/>
    <row r="482" ht="16" x14ac:dyDescent="0.2"/>
    <row r="483" ht="16" x14ac:dyDescent="0.2"/>
    <row r="484" ht="16" x14ac:dyDescent="0.2"/>
    <row r="485" ht="16" x14ac:dyDescent="0.2"/>
    <row r="486" ht="16" x14ac:dyDescent="0.2"/>
    <row r="487" ht="16" x14ac:dyDescent="0.2"/>
    <row r="488" ht="16" x14ac:dyDescent="0.2"/>
    <row r="489" ht="16" x14ac:dyDescent="0.2"/>
    <row r="490" ht="16" x14ac:dyDescent="0.2"/>
    <row r="491" ht="16" x14ac:dyDescent="0.2"/>
    <row r="492" ht="16" x14ac:dyDescent="0.2"/>
    <row r="493" ht="16" x14ac:dyDescent="0.2"/>
    <row r="494" ht="16" x14ac:dyDescent="0.2"/>
    <row r="495" ht="16" x14ac:dyDescent="0.2"/>
    <row r="496" ht="16" x14ac:dyDescent="0.2"/>
    <row r="497" ht="16" x14ac:dyDescent="0.2"/>
    <row r="498" ht="16" x14ac:dyDescent="0.2"/>
    <row r="499" ht="16" x14ac:dyDescent="0.2"/>
    <row r="500" ht="16" x14ac:dyDescent="0.2"/>
    <row r="501" ht="16" x14ac:dyDescent="0.2"/>
    <row r="502" ht="16" x14ac:dyDescent="0.2"/>
    <row r="503" ht="16" x14ac:dyDescent="0.2"/>
    <row r="504" ht="16" x14ac:dyDescent="0.2"/>
    <row r="505" ht="16" x14ac:dyDescent="0.2"/>
    <row r="506" ht="16" x14ac:dyDescent="0.2"/>
    <row r="507" ht="16" x14ac:dyDescent="0.2"/>
    <row r="508" ht="16" x14ac:dyDescent="0.2"/>
    <row r="509" ht="16" x14ac:dyDescent="0.2"/>
    <row r="510" ht="16" x14ac:dyDescent="0.2"/>
    <row r="511" ht="16" x14ac:dyDescent="0.2"/>
    <row r="512" ht="16" x14ac:dyDescent="0.2"/>
    <row r="513" ht="16" x14ac:dyDescent="0.2"/>
    <row r="514" ht="16" x14ac:dyDescent="0.2"/>
    <row r="515" ht="16" x14ac:dyDescent="0.2"/>
    <row r="516" ht="16" x14ac:dyDescent="0.2"/>
    <row r="517" ht="16" x14ac:dyDescent="0.2"/>
    <row r="518" ht="16" x14ac:dyDescent="0.2"/>
    <row r="519" ht="16" x14ac:dyDescent="0.2"/>
    <row r="520" ht="16" x14ac:dyDescent="0.2"/>
    <row r="521" ht="16" x14ac:dyDescent="0.2"/>
    <row r="522" ht="16" x14ac:dyDescent="0.2"/>
    <row r="523" ht="16" x14ac:dyDescent="0.2"/>
    <row r="524" ht="16" x14ac:dyDescent="0.2"/>
    <row r="525" ht="16" x14ac:dyDescent="0.2"/>
    <row r="526" ht="16" x14ac:dyDescent="0.2"/>
    <row r="527" ht="16" x14ac:dyDescent="0.2"/>
    <row r="528" ht="16" x14ac:dyDescent="0.2"/>
    <row r="529" ht="16" x14ac:dyDescent="0.2"/>
    <row r="530" ht="16" x14ac:dyDescent="0.2"/>
    <row r="531" ht="16" x14ac:dyDescent="0.2"/>
    <row r="532" ht="16" x14ac:dyDescent="0.2"/>
    <row r="533" ht="16" x14ac:dyDescent="0.2"/>
    <row r="534" ht="16" x14ac:dyDescent="0.2"/>
    <row r="535" ht="16" x14ac:dyDescent="0.2"/>
    <row r="536" ht="16" x14ac:dyDescent="0.2"/>
    <row r="537" ht="16" x14ac:dyDescent="0.2"/>
    <row r="538" ht="16" x14ac:dyDescent="0.2"/>
    <row r="539" ht="16" x14ac:dyDescent="0.2"/>
    <row r="540" ht="16" x14ac:dyDescent="0.2"/>
    <row r="541" ht="16" x14ac:dyDescent="0.2"/>
    <row r="542" ht="16" x14ac:dyDescent="0.2"/>
    <row r="543" ht="16" x14ac:dyDescent="0.2"/>
    <row r="544" ht="16" x14ac:dyDescent="0.2"/>
    <row r="545" ht="16" x14ac:dyDescent="0.2"/>
    <row r="546" ht="16" x14ac:dyDescent="0.2"/>
    <row r="547" ht="16" x14ac:dyDescent="0.2"/>
    <row r="548" ht="16" x14ac:dyDescent="0.2"/>
    <row r="549" ht="16" x14ac:dyDescent="0.2"/>
    <row r="550" ht="16" x14ac:dyDescent="0.2"/>
    <row r="551" ht="16" x14ac:dyDescent="0.2"/>
    <row r="552" ht="16" x14ac:dyDescent="0.2"/>
    <row r="553" ht="16" x14ac:dyDescent="0.2"/>
    <row r="554" ht="16" x14ac:dyDescent="0.2"/>
    <row r="555" ht="16" x14ac:dyDescent="0.2"/>
    <row r="556" ht="16" x14ac:dyDescent="0.2"/>
    <row r="557" ht="16" x14ac:dyDescent="0.2"/>
    <row r="558" ht="16" x14ac:dyDescent="0.2"/>
    <row r="559" ht="16" x14ac:dyDescent="0.2"/>
    <row r="560" ht="16" x14ac:dyDescent="0.2"/>
    <row r="561" ht="16" x14ac:dyDescent="0.2"/>
    <row r="562" ht="16" x14ac:dyDescent="0.2"/>
    <row r="563" ht="16" x14ac:dyDescent="0.2"/>
    <row r="564" ht="16" x14ac:dyDescent="0.2"/>
    <row r="565" ht="16" x14ac:dyDescent="0.2"/>
    <row r="566" ht="16" x14ac:dyDescent="0.2"/>
    <row r="567" ht="16" x14ac:dyDescent="0.2"/>
    <row r="568" ht="16" x14ac:dyDescent="0.2"/>
    <row r="569" ht="16" x14ac:dyDescent="0.2"/>
    <row r="570" ht="16" x14ac:dyDescent="0.2"/>
    <row r="571" ht="16" x14ac:dyDescent="0.2"/>
    <row r="572" ht="16" x14ac:dyDescent="0.2"/>
    <row r="573" ht="16" x14ac:dyDescent="0.2"/>
    <row r="574" ht="16" x14ac:dyDescent="0.2"/>
    <row r="575" ht="16" x14ac:dyDescent="0.2"/>
    <row r="576" ht="16" x14ac:dyDescent="0.2"/>
    <row r="577" ht="16" x14ac:dyDescent="0.2"/>
    <row r="578" ht="16" x14ac:dyDescent="0.2"/>
    <row r="579" ht="16" x14ac:dyDescent="0.2"/>
    <row r="580" ht="16" x14ac:dyDescent="0.2"/>
    <row r="581" ht="16" x14ac:dyDescent="0.2"/>
    <row r="582" ht="16" x14ac:dyDescent="0.2"/>
    <row r="583" ht="16" x14ac:dyDescent="0.2"/>
    <row r="584" ht="16" x14ac:dyDescent="0.2"/>
    <row r="585" ht="16" x14ac:dyDescent="0.2"/>
    <row r="586" ht="16" x14ac:dyDescent="0.2"/>
    <row r="587" ht="16" x14ac:dyDescent="0.2"/>
    <row r="588" ht="16" x14ac:dyDescent="0.2"/>
    <row r="589" ht="16" x14ac:dyDescent="0.2"/>
    <row r="590" ht="16" x14ac:dyDescent="0.2"/>
    <row r="591" ht="16" x14ac:dyDescent="0.2"/>
    <row r="592" ht="16" x14ac:dyDescent="0.2"/>
    <row r="593" ht="16" x14ac:dyDescent="0.2"/>
    <row r="594" ht="16" x14ac:dyDescent="0.2"/>
    <row r="595" ht="16" x14ac:dyDescent="0.2"/>
    <row r="596" ht="16" x14ac:dyDescent="0.2"/>
    <row r="597" ht="16" x14ac:dyDescent="0.2"/>
    <row r="598" ht="16" x14ac:dyDescent="0.2"/>
    <row r="599" ht="16" x14ac:dyDescent="0.2"/>
    <row r="600" ht="16" x14ac:dyDescent="0.2"/>
    <row r="601" ht="16" x14ac:dyDescent="0.2"/>
    <row r="602" ht="16" x14ac:dyDescent="0.2"/>
    <row r="603" ht="16" x14ac:dyDescent="0.2"/>
    <row r="604" ht="16" x14ac:dyDescent="0.2"/>
    <row r="605" ht="16" x14ac:dyDescent="0.2"/>
    <row r="606" ht="16" x14ac:dyDescent="0.2"/>
    <row r="607" ht="16" x14ac:dyDescent="0.2"/>
    <row r="608" ht="16" x14ac:dyDescent="0.2"/>
    <row r="609" ht="16" x14ac:dyDescent="0.2"/>
    <row r="610" ht="16" x14ac:dyDescent="0.2"/>
    <row r="611" ht="16" x14ac:dyDescent="0.2"/>
    <row r="612" ht="16" x14ac:dyDescent="0.2"/>
    <row r="613" ht="16" x14ac:dyDescent="0.2"/>
    <row r="614" ht="16" x14ac:dyDescent="0.2"/>
    <row r="615" ht="16" x14ac:dyDescent="0.2"/>
    <row r="616" ht="16" x14ac:dyDescent="0.2"/>
    <row r="617" ht="16" x14ac:dyDescent="0.2"/>
    <row r="618" ht="16" x14ac:dyDescent="0.2"/>
    <row r="619" ht="16" x14ac:dyDescent="0.2"/>
    <row r="620" ht="16" x14ac:dyDescent="0.2"/>
    <row r="621" ht="16" x14ac:dyDescent="0.2"/>
    <row r="622" ht="16" x14ac:dyDescent="0.2"/>
    <row r="623" ht="16" x14ac:dyDescent="0.2"/>
    <row r="624" ht="16" x14ac:dyDescent="0.2"/>
    <row r="625" ht="16" x14ac:dyDescent="0.2"/>
    <row r="626" ht="16" x14ac:dyDescent="0.2"/>
    <row r="627" ht="16" x14ac:dyDescent="0.2"/>
    <row r="628" ht="16" x14ac:dyDescent="0.2"/>
    <row r="629" ht="16" x14ac:dyDescent="0.2"/>
    <row r="630" ht="16" x14ac:dyDescent="0.2"/>
    <row r="631" ht="16" x14ac:dyDescent="0.2"/>
    <row r="632" ht="16" x14ac:dyDescent="0.2"/>
    <row r="633" ht="16" x14ac:dyDescent="0.2"/>
    <row r="634" ht="16" x14ac:dyDescent="0.2"/>
    <row r="635" ht="16" x14ac:dyDescent="0.2"/>
    <row r="636" ht="16" x14ac:dyDescent="0.2"/>
    <row r="637" ht="16" x14ac:dyDescent="0.2"/>
    <row r="638" ht="16" x14ac:dyDescent="0.2"/>
    <row r="639" ht="16" x14ac:dyDescent="0.2"/>
    <row r="640" ht="16" x14ac:dyDescent="0.2"/>
    <row r="641" ht="16" x14ac:dyDescent="0.2"/>
    <row r="642" ht="16" x14ac:dyDescent="0.2"/>
    <row r="643" ht="16" x14ac:dyDescent="0.2"/>
    <row r="644" ht="16" x14ac:dyDescent="0.2"/>
    <row r="645" ht="16" x14ac:dyDescent="0.2"/>
    <row r="646" ht="16" x14ac:dyDescent="0.2"/>
    <row r="647" ht="16" x14ac:dyDescent="0.2"/>
    <row r="648" ht="16" x14ac:dyDescent="0.2"/>
    <row r="649" ht="16" x14ac:dyDescent="0.2"/>
    <row r="650" ht="16" x14ac:dyDescent="0.2"/>
    <row r="651" ht="16" x14ac:dyDescent="0.2"/>
    <row r="652" ht="16" x14ac:dyDescent="0.2"/>
    <row r="653" ht="16" x14ac:dyDescent="0.2"/>
    <row r="654" ht="16" x14ac:dyDescent="0.2"/>
    <row r="655" ht="16" x14ac:dyDescent="0.2"/>
    <row r="656" ht="16" x14ac:dyDescent="0.2"/>
    <row r="657" ht="16" x14ac:dyDescent="0.2"/>
    <row r="658" ht="16" x14ac:dyDescent="0.2"/>
    <row r="659" ht="16" x14ac:dyDescent="0.2"/>
    <row r="660" ht="16" x14ac:dyDescent="0.2"/>
    <row r="661" ht="16" x14ac:dyDescent="0.2"/>
    <row r="662" ht="16" x14ac:dyDescent="0.2"/>
    <row r="663" ht="16" x14ac:dyDescent="0.2"/>
    <row r="664" ht="16" x14ac:dyDescent="0.2"/>
    <row r="665" ht="16" x14ac:dyDescent="0.2"/>
    <row r="666" ht="16" x14ac:dyDescent="0.2"/>
    <row r="667" ht="16" x14ac:dyDescent="0.2"/>
    <row r="668" ht="16" x14ac:dyDescent="0.2"/>
    <row r="669" ht="16" x14ac:dyDescent="0.2"/>
    <row r="670" ht="16" x14ac:dyDescent="0.2"/>
    <row r="671" ht="16" x14ac:dyDescent="0.2"/>
    <row r="672" ht="16" x14ac:dyDescent="0.2"/>
    <row r="673" ht="16" x14ac:dyDescent="0.2"/>
    <row r="674" ht="16" x14ac:dyDescent="0.2"/>
    <row r="675" ht="16" x14ac:dyDescent="0.2"/>
    <row r="676" ht="16" x14ac:dyDescent="0.2"/>
    <row r="677" ht="16" x14ac:dyDescent="0.2"/>
    <row r="678" ht="16" x14ac:dyDescent="0.2"/>
    <row r="679" ht="16" x14ac:dyDescent="0.2"/>
    <row r="680" ht="16" x14ac:dyDescent="0.2"/>
    <row r="681" ht="16" x14ac:dyDescent="0.2"/>
    <row r="682" ht="16" x14ac:dyDescent="0.2"/>
    <row r="683" ht="16" x14ac:dyDescent="0.2"/>
    <row r="684" ht="16" x14ac:dyDescent="0.2"/>
    <row r="685" ht="16" x14ac:dyDescent="0.2"/>
    <row r="686" ht="16" x14ac:dyDescent="0.2"/>
    <row r="687" ht="16" x14ac:dyDescent="0.2"/>
    <row r="688" ht="16" x14ac:dyDescent="0.2"/>
    <row r="689" ht="16" x14ac:dyDescent="0.2"/>
    <row r="690" ht="16" x14ac:dyDescent="0.2"/>
    <row r="691" ht="16" x14ac:dyDescent="0.2"/>
    <row r="692" ht="16" x14ac:dyDescent="0.2"/>
    <row r="693" ht="16" x14ac:dyDescent="0.2"/>
    <row r="694" ht="16" x14ac:dyDescent="0.2"/>
    <row r="695" ht="16" x14ac:dyDescent="0.2"/>
    <row r="696" ht="16" x14ac:dyDescent="0.2"/>
    <row r="697" ht="16" x14ac:dyDescent="0.2"/>
    <row r="698" ht="16" x14ac:dyDescent="0.2"/>
    <row r="699" ht="16" x14ac:dyDescent="0.2"/>
    <row r="700" ht="16" x14ac:dyDescent="0.2"/>
    <row r="701" ht="16" x14ac:dyDescent="0.2"/>
    <row r="702" ht="16" x14ac:dyDescent="0.2"/>
    <row r="703" ht="16" x14ac:dyDescent="0.2"/>
    <row r="704" ht="16" x14ac:dyDescent="0.2"/>
    <row r="705" ht="16" x14ac:dyDescent="0.2"/>
    <row r="706" ht="16" x14ac:dyDescent="0.2"/>
    <row r="707" ht="16" x14ac:dyDescent="0.2"/>
    <row r="708" ht="16" x14ac:dyDescent="0.2"/>
    <row r="709" ht="16" x14ac:dyDescent="0.2"/>
    <row r="710" ht="16" x14ac:dyDescent="0.2"/>
    <row r="711" ht="16" x14ac:dyDescent="0.2"/>
    <row r="712" ht="16" x14ac:dyDescent="0.2"/>
    <row r="713" ht="16" x14ac:dyDescent="0.2"/>
    <row r="714" ht="16" x14ac:dyDescent="0.2"/>
    <row r="715" ht="16" x14ac:dyDescent="0.2"/>
    <row r="716" ht="16" x14ac:dyDescent="0.2"/>
    <row r="717" ht="16" x14ac:dyDescent="0.2"/>
    <row r="718" ht="16" x14ac:dyDescent="0.2"/>
    <row r="719" ht="16" x14ac:dyDescent="0.2"/>
    <row r="720" ht="16" x14ac:dyDescent="0.2"/>
    <row r="721" ht="16" x14ac:dyDescent="0.2"/>
    <row r="722" ht="16" x14ac:dyDescent="0.2"/>
    <row r="723" ht="16" x14ac:dyDescent="0.2"/>
    <row r="724" ht="16" x14ac:dyDescent="0.2"/>
    <row r="725" ht="16" x14ac:dyDescent="0.2"/>
    <row r="726" ht="16" x14ac:dyDescent="0.2"/>
    <row r="727" ht="16" x14ac:dyDescent="0.2"/>
    <row r="728" ht="16" x14ac:dyDescent="0.2"/>
    <row r="729" ht="16" x14ac:dyDescent="0.2"/>
    <row r="730" ht="16" x14ac:dyDescent="0.2"/>
    <row r="731" ht="16" x14ac:dyDescent="0.2"/>
    <row r="732" ht="16" x14ac:dyDescent="0.2"/>
    <row r="733" ht="16" x14ac:dyDescent="0.2"/>
    <row r="734" ht="16" x14ac:dyDescent="0.2"/>
    <row r="735" ht="16" x14ac:dyDescent="0.2"/>
    <row r="736" ht="16" x14ac:dyDescent="0.2"/>
    <row r="737" ht="16" x14ac:dyDescent="0.2"/>
    <row r="738" ht="16" x14ac:dyDescent="0.2"/>
    <row r="739" ht="16" x14ac:dyDescent="0.2"/>
    <row r="740" ht="16" x14ac:dyDescent="0.2"/>
    <row r="741" ht="16" x14ac:dyDescent="0.2"/>
    <row r="742" ht="16" x14ac:dyDescent="0.2"/>
    <row r="743" ht="16" x14ac:dyDescent="0.2"/>
    <row r="744" ht="16" x14ac:dyDescent="0.2"/>
    <row r="745" ht="16" x14ac:dyDescent="0.2"/>
    <row r="746" ht="16" x14ac:dyDescent="0.2"/>
    <row r="747" ht="16" x14ac:dyDescent="0.2"/>
    <row r="748" ht="16" x14ac:dyDescent="0.2"/>
    <row r="749" ht="16" x14ac:dyDescent="0.2"/>
    <row r="750" ht="16" x14ac:dyDescent="0.2"/>
    <row r="751" ht="16" x14ac:dyDescent="0.2"/>
    <row r="752" ht="16" x14ac:dyDescent="0.2"/>
    <row r="753" ht="16" x14ac:dyDescent="0.2"/>
    <row r="754" ht="16" x14ac:dyDescent="0.2"/>
    <row r="755" ht="16" x14ac:dyDescent="0.2"/>
    <row r="756" ht="16" x14ac:dyDescent="0.2"/>
    <row r="757" ht="16" x14ac:dyDescent="0.2"/>
    <row r="758" ht="16" x14ac:dyDescent="0.2"/>
    <row r="759" ht="16" x14ac:dyDescent="0.2"/>
    <row r="760" ht="16" x14ac:dyDescent="0.2"/>
    <row r="761" ht="16" x14ac:dyDescent="0.2"/>
    <row r="762" ht="16" x14ac:dyDescent="0.2"/>
    <row r="763" ht="16" x14ac:dyDescent="0.2"/>
    <row r="764" ht="16" x14ac:dyDescent="0.2"/>
    <row r="765" ht="16" x14ac:dyDescent="0.2"/>
    <row r="766" ht="16" x14ac:dyDescent="0.2"/>
    <row r="767" ht="16" x14ac:dyDescent="0.2"/>
    <row r="768" ht="16" x14ac:dyDescent="0.2"/>
    <row r="769" ht="16" x14ac:dyDescent="0.2"/>
    <row r="770" ht="16" x14ac:dyDescent="0.2"/>
    <row r="771" ht="16" x14ac:dyDescent="0.2"/>
    <row r="772" ht="16" x14ac:dyDescent="0.2"/>
    <row r="773" ht="16" x14ac:dyDescent="0.2"/>
    <row r="774" ht="16" x14ac:dyDescent="0.2"/>
    <row r="775" ht="16" x14ac:dyDescent="0.2"/>
    <row r="776" ht="16" x14ac:dyDescent="0.2"/>
    <row r="777" ht="16" x14ac:dyDescent="0.2"/>
    <row r="778" ht="16" x14ac:dyDescent="0.2"/>
    <row r="779" ht="16" x14ac:dyDescent="0.2"/>
    <row r="780" ht="16" x14ac:dyDescent="0.2"/>
    <row r="781" ht="16" x14ac:dyDescent="0.2"/>
    <row r="782" ht="16" x14ac:dyDescent="0.2"/>
    <row r="783" ht="16" x14ac:dyDescent="0.2"/>
    <row r="784" ht="16" x14ac:dyDescent="0.2"/>
    <row r="785" ht="16" x14ac:dyDescent="0.2"/>
    <row r="786" ht="16" x14ac:dyDescent="0.2"/>
    <row r="787" ht="16" x14ac:dyDescent="0.2"/>
    <row r="788" ht="16" x14ac:dyDescent="0.2"/>
    <row r="789" ht="16" x14ac:dyDescent="0.2"/>
    <row r="790" ht="16" x14ac:dyDescent="0.2"/>
    <row r="791" ht="16" x14ac:dyDescent="0.2"/>
    <row r="792" ht="16" x14ac:dyDescent="0.2"/>
    <row r="793" ht="16" x14ac:dyDescent="0.2"/>
    <row r="794" ht="16" x14ac:dyDescent="0.2"/>
    <row r="795" ht="16" x14ac:dyDescent="0.2"/>
    <row r="796" ht="16" x14ac:dyDescent="0.2"/>
    <row r="797" ht="16" x14ac:dyDescent="0.2"/>
    <row r="798" ht="16" x14ac:dyDescent="0.2"/>
    <row r="799" ht="16" x14ac:dyDescent="0.2"/>
    <row r="800" ht="16" x14ac:dyDescent="0.2"/>
    <row r="801" ht="16" x14ac:dyDescent="0.2"/>
    <row r="802" ht="16" x14ac:dyDescent="0.2"/>
    <row r="803" ht="16" x14ac:dyDescent="0.2"/>
    <row r="804" ht="16" x14ac:dyDescent="0.2"/>
    <row r="805" ht="16" x14ac:dyDescent="0.2"/>
    <row r="806" ht="16" x14ac:dyDescent="0.2"/>
    <row r="807" ht="16" x14ac:dyDescent="0.2"/>
    <row r="808" ht="16" x14ac:dyDescent="0.2"/>
    <row r="809" ht="16" x14ac:dyDescent="0.2"/>
    <row r="810" ht="16" x14ac:dyDescent="0.2"/>
    <row r="811" ht="16" x14ac:dyDescent="0.2"/>
    <row r="812" ht="16" x14ac:dyDescent="0.2"/>
    <row r="813" ht="16" x14ac:dyDescent="0.2"/>
    <row r="814" ht="16" x14ac:dyDescent="0.2"/>
    <row r="815" ht="16" x14ac:dyDescent="0.2"/>
    <row r="816" ht="16" x14ac:dyDescent="0.2"/>
    <row r="817" ht="16" x14ac:dyDescent="0.2"/>
    <row r="818" ht="16" x14ac:dyDescent="0.2"/>
    <row r="819" ht="16" x14ac:dyDescent="0.2"/>
    <row r="820" ht="16" x14ac:dyDescent="0.2"/>
    <row r="821" ht="16" x14ac:dyDescent="0.2"/>
    <row r="822" ht="16" x14ac:dyDescent="0.2"/>
    <row r="823" ht="16" x14ac:dyDescent="0.2"/>
    <row r="824" ht="16" x14ac:dyDescent="0.2"/>
    <row r="825" ht="16" x14ac:dyDescent="0.2"/>
    <row r="826" ht="16" x14ac:dyDescent="0.2"/>
    <row r="827" ht="16" x14ac:dyDescent="0.2"/>
    <row r="828" ht="16" x14ac:dyDescent="0.2"/>
    <row r="829" ht="16" x14ac:dyDescent="0.2"/>
    <row r="830" ht="16" x14ac:dyDescent="0.2"/>
    <row r="831" ht="16" x14ac:dyDescent="0.2"/>
    <row r="832" ht="16" x14ac:dyDescent="0.2"/>
    <row r="833" ht="16" x14ac:dyDescent="0.2"/>
    <row r="834" ht="16" x14ac:dyDescent="0.2"/>
    <row r="835" ht="16" x14ac:dyDescent="0.2"/>
    <row r="836" ht="16" x14ac:dyDescent="0.2"/>
    <row r="837" ht="16" x14ac:dyDescent="0.2"/>
    <row r="838" ht="16" x14ac:dyDescent="0.2"/>
    <row r="839" ht="16" x14ac:dyDescent="0.2"/>
    <row r="840" ht="16" x14ac:dyDescent="0.2"/>
    <row r="841" ht="16" x14ac:dyDescent="0.2"/>
    <row r="842" ht="16" x14ac:dyDescent="0.2"/>
    <row r="843" ht="16" x14ac:dyDescent="0.2"/>
    <row r="844" ht="16" x14ac:dyDescent="0.2"/>
    <row r="845" ht="16" x14ac:dyDescent="0.2"/>
    <row r="846" ht="16" x14ac:dyDescent="0.2"/>
    <row r="847" ht="16" x14ac:dyDescent="0.2"/>
    <row r="848" ht="16" x14ac:dyDescent="0.2"/>
    <row r="849" ht="16" x14ac:dyDescent="0.2"/>
    <row r="850" ht="16" x14ac:dyDescent="0.2"/>
    <row r="851" ht="16" x14ac:dyDescent="0.2"/>
    <row r="852" ht="16" x14ac:dyDescent="0.2"/>
    <row r="853" ht="16" x14ac:dyDescent="0.2"/>
    <row r="854" ht="16" x14ac:dyDescent="0.2"/>
    <row r="855" ht="16" x14ac:dyDescent="0.2"/>
    <row r="856" ht="16" x14ac:dyDescent="0.2"/>
    <row r="857" ht="16" x14ac:dyDescent="0.2"/>
    <row r="858" ht="16" x14ac:dyDescent="0.2"/>
    <row r="859" ht="16" x14ac:dyDescent="0.2"/>
    <row r="860" ht="16" x14ac:dyDescent="0.2"/>
    <row r="861" ht="16" x14ac:dyDescent="0.2"/>
    <row r="862" ht="16" x14ac:dyDescent="0.2"/>
    <row r="863" ht="16" x14ac:dyDescent="0.2"/>
    <row r="864" ht="16" x14ac:dyDescent="0.2"/>
    <row r="865" ht="16" x14ac:dyDescent="0.2"/>
    <row r="866" ht="16" x14ac:dyDescent="0.2"/>
    <row r="867" ht="16" x14ac:dyDescent="0.2"/>
    <row r="868" ht="16" x14ac:dyDescent="0.2"/>
    <row r="869" ht="16" x14ac:dyDescent="0.2"/>
    <row r="870" ht="16" x14ac:dyDescent="0.2"/>
    <row r="871" ht="16" x14ac:dyDescent="0.2"/>
    <row r="872" ht="16" x14ac:dyDescent="0.2"/>
    <row r="873" ht="16" x14ac:dyDescent="0.2"/>
    <row r="874" ht="16" x14ac:dyDescent="0.2"/>
    <row r="875" ht="16" x14ac:dyDescent="0.2"/>
    <row r="876" ht="16" x14ac:dyDescent="0.2"/>
    <row r="877" ht="16" x14ac:dyDescent="0.2"/>
    <row r="878" ht="16" x14ac:dyDescent="0.2"/>
    <row r="879" ht="16" x14ac:dyDescent="0.2"/>
    <row r="880" ht="16" x14ac:dyDescent="0.2"/>
    <row r="881" ht="16" x14ac:dyDescent="0.2"/>
    <row r="882" ht="16" x14ac:dyDescent="0.2"/>
    <row r="883" ht="16" x14ac:dyDescent="0.2"/>
    <row r="884" ht="16" x14ac:dyDescent="0.2"/>
    <row r="885" ht="16" x14ac:dyDescent="0.2"/>
    <row r="886" ht="16" x14ac:dyDescent="0.2"/>
    <row r="887" ht="16" x14ac:dyDescent="0.2"/>
    <row r="888" ht="16" x14ac:dyDescent="0.2"/>
    <row r="889" ht="16" x14ac:dyDescent="0.2"/>
    <row r="890" ht="16" x14ac:dyDescent="0.2"/>
    <row r="891" ht="16" x14ac:dyDescent="0.2"/>
    <row r="892" ht="16" x14ac:dyDescent="0.2"/>
    <row r="893" ht="16" x14ac:dyDescent="0.2"/>
    <row r="894" ht="16" x14ac:dyDescent="0.2"/>
    <row r="895" ht="16" x14ac:dyDescent="0.2"/>
    <row r="896" ht="16" x14ac:dyDescent="0.2"/>
    <row r="897" ht="16" x14ac:dyDescent="0.2"/>
    <row r="898" ht="16" x14ac:dyDescent="0.2"/>
    <row r="899" ht="16" x14ac:dyDescent="0.2"/>
    <row r="900" ht="16" x14ac:dyDescent="0.2"/>
    <row r="901" ht="16" x14ac:dyDescent="0.2"/>
    <row r="902" ht="16" x14ac:dyDescent="0.2"/>
    <row r="903" ht="16" x14ac:dyDescent="0.2"/>
    <row r="904" ht="16" x14ac:dyDescent="0.2"/>
    <row r="905" ht="16" x14ac:dyDescent="0.2"/>
    <row r="906" ht="16" x14ac:dyDescent="0.2"/>
    <row r="907" ht="16" x14ac:dyDescent="0.2"/>
    <row r="908" ht="16" x14ac:dyDescent="0.2"/>
    <row r="909" ht="16" x14ac:dyDescent="0.2"/>
    <row r="910" ht="16" x14ac:dyDescent="0.2"/>
    <row r="911" ht="16" x14ac:dyDescent="0.2"/>
    <row r="912" ht="16" x14ac:dyDescent="0.2"/>
    <row r="913" ht="16" x14ac:dyDescent="0.2"/>
    <row r="914" ht="16" x14ac:dyDescent="0.2"/>
    <row r="915" ht="16" x14ac:dyDescent="0.2"/>
    <row r="916" ht="16" x14ac:dyDescent="0.2"/>
    <row r="917" ht="16" x14ac:dyDescent="0.2"/>
    <row r="918" ht="16" x14ac:dyDescent="0.2"/>
    <row r="919" ht="16" x14ac:dyDescent="0.2"/>
    <row r="920" ht="16" x14ac:dyDescent="0.2"/>
    <row r="921" ht="16" x14ac:dyDescent="0.2"/>
    <row r="922" ht="16" x14ac:dyDescent="0.2"/>
    <row r="923" ht="16" x14ac:dyDescent="0.2"/>
    <row r="924" ht="16" x14ac:dyDescent="0.2"/>
    <row r="925" ht="16" x14ac:dyDescent="0.2"/>
    <row r="926" ht="16" x14ac:dyDescent="0.2"/>
    <row r="927" ht="16" x14ac:dyDescent="0.2"/>
    <row r="928" ht="16" x14ac:dyDescent="0.2"/>
    <row r="929" ht="16" x14ac:dyDescent="0.2"/>
    <row r="930" ht="16" x14ac:dyDescent="0.2"/>
    <row r="931" ht="16" x14ac:dyDescent="0.2"/>
    <row r="932" ht="16" x14ac:dyDescent="0.2"/>
    <row r="933" ht="16" x14ac:dyDescent="0.2"/>
    <row r="934" ht="16" x14ac:dyDescent="0.2"/>
    <row r="935" ht="16" x14ac:dyDescent="0.2"/>
    <row r="936" ht="16" x14ac:dyDescent="0.2"/>
    <row r="937" ht="16" x14ac:dyDescent="0.2"/>
    <row r="938" ht="16" x14ac:dyDescent="0.2"/>
    <row r="939" ht="16" x14ac:dyDescent="0.2"/>
    <row r="940" ht="16" x14ac:dyDescent="0.2"/>
    <row r="941" ht="16" x14ac:dyDescent="0.2"/>
    <row r="942" ht="16" x14ac:dyDescent="0.2"/>
    <row r="943" ht="16" x14ac:dyDescent="0.2"/>
    <row r="944" ht="16" x14ac:dyDescent="0.2"/>
    <row r="945" ht="16" x14ac:dyDescent="0.2"/>
    <row r="946" ht="16" x14ac:dyDescent="0.2"/>
    <row r="947" ht="16" x14ac:dyDescent="0.2"/>
    <row r="948" ht="16" x14ac:dyDescent="0.2"/>
    <row r="949" ht="16" x14ac:dyDescent="0.2"/>
    <row r="950" ht="16" x14ac:dyDescent="0.2"/>
    <row r="951" ht="16" x14ac:dyDescent="0.2"/>
    <row r="952" ht="16" x14ac:dyDescent="0.2"/>
    <row r="953" ht="16" x14ac:dyDescent="0.2"/>
    <row r="954" ht="16" x14ac:dyDescent="0.2"/>
    <row r="955" ht="16" x14ac:dyDescent="0.2"/>
    <row r="956" ht="16" x14ac:dyDescent="0.2"/>
    <row r="957" ht="16" x14ac:dyDescent="0.2"/>
    <row r="958" ht="16" x14ac:dyDescent="0.2"/>
    <row r="959" ht="16" x14ac:dyDescent="0.2"/>
    <row r="960" ht="16" x14ac:dyDescent="0.2"/>
    <row r="961" ht="16" x14ac:dyDescent="0.2"/>
    <row r="962" ht="16" x14ac:dyDescent="0.2"/>
    <row r="963" ht="16" x14ac:dyDescent="0.2"/>
    <row r="964" ht="16" x14ac:dyDescent="0.2"/>
    <row r="965" ht="16" x14ac:dyDescent="0.2"/>
    <row r="966" ht="16" x14ac:dyDescent="0.2"/>
    <row r="967" ht="16" x14ac:dyDescent="0.2"/>
    <row r="968" ht="16" x14ac:dyDescent="0.2"/>
    <row r="969" ht="16" x14ac:dyDescent="0.2"/>
    <row r="970" ht="16" x14ac:dyDescent="0.2"/>
    <row r="971" ht="16" x14ac:dyDescent="0.2"/>
    <row r="972" ht="16" x14ac:dyDescent="0.2"/>
    <row r="973" ht="16" x14ac:dyDescent="0.2"/>
    <row r="974" ht="16" x14ac:dyDescent="0.2"/>
    <row r="975" ht="16" x14ac:dyDescent="0.2"/>
    <row r="976" ht="16" x14ac:dyDescent="0.2"/>
    <row r="977" ht="16" x14ac:dyDescent="0.2"/>
    <row r="978" ht="16" x14ac:dyDescent="0.2"/>
    <row r="979" ht="16" x14ac:dyDescent="0.2"/>
    <row r="980" ht="16" x14ac:dyDescent="0.2"/>
    <row r="981" ht="16" x14ac:dyDescent="0.2"/>
    <row r="982" ht="16" x14ac:dyDescent="0.2"/>
    <row r="983" ht="16" x14ac:dyDescent="0.2"/>
    <row r="984" ht="16" x14ac:dyDescent="0.2"/>
    <row r="985" ht="16" x14ac:dyDescent="0.2"/>
    <row r="986" ht="16" x14ac:dyDescent="0.2"/>
    <row r="987" ht="16" x14ac:dyDescent="0.2"/>
    <row r="988" ht="16" x14ac:dyDescent="0.2"/>
    <row r="989" ht="16" x14ac:dyDescent="0.2"/>
    <row r="990" ht="16" x14ac:dyDescent="0.2"/>
    <row r="991" ht="16" x14ac:dyDescent="0.2"/>
    <row r="992" ht="16" x14ac:dyDescent="0.2"/>
    <row r="993" ht="16" x14ac:dyDescent="0.2"/>
    <row r="994" ht="16" x14ac:dyDescent="0.2"/>
    <row r="995" ht="16" x14ac:dyDescent="0.2"/>
    <row r="996" ht="16" x14ac:dyDescent="0.2"/>
    <row r="997" ht="16" x14ac:dyDescent="0.2"/>
    <row r="998" ht="16" x14ac:dyDescent="0.2"/>
    <row r="999" ht="16" x14ac:dyDescent="0.2"/>
    <row r="1000" ht="16" x14ac:dyDescent="0.2"/>
    <row r="1001" ht="16" x14ac:dyDescent="0.2"/>
    <row r="1002" ht="16" x14ac:dyDescent="0.2"/>
    <row r="1003" ht="16" x14ac:dyDescent="0.2"/>
    <row r="1004" ht="16" x14ac:dyDescent="0.2"/>
    <row r="1005" ht="16" x14ac:dyDescent="0.2"/>
    <row r="1006" ht="16" x14ac:dyDescent="0.2"/>
    <row r="1007" ht="16" x14ac:dyDescent="0.2"/>
    <row r="1008" ht="16" x14ac:dyDescent="0.2"/>
    <row r="1009" ht="16" x14ac:dyDescent="0.2"/>
    <row r="1010" ht="16" x14ac:dyDescent="0.2"/>
    <row r="1011" ht="16" x14ac:dyDescent="0.2"/>
    <row r="1012" ht="16" x14ac:dyDescent="0.2"/>
    <row r="1013" ht="16" x14ac:dyDescent="0.2"/>
    <row r="1014" ht="16" x14ac:dyDescent="0.2"/>
    <row r="1015" ht="16" x14ac:dyDescent="0.2"/>
    <row r="1016" ht="16" x14ac:dyDescent="0.2"/>
    <row r="1017" ht="16" x14ac:dyDescent="0.2"/>
    <row r="1018" ht="16" x14ac:dyDescent="0.2"/>
    <row r="1019" ht="16" x14ac:dyDescent="0.2"/>
    <row r="1020" ht="16" x14ac:dyDescent="0.2"/>
    <row r="1021" ht="16" x14ac:dyDescent="0.2"/>
    <row r="1022" ht="16" x14ac:dyDescent="0.2"/>
    <row r="1023" ht="16" x14ac:dyDescent="0.2"/>
    <row r="1024" ht="16" x14ac:dyDescent="0.2"/>
    <row r="1025" ht="16" x14ac:dyDescent="0.2"/>
    <row r="1026" ht="16" x14ac:dyDescent="0.2"/>
    <row r="1027" ht="16" x14ac:dyDescent="0.2"/>
    <row r="1028" ht="16" x14ac:dyDescent="0.2"/>
    <row r="1029" ht="16" x14ac:dyDescent="0.2"/>
    <row r="1030" ht="16" x14ac:dyDescent="0.2"/>
    <row r="1031" ht="16" x14ac:dyDescent="0.2"/>
    <row r="1032" ht="16" x14ac:dyDescent="0.2"/>
    <row r="1033" ht="16" x14ac:dyDescent="0.2"/>
    <row r="1034" ht="16" x14ac:dyDescent="0.2"/>
    <row r="1035" ht="16" x14ac:dyDescent="0.2"/>
    <row r="1036" ht="16" x14ac:dyDescent="0.2"/>
    <row r="1037" ht="16" x14ac:dyDescent="0.2"/>
    <row r="1038" ht="16" x14ac:dyDescent="0.2"/>
    <row r="1039" ht="16" x14ac:dyDescent="0.2"/>
    <row r="1040" ht="16" x14ac:dyDescent="0.2"/>
    <row r="1041" ht="16" x14ac:dyDescent="0.2"/>
    <row r="1042" ht="16" x14ac:dyDescent="0.2"/>
    <row r="1043" ht="16" x14ac:dyDescent="0.2"/>
    <row r="1044" ht="16" x14ac:dyDescent="0.2"/>
    <row r="1045" ht="16" x14ac:dyDescent="0.2"/>
    <row r="1046" ht="16" x14ac:dyDescent="0.2"/>
    <row r="1047" ht="16" x14ac:dyDescent="0.2"/>
    <row r="1048" ht="16" x14ac:dyDescent="0.2"/>
    <row r="1049" ht="16" x14ac:dyDescent="0.2"/>
    <row r="1050" ht="16" x14ac:dyDescent="0.2"/>
    <row r="1051" ht="16" x14ac:dyDescent="0.2"/>
    <row r="1052" ht="16" x14ac:dyDescent="0.2"/>
    <row r="1053" ht="16" x14ac:dyDescent="0.2"/>
    <row r="1054" ht="16" x14ac:dyDescent="0.2"/>
    <row r="1055" ht="16" x14ac:dyDescent="0.2"/>
    <row r="1056" ht="16" x14ac:dyDescent="0.2"/>
    <row r="1057" ht="16" x14ac:dyDescent="0.2"/>
    <row r="1058" ht="16" x14ac:dyDescent="0.2"/>
    <row r="1059" ht="16" x14ac:dyDescent="0.2"/>
    <row r="1060" ht="16" x14ac:dyDescent="0.2"/>
    <row r="1061" ht="16" x14ac:dyDescent="0.2"/>
    <row r="1062" ht="16" x14ac:dyDescent="0.2"/>
    <row r="1063" ht="16" x14ac:dyDescent="0.2"/>
    <row r="1064" ht="16" x14ac:dyDescent="0.2"/>
    <row r="1065" ht="16" x14ac:dyDescent="0.2"/>
    <row r="1066" ht="16" x14ac:dyDescent="0.2"/>
    <row r="1067" ht="16" x14ac:dyDescent="0.2"/>
    <row r="1068" ht="16" x14ac:dyDescent="0.2"/>
    <row r="1069" ht="16" x14ac:dyDescent="0.2"/>
    <row r="1070" ht="16" x14ac:dyDescent="0.2"/>
    <row r="1071" ht="16" x14ac:dyDescent="0.2"/>
    <row r="1072" ht="16" x14ac:dyDescent="0.2"/>
    <row r="1073" ht="16" x14ac:dyDescent="0.2"/>
    <row r="1074" ht="16" x14ac:dyDescent="0.2"/>
    <row r="1075" ht="16" x14ac:dyDescent="0.2"/>
    <row r="1076" ht="16" x14ac:dyDescent="0.2"/>
    <row r="1077" ht="16" x14ac:dyDescent="0.2"/>
    <row r="1078" ht="16" x14ac:dyDescent="0.2"/>
    <row r="1079" ht="16" x14ac:dyDescent="0.2"/>
    <row r="1080" ht="16" x14ac:dyDescent="0.2"/>
    <row r="1081" ht="16" x14ac:dyDescent="0.2"/>
    <row r="1082" ht="16" x14ac:dyDescent="0.2"/>
    <row r="1083" ht="16" x14ac:dyDescent="0.2"/>
    <row r="1084" ht="16" x14ac:dyDescent="0.2"/>
    <row r="1085" ht="16" x14ac:dyDescent="0.2"/>
    <row r="1086" ht="16" x14ac:dyDescent="0.2"/>
    <row r="1087" ht="16" x14ac:dyDescent="0.2"/>
    <row r="1088" ht="16" x14ac:dyDescent="0.2"/>
    <row r="1089" ht="16" x14ac:dyDescent="0.2"/>
    <row r="1090" ht="16" x14ac:dyDescent="0.2"/>
    <row r="1091" ht="16" x14ac:dyDescent="0.2"/>
    <row r="1092" ht="16" x14ac:dyDescent="0.2"/>
    <row r="1093" ht="16" x14ac:dyDescent="0.2"/>
    <row r="1094" ht="16" x14ac:dyDescent="0.2"/>
    <row r="1095" ht="16" x14ac:dyDescent="0.2"/>
    <row r="1096" ht="16" x14ac:dyDescent="0.2"/>
    <row r="1097" ht="16" x14ac:dyDescent="0.2"/>
    <row r="1098" ht="16" x14ac:dyDescent="0.2"/>
    <row r="1099" ht="16" x14ac:dyDescent="0.2"/>
    <row r="1100" ht="16" x14ac:dyDescent="0.2"/>
    <row r="1101" ht="16" x14ac:dyDescent="0.2"/>
    <row r="1102" ht="16" x14ac:dyDescent="0.2"/>
    <row r="1103" ht="16" x14ac:dyDescent="0.2"/>
    <row r="1104" ht="16" x14ac:dyDescent="0.2"/>
    <row r="1105" ht="16" x14ac:dyDescent="0.2"/>
    <row r="1106" ht="16" x14ac:dyDescent="0.2"/>
    <row r="1107" ht="16" x14ac:dyDescent="0.2"/>
    <row r="1108" ht="16" x14ac:dyDescent="0.2"/>
    <row r="1109" ht="16" x14ac:dyDescent="0.2"/>
    <row r="1110" ht="16" x14ac:dyDescent="0.2"/>
    <row r="1111" ht="16" x14ac:dyDescent="0.2"/>
    <row r="1112" ht="16" x14ac:dyDescent="0.2"/>
    <row r="1113" ht="16" x14ac:dyDescent="0.2"/>
    <row r="1114" ht="16" x14ac:dyDescent="0.2"/>
    <row r="1115" ht="16" x14ac:dyDescent="0.2"/>
    <row r="1116" ht="16" x14ac:dyDescent="0.2"/>
    <row r="1117" ht="16" x14ac:dyDescent="0.2"/>
    <row r="1118" ht="16" x14ac:dyDescent="0.2"/>
    <row r="1119" ht="16" x14ac:dyDescent="0.2"/>
    <row r="1120" ht="16" x14ac:dyDescent="0.2"/>
    <row r="1121" ht="16" x14ac:dyDescent="0.2"/>
    <row r="1122" ht="16" x14ac:dyDescent="0.2"/>
    <row r="1123" ht="16" x14ac:dyDescent="0.2"/>
    <row r="1124" ht="16" x14ac:dyDescent="0.2"/>
    <row r="1125" ht="16" x14ac:dyDescent="0.2"/>
    <row r="1126" ht="16" x14ac:dyDescent="0.2"/>
    <row r="1127" ht="16" x14ac:dyDescent="0.2"/>
    <row r="1128" ht="16" x14ac:dyDescent="0.2"/>
    <row r="1129" ht="16" x14ac:dyDescent="0.2"/>
    <row r="1130" ht="16" x14ac:dyDescent="0.2"/>
    <row r="1131" ht="16" x14ac:dyDescent="0.2"/>
    <row r="1132" ht="16" x14ac:dyDescent="0.2"/>
    <row r="1133" ht="16" x14ac:dyDescent="0.2"/>
    <row r="1134" ht="16" x14ac:dyDescent="0.2"/>
    <row r="1135" ht="16" x14ac:dyDescent="0.2"/>
    <row r="1136" ht="16" x14ac:dyDescent="0.2"/>
    <row r="1137" ht="16" x14ac:dyDescent="0.2"/>
    <row r="1138" ht="16" x14ac:dyDescent="0.2"/>
    <row r="1139" ht="16" x14ac:dyDescent="0.2"/>
    <row r="1140" ht="16" x14ac:dyDescent="0.2"/>
    <row r="1141" ht="16" x14ac:dyDescent="0.2"/>
    <row r="1142" ht="16" x14ac:dyDescent="0.2"/>
    <row r="1143" ht="16" x14ac:dyDescent="0.2"/>
    <row r="1144" ht="16" x14ac:dyDescent="0.2"/>
    <row r="1145" ht="16" x14ac:dyDescent="0.2"/>
    <row r="1146" ht="16" x14ac:dyDescent="0.2"/>
    <row r="1147" ht="16" x14ac:dyDescent="0.2"/>
    <row r="1148" ht="16" x14ac:dyDescent="0.2"/>
    <row r="1149" ht="16" x14ac:dyDescent="0.2"/>
    <row r="1150" ht="16" x14ac:dyDescent="0.2"/>
    <row r="1151" ht="16" x14ac:dyDescent="0.2"/>
    <row r="1152" ht="16" x14ac:dyDescent="0.2"/>
    <row r="1153" ht="16" x14ac:dyDescent="0.2"/>
    <row r="1154" ht="16" x14ac:dyDescent="0.2"/>
    <row r="1155" ht="16" x14ac:dyDescent="0.2"/>
    <row r="1156" ht="16" x14ac:dyDescent="0.2"/>
    <row r="1157" ht="16" x14ac:dyDescent="0.2"/>
    <row r="1158" ht="16" x14ac:dyDescent="0.2"/>
    <row r="1159" ht="16" x14ac:dyDescent="0.2"/>
    <row r="1160" ht="16" x14ac:dyDescent="0.2"/>
    <row r="1161" ht="16" x14ac:dyDescent="0.2"/>
    <row r="1162" ht="16" x14ac:dyDescent="0.2"/>
    <row r="1163" ht="16" x14ac:dyDescent="0.2"/>
    <row r="1164" ht="16" x14ac:dyDescent="0.2"/>
    <row r="1165" ht="16" x14ac:dyDescent="0.2"/>
    <row r="1166" ht="16" x14ac:dyDescent="0.2"/>
    <row r="1167" ht="16" x14ac:dyDescent="0.2"/>
    <row r="1168" ht="16" x14ac:dyDescent="0.2"/>
    <row r="1169" ht="16" x14ac:dyDescent="0.2"/>
    <row r="1170" ht="16" x14ac:dyDescent="0.2"/>
    <row r="1171" ht="16" x14ac:dyDescent="0.2"/>
    <row r="1172" ht="16" x14ac:dyDescent="0.2"/>
    <row r="1173" ht="16" x14ac:dyDescent="0.2"/>
    <row r="1174" ht="16" x14ac:dyDescent="0.2"/>
    <row r="1175" ht="16" x14ac:dyDescent="0.2"/>
    <row r="1176" ht="16" x14ac:dyDescent="0.2"/>
    <row r="1177" ht="16" x14ac:dyDescent="0.2"/>
    <row r="1178" ht="16" x14ac:dyDescent="0.2"/>
    <row r="1179" ht="16" x14ac:dyDescent="0.2"/>
    <row r="1180" ht="16" x14ac:dyDescent="0.2"/>
    <row r="1181" ht="16" x14ac:dyDescent="0.2"/>
    <row r="1182" ht="16" x14ac:dyDescent="0.2"/>
    <row r="1183" ht="16" x14ac:dyDescent="0.2"/>
    <row r="1184" ht="16" x14ac:dyDescent="0.2"/>
    <row r="1185" ht="16" x14ac:dyDescent="0.2"/>
    <row r="1186" ht="16" x14ac:dyDescent="0.2"/>
    <row r="1187" ht="16" x14ac:dyDescent="0.2"/>
    <row r="1188" ht="16" x14ac:dyDescent="0.2"/>
    <row r="1189" ht="16" x14ac:dyDescent="0.2"/>
    <row r="1190" ht="16" x14ac:dyDescent="0.2"/>
    <row r="1191" ht="16" x14ac:dyDescent="0.2"/>
    <row r="1192" ht="16" x14ac:dyDescent="0.2"/>
    <row r="1193" ht="16" x14ac:dyDescent="0.2"/>
    <row r="1194" ht="16" x14ac:dyDescent="0.2"/>
    <row r="1195" ht="16" x14ac:dyDescent="0.2"/>
    <row r="1196" ht="16" x14ac:dyDescent="0.2"/>
    <row r="1197" ht="16" x14ac:dyDescent="0.2"/>
    <row r="1198" ht="16" x14ac:dyDescent="0.2"/>
    <row r="1199" ht="16" x14ac:dyDescent="0.2"/>
    <row r="1200" ht="16" x14ac:dyDescent="0.2"/>
    <row r="1201" ht="16" x14ac:dyDescent="0.2"/>
    <row r="1202" ht="16" x14ac:dyDescent="0.2"/>
    <row r="1203" ht="16" x14ac:dyDescent="0.2"/>
    <row r="1204" ht="16" x14ac:dyDescent="0.2"/>
    <row r="1205" ht="16" x14ac:dyDescent="0.2"/>
    <row r="1206" ht="16" x14ac:dyDescent="0.2"/>
    <row r="1207" ht="16" x14ac:dyDescent="0.2"/>
    <row r="1208" ht="16" x14ac:dyDescent="0.2"/>
    <row r="1209" ht="16" x14ac:dyDescent="0.2"/>
    <row r="1210" ht="16" x14ac:dyDescent="0.2"/>
    <row r="1211" ht="16" x14ac:dyDescent="0.2"/>
    <row r="1212" ht="16" x14ac:dyDescent="0.2"/>
    <row r="1213" ht="16" x14ac:dyDescent="0.2"/>
    <row r="1214" ht="16" x14ac:dyDescent="0.2"/>
    <row r="1215" ht="16" x14ac:dyDescent="0.2"/>
    <row r="1216" ht="16" x14ac:dyDescent="0.2"/>
    <row r="1217" ht="16" x14ac:dyDescent="0.2"/>
    <row r="1218" ht="16" x14ac:dyDescent="0.2"/>
    <row r="1219" ht="16" x14ac:dyDescent="0.2"/>
    <row r="1220" ht="16" x14ac:dyDescent="0.2"/>
    <row r="1221" ht="16" x14ac:dyDescent="0.2"/>
    <row r="1222" ht="16" x14ac:dyDescent="0.2"/>
    <row r="1223" ht="16" x14ac:dyDescent="0.2"/>
    <row r="1224" ht="16" x14ac:dyDescent="0.2"/>
    <row r="1225" ht="16" x14ac:dyDescent="0.2"/>
    <row r="1226" ht="16" x14ac:dyDescent="0.2"/>
    <row r="1227" ht="16" x14ac:dyDescent="0.2"/>
    <row r="1228" ht="16" x14ac:dyDescent="0.2"/>
    <row r="1229" ht="16" x14ac:dyDescent="0.2"/>
    <row r="1230" ht="16" x14ac:dyDescent="0.2"/>
    <row r="1231" ht="16" x14ac:dyDescent="0.2"/>
    <row r="1232" ht="16" x14ac:dyDescent="0.2"/>
    <row r="1233" ht="16" x14ac:dyDescent="0.2"/>
    <row r="1234" ht="16" x14ac:dyDescent="0.2"/>
    <row r="1235" ht="16" x14ac:dyDescent="0.2"/>
    <row r="1236" ht="16" x14ac:dyDescent="0.2"/>
    <row r="1237" ht="16" x14ac:dyDescent="0.2"/>
    <row r="1238" ht="16" x14ac:dyDescent="0.2"/>
    <row r="1239" ht="16" x14ac:dyDescent="0.2"/>
    <row r="1240" ht="16" x14ac:dyDescent="0.2"/>
    <row r="1241" ht="16" x14ac:dyDescent="0.2"/>
    <row r="1242" ht="16" x14ac:dyDescent="0.2"/>
    <row r="1243" ht="16" x14ac:dyDescent="0.2"/>
    <row r="1244" ht="16" x14ac:dyDescent="0.2"/>
    <row r="1245" ht="16" x14ac:dyDescent="0.2"/>
    <row r="1246" ht="16" x14ac:dyDescent="0.2"/>
    <row r="1247" ht="16" x14ac:dyDescent="0.2"/>
    <row r="1248" ht="16" x14ac:dyDescent="0.2"/>
    <row r="1249" ht="16" x14ac:dyDescent="0.2"/>
    <row r="1250" ht="16" x14ac:dyDescent="0.2"/>
    <row r="1251" ht="16" x14ac:dyDescent="0.2"/>
    <row r="1252" ht="16" x14ac:dyDescent="0.2"/>
    <row r="1253" ht="16" x14ac:dyDescent="0.2"/>
    <row r="1254" ht="16" x14ac:dyDescent="0.2"/>
    <row r="1255" ht="16" x14ac:dyDescent="0.2"/>
    <row r="1256" ht="16" x14ac:dyDescent="0.2"/>
    <row r="1257" ht="16" x14ac:dyDescent="0.2"/>
    <row r="1258" ht="16" x14ac:dyDescent="0.2"/>
    <row r="1259" ht="16" x14ac:dyDescent="0.2"/>
    <row r="1260" ht="16" x14ac:dyDescent="0.2"/>
    <row r="1261" ht="16" x14ac:dyDescent="0.2"/>
    <row r="1262" ht="16" x14ac:dyDescent="0.2"/>
    <row r="1263" ht="16" x14ac:dyDescent="0.2"/>
    <row r="1264" ht="16" x14ac:dyDescent="0.2"/>
    <row r="1265" ht="16" x14ac:dyDescent="0.2"/>
    <row r="1266" ht="16" x14ac:dyDescent="0.2"/>
    <row r="1267" ht="16" x14ac:dyDescent="0.2"/>
    <row r="1268" ht="16" x14ac:dyDescent="0.2"/>
    <row r="1269" ht="16" x14ac:dyDescent="0.2"/>
    <row r="1270" ht="16" x14ac:dyDescent="0.2"/>
    <row r="1271" ht="16" x14ac:dyDescent="0.2"/>
    <row r="1272" ht="16" x14ac:dyDescent="0.2"/>
    <row r="1273" ht="16" x14ac:dyDescent="0.2"/>
    <row r="1274" ht="16" x14ac:dyDescent="0.2"/>
    <row r="1275" ht="16" x14ac:dyDescent="0.2"/>
    <row r="1276" ht="16" x14ac:dyDescent="0.2"/>
    <row r="1277" ht="16" x14ac:dyDescent="0.2"/>
    <row r="1278" ht="16" x14ac:dyDescent="0.2"/>
    <row r="1279" ht="16" x14ac:dyDescent="0.2"/>
    <row r="1280" ht="16" x14ac:dyDescent="0.2"/>
    <row r="1281" ht="16" x14ac:dyDescent="0.2"/>
    <row r="1282" ht="16" x14ac:dyDescent="0.2"/>
    <row r="1283" ht="16" x14ac:dyDescent="0.2"/>
    <row r="1284" ht="16" x14ac:dyDescent="0.2"/>
    <row r="1285" ht="16" x14ac:dyDescent="0.2"/>
    <row r="1286" ht="16" x14ac:dyDescent="0.2"/>
    <row r="1287" ht="16" x14ac:dyDescent="0.2"/>
    <row r="1288" ht="16" x14ac:dyDescent="0.2"/>
    <row r="1289" ht="16" x14ac:dyDescent="0.2"/>
    <row r="1290" ht="16" x14ac:dyDescent="0.2"/>
    <row r="1291" ht="16" x14ac:dyDescent="0.2"/>
    <row r="1292" ht="16" x14ac:dyDescent="0.2"/>
    <row r="1293" ht="16" x14ac:dyDescent="0.2"/>
    <row r="1294" ht="16" x14ac:dyDescent="0.2"/>
    <row r="1295" ht="16" x14ac:dyDescent="0.2"/>
    <row r="1296" ht="16" x14ac:dyDescent="0.2"/>
    <row r="1297" ht="16" x14ac:dyDescent="0.2"/>
    <row r="1298" ht="16" x14ac:dyDescent="0.2"/>
    <row r="1299" ht="16" x14ac:dyDescent="0.2"/>
    <row r="1300" ht="16" x14ac:dyDescent="0.2"/>
    <row r="1301" ht="16" x14ac:dyDescent="0.2"/>
    <row r="1302" ht="16" x14ac:dyDescent="0.2"/>
    <row r="1303" ht="16" x14ac:dyDescent="0.2"/>
    <row r="1304" ht="16" x14ac:dyDescent="0.2"/>
    <row r="1305" ht="16" x14ac:dyDescent="0.2"/>
    <row r="1306" ht="16" x14ac:dyDescent="0.2"/>
    <row r="1307" ht="16" x14ac:dyDescent="0.2"/>
    <row r="1308" ht="16" x14ac:dyDescent="0.2"/>
    <row r="1309" ht="16" x14ac:dyDescent="0.2"/>
    <row r="1310" ht="16" x14ac:dyDescent="0.2"/>
    <row r="1311" ht="16" x14ac:dyDescent="0.2"/>
    <row r="1312" ht="16" x14ac:dyDescent="0.2"/>
    <row r="1313" ht="16" x14ac:dyDescent="0.2"/>
    <row r="1314" ht="16" x14ac:dyDescent="0.2"/>
    <row r="1315" ht="16" x14ac:dyDescent="0.2"/>
    <row r="1316" ht="16" x14ac:dyDescent="0.2"/>
    <row r="1317" ht="16" x14ac:dyDescent="0.2"/>
    <row r="1318" ht="16" x14ac:dyDescent="0.2"/>
    <row r="1319" ht="16" x14ac:dyDescent="0.2"/>
    <row r="1320" ht="16" x14ac:dyDescent="0.2"/>
    <row r="1321" ht="16" x14ac:dyDescent="0.2"/>
    <row r="1322" ht="16" x14ac:dyDescent="0.2"/>
    <row r="1323" ht="16" x14ac:dyDescent="0.2"/>
    <row r="1324" ht="16" x14ac:dyDescent="0.2"/>
    <row r="1325" ht="16" x14ac:dyDescent="0.2"/>
    <row r="1326" ht="16" x14ac:dyDescent="0.2"/>
    <row r="1327" ht="16" x14ac:dyDescent="0.2"/>
    <row r="1328" ht="16" x14ac:dyDescent="0.2"/>
    <row r="1329" ht="16" x14ac:dyDescent="0.2"/>
    <row r="1330" ht="16" x14ac:dyDescent="0.2"/>
    <row r="1331" ht="16" x14ac:dyDescent="0.2"/>
    <row r="1332" ht="16" x14ac:dyDescent="0.2"/>
    <row r="1333" ht="16" x14ac:dyDescent="0.2"/>
    <row r="1334" ht="16" x14ac:dyDescent="0.2"/>
    <row r="1335" ht="16" x14ac:dyDescent="0.2"/>
    <row r="1336" ht="16" x14ac:dyDescent="0.2"/>
    <row r="1337" ht="16" x14ac:dyDescent="0.2"/>
    <row r="1338" ht="16" x14ac:dyDescent="0.2"/>
    <row r="1339" ht="16" x14ac:dyDescent="0.2"/>
    <row r="1340" ht="16" x14ac:dyDescent="0.2"/>
    <row r="1341" ht="16" x14ac:dyDescent="0.2"/>
    <row r="1342" ht="16" x14ac:dyDescent="0.2"/>
    <row r="1343" ht="16" x14ac:dyDescent="0.2"/>
    <row r="1344" ht="16" x14ac:dyDescent="0.2"/>
    <row r="1345" ht="16" x14ac:dyDescent="0.2"/>
    <row r="1346" ht="16" x14ac:dyDescent="0.2"/>
    <row r="1347" ht="16" x14ac:dyDescent="0.2"/>
    <row r="1348" ht="16" x14ac:dyDescent="0.2"/>
    <row r="1349" ht="16" x14ac:dyDescent="0.2"/>
    <row r="1350" ht="16" x14ac:dyDescent="0.2"/>
    <row r="1351" ht="16" x14ac:dyDescent="0.2"/>
    <row r="1352" ht="16" x14ac:dyDescent="0.2"/>
    <row r="1353" ht="16" x14ac:dyDescent="0.2"/>
    <row r="1354" ht="16" x14ac:dyDescent="0.2"/>
    <row r="1355" ht="16" x14ac:dyDescent="0.2"/>
    <row r="1356" ht="16" x14ac:dyDescent="0.2"/>
    <row r="1357" ht="16" x14ac:dyDescent="0.2"/>
    <row r="1358" ht="16" x14ac:dyDescent="0.2"/>
    <row r="1359" ht="16" x14ac:dyDescent="0.2"/>
    <row r="1360" ht="16" x14ac:dyDescent="0.2"/>
    <row r="1361" ht="16" x14ac:dyDescent="0.2"/>
    <row r="1362" ht="16" x14ac:dyDescent="0.2"/>
    <row r="1363" ht="16" x14ac:dyDescent="0.2"/>
    <row r="1364" ht="16" x14ac:dyDescent="0.2"/>
    <row r="1365" ht="16" x14ac:dyDescent="0.2"/>
    <row r="1366" ht="16" x14ac:dyDescent="0.2"/>
    <row r="1367" ht="16" x14ac:dyDescent="0.2"/>
    <row r="1368" ht="16" x14ac:dyDescent="0.2"/>
    <row r="1369" ht="16" x14ac:dyDescent="0.2"/>
    <row r="1370" ht="16" x14ac:dyDescent="0.2"/>
    <row r="1371" ht="16" x14ac:dyDescent="0.2"/>
    <row r="1372" ht="16" x14ac:dyDescent="0.2"/>
    <row r="1373" ht="16" x14ac:dyDescent="0.2"/>
    <row r="1374" ht="16" x14ac:dyDescent="0.2"/>
    <row r="1375" ht="16" x14ac:dyDescent="0.2"/>
    <row r="1376" ht="16" x14ac:dyDescent="0.2"/>
    <row r="1377" ht="16" x14ac:dyDescent="0.2"/>
    <row r="1378" ht="16" x14ac:dyDescent="0.2"/>
    <row r="1379" ht="16" x14ac:dyDescent="0.2"/>
    <row r="1380" ht="16" x14ac:dyDescent="0.2"/>
    <row r="1381" ht="16" x14ac:dyDescent="0.2"/>
    <row r="1382" ht="16" x14ac:dyDescent="0.2"/>
    <row r="1383" ht="16" x14ac:dyDescent="0.2"/>
    <row r="1384" ht="16" x14ac:dyDescent="0.2"/>
    <row r="1385" ht="16" x14ac:dyDescent="0.2"/>
    <row r="1386" ht="16" x14ac:dyDescent="0.2"/>
    <row r="1387" ht="16" x14ac:dyDescent="0.2"/>
    <row r="1388" ht="16" x14ac:dyDescent="0.2"/>
    <row r="1389" ht="16" x14ac:dyDescent="0.2"/>
    <row r="1390" ht="16" x14ac:dyDescent="0.2"/>
    <row r="1391" ht="16" x14ac:dyDescent="0.2"/>
    <row r="1392" ht="16" x14ac:dyDescent="0.2"/>
    <row r="1393" ht="16" x14ac:dyDescent="0.2"/>
    <row r="1394" ht="16" x14ac:dyDescent="0.2"/>
    <row r="1395" ht="16" x14ac:dyDescent="0.2"/>
    <row r="1396" ht="16" x14ac:dyDescent="0.2"/>
    <row r="1397" ht="16" x14ac:dyDescent="0.2"/>
    <row r="1398" ht="16" x14ac:dyDescent="0.2"/>
    <row r="1399" ht="16" x14ac:dyDescent="0.2"/>
    <row r="1400" ht="16" x14ac:dyDescent="0.2"/>
    <row r="1401" ht="16" x14ac:dyDescent="0.2"/>
    <row r="1402" ht="16" x14ac:dyDescent="0.2"/>
    <row r="1403" ht="16" x14ac:dyDescent="0.2"/>
    <row r="1404" ht="16" x14ac:dyDescent="0.2"/>
    <row r="1405" ht="16" x14ac:dyDescent="0.2"/>
    <row r="1406" ht="16" x14ac:dyDescent="0.2"/>
    <row r="1407" ht="16" x14ac:dyDescent="0.2"/>
    <row r="1408" ht="16" x14ac:dyDescent="0.2"/>
    <row r="1409" ht="16" x14ac:dyDescent="0.2"/>
    <row r="1410" ht="16" x14ac:dyDescent="0.2"/>
    <row r="1411" ht="16" x14ac:dyDescent="0.2"/>
    <row r="1412" ht="16" x14ac:dyDescent="0.2"/>
    <row r="1413" ht="16" x14ac:dyDescent="0.2"/>
    <row r="1414" ht="16" x14ac:dyDescent="0.2"/>
    <row r="1415" ht="16" x14ac:dyDescent="0.2"/>
    <row r="1416" ht="16" x14ac:dyDescent="0.2"/>
    <row r="1417" ht="16" x14ac:dyDescent="0.2"/>
    <row r="1418" ht="16" x14ac:dyDescent="0.2"/>
    <row r="1419" ht="16" x14ac:dyDescent="0.2"/>
    <row r="1420" ht="16" x14ac:dyDescent="0.2"/>
    <row r="1421" ht="16" x14ac:dyDescent="0.2"/>
    <row r="1422" ht="16" x14ac:dyDescent="0.2"/>
    <row r="1423" ht="16" x14ac:dyDescent="0.2"/>
    <row r="1424" ht="16" x14ac:dyDescent="0.2"/>
    <row r="1425" ht="16" x14ac:dyDescent="0.2"/>
    <row r="1426" ht="16" x14ac:dyDescent="0.2"/>
    <row r="1427" ht="16" x14ac:dyDescent="0.2"/>
    <row r="1428" ht="16" x14ac:dyDescent="0.2"/>
    <row r="1429" ht="16" x14ac:dyDescent="0.2"/>
    <row r="1430" ht="16" x14ac:dyDescent="0.2"/>
    <row r="1431" ht="16" x14ac:dyDescent="0.2"/>
    <row r="1432" ht="16" x14ac:dyDescent="0.2"/>
    <row r="1433" ht="16" x14ac:dyDescent="0.2"/>
    <row r="1434" ht="16" x14ac:dyDescent="0.2"/>
    <row r="1435" ht="16" x14ac:dyDescent="0.2"/>
    <row r="1436" ht="16" x14ac:dyDescent="0.2"/>
    <row r="1437" ht="16" x14ac:dyDescent="0.2"/>
    <row r="1438" ht="16" x14ac:dyDescent="0.2"/>
    <row r="1439" ht="16" x14ac:dyDescent="0.2"/>
    <row r="1440" ht="16" x14ac:dyDescent="0.2"/>
    <row r="1441" ht="16" x14ac:dyDescent="0.2"/>
    <row r="1442" ht="16" x14ac:dyDescent="0.2"/>
    <row r="1443" ht="16" x14ac:dyDescent="0.2"/>
    <row r="1444" ht="16" x14ac:dyDescent="0.2"/>
    <row r="1445" ht="16" x14ac:dyDescent="0.2"/>
    <row r="1446" ht="16" x14ac:dyDescent="0.2"/>
    <row r="1447" ht="16" x14ac:dyDescent="0.2"/>
    <row r="1448" ht="16" x14ac:dyDescent="0.2"/>
    <row r="1449" ht="16" x14ac:dyDescent="0.2"/>
    <row r="1450" ht="16" x14ac:dyDescent="0.2"/>
    <row r="1451" ht="16" x14ac:dyDescent="0.2"/>
    <row r="1452" ht="16" x14ac:dyDescent="0.2"/>
    <row r="1453" ht="16" x14ac:dyDescent="0.2"/>
    <row r="1454" ht="16" x14ac:dyDescent="0.2"/>
    <row r="1455" ht="16" x14ac:dyDescent="0.2"/>
    <row r="1456" ht="16" x14ac:dyDescent="0.2"/>
    <row r="1457" ht="16" x14ac:dyDescent="0.2"/>
    <row r="1458" ht="16" x14ac:dyDescent="0.2"/>
    <row r="1459" ht="16" x14ac:dyDescent="0.2"/>
    <row r="1460" ht="16" x14ac:dyDescent="0.2"/>
    <row r="1461" ht="16" x14ac:dyDescent="0.2"/>
    <row r="1462" ht="16" x14ac:dyDescent="0.2"/>
    <row r="1463" ht="16" x14ac:dyDescent="0.2"/>
    <row r="1464" ht="16" x14ac:dyDescent="0.2"/>
    <row r="1465" ht="16" x14ac:dyDescent="0.2"/>
    <row r="1466" ht="16" x14ac:dyDescent="0.2"/>
    <row r="1467" ht="16" x14ac:dyDescent="0.2"/>
    <row r="1468" ht="16" x14ac:dyDescent="0.2"/>
    <row r="1469" ht="16" x14ac:dyDescent="0.2"/>
    <row r="1470" ht="16" x14ac:dyDescent="0.2"/>
    <row r="1471" ht="16" x14ac:dyDescent="0.2"/>
    <row r="1472" ht="16" x14ac:dyDescent="0.2"/>
    <row r="1473" ht="16" x14ac:dyDescent="0.2"/>
    <row r="1474" ht="16" x14ac:dyDescent="0.2"/>
    <row r="1475" ht="16" x14ac:dyDescent="0.2"/>
    <row r="1476" ht="16" x14ac:dyDescent="0.2"/>
    <row r="1477" ht="16" x14ac:dyDescent="0.2"/>
    <row r="1478" ht="16" x14ac:dyDescent="0.2"/>
    <row r="1479" ht="16" x14ac:dyDescent="0.2"/>
    <row r="1480" ht="16" x14ac:dyDescent="0.2"/>
    <row r="1481" ht="16" x14ac:dyDescent="0.2"/>
    <row r="1482" ht="16" x14ac:dyDescent="0.2"/>
    <row r="1483" ht="16" x14ac:dyDescent="0.2"/>
    <row r="1484" ht="16" x14ac:dyDescent="0.2"/>
    <row r="1485" ht="16" x14ac:dyDescent="0.2"/>
    <row r="1486" ht="16" x14ac:dyDescent="0.2"/>
    <row r="1487" ht="16" x14ac:dyDescent="0.2"/>
    <row r="1488" ht="16" x14ac:dyDescent="0.2"/>
    <row r="1489" ht="16" x14ac:dyDescent="0.2"/>
    <row r="1490" ht="16" x14ac:dyDescent="0.2"/>
    <row r="1491" ht="16" x14ac:dyDescent="0.2"/>
    <row r="1492" ht="16" x14ac:dyDescent="0.2"/>
    <row r="1493" ht="16" x14ac:dyDescent="0.2"/>
    <row r="1494" ht="16" x14ac:dyDescent="0.2"/>
    <row r="1495" ht="16" x14ac:dyDescent="0.2"/>
    <row r="1496" ht="16" x14ac:dyDescent="0.2"/>
    <row r="1497" ht="16" x14ac:dyDescent="0.2"/>
    <row r="1498" ht="16" x14ac:dyDescent="0.2"/>
    <row r="1499" ht="16" x14ac:dyDescent="0.2"/>
    <row r="1500" ht="16" x14ac:dyDescent="0.2"/>
    <row r="1501" ht="16" x14ac:dyDescent="0.2"/>
    <row r="1502" ht="16" x14ac:dyDescent="0.2"/>
    <row r="1503" ht="16" x14ac:dyDescent="0.2"/>
    <row r="1504" ht="16" x14ac:dyDescent="0.2"/>
    <row r="1505" ht="16" x14ac:dyDescent="0.2"/>
    <row r="1506" ht="16" x14ac:dyDescent="0.2"/>
    <row r="1507" ht="16" x14ac:dyDescent="0.2"/>
    <row r="1508" ht="16" x14ac:dyDescent="0.2"/>
    <row r="1509" ht="16" x14ac:dyDescent="0.2"/>
    <row r="1510" ht="16" x14ac:dyDescent="0.2"/>
    <row r="1511" ht="16" x14ac:dyDescent="0.2"/>
    <row r="1512" ht="16" x14ac:dyDescent="0.2"/>
    <row r="1513" ht="16" x14ac:dyDescent="0.2"/>
    <row r="1514" ht="16" x14ac:dyDescent="0.2"/>
    <row r="1515" ht="16" x14ac:dyDescent="0.2"/>
    <row r="1516" ht="16" x14ac:dyDescent="0.2"/>
    <row r="1517" ht="16" x14ac:dyDescent="0.2"/>
    <row r="1518" ht="16" x14ac:dyDescent="0.2"/>
    <row r="1519" ht="16" x14ac:dyDescent="0.2"/>
    <row r="1520" ht="16" x14ac:dyDescent="0.2"/>
    <row r="1521" ht="16" x14ac:dyDescent="0.2"/>
    <row r="1522" ht="16" x14ac:dyDescent="0.2"/>
    <row r="1523" ht="16" x14ac:dyDescent="0.2"/>
    <row r="1524" ht="16" x14ac:dyDescent="0.2"/>
    <row r="1525" ht="16" x14ac:dyDescent="0.2"/>
    <row r="1526" ht="16" x14ac:dyDescent="0.2"/>
    <row r="1527" ht="16" x14ac:dyDescent="0.2"/>
    <row r="1528" ht="16" x14ac:dyDescent="0.2"/>
    <row r="1529" ht="16" x14ac:dyDescent="0.2"/>
    <row r="1530" ht="16" x14ac:dyDescent="0.2"/>
    <row r="1531" ht="16" x14ac:dyDescent="0.2"/>
    <row r="1532" ht="16" x14ac:dyDescent="0.2"/>
    <row r="1533" ht="16" x14ac:dyDescent="0.2"/>
    <row r="1534" ht="16" x14ac:dyDescent="0.2"/>
    <row r="1535" ht="16" x14ac:dyDescent="0.2"/>
    <row r="1536" ht="16" x14ac:dyDescent="0.2"/>
    <row r="1537" ht="16" x14ac:dyDescent="0.2"/>
    <row r="1538" ht="16" x14ac:dyDescent="0.2"/>
    <row r="1539" ht="16" x14ac:dyDescent="0.2"/>
    <row r="1540" ht="16" x14ac:dyDescent="0.2"/>
    <row r="1541" ht="16" x14ac:dyDescent="0.2"/>
    <row r="1542" ht="16" x14ac:dyDescent="0.2"/>
    <row r="1543" ht="16" x14ac:dyDescent="0.2"/>
    <row r="1544" ht="16" x14ac:dyDescent="0.2"/>
    <row r="1545" ht="16" x14ac:dyDescent="0.2"/>
    <row r="1546" ht="16" x14ac:dyDescent="0.2"/>
    <row r="1547" ht="16" x14ac:dyDescent="0.2"/>
    <row r="1548" ht="16" x14ac:dyDescent="0.2"/>
    <row r="1549" ht="16" x14ac:dyDescent="0.2"/>
    <row r="1550" ht="16" x14ac:dyDescent="0.2"/>
    <row r="1551" ht="16" x14ac:dyDescent="0.2"/>
    <row r="1552" ht="16" x14ac:dyDescent="0.2"/>
    <row r="1553" ht="16" x14ac:dyDescent="0.2"/>
    <row r="1554" ht="16" x14ac:dyDescent="0.2"/>
    <row r="1555" ht="16" x14ac:dyDescent="0.2"/>
    <row r="1556" ht="16" x14ac:dyDescent="0.2"/>
    <row r="1557" ht="16" x14ac:dyDescent="0.2"/>
    <row r="1558" ht="16" x14ac:dyDescent="0.2"/>
    <row r="1559" ht="16" x14ac:dyDescent="0.2"/>
    <row r="1560" ht="16" x14ac:dyDescent="0.2"/>
    <row r="1561" ht="16" x14ac:dyDescent="0.2"/>
    <row r="1562" ht="16" x14ac:dyDescent="0.2"/>
    <row r="1563" ht="16" x14ac:dyDescent="0.2"/>
    <row r="1564" ht="16" x14ac:dyDescent="0.2"/>
    <row r="1565" ht="16" x14ac:dyDescent="0.2"/>
    <row r="1566" ht="16" x14ac:dyDescent="0.2"/>
    <row r="1567" ht="16" x14ac:dyDescent="0.2"/>
    <row r="1568" ht="16" x14ac:dyDescent="0.2"/>
    <row r="1569" ht="16" x14ac:dyDescent="0.2"/>
    <row r="1570" ht="16" x14ac:dyDescent="0.2"/>
    <row r="1571" ht="16" x14ac:dyDescent="0.2"/>
    <row r="1572" ht="16" x14ac:dyDescent="0.2"/>
    <row r="1573" ht="16" x14ac:dyDescent="0.2"/>
    <row r="1574" ht="16" x14ac:dyDescent="0.2"/>
    <row r="1575" ht="16" x14ac:dyDescent="0.2"/>
    <row r="1576" ht="16" x14ac:dyDescent="0.2"/>
    <row r="1577" ht="16" x14ac:dyDescent="0.2"/>
    <row r="1578" ht="16" x14ac:dyDescent="0.2"/>
    <row r="1579" ht="16" x14ac:dyDescent="0.2"/>
    <row r="1580" ht="16" x14ac:dyDescent="0.2"/>
    <row r="1581" ht="16" x14ac:dyDescent="0.2"/>
    <row r="1582" ht="16" x14ac:dyDescent="0.2"/>
    <row r="1583" ht="16" x14ac:dyDescent="0.2"/>
    <row r="1584" ht="16" x14ac:dyDescent="0.2"/>
    <row r="1585" ht="16" x14ac:dyDescent="0.2"/>
    <row r="1586" ht="16" x14ac:dyDescent="0.2"/>
    <row r="1587" ht="16" x14ac:dyDescent="0.2"/>
    <row r="1588" ht="16" x14ac:dyDescent="0.2"/>
    <row r="1589" ht="16" x14ac:dyDescent="0.2"/>
    <row r="1590" ht="16" x14ac:dyDescent="0.2"/>
    <row r="1591" ht="16" x14ac:dyDescent="0.2"/>
    <row r="1592" ht="16" x14ac:dyDescent="0.2"/>
    <row r="1593" ht="16" x14ac:dyDescent="0.2"/>
    <row r="1594" ht="16" x14ac:dyDescent="0.2"/>
    <row r="1595" ht="16" x14ac:dyDescent="0.2"/>
    <row r="1596" ht="16" x14ac:dyDescent="0.2"/>
    <row r="1597" ht="16" x14ac:dyDescent="0.2"/>
    <row r="1598" ht="16" x14ac:dyDescent="0.2"/>
    <row r="1599" ht="16" x14ac:dyDescent="0.2"/>
    <row r="1600" ht="16" x14ac:dyDescent="0.2"/>
    <row r="1601" ht="16" x14ac:dyDescent="0.2"/>
    <row r="1602" ht="16" x14ac:dyDescent="0.2"/>
    <row r="1603" ht="16" x14ac:dyDescent="0.2"/>
    <row r="1604" ht="16" x14ac:dyDescent="0.2"/>
    <row r="1605" ht="16" x14ac:dyDescent="0.2"/>
    <row r="1606" ht="16" x14ac:dyDescent="0.2"/>
    <row r="1607" ht="16" x14ac:dyDescent="0.2"/>
    <row r="1608" ht="16" x14ac:dyDescent="0.2"/>
    <row r="1609" ht="16" x14ac:dyDescent="0.2"/>
    <row r="1610" ht="16" x14ac:dyDescent="0.2"/>
    <row r="1611" ht="16" x14ac:dyDescent="0.2"/>
    <row r="1612" ht="16" x14ac:dyDescent="0.2"/>
    <row r="1613" ht="16" x14ac:dyDescent="0.2"/>
    <row r="1614" ht="16" x14ac:dyDescent="0.2"/>
    <row r="1615" ht="16" x14ac:dyDescent="0.2"/>
    <row r="1616" ht="16" x14ac:dyDescent="0.2"/>
    <row r="1617" ht="16" x14ac:dyDescent="0.2"/>
    <row r="1618" ht="16" x14ac:dyDescent="0.2"/>
    <row r="1619" ht="16" x14ac:dyDescent="0.2"/>
    <row r="1620" ht="16" x14ac:dyDescent="0.2"/>
    <row r="1621" ht="16" x14ac:dyDescent="0.2"/>
    <row r="1622" ht="16" x14ac:dyDescent="0.2"/>
    <row r="1623" ht="16" x14ac:dyDescent="0.2"/>
    <row r="1624" ht="16" x14ac:dyDescent="0.2"/>
    <row r="1625" ht="16" x14ac:dyDescent="0.2"/>
    <row r="1626" ht="16" x14ac:dyDescent="0.2"/>
    <row r="1627" ht="16" x14ac:dyDescent="0.2"/>
    <row r="1628" ht="16" x14ac:dyDescent="0.2"/>
    <row r="1629" ht="16" x14ac:dyDescent="0.2"/>
    <row r="1630" ht="16" x14ac:dyDescent="0.2"/>
    <row r="1631" ht="16" x14ac:dyDescent="0.2"/>
    <row r="1632" ht="16" x14ac:dyDescent="0.2"/>
    <row r="1633" ht="16" x14ac:dyDescent="0.2"/>
    <row r="1634" ht="16" x14ac:dyDescent="0.2"/>
    <row r="1635" ht="16" x14ac:dyDescent="0.2"/>
    <row r="1636" ht="16" x14ac:dyDescent="0.2"/>
    <row r="1637" ht="16" x14ac:dyDescent="0.2"/>
    <row r="1638" ht="16" x14ac:dyDescent="0.2"/>
    <row r="1639" ht="16" x14ac:dyDescent="0.2"/>
    <row r="1640" ht="16" x14ac:dyDescent="0.2"/>
    <row r="1641" ht="16" x14ac:dyDescent="0.2"/>
    <row r="1642" ht="16" x14ac:dyDescent="0.2"/>
    <row r="1643" ht="16" x14ac:dyDescent="0.2"/>
    <row r="1644" ht="16" x14ac:dyDescent="0.2"/>
    <row r="1645" ht="16" x14ac:dyDescent="0.2"/>
    <row r="1646" ht="16" x14ac:dyDescent="0.2"/>
    <row r="1647" ht="16" x14ac:dyDescent="0.2"/>
    <row r="1648" ht="16" x14ac:dyDescent="0.2"/>
    <row r="1649" ht="16" x14ac:dyDescent="0.2"/>
    <row r="1650" ht="16" x14ac:dyDescent="0.2"/>
    <row r="1651" ht="16" x14ac:dyDescent="0.2"/>
    <row r="1652" ht="16" x14ac:dyDescent="0.2"/>
    <row r="1653" ht="16" x14ac:dyDescent="0.2"/>
    <row r="1654" ht="16" x14ac:dyDescent="0.2"/>
    <row r="1655" ht="16" x14ac:dyDescent="0.2"/>
    <row r="1656" ht="16" x14ac:dyDescent="0.2"/>
    <row r="1657" ht="16" x14ac:dyDescent="0.2"/>
    <row r="1658" ht="16" x14ac:dyDescent="0.2"/>
    <row r="1659" ht="16" x14ac:dyDescent="0.2"/>
    <row r="1660" ht="16" x14ac:dyDescent="0.2"/>
    <row r="1661" ht="16" x14ac:dyDescent="0.2"/>
    <row r="1662" ht="16" x14ac:dyDescent="0.2"/>
    <row r="1663" ht="16" x14ac:dyDescent="0.2"/>
    <row r="1664" ht="16" x14ac:dyDescent="0.2"/>
    <row r="1665" ht="16" x14ac:dyDescent="0.2"/>
    <row r="1666" ht="16" x14ac:dyDescent="0.2"/>
    <row r="1667" ht="16" x14ac:dyDescent="0.2"/>
    <row r="1668" ht="16" x14ac:dyDescent="0.2"/>
    <row r="1669" ht="16" x14ac:dyDescent="0.2"/>
    <row r="1670" ht="16" x14ac:dyDescent="0.2"/>
    <row r="1671" ht="16" x14ac:dyDescent="0.2"/>
    <row r="1672" ht="16" x14ac:dyDescent="0.2"/>
    <row r="1673" ht="16" x14ac:dyDescent="0.2"/>
    <row r="1674" ht="16" x14ac:dyDescent="0.2"/>
    <row r="1675" ht="16" x14ac:dyDescent="0.2"/>
    <row r="1676" ht="16" x14ac:dyDescent="0.2"/>
    <row r="1677" ht="16" x14ac:dyDescent="0.2"/>
    <row r="1678" ht="16" x14ac:dyDescent="0.2"/>
    <row r="1679" ht="16" x14ac:dyDescent="0.2"/>
    <row r="1680" ht="16" x14ac:dyDescent="0.2"/>
    <row r="1681" ht="16" x14ac:dyDescent="0.2"/>
    <row r="1682" ht="16" x14ac:dyDescent="0.2"/>
    <row r="1683" ht="16" x14ac:dyDescent="0.2"/>
    <row r="1684" ht="16" x14ac:dyDescent="0.2"/>
    <row r="1685" ht="16" x14ac:dyDescent="0.2"/>
    <row r="1686" ht="16" x14ac:dyDescent="0.2"/>
    <row r="1687" ht="16" x14ac:dyDescent="0.2"/>
    <row r="1688" ht="16" x14ac:dyDescent="0.2"/>
    <row r="1689" ht="16" x14ac:dyDescent="0.2"/>
    <row r="1690" ht="16" x14ac:dyDescent="0.2"/>
    <row r="1691" ht="16" x14ac:dyDescent="0.2"/>
    <row r="1692" ht="16" x14ac:dyDescent="0.2"/>
    <row r="1693" ht="16" x14ac:dyDescent="0.2"/>
    <row r="1694" ht="16" x14ac:dyDescent="0.2"/>
    <row r="1695" ht="16" x14ac:dyDescent="0.2"/>
    <row r="1696" ht="16" x14ac:dyDescent="0.2"/>
    <row r="1697" ht="16" x14ac:dyDescent="0.2"/>
    <row r="1698" ht="16" x14ac:dyDescent="0.2"/>
    <row r="1699" ht="16" x14ac:dyDescent="0.2"/>
    <row r="1700" ht="16" x14ac:dyDescent="0.2"/>
    <row r="1701" ht="16" x14ac:dyDescent="0.2"/>
    <row r="1702" ht="16" x14ac:dyDescent="0.2"/>
    <row r="1703" ht="16" x14ac:dyDescent="0.2"/>
    <row r="1704" ht="16" x14ac:dyDescent="0.2"/>
    <row r="1705" ht="16" x14ac:dyDescent="0.2"/>
    <row r="1706" ht="16" x14ac:dyDescent="0.2"/>
    <row r="1707" ht="16" x14ac:dyDescent="0.2"/>
    <row r="1708" ht="16" x14ac:dyDescent="0.2"/>
    <row r="1709" ht="16" x14ac:dyDescent="0.2"/>
    <row r="1710" ht="16" x14ac:dyDescent="0.2"/>
    <row r="1711" ht="16" x14ac:dyDescent="0.2"/>
    <row r="1712" ht="16" x14ac:dyDescent="0.2"/>
    <row r="1713" ht="16" x14ac:dyDescent="0.2"/>
    <row r="1714" ht="16" x14ac:dyDescent="0.2"/>
    <row r="1715" ht="16" x14ac:dyDescent="0.2"/>
    <row r="1716" ht="16" x14ac:dyDescent="0.2"/>
    <row r="1717" ht="16" x14ac:dyDescent="0.2"/>
    <row r="1718" ht="16" x14ac:dyDescent="0.2"/>
    <row r="1719" ht="16" x14ac:dyDescent="0.2"/>
    <row r="1720" ht="16" x14ac:dyDescent="0.2"/>
    <row r="1721" ht="16" x14ac:dyDescent="0.2"/>
    <row r="1722" ht="16" x14ac:dyDescent="0.2"/>
    <row r="1723" ht="16" x14ac:dyDescent="0.2"/>
    <row r="1724" ht="16" x14ac:dyDescent="0.2"/>
    <row r="1725" ht="16" x14ac:dyDescent="0.2"/>
    <row r="1726" ht="16" x14ac:dyDescent="0.2"/>
    <row r="1727" ht="16" x14ac:dyDescent="0.2"/>
    <row r="1728" ht="16" x14ac:dyDescent="0.2"/>
    <row r="1729" ht="16" x14ac:dyDescent="0.2"/>
    <row r="1730" ht="16" x14ac:dyDescent="0.2"/>
    <row r="1731" ht="16" x14ac:dyDescent="0.2"/>
    <row r="1732" ht="16" x14ac:dyDescent="0.2"/>
    <row r="1733" ht="16" x14ac:dyDescent="0.2"/>
    <row r="1734" ht="16" x14ac:dyDescent="0.2"/>
    <row r="1735" ht="16" x14ac:dyDescent="0.2"/>
    <row r="1736" ht="16" x14ac:dyDescent="0.2"/>
    <row r="1737" ht="16" x14ac:dyDescent="0.2"/>
    <row r="1738" ht="16" x14ac:dyDescent="0.2"/>
    <row r="1739" ht="16" x14ac:dyDescent="0.2"/>
    <row r="1740" ht="16" x14ac:dyDescent="0.2"/>
    <row r="1741" ht="16" x14ac:dyDescent="0.2"/>
    <row r="1742" ht="16" x14ac:dyDescent="0.2"/>
    <row r="1743" ht="16" x14ac:dyDescent="0.2"/>
    <row r="1744" ht="16" x14ac:dyDescent="0.2"/>
    <row r="1745" ht="16" x14ac:dyDescent="0.2"/>
    <row r="1746" ht="16" x14ac:dyDescent="0.2"/>
    <row r="1747" ht="16" x14ac:dyDescent="0.2"/>
    <row r="1748" ht="16" x14ac:dyDescent="0.2"/>
    <row r="1749" ht="16" x14ac:dyDescent="0.2"/>
    <row r="1750" ht="16" x14ac:dyDescent="0.2"/>
    <row r="1751" ht="16" x14ac:dyDescent="0.2"/>
    <row r="1752" ht="16" x14ac:dyDescent="0.2"/>
    <row r="1753" ht="16" x14ac:dyDescent="0.2"/>
    <row r="1754" ht="16" x14ac:dyDescent="0.2"/>
    <row r="1755" ht="16" x14ac:dyDescent="0.2"/>
    <row r="1756" ht="16" x14ac:dyDescent="0.2"/>
    <row r="1757" ht="16" x14ac:dyDescent="0.2"/>
    <row r="1758" ht="16" x14ac:dyDescent="0.2"/>
    <row r="1759" ht="16" x14ac:dyDescent="0.2"/>
    <row r="1760" ht="16" x14ac:dyDescent="0.2"/>
    <row r="1761" ht="16" x14ac:dyDescent="0.2"/>
    <row r="1762" ht="16" x14ac:dyDescent="0.2"/>
    <row r="1763" ht="16" x14ac:dyDescent="0.2"/>
    <row r="1764" ht="16" x14ac:dyDescent="0.2"/>
    <row r="1765" ht="16" x14ac:dyDescent="0.2"/>
    <row r="1766" ht="16" x14ac:dyDescent="0.2"/>
    <row r="1767" ht="16" x14ac:dyDescent="0.2"/>
    <row r="1768" ht="16" x14ac:dyDescent="0.2"/>
    <row r="1769" ht="16" x14ac:dyDescent="0.2"/>
    <row r="1770" ht="16" x14ac:dyDescent="0.2"/>
    <row r="1771" ht="16" x14ac:dyDescent="0.2"/>
    <row r="1772" ht="16" x14ac:dyDescent="0.2"/>
    <row r="1773" ht="16" x14ac:dyDescent="0.2"/>
    <row r="1774" ht="16" x14ac:dyDescent="0.2"/>
    <row r="1775" ht="16" x14ac:dyDescent="0.2"/>
    <row r="1776" ht="16" x14ac:dyDescent="0.2"/>
    <row r="1777" ht="16" x14ac:dyDescent="0.2"/>
    <row r="1778" ht="16" x14ac:dyDescent="0.2"/>
    <row r="1779" ht="16" x14ac:dyDescent="0.2"/>
    <row r="1780" ht="16" x14ac:dyDescent="0.2"/>
    <row r="1781" ht="16" x14ac:dyDescent="0.2"/>
    <row r="1782" ht="16" x14ac:dyDescent="0.2"/>
    <row r="1783" ht="16" x14ac:dyDescent="0.2"/>
    <row r="1784" ht="16" x14ac:dyDescent="0.2"/>
    <row r="1785" ht="16" x14ac:dyDescent="0.2"/>
    <row r="1786" ht="16" x14ac:dyDescent="0.2"/>
    <row r="1787" ht="16" x14ac:dyDescent="0.2"/>
    <row r="1788" ht="16" x14ac:dyDescent="0.2"/>
    <row r="1789" ht="16" x14ac:dyDescent="0.2"/>
    <row r="1790" ht="16" x14ac:dyDescent="0.2"/>
    <row r="1791" ht="16" x14ac:dyDescent="0.2"/>
    <row r="1792" ht="16" x14ac:dyDescent="0.2"/>
    <row r="1793" ht="16" x14ac:dyDescent="0.2"/>
    <row r="1794" ht="16" x14ac:dyDescent="0.2"/>
    <row r="1795" ht="16" x14ac:dyDescent="0.2"/>
    <row r="1796" ht="16" x14ac:dyDescent="0.2"/>
    <row r="1797" ht="16" x14ac:dyDescent="0.2"/>
    <row r="1798" ht="16" x14ac:dyDescent="0.2"/>
    <row r="1799" ht="16" x14ac:dyDescent="0.2"/>
    <row r="1800" ht="16" x14ac:dyDescent="0.2"/>
    <row r="1801" ht="16" x14ac:dyDescent="0.2"/>
    <row r="1802" ht="16" x14ac:dyDescent="0.2"/>
    <row r="1803" ht="16" x14ac:dyDescent="0.2"/>
    <row r="1804" ht="16" x14ac:dyDescent="0.2"/>
    <row r="1805" ht="16" x14ac:dyDescent="0.2"/>
    <row r="1806" ht="16" x14ac:dyDescent="0.2"/>
    <row r="1807" ht="16" x14ac:dyDescent="0.2"/>
    <row r="1808" ht="16" x14ac:dyDescent="0.2"/>
    <row r="1809" ht="16" x14ac:dyDescent="0.2"/>
    <row r="1810" ht="16" x14ac:dyDescent="0.2"/>
    <row r="1811" ht="16" x14ac:dyDescent="0.2"/>
    <row r="1812" ht="16" x14ac:dyDescent="0.2"/>
    <row r="1813" ht="16" x14ac:dyDescent="0.2"/>
    <row r="1814" ht="16" x14ac:dyDescent="0.2"/>
    <row r="1815" ht="16" x14ac:dyDescent="0.2"/>
    <row r="1816" ht="16" x14ac:dyDescent="0.2"/>
    <row r="1817" ht="16" x14ac:dyDescent="0.2"/>
    <row r="1818" ht="16" x14ac:dyDescent="0.2"/>
    <row r="1819" ht="16" x14ac:dyDescent="0.2"/>
    <row r="1820" ht="16" x14ac:dyDescent="0.2"/>
    <row r="1821" ht="16" x14ac:dyDescent="0.2"/>
    <row r="1822" ht="16" x14ac:dyDescent="0.2"/>
    <row r="1823" ht="16" x14ac:dyDescent="0.2"/>
    <row r="1824" ht="16" x14ac:dyDescent="0.2"/>
    <row r="1825" ht="16" x14ac:dyDescent="0.2"/>
    <row r="1826" ht="16" x14ac:dyDescent="0.2"/>
    <row r="1827" ht="16" x14ac:dyDescent="0.2"/>
    <row r="1828" ht="16" x14ac:dyDescent="0.2"/>
    <row r="1829" ht="16" x14ac:dyDescent="0.2"/>
    <row r="1830" ht="16" x14ac:dyDescent="0.2"/>
    <row r="1831" ht="16" x14ac:dyDescent="0.2"/>
    <row r="1832" ht="16" x14ac:dyDescent="0.2"/>
    <row r="1833" ht="16" x14ac:dyDescent="0.2"/>
    <row r="1834" ht="16" x14ac:dyDescent="0.2"/>
    <row r="1835" ht="16" x14ac:dyDescent="0.2"/>
    <row r="1836" ht="16" x14ac:dyDescent="0.2"/>
    <row r="1837" ht="16" x14ac:dyDescent="0.2"/>
    <row r="1838" ht="16" x14ac:dyDescent="0.2"/>
    <row r="1839" ht="16" x14ac:dyDescent="0.2"/>
    <row r="1840" ht="16" x14ac:dyDescent="0.2"/>
    <row r="1841" ht="16" x14ac:dyDescent="0.2"/>
    <row r="1842" ht="16" x14ac:dyDescent="0.2"/>
    <row r="1843" ht="16" x14ac:dyDescent="0.2"/>
    <row r="1844" ht="16" x14ac:dyDescent="0.2"/>
    <row r="1845" ht="16" x14ac:dyDescent="0.2"/>
    <row r="1846" ht="16" x14ac:dyDescent="0.2"/>
    <row r="1847" ht="16" x14ac:dyDescent="0.2"/>
    <row r="1848" ht="16" x14ac:dyDescent="0.2"/>
    <row r="1849" ht="16" x14ac:dyDescent="0.2"/>
    <row r="1850" ht="16" x14ac:dyDescent="0.2"/>
    <row r="1851" ht="16" x14ac:dyDescent="0.2"/>
    <row r="1852" ht="16" x14ac:dyDescent="0.2"/>
    <row r="1853" ht="16" x14ac:dyDescent="0.2"/>
    <row r="1854" ht="16" x14ac:dyDescent="0.2"/>
    <row r="1855" ht="16" x14ac:dyDescent="0.2"/>
    <row r="1856" ht="16" x14ac:dyDescent="0.2"/>
    <row r="1857" ht="16" x14ac:dyDescent="0.2"/>
    <row r="1858" ht="16" x14ac:dyDescent="0.2"/>
    <row r="1859" ht="16" x14ac:dyDescent="0.2"/>
    <row r="1860" ht="16" x14ac:dyDescent="0.2"/>
    <row r="1861" ht="16" x14ac:dyDescent="0.2"/>
    <row r="1862" ht="16" x14ac:dyDescent="0.2"/>
    <row r="1863" ht="16" x14ac:dyDescent="0.2"/>
    <row r="1864" ht="16" x14ac:dyDescent="0.2"/>
    <row r="1865" ht="16" x14ac:dyDescent="0.2"/>
    <row r="1866" ht="16" x14ac:dyDescent="0.2"/>
    <row r="1867" ht="16" x14ac:dyDescent="0.2"/>
    <row r="1868" ht="16" x14ac:dyDescent="0.2"/>
    <row r="1869" ht="16" x14ac:dyDescent="0.2"/>
    <row r="1870" ht="16" x14ac:dyDescent="0.2"/>
    <row r="1871" ht="16" x14ac:dyDescent="0.2"/>
    <row r="1872" ht="16" x14ac:dyDescent="0.2"/>
    <row r="1873" ht="16" x14ac:dyDescent="0.2"/>
    <row r="1874" ht="16" x14ac:dyDescent="0.2"/>
    <row r="1875" ht="16" x14ac:dyDescent="0.2"/>
    <row r="1876" ht="16" x14ac:dyDescent="0.2"/>
    <row r="1877" ht="16" x14ac:dyDescent="0.2"/>
    <row r="1878" ht="16" x14ac:dyDescent="0.2"/>
    <row r="1879" ht="16" x14ac:dyDescent="0.2"/>
    <row r="1880" ht="16" x14ac:dyDescent="0.2"/>
    <row r="1881" ht="16" x14ac:dyDescent="0.2"/>
    <row r="1882" ht="16" x14ac:dyDescent="0.2"/>
    <row r="1883" ht="16" x14ac:dyDescent="0.2"/>
    <row r="1884" ht="16" x14ac:dyDescent="0.2"/>
    <row r="1885" ht="16" x14ac:dyDescent="0.2"/>
    <row r="1886" ht="16" x14ac:dyDescent="0.2"/>
    <row r="1887" ht="16" x14ac:dyDescent="0.2"/>
    <row r="1888" ht="16" x14ac:dyDescent="0.2"/>
    <row r="1889" ht="16" x14ac:dyDescent="0.2"/>
    <row r="1890" ht="16" x14ac:dyDescent="0.2"/>
    <row r="1891" ht="16" x14ac:dyDescent="0.2"/>
    <row r="1892" ht="16" x14ac:dyDescent="0.2"/>
    <row r="1893" ht="16" x14ac:dyDescent="0.2"/>
    <row r="1894" ht="16" x14ac:dyDescent="0.2"/>
    <row r="1895" ht="16" x14ac:dyDescent="0.2"/>
    <row r="1896" ht="16" x14ac:dyDescent="0.2"/>
    <row r="1897" ht="16" x14ac:dyDescent="0.2"/>
    <row r="1898" ht="16" x14ac:dyDescent="0.2"/>
    <row r="1899" ht="16" x14ac:dyDescent="0.2"/>
    <row r="1900" ht="16" x14ac:dyDescent="0.2"/>
    <row r="1901" ht="16" x14ac:dyDescent="0.2"/>
    <row r="1902" ht="16" x14ac:dyDescent="0.2"/>
    <row r="1903" ht="16" x14ac:dyDescent="0.2"/>
    <row r="1904" ht="16" x14ac:dyDescent="0.2"/>
    <row r="1905" ht="16" x14ac:dyDescent="0.2"/>
    <row r="1906" ht="16" x14ac:dyDescent="0.2"/>
    <row r="1907" ht="16" x14ac:dyDescent="0.2"/>
    <row r="1908" ht="16" x14ac:dyDescent="0.2"/>
    <row r="1909" ht="16" x14ac:dyDescent="0.2"/>
    <row r="1910" ht="16" x14ac:dyDescent="0.2"/>
    <row r="1911" ht="16" x14ac:dyDescent="0.2"/>
    <row r="1912" ht="16" x14ac:dyDescent="0.2"/>
    <row r="1913" ht="16" x14ac:dyDescent="0.2"/>
    <row r="1914" ht="16" x14ac:dyDescent="0.2"/>
    <row r="1915" ht="16" x14ac:dyDescent="0.2"/>
    <row r="1916" ht="16" x14ac:dyDescent="0.2"/>
    <row r="1917" ht="16" x14ac:dyDescent="0.2"/>
    <row r="1918" ht="16" x14ac:dyDescent="0.2"/>
    <row r="1919" ht="16" x14ac:dyDescent="0.2"/>
    <row r="1920" ht="16" x14ac:dyDescent="0.2"/>
    <row r="1921" ht="16" x14ac:dyDescent="0.2"/>
    <row r="1922" ht="16" x14ac:dyDescent="0.2"/>
    <row r="1923" ht="16" x14ac:dyDescent="0.2"/>
    <row r="1924" ht="16" x14ac:dyDescent="0.2"/>
    <row r="1925" ht="16" x14ac:dyDescent="0.2"/>
    <row r="1926" ht="16" x14ac:dyDescent="0.2"/>
    <row r="1927" ht="16" x14ac:dyDescent="0.2"/>
    <row r="1928" ht="16" x14ac:dyDescent="0.2"/>
    <row r="1929" ht="16" x14ac:dyDescent="0.2"/>
    <row r="1930" ht="16" x14ac:dyDescent="0.2"/>
    <row r="1931" ht="16" x14ac:dyDescent="0.2"/>
    <row r="1932" ht="16" x14ac:dyDescent="0.2"/>
    <row r="1933" ht="16" x14ac:dyDescent="0.2"/>
    <row r="1934" ht="16" x14ac:dyDescent="0.2"/>
    <row r="1935" ht="16" x14ac:dyDescent="0.2"/>
    <row r="1936" ht="16" x14ac:dyDescent="0.2"/>
    <row r="1937" ht="16" x14ac:dyDescent="0.2"/>
    <row r="1938" ht="16" x14ac:dyDescent="0.2"/>
    <row r="1939" ht="16" x14ac:dyDescent="0.2"/>
    <row r="1940" ht="16" x14ac:dyDescent="0.2"/>
    <row r="1941" ht="16" x14ac:dyDescent="0.2"/>
    <row r="1942" ht="16" x14ac:dyDescent="0.2"/>
    <row r="1943" ht="16" x14ac:dyDescent="0.2"/>
    <row r="1944" ht="16" x14ac:dyDescent="0.2"/>
    <row r="1945" ht="16" x14ac:dyDescent="0.2"/>
    <row r="1946" ht="16" x14ac:dyDescent="0.2"/>
    <row r="1947" ht="16" x14ac:dyDescent="0.2"/>
    <row r="1948" ht="16" x14ac:dyDescent="0.2"/>
    <row r="1949" ht="16" x14ac:dyDescent="0.2"/>
    <row r="1950" ht="16" x14ac:dyDescent="0.2"/>
    <row r="1951" ht="16" x14ac:dyDescent="0.2"/>
    <row r="1952" ht="16" x14ac:dyDescent="0.2"/>
    <row r="1953" ht="16" x14ac:dyDescent="0.2"/>
    <row r="1954" ht="16" x14ac:dyDescent="0.2"/>
    <row r="1955" ht="16" x14ac:dyDescent="0.2"/>
    <row r="1956" ht="16" x14ac:dyDescent="0.2"/>
    <row r="1957" ht="16" x14ac:dyDescent="0.2"/>
    <row r="1958" ht="16" x14ac:dyDescent="0.2"/>
    <row r="1959" ht="16" x14ac:dyDescent="0.2"/>
    <row r="1960" ht="16" x14ac:dyDescent="0.2"/>
    <row r="1961" ht="16" x14ac:dyDescent="0.2"/>
    <row r="1962" ht="16" x14ac:dyDescent="0.2"/>
    <row r="1963" ht="16" x14ac:dyDescent="0.2"/>
    <row r="1964" ht="16" x14ac:dyDescent="0.2"/>
    <row r="1965" ht="16" x14ac:dyDescent="0.2"/>
    <row r="1966" ht="16" x14ac:dyDescent="0.2"/>
    <row r="1967" ht="16" x14ac:dyDescent="0.2"/>
    <row r="1968" ht="16" x14ac:dyDescent="0.2"/>
    <row r="1969" ht="16" x14ac:dyDescent="0.2"/>
    <row r="1970" ht="16" x14ac:dyDescent="0.2"/>
    <row r="1971" ht="16" x14ac:dyDescent="0.2"/>
    <row r="1972" ht="16" x14ac:dyDescent="0.2"/>
    <row r="1973" ht="16" x14ac:dyDescent="0.2"/>
    <row r="1974" ht="16" x14ac:dyDescent="0.2"/>
    <row r="1975" ht="16" x14ac:dyDescent="0.2"/>
    <row r="1976" ht="16" x14ac:dyDescent="0.2"/>
    <row r="1977" ht="16" x14ac:dyDescent="0.2"/>
    <row r="1978" ht="16" x14ac:dyDescent="0.2"/>
    <row r="1979" ht="16" x14ac:dyDescent="0.2"/>
    <row r="1980" ht="16" x14ac:dyDescent="0.2"/>
    <row r="1981" ht="16" x14ac:dyDescent="0.2"/>
    <row r="1982" ht="16" x14ac:dyDescent="0.2"/>
    <row r="1983" ht="16" x14ac:dyDescent="0.2"/>
    <row r="1984" ht="16" x14ac:dyDescent="0.2"/>
    <row r="1985" ht="16" x14ac:dyDescent="0.2"/>
    <row r="1986" ht="16" x14ac:dyDescent="0.2"/>
    <row r="1987" ht="16" x14ac:dyDescent="0.2"/>
    <row r="1988" ht="16" x14ac:dyDescent="0.2"/>
    <row r="1989" ht="16" x14ac:dyDescent="0.2"/>
    <row r="1990" ht="16" x14ac:dyDescent="0.2"/>
    <row r="1991" ht="16" x14ac:dyDescent="0.2"/>
    <row r="1992" ht="16" x14ac:dyDescent="0.2"/>
    <row r="1993" ht="16" x14ac:dyDescent="0.2"/>
    <row r="1994" ht="16" x14ac:dyDescent="0.2"/>
    <row r="1995" ht="16" x14ac:dyDescent="0.2"/>
    <row r="1996" ht="16" x14ac:dyDescent="0.2"/>
    <row r="1997" ht="16" x14ac:dyDescent="0.2"/>
    <row r="1998" ht="16" x14ac:dyDescent="0.2"/>
    <row r="1999" ht="16" x14ac:dyDescent="0.2"/>
    <row r="2000" ht="16" x14ac:dyDescent="0.2"/>
    <row r="2001" ht="16" x14ac:dyDescent="0.2"/>
    <row r="2002" ht="16" x14ac:dyDescent="0.2"/>
    <row r="2003" ht="16" x14ac:dyDescent="0.2"/>
    <row r="2004" ht="16" x14ac:dyDescent="0.2"/>
    <row r="2005" ht="16" x14ac:dyDescent="0.2"/>
    <row r="2006" ht="16" x14ac:dyDescent="0.2"/>
    <row r="2007" ht="16" x14ac:dyDescent="0.2"/>
    <row r="2008" ht="16" x14ac:dyDescent="0.2"/>
    <row r="2009" ht="16" x14ac:dyDescent="0.2"/>
    <row r="2010" ht="16" x14ac:dyDescent="0.2"/>
    <row r="2011" ht="16" x14ac:dyDescent="0.2"/>
    <row r="2012" ht="16" x14ac:dyDescent="0.2"/>
    <row r="2013" ht="16" x14ac:dyDescent="0.2"/>
    <row r="2014" ht="16" x14ac:dyDescent="0.2"/>
    <row r="2015" ht="16" x14ac:dyDescent="0.2"/>
    <row r="2016" ht="16" x14ac:dyDescent="0.2"/>
    <row r="2017" ht="16" x14ac:dyDescent="0.2"/>
    <row r="2018" ht="16" x14ac:dyDescent="0.2"/>
    <row r="2019" ht="16" x14ac:dyDescent="0.2"/>
    <row r="2020" ht="16" x14ac:dyDescent="0.2"/>
    <row r="2021" ht="16" x14ac:dyDescent="0.2"/>
    <row r="2022" ht="16" x14ac:dyDescent="0.2"/>
    <row r="2023" ht="16" x14ac:dyDescent="0.2"/>
    <row r="2024" ht="16" x14ac:dyDescent="0.2"/>
    <row r="2025" ht="16" x14ac:dyDescent="0.2"/>
    <row r="2026" ht="16" x14ac:dyDescent="0.2"/>
    <row r="2027" ht="16" x14ac:dyDescent="0.2"/>
    <row r="2028" ht="16" x14ac:dyDescent="0.2"/>
    <row r="2029" ht="16" x14ac:dyDescent="0.2"/>
    <row r="2030" ht="16" x14ac:dyDescent="0.2"/>
    <row r="2031" ht="16" x14ac:dyDescent="0.2"/>
    <row r="2032" ht="16" x14ac:dyDescent="0.2"/>
    <row r="2033" ht="16" x14ac:dyDescent="0.2"/>
    <row r="2034" ht="16" x14ac:dyDescent="0.2"/>
    <row r="2035" ht="16" x14ac:dyDescent="0.2"/>
    <row r="2036" ht="16" x14ac:dyDescent="0.2"/>
    <row r="2037" ht="16" x14ac:dyDescent="0.2"/>
    <row r="2038" ht="16" x14ac:dyDescent="0.2"/>
    <row r="2039" ht="16" x14ac:dyDescent="0.2"/>
    <row r="2040" ht="16" x14ac:dyDescent="0.2"/>
    <row r="2041" ht="16" x14ac:dyDescent="0.2"/>
    <row r="2042" ht="16" x14ac:dyDescent="0.2"/>
    <row r="2043" ht="16" x14ac:dyDescent="0.2"/>
    <row r="2044" ht="16" x14ac:dyDescent="0.2"/>
    <row r="2045" ht="16" x14ac:dyDescent="0.2"/>
    <row r="2046" ht="16" x14ac:dyDescent="0.2"/>
    <row r="2047" ht="16" x14ac:dyDescent="0.2"/>
    <row r="2048" ht="16" x14ac:dyDescent="0.2"/>
    <row r="2049" ht="16" x14ac:dyDescent="0.2"/>
    <row r="2050" ht="16" x14ac:dyDescent="0.2"/>
    <row r="2051" ht="16" x14ac:dyDescent="0.2"/>
    <row r="2052" ht="16" x14ac:dyDescent="0.2"/>
    <row r="2053" ht="16" x14ac:dyDescent="0.2"/>
    <row r="2054" ht="16" x14ac:dyDescent="0.2"/>
    <row r="2055" ht="16" x14ac:dyDescent="0.2"/>
    <row r="2056" ht="16" x14ac:dyDescent="0.2"/>
    <row r="2057" ht="16" x14ac:dyDescent="0.2"/>
    <row r="2058" ht="16" x14ac:dyDescent="0.2"/>
    <row r="2059" ht="16" x14ac:dyDescent="0.2"/>
    <row r="2060" ht="16" x14ac:dyDescent="0.2"/>
    <row r="2061" ht="16" x14ac:dyDescent="0.2"/>
    <row r="2062" ht="16" x14ac:dyDescent="0.2"/>
    <row r="2063" ht="16" x14ac:dyDescent="0.2"/>
    <row r="2064" ht="16" x14ac:dyDescent="0.2"/>
    <row r="2065" ht="16" x14ac:dyDescent="0.2"/>
    <row r="2066" ht="16" x14ac:dyDescent="0.2"/>
    <row r="2067" ht="16" x14ac:dyDescent="0.2"/>
    <row r="2068" ht="16" x14ac:dyDescent="0.2"/>
    <row r="2069" ht="16" x14ac:dyDescent="0.2"/>
    <row r="2070" ht="16" x14ac:dyDescent="0.2"/>
    <row r="2071" ht="16" x14ac:dyDescent="0.2"/>
    <row r="2072" ht="16" x14ac:dyDescent="0.2"/>
    <row r="2073" ht="16" x14ac:dyDescent="0.2"/>
    <row r="2074" ht="16" x14ac:dyDescent="0.2"/>
    <row r="2075" ht="16" x14ac:dyDescent="0.2"/>
    <row r="2076" ht="16" x14ac:dyDescent="0.2"/>
    <row r="2077" ht="16" x14ac:dyDescent="0.2"/>
    <row r="2078" ht="16" x14ac:dyDescent="0.2"/>
    <row r="2079" ht="16" x14ac:dyDescent="0.2"/>
    <row r="2080" ht="16" x14ac:dyDescent="0.2"/>
    <row r="2081" ht="16" x14ac:dyDescent="0.2"/>
    <row r="2082" ht="16" x14ac:dyDescent="0.2"/>
    <row r="2083" ht="16" x14ac:dyDescent="0.2"/>
    <row r="2084" ht="16" x14ac:dyDescent="0.2"/>
    <row r="2085" ht="16" x14ac:dyDescent="0.2"/>
    <row r="2086" ht="16" x14ac:dyDescent="0.2"/>
    <row r="2087" ht="16" x14ac:dyDescent="0.2"/>
    <row r="2088" ht="16" x14ac:dyDescent="0.2"/>
    <row r="2089" ht="16" x14ac:dyDescent="0.2"/>
    <row r="2090" ht="16" x14ac:dyDescent="0.2"/>
    <row r="2091" ht="16" x14ac:dyDescent="0.2"/>
    <row r="2092" ht="16" x14ac:dyDescent="0.2"/>
    <row r="2093" ht="16" x14ac:dyDescent="0.2"/>
    <row r="2094" ht="16" x14ac:dyDescent="0.2"/>
    <row r="2095" ht="16" x14ac:dyDescent="0.2"/>
    <row r="2096" ht="16" x14ac:dyDescent="0.2"/>
    <row r="2097" ht="16" x14ac:dyDescent="0.2"/>
    <row r="2098" ht="16" x14ac:dyDescent="0.2"/>
    <row r="2099" ht="16" x14ac:dyDescent="0.2"/>
    <row r="2100" ht="16" x14ac:dyDescent="0.2"/>
    <row r="2101" ht="16" x14ac:dyDescent="0.2"/>
    <row r="2102" ht="16" x14ac:dyDescent="0.2"/>
    <row r="2103" ht="16" x14ac:dyDescent="0.2"/>
    <row r="2104" ht="16" x14ac:dyDescent="0.2"/>
    <row r="2105" ht="16" x14ac:dyDescent="0.2"/>
    <row r="2106" ht="16" x14ac:dyDescent="0.2"/>
    <row r="2107" ht="16" x14ac:dyDescent="0.2"/>
    <row r="2108" ht="16" x14ac:dyDescent="0.2"/>
    <row r="2109" ht="16" x14ac:dyDescent="0.2"/>
    <row r="2110" ht="16" x14ac:dyDescent="0.2"/>
    <row r="2111" ht="16" x14ac:dyDescent="0.2"/>
    <row r="2112" ht="16" x14ac:dyDescent="0.2"/>
    <row r="2113" ht="16" x14ac:dyDescent="0.2"/>
    <row r="2114" ht="16" x14ac:dyDescent="0.2"/>
    <row r="2115" ht="16" x14ac:dyDescent="0.2"/>
    <row r="2116" ht="16" x14ac:dyDescent="0.2"/>
    <row r="2117" ht="16" x14ac:dyDescent="0.2"/>
    <row r="2118" ht="16" x14ac:dyDescent="0.2"/>
    <row r="2119" ht="16" x14ac:dyDescent="0.2"/>
    <row r="2120" ht="16" x14ac:dyDescent="0.2"/>
    <row r="2121" ht="16" x14ac:dyDescent="0.2"/>
    <row r="2122" ht="16" x14ac:dyDescent="0.2"/>
    <row r="2123" ht="16" x14ac:dyDescent="0.2"/>
    <row r="2124" ht="16" x14ac:dyDescent="0.2"/>
    <row r="2125" ht="16" x14ac:dyDescent="0.2"/>
    <row r="2126" ht="16" x14ac:dyDescent="0.2"/>
    <row r="2127" ht="16" x14ac:dyDescent="0.2"/>
    <row r="2128" ht="16" x14ac:dyDescent="0.2"/>
    <row r="2129" ht="16" x14ac:dyDescent="0.2"/>
    <row r="2130" ht="16" x14ac:dyDescent="0.2"/>
    <row r="2131" ht="16" x14ac:dyDescent="0.2"/>
    <row r="2132" ht="16" x14ac:dyDescent="0.2"/>
    <row r="2133" ht="16" x14ac:dyDescent="0.2"/>
    <row r="2134" ht="16" x14ac:dyDescent="0.2"/>
    <row r="2135" ht="16" x14ac:dyDescent="0.2"/>
    <row r="2136" ht="16" x14ac:dyDescent="0.2"/>
    <row r="2137" ht="16" x14ac:dyDescent="0.2"/>
    <row r="2138" ht="16" x14ac:dyDescent="0.2"/>
    <row r="2139" ht="16" x14ac:dyDescent="0.2"/>
    <row r="2140" ht="16" x14ac:dyDescent="0.2"/>
    <row r="2141" ht="16" x14ac:dyDescent="0.2"/>
    <row r="2142" ht="16" x14ac:dyDescent="0.2"/>
    <row r="2143" ht="16" x14ac:dyDescent="0.2"/>
    <row r="2144" ht="16" x14ac:dyDescent="0.2"/>
    <row r="2145" ht="16" x14ac:dyDescent="0.2"/>
    <row r="2146" ht="16" x14ac:dyDescent="0.2"/>
    <row r="2147" ht="16" x14ac:dyDescent="0.2"/>
    <row r="2148" ht="16" x14ac:dyDescent="0.2"/>
    <row r="2149" ht="16" x14ac:dyDescent="0.2"/>
    <row r="2150" ht="16" x14ac:dyDescent="0.2"/>
    <row r="2151" ht="16" x14ac:dyDescent="0.2"/>
    <row r="2152" ht="16" x14ac:dyDescent="0.2"/>
    <row r="2153" ht="16" x14ac:dyDescent="0.2"/>
    <row r="2154" ht="16" x14ac:dyDescent="0.2"/>
    <row r="2155" ht="16" x14ac:dyDescent="0.2"/>
    <row r="2156" ht="16" x14ac:dyDescent="0.2"/>
    <row r="2157" ht="16" x14ac:dyDescent="0.2"/>
    <row r="2158" ht="16" x14ac:dyDescent="0.2"/>
    <row r="2159" ht="16" x14ac:dyDescent="0.2"/>
    <row r="2160" ht="16" x14ac:dyDescent="0.2"/>
    <row r="2161" ht="16" x14ac:dyDescent="0.2"/>
    <row r="2162" ht="16" x14ac:dyDescent="0.2"/>
    <row r="2163" ht="16" x14ac:dyDescent="0.2"/>
    <row r="2164" ht="16" x14ac:dyDescent="0.2"/>
    <row r="2165" ht="16" x14ac:dyDescent="0.2"/>
    <row r="2166" ht="16" x14ac:dyDescent="0.2"/>
    <row r="2167" ht="16" x14ac:dyDescent="0.2"/>
    <row r="2168" ht="16" x14ac:dyDescent="0.2"/>
    <row r="2169" ht="16" x14ac:dyDescent="0.2"/>
    <row r="2170" ht="16" x14ac:dyDescent="0.2"/>
    <row r="2171" ht="16" x14ac:dyDescent="0.2"/>
    <row r="2172" ht="16" x14ac:dyDescent="0.2"/>
    <row r="2173" ht="16" x14ac:dyDescent="0.2"/>
    <row r="2174" ht="16" x14ac:dyDescent="0.2"/>
    <row r="2175" ht="16" x14ac:dyDescent="0.2"/>
    <row r="2176" ht="16" x14ac:dyDescent="0.2"/>
    <row r="2177" ht="16" x14ac:dyDescent="0.2"/>
    <row r="2178" ht="16" x14ac:dyDescent="0.2"/>
    <row r="2179" ht="16" x14ac:dyDescent="0.2"/>
    <row r="2180" ht="16" x14ac:dyDescent="0.2"/>
    <row r="2181" ht="16" x14ac:dyDescent="0.2"/>
    <row r="2182" ht="16" x14ac:dyDescent="0.2"/>
    <row r="2183" ht="16" x14ac:dyDescent="0.2"/>
    <row r="2184" ht="16" x14ac:dyDescent="0.2"/>
    <row r="2185" ht="16" x14ac:dyDescent="0.2"/>
    <row r="2186" ht="16" x14ac:dyDescent="0.2"/>
    <row r="2187" ht="16" x14ac:dyDescent="0.2"/>
    <row r="2188" ht="16" x14ac:dyDescent="0.2"/>
    <row r="2189" ht="16" x14ac:dyDescent="0.2"/>
    <row r="2190" ht="16" x14ac:dyDescent="0.2"/>
    <row r="2191" ht="16" x14ac:dyDescent="0.2"/>
    <row r="2192" ht="16" x14ac:dyDescent="0.2"/>
    <row r="2193" ht="16" x14ac:dyDescent="0.2"/>
    <row r="2194" ht="16" x14ac:dyDescent="0.2"/>
    <row r="2195" ht="16" x14ac:dyDescent="0.2"/>
    <row r="2196" ht="16" x14ac:dyDescent="0.2"/>
    <row r="2197" ht="16" x14ac:dyDescent="0.2"/>
    <row r="2198" ht="16" x14ac:dyDescent="0.2"/>
    <row r="2199" ht="16" x14ac:dyDescent="0.2"/>
    <row r="2200" ht="16" x14ac:dyDescent="0.2"/>
    <row r="2201" ht="16" x14ac:dyDescent="0.2"/>
    <row r="2202" ht="16" x14ac:dyDescent="0.2"/>
    <row r="2203" ht="16" x14ac:dyDescent="0.2"/>
    <row r="2204" ht="16" x14ac:dyDescent="0.2"/>
    <row r="2205" ht="16" x14ac:dyDescent="0.2"/>
    <row r="2206" ht="16" x14ac:dyDescent="0.2"/>
    <row r="2207" ht="16" x14ac:dyDescent="0.2"/>
    <row r="2208" ht="16" x14ac:dyDescent="0.2"/>
    <row r="2209" ht="16" x14ac:dyDescent="0.2"/>
    <row r="2210" ht="16" x14ac:dyDescent="0.2"/>
    <row r="2211" ht="16" x14ac:dyDescent="0.2"/>
    <row r="2212" ht="16" x14ac:dyDescent="0.2"/>
    <row r="2213" ht="16" x14ac:dyDescent="0.2"/>
    <row r="2214" ht="16" x14ac:dyDescent="0.2"/>
    <row r="2215" ht="16" x14ac:dyDescent="0.2"/>
    <row r="2216" ht="16" x14ac:dyDescent="0.2"/>
    <row r="2217" ht="16" x14ac:dyDescent="0.2"/>
    <row r="2218" ht="16" x14ac:dyDescent="0.2"/>
    <row r="2219" ht="16" x14ac:dyDescent="0.2"/>
    <row r="2220" ht="16" x14ac:dyDescent="0.2"/>
    <row r="2221" ht="16" x14ac:dyDescent="0.2"/>
    <row r="2222" ht="16" x14ac:dyDescent="0.2"/>
    <row r="2223" ht="16" x14ac:dyDescent="0.2"/>
    <row r="2224" ht="16" x14ac:dyDescent="0.2"/>
    <row r="2225" ht="16" x14ac:dyDescent="0.2"/>
    <row r="2226" ht="16" x14ac:dyDescent="0.2"/>
    <row r="2227" ht="16" x14ac:dyDescent="0.2"/>
    <row r="2228" ht="16" x14ac:dyDescent="0.2"/>
    <row r="2229" ht="16" x14ac:dyDescent="0.2"/>
    <row r="2230" ht="16" x14ac:dyDescent="0.2"/>
    <row r="2231" ht="16" x14ac:dyDescent="0.2"/>
    <row r="2232" ht="16" x14ac:dyDescent="0.2"/>
    <row r="2233" ht="16" x14ac:dyDescent="0.2"/>
    <row r="2234" ht="16" x14ac:dyDescent="0.2"/>
    <row r="2235" ht="16" x14ac:dyDescent="0.2"/>
    <row r="2236" ht="16" x14ac:dyDescent="0.2"/>
    <row r="2237" ht="16" x14ac:dyDescent="0.2"/>
    <row r="2238" ht="16" x14ac:dyDescent="0.2"/>
    <row r="2239" ht="16" x14ac:dyDescent="0.2"/>
    <row r="2240" ht="16" x14ac:dyDescent="0.2"/>
    <row r="2241" ht="16" x14ac:dyDescent="0.2"/>
    <row r="2242" ht="16" x14ac:dyDescent="0.2"/>
    <row r="2243" ht="16" x14ac:dyDescent="0.2"/>
    <row r="2244" ht="16" x14ac:dyDescent="0.2"/>
    <row r="2245" ht="16" x14ac:dyDescent="0.2"/>
    <row r="2246" ht="16" x14ac:dyDescent="0.2"/>
    <row r="2247" ht="16" x14ac:dyDescent="0.2"/>
    <row r="2248" ht="16" x14ac:dyDescent="0.2"/>
    <row r="2249" ht="16" x14ac:dyDescent="0.2"/>
    <row r="2250" ht="16" x14ac:dyDescent="0.2"/>
    <row r="2251" ht="16" x14ac:dyDescent="0.2"/>
    <row r="2252" ht="16" x14ac:dyDescent="0.2"/>
    <row r="2253" ht="16" x14ac:dyDescent="0.2"/>
    <row r="2254" ht="16" x14ac:dyDescent="0.2"/>
    <row r="2255" ht="16" x14ac:dyDescent="0.2"/>
    <row r="2256" ht="16" x14ac:dyDescent="0.2"/>
    <row r="2257" ht="16" x14ac:dyDescent="0.2"/>
    <row r="2258" ht="16" x14ac:dyDescent="0.2"/>
    <row r="2259" ht="16" x14ac:dyDescent="0.2"/>
    <row r="2260" ht="16" x14ac:dyDescent="0.2"/>
    <row r="2261" ht="16" x14ac:dyDescent="0.2"/>
    <row r="2262" ht="16" x14ac:dyDescent="0.2"/>
    <row r="2263" ht="16" x14ac:dyDescent="0.2"/>
    <row r="2264" ht="16" x14ac:dyDescent="0.2"/>
    <row r="2265" ht="16" x14ac:dyDescent="0.2"/>
    <row r="2266" ht="16" x14ac:dyDescent="0.2"/>
    <row r="2267" ht="16" x14ac:dyDescent="0.2"/>
    <row r="2268" ht="16" x14ac:dyDescent="0.2"/>
    <row r="2269" ht="16" x14ac:dyDescent="0.2"/>
    <row r="2270" ht="16" x14ac:dyDescent="0.2"/>
    <row r="2271" ht="16" x14ac:dyDescent="0.2"/>
    <row r="2272" ht="16" x14ac:dyDescent="0.2"/>
    <row r="2273" ht="16" x14ac:dyDescent="0.2"/>
    <row r="2274" ht="16" x14ac:dyDescent="0.2"/>
    <row r="2275" ht="16" x14ac:dyDescent="0.2"/>
    <row r="2276" ht="16" x14ac:dyDescent="0.2"/>
    <row r="2277" ht="16" x14ac:dyDescent="0.2"/>
    <row r="2278" ht="16" x14ac:dyDescent="0.2"/>
    <row r="2279" ht="16" x14ac:dyDescent="0.2"/>
    <row r="2280" ht="16" x14ac:dyDescent="0.2"/>
    <row r="2281" ht="16" x14ac:dyDescent="0.2"/>
    <row r="2282" ht="16" x14ac:dyDescent="0.2"/>
    <row r="2283" ht="16" x14ac:dyDescent="0.2"/>
    <row r="2284" ht="16" x14ac:dyDescent="0.2"/>
    <row r="2285" ht="16" x14ac:dyDescent="0.2"/>
    <row r="2286" ht="16" x14ac:dyDescent="0.2"/>
    <row r="2287" ht="16" x14ac:dyDescent="0.2"/>
    <row r="2288" ht="16" x14ac:dyDescent="0.2"/>
    <row r="2289" ht="16" x14ac:dyDescent="0.2"/>
    <row r="2290" ht="16" x14ac:dyDescent="0.2"/>
    <row r="2291" ht="16" x14ac:dyDescent="0.2"/>
    <row r="2292" ht="16" x14ac:dyDescent="0.2"/>
    <row r="2293" ht="16" x14ac:dyDescent="0.2"/>
    <row r="2294" ht="16" x14ac:dyDescent="0.2"/>
    <row r="2295" ht="16" x14ac:dyDescent="0.2"/>
    <row r="2296" ht="16" x14ac:dyDescent="0.2"/>
    <row r="2297" ht="16" x14ac:dyDescent="0.2"/>
    <row r="2298" ht="16" x14ac:dyDescent="0.2"/>
    <row r="2299" ht="16" x14ac:dyDescent="0.2"/>
    <row r="2300" ht="16" x14ac:dyDescent="0.2"/>
    <row r="2301" ht="16" x14ac:dyDescent="0.2"/>
    <row r="2302" ht="16" x14ac:dyDescent="0.2"/>
    <row r="2303" ht="16" x14ac:dyDescent="0.2"/>
    <row r="2304" ht="16" x14ac:dyDescent="0.2"/>
    <row r="2305" ht="16" x14ac:dyDescent="0.2"/>
    <row r="2306" ht="16" x14ac:dyDescent="0.2"/>
    <row r="2307" ht="16" x14ac:dyDescent="0.2"/>
    <row r="2308" ht="16" x14ac:dyDescent="0.2"/>
    <row r="2309" ht="16" x14ac:dyDescent="0.2"/>
    <row r="2310" ht="16" x14ac:dyDescent="0.2"/>
    <row r="2311" ht="16" x14ac:dyDescent="0.2"/>
    <row r="2312" ht="16" x14ac:dyDescent="0.2"/>
    <row r="2313" ht="16" x14ac:dyDescent="0.2"/>
    <row r="2314" ht="16" x14ac:dyDescent="0.2"/>
    <row r="2315" ht="16" x14ac:dyDescent="0.2"/>
    <row r="2316" ht="16" x14ac:dyDescent="0.2"/>
    <row r="2317" ht="16" x14ac:dyDescent="0.2"/>
    <row r="2318" ht="16" x14ac:dyDescent="0.2"/>
    <row r="2319" ht="16" x14ac:dyDescent="0.2"/>
    <row r="2320" ht="16" x14ac:dyDescent="0.2"/>
    <row r="2321" ht="16" x14ac:dyDescent="0.2"/>
    <row r="2322" ht="16" x14ac:dyDescent="0.2"/>
    <row r="2323" ht="16" x14ac:dyDescent="0.2"/>
    <row r="2324" ht="16" x14ac:dyDescent="0.2"/>
    <row r="2325" ht="16" x14ac:dyDescent="0.2"/>
    <row r="2326" ht="16" x14ac:dyDescent="0.2"/>
    <row r="2327" ht="16" x14ac:dyDescent="0.2"/>
    <row r="2328" ht="16" x14ac:dyDescent="0.2"/>
    <row r="2329" ht="16" x14ac:dyDescent="0.2"/>
    <row r="2330" ht="16" x14ac:dyDescent="0.2"/>
    <row r="2331" ht="16" x14ac:dyDescent="0.2"/>
    <row r="2332" ht="16" x14ac:dyDescent="0.2"/>
    <row r="2333" ht="16" x14ac:dyDescent="0.2"/>
    <row r="2334" ht="16" x14ac:dyDescent="0.2"/>
    <row r="2335" ht="16" x14ac:dyDescent="0.2"/>
    <row r="2336" ht="16" x14ac:dyDescent="0.2"/>
    <row r="2337" ht="16" x14ac:dyDescent="0.2"/>
    <row r="2338" ht="16" x14ac:dyDescent="0.2"/>
    <row r="2339" ht="16" x14ac:dyDescent="0.2"/>
    <row r="2340" ht="16" x14ac:dyDescent="0.2"/>
    <row r="2341" ht="16" x14ac:dyDescent="0.2"/>
    <row r="2342" ht="16" x14ac:dyDescent="0.2"/>
    <row r="2343" ht="16" x14ac:dyDescent="0.2"/>
    <row r="2344" ht="16" x14ac:dyDescent="0.2"/>
    <row r="2345" ht="16" x14ac:dyDescent="0.2"/>
    <row r="2346" ht="16" x14ac:dyDescent="0.2"/>
    <row r="2347" ht="16" x14ac:dyDescent="0.2"/>
    <row r="2348" ht="16" x14ac:dyDescent="0.2"/>
    <row r="2349" ht="16" x14ac:dyDescent="0.2"/>
    <row r="2350" ht="16" x14ac:dyDescent="0.2"/>
    <row r="2351" ht="16" x14ac:dyDescent="0.2"/>
    <row r="2352" ht="16" x14ac:dyDescent="0.2"/>
    <row r="2353" ht="16" x14ac:dyDescent="0.2"/>
    <row r="2354" ht="16" x14ac:dyDescent="0.2"/>
    <row r="2355" ht="16" x14ac:dyDescent="0.2"/>
    <row r="2356" ht="16" x14ac:dyDescent="0.2"/>
    <row r="2357" ht="16" x14ac:dyDescent="0.2"/>
    <row r="2358" ht="16" x14ac:dyDescent="0.2"/>
    <row r="2359" ht="16" x14ac:dyDescent="0.2"/>
    <row r="2360" ht="16" x14ac:dyDescent="0.2"/>
    <row r="2361" ht="16" x14ac:dyDescent="0.2"/>
    <row r="2362" ht="16" x14ac:dyDescent="0.2"/>
    <row r="2363" ht="16" x14ac:dyDescent="0.2"/>
    <row r="2364" ht="16" x14ac:dyDescent="0.2"/>
    <row r="2365" ht="16" x14ac:dyDescent="0.2"/>
    <row r="2366" ht="16" x14ac:dyDescent="0.2"/>
    <row r="2367" ht="16" x14ac:dyDescent="0.2"/>
    <row r="2368" ht="16" x14ac:dyDescent="0.2"/>
    <row r="2369" ht="16" x14ac:dyDescent="0.2"/>
    <row r="2370" ht="16" x14ac:dyDescent="0.2"/>
    <row r="2371" ht="16" x14ac:dyDescent="0.2"/>
    <row r="2372" ht="16" x14ac:dyDescent="0.2"/>
    <row r="2373" ht="16" x14ac:dyDescent="0.2"/>
    <row r="2374" ht="16" x14ac:dyDescent="0.2"/>
    <row r="2375" ht="16" x14ac:dyDescent="0.2"/>
    <row r="2376" ht="16" x14ac:dyDescent="0.2"/>
    <row r="2377" ht="16" x14ac:dyDescent="0.2"/>
    <row r="2378" ht="16" x14ac:dyDescent="0.2"/>
    <row r="2379" ht="16" x14ac:dyDescent="0.2"/>
    <row r="2380" ht="16" x14ac:dyDescent="0.2"/>
    <row r="2381" ht="16" x14ac:dyDescent="0.2"/>
    <row r="2382" ht="16" x14ac:dyDescent="0.2"/>
    <row r="2383" ht="16" x14ac:dyDescent="0.2"/>
    <row r="2384" ht="16" x14ac:dyDescent="0.2"/>
    <row r="2385" ht="16" x14ac:dyDescent="0.2"/>
    <row r="2386" ht="16" x14ac:dyDescent="0.2"/>
    <row r="2387" ht="16" x14ac:dyDescent="0.2"/>
    <row r="2388" ht="16" x14ac:dyDescent="0.2"/>
    <row r="2389" ht="16" x14ac:dyDescent="0.2"/>
    <row r="2390" ht="16" x14ac:dyDescent="0.2"/>
    <row r="2391" ht="16" x14ac:dyDescent="0.2"/>
    <row r="2392" ht="16" x14ac:dyDescent="0.2"/>
    <row r="2393" ht="16" x14ac:dyDescent="0.2"/>
    <row r="2394" ht="16" x14ac:dyDescent="0.2"/>
    <row r="2395" ht="16" x14ac:dyDescent="0.2"/>
    <row r="2396" ht="16" x14ac:dyDescent="0.2"/>
    <row r="2397" ht="16" x14ac:dyDescent="0.2"/>
    <row r="2398" ht="16" x14ac:dyDescent="0.2"/>
    <row r="2399" ht="16" x14ac:dyDescent="0.2"/>
    <row r="2400" ht="16" x14ac:dyDescent="0.2"/>
    <row r="2401" ht="16" x14ac:dyDescent="0.2"/>
    <row r="2402" ht="16" x14ac:dyDescent="0.2"/>
    <row r="2403" ht="16" x14ac:dyDescent="0.2"/>
    <row r="2404" ht="16" x14ac:dyDescent="0.2"/>
    <row r="2405" ht="16" x14ac:dyDescent="0.2"/>
    <row r="2406" ht="16" x14ac:dyDescent="0.2"/>
    <row r="2407" ht="16" x14ac:dyDescent="0.2"/>
    <row r="2408" ht="16" x14ac:dyDescent="0.2"/>
    <row r="2409" ht="16" x14ac:dyDescent="0.2"/>
    <row r="2410" ht="16" x14ac:dyDescent="0.2"/>
    <row r="2411" ht="16" x14ac:dyDescent="0.2"/>
    <row r="2412" ht="16" x14ac:dyDescent="0.2"/>
    <row r="2413" ht="16" x14ac:dyDescent="0.2"/>
    <row r="2414" ht="16" x14ac:dyDescent="0.2"/>
    <row r="2415" ht="16" x14ac:dyDescent="0.2"/>
    <row r="2416" ht="16" x14ac:dyDescent="0.2"/>
    <row r="2417" ht="16" x14ac:dyDescent="0.2"/>
    <row r="2418" ht="16" x14ac:dyDescent="0.2"/>
    <row r="2419" ht="16" x14ac:dyDescent="0.2"/>
    <row r="2420" ht="16" x14ac:dyDescent="0.2"/>
    <row r="2421" ht="16" x14ac:dyDescent="0.2"/>
    <row r="2422" ht="16" x14ac:dyDescent="0.2"/>
    <row r="2423" ht="16" x14ac:dyDescent="0.2"/>
    <row r="2424" ht="16" x14ac:dyDescent="0.2"/>
    <row r="2425" ht="16" x14ac:dyDescent="0.2"/>
    <row r="2426" ht="16" x14ac:dyDescent="0.2"/>
    <row r="2427" ht="16" x14ac:dyDescent="0.2"/>
    <row r="2428" ht="16" x14ac:dyDescent="0.2"/>
    <row r="2429" ht="16" x14ac:dyDescent="0.2"/>
    <row r="2430" ht="16" x14ac:dyDescent="0.2"/>
    <row r="2431" ht="16" x14ac:dyDescent="0.2"/>
    <row r="2432" ht="16" x14ac:dyDescent="0.2"/>
    <row r="2433" ht="16" x14ac:dyDescent="0.2"/>
    <row r="2434" ht="16" x14ac:dyDescent="0.2"/>
    <row r="2435" ht="16" x14ac:dyDescent="0.2"/>
    <row r="2436" ht="16" x14ac:dyDescent="0.2"/>
    <row r="2437" ht="16" x14ac:dyDescent="0.2"/>
    <row r="2438" ht="16" x14ac:dyDescent="0.2"/>
    <row r="2439" ht="16" x14ac:dyDescent="0.2"/>
    <row r="2440" ht="16" x14ac:dyDescent="0.2"/>
    <row r="2441" ht="16" x14ac:dyDescent="0.2"/>
    <row r="2442" ht="16" x14ac:dyDescent="0.2"/>
    <row r="2443" ht="16" x14ac:dyDescent="0.2"/>
    <row r="2444" ht="16" x14ac:dyDescent="0.2"/>
    <row r="2445" ht="16" x14ac:dyDescent="0.2"/>
    <row r="2446" ht="16" x14ac:dyDescent="0.2"/>
    <row r="2447" ht="16" x14ac:dyDescent="0.2"/>
    <row r="2448" ht="16" x14ac:dyDescent="0.2"/>
    <row r="2449" ht="16" x14ac:dyDescent="0.2"/>
    <row r="2450" ht="16" x14ac:dyDescent="0.2"/>
    <row r="2451" ht="16" x14ac:dyDescent="0.2"/>
    <row r="2452" ht="16" x14ac:dyDescent="0.2"/>
    <row r="2453" ht="16" x14ac:dyDescent="0.2"/>
    <row r="2454" ht="16" x14ac:dyDescent="0.2"/>
    <row r="2455" ht="16" x14ac:dyDescent="0.2"/>
    <row r="2456" ht="16" x14ac:dyDescent="0.2"/>
    <row r="2457" ht="16" x14ac:dyDescent="0.2"/>
    <row r="2458" ht="16" x14ac:dyDescent="0.2"/>
    <row r="2459" ht="16" x14ac:dyDescent="0.2"/>
    <row r="2460" ht="16" x14ac:dyDescent="0.2"/>
    <row r="2461" ht="16" x14ac:dyDescent="0.2"/>
    <row r="2462" ht="16" x14ac:dyDescent="0.2"/>
    <row r="2463" ht="16" x14ac:dyDescent="0.2"/>
    <row r="2464" ht="16" x14ac:dyDescent="0.2"/>
    <row r="2465" ht="16" x14ac:dyDescent="0.2"/>
    <row r="2466" ht="16" x14ac:dyDescent="0.2"/>
    <row r="2467" ht="16" x14ac:dyDescent="0.2"/>
    <row r="2468" ht="16" x14ac:dyDescent="0.2"/>
    <row r="2469" ht="16" x14ac:dyDescent="0.2"/>
    <row r="2470" ht="16" x14ac:dyDescent="0.2"/>
    <row r="2471" ht="16" x14ac:dyDescent="0.2"/>
    <row r="2472" ht="16" x14ac:dyDescent="0.2"/>
    <row r="2473" ht="16" x14ac:dyDescent="0.2"/>
    <row r="2474" ht="16" x14ac:dyDescent="0.2"/>
    <row r="2475" ht="16" x14ac:dyDescent="0.2"/>
    <row r="2476" ht="16" x14ac:dyDescent="0.2"/>
    <row r="2477" ht="16" x14ac:dyDescent="0.2"/>
    <row r="2478" ht="16" x14ac:dyDescent="0.2"/>
    <row r="2479" ht="16" x14ac:dyDescent="0.2"/>
    <row r="2480" ht="16" x14ac:dyDescent="0.2"/>
    <row r="2481" ht="16" x14ac:dyDescent="0.2"/>
    <row r="2482" ht="16" x14ac:dyDescent="0.2"/>
    <row r="2483" ht="16" x14ac:dyDescent="0.2"/>
    <row r="2484" ht="16" x14ac:dyDescent="0.2"/>
    <row r="2485" ht="16" x14ac:dyDescent="0.2"/>
    <row r="2486" ht="16" x14ac:dyDescent="0.2"/>
    <row r="2487" ht="16" x14ac:dyDescent="0.2"/>
    <row r="2488" ht="16" x14ac:dyDescent="0.2"/>
    <row r="2489" ht="16" x14ac:dyDescent="0.2"/>
    <row r="2490" ht="16" x14ac:dyDescent="0.2"/>
    <row r="2491" ht="16" x14ac:dyDescent="0.2"/>
    <row r="2492" ht="16" x14ac:dyDescent="0.2"/>
    <row r="2493" ht="16" x14ac:dyDescent="0.2"/>
    <row r="2494" ht="16" x14ac:dyDescent="0.2"/>
    <row r="2495" ht="16" x14ac:dyDescent="0.2"/>
    <row r="2496" ht="16" x14ac:dyDescent="0.2"/>
    <row r="2497" ht="16" x14ac:dyDescent="0.2"/>
    <row r="2498" ht="16" x14ac:dyDescent="0.2"/>
    <row r="2499" ht="16" x14ac:dyDescent="0.2"/>
    <row r="2500" ht="16" x14ac:dyDescent="0.2"/>
    <row r="2501" ht="16" x14ac:dyDescent="0.2"/>
    <row r="2502" ht="16" x14ac:dyDescent="0.2"/>
    <row r="2503" ht="16" x14ac:dyDescent="0.2"/>
    <row r="2504" ht="16" x14ac:dyDescent="0.2"/>
    <row r="2505" ht="16" x14ac:dyDescent="0.2"/>
    <row r="2506" ht="16" x14ac:dyDescent="0.2"/>
    <row r="2507" ht="16" x14ac:dyDescent="0.2"/>
    <row r="2508" ht="16" x14ac:dyDescent="0.2"/>
    <row r="2509" ht="16" x14ac:dyDescent="0.2"/>
    <row r="2510" ht="16" x14ac:dyDescent="0.2"/>
    <row r="2511" ht="16" x14ac:dyDescent="0.2"/>
    <row r="2512" ht="16" x14ac:dyDescent="0.2"/>
    <row r="2513" ht="16" x14ac:dyDescent="0.2"/>
    <row r="2514" ht="16" x14ac:dyDescent="0.2"/>
    <row r="2515" ht="16" x14ac:dyDescent="0.2"/>
    <row r="2516" ht="16" x14ac:dyDescent="0.2"/>
    <row r="2517" ht="16" x14ac:dyDescent="0.2"/>
    <row r="2518" ht="16" x14ac:dyDescent="0.2"/>
    <row r="2519" ht="16" x14ac:dyDescent="0.2"/>
    <row r="2520" ht="16" x14ac:dyDescent="0.2"/>
    <row r="2521" ht="16" x14ac:dyDescent="0.2"/>
    <row r="2522" ht="16" x14ac:dyDescent="0.2"/>
    <row r="2523" ht="16" x14ac:dyDescent="0.2"/>
    <row r="2524" ht="16" x14ac:dyDescent="0.2"/>
    <row r="2525" ht="16" x14ac:dyDescent="0.2"/>
    <row r="2526" ht="16" x14ac:dyDescent="0.2"/>
    <row r="2527" ht="16" x14ac:dyDescent="0.2"/>
    <row r="2528" ht="16" x14ac:dyDescent="0.2"/>
    <row r="2529" ht="16" x14ac:dyDescent="0.2"/>
    <row r="2530" ht="16" x14ac:dyDescent="0.2"/>
    <row r="2531" ht="16" x14ac:dyDescent="0.2"/>
    <row r="2532" ht="16" x14ac:dyDescent="0.2"/>
    <row r="2533" ht="16" x14ac:dyDescent="0.2"/>
    <row r="2534" ht="16" x14ac:dyDescent="0.2"/>
    <row r="2535" ht="16" x14ac:dyDescent="0.2"/>
    <row r="2536" ht="16" x14ac:dyDescent="0.2"/>
    <row r="2537" ht="16" x14ac:dyDescent="0.2"/>
    <row r="2538" ht="16" x14ac:dyDescent="0.2"/>
    <row r="2539" ht="16" x14ac:dyDescent="0.2"/>
    <row r="2540" ht="16" x14ac:dyDescent="0.2"/>
    <row r="2541" ht="16" x14ac:dyDescent="0.2"/>
    <row r="2542" ht="16" x14ac:dyDescent="0.2"/>
    <row r="2543" ht="16" x14ac:dyDescent="0.2"/>
    <row r="2544" ht="16" x14ac:dyDescent="0.2"/>
    <row r="2545" ht="16" x14ac:dyDescent="0.2"/>
    <row r="2546" ht="16" x14ac:dyDescent="0.2"/>
    <row r="2547" ht="16" x14ac:dyDescent="0.2"/>
    <row r="2548" ht="16" x14ac:dyDescent="0.2"/>
    <row r="2549" ht="16" x14ac:dyDescent="0.2"/>
    <row r="2550" ht="16" x14ac:dyDescent="0.2"/>
    <row r="2551" ht="16" x14ac:dyDescent="0.2"/>
    <row r="2552" ht="16" x14ac:dyDescent="0.2"/>
    <row r="2553" ht="16" x14ac:dyDescent="0.2"/>
    <row r="2554" ht="16" x14ac:dyDescent="0.2"/>
    <row r="2555" ht="16" x14ac:dyDescent="0.2"/>
    <row r="2556" ht="16" x14ac:dyDescent="0.2"/>
    <row r="2557" ht="16" x14ac:dyDescent="0.2"/>
    <row r="2558" ht="16" x14ac:dyDescent="0.2"/>
    <row r="2559" ht="16" x14ac:dyDescent="0.2"/>
    <row r="2560" ht="16" x14ac:dyDescent="0.2"/>
    <row r="2561" ht="16" x14ac:dyDescent="0.2"/>
    <row r="2562" ht="16" x14ac:dyDescent="0.2"/>
    <row r="2563" ht="16" x14ac:dyDescent="0.2"/>
    <row r="2564" ht="16" x14ac:dyDescent="0.2"/>
    <row r="2565" ht="16" x14ac:dyDescent="0.2"/>
    <row r="2566" ht="16" x14ac:dyDescent="0.2"/>
    <row r="2567" ht="16" x14ac:dyDescent="0.2"/>
    <row r="2568" ht="16" x14ac:dyDescent="0.2"/>
    <row r="2569" ht="16" x14ac:dyDescent="0.2"/>
    <row r="2570" ht="16" x14ac:dyDescent="0.2"/>
    <row r="2571" ht="16" x14ac:dyDescent="0.2"/>
    <row r="2572" ht="16" x14ac:dyDescent="0.2"/>
    <row r="2573" ht="16" x14ac:dyDescent="0.2"/>
    <row r="2574" ht="16" x14ac:dyDescent="0.2"/>
    <row r="2575" ht="16" x14ac:dyDescent="0.2"/>
    <row r="2576" ht="16" x14ac:dyDescent="0.2"/>
    <row r="2577" ht="16" x14ac:dyDescent="0.2"/>
    <row r="2578" ht="16" x14ac:dyDescent="0.2"/>
    <row r="2579" ht="16" x14ac:dyDescent="0.2"/>
    <row r="2580" ht="16" x14ac:dyDescent="0.2"/>
    <row r="2581" ht="16" x14ac:dyDescent="0.2"/>
    <row r="2582" ht="16" x14ac:dyDescent="0.2"/>
    <row r="2583" ht="16" x14ac:dyDescent="0.2"/>
    <row r="2584" ht="16" x14ac:dyDescent="0.2"/>
    <row r="2585" ht="16" x14ac:dyDescent="0.2"/>
    <row r="2586" ht="16" x14ac:dyDescent="0.2"/>
    <row r="2587" ht="16" x14ac:dyDescent="0.2"/>
    <row r="2588" ht="16" x14ac:dyDescent="0.2"/>
    <row r="2589" ht="16" x14ac:dyDescent="0.2"/>
    <row r="2590" ht="16" x14ac:dyDescent="0.2"/>
    <row r="2591" ht="16" x14ac:dyDescent="0.2"/>
    <row r="2592" ht="16" x14ac:dyDescent="0.2"/>
    <row r="2593" ht="16" x14ac:dyDescent="0.2"/>
    <row r="2594" ht="16" x14ac:dyDescent="0.2"/>
    <row r="2595" ht="16" x14ac:dyDescent="0.2"/>
    <row r="2596" ht="16" x14ac:dyDescent="0.2"/>
    <row r="2597" ht="16" x14ac:dyDescent="0.2"/>
    <row r="2598" ht="16" x14ac:dyDescent="0.2"/>
    <row r="2599" ht="16" x14ac:dyDescent="0.2"/>
    <row r="2600" ht="16" x14ac:dyDescent="0.2"/>
    <row r="2601" ht="16" x14ac:dyDescent="0.2"/>
    <row r="2602" ht="16" x14ac:dyDescent="0.2"/>
    <row r="2603" ht="16" x14ac:dyDescent="0.2"/>
    <row r="2604" ht="16" x14ac:dyDescent="0.2"/>
    <row r="2605" ht="16" x14ac:dyDescent="0.2"/>
    <row r="2606" ht="16" x14ac:dyDescent="0.2"/>
    <row r="2607" ht="16" x14ac:dyDescent="0.2"/>
    <row r="2608" ht="16" x14ac:dyDescent="0.2"/>
    <row r="2609" ht="16" x14ac:dyDescent="0.2"/>
    <row r="2610" ht="16" x14ac:dyDescent="0.2"/>
    <row r="2611" ht="16" x14ac:dyDescent="0.2"/>
    <row r="2612" ht="16" x14ac:dyDescent="0.2"/>
    <row r="2613" ht="16" x14ac:dyDescent="0.2"/>
    <row r="2614" ht="16" x14ac:dyDescent="0.2"/>
    <row r="2615" ht="16" x14ac:dyDescent="0.2"/>
    <row r="2616" ht="16" x14ac:dyDescent="0.2"/>
    <row r="2617" ht="16" x14ac:dyDescent="0.2"/>
    <row r="2618" ht="16" x14ac:dyDescent="0.2"/>
    <row r="2619" ht="16" x14ac:dyDescent="0.2"/>
    <row r="2620" ht="16" x14ac:dyDescent="0.2"/>
    <row r="2621" ht="16" x14ac:dyDescent="0.2"/>
    <row r="2622" ht="16" x14ac:dyDescent="0.2"/>
    <row r="2623" ht="16" x14ac:dyDescent="0.2"/>
    <row r="2624" ht="16" x14ac:dyDescent="0.2"/>
    <row r="2625" ht="16" x14ac:dyDescent="0.2"/>
    <row r="2626" ht="16" x14ac:dyDescent="0.2"/>
    <row r="2627" ht="16" x14ac:dyDescent="0.2"/>
    <row r="2628" ht="16" x14ac:dyDescent="0.2"/>
    <row r="2629" ht="16" x14ac:dyDescent="0.2"/>
    <row r="2630" ht="16" x14ac:dyDescent="0.2"/>
    <row r="2631" ht="16" x14ac:dyDescent="0.2"/>
    <row r="2632" ht="16" x14ac:dyDescent="0.2"/>
    <row r="2633" ht="16" x14ac:dyDescent="0.2"/>
    <row r="2634" ht="16" x14ac:dyDescent="0.2"/>
    <row r="2635" ht="16" x14ac:dyDescent="0.2"/>
    <row r="2636" ht="16" x14ac:dyDescent="0.2"/>
    <row r="2637" ht="16" x14ac:dyDescent="0.2"/>
    <row r="2638" ht="16" x14ac:dyDescent="0.2"/>
    <row r="2639" ht="16" x14ac:dyDescent="0.2"/>
    <row r="2640" ht="16" x14ac:dyDescent="0.2"/>
    <row r="2641" ht="16" x14ac:dyDescent="0.2"/>
    <row r="2642" ht="16" x14ac:dyDescent="0.2"/>
    <row r="2643" ht="16" x14ac:dyDescent="0.2"/>
    <row r="2644" ht="16" x14ac:dyDescent="0.2"/>
    <row r="2645" ht="16" x14ac:dyDescent="0.2"/>
    <row r="2646" ht="16" x14ac:dyDescent="0.2"/>
    <row r="2647" ht="16" x14ac:dyDescent="0.2"/>
    <row r="2648" ht="16" x14ac:dyDescent="0.2"/>
    <row r="2649" ht="16" x14ac:dyDescent="0.2"/>
    <row r="2650" ht="16" x14ac:dyDescent="0.2"/>
    <row r="2651" ht="16" x14ac:dyDescent="0.2"/>
    <row r="2652" ht="16" x14ac:dyDescent="0.2"/>
    <row r="2653" ht="16" x14ac:dyDescent="0.2"/>
    <row r="2654" ht="16" x14ac:dyDescent="0.2"/>
    <row r="2655" ht="16" x14ac:dyDescent="0.2"/>
    <row r="2656" ht="16" x14ac:dyDescent="0.2"/>
    <row r="2657" ht="16" x14ac:dyDescent="0.2"/>
    <row r="2658" ht="16" x14ac:dyDescent="0.2"/>
    <row r="2659" ht="16" x14ac:dyDescent="0.2"/>
    <row r="2660" ht="16" x14ac:dyDescent="0.2"/>
    <row r="2661" ht="16" x14ac:dyDescent="0.2"/>
    <row r="2662" ht="16" x14ac:dyDescent="0.2"/>
    <row r="2663" ht="16" x14ac:dyDescent="0.2"/>
    <row r="2664" ht="16" x14ac:dyDescent="0.2"/>
    <row r="2665" ht="16" x14ac:dyDescent="0.2"/>
    <row r="2666" ht="16" x14ac:dyDescent="0.2"/>
    <row r="2667" ht="16" x14ac:dyDescent="0.2"/>
    <row r="2668" ht="16" x14ac:dyDescent="0.2"/>
    <row r="2669" ht="16" x14ac:dyDescent="0.2"/>
    <row r="2670" ht="16" x14ac:dyDescent="0.2"/>
    <row r="2671" ht="16" x14ac:dyDescent="0.2"/>
    <row r="2672" ht="16" x14ac:dyDescent="0.2"/>
    <row r="2673" ht="16" x14ac:dyDescent="0.2"/>
    <row r="2674" ht="16" x14ac:dyDescent="0.2"/>
    <row r="2675" ht="16" x14ac:dyDescent="0.2"/>
    <row r="2676" ht="16" x14ac:dyDescent="0.2"/>
    <row r="2677" ht="16" x14ac:dyDescent="0.2"/>
    <row r="2678" ht="16" x14ac:dyDescent="0.2"/>
    <row r="2679" ht="16" x14ac:dyDescent="0.2"/>
    <row r="2680" ht="16" x14ac:dyDescent="0.2"/>
    <row r="2681" ht="16" x14ac:dyDescent="0.2"/>
    <row r="2682" ht="16" x14ac:dyDescent="0.2"/>
    <row r="2683" ht="16" x14ac:dyDescent="0.2"/>
    <row r="2684" ht="16" x14ac:dyDescent="0.2"/>
    <row r="2685" ht="16" x14ac:dyDescent="0.2"/>
    <row r="2686" ht="16" x14ac:dyDescent="0.2"/>
    <row r="2687" ht="16" x14ac:dyDescent="0.2"/>
    <row r="2688" ht="16" x14ac:dyDescent="0.2"/>
    <row r="2689" ht="16" x14ac:dyDescent="0.2"/>
    <row r="2690" ht="16" x14ac:dyDescent="0.2"/>
    <row r="2691" ht="16" x14ac:dyDescent="0.2"/>
    <row r="2692" ht="16" x14ac:dyDescent="0.2"/>
    <row r="2693" ht="16" x14ac:dyDescent="0.2"/>
    <row r="2694" ht="16" x14ac:dyDescent="0.2"/>
    <row r="2695" ht="16" x14ac:dyDescent="0.2"/>
    <row r="2696" ht="16" x14ac:dyDescent="0.2"/>
    <row r="2697" ht="16" x14ac:dyDescent="0.2"/>
    <row r="2698" ht="16" x14ac:dyDescent="0.2"/>
    <row r="2699" ht="16" x14ac:dyDescent="0.2"/>
    <row r="2700" ht="16" x14ac:dyDescent="0.2"/>
    <row r="2701" ht="16" x14ac:dyDescent="0.2"/>
    <row r="2702" ht="16" x14ac:dyDescent="0.2"/>
    <row r="2703" ht="16" x14ac:dyDescent="0.2"/>
    <row r="2704" ht="16" x14ac:dyDescent="0.2"/>
    <row r="2705" ht="16" x14ac:dyDescent="0.2"/>
    <row r="2706" ht="16" x14ac:dyDescent="0.2"/>
    <row r="2707" ht="16" x14ac:dyDescent="0.2"/>
    <row r="2708" ht="16" x14ac:dyDescent="0.2"/>
    <row r="2709" ht="16" x14ac:dyDescent="0.2"/>
    <row r="2710" ht="16" x14ac:dyDescent="0.2"/>
    <row r="2711" ht="16" x14ac:dyDescent="0.2"/>
    <row r="2712" ht="16" x14ac:dyDescent="0.2"/>
    <row r="2713" ht="16" x14ac:dyDescent="0.2"/>
    <row r="2714" ht="16" x14ac:dyDescent="0.2"/>
    <row r="2715" ht="16" x14ac:dyDescent="0.2"/>
    <row r="2716" ht="16" x14ac:dyDescent="0.2"/>
    <row r="2717" ht="16" x14ac:dyDescent="0.2"/>
    <row r="2718" ht="16" x14ac:dyDescent="0.2"/>
    <row r="2719" ht="16" x14ac:dyDescent="0.2"/>
    <row r="2720" ht="16" x14ac:dyDescent="0.2"/>
    <row r="2721" ht="16" x14ac:dyDescent="0.2"/>
    <row r="2722" ht="16" x14ac:dyDescent="0.2"/>
    <row r="2723" ht="16" x14ac:dyDescent="0.2"/>
    <row r="2724" ht="16" x14ac:dyDescent="0.2"/>
    <row r="2725" ht="16" x14ac:dyDescent="0.2"/>
    <row r="2726" ht="16" x14ac:dyDescent="0.2"/>
    <row r="2727" ht="16" x14ac:dyDescent="0.2"/>
    <row r="2728" ht="16" x14ac:dyDescent="0.2"/>
    <row r="2729" ht="16" x14ac:dyDescent="0.2"/>
    <row r="2730" ht="16" x14ac:dyDescent="0.2"/>
    <row r="2731" ht="16" x14ac:dyDescent="0.2"/>
    <row r="2732" ht="16" x14ac:dyDescent="0.2"/>
    <row r="2733" ht="16" x14ac:dyDescent="0.2"/>
    <row r="2734" ht="16" x14ac:dyDescent="0.2"/>
    <row r="2735" ht="16" x14ac:dyDescent="0.2"/>
    <row r="2736" ht="16" x14ac:dyDescent="0.2"/>
    <row r="2737" ht="16" x14ac:dyDescent="0.2"/>
    <row r="2738" ht="16" x14ac:dyDescent="0.2"/>
    <row r="2739" ht="16" x14ac:dyDescent="0.2"/>
    <row r="2740" ht="16" x14ac:dyDescent="0.2"/>
    <row r="2741" ht="16" x14ac:dyDescent="0.2"/>
    <row r="2742" ht="16" x14ac:dyDescent="0.2"/>
    <row r="2743" ht="16" x14ac:dyDescent="0.2"/>
    <row r="2744" ht="16" x14ac:dyDescent="0.2"/>
    <row r="2745" ht="16" x14ac:dyDescent="0.2"/>
    <row r="2746" ht="16" x14ac:dyDescent="0.2"/>
    <row r="2747" ht="16" x14ac:dyDescent="0.2"/>
    <row r="2748" ht="16" x14ac:dyDescent="0.2"/>
    <row r="2749" ht="16" x14ac:dyDescent="0.2"/>
    <row r="2750" ht="16" x14ac:dyDescent="0.2"/>
    <row r="2751" ht="16" x14ac:dyDescent="0.2"/>
    <row r="2752" ht="16" x14ac:dyDescent="0.2"/>
    <row r="2753" ht="16" x14ac:dyDescent="0.2"/>
    <row r="2754" ht="16" x14ac:dyDescent="0.2"/>
    <row r="2755" ht="16" x14ac:dyDescent="0.2"/>
    <row r="2756" ht="16" x14ac:dyDescent="0.2"/>
    <row r="2757" ht="16" x14ac:dyDescent="0.2"/>
    <row r="2758" ht="16" x14ac:dyDescent="0.2"/>
    <row r="2759" ht="16" x14ac:dyDescent="0.2"/>
    <row r="2760" ht="16" x14ac:dyDescent="0.2"/>
    <row r="2761" ht="16" x14ac:dyDescent="0.2"/>
    <row r="2762" ht="16" x14ac:dyDescent="0.2"/>
    <row r="2763" ht="16" x14ac:dyDescent="0.2"/>
    <row r="2764" ht="16" x14ac:dyDescent="0.2"/>
    <row r="2765" ht="16" x14ac:dyDescent="0.2"/>
    <row r="2766" ht="16" x14ac:dyDescent="0.2"/>
    <row r="2767" ht="16" x14ac:dyDescent="0.2"/>
    <row r="2768" ht="16" x14ac:dyDescent="0.2"/>
    <row r="2769" ht="16" x14ac:dyDescent="0.2"/>
    <row r="2770" ht="16" x14ac:dyDescent="0.2"/>
    <row r="2771" ht="16" x14ac:dyDescent="0.2"/>
    <row r="2772" ht="16" x14ac:dyDescent="0.2"/>
    <row r="2773" ht="16" x14ac:dyDescent="0.2"/>
    <row r="2774" ht="16" x14ac:dyDescent="0.2"/>
    <row r="2775" ht="16" x14ac:dyDescent="0.2"/>
    <row r="2776" ht="16" x14ac:dyDescent="0.2"/>
    <row r="2777" ht="16" x14ac:dyDescent="0.2"/>
    <row r="2778" ht="16" x14ac:dyDescent="0.2"/>
    <row r="2779" ht="16" x14ac:dyDescent="0.2"/>
    <row r="2780" ht="16" x14ac:dyDescent="0.2"/>
    <row r="2781" ht="16" x14ac:dyDescent="0.2"/>
    <row r="2782" ht="16" x14ac:dyDescent="0.2"/>
    <row r="2783" ht="16" x14ac:dyDescent="0.2"/>
    <row r="2784" ht="16" x14ac:dyDescent="0.2"/>
    <row r="2785" ht="16" x14ac:dyDescent="0.2"/>
    <row r="2786" ht="16" x14ac:dyDescent="0.2"/>
    <row r="2787" ht="16" x14ac:dyDescent="0.2"/>
    <row r="2788" ht="16" x14ac:dyDescent="0.2"/>
    <row r="2789" ht="16" x14ac:dyDescent="0.2"/>
    <row r="2790" ht="16" x14ac:dyDescent="0.2"/>
    <row r="2791" ht="16" x14ac:dyDescent="0.2"/>
    <row r="2792" ht="16" x14ac:dyDescent="0.2"/>
    <row r="2793" ht="16" x14ac:dyDescent="0.2"/>
    <row r="2794" ht="16" x14ac:dyDescent="0.2"/>
    <row r="2795" ht="16" x14ac:dyDescent="0.2"/>
    <row r="2796" ht="16" x14ac:dyDescent="0.2"/>
    <row r="2797" ht="16" x14ac:dyDescent="0.2"/>
    <row r="2798" ht="16" x14ac:dyDescent="0.2"/>
    <row r="2799" ht="16" x14ac:dyDescent="0.2"/>
    <row r="2800" ht="16" x14ac:dyDescent="0.2"/>
    <row r="2801" ht="16" x14ac:dyDescent="0.2"/>
    <row r="2802" ht="16" x14ac:dyDescent="0.2"/>
    <row r="2803" ht="16" x14ac:dyDescent="0.2"/>
    <row r="2804" ht="16" x14ac:dyDescent="0.2"/>
    <row r="2805" ht="16" x14ac:dyDescent="0.2"/>
    <row r="2806" ht="16" x14ac:dyDescent="0.2"/>
    <row r="2807" ht="16" x14ac:dyDescent="0.2"/>
    <row r="2808" ht="16" x14ac:dyDescent="0.2"/>
    <row r="2809" ht="16" x14ac:dyDescent="0.2"/>
    <row r="2810" ht="16" x14ac:dyDescent="0.2"/>
    <row r="2811" ht="16" x14ac:dyDescent="0.2"/>
    <row r="2812" ht="16" x14ac:dyDescent="0.2"/>
    <row r="2813" ht="16" x14ac:dyDescent="0.2"/>
    <row r="2814" ht="16" x14ac:dyDescent="0.2"/>
    <row r="2815" ht="16" x14ac:dyDescent="0.2"/>
    <row r="2816" ht="16" x14ac:dyDescent="0.2"/>
    <row r="2817" ht="16" x14ac:dyDescent="0.2"/>
    <row r="2818" ht="16" x14ac:dyDescent="0.2"/>
    <row r="2819" ht="16" x14ac:dyDescent="0.2"/>
    <row r="2820" ht="16" x14ac:dyDescent="0.2"/>
    <row r="2821" ht="16" x14ac:dyDescent="0.2"/>
    <row r="2822" ht="16" x14ac:dyDescent="0.2"/>
    <row r="2823" ht="16" x14ac:dyDescent="0.2"/>
    <row r="2824" ht="16" x14ac:dyDescent="0.2"/>
    <row r="2825" ht="16" x14ac:dyDescent="0.2"/>
    <row r="2826" ht="16" x14ac:dyDescent="0.2"/>
    <row r="2827" ht="16" x14ac:dyDescent="0.2"/>
    <row r="2828" ht="16" x14ac:dyDescent="0.2"/>
    <row r="2829" ht="16" x14ac:dyDescent="0.2"/>
    <row r="2830" ht="16" x14ac:dyDescent="0.2"/>
    <row r="2831" ht="16" x14ac:dyDescent="0.2"/>
    <row r="2832" ht="16" x14ac:dyDescent="0.2"/>
    <row r="2833" ht="16" x14ac:dyDescent="0.2"/>
    <row r="2834" ht="16" x14ac:dyDescent="0.2"/>
    <row r="2835" ht="16" x14ac:dyDescent="0.2"/>
    <row r="2836" ht="16" x14ac:dyDescent="0.2"/>
    <row r="2837" ht="16" x14ac:dyDescent="0.2"/>
    <row r="2838" ht="16" x14ac:dyDescent="0.2"/>
    <row r="2839" ht="16" x14ac:dyDescent="0.2"/>
    <row r="2840" ht="16" x14ac:dyDescent="0.2"/>
    <row r="2841" ht="16" x14ac:dyDescent="0.2"/>
    <row r="2842" ht="16" x14ac:dyDescent="0.2"/>
    <row r="2843" ht="16" x14ac:dyDescent="0.2"/>
    <row r="2844" ht="16" x14ac:dyDescent="0.2"/>
    <row r="2845" ht="16" x14ac:dyDescent="0.2"/>
    <row r="2846" ht="16" x14ac:dyDescent="0.2"/>
    <row r="2847" ht="16" x14ac:dyDescent="0.2"/>
    <row r="2848" ht="16" x14ac:dyDescent="0.2"/>
    <row r="2849" ht="16" x14ac:dyDescent="0.2"/>
    <row r="2850" ht="16" x14ac:dyDescent="0.2"/>
    <row r="2851" ht="16" x14ac:dyDescent="0.2"/>
    <row r="2852" ht="16" x14ac:dyDescent="0.2"/>
    <row r="2853" ht="16" x14ac:dyDescent="0.2"/>
    <row r="2854" ht="16" x14ac:dyDescent="0.2"/>
    <row r="2855" ht="16" x14ac:dyDescent="0.2"/>
    <row r="2856" ht="16" x14ac:dyDescent="0.2"/>
    <row r="2857" ht="16" x14ac:dyDescent="0.2"/>
    <row r="2858" ht="16" x14ac:dyDescent="0.2"/>
    <row r="2859" ht="16" x14ac:dyDescent="0.2"/>
    <row r="2860" ht="16" x14ac:dyDescent="0.2"/>
    <row r="2861" ht="16" x14ac:dyDescent="0.2"/>
    <row r="2862" ht="16" x14ac:dyDescent="0.2"/>
    <row r="2863" ht="16" x14ac:dyDescent="0.2"/>
    <row r="2864" ht="16" x14ac:dyDescent="0.2"/>
    <row r="2865" ht="16" x14ac:dyDescent="0.2"/>
    <row r="2866" ht="16" x14ac:dyDescent="0.2"/>
    <row r="2867" ht="16" x14ac:dyDescent="0.2"/>
    <row r="2868" ht="16" x14ac:dyDescent="0.2"/>
    <row r="2869" ht="16" x14ac:dyDescent="0.2"/>
    <row r="2870" ht="16" x14ac:dyDescent="0.2"/>
    <row r="2871" ht="16" x14ac:dyDescent="0.2"/>
    <row r="2872" ht="16" x14ac:dyDescent="0.2"/>
    <row r="2873" ht="16" x14ac:dyDescent="0.2"/>
    <row r="2874" ht="16" x14ac:dyDescent="0.2"/>
    <row r="2875" ht="16" x14ac:dyDescent="0.2"/>
    <row r="2876" ht="16" x14ac:dyDescent="0.2"/>
    <row r="2877" ht="16" x14ac:dyDescent="0.2"/>
    <row r="2878" ht="16" x14ac:dyDescent="0.2"/>
    <row r="2879" ht="16" x14ac:dyDescent="0.2"/>
    <row r="2880" ht="16" x14ac:dyDescent="0.2"/>
    <row r="2881" ht="16" x14ac:dyDescent="0.2"/>
    <row r="2882" ht="16" x14ac:dyDescent="0.2"/>
    <row r="2883" ht="16" x14ac:dyDescent="0.2"/>
    <row r="2884" ht="16" x14ac:dyDescent="0.2"/>
    <row r="2885" ht="16" x14ac:dyDescent="0.2"/>
    <row r="2886" ht="16" x14ac:dyDescent="0.2"/>
    <row r="2887" ht="16" x14ac:dyDescent="0.2"/>
    <row r="2888" ht="16" x14ac:dyDescent="0.2"/>
    <row r="2889" ht="16" x14ac:dyDescent="0.2"/>
    <row r="2890" ht="16" x14ac:dyDescent="0.2"/>
    <row r="2891" ht="16" x14ac:dyDescent="0.2"/>
    <row r="2892" ht="16" x14ac:dyDescent="0.2"/>
    <row r="2893" ht="16" x14ac:dyDescent="0.2"/>
    <row r="2894" ht="16" x14ac:dyDescent="0.2"/>
    <row r="2895" ht="16" x14ac:dyDescent="0.2"/>
    <row r="2896" ht="16" x14ac:dyDescent="0.2"/>
    <row r="2897" ht="16" x14ac:dyDescent="0.2"/>
    <row r="2898" ht="16" x14ac:dyDescent="0.2"/>
    <row r="2899" ht="16" x14ac:dyDescent="0.2"/>
    <row r="2900" ht="16" x14ac:dyDescent="0.2"/>
    <row r="2901" ht="16" x14ac:dyDescent="0.2"/>
    <row r="2902" ht="16" x14ac:dyDescent="0.2"/>
    <row r="2903" ht="16" x14ac:dyDescent="0.2"/>
    <row r="2904" ht="16" x14ac:dyDescent="0.2"/>
    <row r="2905" ht="16" x14ac:dyDescent="0.2"/>
    <row r="2906" ht="16" x14ac:dyDescent="0.2"/>
    <row r="2907" ht="16" x14ac:dyDescent="0.2"/>
    <row r="2908" ht="16" x14ac:dyDescent="0.2"/>
    <row r="2909" ht="16" x14ac:dyDescent="0.2"/>
    <row r="2910" ht="16" x14ac:dyDescent="0.2"/>
    <row r="2911" ht="16" x14ac:dyDescent="0.2"/>
    <row r="2912" ht="16" x14ac:dyDescent="0.2"/>
    <row r="2913" ht="16" x14ac:dyDescent="0.2"/>
    <row r="2914" ht="16" x14ac:dyDescent="0.2"/>
    <row r="2915" ht="16" x14ac:dyDescent="0.2"/>
    <row r="2916" ht="16" x14ac:dyDescent="0.2"/>
    <row r="2917" ht="16" x14ac:dyDescent="0.2"/>
    <row r="2918" ht="16" x14ac:dyDescent="0.2"/>
    <row r="2919" ht="16" x14ac:dyDescent="0.2"/>
    <row r="2920" ht="16" x14ac:dyDescent="0.2"/>
    <row r="2921" ht="16" x14ac:dyDescent="0.2"/>
    <row r="2922" ht="16" x14ac:dyDescent="0.2"/>
    <row r="2923" ht="16" x14ac:dyDescent="0.2"/>
    <row r="2924" ht="16" x14ac:dyDescent="0.2"/>
    <row r="2925" ht="16" x14ac:dyDescent="0.2"/>
    <row r="2926" ht="16" x14ac:dyDescent="0.2"/>
    <row r="2927" ht="16" x14ac:dyDescent="0.2"/>
    <row r="2928" ht="16" x14ac:dyDescent="0.2"/>
    <row r="2929" ht="16" x14ac:dyDescent="0.2"/>
    <row r="2930" ht="16" x14ac:dyDescent="0.2"/>
    <row r="2931" ht="16" x14ac:dyDescent="0.2"/>
    <row r="2932" ht="16" x14ac:dyDescent="0.2"/>
    <row r="2933" ht="16" x14ac:dyDescent="0.2"/>
    <row r="2934" ht="16" x14ac:dyDescent="0.2"/>
    <row r="2935" ht="16" x14ac:dyDescent="0.2"/>
    <row r="2936" ht="16" x14ac:dyDescent="0.2"/>
    <row r="2937" ht="16" x14ac:dyDescent="0.2"/>
    <row r="2938" ht="16" x14ac:dyDescent="0.2"/>
    <row r="2939" ht="16" x14ac:dyDescent="0.2"/>
    <row r="2940" ht="16" x14ac:dyDescent="0.2"/>
    <row r="2941" ht="16" x14ac:dyDescent="0.2"/>
    <row r="2942" ht="16" x14ac:dyDescent="0.2"/>
    <row r="2943" ht="16" x14ac:dyDescent="0.2"/>
    <row r="2944" ht="16" x14ac:dyDescent="0.2"/>
    <row r="2945" ht="16" x14ac:dyDescent="0.2"/>
    <row r="2946" ht="16" x14ac:dyDescent="0.2"/>
    <row r="2947" ht="16" x14ac:dyDescent="0.2"/>
    <row r="2948" ht="16" x14ac:dyDescent="0.2"/>
    <row r="2949" ht="16" x14ac:dyDescent="0.2"/>
    <row r="2950" ht="16" x14ac:dyDescent="0.2"/>
    <row r="2951" ht="16" x14ac:dyDescent="0.2"/>
    <row r="2952" ht="16" x14ac:dyDescent="0.2"/>
    <row r="2953" ht="16" x14ac:dyDescent="0.2"/>
    <row r="2954" ht="16" x14ac:dyDescent="0.2"/>
    <row r="2955" ht="16" x14ac:dyDescent="0.2"/>
    <row r="2956" ht="16" x14ac:dyDescent="0.2"/>
    <row r="2957" ht="16" x14ac:dyDescent="0.2"/>
    <row r="2958" ht="16" x14ac:dyDescent="0.2"/>
    <row r="2959" ht="16" x14ac:dyDescent="0.2"/>
    <row r="2960" ht="16" x14ac:dyDescent="0.2"/>
    <row r="2961" ht="16" x14ac:dyDescent="0.2"/>
    <row r="2962" ht="16" x14ac:dyDescent="0.2"/>
    <row r="2963" ht="16" x14ac:dyDescent="0.2"/>
    <row r="2964" ht="16" x14ac:dyDescent="0.2"/>
    <row r="2965" ht="16" x14ac:dyDescent="0.2"/>
    <row r="2966" ht="16" x14ac:dyDescent="0.2"/>
    <row r="2967" ht="16" x14ac:dyDescent="0.2"/>
    <row r="2968" ht="16" x14ac:dyDescent="0.2"/>
    <row r="2969" ht="16" x14ac:dyDescent="0.2"/>
    <row r="2970" ht="16" x14ac:dyDescent="0.2"/>
    <row r="2971" ht="16" x14ac:dyDescent="0.2"/>
    <row r="2972" ht="16" x14ac:dyDescent="0.2"/>
    <row r="2973" ht="16" x14ac:dyDescent="0.2"/>
    <row r="2974" ht="16" x14ac:dyDescent="0.2"/>
    <row r="2975" ht="16" x14ac:dyDescent="0.2"/>
    <row r="2976" ht="16" x14ac:dyDescent="0.2"/>
    <row r="2977" ht="16" x14ac:dyDescent="0.2"/>
    <row r="2978" ht="16" x14ac:dyDescent="0.2"/>
    <row r="2979" ht="16" x14ac:dyDescent="0.2"/>
    <row r="2980" ht="16" x14ac:dyDescent="0.2"/>
    <row r="2981" ht="16" x14ac:dyDescent="0.2"/>
    <row r="2982" ht="16" x14ac:dyDescent="0.2"/>
    <row r="2983" ht="16" x14ac:dyDescent="0.2"/>
    <row r="2984" ht="16" x14ac:dyDescent="0.2"/>
    <row r="2985" ht="16" x14ac:dyDescent="0.2"/>
    <row r="2986" ht="16" x14ac:dyDescent="0.2"/>
    <row r="2987" ht="16" x14ac:dyDescent="0.2"/>
    <row r="2988" ht="16" x14ac:dyDescent="0.2"/>
    <row r="2989" ht="16" x14ac:dyDescent="0.2"/>
    <row r="2990" ht="16" x14ac:dyDescent="0.2"/>
    <row r="2991" ht="16" x14ac:dyDescent="0.2"/>
    <row r="2992" ht="16" x14ac:dyDescent="0.2"/>
    <row r="2993" ht="16" x14ac:dyDescent="0.2"/>
    <row r="2994" ht="16" x14ac:dyDescent="0.2"/>
    <row r="2995" ht="16" x14ac:dyDescent="0.2"/>
    <row r="2996" ht="16" x14ac:dyDescent="0.2"/>
    <row r="2997" ht="16" x14ac:dyDescent="0.2"/>
    <row r="2998" ht="16" x14ac:dyDescent="0.2"/>
    <row r="2999" ht="16" x14ac:dyDescent="0.2"/>
    <row r="3000" ht="16" x14ac:dyDescent="0.2"/>
    <row r="3001" ht="16" x14ac:dyDescent="0.2"/>
    <row r="3002" ht="16" x14ac:dyDescent="0.2"/>
    <row r="3003" ht="16" x14ac:dyDescent="0.2"/>
    <row r="3004" ht="16" x14ac:dyDescent="0.2"/>
    <row r="3005" ht="16" x14ac:dyDescent="0.2"/>
    <row r="3006" ht="16" x14ac:dyDescent="0.2"/>
    <row r="3007" ht="16" x14ac:dyDescent="0.2"/>
    <row r="3008" ht="16" x14ac:dyDescent="0.2"/>
    <row r="3009" ht="16" x14ac:dyDescent="0.2"/>
    <row r="3010" ht="16" x14ac:dyDescent="0.2"/>
    <row r="3011" ht="16" x14ac:dyDescent="0.2"/>
    <row r="3012" ht="16" x14ac:dyDescent="0.2"/>
    <row r="3013" ht="16" x14ac:dyDescent="0.2"/>
    <row r="3014" ht="16" x14ac:dyDescent="0.2"/>
    <row r="3015" ht="16" x14ac:dyDescent="0.2"/>
    <row r="3016" ht="16" x14ac:dyDescent="0.2"/>
    <row r="3017" ht="16" x14ac:dyDescent="0.2"/>
    <row r="3018" ht="16" x14ac:dyDescent="0.2"/>
    <row r="3019" ht="16" x14ac:dyDescent="0.2"/>
    <row r="3020" ht="16" x14ac:dyDescent="0.2"/>
    <row r="3021" ht="16" x14ac:dyDescent="0.2"/>
    <row r="3022" ht="16" x14ac:dyDescent="0.2"/>
    <row r="3023" ht="16" x14ac:dyDescent="0.2"/>
    <row r="3024" ht="16" x14ac:dyDescent="0.2"/>
    <row r="3025" ht="16" x14ac:dyDescent="0.2"/>
    <row r="3026" ht="16" x14ac:dyDescent="0.2"/>
    <row r="3027" ht="16" x14ac:dyDescent="0.2"/>
    <row r="3028" ht="16" x14ac:dyDescent="0.2"/>
    <row r="3029" ht="16" x14ac:dyDescent="0.2"/>
    <row r="3030" ht="16" x14ac:dyDescent="0.2"/>
    <row r="3031" ht="16" x14ac:dyDescent="0.2"/>
    <row r="3032" ht="16" x14ac:dyDescent="0.2"/>
    <row r="3033" ht="16" x14ac:dyDescent="0.2"/>
    <row r="3034" ht="16" x14ac:dyDescent="0.2"/>
    <row r="3035" ht="16" x14ac:dyDescent="0.2"/>
    <row r="3036" ht="16" x14ac:dyDescent="0.2"/>
    <row r="3037" ht="16" x14ac:dyDescent="0.2"/>
    <row r="3038" ht="16" x14ac:dyDescent="0.2"/>
    <row r="3039" ht="16" x14ac:dyDescent="0.2"/>
    <row r="3040" ht="16" x14ac:dyDescent="0.2"/>
    <row r="3041" ht="16" x14ac:dyDescent="0.2"/>
    <row r="3042" ht="16" x14ac:dyDescent="0.2"/>
    <row r="3043" ht="16" x14ac:dyDescent="0.2"/>
    <row r="3044" ht="16" x14ac:dyDescent="0.2"/>
    <row r="3045" ht="16" x14ac:dyDescent="0.2"/>
    <row r="3046" ht="16" x14ac:dyDescent="0.2"/>
    <row r="3047" ht="16" x14ac:dyDescent="0.2"/>
    <row r="3048" ht="16" x14ac:dyDescent="0.2"/>
    <row r="3049" ht="16" x14ac:dyDescent="0.2"/>
    <row r="3050" ht="16" x14ac:dyDescent="0.2"/>
    <row r="3051" ht="16" x14ac:dyDescent="0.2"/>
    <row r="3052" ht="16" x14ac:dyDescent="0.2"/>
    <row r="3053" ht="16" x14ac:dyDescent="0.2"/>
    <row r="3054" ht="16" x14ac:dyDescent="0.2"/>
    <row r="3055" ht="16" x14ac:dyDescent="0.2"/>
    <row r="3056" ht="16" x14ac:dyDescent="0.2"/>
    <row r="3057" ht="16" x14ac:dyDescent="0.2"/>
    <row r="3058" ht="16" x14ac:dyDescent="0.2"/>
    <row r="3059" ht="16" x14ac:dyDescent="0.2"/>
    <row r="3060" ht="16" x14ac:dyDescent="0.2"/>
    <row r="3061" ht="16" x14ac:dyDescent="0.2"/>
    <row r="3062" ht="16" x14ac:dyDescent="0.2"/>
    <row r="3063" ht="16" x14ac:dyDescent="0.2"/>
    <row r="3064" ht="16" x14ac:dyDescent="0.2"/>
    <row r="3065" ht="16" x14ac:dyDescent="0.2"/>
    <row r="3066" ht="16" x14ac:dyDescent="0.2"/>
    <row r="3067" ht="16" x14ac:dyDescent="0.2"/>
    <row r="3068" ht="16" x14ac:dyDescent="0.2"/>
    <row r="3069" ht="16" x14ac:dyDescent="0.2"/>
    <row r="3070" ht="16" x14ac:dyDescent="0.2"/>
    <row r="3071" ht="16" x14ac:dyDescent="0.2"/>
    <row r="3072" ht="16" x14ac:dyDescent="0.2"/>
    <row r="3073" ht="16" x14ac:dyDescent="0.2"/>
    <row r="3074" ht="16" x14ac:dyDescent="0.2"/>
    <row r="3075" ht="16" x14ac:dyDescent="0.2"/>
    <row r="3076" ht="16" x14ac:dyDescent="0.2"/>
    <row r="3077" ht="16" x14ac:dyDescent="0.2"/>
    <row r="3078" ht="16" x14ac:dyDescent="0.2"/>
    <row r="3079" ht="16" x14ac:dyDescent="0.2"/>
    <row r="3080" ht="16" x14ac:dyDescent="0.2"/>
    <row r="3081" ht="16" x14ac:dyDescent="0.2"/>
    <row r="3082" ht="16" x14ac:dyDescent="0.2"/>
    <row r="3083" ht="16" x14ac:dyDescent="0.2"/>
    <row r="3084" ht="16" x14ac:dyDescent="0.2"/>
    <row r="3085" ht="16" x14ac:dyDescent="0.2"/>
    <row r="3086" ht="16" x14ac:dyDescent="0.2"/>
    <row r="3087" ht="16" x14ac:dyDescent="0.2"/>
    <row r="3088" ht="16" x14ac:dyDescent="0.2"/>
    <row r="3089" ht="16" x14ac:dyDescent="0.2"/>
    <row r="3090" ht="16" x14ac:dyDescent="0.2"/>
    <row r="3091" ht="16" x14ac:dyDescent="0.2"/>
    <row r="3092" ht="16" x14ac:dyDescent="0.2"/>
    <row r="3093" ht="16" x14ac:dyDescent="0.2"/>
    <row r="3094" ht="16" x14ac:dyDescent="0.2"/>
    <row r="3095" ht="16" x14ac:dyDescent="0.2"/>
    <row r="3096" ht="16" x14ac:dyDescent="0.2"/>
    <row r="3097" ht="16" x14ac:dyDescent="0.2"/>
    <row r="3098" ht="16" x14ac:dyDescent="0.2"/>
    <row r="3099" ht="16" x14ac:dyDescent="0.2"/>
    <row r="3100" ht="16" x14ac:dyDescent="0.2"/>
    <row r="3101" ht="16" x14ac:dyDescent="0.2"/>
    <row r="3102" ht="16" x14ac:dyDescent="0.2"/>
    <row r="3103" ht="16" x14ac:dyDescent="0.2"/>
    <row r="3104" ht="16" x14ac:dyDescent="0.2"/>
    <row r="3105" ht="16" x14ac:dyDescent="0.2"/>
    <row r="3106" ht="16" x14ac:dyDescent="0.2"/>
    <row r="3107" ht="16" x14ac:dyDescent="0.2"/>
    <row r="3108" ht="16" x14ac:dyDescent="0.2"/>
    <row r="3109" ht="16" x14ac:dyDescent="0.2"/>
    <row r="3110" ht="16" x14ac:dyDescent="0.2"/>
    <row r="3111" ht="16" x14ac:dyDescent="0.2"/>
    <row r="3112" ht="16" x14ac:dyDescent="0.2"/>
    <row r="3113" ht="16" x14ac:dyDescent="0.2"/>
    <row r="3114" ht="16" x14ac:dyDescent="0.2"/>
    <row r="3115" ht="16" x14ac:dyDescent="0.2"/>
    <row r="3116" ht="16" x14ac:dyDescent="0.2"/>
    <row r="3117" ht="16" x14ac:dyDescent="0.2"/>
    <row r="3118" ht="16" x14ac:dyDescent="0.2"/>
    <row r="3119" ht="16" x14ac:dyDescent="0.2"/>
    <row r="3120" ht="16" x14ac:dyDescent="0.2"/>
    <row r="3121" ht="16" x14ac:dyDescent="0.2"/>
    <row r="3122" ht="16" x14ac:dyDescent="0.2"/>
    <row r="3123" ht="16" x14ac:dyDescent="0.2"/>
    <row r="3124" ht="16" x14ac:dyDescent="0.2"/>
    <row r="3125" ht="16" x14ac:dyDescent="0.2"/>
    <row r="3126" ht="16" x14ac:dyDescent="0.2"/>
    <row r="3127" ht="16" x14ac:dyDescent="0.2"/>
    <row r="3128" ht="16" x14ac:dyDescent="0.2"/>
    <row r="3129" ht="16" x14ac:dyDescent="0.2"/>
    <row r="3130" ht="16" x14ac:dyDescent="0.2"/>
    <row r="3131" ht="16" x14ac:dyDescent="0.2"/>
    <row r="3132" ht="16" x14ac:dyDescent="0.2"/>
    <row r="3133" ht="16" x14ac:dyDescent="0.2"/>
    <row r="3134" ht="16" x14ac:dyDescent="0.2"/>
    <row r="3135" ht="16" x14ac:dyDescent="0.2"/>
    <row r="3136" ht="16" x14ac:dyDescent="0.2"/>
    <row r="3137" ht="16" x14ac:dyDescent="0.2"/>
    <row r="3138" ht="16" x14ac:dyDescent="0.2"/>
    <row r="3139" ht="16" x14ac:dyDescent="0.2"/>
    <row r="3140" ht="16" x14ac:dyDescent="0.2"/>
    <row r="3141" ht="16" x14ac:dyDescent="0.2"/>
    <row r="3142" ht="16" x14ac:dyDescent="0.2"/>
    <row r="3143" ht="16" x14ac:dyDescent="0.2"/>
    <row r="3144" ht="16" x14ac:dyDescent="0.2"/>
    <row r="3145" ht="16" x14ac:dyDescent="0.2"/>
    <row r="3146" ht="16" x14ac:dyDescent="0.2"/>
    <row r="3147" ht="16" x14ac:dyDescent="0.2"/>
    <row r="3148" ht="16" x14ac:dyDescent="0.2"/>
    <row r="3149" ht="16" x14ac:dyDescent="0.2"/>
    <row r="3150" ht="16" x14ac:dyDescent="0.2"/>
    <row r="3151" ht="16" x14ac:dyDescent="0.2"/>
    <row r="3152" ht="16" x14ac:dyDescent="0.2"/>
    <row r="3153" ht="16" x14ac:dyDescent="0.2"/>
    <row r="3154" ht="16" x14ac:dyDescent="0.2"/>
    <row r="3155" ht="16" x14ac:dyDescent="0.2"/>
    <row r="3156" ht="16" x14ac:dyDescent="0.2"/>
    <row r="3157" ht="16" x14ac:dyDescent="0.2"/>
    <row r="3158" ht="16" x14ac:dyDescent="0.2"/>
    <row r="3159" ht="16" x14ac:dyDescent="0.2"/>
    <row r="3160" ht="16" x14ac:dyDescent="0.2"/>
    <row r="3161" ht="16" x14ac:dyDescent="0.2"/>
    <row r="3162" ht="16" x14ac:dyDescent="0.2"/>
    <row r="3163" ht="16" x14ac:dyDescent="0.2"/>
    <row r="3164" ht="16" x14ac:dyDescent="0.2"/>
    <row r="3165" ht="16" x14ac:dyDescent="0.2"/>
    <row r="3166" ht="16" x14ac:dyDescent="0.2"/>
    <row r="3167" ht="16" x14ac:dyDescent="0.2"/>
    <row r="3168" ht="16" x14ac:dyDescent="0.2"/>
    <row r="3169" ht="16" x14ac:dyDescent="0.2"/>
    <row r="3170" ht="16" x14ac:dyDescent="0.2"/>
    <row r="3171" ht="16" x14ac:dyDescent="0.2"/>
    <row r="3172" ht="16" x14ac:dyDescent="0.2"/>
    <row r="3173" ht="16" x14ac:dyDescent="0.2"/>
    <row r="3174" ht="16" x14ac:dyDescent="0.2"/>
    <row r="3175" ht="16" x14ac:dyDescent="0.2"/>
    <row r="3176" ht="16" x14ac:dyDescent="0.2"/>
    <row r="3177" ht="16" x14ac:dyDescent="0.2"/>
    <row r="3178" ht="16" x14ac:dyDescent="0.2"/>
    <row r="3179" ht="16" x14ac:dyDescent="0.2"/>
    <row r="3180" ht="16" x14ac:dyDescent="0.2"/>
    <row r="3181" ht="16" x14ac:dyDescent="0.2"/>
    <row r="3182" ht="16" x14ac:dyDescent="0.2"/>
    <row r="3183" ht="16" x14ac:dyDescent="0.2"/>
    <row r="3184" ht="16" x14ac:dyDescent="0.2"/>
    <row r="3185" ht="16" x14ac:dyDescent="0.2"/>
    <row r="3186" ht="16" x14ac:dyDescent="0.2"/>
    <row r="3187" ht="16" x14ac:dyDescent="0.2"/>
    <row r="3188" ht="16" x14ac:dyDescent="0.2"/>
    <row r="3189" ht="16" x14ac:dyDescent="0.2"/>
    <row r="3190" ht="16" x14ac:dyDescent="0.2"/>
    <row r="3191" ht="16" x14ac:dyDescent="0.2"/>
    <row r="3192" ht="16" x14ac:dyDescent="0.2"/>
    <row r="3193" ht="16" x14ac:dyDescent="0.2"/>
    <row r="3194" ht="16" x14ac:dyDescent="0.2"/>
    <row r="3195" ht="16" x14ac:dyDescent="0.2"/>
    <row r="3196" ht="16" x14ac:dyDescent="0.2"/>
    <row r="3197" ht="16" x14ac:dyDescent="0.2"/>
    <row r="3198" ht="16" x14ac:dyDescent="0.2"/>
    <row r="3199" ht="16" x14ac:dyDescent="0.2"/>
    <row r="3200" ht="16" x14ac:dyDescent="0.2"/>
    <row r="3201" ht="16" x14ac:dyDescent="0.2"/>
    <row r="3202" ht="16" x14ac:dyDescent="0.2"/>
    <row r="3203" ht="16" x14ac:dyDescent="0.2"/>
    <row r="3204" ht="16" x14ac:dyDescent="0.2"/>
    <row r="3205" ht="16" x14ac:dyDescent="0.2"/>
    <row r="3206" ht="16" x14ac:dyDescent="0.2"/>
    <row r="3207" ht="16" x14ac:dyDescent="0.2"/>
    <row r="3208" ht="16" x14ac:dyDescent="0.2"/>
    <row r="3209" ht="16" x14ac:dyDescent="0.2"/>
    <row r="3210" ht="16" x14ac:dyDescent="0.2"/>
    <row r="3211" ht="16" x14ac:dyDescent="0.2"/>
    <row r="3212" ht="16" x14ac:dyDescent="0.2"/>
    <row r="3213" ht="16" x14ac:dyDescent="0.2"/>
    <row r="3214" ht="16" x14ac:dyDescent="0.2"/>
    <row r="3215" ht="16" x14ac:dyDescent="0.2"/>
    <row r="3216" ht="16" x14ac:dyDescent="0.2"/>
    <row r="3217" ht="16" x14ac:dyDescent="0.2"/>
    <row r="3218" ht="16" x14ac:dyDescent="0.2"/>
    <row r="3219" ht="16" x14ac:dyDescent="0.2"/>
    <row r="3220" ht="16" x14ac:dyDescent="0.2"/>
    <row r="3221" ht="16" x14ac:dyDescent="0.2"/>
    <row r="3222" ht="16" x14ac:dyDescent="0.2"/>
    <row r="3223" ht="16" x14ac:dyDescent="0.2"/>
    <row r="3224" ht="16" x14ac:dyDescent="0.2"/>
    <row r="3225" ht="16" x14ac:dyDescent="0.2"/>
    <row r="3226" ht="16" x14ac:dyDescent="0.2"/>
    <row r="3227" ht="16" x14ac:dyDescent="0.2"/>
    <row r="3228" ht="16" x14ac:dyDescent="0.2"/>
    <row r="3229" ht="16" x14ac:dyDescent="0.2"/>
    <row r="3230" ht="16" x14ac:dyDescent="0.2"/>
    <row r="3231" ht="16" x14ac:dyDescent="0.2"/>
    <row r="3232" ht="16" x14ac:dyDescent="0.2"/>
    <row r="3233" ht="16" x14ac:dyDescent="0.2"/>
    <row r="3234" ht="16" x14ac:dyDescent="0.2"/>
    <row r="3235" ht="16" x14ac:dyDescent="0.2"/>
    <row r="3236" ht="16" x14ac:dyDescent="0.2"/>
    <row r="3237" ht="16" x14ac:dyDescent="0.2"/>
    <row r="3238" ht="16" x14ac:dyDescent="0.2"/>
    <row r="3239" ht="16" x14ac:dyDescent="0.2"/>
    <row r="3240" ht="16" x14ac:dyDescent="0.2"/>
    <row r="3241" ht="16" x14ac:dyDescent="0.2"/>
    <row r="3242" ht="16" x14ac:dyDescent="0.2"/>
    <row r="3243" ht="16" x14ac:dyDescent="0.2"/>
    <row r="3244" ht="16" x14ac:dyDescent="0.2"/>
    <row r="3245" ht="16" x14ac:dyDescent="0.2"/>
    <row r="3246" ht="16" x14ac:dyDescent="0.2"/>
    <row r="3247" ht="16" x14ac:dyDescent="0.2"/>
    <row r="3248" ht="16" x14ac:dyDescent="0.2"/>
    <row r="3249" ht="16" x14ac:dyDescent="0.2"/>
    <row r="3250" ht="16" x14ac:dyDescent="0.2"/>
    <row r="3251" ht="16" x14ac:dyDescent="0.2"/>
    <row r="3252" ht="16" x14ac:dyDescent="0.2"/>
    <row r="3253" ht="16" x14ac:dyDescent="0.2"/>
    <row r="3254" ht="16" x14ac:dyDescent="0.2"/>
    <row r="3255" ht="16" x14ac:dyDescent="0.2"/>
    <row r="3256" ht="16" x14ac:dyDescent="0.2"/>
    <row r="3257" ht="16" x14ac:dyDescent="0.2"/>
    <row r="3258" ht="16" x14ac:dyDescent="0.2"/>
    <row r="3259" ht="16" x14ac:dyDescent="0.2"/>
    <row r="3260" ht="16" x14ac:dyDescent="0.2"/>
    <row r="3261" ht="16" x14ac:dyDescent="0.2"/>
    <row r="3262" ht="16" x14ac:dyDescent="0.2"/>
    <row r="3263" ht="16" x14ac:dyDescent="0.2"/>
    <row r="3264" ht="16" x14ac:dyDescent="0.2"/>
    <row r="3265" ht="16" x14ac:dyDescent="0.2"/>
    <row r="3266" ht="16" x14ac:dyDescent="0.2"/>
    <row r="3267" ht="16" x14ac:dyDescent="0.2"/>
    <row r="3268" ht="16" x14ac:dyDescent="0.2"/>
    <row r="3269" ht="16" x14ac:dyDescent="0.2"/>
    <row r="3270" ht="16" x14ac:dyDescent="0.2"/>
    <row r="3271" ht="16" x14ac:dyDescent="0.2"/>
    <row r="3272" ht="16" x14ac:dyDescent="0.2"/>
    <row r="3273" ht="16" x14ac:dyDescent="0.2"/>
    <row r="3274" ht="16" x14ac:dyDescent="0.2"/>
    <row r="3275" ht="16" x14ac:dyDescent="0.2"/>
    <row r="3276" ht="16" x14ac:dyDescent="0.2"/>
    <row r="3277" ht="16" x14ac:dyDescent="0.2"/>
    <row r="3278" ht="16" x14ac:dyDescent="0.2"/>
    <row r="3279" ht="16" x14ac:dyDescent="0.2"/>
    <row r="3280" ht="16" x14ac:dyDescent="0.2"/>
    <row r="3281" ht="16" x14ac:dyDescent="0.2"/>
    <row r="3282" ht="16" x14ac:dyDescent="0.2"/>
    <row r="3283" ht="16" x14ac:dyDescent="0.2"/>
    <row r="3284" ht="16" x14ac:dyDescent="0.2"/>
    <row r="3285" ht="16" x14ac:dyDescent="0.2"/>
    <row r="3286" ht="16" x14ac:dyDescent="0.2"/>
    <row r="3287" ht="16" x14ac:dyDescent="0.2"/>
    <row r="3288" ht="16" x14ac:dyDescent="0.2"/>
    <row r="3289" ht="16" x14ac:dyDescent="0.2"/>
    <row r="3290" ht="16" x14ac:dyDescent="0.2"/>
    <row r="3291" ht="16" x14ac:dyDescent="0.2"/>
    <row r="3292" ht="16" x14ac:dyDescent="0.2"/>
    <row r="3293" ht="16" x14ac:dyDescent="0.2"/>
    <row r="3294" ht="16" x14ac:dyDescent="0.2"/>
    <row r="3295" ht="16" x14ac:dyDescent="0.2"/>
    <row r="3296" ht="16" x14ac:dyDescent="0.2"/>
    <row r="3297" ht="16" x14ac:dyDescent="0.2"/>
    <row r="3298" ht="16" x14ac:dyDescent="0.2"/>
    <row r="3299" ht="16" x14ac:dyDescent="0.2"/>
    <row r="3300" ht="16" x14ac:dyDescent="0.2"/>
    <row r="3301" ht="16" x14ac:dyDescent="0.2"/>
    <row r="3302" ht="16" x14ac:dyDescent="0.2"/>
    <row r="3303" ht="16" x14ac:dyDescent="0.2"/>
    <row r="3304" ht="16" x14ac:dyDescent="0.2"/>
    <row r="3305" ht="16" x14ac:dyDescent="0.2"/>
    <row r="3306" ht="16" x14ac:dyDescent="0.2"/>
    <row r="3307" ht="16" x14ac:dyDescent="0.2"/>
    <row r="3308" ht="16" x14ac:dyDescent="0.2"/>
    <row r="3309" ht="16" x14ac:dyDescent="0.2"/>
    <row r="3310" ht="16" x14ac:dyDescent="0.2"/>
    <row r="3311" ht="16" x14ac:dyDescent="0.2"/>
    <row r="3312" ht="16" x14ac:dyDescent="0.2"/>
    <row r="3313" ht="16" x14ac:dyDescent="0.2"/>
    <row r="3314" ht="16" x14ac:dyDescent="0.2"/>
    <row r="3315" ht="16" x14ac:dyDescent="0.2"/>
    <row r="3316" ht="16" x14ac:dyDescent="0.2"/>
    <row r="3317" ht="16" x14ac:dyDescent="0.2"/>
    <row r="3318" ht="16" x14ac:dyDescent="0.2"/>
    <row r="3319" ht="16" x14ac:dyDescent="0.2"/>
    <row r="3320" ht="16" x14ac:dyDescent="0.2"/>
    <row r="3321" ht="16" x14ac:dyDescent="0.2"/>
    <row r="3322" ht="16" x14ac:dyDescent="0.2"/>
    <row r="3323" ht="16" x14ac:dyDescent="0.2"/>
    <row r="3324" ht="16" x14ac:dyDescent="0.2"/>
    <row r="3325" ht="16" x14ac:dyDescent="0.2"/>
    <row r="3326" ht="16" x14ac:dyDescent="0.2"/>
    <row r="3327" ht="16" x14ac:dyDescent="0.2"/>
    <row r="3328" ht="16" x14ac:dyDescent="0.2"/>
    <row r="3329" ht="16" x14ac:dyDescent="0.2"/>
    <row r="3330" ht="16" x14ac:dyDescent="0.2"/>
    <row r="3331" ht="16" x14ac:dyDescent="0.2"/>
    <row r="3332" ht="16" x14ac:dyDescent="0.2"/>
    <row r="3333" ht="16" x14ac:dyDescent="0.2"/>
    <row r="3334" ht="16" x14ac:dyDescent="0.2"/>
    <row r="3335" ht="16" x14ac:dyDescent="0.2"/>
    <row r="3336" ht="16" x14ac:dyDescent="0.2"/>
    <row r="3337" ht="16" x14ac:dyDescent="0.2"/>
    <row r="3338" ht="16" x14ac:dyDescent="0.2"/>
    <row r="3339" ht="16" x14ac:dyDescent="0.2"/>
    <row r="3340" ht="16" x14ac:dyDescent="0.2"/>
    <row r="3341" ht="16" x14ac:dyDescent="0.2"/>
    <row r="3342" ht="16" x14ac:dyDescent="0.2"/>
    <row r="3343" ht="16" x14ac:dyDescent="0.2"/>
    <row r="3344" ht="16" x14ac:dyDescent="0.2"/>
    <row r="3345" ht="16" x14ac:dyDescent="0.2"/>
    <row r="3346" ht="16" x14ac:dyDescent="0.2"/>
    <row r="3347" ht="16" x14ac:dyDescent="0.2"/>
    <row r="3348" ht="16" x14ac:dyDescent="0.2"/>
    <row r="3349" ht="16" x14ac:dyDescent="0.2"/>
    <row r="3350" ht="16" x14ac:dyDescent="0.2"/>
    <row r="3351" ht="16" x14ac:dyDescent="0.2"/>
    <row r="3352" ht="16" x14ac:dyDescent="0.2"/>
    <row r="3353" ht="16" x14ac:dyDescent="0.2"/>
    <row r="3354" ht="16" x14ac:dyDescent="0.2"/>
    <row r="3355" ht="16" x14ac:dyDescent="0.2"/>
    <row r="3356" ht="16" x14ac:dyDescent="0.2"/>
    <row r="3357" ht="16" x14ac:dyDescent="0.2"/>
    <row r="3358" ht="16" x14ac:dyDescent="0.2"/>
    <row r="3359" ht="16" x14ac:dyDescent="0.2"/>
    <row r="3360" ht="16" x14ac:dyDescent="0.2"/>
    <row r="3361" ht="16" x14ac:dyDescent="0.2"/>
    <row r="3362" ht="16" x14ac:dyDescent="0.2"/>
    <row r="3363" ht="16" x14ac:dyDescent="0.2"/>
    <row r="3364" ht="16" x14ac:dyDescent="0.2"/>
    <row r="3365" ht="16" x14ac:dyDescent="0.2"/>
    <row r="3366" ht="16" x14ac:dyDescent="0.2"/>
    <row r="3367" ht="16" x14ac:dyDescent="0.2"/>
    <row r="3368" ht="16" x14ac:dyDescent="0.2"/>
    <row r="3369" ht="16" x14ac:dyDescent="0.2"/>
    <row r="3370" ht="16" x14ac:dyDescent="0.2"/>
    <row r="3371" ht="16" x14ac:dyDescent="0.2"/>
    <row r="3372" ht="16" x14ac:dyDescent="0.2"/>
    <row r="3373" ht="16" x14ac:dyDescent="0.2"/>
    <row r="3374" ht="16" x14ac:dyDescent="0.2"/>
    <row r="3375" ht="16" x14ac:dyDescent="0.2"/>
    <row r="3376" ht="16" x14ac:dyDescent="0.2"/>
    <row r="3377" ht="16" x14ac:dyDescent="0.2"/>
    <row r="3378" ht="16" x14ac:dyDescent="0.2"/>
    <row r="3379" ht="16" x14ac:dyDescent="0.2"/>
    <row r="3380" ht="16" x14ac:dyDescent="0.2"/>
    <row r="3381" ht="16" x14ac:dyDescent="0.2"/>
    <row r="3382" ht="16" x14ac:dyDescent="0.2"/>
    <row r="3383" ht="16" x14ac:dyDescent="0.2"/>
    <row r="3384" ht="16" x14ac:dyDescent="0.2"/>
    <row r="3385" ht="16" x14ac:dyDescent="0.2"/>
    <row r="3386" ht="16" x14ac:dyDescent="0.2"/>
    <row r="3387" ht="16" x14ac:dyDescent="0.2"/>
    <row r="3388" ht="16" x14ac:dyDescent="0.2"/>
    <row r="3389" ht="16" x14ac:dyDescent="0.2"/>
    <row r="3390" ht="16" x14ac:dyDescent="0.2"/>
    <row r="3391" ht="16" x14ac:dyDescent="0.2"/>
    <row r="3392" ht="16" x14ac:dyDescent="0.2"/>
    <row r="3393" ht="16" x14ac:dyDescent="0.2"/>
    <row r="3394" ht="16" x14ac:dyDescent="0.2"/>
    <row r="3395" ht="16" x14ac:dyDescent="0.2"/>
    <row r="3396" ht="16" x14ac:dyDescent="0.2"/>
    <row r="3397" ht="16" x14ac:dyDescent="0.2"/>
    <row r="3398" ht="16" x14ac:dyDescent="0.2"/>
    <row r="3399" ht="16" x14ac:dyDescent="0.2"/>
    <row r="3400" ht="16" x14ac:dyDescent="0.2"/>
    <row r="3401" ht="16" x14ac:dyDescent="0.2"/>
    <row r="3402" ht="16" x14ac:dyDescent="0.2"/>
    <row r="3403" ht="16" x14ac:dyDescent="0.2"/>
    <row r="3404" ht="16" x14ac:dyDescent="0.2"/>
    <row r="3405" ht="16" x14ac:dyDescent="0.2"/>
    <row r="3406" ht="16" x14ac:dyDescent="0.2"/>
    <row r="3407" ht="16" x14ac:dyDescent="0.2"/>
    <row r="3408" ht="16" x14ac:dyDescent="0.2"/>
    <row r="3409" ht="16" x14ac:dyDescent="0.2"/>
    <row r="3410" ht="16" x14ac:dyDescent="0.2"/>
    <row r="3411" ht="16" x14ac:dyDescent="0.2"/>
    <row r="3412" ht="16" x14ac:dyDescent="0.2"/>
    <row r="3413" ht="16" x14ac:dyDescent="0.2"/>
    <row r="3414" ht="16" x14ac:dyDescent="0.2"/>
    <row r="3415" ht="16" x14ac:dyDescent="0.2"/>
    <row r="3416" ht="16" x14ac:dyDescent="0.2"/>
    <row r="3417" ht="16" x14ac:dyDescent="0.2"/>
    <row r="3418" ht="16" x14ac:dyDescent="0.2"/>
    <row r="3419" ht="16" x14ac:dyDescent="0.2"/>
    <row r="3420" ht="16" x14ac:dyDescent="0.2"/>
    <row r="3421" ht="16" x14ac:dyDescent="0.2"/>
    <row r="3422" ht="16" x14ac:dyDescent="0.2"/>
    <row r="3423" ht="16" x14ac:dyDescent="0.2"/>
    <row r="3424" ht="16" x14ac:dyDescent="0.2"/>
    <row r="3425" ht="16" x14ac:dyDescent="0.2"/>
    <row r="3426" ht="16" x14ac:dyDescent="0.2"/>
    <row r="3427" ht="16" x14ac:dyDescent="0.2"/>
    <row r="3428" ht="16" x14ac:dyDescent="0.2"/>
    <row r="3429" ht="16" x14ac:dyDescent="0.2"/>
    <row r="3430" ht="16" x14ac:dyDescent="0.2"/>
    <row r="3431" ht="16" x14ac:dyDescent="0.2"/>
    <row r="3432" ht="16" x14ac:dyDescent="0.2"/>
    <row r="3433" ht="16" x14ac:dyDescent="0.2"/>
    <row r="3434" ht="16" x14ac:dyDescent="0.2"/>
    <row r="3435" ht="16" x14ac:dyDescent="0.2"/>
    <row r="3436" ht="16" x14ac:dyDescent="0.2"/>
    <row r="3437" ht="16" x14ac:dyDescent="0.2"/>
    <row r="3438" ht="16" x14ac:dyDescent="0.2"/>
    <row r="3439" ht="16" x14ac:dyDescent="0.2"/>
    <row r="3440" ht="16" x14ac:dyDescent="0.2"/>
    <row r="3441" ht="16" x14ac:dyDescent="0.2"/>
    <row r="3442" ht="16" x14ac:dyDescent="0.2"/>
    <row r="3443" ht="16" x14ac:dyDescent="0.2"/>
    <row r="3444" ht="16" x14ac:dyDescent="0.2"/>
    <row r="3445" ht="16" x14ac:dyDescent="0.2"/>
    <row r="3446" ht="16" x14ac:dyDescent="0.2"/>
    <row r="3447" ht="16" x14ac:dyDescent="0.2"/>
    <row r="3448" ht="16" x14ac:dyDescent="0.2"/>
    <row r="3449" ht="16" x14ac:dyDescent="0.2"/>
    <row r="3450" ht="16" x14ac:dyDescent="0.2"/>
    <row r="3451" ht="16" x14ac:dyDescent="0.2"/>
    <row r="3452" ht="16" x14ac:dyDescent="0.2"/>
    <row r="3453" ht="16" x14ac:dyDescent="0.2"/>
    <row r="3454" ht="16" x14ac:dyDescent="0.2"/>
    <row r="3455" ht="16" x14ac:dyDescent="0.2"/>
    <row r="3456" ht="16" x14ac:dyDescent="0.2"/>
    <row r="3457" ht="16" x14ac:dyDescent="0.2"/>
    <row r="3458" ht="16" x14ac:dyDescent="0.2"/>
    <row r="3459" ht="16" x14ac:dyDescent="0.2"/>
    <row r="3460" ht="16" x14ac:dyDescent="0.2"/>
    <row r="3461" ht="16" x14ac:dyDescent="0.2"/>
    <row r="3462" ht="16" x14ac:dyDescent="0.2"/>
    <row r="3463" ht="16" x14ac:dyDescent="0.2"/>
    <row r="3464" ht="16" x14ac:dyDescent="0.2"/>
    <row r="3465" ht="16" x14ac:dyDescent="0.2"/>
    <row r="3466" ht="16" x14ac:dyDescent="0.2"/>
    <row r="3467" ht="16" x14ac:dyDescent="0.2"/>
    <row r="3468" ht="16" x14ac:dyDescent="0.2"/>
    <row r="3469" ht="16" x14ac:dyDescent="0.2"/>
    <row r="3470" ht="16" x14ac:dyDescent="0.2"/>
    <row r="3471" ht="16" x14ac:dyDescent="0.2"/>
    <row r="3472" ht="16" x14ac:dyDescent="0.2"/>
    <row r="3473" ht="16" x14ac:dyDescent="0.2"/>
    <row r="3474" ht="16" x14ac:dyDescent="0.2"/>
    <row r="3475" ht="16" x14ac:dyDescent="0.2"/>
    <row r="3476" ht="16" x14ac:dyDescent="0.2"/>
    <row r="3477" ht="16" x14ac:dyDescent="0.2"/>
    <row r="3478" ht="16" x14ac:dyDescent="0.2"/>
    <row r="3479" ht="16" x14ac:dyDescent="0.2"/>
    <row r="3480" ht="16" x14ac:dyDescent="0.2"/>
    <row r="3481" ht="16" x14ac:dyDescent="0.2"/>
    <row r="3482" ht="16" x14ac:dyDescent="0.2"/>
    <row r="3483" ht="16" x14ac:dyDescent="0.2"/>
    <row r="3484" ht="16" x14ac:dyDescent="0.2"/>
    <row r="3485" ht="16" x14ac:dyDescent="0.2"/>
    <row r="3486" ht="16" x14ac:dyDescent="0.2"/>
    <row r="3487" ht="16" x14ac:dyDescent="0.2"/>
    <row r="3488" ht="16" x14ac:dyDescent="0.2"/>
    <row r="3489" ht="16" x14ac:dyDescent="0.2"/>
    <row r="3490" ht="16" x14ac:dyDescent="0.2"/>
    <row r="3491" ht="16" x14ac:dyDescent="0.2"/>
    <row r="3492" ht="16" x14ac:dyDescent="0.2"/>
    <row r="3493" ht="16" x14ac:dyDescent="0.2"/>
    <row r="3494" ht="16" x14ac:dyDescent="0.2"/>
    <row r="3495" ht="16" x14ac:dyDescent="0.2"/>
    <row r="3496" ht="16" x14ac:dyDescent="0.2"/>
    <row r="3497" ht="16" x14ac:dyDescent="0.2"/>
    <row r="3498" ht="16" x14ac:dyDescent="0.2"/>
    <row r="3499" ht="16" x14ac:dyDescent="0.2"/>
    <row r="3500" ht="16" x14ac:dyDescent="0.2"/>
    <row r="3501" ht="16" x14ac:dyDescent="0.2"/>
    <row r="3502" ht="16" x14ac:dyDescent="0.2"/>
    <row r="3503" ht="16" x14ac:dyDescent="0.2"/>
    <row r="3504" ht="16" x14ac:dyDescent="0.2"/>
    <row r="3505" ht="16" x14ac:dyDescent="0.2"/>
    <row r="3506" ht="16" x14ac:dyDescent="0.2"/>
    <row r="3507" ht="16" x14ac:dyDescent="0.2"/>
    <row r="3508" ht="16" x14ac:dyDescent="0.2"/>
    <row r="3509" ht="16" x14ac:dyDescent="0.2"/>
    <row r="3510" ht="16" x14ac:dyDescent="0.2"/>
    <row r="3511" ht="16" x14ac:dyDescent="0.2"/>
    <row r="3512" ht="16" x14ac:dyDescent="0.2"/>
    <row r="3513" ht="16" x14ac:dyDescent="0.2"/>
    <row r="3514" ht="16" x14ac:dyDescent="0.2"/>
    <row r="3515" ht="16" x14ac:dyDescent="0.2"/>
    <row r="3516" ht="16" x14ac:dyDescent="0.2"/>
    <row r="3517" ht="16" x14ac:dyDescent="0.2"/>
    <row r="3518" ht="16" x14ac:dyDescent="0.2"/>
    <row r="3519" ht="16" x14ac:dyDescent="0.2"/>
    <row r="3520" ht="16" x14ac:dyDescent="0.2"/>
    <row r="3521" ht="16" x14ac:dyDescent="0.2"/>
    <row r="3522" ht="16" x14ac:dyDescent="0.2"/>
    <row r="3523" ht="16" x14ac:dyDescent="0.2"/>
    <row r="3524" ht="16" x14ac:dyDescent="0.2"/>
    <row r="3525" ht="16" x14ac:dyDescent="0.2"/>
    <row r="3526" ht="16" x14ac:dyDescent="0.2"/>
    <row r="3527" ht="16" x14ac:dyDescent="0.2"/>
    <row r="3528" ht="16" x14ac:dyDescent="0.2"/>
    <row r="3529" ht="16" x14ac:dyDescent="0.2"/>
    <row r="3530" ht="16" x14ac:dyDescent="0.2"/>
    <row r="3531" ht="16" x14ac:dyDescent="0.2"/>
    <row r="3532" ht="16" x14ac:dyDescent="0.2"/>
    <row r="3533" ht="16" x14ac:dyDescent="0.2"/>
    <row r="3534" ht="16" x14ac:dyDescent="0.2"/>
    <row r="3535" ht="16" x14ac:dyDescent="0.2"/>
    <row r="3536" ht="16" x14ac:dyDescent="0.2"/>
    <row r="3537" ht="16" x14ac:dyDescent="0.2"/>
    <row r="3538" ht="16" x14ac:dyDescent="0.2"/>
    <row r="3539" ht="16" x14ac:dyDescent="0.2"/>
    <row r="3540" ht="16" x14ac:dyDescent="0.2"/>
    <row r="3541" ht="16" x14ac:dyDescent="0.2"/>
    <row r="3542" ht="16" x14ac:dyDescent="0.2"/>
    <row r="3543" ht="16" x14ac:dyDescent="0.2"/>
    <row r="3544" ht="16" x14ac:dyDescent="0.2"/>
    <row r="3545" ht="16" x14ac:dyDescent="0.2"/>
    <row r="3546" ht="16" x14ac:dyDescent="0.2"/>
    <row r="3547" ht="16" x14ac:dyDescent="0.2"/>
    <row r="3548" ht="16" x14ac:dyDescent="0.2"/>
    <row r="3549" ht="16" x14ac:dyDescent="0.2"/>
    <row r="3550" ht="16" x14ac:dyDescent="0.2"/>
    <row r="3551" ht="16" x14ac:dyDescent="0.2"/>
    <row r="3552" ht="16" x14ac:dyDescent="0.2"/>
    <row r="3553" ht="16" x14ac:dyDescent="0.2"/>
    <row r="3554" ht="16" x14ac:dyDescent="0.2"/>
    <row r="3555" ht="16" x14ac:dyDescent="0.2"/>
    <row r="3556" ht="16" x14ac:dyDescent="0.2"/>
    <row r="3557" ht="16" x14ac:dyDescent="0.2"/>
    <row r="3558" ht="16" x14ac:dyDescent="0.2"/>
    <row r="3559" ht="16" x14ac:dyDescent="0.2"/>
    <row r="3560" ht="16" x14ac:dyDescent="0.2"/>
    <row r="3561" ht="16" x14ac:dyDescent="0.2"/>
    <row r="3562" ht="16" x14ac:dyDescent="0.2"/>
    <row r="3563" ht="16" x14ac:dyDescent="0.2"/>
    <row r="3564" ht="16" x14ac:dyDescent="0.2"/>
    <row r="3565" ht="16" x14ac:dyDescent="0.2"/>
    <row r="3566" ht="16" x14ac:dyDescent="0.2"/>
    <row r="3567" ht="16" x14ac:dyDescent="0.2"/>
    <row r="3568" ht="16" x14ac:dyDescent="0.2"/>
    <row r="3569" ht="16" x14ac:dyDescent="0.2"/>
    <row r="3570" ht="16" x14ac:dyDescent="0.2"/>
    <row r="3571" ht="16" x14ac:dyDescent="0.2"/>
    <row r="3572" ht="16" x14ac:dyDescent="0.2"/>
    <row r="3573" ht="16" x14ac:dyDescent="0.2"/>
    <row r="3574" ht="16" x14ac:dyDescent="0.2"/>
    <row r="3575" ht="16" x14ac:dyDescent="0.2"/>
    <row r="3576" ht="16" x14ac:dyDescent="0.2"/>
    <row r="3577" ht="16" x14ac:dyDescent="0.2"/>
    <row r="3578" ht="16" x14ac:dyDescent="0.2"/>
    <row r="3579" ht="16" x14ac:dyDescent="0.2"/>
    <row r="3580" ht="16" x14ac:dyDescent="0.2"/>
    <row r="3581" ht="16" x14ac:dyDescent="0.2"/>
    <row r="3582" ht="16" x14ac:dyDescent="0.2"/>
    <row r="3583" ht="16" x14ac:dyDescent="0.2"/>
    <row r="3584" ht="16" x14ac:dyDescent="0.2"/>
    <row r="3585" ht="16" x14ac:dyDescent="0.2"/>
    <row r="3586" ht="16" x14ac:dyDescent="0.2"/>
    <row r="3587" ht="16" x14ac:dyDescent="0.2"/>
    <row r="3588" ht="16" x14ac:dyDescent="0.2"/>
    <row r="3589" ht="16" x14ac:dyDescent="0.2"/>
    <row r="3590" ht="16" x14ac:dyDescent="0.2"/>
    <row r="3591" ht="16" x14ac:dyDescent="0.2"/>
    <row r="3592" ht="16" x14ac:dyDescent="0.2"/>
    <row r="3593" ht="16" x14ac:dyDescent="0.2"/>
    <row r="3594" ht="16" x14ac:dyDescent="0.2"/>
    <row r="3595" ht="16" x14ac:dyDescent="0.2"/>
    <row r="3596" ht="16" x14ac:dyDescent="0.2"/>
    <row r="3597" ht="16" x14ac:dyDescent="0.2"/>
    <row r="3598" ht="16" x14ac:dyDescent="0.2"/>
    <row r="3599" ht="16" x14ac:dyDescent="0.2"/>
    <row r="3600" ht="16" x14ac:dyDescent="0.2"/>
    <row r="3601" ht="16" x14ac:dyDescent="0.2"/>
    <row r="3602" ht="16" x14ac:dyDescent="0.2"/>
    <row r="3603" ht="16" x14ac:dyDescent="0.2"/>
    <row r="3604" ht="16" x14ac:dyDescent="0.2"/>
    <row r="3605" ht="16" x14ac:dyDescent="0.2"/>
    <row r="3606" ht="16" x14ac:dyDescent="0.2"/>
    <row r="3607" ht="16" x14ac:dyDescent="0.2"/>
    <row r="3608" ht="16" x14ac:dyDescent="0.2"/>
    <row r="3609" ht="16" x14ac:dyDescent="0.2"/>
    <row r="3610" ht="16" x14ac:dyDescent="0.2"/>
    <row r="3611" ht="16" x14ac:dyDescent="0.2"/>
    <row r="3612" ht="16" x14ac:dyDescent="0.2"/>
    <row r="3613" ht="16" x14ac:dyDescent="0.2"/>
    <row r="3614" ht="16" x14ac:dyDescent="0.2"/>
    <row r="3615" ht="16" x14ac:dyDescent="0.2"/>
    <row r="3616" ht="16" x14ac:dyDescent="0.2"/>
    <row r="3617" ht="16" x14ac:dyDescent="0.2"/>
    <row r="3618" ht="16" x14ac:dyDescent="0.2"/>
    <row r="3619" ht="16" x14ac:dyDescent="0.2"/>
    <row r="3620" ht="16" x14ac:dyDescent="0.2"/>
    <row r="3621" ht="16" x14ac:dyDescent="0.2"/>
    <row r="3622" ht="16" x14ac:dyDescent="0.2"/>
    <row r="3623" ht="16" x14ac:dyDescent="0.2"/>
    <row r="3624" ht="16" x14ac:dyDescent="0.2"/>
    <row r="3625" ht="16" x14ac:dyDescent="0.2"/>
    <row r="3626" ht="16" x14ac:dyDescent="0.2"/>
    <row r="3627" ht="16" x14ac:dyDescent="0.2"/>
    <row r="3628" ht="16" x14ac:dyDescent="0.2"/>
    <row r="3629" ht="16" x14ac:dyDescent="0.2"/>
    <row r="3630" ht="16" x14ac:dyDescent="0.2"/>
    <row r="3631" ht="16" x14ac:dyDescent="0.2"/>
    <row r="3632" ht="16" x14ac:dyDescent="0.2"/>
    <row r="3633" ht="16" x14ac:dyDescent="0.2"/>
    <row r="3634" ht="16" x14ac:dyDescent="0.2"/>
    <row r="3635" ht="16" x14ac:dyDescent="0.2"/>
    <row r="3636" ht="16" x14ac:dyDescent="0.2"/>
    <row r="3637" ht="16" x14ac:dyDescent="0.2"/>
    <row r="3638" ht="16" x14ac:dyDescent="0.2"/>
    <row r="3639" ht="16" x14ac:dyDescent="0.2"/>
    <row r="3640" ht="16" x14ac:dyDescent="0.2"/>
    <row r="3641" ht="16" x14ac:dyDescent="0.2"/>
    <row r="3642" ht="16" x14ac:dyDescent="0.2"/>
    <row r="3643" ht="16" x14ac:dyDescent="0.2"/>
    <row r="3644" ht="16" x14ac:dyDescent="0.2"/>
    <row r="3645" ht="16" x14ac:dyDescent="0.2"/>
    <row r="3646" ht="16" x14ac:dyDescent="0.2"/>
    <row r="3647" ht="16" x14ac:dyDescent="0.2"/>
    <row r="3648" ht="16" x14ac:dyDescent="0.2"/>
    <row r="3649" ht="16" x14ac:dyDescent="0.2"/>
    <row r="3650" ht="16" x14ac:dyDescent="0.2"/>
    <row r="3651" ht="16" x14ac:dyDescent="0.2"/>
    <row r="3652" ht="16" x14ac:dyDescent="0.2"/>
    <row r="3653" ht="16" x14ac:dyDescent="0.2"/>
    <row r="3654" ht="16" x14ac:dyDescent="0.2"/>
    <row r="3655" ht="16" x14ac:dyDescent="0.2"/>
    <row r="3656" ht="16" x14ac:dyDescent="0.2"/>
    <row r="3657" ht="16" x14ac:dyDescent="0.2"/>
    <row r="3658" ht="16" x14ac:dyDescent="0.2"/>
    <row r="3659" ht="16" x14ac:dyDescent="0.2"/>
    <row r="3660" ht="16" x14ac:dyDescent="0.2"/>
    <row r="3661" ht="16" x14ac:dyDescent="0.2"/>
    <row r="3662" ht="16" x14ac:dyDescent="0.2"/>
    <row r="3663" ht="16" x14ac:dyDescent="0.2"/>
    <row r="3664" ht="16" x14ac:dyDescent="0.2"/>
    <row r="3665" ht="16" x14ac:dyDescent="0.2"/>
    <row r="3666" ht="16" x14ac:dyDescent="0.2"/>
    <row r="3667" ht="16" x14ac:dyDescent="0.2"/>
    <row r="3668" ht="16" x14ac:dyDescent="0.2"/>
    <row r="3669" ht="16" x14ac:dyDescent="0.2"/>
    <row r="3670" ht="16" x14ac:dyDescent="0.2"/>
    <row r="3671" ht="16" x14ac:dyDescent="0.2"/>
    <row r="3672" ht="16" x14ac:dyDescent="0.2"/>
    <row r="3673" ht="16" x14ac:dyDescent="0.2"/>
    <row r="3674" ht="16" x14ac:dyDescent="0.2"/>
    <row r="3675" ht="16" x14ac:dyDescent="0.2"/>
    <row r="3676" ht="16" x14ac:dyDescent="0.2"/>
    <row r="3677" ht="16" x14ac:dyDescent="0.2"/>
    <row r="3678" ht="16" x14ac:dyDescent="0.2"/>
    <row r="3679" ht="16" x14ac:dyDescent="0.2"/>
    <row r="3680" ht="16" x14ac:dyDescent="0.2"/>
    <row r="3681" ht="16" x14ac:dyDescent="0.2"/>
    <row r="3682" ht="16" x14ac:dyDescent="0.2"/>
    <row r="3683" ht="16" x14ac:dyDescent="0.2"/>
    <row r="3684" ht="16" x14ac:dyDescent="0.2"/>
    <row r="3685" ht="16" x14ac:dyDescent="0.2"/>
    <row r="3686" ht="16" x14ac:dyDescent="0.2"/>
    <row r="3687" ht="16" x14ac:dyDescent="0.2"/>
    <row r="3688" ht="16" x14ac:dyDescent="0.2"/>
    <row r="3689" ht="16" x14ac:dyDescent="0.2"/>
    <row r="3690" ht="16" x14ac:dyDescent="0.2"/>
    <row r="3691" ht="16" x14ac:dyDescent="0.2"/>
    <row r="3692" ht="16" x14ac:dyDescent="0.2"/>
    <row r="3693" ht="16" x14ac:dyDescent="0.2"/>
    <row r="3694" ht="16" x14ac:dyDescent="0.2"/>
    <row r="3695" ht="16" x14ac:dyDescent="0.2"/>
    <row r="3696" ht="16" x14ac:dyDescent="0.2"/>
    <row r="3697" ht="16" x14ac:dyDescent="0.2"/>
    <row r="3698" ht="16" x14ac:dyDescent="0.2"/>
    <row r="3699" ht="16" x14ac:dyDescent="0.2"/>
    <row r="3700" ht="16" x14ac:dyDescent="0.2"/>
    <row r="3701" ht="16" x14ac:dyDescent="0.2"/>
    <row r="3702" ht="16" x14ac:dyDescent="0.2"/>
    <row r="3703" ht="16" x14ac:dyDescent="0.2"/>
    <row r="3704" ht="16" x14ac:dyDescent="0.2"/>
    <row r="3705" ht="16" x14ac:dyDescent="0.2"/>
    <row r="3706" ht="16" x14ac:dyDescent="0.2"/>
    <row r="3707" ht="16" x14ac:dyDescent="0.2"/>
    <row r="3708" ht="16" x14ac:dyDescent="0.2"/>
    <row r="3709" ht="16" x14ac:dyDescent="0.2"/>
    <row r="3710" ht="16" x14ac:dyDescent="0.2"/>
    <row r="3711" ht="16" x14ac:dyDescent="0.2"/>
    <row r="3712" ht="16" x14ac:dyDescent="0.2"/>
    <row r="3713" ht="16" x14ac:dyDescent="0.2"/>
    <row r="3714" ht="16" x14ac:dyDescent="0.2"/>
    <row r="3715" ht="16" x14ac:dyDescent="0.2"/>
    <row r="3716" ht="16" x14ac:dyDescent="0.2"/>
    <row r="3717" ht="16" x14ac:dyDescent="0.2"/>
    <row r="3718" ht="16" x14ac:dyDescent="0.2"/>
    <row r="3719" ht="16" x14ac:dyDescent="0.2"/>
    <row r="3720" ht="16" x14ac:dyDescent="0.2"/>
    <row r="3721" ht="16" x14ac:dyDescent="0.2"/>
    <row r="3722" ht="16" x14ac:dyDescent="0.2"/>
    <row r="3723" ht="16" x14ac:dyDescent="0.2"/>
    <row r="3724" ht="16" x14ac:dyDescent="0.2"/>
    <row r="3725" ht="16" x14ac:dyDescent="0.2"/>
    <row r="3726" ht="16" x14ac:dyDescent="0.2"/>
    <row r="3727" ht="16" x14ac:dyDescent="0.2"/>
    <row r="3728" ht="16" x14ac:dyDescent="0.2"/>
    <row r="3729" ht="16" x14ac:dyDescent="0.2"/>
    <row r="3730" ht="16" x14ac:dyDescent="0.2"/>
    <row r="3731" ht="16" x14ac:dyDescent="0.2"/>
    <row r="3732" ht="16" x14ac:dyDescent="0.2"/>
    <row r="3733" ht="16" x14ac:dyDescent="0.2"/>
    <row r="3734" ht="16" x14ac:dyDescent="0.2"/>
    <row r="3735" ht="16" x14ac:dyDescent="0.2"/>
    <row r="3736" ht="16" x14ac:dyDescent="0.2"/>
    <row r="3737" ht="16" x14ac:dyDescent="0.2"/>
    <row r="3738" ht="16" x14ac:dyDescent="0.2"/>
    <row r="3739" ht="16" x14ac:dyDescent="0.2"/>
    <row r="3740" ht="16" x14ac:dyDescent="0.2"/>
    <row r="3741" ht="16" x14ac:dyDescent="0.2"/>
    <row r="3742" ht="16" x14ac:dyDescent="0.2"/>
    <row r="3743" ht="16" x14ac:dyDescent="0.2"/>
    <row r="3744" ht="16" x14ac:dyDescent="0.2"/>
    <row r="3745" ht="16" x14ac:dyDescent="0.2"/>
    <row r="3746" ht="16" x14ac:dyDescent="0.2"/>
    <row r="3747" ht="16" x14ac:dyDescent="0.2"/>
    <row r="3748" ht="16" x14ac:dyDescent="0.2"/>
    <row r="3749" ht="16" x14ac:dyDescent="0.2"/>
    <row r="3750" ht="16" x14ac:dyDescent="0.2"/>
    <row r="3751" ht="16" x14ac:dyDescent="0.2"/>
    <row r="3752" ht="16" x14ac:dyDescent="0.2"/>
    <row r="3753" ht="16" x14ac:dyDescent="0.2"/>
    <row r="3754" ht="16" x14ac:dyDescent="0.2"/>
    <row r="3755" ht="16" x14ac:dyDescent="0.2"/>
    <row r="3756" ht="16" x14ac:dyDescent="0.2"/>
    <row r="3757" ht="16" x14ac:dyDescent="0.2"/>
    <row r="3758" ht="16" x14ac:dyDescent="0.2"/>
    <row r="3759" ht="16" x14ac:dyDescent="0.2"/>
    <row r="3760" ht="16" x14ac:dyDescent="0.2"/>
    <row r="3761" ht="16" x14ac:dyDescent="0.2"/>
    <row r="3762" ht="16" x14ac:dyDescent="0.2"/>
    <row r="3763" ht="16" x14ac:dyDescent="0.2"/>
    <row r="3764" ht="16" x14ac:dyDescent="0.2"/>
    <row r="3765" ht="16" x14ac:dyDescent="0.2"/>
    <row r="3766" ht="16" x14ac:dyDescent="0.2"/>
    <row r="3767" ht="16" x14ac:dyDescent="0.2"/>
    <row r="3768" ht="16" x14ac:dyDescent="0.2"/>
    <row r="3769" ht="16" x14ac:dyDescent="0.2"/>
    <row r="3770" ht="16" x14ac:dyDescent="0.2"/>
    <row r="3771" ht="16" x14ac:dyDescent="0.2"/>
    <row r="3772" ht="16" x14ac:dyDescent="0.2"/>
    <row r="3773" ht="16" x14ac:dyDescent="0.2"/>
    <row r="3774" ht="16" x14ac:dyDescent="0.2"/>
    <row r="3775" ht="16" x14ac:dyDescent="0.2"/>
    <row r="3776" ht="16" x14ac:dyDescent="0.2"/>
    <row r="3777" ht="16" x14ac:dyDescent="0.2"/>
    <row r="3778" ht="16" x14ac:dyDescent="0.2"/>
    <row r="3779" ht="16" x14ac:dyDescent="0.2"/>
    <row r="3780" ht="16" x14ac:dyDescent="0.2"/>
    <row r="3781" ht="16" x14ac:dyDescent="0.2"/>
    <row r="3782" ht="16" x14ac:dyDescent="0.2"/>
    <row r="3783" ht="16" x14ac:dyDescent="0.2"/>
    <row r="3784" ht="16" x14ac:dyDescent="0.2"/>
    <row r="3785" ht="16" x14ac:dyDescent="0.2"/>
    <row r="3786" ht="16" x14ac:dyDescent="0.2"/>
    <row r="3787" ht="16" x14ac:dyDescent="0.2"/>
    <row r="3788" ht="16" x14ac:dyDescent="0.2"/>
    <row r="3789" ht="16" x14ac:dyDescent="0.2"/>
    <row r="3790" ht="16" x14ac:dyDescent="0.2"/>
    <row r="3791" ht="16" x14ac:dyDescent="0.2"/>
    <row r="3792" ht="16" x14ac:dyDescent="0.2"/>
    <row r="3793" ht="16" x14ac:dyDescent="0.2"/>
    <row r="3794" ht="16" x14ac:dyDescent="0.2"/>
    <row r="3795" ht="16" x14ac:dyDescent="0.2"/>
    <row r="3796" ht="16" x14ac:dyDescent="0.2"/>
    <row r="3797" ht="16" x14ac:dyDescent="0.2"/>
    <row r="3798" ht="16" x14ac:dyDescent="0.2"/>
    <row r="3799" ht="16" x14ac:dyDescent="0.2"/>
    <row r="3800" ht="16" x14ac:dyDescent="0.2"/>
    <row r="3801" ht="16" x14ac:dyDescent="0.2"/>
    <row r="3802" ht="16" x14ac:dyDescent="0.2"/>
    <row r="3803" ht="16" x14ac:dyDescent="0.2"/>
    <row r="3804" ht="16" x14ac:dyDescent="0.2"/>
    <row r="3805" ht="16" x14ac:dyDescent="0.2"/>
    <row r="3806" ht="16" x14ac:dyDescent="0.2"/>
    <row r="3807" ht="16" x14ac:dyDescent="0.2"/>
    <row r="3808" ht="16" x14ac:dyDescent="0.2"/>
    <row r="3809" ht="16" x14ac:dyDescent="0.2"/>
    <row r="3810" ht="16" x14ac:dyDescent="0.2"/>
    <row r="3811" ht="16" x14ac:dyDescent="0.2"/>
    <row r="3812" ht="16" x14ac:dyDescent="0.2"/>
    <row r="3813" ht="16" x14ac:dyDescent="0.2"/>
    <row r="3814" ht="16" x14ac:dyDescent="0.2"/>
    <row r="3815" ht="16" x14ac:dyDescent="0.2"/>
    <row r="3816" ht="16" x14ac:dyDescent="0.2"/>
    <row r="3817" ht="16" x14ac:dyDescent="0.2"/>
    <row r="3818" ht="16" x14ac:dyDescent="0.2"/>
    <row r="3819" ht="16" x14ac:dyDescent="0.2"/>
    <row r="3820" ht="16" x14ac:dyDescent="0.2"/>
    <row r="3821" ht="16" x14ac:dyDescent="0.2"/>
    <row r="3822" ht="16" x14ac:dyDescent="0.2"/>
    <row r="3823" ht="16" x14ac:dyDescent="0.2"/>
    <row r="3824" ht="16" x14ac:dyDescent="0.2"/>
    <row r="3825" ht="16" x14ac:dyDescent="0.2"/>
    <row r="3826" ht="16" x14ac:dyDescent="0.2"/>
    <row r="3827" ht="16" x14ac:dyDescent="0.2"/>
    <row r="3828" ht="16" x14ac:dyDescent="0.2"/>
    <row r="3829" ht="16" x14ac:dyDescent="0.2"/>
    <row r="3830" ht="16" x14ac:dyDescent="0.2"/>
    <row r="3831" ht="16" x14ac:dyDescent="0.2"/>
    <row r="3832" ht="16" x14ac:dyDescent="0.2"/>
    <row r="3833" ht="16" x14ac:dyDescent="0.2"/>
    <row r="3834" ht="16" x14ac:dyDescent="0.2"/>
    <row r="3835" ht="16" x14ac:dyDescent="0.2"/>
    <row r="3836" ht="16" x14ac:dyDescent="0.2"/>
    <row r="3837" ht="16" x14ac:dyDescent="0.2"/>
    <row r="3838" ht="16" x14ac:dyDescent="0.2"/>
    <row r="3839" ht="16" x14ac:dyDescent="0.2"/>
    <row r="3840" ht="16" x14ac:dyDescent="0.2"/>
    <row r="3841" ht="16" x14ac:dyDescent="0.2"/>
    <row r="3842" ht="16" x14ac:dyDescent="0.2"/>
    <row r="3843" ht="16" x14ac:dyDescent="0.2"/>
    <row r="3844" ht="16" x14ac:dyDescent="0.2"/>
    <row r="3845" ht="16" x14ac:dyDescent="0.2"/>
    <row r="3846" ht="16" x14ac:dyDescent="0.2"/>
    <row r="3847" ht="16" x14ac:dyDescent="0.2"/>
    <row r="3848" ht="16" x14ac:dyDescent="0.2"/>
    <row r="3849" ht="16" x14ac:dyDescent="0.2"/>
    <row r="3850" ht="16" x14ac:dyDescent="0.2"/>
    <row r="3851" ht="16" x14ac:dyDescent="0.2"/>
    <row r="3852" ht="16" x14ac:dyDescent="0.2"/>
    <row r="3853" ht="16" x14ac:dyDescent="0.2"/>
    <row r="3854" ht="16" x14ac:dyDescent="0.2"/>
    <row r="3855" ht="16" x14ac:dyDescent="0.2"/>
    <row r="3856" ht="16" x14ac:dyDescent="0.2"/>
    <row r="3857" ht="16" x14ac:dyDescent="0.2"/>
    <row r="3858" ht="16" x14ac:dyDescent="0.2"/>
    <row r="3859" ht="16" x14ac:dyDescent="0.2"/>
    <row r="3860" ht="16" x14ac:dyDescent="0.2"/>
    <row r="3861" ht="16" x14ac:dyDescent="0.2"/>
    <row r="3862" ht="16" x14ac:dyDescent="0.2"/>
    <row r="3863" ht="16" x14ac:dyDescent="0.2"/>
    <row r="3864" ht="16" x14ac:dyDescent="0.2"/>
    <row r="3865" ht="16" x14ac:dyDescent="0.2"/>
    <row r="3866" ht="16" x14ac:dyDescent="0.2"/>
    <row r="3867" ht="16" x14ac:dyDescent="0.2"/>
    <row r="3868" ht="16" x14ac:dyDescent="0.2"/>
    <row r="3869" ht="16" x14ac:dyDescent="0.2"/>
    <row r="3870" ht="16" x14ac:dyDescent="0.2"/>
    <row r="3871" ht="16" x14ac:dyDescent="0.2"/>
    <row r="3872" ht="16" x14ac:dyDescent="0.2"/>
    <row r="3873" ht="16" x14ac:dyDescent="0.2"/>
    <row r="3874" ht="16" x14ac:dyDescent="0.2"/>
    <row r="3875" ht="16" x14ac:dyDescent="0.2"/>
    <row r="3876" ht="16" x14ac:dyDescent="0.2"/>
    <row r="3877" ht="16" x14ac:dyDescent="0.2"/>
    <row r="3878" ht="16" x14ac:dyDescent="0.2"/>
    <row r="3879" ht="16" x14ac:dyDescent="0.2"/>
    <row r="3880" ht="16" x14ac:dyDescent="0.2"/>
    <row r="3881" ht="16" x14ac:dyDescent="0.2"/>
    <row r="3882" ht="16" x14ac:dyDescent="0.2"/>
    <row r="3883" ht="16" x14ac:dyDescent="0.2"/>
    <row r="3884" ht="16" x14ac:dyDescent="0.2"/>
    <row r="3885" ht="16" x14ac:dyDescent="0.2"/>
    <row r="3886" ht="16" x14ac:dyDescent="0.2"/>
    <row r="3887" ht="16" x14ac:dyDescent="0.2"/>
    <row r="3888" ht="16" x14ac:dyDescent="0.2"/>
    <row r="3889" ht="16" x14ac:dyDescent="0.2"/>
    <row r="3890" ht="16" x14ac:dyDescent="0.2"/>
    <row r="3891" ht="16" x14ac:dyDescent="0.2"/>
    <row r="3892" ht="16" x14ac:dyDescent="0.2"/>
    <row r="3893" ht="16" x14ac:dyDescent="0.2"/>
    <row r="3894" ht="16" x14ac:dyDescent="0.2"/>
    <row r="3895" ht="16" x14ac:dyDescent="0.2"/>
    <row r="3896" ht="16" x14ac:dyDescent="0.2"/>
    <row r="3897" ht="16" x14ac:dyDescent="0.2"/>
    <row r="3898" ht="16" x14ac:dyDescent="0.2"/>
    <row r="3899" ht="16" x14ac:dyDescent="0.2"/>
    <row r="3900" ht="16" x14ac:dyDescent="0.2"/>
    <row r="3901" ht="16" x14ac:dyDescent="0.2"/>
    <row r="3902" ht="16" x14ac:dyDescent="0.2"/>
    <row r="3903" ht="16" x14ac:dyDescent="0.2"/>
    <row r="3904" ht="16" x14ac:dyDescent="0.2"/>
    <row r="3905" ht="16" x14ac:dyDescent="0.2"/>
    <row r="3906" ht="16" x14ac:dyDescent="0.2"/>
    <row r="3907" ht="16" x14ac:dyDescent="0.2"/>
    <row r="3908" ht="16" x14ac:dyDescent="0.2"/>
    <row r="3909" ht="16" x14ac:dyDescent="0.2"/>
    <row r="3910" ht="16" x14ac:dyDescent="0.2"/>
    <row r="3911" ht="16" x14ac:dyDescent="0.2"/>
    <row r="3912" ht="16" x14ac:dyDescent="0.2"/>
    <row r="3913" ht="16" x14ac:dyDescent="0.2"/>
    <row r="3914" ht="16" x14ac:dyDescent="0.2"/>
    <row r="3915" ht="16" x14ac:dyDescent="0.2"/>
    <row r="3916" ht="16" x14ac:dyDescent="0.2"/>
    <row r="3917" ht="16" x14ac:dyDescent="0.2"/>
    <row r="3918" ht="16" x14ac:dyDescent="0.2"/>
    <row r="3919" ht="16" x14ac:dyDescent="0.2"/>
    <row r="3920" ht="16" x14ac:dyDescent="0.2"/>
    <row r="3921" ht="16" x14ac:dyDescent="0.2"/>
    <row r="3922" ht="16" x14ac:dyDescent="0.2"/>
    <row r="3923" ht="16" x14ac:dyDescent="0.2"/>
    <row r="3924" ht="16" x14ac:dyDescent="0.2"/>
    <row r="3925" ht="16" x14ac:dyDescent="0.2"/>
    <row r="3926" ht="16" x14ac:dyDescent="0.2"/>
    <row r="3927" ht="16" x14ac:dyDescent="0.2"/>
    <row r="3928" ht="16" x14ac:dyDescent="0.2"/>
    <row r="3929" ht="16" x14ac:dyDescent="0.2"/>
    <row r="3930" ht="16" x14ac:dyDescent="0.2"/>
    <row r="3931" ht="16" x14ac:dyDescent="0.2"/>
    <row r="3932" ht="16" x14ac:dyDescent="0.2"/>
    <row r="3933" ht="16" x14ac:dyDescent="0.2"/>
    <row r="3934" ht="16" x14ac:dyDescent="0.2"/>
    <row r="3935" ht="16" x14ac:dyDescent="0.2"/>
    <row r="3936" ht="16" x14ac:dyDescent="0.2"/>
    <row r="3937" ht="16" x14ac:dyDescent="0.2"/>
    <row r="3938" ht="16" x14ac:dyDescent="0.2"/>
    <row r="3939" ht="16" x14ac:dyDescent="0.2"/>
    <row r="3940" ht="16" x14ac:dyDescent="0.2"/>
    <row r="3941" ht="16" x14ac:dyDescent="0.2"/>
    <row r="3942" ht="16" x14ac:dyDescent="0.2"/>
    <row r="3943" ht="16" x14ac:dyDescent="0.2"/>
    <row r="3944" ht="16" x14ac:dyDescent="0.2"/>
    <row r="3945" ht="16" x14ac:dyDescent="0.2"/>
    <row r="3946" ht="16" x14ac:dyDescent="0.2"/>
    <row r="3947" ht="16" x14ac:dyDescent="0.2"/>
    <row r="3948" ht="16" x14ac:dyDescent="0.2"/>
    <row r="3949" ht="16" x14ac:dyDescent="0.2"/>
    <row r="3950" ht="16" x14ac:dyDescent="0.2"/>
    <row r="3951" ht="16" x14ac:dyDescent="0.2"/>
    <row r="3952" ht="16" x14ac:dyDescent="0.2"/>
    <row r="3953" ht="16" x14ac:dyDescent="0.2"/>
    <row r="3954" ht="16" x14ac:dyDescent="0.2"/>
    <row r="3955" ht="16" x14ac:dyDescent="0.2"/>
    <row r="3956" ht="16" x14ac:dyDescent="0.2"/>
    <row r="3957" ht="16" x14ac:dyDescent="0.2"/>
    <row r="3958" ht="16" x14ac:dyDescent="0.2"/>
    <row r="3959" ht="16" x14ac:dyDescent="0.2"/>
    <row r="3960" ht="16" x14ac:dyDescent="0.2"/>
    <row r="3961" ht="16" x14ac:dyDescent="0.2"/>
    <row r="3962" ht="16" x14ac:dyDescent="0.2"/>
    <row r="3963" ht="16" x14ac:dyDescent="0.2"/>
    <row r="3964" ht="16" x14ac:dyDescent="0.2"/>
    <row r="3965" ht="16" x14ac:dyDescent="0.2"/>
    <row r="3966" ht="16" x14ac:dyDescent="0.2"/>
    <row r="3967" ht="16" x14ac:dyDescent="0.2"/>
    <row r="3968" ht="16" x14ac:dyDescent="0.2"/>
    <row r="3969" ht="16" x14ac:dyDescent="0.2"/>
    <row r="3970" ht="16" x14ac:dyDescent="0.2"/>
    <row r="3971" ht="16" x14ac:dyDescent="0.2"/>
    <row r="3972" ht="16" x14ac:dyDescent="0.2"/>
    <row r="3973" ht="16" x14ac:dyDescent="0.2"/>
    <row r="3974" ht="16" x14ac:dyDescent="0.2"/>
    <row r="3975" ht="16" x14ac:dyDescent="0.2"/>
    <row r="3976" ht="16" x14ac:dyDescent="0.2"/>
    <row r="3977" ht="16" x14ac:dyDescent="0.2"/>
    <row r="3978" ht="16" x14ac:dyDescent="0.2"/>
    <row r="3979" ht="16" x14ac:dyDescent="0.2"/>
    <row r="3980" ht="16" x14ac:dyDescent="0.2"/>
    <row r="3981" ht="16" x14ac:dyDescent="0.2"/>
    <row r="3982" ht="16" x14ac:dyDescent="0.2"/>
    <row r="3983" ht="16" x14ac:dyDescent="0.2"/>
    <row r="3984" ht="16" x14ac:dyDescent="0.2"/>
    <row r="3985" ht="16" x14ac:dyDescent="0.2"/>
    <row r="3986" ht="16" x14ac:dyDescent="0.2"/>
    <row r="3987" ht="16" x14ac:dyDescent="0.2"/>
    <row r="3988" ht="16" x14ac:dyDescent="0.2"/>
    <row r="3989" ht="16" x14ac:dyDescent="0.2"/>
    <row r="3990" ht="16" x14ac:dyDescent="0.2"/>
    <row r="3991" ht="16" x14ac:dyDescent="0.2"/>
    <row r="3992" ht="16" x14ac:dyDescent="0.2"/>
    <row r="3993" ht="16" x14ac:dyDescent="0.2"/>
    <row r="3994" ht="16" x14ac:dyDescent="0.2"/>
    <row r="3995" ht="16" x14ac:dyDescent="0.2"/>
    <row r="3996" ht="16" x14ac:dyDescent="0.2"/>
    <row r="3997" ht="16" x14ac:dyDescent="0.2"/>
    <row r="3998" ht="16" x14ac:dyDescent="0.2"/>
    <row r="3999" ht="16" x14ac:dyDescent="0.2"/>
    <row r="4000" ht="16" x14ac:dyDescent="0.2"/>
    <row r="4001" ht="16" x14ac:dyDescent="0.2"/>
    <row r="4002" ht="16" x14ac:dyDescent="0.2"/>
    <row r="4003" ht="16" x14ac:dyDescent="0.2"/>
    <row r="4004" ht="16" x14ac:dyDescent="0.2"/>
    <row r="4005" ht="16" x14ac:dyDescent="0.2"/>
    <row r="4006" ht="16" x14ac:dyDescent="0.2"/>
    <row r="4007" ht="16" x14ac:dyDescent="0.2"/>
    <row r="4008" ht="16" x14ac:dyDescent="0.2"/>
    <row r="4009" ht="16" x14ac:dyDescent="0.2"/>
    <row r="4010" ht="16" x14ac:dyDescent="0.2"/>
    <row r="4011" ht="16" x14ac:dyDescent="0.2"/>
    <row r="4012" ht="16" x14ac:dyDescent="0.2"/>
    <row r="4013" ht="16" x14ac:dyDescent="0.2"/>
    <row r="4014" ht="16" x14ac:dyDescent="0.2"/>
    <row r="4015" ht="16" x14ac:dyDescent="0.2"/>
    <row r="4016" ht="16" x14ac:dyDescent="0.2"/>
    <row r="4017" ht="16" x14ac:dyDescent="0.2"/>
    <row r="4018" ht="16" x14ac:dyDescent="0.2"/>
    <row r="4019" ht="16" x14ac:dyDescent="0.2"/>
    <row r="4020" ht="16" x14ac:dyDescent="0.2"/>
    <row r="4021" ht="16" x14ac:dyDescent="0.2"/>
    <row r="4022" ht="16" x14ac:dyDescent="0.2"/>
    <row r="4023" ht="16" x14ac:dyDescent="0.2"/>
    <row r="4024" ht="16" x14ac:dyDescent="0.2"/>
    <row r="4025" ht="16" x14ac:dyDescent="0.2"/>
    <row r="4026" ht="16" x14ac:dyDescent="0.2"/>
    <row r="4027" ht="16" x14ac:dyDescent="0.2"/>
    <row r="4028" ht="16" x14ac:dyDescent="0.2"/>
    <row r="4029" ht="16" x14ac:dyDescent="0.2"/>
    <row r="4030" ht="16" x14ac:dyDescent="0.2"/>
    <row r="4031" ht="16" x14ac:dyDescent="0.2"/>
    <row r="4032" ht="16" x14ac:dyDescent="0.2"/>
    <row r="4033" ht="16" x14ac:dyDescent="0.2"/>
    <row r="4034" ht="16" x14ac:dyDescent="0.2"/>
    <row r="4035" ht="16" x14ac:dyDescent="0.2"/>
    <row r="4036" ht="16" x14ac:dyDescent="0.2"/>
    <row r="4037" ht="16" x14ac:dyDescent="0.2"/>
    <row r="4038" ht="16" x14ac:dyDescent="0.2"/>
    <row r="4039" ht="16" x14ac:dyDescent="0.2"/>
    <row r="4040" ht="16" x14ac:dyDescent="0.2"/>
    <row r="4041" ht="16" x14ac:dyDescent="0.2"/>
    <row r="4042" ht="16" x14ac:dyDescent="0.2"/>
    <row r="4043" ht="16" x14ac:dyDescent="0.2"/>
    <row r="4044" ht="16" x14ac:dyDescent="0.2"/>
    <row r="4045" ht="16" x14ac:dyDescent="0.2"/>
    <row r="4046" ht="16" x14ac:dyDescent="0.2"/>
    <row r="4047" ht="16" x14ac:dyDescent="0.2"/>
    <row r="4048" ht="16" x14ac:dyDescent="0.2"/>
    <row r="4049" ht="16" x14ac:dyDescent="0.2"/>
    <row r="4050" ht="16" x14ac:dyDescent="0.2"/>
    <row r="4051" ht="16" x14ac:dyDescent="0.2"/>
    <row r="4052" ht="16" x14ac:dyDescent="0.2"/>
    <row r="4053" ht="16" x14ac:dyDescent="0.2"/>
    <row r="4054" ht="16" x14ac:dyDescent="0.2"/>
    <row r="4055" ht="16" x14ac:dyDescent="0.2"/>
    <row r="4056" ht="16" x14ac:dyDescent="0.2"/>
    <row r="4057" ht="16" x14ac:dyDescent="0.2"/>
    <row r="4058" ht="16" x14ac:dyDescent="0.2"/>
    <row r="4059" ht="16" x14ac:dyDescent="0.2"/>
    <row r="4060" ht="16" x14ac:dyDescent="0.2"/>
    <row r="4061" ht="16" x14ac:dyDescent="0.2"/>
    <row r="4062" ht="16" x14ac:dyDescent="0.2"/>
    <row r="4063" ht="16" x14ac:dyDescent="0.2"/>
    <row r="4064" ht="16" x14ac:dyDescent="0.2"/>
    <row r="4065" ht="16" x14ac:dyDescent="0.2"/>
    <row r="4066" ht="16" x14ac:dyDescent="0.2"/>
    <row r="4067" ht="16" x14ac:dyDescent="0.2"/>
    <row r="4068" ht="16" x14ac:dyDescent="0.2"/>
    <row r="4069" ht="16" x14ac:dyDescent="0.2"/>
    <row r="4070" ht="16" x14ac:dyDescent="0.2"/>
    <row r="4071" ht="16" x14ac:dyDescent="0.2"/>
    <row r="4072" ht="16" x14ac:dyDescent="0.2"/>
    <row r="4073" ht="16" x14ac:dyDescent="0.2"/>
    <row r="4074" ht="16" x14ac:dyDescent="0.2"/>
    <row r="4075" ht="16" x14ac:dyDescent="0.2"/>
    <row r="4076" ht="16" x14ac:dyDescent="0.2"/>
    <row r="4077" ht="16" x14ac:dyDescent="0.2"/>
    <row r="4078" ht="16" x14ac:dyDescent="0.2"/>
    <row r="4079" ht="16" x14ac:dyDescent="0.2"/>
    <row r="4080" ht="16" x14ac:dyDescent="0.2"/>
    <row r="4081" ht="16" x14ac:dyDescent="0.2"/>
    <row r="4082" ht="16" x14ac:dyDescent="0.2"/>
    <row r="4083" ht="16" x14ac:dyDescent="0.2"/>
    <row r="4084" ht="16" x14ac:dyDescent="0.2"/>
    <row r="4085" ht="16" x14ac:dyDescent="0.2"/>
    <row r="4086" ht="16" x14ac:dyDescent="0.2"/>
    <row r="4087" ht="16" x14ac:dyDescent="0.2"/>
    <row r="4088" ht="16" x14ac:dyDescent="0.2"/>
    <row r="4089" ht="16" x14ac:dyDescent="0.2"/>
    <row r="4090" ht="16" x14ac:dyDescent="0.2"/>
    <row r="4091" ht="16" x14ac:dyDescent="0.2"/>
    <row r="4092" ht="16" x14ac:dyDescent="0.2"/>
    <row r="4093" ht="16" x14ac:dyDescent="0.2"/>
    <row r="4094" ht="16" x14ac:dyDescent="0.2"/>
    <row r="4095" ht="16" x14ac:dyDescent="0.2"/>
    <row r="4096" ht="16" x14ac:dyDescent="0.2"/>
    <row r="4097" ht="16" x14ac:dyDescent="0.2"/>
    <row r="4098" ht="16" x14ac:dyDescent="0.2"/>
    <row r="4099" ht="16" x14ac:dyDescent="0.2"/>
    <row r="4100" ht="16" x14ac:dyDescent="0.2"/>
    <row r="4101" ht="16" x14ac:dyDescent="0.2"/>
    <row r="4102" ht="16" x14ac:dyDescent="0.2"/>
    <row r="4103" ht="16" x14ac:dyDescent="0.2"/>
    <row r="4104" ht="16" x14ac:dyDescent="0.2"/>
    <row r="4105" ht="16" x14ac:dyDescent="0.2"/>
    <row r="4106" ht="16" x14ac:dyDescent="0.2"/>
    <row r="4107" ht="16" x14ac:dyDescent="0.2"/>
    <row r="4108" ht="16" x14ac:dyDescent="0.2"/>
    <row r="4109" ht="16" x14ac:dyDescent="0.2"/>
    <row r="4110" ht="16" x14ac:dyDescent="0.2"/>
    <row r="4111" ht="16" x14ac:dyDescent="0.2"/>
    <row r="4112" ht="16" x14ac:dyDescent="0.2"/>
    <row r="4113" ht="16" x14ac:dyDescent="0.2"/>
    <row r="4114" ht="16" x14ac:dyDescent="0.2"/>
    <row r="4115" ht="16" x14ac:dyDescent="0.2"/>
    <row r="4116" ht="16" x14ac:dyDescent="0.2"/>
    <row r="4117" ht="16" x14ac:dyDescent="0.2"/>
    <row r="4118" ht="16" x14ac:dyDescent="0.2"/>
    <row r="4119" ht="16" x14ac:dyDescent="0.2"/>
    <row r="4120" ht="16" x14ac:dyDescent="0.2"/>
    <row r="4121" ht="16" x14ac:dyDescent="0.2"/>
    <row r="4122" ht="16" x14ac:dyDescent="0.2"/>
    <row r="4123" ht="16" x14ac:dyDescent="0.2"/>
    <row r="4124" ht="16" x14ac:dyDescent="0.2"/>
    <row r="4125" ht="16" x14ac:dyDescent="0.2"/>
    <row r="4126" ht="16" x14ac:dyDescent="0.2"/>
    <row r="4127" ht="16" x14ac:dyDescent="0.2"/>
    <row r="4128" ht="16" x14ac:dyDescent="0.2"/>
    <row r="4129" ht="16" x14ac:dyDescent="0.2"/>
    <row r="4130" ht="16" x14ac:dyDescent="0.2"/>
    <row r="4131" ht="16" x14ac:dyDescent="0.2"/>
    <row r="4132" ht="16" x14ac:dyDescent="0.2"/>
    <row r="4133" ht="16" x14ac:dyDescent="0.2"/>
    <row r="4134" ht="16" x14ac:dyDescent="0.2"/>
    <row r="4135" ht="16" x14ac:dyDescent="0.2"/>
    <row r="4136" ht="16" x14ac:dyDescent="0.2"/>
    <row r="4137" ht="16" x14ac:dyDescent="0.2"/>
    <row r="4138" ht="16" x14ac:dyDescent="0.2"/>
    <row r="4139" ht="16" x14ac:dyDescent="0.2"/>
    <row r="4140" ht="16" x14ac:dyDescent="0.2"/>
    <row r="4141" ht="16" x14ac:dyDescent="0.2"/>
    <row r="4142" ht="16" x14ac:dyDescent="0.2"/>
    <row r="4143" ht="16" x14ac:dyDescent="0.2"/>
    <row r="4144" ht="16" x14ac:dyDescent="0.2"/>
    <row r="4145" ht="16" x14ac:dyDescent="0.2"/>
    <row r="4146" ht="16" x14ac:dyDescent="0.2"/>
    <row r="4147" ht="16" x14ac:dyDescent="0.2"/>
    <row r="4148" ht="16" x14ac:dyDescent="0.2"/>
    <row r="4149" ht="16" x14ac:dyDescent="0.2"/>
    <row r="4150" ht="16" x14ac:dyDescent="0.2"/>
    <row r="4151" ht="16" x14ac:dyDescent="0.2"/>
    <row r="4152" ht="16" x14ac:dyDescent="0.2"/>
    <row r="4153" ht="16" x14ac:dyDescent="0.2"/>
    <row r="4154" ht="16" x14ac:dyDescent="0.2"/>
    <row r="4155" ht="16" x14ac:dyDescent="0.2"/>
    <row r="4156" ht="16" x14ac:dyDescent="0.2"/>
    <row r="4157" ht="16" x14ac:dyDescent="0.2"/>
    <row r="4158" ht="16" x14ac:dyDescent="0.2"/>
    <row r="4159" ht="16" x14ac:dyDescent="0.2"/>
    <row r="4160" ht="16" x14ac:dyDescent="0.2"/>
    <row r="4161" ht="16" x14ac:dyDescent="0.2"/>
    <row r="4162" ht="16" x14ac:dyDescent="0.2"/>
    <row r="4163" ht="16" x14ac:dyDescent="0.2"/>
    <row r="4164" ht="16" x14ac:dyDescent="0.2"/>
    <row r="4165" ht="16" x14ac:dyDescent="0.2"/>
    <row r="4166" ht="16" x14ac:dyDescent="0.2"/>
    <row r="4167" ht="16" x14ac:dyDescent="0.2"/>
    <row r="4168" ht="16" x14ac:dyDescent="0.2"/>
    <row r="4169" ht="16" x14ac:dyDescent="0.2"/>
    <row r="4170" ht="16" x14ac:dyDescent="0.2"/>
    <row r="4171" ht="16" x14ac:dyDescent="0.2"/>
    <row r="4172" ht="16" x14ac:dyDescent="0.2"/>
    <row r="4173" ht="16" x14ac:dyDescent="0.2"/>
    <row r="4174" ht="16" x14ac:dyDescent="0.2"/>
    <row r="4175" ht="16" x14ac:dyDescent="0.2"/>
    <row r="4176" ht="16" x14ac:dyDescent="0.2"/>
    <row r="4177" ht="16" x14ac:dyDescent="0.2"/>
    <row r="4178" ht="16" x14ac:dyDescent="0.2"/>
    <row r="4179" ht="16" x14ac:dyDescent="0.2"/>
    <row r="4180" ht="16" x14ac:dyDescent="0.2"/>
    <row r="4181" ht="16" x14ac:dyDescent="0.2"/>
    <row r="4182" ht="16" x14ac:dyDescent="0.2"/>
    <row r="4183" ht="16" x14ac:dyDescent="0.2"/>
    <row r="4184" ht="16" x14ac:dyDescent="0.2"/>
    <row r="4185" ht="16" x14ac:dyDescent="0.2"/>
    <row r="4186" ht="16" x14ac:dyDescent="0.2"/>
    <row r="4187" ht="16" x14ac:dyDescent="0.2"/>
    <row r="4188" ht="16" x14ac:dyDescent="0.2"/>
    <row r="4189" ht="16" x14ac:dyDescent="0.2"/>
    <row r="4190" ht="16" x14ac:dyDescent="0.2"/>
    <row r="4191" ht="16" x14ac:dyDescent="0.2"/>
    <row r="4192" ht="16" x14ac:dyDescent="0.2"/>
    <row r="4193" ht="16" x14ac:dyDescent="0.2"/>
    <row r="4194" ht="16" x14ac:dyDescent="0.2"/>
    <row r="4195" ht="16" x14ac:dyDescent="0.2"/>
    <row r="4196" ht="16" x14ac:dyDescent="0.2"/>
    <row r="4197" ht="16" x14ac:dyDescent="0.2"/>
    <row r="4198" ht="16" x14ac:dyDescent="0.2"/>
    <row r="4199" ht="16" x14ac:dyDescent="0.2"/>
    <row r="4200" ht="16" x14ac:dyDescent="0.2"/>
    <row r="4201" ht="16" x14ac:dyDescent="0.2"/>
    <row r="4202" ht="16" x14ac:dyDescent="0.2"/>
    <row r="4203" ht="16" x14ac:dyDescent="0.2"/>
    <row r="4204" ht="16" x14ac:dyDescent="0.2"/>
    <row r="4205" ht="16" x14ac:dyDescent="0.2"/>
    <row r="4206" ht="16" x14ac:dyDescent="0.2"/>
    <row r="4207" ht="16" x14ac:dyDescent="0.2"/>
    <row r="4208" ht="16" x14ac:dyDescent="0.2"/>
    <row r="4209" ht="16" x14ac:dyDescent="0.2"/>
    <row r="4210" ht="16" x14ac:dyDescent="0.2"/>
    <row r="4211" ht="16" x14ac:dyDescent="0.2"/>
    <row r="4212" ht="16" x14ac:dyDescent="0.2"/>
    <row r="4213" ht="16" x14ac:dyDescent="0.2"/>
    <row r="4214" ht="16" x14ac:dyDescent="0.2"/>
    <row r="4215" ht="16" x14ac:dyDescent="0.2"/>
    <row r="4216" ht="16" x14ac:dyDescent="0.2"/>
    <row r="4217" ht="16" x14ac:dyDescent="0.2"/>
    <row r="4218" ht="16" x14ac:dyDescent="0.2"/>
    <row r="4219" ht="16" x14ac:dyDescent="0.2"/>
    <row r="4220" ht="16" x14ac:dyDescent="0.2"/>
    <row r="4221" ht="16" x14ac:dyDescent="0.2"/>
    <row r="4222" ht="16" x14ac:dyDescent="0.2"/>
    <row r="4223" ht="16" x14ac:dyDescent="0.2"/>
    <row r="4224" ht="16" x14ac:dyDescent="0.2"/>
    <row r="4225" ht="16" x14ac:dyDescent="0.2"/>
    <row r="4226" ht="16" x14ac:dyDescent="0.2"/>
    <row r="4227" ht="16" x14ac:dyDescent="0.2"/>
    <row r="4228" ht="16" x14ac:dyDescent="0.2"/>
    <row r="4229" ht="16" x14ac:dyDescent="0.2"/>
    <row r="4230" ht="16" x14ac:dyDescent="0.2"/>
    <row r="4231" ht="16" x14ac:dyDescent="0.2"/>
    <row r="4232" ht="16" x14ac:dyDescent="0.2"/>
    <row r="4233" ht="16" x14ac:dyDescent="0.2"/>
    <row r="4234" ht="16" x14ac:dyDescent="0.2"/>
    <row r="4235" ht="16" x14ac:dyDescent="0.2"/>
    <row r="4236" ht="16" x14ac:dyDescent="0.2"/>
    <row r="4237" ht="16" x14ac:dyDescent="0.2"/>
    <row r="4238" ht="16" x14ac:dyDescent="0.2"/>
    <row r="4239" ht="16" x14ac:dyDescent="0.2"/>
    <row r="4240" ht="16" x14ac:dyDescent="0.2"/>
    <row r="4241" ht="16" x14ac:dyDescent="0.2"/>
    <row r="4242" ht="16" x14ac:dyDescent="0.2"/>
    <row r="4243" ht="16" x14ac:dyDescent="0.2"/>
    <row r="4244" ht="16" x14ac:dyDescent="0.2"/>
    <row r="4245" ht="16" x14ac:dyDescent="0.2"/>
    <row r="4246" ht="16" x14ac:dyDescent="0.2"/>
    <row r="4247" ht="16" x14ac:dyDescent="0.2"/>
    <row r="4248" ht="16" x14ac:dyDescent="0.2"/>
    <row r="4249" ht="16" x14ac:dyDescent="0.2"/>
    <row r="4250" ht="16" x14ac:dyDescent="0.2"/>
    <row r="4251" ht="16" x14ac:dyDescent="0.2"/>
    <row r="4252" ht="16" x14ac:dyDescent="0.2"/>
    <row r="4253" ht="16" x14ac:dyDescent="0.2"/>
    <row r="4254" ht="16" x14ac:dyDescent="0.2"/>
    <row r="4255" ht="16" x14ac:dyDescent="0.2"/>
    <row r="4256" ht="16" x14ac:dyDescent="0.2"/>
    <row r="4257" ht="16" x14ac:dyDescent="0.2"/>
    <row r="4258" ht="16" x14ac:dyDescent="0.2"/>
    <row r="4259" ht="16" x14ac:dyDescent="0.2"/>
    <row r="4260" ht="16" x14ac:dyDescent="0.2"/>
    <row r="4261" ht="16" x14ac:dyDescent="0.2"/>
    <row r="4262" ht="16" x14ac:dyDescent="0.2"/>
    <row r="4263" ht="16" x14ac:dyDescent="0.2"/>
    <row r="4264" ht="16" x14ac:dyDescent="0.2"/>
    <row r="4265" ht="16" x14ac:dyDescent="0.2"/>
    <row r="4266" ht="16" x14ac:dyDescent="0.2"/>
    <row r="4267" ht="16" x14ac:dyDescent="0.2"/>
    <row r="4268" ht="16" x14ac:dyDescent="0.2"/>
    <row r="4269" ht="16" x14ac:dyDescent="0.2"/>
    <row r="4270" ht="16" x14ac:dyDescent="0.2"/>
    <row r="4271" ht="16" x14ac:dyDescent="0.2"/>
    <row r="4272" ht="16" x14ac:dyDescent="0.2"/>
    <row r="4273" ht="16" x14ac:dyDescent="0.2"/>
    <row r="4274" ht="16" x14ac:dyDescent="0.2"/>
    <row r="4275" ht="16" x14ac:dyDescent="0.2"/>
    <row r="4276" ht="16" x14ac:dyDescent="0.2"/>
    <row r="4277" ht="16" x14ac:dyDescent="0.2"/>
    <row r="4278" ht="16" x14ac:dyDescent="0.2"/>
    <row r="4279" ht="16" x14ac:dyDescent="0.2"/>
    <row r="4280" ht="16" x14ac:dyDescent="0.2"/>
    <row r="4281" ht="16" x14ac:dyDescent="0.2"/>
    <row r="4282" ht="16" x14ac:dyDescent="0.2"/>
    <row r="4283" ht="16" x14ac:dyDescent="0.2"/>
    <row r="4284" ht="16" x14ac:dyDescent="0.2"/>
    <row r="4285" ht="16" x14ac:dyDescent="0.2"/>
    <row r="4286" ht="16" x14ac:dyDescent="0.2"/>
    <row r="4287" ht="16" x14ac:dyDescent="0.2"/>
    <row r="4288" ht="16" x14ac:dyDescent="0.2"/>
    <row r="4289" ht="16" x14ac:dyDescent="0.2"/>
    <row r="4290" ht="16" x14ac:dyDescent="0.2"/>
    <row r="4291" ht="16" x14ac:dyDescent="0.2"/>
    <row r="4292" ht="16" x14ac:dyDescent="0.2"/>
    <row r="4293" ht="16" x14ac:dyDescent="0.2"/>
    <row r="4294" ht="16" x14ac:dyDescent="0.2"/>
    <row r="4295" ht="16" x14ac:dyDescent="0.2"/>
    <row r="4296" ht="16" x14ac:dyDescent="0.2"/>
    <row r="4297" ht="16" x14ac:dyDescent="0.2"/>
    <row r="4298" ht="16" x14ac:dyDescent="0.2"/>
    <row r="4299" ht="16" x14ac:dyDescent="0.2"/>
    <row r="4300" ht="16" x14ac:dyDescent="0.2"/>
    <row r="4301" ht="16" x14ac:dyDescent="0.2"/>
    <row r="4302" ht="16" x14ac:dyDescent="0.2"/>
    <row r="4303" ht="16" x14ac:dyDescent="0.2"/>
    <row r="4304" ht="16" x14ac:dyDescent="0.2"/>
    <row r="4305" ht="16" x14ac:dyDescent="0.2"/>
    <row r="4306" ht="16" x14ac:dyDescent="0.2"/>
    <row r="4307" ht="16" x14ac:dyDescent="0.2"/>
    <row r="4308" ht="16" x14ac:dyDescent="0.2"/>
    <row r="4309" ht="16" x14ac:dyDescent="0.2"/>
    <row r="4310" ht="16" x14ac:dyDescent="0.2"/>
    <row r="4311" ht="16" x14ac:dyDescent="0.2"/>
    <row r="4312" ht="16" x14ac:dyDescent="0.2"/>
    <row r="4313" ht="16" x14ac:dyDescent="0.2"/>
    <row r="4314" ht="16" x14ac:dyDescent="0.2"/>
    <row r="4315" ht="16" x14ac:dyDescent="0.2"/>
    <row r="4316" ht="16" x14ac:dyDescent="0.2"/>
    <row r="4317" ht="16" x14ac:dyDescent="0.2"/>
    <row r="4318" ht="16" x14ac:dyDescent="0.2"/>
    <row r="4319" ht="16" x14ac:dyDescent="0.2"/>
    <row r="4320" ht="16" x14ac:dyDescent="0.2"/>
    <row r="4321" ht="16" x14ac:dyDescent="0.2"/>
    <row r="4322" ht="16" x14ac:dyDescent="0.2"/>
    <row r="4323" ht="16" x14ac:dyDescent="0.2"/>
    <row r="4324" ht="16" x14ac:dyDescent="0.2"/>
    <row r="4325" ht="16" x14ac:dyDescent="0.2"/>
    <row r="4326" ht="16" x14ac:dyDescent="0.2"/>
    <row r="4327" ht="16" x14ac:dyDescent="0.2"/>
    <row r="4328" ht="16" x14ac:dyDescent="0.2"/>
    <row r="4329" ht="16" x14ac:dyDescent="0.2"/>
    <row r="4330" ht="16" x14ac:dyDescent="0.2"/>
    <row r="4331" ht="16" x14ac:dyDescent="0.2"/>
    <row r="4332" ht="16" x14ac:dyDescent="0.2"/>
    <row r="4333" ht="16" x14ac:dyDescent="0.2"/>
    <row r="4334" ht="16" x14ac:dyDescent="0.2"/>
    <row r="4335" ht="16" x14ac:dyDescent="0.2"/>
    <row r="4336" ht="16" x14ac:dyDescent="0.2"/>
    <row r="4337" ht="16" x14ac:dyDescent="0.2"/>
    <row r="4338" ht="16" x14ac:dyDescent="0.2"/>
    <row r="4339" ht="16" x14ac:dyDescent="0.2"/>
    <row r="4340" ht="16" x14ac:dyDescent="0.2"/>
    <row r="4341" ht="16" x14ac:dyDescent="0.2"/>
    <row r="4342" ht="16" x14ac:dyDescent="0.2"/>
    <row r="4343" ht="16" x14ac:dyDescent="0.2"/>
    <row r="4344" ht="16" x14ac:dyDescent="0.2"/>
    <row r="4345" ht="16" x14ac:dyDescent="0.2"/>
    <row r="4346" ht="16" x14ac:dyDescent="0.2"/>
    <row r="4347" ht="16" x14ac:dyDescent="0.2"/>
    <row r="4348" ht="16" x14ac:dyDescent="0.2"/>
    <row r="4349" ht="16" x14ac:dyDescent="0.2"/>
    <row r="4350" ht="16" x14ac:dyDescent="0.2"/>
    <row r="4351" ht="16" x14ac:dyDescent="0.2"/>
    <row r="4352" ht="16" x14ac:dyDescent="0.2"/>
    <row r="4353" ht="16" x14ac:dyDescent="0.2"/>
    <row r="4354" ht="16" x14ac:dyDescent="0.2"/>
    <row r="4355" ht="16" x14ac:dyDescent="0.2"/>
    <row r="4356" ht="16" x14ac:dyDescent="0.2"/>
    <row r="4357" ht="16" x14ac:dyDescent="0.2"/>
    <row r="4358" ht="16" x14ac:dyDescent="0.2"/>
    <row r="4359" ht="16" x14ac:dyDescent="0.2"/>
    <row r="4360" ht="16" x14ac:dyDescent="0.2"/>
    <row r="4361" ht="16" x14ac:dyDescent="0.2"/>
    <row r="4362" ht="16" x14ac:dyDescent="0.2"/>
    <row r="4363" ht="16" x14ac:dyDescent="0.2"/>
    <row r="4364" ht="16" x14ac:dyDescent="0.2"/>
    <row r="4365" ht="16" x14ac:dyDescent="0.2"/>
    <row r="4366" ht="16" x14ac:dyDescent="0.2"/>
    <row r="4367" ht="16" x14ac:dyDescent="0.2"/>
    <row r="4368" ht="16" x14ac:dyDescent="0.2"/>
    <row r="4369" ht="16" x14ac:dyDescent="0.2"/>
    <row r="4370" ht="16" x14ac:dyDescent="0.2"/>
    <row r="4371" ht="16" x14ac:dyDescent="0.2"/>
    <row r="4372" ht="16" x14ac:dyDescent="0.2"/>
    <row r="4373" ht="16" x14ac:dyDescent="0.2"/>
    <row r="4374" ht="16" x14ac:dyDescent="0.2"/>
    <row r="4375" ht="16" x14ac:dyDescent="0.2"/>
    <row r="4376" ht="16" x14ac:dyDescent="0.2"/>
    <row r="4377" ht="16" x14ac:dyDescent="0.2"/>
    <row r="4378" ht="16" x14ac:dyDescent="0.2"/>
    <row r="4379" ht="16" x14ac:dyDescent="0.2"/>
    <row r="4380" ht="16" x14ac:dyDescent="0.2"/>
    <row r="4381" ht="16" x14ac:dyDescent="0.2"/>
    <row r="4382" ht="16" x14ac:dyDescent="0.2"/>
    <row r="4383" ht="16" x14ac:dyDescent="0.2"/>
    <row r="4384" ht="16" x14ac:dyDescent="0.2"/>
    <row r="4385" ht="16" x14ac:dyDescent="0.2"/>
    <row r="4386" ht="16" x14ac:dyDescent="0.2"/>
    <row r="4387" ht="16" x14ac:dyDescent="0.2"/>
    <row r="4388" ht="16" x14ac:dyDescent="0.2"/>
    <row r="4389" ht="16" x14ac:dyDescent="0.2"/>
    <row r="4390" ht="16" x14ac:dyDescent="0.2"/>
    <row r="4391" ht="16" x14ac:dyDescent="0.2"/>
    <row r="4392" ht="16" x14ac:dyDescent="0.2"/>
    <row r="4393" ht="16" x14ac:dyDescent="0.2"/>
    <row r="4394" ht="16" x14ac:dyDescent="0.2"/>
    <row r="4395" ht="16" x14ac:dyDescent="0.2"/>
    <row r="4396" ht="16" x14ac:dyDescent="0.2"/>
    <row r="4397" ht="16" x14ac:dyDescent="0.2"/>
    <row r="4398" ht="16" x14ac:dyDescent="0.2"/>
    <row r="4399" ht="16" x14ac:dyDescent="0.2"/>
    <row r="4400" ht="16" x14ac:dyDescent="0.2"/>
    <row r="4401" ht="16" x14ac:dyDescent="0.2"/>
    <row r="4402" ht="16" x14ac:dyDescent="0.2"/>
    <row r="4403" ht="16" x14ac:dyDescent="0.2"/>
    <row r="4404" ht="16" x14ac:dyDescent="0.2"/>
    <row r="4405" ht="16" x14ac:dyDescent="0.2"/>
    <row r="4406" ht="16" x14ac:dyDescent="0.2"/>
    <row r="4407" ht="16" x14ac:dyDescent="0.2"/>
    <row r="4408" ht="16" x14ac:dyDescent="0.2"/>
    <row r="4409" ht="16" x14ac:dyDescent="0.2"/>
    <row r="4410" ht="16" x14ac:dyDescent="0.2"/>
    <row r="4411" ht="16" x14ac:dyDescent="0.2"/>
    <row r="4412" ht="16" x14ac:dyDescent="0.2"/>
    <row r="4413" ht="16" x14ac:dyDescent="0.2"/>
    <row r="4414" ht="16" x14ac:dyDescent="0.2"/>
    <row r="4415" ht="16" x14ac:dyDescent="0.2"/>
    <row r="4416" ht="16" x14ac:dyDescent="0.2"/>
    <row r="4417" ht="16" x14ac:dyDescent="0.2"/>
    <row r="4418" ht="16" x14ac:dyDescent="0.2"/>
    <row r="4419" ht="16" x14ac:dyDescent="0.2"/>
    <row r="4420" ht="16" x14ac:dyDescent="0.2"/>
    <row r="4421" ht="16" x14ac:dyDescent="0.2"/>
    <row r="4422" ht="16" x14ac:dyDescent="0.2"/>
    <row r="4423" ht="16" x14ac:dyDescent="0.2"/>
    <row r="4424" ht="16" x14ac:dyDescent="0.2"/>
    <row r="4425" ht="16" x14ac:dyDescent="0.2"/>
    <row r="4426" ht="16" x14ac:dyDescent="0.2"/>
    <row r="4427" ht="16" x14ac:dyDescent="0.2"/>
    <row r="4428" ht="16" x14ac:dyDescent="0.2"/>
    <row r="4429" ht="16" x14ac:dyDescent="0.2"/>
    <row r="4430" ht="16" x14ac:dyDescent="0.2"/>
    <row r="4431" ht="16" x14ac:dyDescent="0.2"/>
    <row r="4432" ht="16" x14ac:dyDescent="0.2"/>
    <row r="4433" ht="16" x14ac:dyDescent="0.2"/>
    <row r="4434" ht="16" x14ac:dyDescent="0.2"/>
    <row r="4435" ht="16" x14ac:dyDescent="0.2"/>
    <row r="4436" ht="16" x14ac:dyDescent="0.2"/>
    <row r="4437" ht="16" x14ac:dyDescent="0.2"/>
    <row r="4438" ht="16" x14ac:dyDescent="0.2"/>
    <row r="4439" ht="16" x14ac:dyDescent="0.2"/>
    <row r="4440" ht="16" x14ac:dyDescent="0.2"/>
    <row r="4441" ht="16" x14ac:dyDescent="0.2"/>
    <row r="4442" ht="16" x14ac:dyDescent="0.2"/>
    <row r="4443" ht="16" x14ac:dyDescent="0.2"/>
    <row r="4444" ht="16" x14ac:dyDescent="0.2"/>
    <row r="4445" ht="16" x14ac:dyDescent="0.2"/>
    <row r="4446" ht="16" x14ac:dyDescent="0.2"/>
    <row r="4447" ht="16" x14ac:dyDescent="0.2"/>
    <row r="4448" ht="16" x14ac:dyDescent="0.2"/>
    <row r="4449" ht="16" x14ac:dyDescent="0.2"/>
    <row r="4450" ht="16" x14ac:dyDescent="0.2"/>
    <row r="4451" ht="16" x14ac:dyDescent="0.2"/>
    <row r="4452" ht="16" x14ac:dyDescent="0.2"/>
    <row r="4453" ht="16" x14ac:dyDescent="0.2"/>
    <row r="4454" ht="16" x14ac:dyDescent="0.2"/>
    <row r="4455" ht="16" x14ac:dyDescent="0.2"/>
    <row r="4456" ht="16" x14ac:dyDescent="0.2"/>
    <row r="4457" ht="16" x14ac:dyDescent="0.2"/>
    <row r="4458" ht="16" x14ac:dyDescent="0.2"/>
    <row r="4459" ht="16" x14ac:dyDescent="0.2"/>
    <row r="4460" ht="16" x14ac:dyDescent="0.2"/>
    <row r="4461" ht="16" x14ac:dyDescent="0.2"/>
    <row r="4462" ht="16" x14ac:dyDescent="0.2"/>
    <row r="4463" ht="16" x14ac:dyDescent="0.2"/>
    <row r="4464" ht="16" x14ac:dyDescent="0.2"/>
    <row r="4465" ht="16" x14ac:dyDescent="0.2"/>
    <row r="4466" ht="16" x14ac:dyDescent="0.2"/>
    <row r="4467" ht="16" x14ac:dyDescent="0.2"/>
    <row r="4468" ht="16" x14ac:dyDescent="0.2"/>
    <row r="4469" ht="16" x14ac:dyDescent="0.2"/>
    <row r="4470" ht="16" x14ac:dyDescent="0.2"/>
    <row r="4471" ht="16" x14ac:dyDescent="0.2"/>
    <row r="4472" ht="16" x14ac:dyDescent="0.2"/>
    <row r="4473" ht="16" x14ac:dyDescent="0.2"/>
    <row r="4474" ht="16" x14ac:dyDescent="0.2"/>
    <row r="4475" ht="16" x14ac:dyDescent="0.2"/>
    <row r="4476" ht="16" x14ac:dyDescent="0.2"/>
    <row r="4477" ht="16" x14ac:dyDescent="0.2"/>
    <row r="4478" ht="16" x14ac:dyDescent="0.2"/>
    <row r="4479" ht="16" x14ac:dyDescent="0.2"/>
    <row r="4480" ht="16" x14ac:dyDescent="0.2"/>
    <row r="4481" ht="16" x14ac:dyDescent="0.2"/>
    <row r="4482" ht="16" x14ac:dyDescent="0.2"/>
    <row r="4483" ht="16" x14ac:dyDescent="0.2"/>
    <row r="4484" ht="16" x14ac:dyDescent="0.2"/>
    <row r="4485" ht="16" x14ac:dyDescent="0.2"/>
    <row r="4486" ht="16" x14ac:dyDescent="0.2"/>
    <row r="4487" ht="16" x14ac:dyDescent="0.2"/>
    <row r="4488" ht="16" x14ac:dyDescent="0.2"/>
    <row r="4489" ht="16" x14ac:dyDescent="0.2"/>
    <row r="4490" ht="16" x14ac:dyDescent="0.2"/>
    <row r="4491" ht="16" x14ac:dyDescent="0.2"/>
    <row r="4492" ht="16" x14ac:dyDescent="0.2"/>
    <row r="4493" ht="16" x14ac:dyDescent="0.2"/>
    <row r="4494" ht="16" x14ac:dyDescent="0.2"/>
    <row r="4495" ht="16" x14ac:dyDescent="0.2"/>
    <row r="4496" ht="16" x14ac:dyDescent="0.2"/>
    <row r="4497" ht="16" x14ac:dyDescent="0.2"/>
    <row r="4498" ht="16" x14ac:dyDescent="0.2"/>
    <row r="4499" ht="16" x14ac:dyDescent="0.2"/>
    <row r="4500" ht="16" x14ac:dyDescent="0.2"/>
    <row r="4501" ht="16" x14ac:dyDescent="0.2"/>
    <row r="4502" ht="16" x14ac:dyDescent="0.2"/>
    <row r="4503" ht="16" x14ac:dyDescent="0.2"/>
    <row r="4504" ht="16" x14ac:dyDescent="0.2"/>
    <row r="4505" ht="16" x14ac:dyDescent="0.2"/>
    <row r="4506" ht="16" x14ac:dyDescent="0.2"/>
    <row r="4507" ht="16" x14ac:dyDescent="0.2"/>
    <row r="4508" ht="16" x14ac:dyDescent="0.2"/>
    <row r="4509" ht="16" x14ac:dyDescent="0.2"/>
    <row r="4510" ht="16" x14ac:dyDescent="0.2"/>
    <row r="4511" ht="16" x14ac:dyDescent="0.2"/>
    <row r="4512" ht="16" x14ac:dyDescent="0.2"/>
    <row r="4513" ht="16" x14ac:dyDescent="0.2"/>
    <row r="4514" ht="16" x14ac:dyDescent="0.2"/>
    <row r="4515" ht="16" x14ac:dyDescent="0.2"/>
    <row r="4516" ht="16" x14ac:dyDescent="0.2"/>
    <row r="4517" ht="16" x14ac:dyDescent="0.2"/>
    <row r="4518" ht="16" x14ac:dyDescent="0.2"/>
    <row r="4519" ht="16" x14ac:dyDescent="0.2"/>
    <row r="4520" ht="16" x14ac:dyDescent="0.2"/>
    <row r="4521" ht="16" x14ac:dyDescent="0.2"/>
    <row r="4522" ht="16" x14ac:dyDescent="0.2"/>
    <row r="4523" ht="16" x14ac:dyDescent="0.2"/>
    <row r="4524" ht="16" x14ac:dyDescent="0.2"/>
    <row r="4525" ht="16" x14ac:dyDescent="0.2"/>
    <row r="4526" ht="16" x14ac:dyDescent="0.2"/>
    <row r="4527" ht="16" x14ac:dyDescent="0.2"/>
    <row r="4528" ht="16" x14ac:dyDescent="0.2"/>
    <row r="4529" ht="16" x14ac:dyDescent="0.2"/>
    <row r="4530" ht="16" x14ac:dyDescent="0.2"/>
    <row r="4531" ht="16" x14ac:dyDescent="0.2"/>
    <row r="4532" ht="16" x14ac:dyDescent="0.2"/>
    <row r="4533" ht="16" x14ac:dyDescent="0.2"/>
    <row r="4534" ht="16" x14ac:dyDescent="0.2"/>
    <row r="4535" ht="16" x14ac:dyDescent="0.2"/>
    <row r="4536" ht="16" x14ac:dyDescent="0.2"/>
    <row r="4537" ht="16" x14ac:dyDescent="0.2"/>
    <row r="4538" ht="16" x14ac:dyDescent="0.2"/>
    <row r="4539" ht="16" x14ac:dyDescent="0.2"/>
    <row r="4540" ht="16" x14ac:dyDescent="0.2"/>
    <row r="4541" ht="16" x14ac:dyDescent="0.2"/>
    <row r="4542" ht="16" x14ac:dyDescent="0.2"/>
    <row r="4543" ht="16" x14ac:dyDescent="0.2"/>
    <row r="4544" ht="16" x14ac:dyDescent="0.2"/>
    <row r="4545" ht="16" x14ac:dyDescent="0.2"/>
    <row r="4546" ht="16" x14ac:dyDescent="0.2"/>
    <row r="4547" ht="16" x14ac:dyDescent="0.2"/>
    <row r="4548" ht="16" x14ac:dyDescent="0.2"/>
    <row r="4549" ht="16" x14ac:dyDescent="0.2"/>
    <row r="4550" ht="16" x14ac:dyDescent="0.2"/>
    <row r="4551" ht="16" x14ac:dyDescent="0.2"/>
    <row r="4552" ht="16" x14ac:dyDescent="0.2"/>
    <row r="4553" ht="16" x14ac:dyDescent="0.2"/>
    <row r="4554" ht="16" x14ac:dyDescent="0.2"/>
    <row r="4555" ht="16" x14ac:dyDescent="0.2"/>
    <row r="4556" ht="16" x14ac:dyDescent="0.2"/>
    <row r="4557" ht="16" x14ac:dyDescent="0.2"/>
    <row r="4558" ht="16" x14ac:dyDescent="0.2"/>
    <row r="4559" ht="16" x14ac:dyDescent="0.2"/>
    <row r="4560" ht="16" x14ac:dyDescent="0.2"/>
    <row r="4561" ht="16" x14ac:dyDescent="0.2"/>
    <row r="4562" ht="16" x14ac:dyDescent="0.2"/>
    <row r="4563" ht="16" x14ac:dyDescent="0.2"/>
    <row r="4564" ht="16" x14ac:dyDescent="0.2"/>
    <row r="4565" ht="16" x14ac:dyDescent="0.2"/>
    <row r="4566" ht="16" x14ac:dyDescent="0.2"/>
    <row r="4567" ht="16" x14ac:dyDescent="0.2"/>
    <row r="4568" ht="16" x14ac:dyDescent="0.2"/>
    <row r="4569" ht="16" x14ac:dyDescent="0.2"/>
    <row r="4570" ht="16" x14ac:dyDescent="0.2"/>
    <row r="4571" ht="16" x14ac:dyDescent="0.2"/>
    <row r="4572" ht="16" x14ac:dyDescent="0.2"/>
    <row r="4573" ht="16" x14ac:dyDescent="0.2"/>
    <row r="4574" ht="16" x14ac:dyDescent="0.2"/>
    <row r="4575" ht="16" x14ac:dyDescent="0.2"/>
    <row r="4576" ht="16" x14ac:dyDescent="0.2"/>
    <row r="4577" ht="16" x14ac:dyDescent="0.2"/>
    <row r="4578" ht="16" x14ac:dyDescent="0.2"/>
    <row r="4579" ht="16" x14ac:dyDescent="0.2"/>
    <row r="4580" ht="16" x14ac:dyDescent="0.2"/>
    <row r="4581" ht="16" x14ac:dyDescent="0.2"/>
    <row r="4582" ht="16" x14ac:dyDescent="0.2"/>
    <row r="4583" ht="16" x14ac:dyDescent="0.2"/>
    <row r="4584" ht="16" x14ac:dyDescent="0.2"/>
    <row r="4585" ht="16" x14ac:dyDescent="0.2"/>
    <row r="4586" ht="16" x14ac:dyDescent="0.2"/>
    <row r="4587" ht="16" x14ac:dyDescent="0.2"/>
    <row r="4588" ht="16" x14ac:dyDescent="0.2"/>
    <row r="4589" ht="16" x14ac:dyDescent="0.2"/>
    <row r="4590" ht="16" x14ac:dyDescent="0.2"/>
    <row r="4591" ht="16" x14ac:dyDescent="0.2"/>
    <row r="4592" ht="16" x14ac:dyDescent="0.2"/>
    <row r="4593" ht="16" x14ac:dyDescent="0.2"/>
    <row r="4594" ht="16" x14ac:dyDescent="0.2"/>
    <row r="4595" ht="16" x14ac:dyDescent="0.2"/>
    <row r="4596" ht="16" x14ac:dyDescent="0.2"/>
    <row r="4597" ht="16" x14ac:dyDescent="0.2"/>
    <row r="4598" ht="16" x14ac:dyDescent="0.2"/>
    <row r="4599" ht="16" x14ac:dyDescent="0.2"/>
    <row r="4600" ht="16" x14ac:dyDescent="0.2"/>
    <row r="4601" ht="16" x14ac:dyDescent="0.2"/>
    <row r="4602" ht="16" x14ac:dyDescent="0.2"/>
    <row r="4603" ht="16" x14ac:dyDescent="0.2"/>
    <row r="4604" ht="16" x14ac:dyDescent="0.2"/>
    <row r="4605" ht="16" x14ac:dyDescent="0.2"/>
    <row r="4606" ht="16" x14ac:dyDescent="0.2"/>
    <row r="4607" ht="16" x14ac:dyDescent="0.2"/>
    <row r="4608" ht="16" x14ac:dyDescent="0.2"/>
    <row r="4609" ht="16" x14ac:dyDescent="0.2"/>
    <row r="4610" ht="16" x14ac:dyDescent="0.2"/>
    <row r="4611" ht="16" x14ac:dyDescent="0.2"/>
    <row r="4612" ht="16" x14ac:dyDescent="0.2"/>
    <row r="4613" ht="16" x14ac:dyDescent="0.2"/>
    <row r="4614" ht="16" x14ac:dyDescent="0.2"/>
    <row r="4615" ht="16" x14ac:dyDescent="0.2"/>
    <row r="4616" ht="16" x14ac:dyDescent="0.2"/>
    <row r="4617" ht="16" x14ac:dyDescent="0.2"/>
    <row r="4618" ht="16" x14ac:dyDescent="0.2"/>
    <row r="4619" ht="16" x14ac:dyDescent="0.2"/>
    <row r="4620" ht="16" x14ac:dyDescent="0.2"/>
    <row r="4621" ht="16" x14ac:dyDescent="0.2"/>
    <row r="4622" ht="16" x14ac:dyDescent="0.2"/>
    <row r="4623" ht="16" x14ac:dyDescent="0.2"/>
    <row r="4624" ht="16" x14ac:dyDescent="0.2"/>
    <row r="4625" ht="16" x14ac:dyDescent="0.2"/>
    <row r="4626" ht="16" x14ac:dyDescent="0.2"/>
    <row r="4627" ht="16" x14ac:dyDescent="0.2"/>
    <row r="4628" ht="16" x14ac:dyDescent="0.2"/>
    <row r="4629" ht="16" x14ac:dyDescent="0.2"/>
    <row r="4630" ht="16" x14ac:dyDescent="0.2"/>
    <row r="4631" ht="16" x14ac:dyDescent="0.2"/>
    <row r="4632" ht="16" x14ac:dyDescent="0.2"/>
    <row r="4633" ht="16" x14ac:dyDescent="0.2"/>
    <row r="4634" ht="16" x14ac:dyDescent="0.2"/>
    <row r="4635" ht="16" x14ac:dyDescent="0.2"/>
    <row r="4636" ht="16" x14ac:dyDescent="0.2"/>
    <row r="4637" ht="16" x14ac:dyDescent="0.2"/>
    <row r="4638" ht="16" x14ac:dyDescent="0.2"/>
    <row r="4639" ht="16" x14ac:dyDescent="0.2"/>
    <row r="4640" ht="16" x14ac:dyDescent="0.2"/>
    <row r="4641" ht="16" x14ac:dyDescent="0.2"/>
    <row r="4642" ht="16" x14ac:dyDescent="0.2"/>
    <row r="4643" ht="16" x14ac:dyDescent="0.2"/>
    <row r="4644" ht="16" x14ac:dyDescent="0.2"/>
    <row r="4645" ht="16" x14ac:dyDescent="0.2"/>
    <row r="4646" ht="16" x14ac:dyDescent="0.2"/>
    <row r="4647" ht="16" x14ac:dyDescent="0.2"/>
    <row r="4648" ht="16" x14ac:dyDescent="0.2"/>
    <row r="4649" ht="16" x14ac:dyDescent="0.2"/>
    <row r="4650" ht="16" x14ac:dyDescent="0.2"/>
    <row r="4651" ht="16" x14ac:dyDescent="0.2"/>
    <row r="4652" ht="16" x14ac:dyDescent="0.2"/>
    <row r="4653" ht="16" x14ac:dyDescent="0.2"/>
    <row r="4654" ht="16" x14ac:dyDescent="0.2"/>
    <row r="4655" ht="16" x14ac:dyDescent="0.2"/>
    <row r="4656" ht="16" x14ac:dyDescent="0.2"/>
    <row r="4657" ht="16" x14ac:dyDescent="0.2"/>
    <row r="4658" ht="16" x14ac:dyDescent="0.2"/>
    <row r="4659" ht="16" x14ac:dyDescent="0.2"/>
    <row r="4660" ht="16" x14ac:dyDescent="0.2"/>
    <row r="4661" ht="16" x14ac:dyDescent="0.2"/>
    <row r="4662" ht="16" x14ac:dyDescent="0.2"/>
    <row r="4663" ht="16" x14ac:dyDescent="0.2"/>
    <row r="4664" ht="16" x14ac:dyDescent="0.2"/>
    <row r="4665" ht="16" x14ac:dyDescent="0.2"/>
    <row r="4666" ht="16" x14ac:dyDescent="0.2"/>
    <row r="4667" ht="16" x14ac:dyDescent="0.2"/>
    <row r="4668" ht="16" x14ac:dyDescent="0.2"/>
    <row r="4669" ht="16" x14ac:dyDescent="0.2"/>
    <row r="4670" ht="16" x14ac:dyDescent="0.2"/>
    <row r="4671" ht="16" x14ac:dyDescent="0.2"/>
    <row r="4672" ht="16" x14ac:dyDescent="0.2"/>
    <row r="4673" ht="16" x14ac:dyDescent="0.2"/>
    <row r="4674" ht="16" x14ac:dyDescent="0.2"/>
    <row r="4675" ht="16" x14ac:dyDescent="0.2"/>
    <row r="4676" ht="16" x14ac:dyDescent="0.2"/>
    <row r="4677" ht="16" x14ac:dyDescent="0.2"/>
    <row r="4678" ht="16" x14ac:dyDescent="0.2"/>
    <row r="4679" ht="16" x14ac:dyDescent="0.2"/>
    <row r="4680" ht="16" x14ac:dyDescent="0.2"/>
    <row r="4681" ht="16" x14ac:dyDescent="0.2"/>
    <row r="4682" ht="16" x14ac:dyDescent="0.2"/>
    <row r="4683" ht="16" x14ac:dyDescent="0.2"/>
    <row r="4684" ht="16" x14ac:dyDescent="0.2"/>
    <row r="4685" ht="16" x14ac:dyDescent="0.2"/>
    <row r="4686" ht="16" x14ac:dyDescent="0.2"/>
    <row r="4687" ht="16" x14ac:dyDescent="0.2"/>
    <row r="4688" ht="16" x14ac:dyDescent="0.2"/>
    <row r="4689" ht="16" x14ac:dyDescent="0.2"/>
    <row r="4690" ht="16" x14ac:dyDescent="0.2"/>
    <row r="4691" ht="16" x14ac:dyDescent="0.2"/>
    <row r="4692" ht="16" x14ac:dyDescent="0.2"/>
    <row r="4693" ht="16" x14ac:dyDescent="0.2"/>
    <row r="4694" ht="16" x14ac:dyDescent="0.2"/>
    <row r="4695" ht="16" x14ac:dyDescent="0.2"/>
    <row r="4696" ht="16" x14ac:dyDescent="0.2"/>
    <row r="4697" ht="16" x14ac:dyDescent="0.2"/>
    <row r="4698" ht="16" x14ac:dyDescent="0.2"/>
    <row r="4699" ht="16" x14ac:dyDescent="0.2"/>
    <row r="4700" ht="16" x14ac:dyDescent="0.2"/>
    <row r="4701" ht="16" x14ac:dyDescent="0.2"/>
    <row r="4702" ht="16" x14ac:dyDescent="0.2"/>
    <row r="4703" ht="16" x14ac:dyDescent="0.2"/>
    <row r="4704" ht="16" x14ac:dyDescent="0.2"/>
    <row r="4705" ht="16" x14ac:dyDescent="0.2"/>
    <row r="4706" ht="16" x14ac:dyDescent="0.2"/>
    <row r="4707" ht="16" x14ac:dyDescent="0.2"/>
    <row r="4708" ht="16" x14ac:dyDescent="0.2"/>
    <row r="4709" ht="16" x14ac:dyDescent="0.2"/>
    <row r="4710" ht="16" x14ac:dyDescent="0.2"/>
    <row r="4711" ht="16" x14ac:dyDescent="0.2"/>
    <row r="4712" ht="16" x14ac:dyDescent="0.2"/>
    <row r="4713" ht="16" x14ac:dyDescent="0.2"/>
    <row r="4714" ht="16" x14ac:dyDescent="0.2"/>
    <row r="4715" ht="16" x14ac:dyDescent="0.2"/>
    <row r="4716" ht="16" x14ac:dyDescent="0.2"/>
    <row r="4717" ht="16" x14ac:dyDescent="0.2"/>
    <row r="4718" ht="16" x14ac:dyDescent="0.2"/>
    <row r="4719" ht="16" x14ac:dyDescent="0.2"/>
    <row r="4720" ht="16" x14ac:dyDescent="0.2"/>
    <row r="4721" ht="16" x14ac:dyDescent="0.2"/>
    <row r="4722" ht="16" x14ac:dyDescent="0.2"/>
    <row r="4723" ht="16" x14ac:dyDescent="0.2"/>
    <row r="4724" ht="16" x14ac:dyDescent="0.2"/>
    <row r="4725" ht="16" x14ac:dyDescent="0.2"/>
    <row r="4726" ht="16" x14ac:dyDescent="0.2"/>
    <row r="4727" ht="16" x14ac:dyDescent="0.2"/>
    <row r="4728" ht="16" x14ac:dyDescent="0.2"/>
    <row r="4729" ht="16" x14ac:dyDescent="0.2"/>
    <row r="4730" ht="16" x14ac:dyDescent="0.2"/>
    <row r="4731" ht="16" x14ac:dyDescent="0.2"/>
    <row r="4732" ht="16" x14ac:dyDescent="0.2"/>
    <row r="4733" ht="16" x14ac:dyDescent="0.2"/>
    <row r="4734" ht="16" x14ac:dyDescent="0.2"/>
    <row r="4735" ht="16" x14ac:dyDescent="0.2"/>
    <row r="4736" ht="16" x14ac:dyDescent="0.2"/>
    <row r="4737" ht="16" x14ac:dyDescent="0.2"/>
    <row r="4738" ht="16" x14ac:dyDescent="0.2"/>
    <row r="4739" ht="16" x14ac:dyDescent="0.2"/>
    <row r="4740" ht="16" x14ac:dyDescent="0.2"/>
    <row r="4741" ht="16" x14ac:dyDescent="0.2"/>
    <row r="4742" ht="16" x14ac:dyDescent="0.2"/>
    <row r="4743" ht="16" x14ac:dyDescent="0.2"/>
    <row r="4744" ht="16" x14ac:dyDescent="0.2"/>
    <row r="4745" ht="16" x14ac:dyDescent="0.2"/>
    <row r="4746" ht="16" x14ac:dyDescent="0.2"/>
    <row r="4747" ht="16" x14ac:dyDescent="0.2"/>
    <row r="4748" ht="16" x14ac:dyDescent="0.2"/>
    <row r="4749" ht="16" x14ac:dyDescent="0.2"/>
    <row r="4750" ht="16" x14ac:dyDescent="0.2"/>
    <row r="4751" ht="16" x14ac:dyDescent="0.2"/>
    <row r="4752" ht="16" x14ac:dyDescent="0.2"/>
    <row r="4753" ht="16" x14ac:dyDescent="0.2"/>
    <row r="4754" ht="16" x14ac:dyDescent="0.2"/>
    <row r="4755" ht="16" x14ac:dyDescent="0.2"/>
    <row r="4756" ht="16" x14ac:dyDescent="0.2"/>
    <row r="4757" ht="16" x14ac:dyDescent="0.2"/>
    <row r="4758" ht="16" x14ac:dyDescent="0.2"/>
    <row r="4759" ht="16" x14ac:dyDescent="0.2"/>
    <row r="4760" ht="16" x14ac:dyDescent="0.2"/>
    <row r="4761" ht="16" x14ac:dyDescent="0.2"/>
    <row r="4762" ht="16" x14ac:dyDescent="0.2"/>
    <row r="4763" ht="16" x14ac:dyDescent="0.2"/>
    <row r="4764" ht="16" x14ac:dyDescent="0.2"/>
    <row r="4765" ht="16" x14ac:dyDescent="0.2"/>
    <row r="4766" ht="16" x14ac:dyDescent="0.2"/>
    <row r="4767" ht="16" x14ac:dyDescent="0.2"/>
    <row r="4768" ht="16" x14ac:dyDescent="0.2"/>
    <row r="4769" ht="16" x14ac:dyDescent="0.2"/>
    <row r="4770" ht="16" x14ac:dyDescent="0.2"/>
    <row r="4771" ht="16" x14ac:dyDescent="0.2"/>
    <row r="4772" ht="16" x14ac:dyDescent="0.2"/>
    <row r="4773" ht="16" x14ac:dyDescent="0.2"/>
    <row r="4774" ht="16" x14ac:dyDescent="0.2"/>
    <row r="4775" ht="16" x14ac:dyDescent="0.2"/>
    <row r="4776" ht="16" x14ac:dyDescent="0.2"/>
    <row r="4777" ht="16" x14ac:dyDescent="0.2"/>
    <row r="4778" ht="16" x14ac:dyDescent="0.2"/>
    <row r="4779" ht="16" x14ac:dyDescent="0.2"/>
    <row r="4780" ht="16" x14ac:dyDescent="0.2"/>
    <row r="4781" ht="16" x14ac:dyDescent="0.2"/>
    <row r="4782" ht="16" x14ac:dyDescent="0.2"/>
    <row r="4783" ht="16" x14ac:dyDescent="0.2"/>
    <row r="4784" ht="16" x14ac:dyDescent="0.2"/>
    <row r="4785" ht="16" x14ac:dyDescent="0.2"/>
    <row r="4786" ht="16" x14ac:dyDescent="0.2"/>
    <row r="4787" ht="16" x14ac:dyDescent="0.2"/>
    <row r="4788" ht="16" x14ac:dyDescent="0.2"/>
    <row r="4789" ht="16" x14ac:dyDescent="0.2"/>
    <row r="4790" ht="16" x14ac:dyDescent="0.2"/>
    <row r="4791" ht="16" x14ac:dyDescent="0.2"/>
    <row r="4792" ht="16" x14ac:dyDescent="0.2"/>
    <row r="4793" ht="16" x14ac:dyDescent="0.2"/>
    <row r="4794" ht="16" x14ac:dyDescent="0.2"/>
    <row r="4795" ht="16" x14ac:dyDescent="0.2"/>
    <row r="4796" ht="16" x14ac:dyDescent="0.2"/>
    <row r="4797" ht="16" x14ac:dyDescent="0.2"/>
    <row r="4798" ht="16" x14ac:dyDescent="0.2"/>
    <row r="4799" ht="16" x14ac:dyDescent="0.2"/>
    <row r="4800" ht="16" x14ac:dyDescent="0.2"/>
    <row r="4801" ht="16" x14ac:dyDescent="0.2"/>
    <row r="4802" ht="16" x14ac:dyDescent="0.2"/>
    <row r="4803" ht="16" x14ac:dyDescent="0.2"/>
    <row r="4804" ht="16" x14ac:dyDescent="0.2"/>
    <row r="4805" ht="16" x14ac:dyDescent="0.2"/>
    <row r="4806" ht="16" x14ac:dyDescent="0.2"/>
    <row r="4807" ht="16" x14ac:dyDescent="0.2"/>
    <row r="4808" ht="16" x14ac:dyDescent="0.2"/>
    <row r="4809" ht="16" x14ac:dyDescent="0.2"/>
    <row r="4810" ht="16" x14ac:dyDescent="0.2"/>
    <row r="4811" ht="16" x14ac:dyDescent="0.2"/>
    <row r="4812" ht="16" x14ac:dyDescent="0.2"/>
    <row r="4813" ht="16" x14ac:dyDescent="0.2"/>
    <row r="4814" ht="16" x14ac:dyDescent="0.2"/>
    <row r="4815" ht="16" x14ac:dyDescent="0.2"/>
    <row r="4816" ht="16" x14ac:dyDescent="0.2"/>
    <row r="4817" ht="16" x14ac:dyDescent="0.2"/>
    <row r="4818" ht="16" x14ac:dyDescent="0.2"/>
    <row r="4819" ht="16" x14ac:dyDescent="0.2"/>
    <row r="4820" ht="16" x14ac:dyDescent="0.2"/>
    <row r="4821" ht="16" x14ac:dyDescent="0.2"/>
    <row r="4822" ht="16" x14ac:dyDescent="0.2"/>
    <row r="4823" ht="16" x14ac:dyDescent="0.2"/>
    <row r="4824" ht="16" x14ac:dyDescent="0.2"/>
    <row r="4825" ht="16" x14ac:dyDescent="0.2"/>
    <row r="4826" ht="16" x14ac:dyDescent="0.2"/>
    <row r="4827" ht="16" x14ac:dyDescent="0.2"/>
    <row r="4828" ht="16" x14ac:dyDescent="0.2"/>
    <row r="4829" ht="16" x14ac:dyDescent="0.2"/>
    <row r="4830" ht="16" x14ac:dyDescent="0.2"/>
    <row r="4831" ht="16" x14ac:dyDescent="0.2"/>
    <row r="4832" ht="16" x14ac:dyDescent="0.2"/>
    <row r="4833" ht="16" x14ac:dyDescent="0.2"/>
    <row r="4834" ht="16" x14ac:dyDescent="0.2"/>
    <row r="4835" ht="16" x14ac:dyDescent="0.2"/>
    <row r="4836" ht="16" x14ac:dyDescent="0.2"/>
    <row r="4837" ht="16" x14ac:dyDescent="0.2"/>
    <row r="4838" ht="16" x14ac:dyDescent="0.2"/>
    <row r="4839" ht="16" x14ac:dyDescent="0.2"/>
    <row r="4840" ht="16" x14ac:dyDescent="0.2"/>
    <row r="4841" ht="16" x14ac:dyDescent="0.2"/>
    <row r="4842" ht="16" x14ac:dyDescent="0.2"/>
    <row r="4843" ht="16" x14ac:dyDescent="0.2"/>
    <row r="4844" ht="16" x14ac:dyDescent="0.2"/>
    <row r="4845" ht="16" x14ac:dyDescent="0.2"/>
    <row r="4846" ht="16" x14ac:dyDescent="0.2"/>
    <row r="4847" ht="16" x14ac:dyDescent="0.2"/>
    <row r="4848" ht="16" x14ac:dyDescent="0.2"/>
    <row r="4849" ht="16" x14ac:dyDescent="0.2"/>
    <row r="4850" ht="16" x14ac:dyDescent="0.2"/>
    <row r="4851" ht="16" x14ac:dyDescent="0.2"/>
    <row r="4852" ht="16" x14ac:dyDescent="0.2"/>
    <row r="4853" ht="16" x14ac:dyDescent="0.2"/>
    <row r="4854" ht="16" x14ac:dyDescent="0.2"/>
    <row r="4855" ht="16" x14ac:dyDescent="0.2"/>
    <row r="4856" ht="16" x14ac:dyDescent="0.2"/>
    <row r="4857" ht="16" x14ac:dyDescent="0.2"/>
    <row r="4858" ht="16" x14ac:dyDescent="0.2"/>
    <row r="4859" ht="16" x14ac:dyDescent="0.2"/>
    <row r="4860" ht="16" x14ac:dyDescent="0.2"/>
    <row r="4861" ht="16" x14ac:dyDescent="0.2"/>
    <row r="4862" ht="16" x14ac:dyDescent="0.2"/>
    <row r="4863" ht="16" x14ac:dyDescent="0.2"/>
    <row r="4864" ht="16" x14ac:dyDescent="0.2"/>
    <row r="4865" ht="16" x14ac:dyDescent="0.2"/>
    <row r="4866" ht="16" x14ac:dyDescent="0.2"/>
    <row r="4867" ht="16" x14ac:dyDescent="0.2"/>
    <row r="4868" ht="16" x14ac:dyDescent="0.2"/>
    <row r="4869" ht="16" x14ac:dyDescent="0.2"/>
    <row r="4870" ht="16" x14ac:dyDescent="0.2"/>
    <row r="4871" ht="16" x14ac:dyDescent="0.2"/>
    <row r="4872" ht="16" x14ac:dyDescent="0.2"/>
    <row r="4873" ht="16" x14ac:dyDescent="0.2"/>
    <row r="4874" ht="16" x14ac:dyDescent="0.2"/>
    <row r="4875" ht="16" x14ac:dyDescent="0.2"/>
    <row r="4876" ht="16" x14ac:dyDescent="0.2"/>
    <row r="4877" ht="16" x14ac:dyDescent="0.2"/>
    <row r="4878" ht="16" x14ac:dyDescent="0.2"/>
    <row r="4879" ht="16" x14ac:dyDescent="0.2"/>
    <row r="4880" ht="16" x14ac:dyDescent="0.2"/>
    <row r="4881" ht="16" x14ac:dyDescent="0.2"/>
    <row r="4882" ht="16" x14ac:dyDescent="0.2"/>
    <row r="4883" ht="16" x14ac:dyDescent="0.2"/>
    <row r="4884" ht="16" x14ac:dyDescent="0.2"/>
    <row r="4885" ht="16" x14ac:dyDescent="0.2"/>
    <row r="4886" ht="16" x14ac:dyDescent="0.2"/>
    <row r="4887" ht="16" x14ac:dyDescent="0.2"/>
    <row r="4888" ht="16" x14ac:dyDescent="0.2"/>
    <row r="4889" ht="16" x14ac:dyDescent="0.2"/>
    <row r="4890" ht="16" x14ac:dyDescent="0.2"/>
    <row r="4891" ht="16" x14ac:dyDescent="0.2"/>
    <row r="4892" ht="16" x14ac:dyDescent="0.2"/>
    <row r="4893" ht="16" x14ac:dyDescent="0.2"/>
    <row r="4894" ht="16" x14ac:dyDescent="0.2"/>
    <row r="4895" ht="16" x14ac:dyDescent="0.2"/>
    <row r="4896" ht="16" x14ac:dyDescent="0.2"/>
    <row r="4897" ht="16" x14ac:dyDescent="0.2"/>
    <row r="4898" ht="16" x14ac:dyDescent="0.2"/>
    <row r="4899" ht="16" x14ac:dyDescent="0.2"/>
    <row r="4900" ht="16" x14ac:dyDescent="0.2"/>
    <row r="4901" ht="16" x14ac:dyDescent="0.2"/>
    <row r="4902" ht="16" x14ac:dyDescent="0.2"/>
    <row r="4903" ht="16" x14ac:dyDescent="0.2"/>
    <row r="4904" ht="16" x14ac:dyDescent="0.2"/>
    <row r="4905" ht="16" x14ac:dyDescent="0.2"/>
    <row r="4906" ht="16" x14ac:dyDescent="0.2"/>
    <row r="4907" ht="16" x14ac:dyDescent="0.2"/>
    <row r="4908" ht="16" x14ac:dyDescent="0.2"/>
    <row r="4909" ht="16" x14ac:dyDescent="0.2"/>
    <row r="4910" ht="16" x14ac:dyDescent="0.2"/>
    <row r="4911" ht="16" x14ac:dyDescent="0.2"/>
    <row r="4912" ht="16" x14ac:dyDescent="0.2"/>
    <row r="4913" ht="16" x14ac:dyDescent="0.2"/>
    <row r="4914" ht="16" x14ac:dyDescent="0.2"/>
    <row r="4915" ht="16" x14ac:dyDescent="0.2"/>
    <row r="4916" ht="16" x14ac:dyDescent="0.2"/>
    <row r="4917" ht="16" x14ac:dyDescent="0.2"/>
    <row r="4918" ht="16" x14ac:dyDescent="0.2"/>
    <row r="4919" ht="16" x14ac:dyDescent="0.2"/>
    <row r="4920" ht="16" x14ac:dyDescent="0.2"/>
    <row r="4921" ht="16" x14ac:dyDescent="0.2"/>
    <row r="4922" ht="16" x14ac:dyDescent="0.2"/>
    <row r="4923" ht="16" x14ac:dyDescent="0.2"/>
    <row r="4924" ht="16" x14ac:dyDescent="0.2"/>
    <row r="4925" ht="16" x14ac:dyDescent="0.2"/>
    <row r="4926" ht="16" x14ac:dyDescent="0.2"/>
    <row r="4927" ht="16" x14ac:dyDescent="0.2"/>
    <row r="4928" ht="16" x14ac:dyDescent="0.2"/>
    <row r="4929" ht="16" x14ac:dyDescent="0.2"/>
    <row r="4930" ht="16" x14ac:dyDescent="0.2"/>
    <row r="4931" ht="16" x14ac:dyDescent="0.2"/>
    <row r="4932" ht="16" x14ac:dyDescent="0.2"/>
    <row r="4933" ht="16" x14ac:dyDescent="0.2"/>
    <row r="4934" ht="16" x14ac:dyDescent="0.2"/>
    <row r="4935" ht="16" x14ac:dyDescent="0.2"/>
    <row r="4936" ht="16" x14ac:dyDescent="0.2"/>
    <row r="4937" ht="16" x14ac:dyDescent="0.2"/>
    <row r="4938" ht="16" x14ac:dyDescent="0.2"/>
    <row r="4939" ht="16" x14ac:dyDescent="0.2"/>
    <row r="4940" ht="16" x14ac:dyDescent="0.2"/>
    <row r="4941" ht="16" x14ac:dyDescent="0.2"/>
    <row r="4942" ht="16" x14ac:dyDescent="0.2"/>
    <row r="4943" ht="16" x14ac:dyDescent="0.2"/>
    <row r="4944" ht="16" x14ac:dyDescent="0.2"/>
    <row r="4945" ht="16" x14ac:dyDescent="0.2"/>
    <row r="4946" ht="16" x14ac:dyDescent="0.2"/>
    <row r="4947" ht="16" x14ac:dyDescent="0.2"/>
    <row r="4948" ht="16" x14ac:dyDescent="0.2"/>
    <row r="4949" ht="16" x14ac:dyDescent="0.2"/>
    <row r="4950" ht="16" x14ac:dyDescent="0.2"/>
    <row r="4951" ht="16" x14ac:dyDescent="0.2"/>
    <row r="4952" ht="16" x14ac:dyDescent="0.2"/>
    <row r="4953" ht="16" x14ac:dyDescent="0.2"/>
    <row r="4954" ht="16" x14ac:dyDescent="0.2"/>
    <row r="4955" ht="16" x14ac:dyDescent="0.2"/>
    <row r="4956" ht="16" x14ac:dyDescent="0.2"/>
    <row r="4957" ht="16" x14ac:dyDescent="0.2"/>
    <row r="4958" ht="16" x14ac:dyDescent="0.2"/>
    <row r="4959" ht="16" x14ac:dyDescent="0.2"/>
    <row r="4960" ht="16" x14ac:dyDescent="0.2"/>
    <row r="4961" ht="16" x14ac:dyDescent="0.2"/>
    <row r="4962" ht="16" x14ac:dyDescent="0.2"/>
    <row r="4963" ht="16" x14ac:dyDescent="0.2"/>
    <row r="4964" ht="16" x14ac:dyDescent="0.2"/>
    <row r="4965" ht="16" x14ac:dyDescent="0.2"/>
    <row r="4966" ht="16" x14ac:dyDescent="0.2"/>
    <row r="4967" ht="16" x14ac:dyDescent="0.2"/>
    <row r="4968" ht="16" x14ac:dyDescent="0.2"/>
    <row r="4969" ht="16" x14ac:dyDescent="0.2"/>
    <row r="4970" ht="16" x14ac:dyDescent="0.2"/>
    <row r="4971" ht="16" x14ac:dyDescent="0.2"/>
    <row r="4972" ht="16" x14ac:dyDescent="0.2"/>
    <row r="4973" ht="16" x14ac:dyDescent="0.2"/>
    <row r="4974" ht="16" x14ac:dyDescent="0.2"/>
    <row r="4975" ht="16" x14ac:dyDescent="0.2"/>
    <row r="4976" ht="16" x14ac:dyDescent="0.2"/>
    <row r="4977" ht="16" x14ac:dyDescent="0.2"/>
    <row r="4978" ht="16" x14ac:dyDescent="0.2"/>
    <row r="4979" ht="16" x14ac:dyDescent="0.2"/>
    <row r="4980" ht="16" x14ac:dyDescent="0.2"/>
    <row r="4981" ht="16" x14ac:dyDescent="0.2"/>
    <row r="4982" ht="16" x14ac:dyDescent="0.2"/>
    <row r="4983" ht="16" x14ac:dyDescent="0.2"/>
    <row r="4984" ht="16" x14ac:dyDescent="0.2"/>
    <row r="4985" ht="16" x14ac:dyDescent="0.2"/>
    <row r="4986" ht="16" x14ac:dyDescent="0.2"/>
    <row r="4987" ht="16" x14ac:dyDescent="0.2"/>
    <row r="4988" ht="16" x14ac:dyDescent="0.2"/>
    <row r="4989" ht="16" x14ac:dyDescent="0.2"/>
    <row r="4990" ht="16" x14ac:dyDescent="0.2"/>
    <row r="4991" ht="16" x14ac:dyDescent="0.2"/>
    <row r="4992" ht="16" x14ac:dyDescent="0.2"/>
    <row r="4993" ht="16" x14ac:dyDescent="0.2"/>
    <row r="4994" ht="16" x14ac:dyDescent="0.2"/>
    <row r="4995" ht="16" x14ac:dyDescent="0.2"/>
    <row r="4996" ht="16" x14ac:dyDescent="0.2"/>
    <row r="4997" ht="16" x14ac:dyDescent="0.2"/>
    <row r="4998" ht="16" x14ac:dyDescent="0.2"/>
    <row r="4999" ht="16" x14ac:dyDescent="0.2"/>
    <row r="5000" ht="16" x14ac:dyDescent="0.2"/>
    <row r="5001" ht="16" x14ac:dyDescent="0.2"/>
    <row r="5002" ht="16" x14ac:dyDescent="0.2"/>
    <row r="5003" ht="16" x14ac:dyDescent="0.2"/>
    <row r="5004" ht="16" x14ac:dyDescent="0.2"/>
    <row r="5005" ht="16" x14ac:dyDescent="0.2"/>
    <row r="5006" ht="16" x14ac:dyDescent="0.2"/>
    <row r="5007" ht="16" x14ac:dyDescent="0.2"/>
    <row r="5008" ht="16" x14ac:dyDescent="0.2"/>
    <row r="5009" ht="16" x14ac:dyDescent="0.2"/>
    <row r="5010" ht="16" x14ac:dyDescent="0.2"/>
    <row r="5011" ht="16" x14ac:dyDescent="0.2"/>
    <row r="5012" ht="16" x14ac:dyDescent="0.2"/>
    <row r="5013" ht="16" x14ac:dyDescent="0.2"/>
    <row r="5014" ht="16" x14ac:dyDescent="0.2"/>
    <row r="5015" ht="16" x14ac:dyDescent="0.2"/>
    <row r="5016" ht="16" x14ac:dyDescent="0.2"/>
    <row r="5017" ht="16" x14ac:dyDescent="0.2"/>
    <row r="5018" ht="16" x14ac:dyDescent="0.2"/>
    <row r="5019" ht="16" x14ac:dyDescent="0.2"/>
    <row r="5020" ht="16" x14ac:dyDescent="0.2"/>
    <row r="5021" ht="16" x14ac:dyDescent="0.2"/>
    <row r="5022" ht="16" x14ac:dyDescent="0.2"/>
    <row r="5023" ht="16" x14ac:dyDescent="0.2"/>
    <row r="5024" ht="16" x14ac:dyDescent="0.2"/>
    <row r="5025" ht="16" x14ac:dyDescent="0.2"/>
    <row r="5026" ht="16" x14ac:dyDescent="0.2"/>
    <row r="5027" ht="16" x14ac:dyDescent="0.2"/>
    <row r="5028" ht="16" x14ac:dyDescent="0.2"/>
    <row r="5029" ht="16" x14ac:dyDescent="0.2"/>
    <row r="5030" ht="16" x14ac:dyDescent="0.2"/>
    <row r="5031" ht="16" x14ac:dyDescent="0.2"/>
    <row r="5032" ht="16" x14ac:dyDescent="0.2"/>
    <row r="5033" ht="16" x14ac:dyDescent="0.2"/>
    <row r="5034" ht="16" x14ac:dyDescent="0.2"/>
    <row r="5035" ht="16" x14ac:dyDescent="0.2"/>
    <row r="5036" ht="16" x14ac:dyDescent="0.2"/>
    <row r="5037" ht="16" x14ac:dyDescent="0.2"/>
    <row r="5038" ht="16" x14ac:dyDescent="0.2"/>
    <row r="5039" ht="16" x14ac:dyDescent="0.2"/>
    <row r="5040" ht="16" x14ac:dyDescent="0.2"/>
    <row r="5041" ht="16" x14ac:dyDescent="0.2"/>
    <row r="5042" ht="16" x14ac:dyDescent="0.2"/>
    <row r="5043" ht="16" x14ac:dyDescent="0.2"/>
    <row r="5044" ht="16" x14ac:dyDescent="0.2"/>
    <row r="5045" ht="16" x14ac:dyDescent="0.2"/>
    <row r="5046" ht="16" x14ac:dyDescent="0.2"/>
    <row r="5047" ht="16" x14ac:dyDescent="0.2"/>
    <row r="5048" ht="16" x14ac:dyDescent="0.2"/>
    <row r="5049" ht="16" x14ac:dyDescent="0.2"/>
    <row r="5050" ht="16" x14ac:dyDescent="0.2"/>
    <row r="5051" ht="16" x14ac:dyDescent="0.2"/>
    <row r="5052" ht="16" x14ac:dyDescent="0.2"/>
    <row r="5053" ht="16" x14ac:dyDescent="0.2"/>
    <row r="5054" ht="16" x14ac:dyDescent="0.2"/>
    <row r="5055" ht="16" x14ac:dyDescent="0.2"/>
    <row r="5056" ht="16" x14ac:dyDescent="0.2"/>
    <row r="5057" ht="16" x14ac:dyDescent="0.2"/>
    <row r="5058" ht="16" x14ac:dyDescent="0.2"/>
    <row r="5059" ht="16" x14ac:dyDescent="0.2"/>
    <row r="5060" ht="16" x14ac:dyDescent="0.2"/>
    <row r="5061" ht="16" x14ac:dyDescent="0.2"/>
    <row r="5062" ht="16" x14ac:dyDescent="0.2"/>
    <row r="5063" ht="16" x14ac:dyDescent="0.2"/>
    <row r="5064" ht="16" x14ac:dyDescent="0.2"/>
    <row r="5065" ht="16" x14ac:dyDescent="0.2"/>
    <row r="5066" ht="16" x14ac:dyDescent="0.2"/>
    <row r="5067" ht="16" x14ac:dyDescent="0.2"/>
    <row r="5068" ht="16" x14ac:dyDescent="0.2"/>
    <row r="5069" ht="16" x14ac:dyDescent="0.2"/>
    <row r="5070" ht="16" x14ac:dyDescent="0.2"/>
    <row r="5071" ht="16" x14ac:dyDescent="0.2"/>
    <row r="5072" ht="16" x14ac:dyDescent="0.2"/>
    <row r="5073" ht="16" x14ac:dyDescent="0.2"/>
    <row r="5074" ht="16" x14ac:dyDescent="0.2"/>
    <row r="5075" ht="16" x14ac:dyDescent="0.2"/>
    <row r="5076" ht="16" x14ac:dyDescent="0.2"/>
    <row r="5077" ht="16" x14ac:dyDescent="0.2"/>
    <row r="5078" ht="16" x14ac:dyDescent="0.2"/>
    <row r="5079" ht="16" x14ac:dyDescent="0.2"/>
    <row r="5080" ht="16" x14ac:dyDescent="0.2"/>
    <row r="5081" ht="16" x14ac:dyDescent="0.2"/>
    <row r="5082" ht="16" x14ac:dyDescent="0.2"/>
    <row r="5083" ht="16" x14ac:dyDescent="0.2"/>
    <row r="5084" ht="16" x14ac:dyDescent="0.2"/>
    <row r="5085" ht="16" x14ac:dyDescent="0.2"/>
    <row r="5086" ht="16" x14ac:dyDescent="0.2"/>
    <row r="5087" ht="16" x14ac:dyDescent="0.2"/>
    <row r="5088" ht="16" x14ac:dyDescent="0.2"/>
    <row r="5089" ht="16" x14ac:dyDescent="0.2"/>
    <row r="5090" ht="16" x14ac:dyDescent="0.2"/>
    <row r="5091" ht="16" x14ac:dyDescent="0.2"/>
    <row r="5092" ht="16" x14ac:dyDescent="0.2"/>
    <row r="5093" ht="16" x14ac:dyDescent="0.2"/>
    <row r="5094" ht="16" x14ac:dyDescent="0.2"/>
    <row r="5095" ht="16" x14ac:dyDescent="0.2"/>
    <row r="5096" ht="16" x14ac:dyDescent="0.2"/>
    <row r="5097" ht="16" x14ac:dyDescent="0.2"/>
    <row r="5098" ht="16" x14ac:dyDescent="0.2"/>
    <row r="5099" ht="16" x14ac:dyDescent="0.2"/>
    <row r="5100" ht="16" x14ac:dyDescent="0.2"/>
    <row r="5101" ht="16" x14ac:dyDescent="0.2"/>
    <row r="5102" ht="16" x14ac:dyDescent="0.2"/>
    <row r="5103" ht="16" x14ac:dyDescent="0.2"/>
    <row r="5104" ht="16" x14ac:dyDescent="0.2"/>
    <row r="5105" ht="16" x14ac:dyDescent="0.2"/>
    <row r="5106" ht="16" x14ac:dyDescent="0.2"/>
    <row r="5107" ht="16" x14ac:dyDescent="0.2"/>
    <row r="5108" ht="16" x14ac:dyDescent="0.2"/>
    <row r="5109" ht="16" x14ac:dyDescent="0.2"/>
    <row r="5110" ht="16" x14ac:dyDescent="0.2"/>
    <row r="5111" ht="16" x14ac:dyDescent="0.2"/>
    <row r="5112" ht="16" x14ac:dyDescent="0.2"/>
    <row r="5113" ht="16" x14ac:dyDescent="0.2"/>
    <row r="5114" ht="16" x14ac:dyDescent="0.2"/>
    <row r="5115" ht="16" x14ac:dyDescent="0.2"/>
    <row r="5116" ht="16" x14ac:dyDescent="0.2"/>
    <row r="5117" ht="16" x14ac:dyDescent="0.2"/>
    <row r="5118" ht="16" x14ac:dyDescent="0.2"/>
    <row r="5119" ht="16" x14ac:dyDescent="0.2"/>
    <row r="5120" ht="16" x14ac:dyDescent="0.2"/>
    <row r="5121" ht="16" x14ac:dyDescent="0.2"/>
    <row r="5122" ht="16" x14ac:dyDescent="0.2"/>
    <row r="5123" ht="16" x14ac:dyDescent="0.2"/>
    <row r="5124" ht="16" x14ac:dyDescent="0.2"/>
    <row r="5125" ht="16" x14ac:dyDescent="0.2"/>
    <row r="5126" ht="16" x14ac:dyDescent="0.2"/>
    <row r="5127" ht="16" x14ac:dyDescent="0.2"/>
    <row r="5128" ht="16" x14ac:dyDescent="0.2"/>
    <row r="5129" ht="16" x14ac:dyDescent="0.2"/>
    <row r="5130" ht="16" x14ac:dyDescent="0.2"/>
    <row r="5131" ht="16" x14ac:dyDescent="0.2"/>
    <row r="5132" ht="16" x14ac:dyDescent="0.2"/>
    <row r="5133" ht="16" x14ac:dyDescent="0.2"/>
    <row r="5134" ht="16" x14ac:dyDescent="0.2"/>
    <row r="5135" ht="16" x14ac:dyDescent="0.2"/>
    <row r="5136" ht="16" x14ac:dyDescent="0.2"/>
    <row r="5137" ht="16" x14ac:dyDescent="0.2"/>
    <row r="5138" ht="16" x14ac:dyDescent="0.2"/>
    <row r="5139" ht="16" x14ac:dyDescent="0.2"/>
    <row r="5140" ht="16" x14ac:dyDescent="0.2"/>
    <row r="5141" ht="16" x14ac:dyDescent="0.2"/>
    <row r="5142" ht="16" x14ac:dyDescent="0.2"/>
    <row r="5143" ht="16" x14ac:dyDescent="0.2"/>
    <row r="5144" ht="16" x14ac:dyDescent="0.2"/>
    <row r="5145" ht="16" x14ac:dyDescent="0.2"/>
    <row r="5146" ht="16" x14ac:dyDescent="0.2"/>
    <row r="5147" ht="16" x14ac:dyDescent="0.2"/>
    <row r="5148" ht="16" x14ac:dyDescent="0.2"/>
    <row r="5149" ht="16" x14ac:dyDescent="0.2"/>
    <row r="5150" ht="16" x14ac:dyDescent="0.2"/>
    <row r="5151" ht="16" x14ac:dyDescent="0.2"/>
    <row r="5152" ht="16" x14ac:dyDescent="0.2"/>
    <row r="5153" ht="16" x14ac:dyDescent="0.2"/>
    <row r="5154" ht="16" x14ac:dyDescent="0.2"/>
    <row r="5155" ht="16" x14ac:dyDescent="0.2"/>
    <row r="5156" ht="16" x14ac:dyDescent="0.2"/>
    <row r="5157" ht="16" x14ac:dyDescent="0.2"/>
    <row r="5158" ht="16" x14ac:dyDescent="0.2"/>
    <row r="5159" ht="16" x14ac:dyDescent="0.2"/>
    <row r="5160" ht="16" x14ac:dyDescent="0.2"/>
    <row r="5161" ht="16" x14ac:dyDescent="0.2"/>
    <row r="5162" ht="16" x14ac:dyDescent="0.2"/>
    <row r="5163" ht="16" x14ac:dyDescent="0.2"/>
    <row r="5164" ht="16" x14ac:dyDescent="0.2"/>
    <row r="5165" ht="16" x14ac:dyDescent="0.2"/>
    <row r="5166" ht="16" x14ac:dyDescent="0.2"/>
    <row r="5167" ht="16" x14ac:dyDescent="0.2"/>
    <row r="5168" ht="16" x14ac:dyDescent="0.2"/>
    <row r="5169" ht="16" x14ac:dyDescent="0.2"/>
    <row r="5170" ht="16" x14ac:dyDescent="0.2"/>
    <row r="5171" ht="16" x14ac:dyDescent="0.2"/>
    <row r="5172" ht="16" x14ac:dyDescent="0.2"/>
    <row r="5173" ht="16" x14ac:dyDescent="0.2"/>
    <row r="5174" ht="16" x14ac:dyDescent="0.2"/>
    <row r="5175" ht="16" x14ac:dyDescent="0.2"/>
    <row r="5176" ht="16" x14ac:dyDescent="0.2"/>
    <row r="5177" ht="16" x14ac:dyDescent="0.2"/>
    <row r="5178" ht="16" x14ac:dyDescent="0.2"/>
    <row r="5179" ht="16" x14ac:dyDescent="0.2"/>
    <row r="5180" ht="16" x14ac:dyDescent="0.2"/>
    <row r="5181" ht="16" x14ac:dyDescent="0.2"/>
    <row r="5182" ht="16" x14ac:dyDescent="0.2"/>
    <row r="5183" ht="16" x14ac:dyDescent="0.2"/>
    <row r="5184" ht="16" x14ac:dyDescent="0.2"/>
    <row r="5185" ht="16" x14ac:dyDescent="0.2"/>
    <row r="5186" ht="16" x14ac:dyDescent="0.2"/>
    <row r="5187" ht="16" x14ac:dyDescent="0.2"/>
    <row r="5188" ht="16" x14ac:dyDescent="0.2"/>
    <row r="5189" ht="16" x14ac:dyDescent="0.2"/>
    <row r="5190" ht="16" x14ac:dyDescent="0.2"/>
    <row r="5191" ht="16" x14ac:dyDescent="0.2"/>
    <row r="5192" ht="16" x14ac:dyDescent="0.2"/>
    <row r="5193" ht="16" x14ac:dyDescent="0.2"/>
    <row r="5194" ht="16" x14ac:dyDescent="0.2"/>
    <row r="5195" ht="16" x14ac:dyDescent="0.2"/>
    <row r="5196" ht="16" x14ac:dyDescent="0.2"/>
    <row r="5197" ht="16" x14ac:dyDescent="0.2"/>
    <row r="5198" ht="16" x14ac:dyDescent="0.2"/>
    <row r="5199" ht="16" x14ac:dyDescent="0.2"/>
    <row r="5200" ht="16" x14ac:dyDescent="0.2"/>
    <row r="5201" ht="16" x14ac:dyDescent="0.2"/>
    <row r="5202" ht="16" x14ac:dyDescent="0.2"/>
    <row r="5203" ht="16" x14ac:dyDescent="0.2"/>
    <row r="5204" ht="16" x14ac:dyDescent="0.2"/>
    <row r="5205" ht="16" x14ac:dyDescent="0.2"/>
    <row r="5206" ht="16" x14ac:dyDescent="0.2"/>
    <row r="5207" ht="16" x14ac:dyDescent="0.2"/>
    <row r="5208" ht="16" x14ac:dyDescent="0.2"/>
    <row r="5209" ht="16" x14ac:dyDescent="0.2"/>
    <row r="5210" ht="16" x14ac:dyDescent="0.2"/>
    <row r="5211" ht="16" x14ac:dyDescent="0.2"/>
    <row r="5212" ht="16" x14ac:dyDescent="0.2"/>
    <row r="5213" ht="16" x14ac:dyDescent="0.2"/>
    <row r="5214" ht="16" x14ac:dyDescent="0.2"/>
    <row r="5215" ht="16" x14ac:dyDescent="0.2"/>
    <row r="5216" ht="16" x14ac:dyDescent="0.2"/>
    <row r="5217" ht="16" x14ac:dyDescent="0.2"/>
    <row r="5218" ht="16" x14ac:dyDescent="0.2"/>
    <row r="5219" ht="16" x14ac:dyDescent="0.2"/>
    <row r="5220" ht="16" x14ac:dyDescent="0.2"/>
    <row r="5221" ht="16" x14ac:dyDescent="0.2"/>
    <row r="5222" ht="16" x14ac:dyDescent="0.2"/>
    <row r="5223" ht="16" x14ac:dyDescent="0.2"/>
    <row r="5224" ht="16" x14ac:dyDescent="0.2"/>
    <row r="5225" ht="16" x14ac:dyDescent="0.2"/>
    <row r="5226" ht="16" x14ac:dyDescent="0.2"/>
    <row r="5227" ht="16" x14ac:dyDescent="0.2"/>
    <row r="5228" ht="16" x14ac:dyDescent="0.2"/>
    <row r="5229" ht="16" x14ac:dyDescent="0.2"/>
    <row r="5230" ht="16" x14ac:dyDescent="0.2"/>
    <row r="5231" ht="16" x14ac:dyDescent="0.2"/>
    <row r="5232" ht="16" x14ac:dyDescent="0.2"/>
    <row r="5233" ht="16" x14ac:dyDescent="0.2"/>
    <row r="5234" ht="16" x14ac:dyDescent="0.2"/>
    <row r="5235" ht="16" x14ac:dyDescent="0.2"/>
    <row r="5236" ht="16" x14ac:dyDescent="0.2"/>
    <row r="5237" ht="16" x14ac:dyDescent="0.2"/>
    <row r="5238" ht="16" x14ac:dyDescent="0.2"/>
    <row r="5239" ht="16" x14ac:dyDescent="0.2"/>
    <row r="5240" ht="16" x14ac:dyDescent="0.2"/>
    <row r="5241" ht="16" x14ac:dyDescent="0.2"/>
    <row r="5242" ht="16" x14ac:dyDescent="0.2"/>
    <row r="5243" ht="16" x14ac:dyDescent="0.2"/>
    <row r="5244" ht="16" x14ac:dyDescent="0.2"/>
    <row r="5245" ht="16" x14ac:dyDescent="0.2"/>
    <row r="5246" ht="16" x14ac:dyDescent="0.2"/>
    <row r="5247" ht="16" x14ac:dyDescent="0.2"/>
    <row r="5248" ht="16" x14ac:dyDescent="0.2"/>
    <row r="5249" ht="16" x14ac:dyDescent="0.2"/>
    <row r="5250" ht="16" x14ac:dyDescent="0.2"/>
    <row r="5251" ht="16" x14ac:dyDescent="0.2"/>
    <row r="5252" ht="16" x14ac:dyDescent="0.2"/>
    <row r="5253" ht="16" x14ac:dyDescent="0.2"/>
    <row r="5254" ht="16" x14ac:dyDescent="0.2"/>
    <row r="5255" ht="16" x14ac:dyDescent="0.2"/>
    <row r="5256" ht="16" x14ac:dyDescent="0.2"/>
    <row r="5257" ht="16" x14ac:dyDescent="0.2"/>
    <row r="5258" ht="16" x14ac:dyDescent="0.2"/>
    <row r="5259" ht="16" x14ac:dyDescent="0.2"/>
    <row r="5260" ht="16" x14ac:dyDescent="0.2"/>
    <row r="5261" ht="16" x14ac:dyDescent="0.2"/>
    <row r="5262" ht="16" x14ac:dyDescent="0.2"/>
    <row r="5263" ht="16" x14ac:dyDescent="0.2"/>
    <row r="5264" ht="16" x14ac:dyDescent="0.2"/>
    <row r="5265" ht="16" x14ac:dyDescent="0.2"/>
    <row r="5266" ht="16" x14ac:dyDescent="0.2"/>
    <row r="5267" ht="16" x14ac:dyDescent="0.2"/>
    <row r="5268" ht="16" x14ac:dyDescent="0.2"/>
    <row r="5269" ht="16" x14ac:dyDescent="0.2"/>
    <row r="5270" ht="16" x14ac:dyDescent="0.2"/>
    <row r="5271" ht="16" x14ac:dyDescent="0.2"/>
    <row r="5272" ht="16" x14ac:dyDescent="0.2"/>
    <row r="5273" ht="16" x14ac:dyDescent="0.2"/>
    <row r="5274" ht="16" x14ac:dyDescent="0.2"/>
    <row r="5275" ht="16" x14ac:dyDescent="0.2"/>
    <row r="5276" ht="16" x14ac:dyDescent="0.2"/>
    <row r="5277" ht="16" x14ac:dyDescent="0.2"/>
    <row r="5278" ht="16" x14ac:dyDescent="0.2"/>
    <row r="5279" ht="16" x14ac:dyDescent="0.2"/>
    <row r="5280" ht="16" x14ac:dyDescent="0.2"/>
    <row r="5281" ht="16" x14ac:dyDescent="0.2"/>
    <row r="5282" ht="16" x14ac:dyDescent="0.2"/>
    <row r="5283" ht="16" x14ac:dyDescent="0.2"/>
    <row r="5284" ht="16" x14ac:dyDescent="0.2"/>
    <row r="5285" ht="16" x14ac:dyDescent="0.2"/>
    <row r="5286" ht="16" x14ac:dyDescent="0.2"/>
    <row r="5287" ht="16" x14ac:dyDescent="0.2"/>
    <row r="5288" ht="16" x14ac:dyDescent="0.2"/>
    <row r="5289" ht="16" x14ac:dyDescent="0.2"/>
    <row r="5290" ht="16" x14ac:dyDescent="0.2"/>
    <row r="5291" ht="16" x14ac:dyDescent="0.2"/>
    <row r="5292" ht="16" x14ac:dyDescent="0.2"/>
    <row r="5293" ht="16" x14ac:dyDescent="0.2"/>
    <row r="5294" ht="16" x14ac:dyDescent="0.2"/>
    <row r="5295" ht="16" x14ac:dyDescent="0.2"/>
    <row r="5296" ht="16" x14ac:dyDescent="0.2"/>
    <row r="5297" ht="16" x14ac:dyDescent="0.2"/>
    <row r="5298" ht="16" x14ac:dyDescent="0.2"/>
    <row r="5299" ht="16" x14ac:dyDescent="0.2"/>
    <row r="5300" ht="16" x14ac:dyDescent="0.2"/>
    <row r="5301" ht="16" x14ac:dyDescent="0.2"/>
    <row r="5302" ht="16" x14ac:dyDescent="0.2"/>
    <row r="5303" ht="16" x14ac:dyDescent="0.2"/>
    <row r="5304" ht="16" x14ac:dyDescent="0.2"/>
    <row r="5305" ht="16" x14ac:dyDescent="0.2"/>
    <row r="5306" ht="16" x14ac:dyDescent="0.2"/>
    <row r="5307" ht="16" x14ac:dyDescent="0.2"/>
    <row r="5308" ht="16" x14ac:dyDescent="0.2"/>
    <row r="5309" ht="16" x14ac:dyDescent="0.2"/>
    <row r="5310" ht="16" x14ac:dyDescent="0.2"/>
    <row r="5311" ht="16" x14ac:dyDescent="0.2"/>
    <row r="5312" ht="16" x14ac:dyDescent="0.2"/>
    <row r="5313" ht="16" x14ac:dyDescent="0.2"/>
    <row r="5314" ht="16" x14ac:dyDescent="0.2"/>
    <row r="5315" ht="16" x14ac:dyDescent="0.2"/>
    <row r="5316" ht="16" x14ac:dyDescent="0.2"/>
    <row r="5317" ht="16" x14ac:dyDescent="0.2"/>
    <row r="5318" ht="16" x14ac:dyDescent="0.2"/>
    <row r="5319" ht="16" x14ac:dyDescent="0.2"/>
    <row r="5320" ht="16" x14ac:dyDescent="0.2"/>
    <row r="5321" ht="16" x14ac:dyDescent="0.2"/>
    <row r="5322" ht="16" x14ac:dyDescent="0.2"/>
    <row r="5323" ht="16" x14ac:dyDescent="0.2"/>
    <row r="5324" ht="16" x14ac:dyDescent="0.2"/>
    <row r="5325" ht="16" x14ac:dyDescent="0.2"/>
    <row r="5326" ht="16" x14ac:dyDescent="0.2"/>
    <row r="5327" ht="16" x14ac:dyDescent="0.2"/>
    <row r="5328" ht="16" x14ac:dyDescent="0.2"/>
    <row r="5329" ht="16" x14ac:dyDescent="0.2"/>
    <row r="5330" ht="16" x14ac:dyDescent="0.2"/>
    <row r="5331" ht="16" x14ac:dyDescent="0.2"/>
    <row r="5332" ht="16" x14ac:dyDescent="0.2"/>
    <row r="5333" ht="16" x14ac:dyDescent="0.2"/>
    <row r="5334" ht="16" x14ac:dyDescent="0.2"/>
    <row r="5335" ht="16" x14ac:dyDescent="0.2"/>
    <row r="5336" ht="16" x14ac:dyDescent="0.2"/>
    <row r="5337" ht="16" x14ac:dyDescent="0.2"/>
    <row r="5338" ht="16" x14ac:dyDescent="0.2"/>
    <row r="5339" ht="16" x14ac:dyDescent="0.2"/>
    <row r="5340" ht="16" x14ac:dyDescent="0.2"/>
    <row r="5341" ht="16" x14ac:dyDescent="0.2"/>
    <row r="5342" ht="16" x14ac:dyDescent="0.2"/>
    <row r="5343" ht="16" x14ac:dyDescent="0.2"/>
    <row r="5344" ht="16" x14ac:dyDescent="0.2"/>
    <row r="5345" ht="16" x14ac:dyDescent="0.2"/>
    <row r="5346" ht="16" x14ac:dyDescent="0.2"/>
    <row r="5347" ht="16" x14ac:dyDescent="0.2"/>
    <row r="5348" ht="16" x14ac:dyDescent="0.2"/>
    <row r="5349" ht="16" x14ac:dyDescent="0.2"/>
    <row r="5350" ht="16" x14ac:dyDescent="0.2"/>
    <row r="5351" ht="16" x14ac:dyDescent="0.2"/>
    <row r="5352" ht="16" x14ac:dyDescent="0.2"/>
    <row r="5353" ht="16" x14ac:dyDescent="0.2"/>
    <row r="5354" ht="16" x14ac:dyDescent="0.2"/>
    <row r="5355" ht="16" x14ac:dyDescent="0.2"/>
    <row r="5356" ht="16" x14ac:dyDescent="0.2"/>
    <row r="5357" ht="16" x14ac:dyDescent="0.2"/>
    <row r="5358" ht="16" x14ac:dyDescent="0.2"/>
    <row r="5359" ht="16" x14ac:dyDescent="0.2"/>
    <row r="5360" ht="16" x14ac:dyDescent="0.2"/>
    <row r="5361" ht="16" x14ac:dyDescent="0.2"/>
    <row r="5362" ht="16" x14ac:dyDescent="0.2"/>
    <row r="5363" ht="16" x14ac:dyDescent="0.2"/>
    <row r="5364" ht="16" x14ac:dyDescent="0.2"/>
    <row r="5365" ht="16" x14ac:dyDescent="0.2"/>
    <row r="5366" ht="16" x14ac:dyDescent="0.2"/>
    <row r="5367" ht="16" x14ac:dyDescent="0.2"/>
    <row r="5368" ht="16" x14ac:dyDescent="0.2"/>
    <row r="5369" ht="16" x14ac:dyDescent="0.2"/>
    <row r="5370" ht="16" x14ac:dyDescent="0.2"/>
    <row r="5371" ht="16" x14ac:dyDescent="0.2"/>
    <row r="5372" ht="16" x14ac:dyDescent="0.2"/>
    <row r="5373" ht="16" x14ac:dyDescent="0.2"/>
    <row r="5374" ht="16" x14ac:dyDescent="0.2"/>
    <row r="5375" ht="16" x14ac:dyDescent="0.2"/>
    <row r="5376" ht="16" x14ac:dyDescent="0.2"/>
    <row r="5377" ht="16" x14ac:dyDescent="0.2"/>
    <row r="5378" ht="16" x14ac:dyDescent="0.2"/>
    <row r="5379" ht="16" x14ac:dyDescent="0.2"/>
    <row r="5380" ht="16" x14ac:dyDescent="0.2"/>
    <row r="5381" ht="16" x14ac:dyDescent="0.2"/>
    <row r="5382" ht="16" x14ac:dyDescent="0.2"/>
    <row r="5383" ht="16" x14ac:dyDescent="0.2"/>
    <row r="5384" ht="16" x14ac:dyDescent="0.2"/>
    <row r="5385" ht="16" x14ac:dyDescent="0.2"/>
    <row r="5386" ht="16" x14ac:dyDescent="0.2"/>
    <row r="5387" ht="16" x14ac:dyDescent="0.2"/>
    <row r="5388" ht="16" x14ac:dyDescent="0.2"/>
    <row r="5389" ht="16" x14ac:dyDescent="0.2"/>
    <row r="5390" ht="16" x14ac:dyDescent="0.2"/>
    <row r="5391" ht="16" x14ac:dyDescent="0.2"/>
    <row r="5392" ht="16" x14ac:dyDescent="0.2"/>
    <row r="5393" ht="16" x14ac:dyDescent="0.2"/>
    <row r="5394" ht="16" x14ac:dyDescent="0.2"/>
    <row r="5395" ht="16" x14ac:dyDescent="0.2"/>
    <row r="5396" ht="16" x14ac:dyDescent="0.2"/>
    <row r="5397" ht="16" x14ac:dyDescent="0.2"/>
    <row r="5398" ht="16" x14ac:dyDescent="0.2"/>
    <row r="5399" ht="16" x14ac:dyDescent="0.2"/>
    <row r="5400" ht="16" x14ac:dyDescent="0.2"/>
    <row r="5401" ht="16" x14ac:dyDescent="0.2"/>
    <row r="5402" ht="16" x14ac:dyDescent="0.2"/>
    <row r="5403" ht="16" x14ac:dyDescent="0.2"/>
    <row r="5404" ht="16" x14ac:dyDescent="0.2"/>
    <row r="5405" ht="16" x14ac:dyDescent="0.2"/>
    <row r="5406" ht="16" x14ac:dyDescent="0.2"/>
    <row r="5407" ht="16" x14ac:dyDescent="0.2"/>
    <row r="5408" ht="16" x14ac:dyDescent="0.2"/>
    <row r="5409" ht="16" x14ac:dyDescent="0.2"/>
    <row r="5410" ht="16" x14ac:dyDescent="0.2"/>
    <row r="5411" ht="16" x14ac:dyDescent="0.2"/>
    <row r="5412" ht="16" x14ac:dyDescent="0.2"/>
    <row r="5413" ht="16" x14ac:dyDescent="0.2"/>
    <row r="5414" ht="16" x14ac:dyDescent="0.2"/>
    <row r="5415" ht="16" x14ac:dyDescent="0.2"/>
    <row r="5416" ht="16" x14ac:dyDescent="0.2"/>
    <row r="5417" ht="16" x14ac:dyDescent="0.2"/>
    <row r="5418" ht="16" x14ac:dyDescent="0.2"/>
    <row r="5419" ht="16" x14ac:dyDescent="0.2"/>
    <row r="5420" ht="16" x14ac:dyDescent="0.2"/>
    <row r="5421" ht="16" x14ac:dyDescent="0.2"/>
    <row r="5422" ht="16" x14ac:dyDescent="0.2"/>
    <row r="5423" ht="16" x14ac:dyDescent="0.2"/>
    <row r="5424" ht="16" x14ac:dyDescent="0.2"/>
    <row r="5425" ht="16" x14ac:dyDescent="0.2"/>
    <row r="5426" ht="16" x14ac:dyDescent="0.2"/>
    <row r="5427" ht="16" x14ac:dyDescent="0.2"/>
    <row r="5428" ht="16" x14ac:dyDescent="0.2"/>
    <row r="5429" ht="16" x14ac:dyDescent="0.2"/>
    <row r="5430" ht="16" x14ac:dyDescent="0.2"/>
    <row r="5431" ht="16" x14ac:dyDescent="0.2"/>
    <row r="5432" ht="16" x14ac:dyDescent="0.2"/>
    <row r="5433" ht="16" x14ac:dyDescent="0.2"/>
    <row r="5434" ht="16" x14ac:dyDescent="0.2"/>
    <row r="5435" ht="16" x14ac:dyDescent="0.2"/>
    <row r="5436" ht="16" x14ac:dyDescent="0.2"/>
    <row r="5437" ht="16" x14ac:dyDescent="0.2"/>
    <row r="5438" ht="16" x14ac:dyDescent="0.2"/>
    <row r="5439" ht="16" x14ac:dyDescent="0.2"/>
    <row r="5440" ht="16" x14ac:dyDescent="0.2"/>
    <row r="5441" ht="16" x14ac:dyDescent="0.2"/>
    <row r="5442" ht="16" x14ac:dyDescent="0.2"/>
    <row r="5443" ht="16" x14ac:dyDescent="0.2"/>
    <row r="5444" ht="16" x14ac:dyDescent="0.2"/>
    <row r="5445" ht="16" x14ac:dyDescent="0.2"/>
    <row r="5446" ht="16" x14ac:dyDescent="0.2"/>
    <row r="5447" ht="16" x14ac:dyDescent="0.2"/>
    <row r="5448" ht="16" x14ac:dyDescent="0.2"/>
    <row r="5449" ht="16" x14ac:dyDescent="0.2"/>
    <row r="5450" ht="16" x14ac:dyDescent="0.2"/>
    <row r="5451" ht="16" x14ac:dyDescent="0.2"/>
    <row r="5452" ht="16" x14ac:dyDescent="0.2"/>
    <row r="5453" ht="16" x14ac:dyDescent="0.2"/>
    <row r="5454" ht="16" x14ac:dyDescent="0.2"/>
    <row r="5455" ht="16" x14ac:dyDescent="0.2"/>
    <row r="5456" ht="16" x14ac:dyDescent="0.2"/>
    <row r="5457" ht="16" x14ac:dyDescent="0.2"/>
    <row r="5458" ht="16" x14ac:dyDescent="0.2"/>
    <row r="5459" ht="16" x14ac:dyDescent="0.2"/>
    <row r="5460" ht="16" x14ac:dyDescent="0.2"/>
    <row r="5461" ht="16" x14ac:dyDescent="0.2"/>
    <row r="5462" ht="16" x14ac:dyDescent="0.2"/>
    <row r="5463" ht="16" x14ac:dyDescent="0.2"/>
    <row r="5464" ht="16" x14ac:dyDescent="0.2"/>
    <row r="5465" ht="16" x14ac:dyDescent="0.2"/>
    <row r="5466" ht="16" x14ac:dyDescent="0.2"/>
    <row r="5467" ht="16" x14ac:dyDescent="0.2"/>
    <row r="5468" ht="16" x14ac:dyDescent="0.2"/>
    <row r="5469" ht="16" x14ac:dyDescent="0.2"/>
    <row r="5470" ht="16" x14ac:dyDescent="0.2"/>
    <row r="5471" ht="16" x14ac:dyDescent="0.2"/>
    <row r="5472" ht="16" x14ac:dyDescent="0.2"/>
    <row r="5473" ht="16" x14ac:dyDescent="0.2"/>
    <row r="5474" ht="16" x14ac:dyDescent="0.2"/>
    <row r="5475" ht="16" x14ac:dyDescent="0.2"/>
    <row r="5476" ht="16" x14ac:dyDescent="0.2"/>
    <row r="5477" ht="16" x14ac:dyDescent="0.2"/>
    <row r="5478" ht="16" x14ac:dyDescent="0.2"/>
    <row r="5479" ht="16" x14ac:dyDescent="0.2"/>
    <row r="5480" ht="16" x14ac:dyDescent="0.2"/>
    <row r="5481" ht="16" x14ac:dyDescent="0.2"/>
    <row r="5482" ht="16" x14ac:dyDescent="0.2"/>
    <row r="5483" ht="16" x14ac:dyDescent="0.2"/>
    <row r="5484" ht="16" x14ac:dyDescent="0.2"/>
    <row r="5485" ht="16" x14ac:dyDescent="0.2"/>
    <row r="5486" ht="16" x14ac:dyDescent="0.2"/>
    <row r="5487" ht="16" x14ac:dyDescent="0.2"/>
    <row r="5488" ht="16" x14ac:dyDescent="0.2"/>
    <row r="5489" ht="16" x14ac:dyDescent="0.2"/>
    <row r="5490" ht="16" x14ac:dyDescent="0.2"/>
    <row r="5491" ht="16" x14ac:dyDescent="0.2"/>
    <row r="5492" ht="16" x14ac:dyDescent="0.2"/>
    <row r="5493" ht="16" x14ac:dyDescent="0.2"/>
    <row r="5494" ht="16" x14ac:dyDescent="0.2"/>
    <row r="5495" ht="16" x14ac:dyDescent="0.2"/>
    <row r="5496" ht="16" x14ac:dyDescent="0.2"/>
    <row r="5497" ht="16" x14ac:dyDescent="0.2"/>
    <row r="5498" ht="16" x14ac:dyDescent="0.2"/>
    <row r="5499" ht="16" x14ac:dyDescent="0.2"/>
    <row r="5500" ht="16" x14ac:dyDescent="0.2"/>
    <row r="5501" ht="16" x14ac:dyDescent="0.2"/>
    <row r="5502" ht="16" x14ac:dyDescent="0.2"/>
    <row r="5503" ht="16" x14ac:dyDescent="0.2"/>
    <row r="5504" ht="16" x14ac:dyDescent="0.2"/>
    <row r="5505" ht="16" x14ac:dyDescent="0.2"/>
    <row r="5506" ht="16" x14ac:dyDescent="0.2"/>
    <row r="5507" ht="16" x14ac:dyDescent="0.2"/>
    <row r="5508" ht="16" x14ac:dyDescent="0.2"/>
    <row r="5509" ht="16" x14ac:dyDescent="0.2"/>
    <row r="5510" ht="16" x14ac:dyDescent="0.2"/>
    <row r="5511" ht="16" x14ac:dyDescent="0.2"/>
    <row r="5512" ht="16" x14ac:dyDescent="0.2"/>
    <row r="5513" ht="16" x14ac:dyDescent="0.2"/>
    <row r="5514" ht="16" x14ac:dyDescent="0.2"/>
    <row r="5515" ht="16" x14ac:dyDescent="0.2"/>
    <row r="5516" ht="16" x14ac:dyDescent="0.2"/>
    <row r="5517" ht="16" x14ac:dyDescent="0.2"/>
    <row r="5518" ht="16" x14ac:dyDescent="0.2"/>
    <row r="5519" ht="16" x14ac:dyDescent="0.2"/>
    <row r="5520" ht="16" x14ac:dyDescent="0.2"/>
    <row r="5521" ht="16" x14ac:dyDescent="0.2"/>
    <row r="5522" ht="16" x14ac:dyDescent="0.2"/>
    <row r="5523" ht="16" x14ac:dyDescent="0.2"/>
    <row r="5524" ht="16" x14ac:dyDescent="0.2"/>
    <row r="5525" ht="16" x14ac:dyDescent="0.2"/>
    <row r="5526" ht="16" x14ac:dyDescent="0.2"/>
    <row r="5527" ht="16" x14ac:dyDescent="0.2"/>
    <row r="5528" ht="16" x14ac:dyDescent="0.2"/>
    <row r="5529" ht="16" x14ac:dyDescent="0.2"/>
    <row r="5530" ht="16" x14ac:dyDescent="0.2"/>
    <row r="5531" ht="16" x14ac:dyDescent="0.2"/>
    <row r="5532" ht="16" x14ac:dyDescent="0.2"/>
    <row r="5533" ht="16" x14ac:dyDescent="0.2"/>
    <row r="5534" ht="16" x14ac:dyDescent="0.2"/>
    <row r="5535" ht="16" x14ac:dyDescent="0.2"/>
    <row r="5536" ht="16" x14ac:dyDescent="0.2"/>
    <row r="5537" ht="16" x14ac:dyDescent="0.2"/>
    <row r="5538" ht="16" x14ac:dyDescent="0.2"/>
    <row r="5539" ht="16" x14ac:dyDescent="0.2"/>
    <row r="5540" ht="16" x14ac:dyDescent="0.2"/>
    <row r="5541" ht="16" x14ac:dyDescent="0.2"/>
    <row r="5542" ht="16" x14ac:dyDescent="0.2"/>
    <row r="5543" ht="16" x14ac:dyDescent="0.2"/>
    <row r="5544" ht="16" x14ac:dyDescent="0.2"/>
    <row r="5545" ht="16" x14ac:dyDescent="0.2"/>
    <row r="5546" ht="16" x14ac:dyDescent="0.2"/>
    <row r="5547" ht="16" x14ac:dyDescent="0.2"/>
    <row r="5548" ht="16" x14ac:dyDescent="0.2"/>
    <row r="5549" ht="16" x14ac:dyDescent="0.2"/>
    <row r="5550" ht="16" x14ac:dyDescent="0.2"/>
    <row r="5551" ht="16" x14ac:dyDescent="0.2"/>
    <row r="5552" ht="16" x14ac:dyDescent="0.2"/>
    <row r="5553" ht="16" x14ac:dyDescent="0.2"/>
    <row r="5554" ht="16" x14ac:dyDescent="0.2"/>
    <row r="5555" ht="16" x14ac:dyDescent="0.2"/>
    <row r="5556" ht="16" x14ac:dyDescent="0.2"/>
    <row r="5557" ht="16" x14ac:dyDescent="0.2"/>
    <row r="5558" ht="16" x14ac:dyDescent="0.2"/>
    <row r="5559" ht="16" x14ac:dyDescent="0.2"/>
    <row r="5560" ht="16" x14ac:dyDescent="0.2"/>
    <row r="5561" ht="16" x14ac:dyDescent="0.2"/>
    <row r="5562" ht="16" x14ac:dyDescent="0.2"/>
    <row r="5563" ht="16" x14ac:dyDescent="0.2"/>
    <row r="5564" ht="16" x14ac:dyDescent="0.2"/>
    <row r="5565" ht="16" x14ac:dyDescent="0.2"/>
    <row r="5566" ht="16" x14ac:dyDescent="0.2"/>
    <row r="5567" ht="16" x14ac:dyDescent="0.2"/>
    <row r="5568" ht="16" x14ac:dyDescent="0.2"/>
    <row r="5569" ht="16" x14ac:dyDescent="0.2"/>
    <row r="5570" ht="16" x14ac:dyDescent="0.2"/>
    <row r="5571" ht="16" x14ac:dyDescent="0.2"/>
    <row r="5572" ht="16" x14ac:dyDescent="0.2"/>
    <row r="5573" ht="16" x14ac:dyDescent="0.2"/>
    <row r="5574" ht="16" x14ac:dyDescent="0.2"/>
    <row r="5575" ht="16" x14ac:dyDescent="0.2"/>
    <row r="5576" ht="16" x14ac:dyDescent="0.2"/>
    <row r="5577" ht="16" x14ac:dyDescent="0.2"/>
    <row r="5578" ht="16" x14ac:dyDescent="0.2"/>
    <row r="5579" ht="16" x14ac:dyDescent="0.2"/>
    <row r="5580" ht="16" x14ac:dyDescent="0.2"/>
    <row r="5581" ht="16" x14ac:dyDescent="0.2"/>
    <row r="5582" ht="16" x14ac:dyDescent="0.2"/>
    <row r="5583" ht="16" x14ac:dyDescent="0.2"/>
    <row r="5584" ht="16" x14ac:dyDescent="0.2"/>
    <row r="5585" ht="16" x14ac:dyDescent="0.2"/>
    <row r="5586" ht="16" x14ac:dyDescent="0.2"/>
    <row r="5587" ht="16" x14ac:dyDescent="0.2"/>
    <row r="5588" ht="16" x14ac:dyDescent="0.2"/>
    <row r="5589" ht="16" x14ac:dyDescent="0.2"/>
    <row r="5590" ht="16" x14ac:dyDescent="0.2"/>
    <row r="5591" ht="16" x14ac:dyDescent="0.2"/>
    <row r="5592" ht="16" x14ac:dyDescent="0.2"/>
    <row r="5593" ht="16" x14ac:dyDescent="0.2"/>
    <row r="5594" ht="16" x14ac:dyDescent="0.2"/>
    <row r="5595" ht="16" x14ac:dyDescent="0.2"/>
    <row r="5596" ht="16" x14ac:dyDescent="0.2"/>
    <row r="5597" ht="16" x14ac:dyDescent="0.2"/>
    <row r="5598" ht="16" x14ac:dyDescent="0.2"/>
    <row r="5599" ht="16" x14ac:dyDescent="0.2"/>
    <row r="5600" ht="16" x14ac:dyDescent="0.2"/>
    <row r="5601" ht="16" x14ac:dyDescent="0.2"/>
    <row r="5602" ht="16" x14ac:dyDescent="0.2"/>
    <row r="5603" ht="16" x14ac:dyDescent="0.2"/>
    <row r="5604" ht="16" x14ac:dyDescent="0.2"/>
    <row r="5605" ht="16" x14ac:dyDescent="0.2"/>
    <row r="5606" ht="16" x14ac:dyDescent="0.2"/>
    <row r="5607" ht="16" x14ac:dyDescent="0.2"/>
    <row r="5608" ht="16" x14ac:dyDescent="0.2"/>
    <row r="5609" ht="16" x14ac:dyDescent="0.2"/>
    <row r="5610" ht="16" x14ac:dyDescent="0.2"/>
    <row r="5611" ht="16" x14ac:dyDescent="0.2"/>
    <row r="5612" ht="16" x14ac:dyDescent="0.2"/>
    <row r="5613" ht="16" x14ac:dyDescent="0.2"/>
    <row r="5614" ht="16" x14ac:dyDescent="0.2"/>
    <row r="5615" ht="16" x14ac:dyDescent="0.2"/>
    <row r="5616" ht="16" x14ac:dyDescent="0.2"/>
    <row r="5617" ht="16" x14ac:dyDescent="0.2"/>
    <row r="5618" ht="16" x14ac:dyDescent="0.2"/>
    <row r="5619" ht="16" x14ac:dyDescent="0.2"/>
    <row r="5620" ht="16" x14ac:dyDescent="0.2"/>
    <row r="5621" ht="16" x14ac:dyDescent="0.2"/>
    <row r="5622" ht="16" x14ac:dyDescent="0.2"/>
    <row r="5623" ht="16" x14ac:dyDescent="0.2"/>
    <row r="5624" ht="16" x14ac:dyDescent="0.2"/>
    <row r="5625" ht="16" x14ac:dyDescent="0.2"/>
    <row r="5626" ht="16" x14ac:dyDescent="0.2"/>
    <row r="5627" ht="16" x14ac:dyDescent="0.2"/>
    <row r="5628" ht="16" x14ac:dyDescent="0.2"/>
    <row r="5629" ht="16" x14ac:dyDescent="0.2"/>
    <row r="5630" ht="16" x14ac:dyDescent="0.2"/>
    <row r="5631" ht="16" x14ac:dyDescent="0.2"/>
    <row r="5632" ht="16" x14ac:dyDescent="0.2"/>
    <row r="5633" ht="16" x14ac:dyDescent="0.2"/>
    <row r="5634" ht="16" x14ac:dyDescent="0.2"/>
    <row r="5635" ht="16" x14ac:dyDescent="0.2"/>
    <row r="5636" ht="16" x14ac:dyDescent="0.2"/>
    <row r="5637" ht="16" x14ac:dyDescent="0.2"/>
    <row r="5638" ht="16" x14ac:dyDescent="0.2"/>
    <row r="5639" ht="16" x14ac:dyDescent="0.2"/>
    <row r="5640" ht="16" x14ac:dyDescent="0.2"/>
    <row r="5641" ht="16" x14ac:dyDescent="0.2"/>
    <row r="5642" ht="16" x14ac:dyDescent="0.2"/>
    <row r="5643" ht="16" x14ac:dyDescent="0.2"/>
    <row r="5644" ht="16" x14ac:dyDescent="0.2"/>
    <row r="5645" ht="16" x14ac:dyDescent="0.2"/>
    <row r="5646" ht="16" x14ac:dyDescent="0.2"/>
    <row r="5647" ht="16" x14ac:dyDescent="0.2"/>
    <row r="5648" ht="16" x14ac:dyDescent="0.2"/>
    <row r="5649" ht="16" x14ac:dyDescent="0.2"/>
    <row r="5650" ht="16" x14ac:dyDescent="0.2"/>
    <row r="5651" ht="16" x14ac:dyDescent="0.2"/>
    <row r="5652" ht="16" x14ac:dyDescent="0.2"/>
    <row r="5653" ht="16" x14ac:dyDescent="0.2"/>
    <row r="5654" ht="16" x14ac:dyDescent="0.2"/>
    <row r="5655" ht="16" x14ac:dyDescent="0.2"/>
    <row r="5656" ht="16" x14ac:dyDescent="0.2"/>
    <row r="5657" ht="16" x14ac:dyDescent="0.2"/>
    <row r="5658" ht="16" x14ac:dyDescent="0.2"/>
    <row r="5659" ht="16" x14ac:dyDescent="0.2"/>
    <row r="5660" ht="16" x14ac:dyDescent="0.2"/>
    <row r="5661" ht="16" x14ac:dyDescent="0.2"/>
    <row r="5662" ht="16" x14ac:dyDescent="0.2"/>
    <row r="5663" ht="16" x14ac:dyDescent="0.2"/>
    <row r="5664" ht="16" x14ac:dyDescent="0.2"/>
    <row r="5665" ht="16" x14ac:dyDescent="0.2"/>
    <row r="5666" ht="16" x14ac:dyDescent="0.2"/>
    <row r="5667" ht="16" x14ac:dyDescent="0.2"/>
    <row r="5668" ht="16" x14ac:dyDescent="0.2"/>
    <row r="5669" ht="16" x14ac:dyDescent="0.2"/>
    <row r="5670" ht="16" x14ac:dyDescent="0.2"/>
    <row r="5671" ht="16" x14ac:dyDescent="0.2"/>
    <row r="5672" ht="16" x14ac:dyDescent="0.2"/>
    <row r="5673" ht="16" x14ac:dyDescent="0.2"/>
    <row r="5674" ht="16" x14ac:dyDescent="0.2"/>
    <row r="5675" ht="16" x14ac:dyDescent="0.2"/>
    <row r="5676" ht="16" x14ac:dyDescent="0.2"/>
    <row r="5677" ht="16" x14ac:dyDescent="0.2"/>
    <row r="5678" ht="16" x14ac:dyDescent="0.2"/>
    <row r="5679" ht="16" x14ac:dyDescent="0.2"/>
    <row r="5680" ht="16" x14ac:dyDescent="0.2"/>
    <row r="5681" ht="16" x14ac:dyDescent="0.2"/>
    <row r="5682" ht="16" x14ac:dyDescent="0.2"/>
    <row r="5683" ht="16" x14ac:dyDescent="0.2"/>
    <row r="5684" ht="16" x14ac:dyDescent="0.2"/>
    <row r="5685" ht="16" x14ac:dyDescent="0.2"/>
    <row r="5686" ht="16" x14ac:dyDescent="0.2"/>
    <row r="5687" ht="16" x14ac:dyDescent="0.2"/>
    <row r="5688" ht="16" x14ac:dyDescent="0.2"/>
    <row r="5689" ht="16" x14ac:dyDescent="0.2"/>
    <row r="5690" ht="16" x14ac:dyDescent="0.2"/>
    <row r="5691" ht="16" x14ac:dyDescent="0.2"/>
    <row r="5692" ht="16" x14ac:dyDescent="0.2"/>
    <row r="5693" ht="16" x14ac:dyDescent="0.2"/>
    <row r="5694" ht="16" x14ac:dyDescent="0.2"/>
    <row r="5695" ht="16" x14ac:dyDescent="0.2"/>
    <row r="5696" ht="16" x14ac:dyDescent="0.2"/>
    <row r="5697" ht="16" x14ac:dyDescent="0.2"/>
    <row r="5698" ht="16" x14ac:dyDescent="0.2"/>
    <row r="5699" ht="16" x14ac:dyDescent="0.2"/>
    <row r="5700" ht="16" x14ac:dyDescent="0.2"/>
    <row r="5701" ht="16" x14ac:dyDescent="0.2"/>
    <row r="5702" ht="16" x14ac:dyDescent="0.2"/>
    <row r="5703" ht="16" x14ac:dyDescent="0.2"/>
    <row r="5704" ht="16" x14ac:dyDescent="0.2"/>
    <row r="5705" ht="16" x14ac:dyDescent="0.2"/>
    <row r="5706" ht="16" x14ac:dyDescent="0.2"/>
    <row r="5707" ht="16" x14ac:dyDescent="0.2"/>
    <row r="5708" ht="16" x14ac:dyDescent="0.2"/>
    <row r="5709" ht="16" x14ac:dyDescent="0.2"/>
    <row r="5710" ht="16" x14ac:dyDescent="0.2"/>
    <row r="5711" ht="16" x14ac:dyDescent="0.2"/>
    <row r="5712" ht="16" x14ac:dyDescent="0.2"/>
    <row r="5713" ht="16" x14ac:dyDescent="0.2"/>
    <row r="5714" ht="16" x14ac:dyDescent="0.2"/>
    <row r="5715" ht="16" x14ac:dyDescent="0.2"/>
    <row r="5716" ht="16" x14ac:dyDescent="0.2"/>
    <row r="5717" ht="16" x14ac:dyDescent="0.2"/>
    <row r="5718" ht="16" x14ac:dyDescent="0.2"/>
    <row r="5719" ht="16" x14ac:dyDescent="0.2"/>
    <row r="5720" ht="16" x14ac:dyDescent="0.2"/>
    <row r="5721" ht="16" x14ac:dyDescent="0.2"/>
    <row r="5722" ht="16" x14ac:dyDescent="0.2"/>
    <row r="5723" ht="16" x14ac:dyDescent="0.2"/>
    <row r="5724" ht="16" x14ac:dyDescent="0.2"/>
    <row r="5725" ht="16" x14ac:dyDescent="0.2"/>
    <row r="5726" ht="16" x14ac:dyDescent="0.2"/>
    <row r="5727" ht="16" x14ac:dyDescent="0.2"/>
    <row r="5728" ht="16" x14ac:dyDescent="0.2"/>
    <row r="5729" ht="16" x14ac:dyDescent="0.2"/>
    <row r="5730" ht="16" x14ac:dyDescent="0.2"/>
    <row r="5731" ht="16" x14ac:dyDescent="0.2"/>
    <row r="5732" ht="16" x14ac:dyDescent="0.2"/>
    <row r="5733" ht="16" x14ac:dyDescent="0.2"/>
    <row r="5734" ht="16" x14ac:dyDescent="0.2"/>
    <row r="5735" ht="16" x14ac:dyDescent="0.2"/>
    <row r="5736" ht="16" x14ac:dyDescent="0.2"/>
    <row r="5737" ht="16" x14ac:dyDescent="0.2"/>
    <row r="5738" ht="16" x14ac:dyDescent="0.2"/>
    <row r="5739" ht="16" x14ac:dyDescent="0.2"/>
    <row r="5740" ht="16" x14ac:dyDescent="0.2"/>
    <row r="5741" ht="16" x14ac:dyDescent="0.2"/>
    <row r="5742" ht="16" x14ac:dyDescent="0.2"/>
    <row r="5743" ht="16" x14ac:dyDescent="0.2"/>
    <row r="5744" ht="16" x14ac:dyDescent="0.2"/>
    <row r="5745" ht="16" x14ac:dyDescent="0.2"/>
    <row r="5746" ht="16" x14ac:dyDescent="0.2"/>
    <row r="5747" ht="16" x14ac:dyDescent="0.2"/>
    <row r="5748" ht="16" x14ac:dyDescent="0.2"/>
    <row r="5749" ht="16" x14ac:dyDescent="0.2"/>
    <row r="5750" ht="16" x14ac:dyDescent="0.2"/>
    <row r="5751" ht="16" x14ac:dyDescent="0.2"/>
    <row r="5752" ht="16" x14ac:dyDescent="0.2"/>
    <row r="5753" ht="16" x14ac:dyDescent="0.2"/>
    <row r="5754" ht="16" x14ac:dyDescent="0.2"/>
    <row r="5755" ht="16" x14ac:dyDescent="0.2"/>
    <row r="5756" ht="16" x14ac:dyDescent="0.2"/>
    <row r="5757" ht="16" x14ac:dyDescent="0.2"/>
    <row r="5758" ht="16" x14ac:dyDescent="0.2"/>
    <row r="5759" ht="16" x14ac:dyDescent="0.2"/>
    <row r="5760" ht="16" x14ac:dyDescent="0.2"/>
    <row r="5761" ht="16" x14ac:dyDescent="0.2"/>
    <row r="5762" ht="16" x14ac:dyDescent="0.2"/>
    <row r="5763" ht="16" x14ac:dyDescent="0.2"/>
    <row r="5764" ht="16" x14ac:dyDescent="0.2"/>
    <row r="5765" ht="16" x14ac:dyDescent="0.2"/>
    <row r="5766" ht="16" x14ac:dyDescent="0.2"/>
    <row r="5767" ht="16" x14ac:dyDescent="0.2"/>
    <row r="5768" ht="16" x14ac:dyDescent="0.2"/>
    <row r="5769" ht="16" x14ac:dyDescent="0.2"/>
    <row r="5770" ht="16" x14ac:dyDescent="0.2"/>
    <row r="5771" ht="16" x14ac:dyDescent="0.2"/>
    <row r="5772" ht="16" x14ac:dyDescent="0.2"/>
    <row r="5773" ht="16" x14ac:dyDescent="0.2"/>
    <row r="5774" ht="16" x14ac:dyDescent="0.2"/>
    <row r="5775" ht="16" x14ac:dyDescent="0.2"/>
    <row r="5776" ht="16" x14ac:dyDescent="0.2"/>
    <row r="5777" ht="16" x14ac:dyDescent="0.2"/>
    <row r="5778" ht="16" x14ac:dyDescent="0.2"/>
    <row r="5779" ht="16" x14ac:dyDescent="0.2"/>
    <row r="5780" ht="16" x14ac:dyDescent="0.2"/>
    <row r="5781" ht="16" x14ac:dyDescent="0.2"/>
    <row r="5782" ht="16" x14ac:dyDescent="0.2"/>
    <row r="5783" ht="16" x14ac:dyDescent="0.2"/>
    <row r="5784" ht="16" x14ac:dyDescent="0.2"/>
    <row r="5785" ht="16" x14ac:dyDescent="0.2"/>
    <row r="5786" ht="16" x14ac:dyDescent="0.2"/>
    <row r="5787" ht="16" x14ac:dyDescent="0.2"/>
    <row r="5788" ht="16" x14ac:dyDescent="0.2"/>
    <row r="5789" ht="16" x14ac:dyDescent="0.2"/>
    <row r="5790" ht="16" x14ac:dyDescent="0.2"/>
    <row r="5791" ht="16" x14ac:dyDescent="0.2"/>
    <row r="5792" ht="16" x14ac:dyDescent="0.2"/>
    <row r="5793" ht="16" x14ac:dyDescent="0.2"/>
    <row r="5794" ht="16" x14ac:dyDescent="0.2"/>
    <row r="5795" ht="16" x14ac:dyDescent="0.2"/>
    <row r="5796" ht="16" x14ac:dyDescent="0.2"/>
    <row r="5797" ht="16" x14ac:dyDescent="0.2"/>
    <row r="5798" ht="16" x14ac:dyDescent="0.2"/>
    <row r="5799" ht="16" x14ac:dyDescent="0.2"/>
    <row r="5800" ht="16" x14ac:dyDescent="0.2"/>
    <row r="5801" ht="16" x14ac:dyDescent="0.2"/>
    <row r="5802" ht="16" x14ac:dyDescent="0.2"/>
    <row r="5803" ht="16" x14ac:dyDescent="0.2"/>
    <row r="5804" ht="16" x14ac:dyDescent="0.2"/>
    <row r="5805" ht="16" x14ac:dyDescent="0.2"/>
    <row r="5806" ht="16" x14ac:dyDescent="0.2"/>
    <row r="5807" ht="16" x14ac:dyDescent="0.2"/>
    <row r="5808" ht="16" x14ac:dyDescent="0.2"/>
    <row r="5809" ht="16" x14ac:dyDescent="0.2"/>
    <row r="5810" ht="16" x14ac:dyDescent="0.2"/>
    <row r="5811" ht="16" x14ac:dyDescent="0.2"/>
    <row r="5812" ht="16" x14ac:dyDescent="0.2"/>
    <row r="5813" ht="16" x14ac:dyDescent="0.2"/>
    <row r="5814" ht="16" x14ac:dyDescent="0.2"/>
    <row r="5815" ht="16" x14ac:dyDescent="0.2"/>
    <row r="5816" ht="16" x14ac:dyDescent="0.2"/>
    <row r="5817" ht="16" x14ac:dyDescent="0.2"/>
    <row r="5818" ht="16" x14ac:dyDescent="0.2"/>
    <row r="5819" ht="16" x14ac:dyDescent="0.2"/>
    <row r="5820" ht="16" x14ac:dyDescent="0.2"/>
    <row r="5821" ht="16" x14ac:dyDescent="0.2"/>
    <row r="5822" ht="16" x14ac:dyDescent="0.2"/>
    <row r="5823" ht="16" x14ac:dyDescent="0.2"/>
    <row r="5824" ht="16" x14ac:dyDescent="0.2"/>
    <row r="5825" ht="16" x14ac:dyDescent="0.2"/>
    <row r="5826" ht="16" x14ac:dyDescent="0.2"/>
    <row r="5827" ht="16" x14ac:dyDescent="0.2"/>
    <row r="5828" ht="16" x14ac:dyDescent="0.2"/>
    <row r="5829" ht="16" x14ac:dyDescent="0.2"/>
    <row r="5830" ht="16" x14ac:dyDescent="0.2"/>
    <row r="5831" ht="16" x14ac:dyDescent="0.2"/>
    <row r="5832" ht="16" x14ac:dyDescent="0.2"/>
    <row r="5833" ht="16" x14ac:dyDescent="0.2"/>
    <row r="5834" ht="16" x14ac:dyDescent="0.2"/>
    <row r="5835" ht="16" x14ac:dyDescent="0.2"/>
    <row r="5836" ht="16" x14ac:dyDescent="0.2"/>
    <row r="5837" ht="16" x14ac:dyDescent="0.2"/>
    <row r="5838" ht="16" x14ac:dyDescent="0.2"/>
    <row r="5839" ht="16" x14ac:dyDescent="0.2"/>
    <row r="5840" ht="16" x14ac:dyDescent="0.2"/>
    <row r="5841" ht="16" x14ac:dyDescent="0.2"/>
    <row r="5842" ht="16" x14ac:dyDescent="0.2"/>
    <row r="5843" ht="16" x14ac:dyDescent="0.2"/>
    <row r="5844" ht="16" x14ac:dyDescent="0.2"/>
    <row r="5845" ht="16" x14ac:dyDescent="0.2"/>
    <row r="5846" ht="16" x14ac:dyDescent="0.2"/>
    <row r="5847" ht="16" x14ac:dyDescent="0.2"/>
    <row r="5848" ht="16" x14ac:dyDescent="0.2"/>
    <row r="5849" ht="16" x14ac:dyDescent="0.2"/>
    <row r="5850" ht="16" x14ac:dyDescent="0.2"/>
    <row r="5851" ht="16" x14ac:dyDescent="0.2"/>
    <row r="5852" ht="16" x14ac:dyDescent="0.2"/>
    <row r="5853" ht="16" x14ac:dyDescent="0.2"/>
    <row r="5854" ht="16" x14ac:dyDescent="0.2"/>
    <row r="5855" ht="16" x14ac:dyDescent="0.2"/>
    <row r="5856" ht="16" x14ac:dyDescent="0.2"/>
    <row r="5857" ht="16" x14ac:dyDescent="0.2"/>
    <row r="5858" ht="16" x14ac:dyDescent="0.2"/>
    <row r="5859" ht="16" x14ac:dyDescent="0.2"/>
    <row r="5860" ht="16" x14ac:dyDescent="0.2"/>
    <row r="5861" ht="16" x14ac:dyDescent="0.2"/>
    <row r="5862" ht="16" x14ac:dyDescent="0.2"/>
    <row r="5863" ht="16" x14ac:dyDescent="0.2"/>
    <row r="5864" ht="16" x14ac:dyDescent="0.2"/>
    <row r="5865" ht="16" x14ac:dyDescent="0.2"/>
    <row r="5866" ht="16" x14ac:dyDescent="0.2"/>
    <row r="5867" ht="16" x14ac:dyDescent="0.2"/>
    <row r="5868" ht="16" x14ac:dyDescent="0.2"/>
    <row r="5869" ht="16" x14ac:dyDescent="0.2"/>
    <row r="5870" ht="16" x14ac:dyDescent="0.2"/>
    <row r="5871" ht="16" x14ac:dyDescent="0.2"/>
    <row r="5872" ht="16" x14ac:dyDescent="0.2"/>
    <row r="5873" ht="16" x14ac:dyDescent="0.2"/>
    <row r="5874" ht="16" x14ac:dyDescent="0.2"/>
    <row r="5875" ht="16" x14ac:dyDescent="0.2"/>
    <row r="5876" ht="16" x14ac:dyDescent="0.2"/>
    <row r="5877" ht="16" x14ac:dyDescent="0.2"/>
    <row r="5878" ht="16" x14ac:dyDescent="0.2"/>
    <row r="5879" ht="16" x14ac:dyDescent="0.2"/>
    <row r="5880" ht="16" x14ac:dyDescent="0.2"/>
    <row r="5881" ht="16" x14ac:dyDescent="0.2"/>
    <row r="5882" ht="16" x14ac:dyDescent="0.2"/>
    <row r="5883" ht="16" x14ac:dyDescent="0.2"/>
    <row r="5884" ht="16" x14ac:dyDescent="0.2"/>
    <row r="5885" ht="16" x14ac:dyDescent="0.2"/>
    <row r="5886" ht="16" x14ac:dyDescent="0.2"/>
    <row r="5887" ht="16" x14ac:dyDescent="0.2"/>
    <row r="5888" ht="16" x14ac:dyDescent="0.2"/>
    <row r="5889" ht="16" x14ac:dyDescent="0.2"/>
    <row r="5890" ht="16" x14ac:dyDescent="0.2"/>
    <row r="5891" ht="16" x14ac:dyDescent="0.2"/>
    <row r="5892" ht="16" x14ac:dyDescent="0.2"/>
    <row r="5893" ht="16" x14ac:dyDescent="0.2"/>
    <row r="5894" ht="16" x14ac:dyDescent="0.2"/>
    <row r="5895" ht="16" x14ac:dyDescent="0.2"/>
    <row r="5896" ht="16" x14ac:dyDescent="0.2"/>
    <row r="5897" ht="16" x14ac:dyDescent="0.2"/>
    <row r="5898" ht="16" x14ac:dyDescent="0.2"/>
    <row r="5899" ht="16" x14ac:dyDescent="0.2"/>
    <row r="5900" ht="16" x14ac:dyDescent="0.2"/>
    <row r="5901" ht="16" x14ac:dyDescent="0.2"/>
    <row r="5902" ht="16" x14ac:dyDescent="0.2"/>
    <row r="5903" ht="16" x14ac:dyDescent="0.2"/>
    <row r="5904" ht="16" x14ac:dyDescent="0.2"/>
    <row r="5905" ht="16" x14ac:dyDescent="0.2"/>
    <row r="5906" ht="16" x14ac:dyDescent="0.2"/>
    <row r="5907" ht="16" x14ac:dyDescent="0.2"/>
    <row r="5908" ht="16" x14ac:dyDescent="0.2"/>
    <row r="5909" ht="16" x14ac:dyDescent="0.2"/>
    <row r="5910" ht="16" x14ac:dyDescent="0.2"/>
    <row r="5911" ht="16" x14ac:dyDescent="0.2"/>
    <row r="5912" ht="16" x14ac:dyDescent="0.2"/>
    <row r="5913" ht="16" x14ac:dyDescent="0.2"/>
    <row r="5914" ht="16" x14ac:dyDescent="0.2"/>
    <row r="5915" ht="16" x14ac:dyDescent="0.2"/>
    <row r="5916" ht="16" x14ac:dyDescent="0.2"/>
    <row r="5917" ht="16" x14ac:dyDescent="0.2"/>
    <row r="5918" ht="16" x14ac:dyDescent="0.2"/>
    <row r="5919" ht="16" x14ac:dyDescent="0.2"/>
    <row r="5920" ht="16" x14ac:dyDescent="0.2"/>
    <row r="5921" ht="16" x14ac:dyDescent="0.2"/>
    <row r="5922" ht="16" x14ac:dyDescent="0.2"/>
    <row r="5923" ht="16" x14ac:dyDescent="0.2"/>
    <row r="5924" ht="16" x14ac:dyDescent="0.2"/>
    <row r="5925" ht="16" x14ac:dyDescent="0.2"/>
    <row r="5926" ht="16" x14ac:dyDescent="0.2"/>
    <row r="5927" ht="16" x14ac:dyDescent="0.2"/>
    <row r="5928" ht="16" x14ac:dyDescent="0.2"/>
    <row r="5929" ht="16" x14ac:dyDescent="0.2"/>
    <row r="5930" ht="16" x14ac:dyDescent="0.2"/>
    <row r="5931" ht="16" x14ac:dyDescent="0.2"/>
    <row r="5932" ht="16" x14ac:dyDescent="0.2"/>
    <row r="5933" ht="16" x14ac:dyDescent="0.2"/>
    <row r="5934" ht="16" x14ac:dyDescent="0.2"/>
    <row r="5935" ht="16" x14ac:dyDescent="0.2"/>
    <row r="5936" ht="16" x14ac:dyDescent="0.2"/>
    <row r="5937" ht="16" x14ac:dyDescent="0.2"/>
    <row r="5938" ht="16" x14ac:dyDescent="0.2"/>
    <row r="5939" ht="16" x14ac:dyDescent="0.2"/>
    <row r="5940" ht="16" x14ac:dyDescent="0.2"/>
    <row r="5941" ht="16" x14ac:dyDescent="0.2"/>
    <row r="5942" ht="16" x14ac:dyDescent="0.2"/>
    <row r="5943" ht="16" x14ac:dyDescent="0.2"/>
    <row r="5944" ht="16" x14ac:dyDescent="0.2"/>
    <row r="5945" ht="16" x14ac:dyDescent="0.2"/>
    <row r="5946" ht="16" x14ac:dyDescent="0.2"/>
    <row r="5947" ht="16" x14ac:dyDescent="0.2"/>
    <row r="5948" ht="16" x14ac:dyDescent="0.2"/>
    <row r="5949" ht="16" x14ac:dyDescent="0.2"/>
    <row r="5950" ht="16" x14ac:dyDescent="0.2"/>
    <row r="5951" ht="16" x14ac:dyDescent="0.2"/>
    <row r="5952" ht="16" x14ac:dyDescent="0.2"/>
    <row r="5953" ht="16" x14ac:dyDescent="0.2"/>
    <row r="5954" ht="16" x14ac:dyDescent="0.2"/>
    <row r="5955" ht="16" x14ac:dyDescent="0.2"/>
    <row r="5956" ht="16" x14ac:dyDescent="0.2"/>
    <row r="5957" ht="16" x14ac:dyDescent="0.2"/>
    <row r="5958" ht="16" x14ac:dyDescent="0.2"/>
    <row r="5959" ht="16" x14ac:dyDescent="0.2"/>
    <row r="5960" ht="16" x14ac:dyDescent="0.2"/>
    <row r="5961" ht="16" x14ac:dyDescent="0.2"/>
    <row r="5962" ht="16" x14ac:dyDescent="0.2"/>
    <row r="5963" ht="16" x14ac:dyDescent="0.2"/>
    <row r="5964" ht="16" x14ac:dyDescent="0.2"/>
    <row r="5965" ht="16" x14ac:dyDescent="0.2"/>
    <row r="5966" ht="16" x14ac:dyDescent="0.2"/>
    <row r="5967" ht="16" x14ac:dyDescent="0.2"/>
    <row r="5968" ht="16" x14ac:dyDescent="0.2"/>
    <row r="5969" ht="16" x14ac:dyDescent="0.2"/>
    <row r="5970" ht="16" x14ac:dyDescent="0.2"/>
    <row r="5971" ht="16" x14ac:dyDescent="0.2"/>
    <row r="5972" ht="16" x14ac:dyDescent="0.2"/>
    <row r="5973" ht="16" x14ac:dyDescent="0.2"/>
    <row r="5974" ht="16" x14ac:dyDescent="0.2"/>
    <row r="5975" ht="16" x14ac:dyDescent="0.2"/>
    <row r="5976" ht="16" x14ac:dyDescent="0.2"/>
    <row r="5977" ht="16" x14ac:dyDescent="0.2"/>
    <row r="5978" ht="16" x14ac:dyDescent="0.2"/>
    <row r="5979" ht="16" x14ac:dyDescent="0.2"/>
    <row r="5980" ht="16" x14ac:dyDescent="0.2"/>
    <row r="5981" ht="16" x14ac:dyDescent="0.2"/>
    <row r="5982" ht="16" x14ac:dyDescent="0.2"/>
    <row r="5983" ht="16" x14ac:dyDescent="0.2"/>
    <row r="5984" ht="16" x14ac:dyDescent="0.2"/>
    <row r="5985" ht="16" x14ac:dyDescent="0.2"/>
    <row r="5986" ht="16" x14ac:dyDescent="0.2"/>
    <row r="5987" ht="16" x14ac:dyDescent="0.2"/>
    <row r="5988" ht="16" x14ac:dyDescent="0.2"/>
    <row r="5989" ht="16" x14ac:dyDescent="0.2"/>
    <row r="5990" ht="16" x14ac:dyDescent="0.2"/>
    <row r="5991" ht="16" x14ac:dyDescent="0.2"/>
    <row r="5992" ht="16" x14ac:dyDescent="0.2"/>
    <row r="5993" ht="16" x14ac:dyDescent="0.2"/>
    <row r="5994" ht="16" x14ac:dyDescent="0.2"/>
    <row r="5995" ht="16" x14ac:dyDescent="0.2"/>
    <row r="5996" ht="16" x14ac:dyDescent="0.2"/>
    <row r="5997" ht="16" x14ac:dyDescent="0.2"/>
    <row r="5998" ht="16" x14ac:dyDescent="0.2"/>
    <row r="5999" ht="16" x14ac:dyDescent="0.2"/>
    <row r="6000" ht="16" x14ac:dyDescent="0.2"/>
    <row r="6001" ht="16" x14ac:dyDescent="0.2"/>
    <row r="6002" ht="16" x14ac:dyDescent="0.2"/>
    <row r="6003" ht="16" x14ac:dyDescent="0.2"/>
    <row r="6004" ht="16" x14ac:dyDescent="0.2"/>
    <row r="6005" ht="16" x14ac:dyDescent="0.2"/>
    <row r="6006" ht="16" x14ac:dyDescent="0.2"/>
    <row r="6007" ht="16" x14ac:dyDescent="0.2"/>
    <row r="6008" ht="16" x14ac:dyDescent="0.2"/>
    <row r="6009" ht="16" x14ac:dyDescent="0.2"/>
    <row r="6010" ht="16" x14ac:dyDescent="0.2"/>
    <row r="6011" ht="16" x14ac:dyDescent="0.2"/>
    <row r="6012" ht="16" x14ac:dyDescent="0.2"/>
    <row r="6013" ht="16" x14ac:dyDescent="0.2"/>
    <row r="6014" ht="16" x14ac:dyDescent="0.2"/>
    <row r="6015" ht="16" x14ac:dyDescent="0.2"/>
    <row r="6016" ht="16" x14ac:dyDescent="0.2"/>
    <row r="6017" ht="16" x14ac:dyDescent="0.2"/>
    <row r="6018" ht="16" x14ac:dyDescent="0.2"/>
    <row r="6019" ht="16" x14ac:dyDescent="0.2"/>
    <row r="6020" ht="16" x14ac:dyDescent="0.2"/>
    <row r="6021" ht="16" x14ac:dyDescent="0.2"/>
    <row r="6022" ht="16" x14ac:dyDescent="0.2"/>
    <row r="6023" ht="16" x14ac:dyDescent="0.2"/>
    <row r="6024" ht="16" x14ac:dyDescent="0.2"/>
    <row r="6025" ht="16" x14ac:dyDescent="0.2"/>
    <row r="6026" ht="16" x14ac:dyDescent="0.2"/>
    <row r="6027" ht="16" x14ac:dyDescent="0.2"/>
    <row r="6028" ht="16" x14ac:dyDescent="0.2"/>
    <row r="6029" ht="16" x14ac:dyDescent="0.2"/>
    <row r="6030" ht="16" x14ac:dyDescent="0.2"/>
    <row r="6031" ht="16" x14ac:dyDescent="0.2"/>
    <row r="6032" ht="16" x14ac:dyDescent="0.2"/>
    <row r="6033" ht="16" x14ac:dyDescent="0.2"/>
    <row r="6034" ht="16" x14ac:dyDescent="0.2"/>
    <row r="6035" ht="16" x14ac:dyDescent="0.2"/>
    <row r="6036" ht="16" x14ac:dyDescent="0.2"/>
    <row r="6037" ht="16" x14ac:dyDescent="0.2"/>
    <row r="6038" ht="16" x14ac:dyDescent="0.2"/>
    <row r="6039" ht="16" x14ac:dyDescent="0.2"/>
    <row r="6040" ht="16" x14ac:dyDescent="0.2"/>
    <row r="6041" ht="16" x14ac:dyDescent="0.2"/>
    <row r="6042" ht="16" x14ac:dyDescent="0.2"/>
    <row r="6043" ht="16" x14ac:dyDescent="0.2"/>
    <row r="6044" ht="16" x14ac:dyDescent="0.2"/>
    <row r="6045" ht="16" x14ac:dyDescent="0.2"/>
    <row r="6046" ht="16" x14ac:dyDescent="0.2"/>
    <row r="6047" ht="16" x14ac:dyDescent="0.2"/>
    <row r="6048" ht="16" x14ac:dyDescent="0.2"/>
    <row r="6049" ht="16" x14ac:dyDescent="0.2"/>
    <row r="6050" ht="16" x14ac:dyDescent="0.2"/>
    <row r="6051" ht="16" x14ac:dyDescent="0.2"/>
    <row r="6052" ht="16" x14ac:dyDescent="0.2"/>
    <row r="6053" ht="16" x14ac:dyDescent="0.2"/>
    <row r="6054" ht="16" x14ac:dyDescent="0.2"/>
    <row r="6055" ht="16" x14ac:dyDescent="0.2"/>
    <row r="6056" ht="16" x14ac:dyDescent="0.2"/>
    <row r="6057" ht="16" x14ac:dyDescent="0.2"/>
    <row r="6058" ht="16" x14ac:dyDescent="0.2"/>
    <row r="6059" ht="16" x14ac:dyDescent="0.2"/>
    <row r="6060" ht="16" x14ac:dyDescent="0.2"/>
    <row r="6061" ht="16" x14ac:dyDescent="0.2"/>
    <row r="6062" ht="16" x14ac:dyDescent="0.2"/>
    <row r="6063" ht="16" x14ac:dyDescent="0.2"/>
    <row r="6064" ht="16" x14ac:dyDescent="0.2"/>
    <row r="6065" ht="16" x14ac:dyDescent="0.2"/>
    <row r="6066" ht="16" x14ac:dyDescent="0.2"/>
    <row r="6067" ht="16" x14ac:dyDescent="0.2"/>
    <row r="6068" ht="16" x14ac:dyDescent="0.2"/>
    <row r="6069" ht="16" x14ac:dyDescent="0.2"/>
    <row r="6070" ht="16" x14ac:dyDescent="0.2"/>
    <row r="6071" ht="16" x14ac:dyDescent="0.2"/>
    <row r="6072" ht="16" x14ac:dyDescent="0.2"/>
    <row r="6073" ht="16" x14ac:dyDescent="0.2"/>
    <row r="6074" ht="16" x14ac:dyDescent="0.2"/>
    <row r="6075" ht="16" x14ac:dyDescent="0.2"/>
    <row r="6076" ht="16" x14ac:dyDescent="0.2"/>
    <row r="6077" ht="16" x14ac:dyDescent="0.2"/>
    <row r="6078" ht="16" x14ac:dyDescent="0.2"/>
    <row r="6079" ht="16" x14ac:dyDescent="0.2"/>
    <row r="6080" ht="16" x14ac:dyDescent="0.2"/>
    <row r="6081" ht="16" x14ac:dyDescent="0.2"/>
    <row r="6082" ht="16" x14ac:dyDescent="0.2"/>
    <row r="6083" ht="16" x14ac:dyDescent="0.2"/>
    <row r="6084" ht="16" x14ac:dyDescent="0.2"/>
    <row r="6085" ht="16" x14ac:dyDescent="0.2"/>
    <row r="6086" ht="16" x14ac:dyDescent="0.2"/>
    <row r="6087" ht="16" x14ac:dyDescent="0.2"/>
    <row r="6088" ht="16" x14ac:dyDescent="0.2"/>
    <row r="6089" ht="16" x14ac:dyDescent="0.2"/>
    <row r="6090" ht="16" x14ac:dyDescent="0.2"/>
    <row r="6091" ht="16" x14ac:dyDescent="0.2"/>
    <row r="6092" ht="16" x14ac:dyDescent="0.2"/>
    <row r="6093" ht="16" x14ac:dyDescent="0.2"/>
    <row r="6094" ht="16" x14ac:dyDescent="0.2"/>
    <row r="6095" ht="16" x14ac:dyDescent="0.2"/>
    <row r="6096" ht="16" x14ac:dyDescent="0.2"/>
    <row r="6097" ht="16" x14ac:dyDescent="0.2"/>
    <row r="6098" ht="16" x14ac:dyDescent="0.2"/>
    <row r="6099" ht="16" x14ac:dyDescent="0.2"/>
    <row r="6100" ht="16" x14ac:dyDescent="0.2"/>
    <row r="6101" ht="16" x14ac:dyDescent="0.2"/>
    <row r="6102" ht="16" x14ac:dyDescent="0.2"/>
    <row r="6103" ht="16" x14ac:dyDescent="0.2"/>
    <row r="6104" ht="16" x14ac:dyDescent="0.2"/>
    <row r="6105" ht="16" x14ac:dyDescent="0.2"/>
    <row r="6106" ht="16" x14ac:dyDescent="0.2"/>
    <row r="6107" ht="16" x14ac:dyDescent="0.2"/>
    <row r="6108" ht="16" x14ac:dyDescent="0.2"/>
    <row r="6109" ht="16" x14ac:dyDescent="0.2"/>
    <row r="6110" ht="16" x14ac:dyDescent="0.2"/>
    <row r="6111" ht="16" x14ac:dyDescent="0.2"/>
    <row r="6112" ht="16" x14ac:dyDescent="0.2"/>
    <row r="6113" ht="16" x14ac:dyDescent="0.2"/>
    <row r="6114" ht="16" x14ac:dyDescent="0.2"/>
    <row r="6115" ht="16" x14ac:dyDescent="0.2"/>
    <row r="6116" ht="16" x14ac:dyDescent="0.2"/>
    <row r="6117" ht="16" x14ac:dyDescent="0.2"/>
    <row r="6118" ht="16" x14ac:dyDescent="0.2"/>
    <row r="6119" ht="16" x14ac:dyDescent="0.2"/>
    <row r="6120" ht="16" x14ac:dyDescent="0.2"/>
    <row r="6121" ht="16" x14ac:dyDescent="0.2"/>
    <row r="6122" ht="16" x14ac:dyDescent="0.2"/>
    <row r="6123" ht="16" x14ac:dyDescent="0.2"/>
    <row r="6124" ht="16" x14ac:dyDescent="0.2"/>
    <row r="6125" ht="16" x14ac:dyDescent="0.2"/>
    <row r="6126" ht="16" x14ac:dyDescent="0.2"/>
    <row r="6127" ht="16" x14ac:dyDescent="0.2"/>
    <row r="6128" ht="16" x14ac:dyDescent="0.2"/>
    <row r="6129" ht="16" x14ac:dyDescent="0.2"/>
    <row r="6130" ht="16" x14ac:dyDescent="0.2"/>
    <row r="6131" ht="16" x14ac:dyDescent="0.2"/>
    <row r="6132" ht="16" x14ac:dyDescent="0.2"/>
    <row r="6133" ht="16" x14ac:dyDescent="0.2"/>
    <row r="6134" ht="16" x14ac:dyDescent="0.2"/>
    <row r="6135" ht="16" x14ac:dyDescent="0.2"/>
    <row r="6136" ht="16" x14ac:dyDescent="0.2"/>
    <row r="6137" ht="16" x14ac:dyDescent="0.2"/>
    <row r="6138" ht="16" x14ac:dyDescent="0.2"/>
    <row r="6139" ht="16" x14ac:dyDescent="0.2"/>
    <row r="6140" ht="16" x14ac:dyDescent="0.2"/>
    <row r="6141" ht="16" x14ac:dyDescent="0.2"/>
    <row r="6142" ht="16" x14ac:dyDescent="0.2"/>
    <row r="6143" ht="16" x14ac:dyDescent="0.2"/>
    <row r="6144" ht="16" x14ac:dyDescent="0.2"/>
    <row r="6145" ht="16" x14ac:dyDescent="0.2"/>
    <row r="6146" ht="16" x14ac:dyDescent="0.2"/>
    <row r="6147" ht="16" x14ac:dyDescent="0.2"/>
    <row r="6148" ht="16" x14ac:dyDescent="0.2"/>
    <row r="6149" ht="16" x14ac:dyDescent="0.2"/>
    <row r="6150" ht="16" x14ac:dyDescent="0.2"/>
    <row r="6151" ht="16" x14ac:dyDescent="0.2"/>
    <row r="6152" ht="16" x14ac:dyDescent="0.2"/>
    <row r="6153" ht="16" x14ac:dyDescent="0.2"/>
    <row r="6154" ht="16" x14ac:dyDescent="0.2"/>
    <row r="6155" ht="16" x14ac:dyDescent="0.2"/>
    <row r="6156" ht="16" x14ac:dyDescent="0.2"/>
    <row r="6157" ht="16" x14ac:dyDescent="0.2"/>
    <row r="6158" ht="16" x14ac:dyDescent="0.2"/>
    <row r="6159" ht="16" x14ac:dyDescent="0.2"/>
    <row r="6160" ht="16" x14ac:dyDescent="0.2"/>
    <row r="6161" ht="16" x14ac:dyDescent="0.2"/>
    <row r="6162" ht="16" x14ac:dyDescent="0.2"/>
    <row r="6163" ht="16" x14ac:dyDescent="0.2"/>
    <row r="6164" ht="16" x14ac:dyDescent="0.2"/>
    <row r="6165" ht="16" x14ac:dyDescent="0.2"/>
    <row r="6166" ht="16" x14ac:dyDescent="0.2"/>
    <row r="6167" ht="16" x14ac:dyDescent="0.2"/>
    <row r="6168" ht="16" x14ac:dyDescent="0.2"/>
    <row r="6169" ht="16" x14ac:dyDescent="0.2"/>
    <row r="6170" ht="16" x14ac:dyDescent="0.2"/>
    <row r="6171" ht="16" x14ac:dyDescent="0.2"/>
    <row r="6172" ht="16" x14ac:dyDescent="0.2"/>
    <row r="6173" ht="16" x14ac:dyDescent="0.2"/>
    <row r="6174" ht="16" x14ac:dyDescent="0.2"/>
    <row r="6175" ht="16" x14ac:dyDescent="0.2"/>
    <row r="6176" ht="16" x14ac:dyDescent="0.2"/>
    <row r="6177" ht="16" x14ac:dyDescent="0.2"/>
    <row r="6178" ht="16" x14ac:dyDescent="0.2"/>
    <row r="6179" ht="16" x14ac:dyDescent="0.2"/>
    <row r="6180" ht="16" x14ac:dyDescent="0.2"/>
    <row r="6181" ht="16" x14ac:dyDescent="0.2"/>
    <row r="6182" ht="16" x14ac:dyDescent="0.2"/>
    <row r="6183" ht="16" x14ac:dyDescent="0.2"/>
    <row r="6184" ht="16" x14ac:dyDescent="0.2"/>
    <row r="6185" ht="16" x14ac:dyDescent="0.2"/>
    <row r="6186" ht="16" x14ac:dyDescent="0.2"/>
    <row r="6187" ht="16" x14ac:dyDescent="0.2"/>
    <row r="6188" ht="16" x14ac:dyDescent="0.2"/>
    <row r="6189" ht="16" x14ac:dyDescent="0.2"/>
    <row r="6190" ht="16" x14ac:dyDescent="0.2"/>
    <row r="6191" ht="16" x14ac:dyDescent="0.2"/>
    <row r="6192" ht="16" x14ac:dyDescent="0.2"/>
    <row r="6193" ht="16" x14ac:dyDescent="0.2"/>
    <row r="6194" ht="16" x14ac:dyDescent="0.2"/>
    <row r="6195" ht="16" x14ac:dyDescent="0.2"/>
    <row r="6196" ht="16" x14ac:dyDescent="0.2"/>
    <row r="6197" ht="16" x14ac:dyDescent="0.2"/>
    <row r="6198" ht="16" x14ac:dyDescent="0.2"/>
    <row r="6199" ht="16" x14ac:dyDescent="0.2"/>
    <row r="6200" ht="16" x14ac:dyDescent="0.2"/>
    <row r="6201" ht="16" x14ac:dyDescent="0.2"/>
    <row r="6202" ht="16" x14ac:dyDescent="0.2"/>
    <row r="6203" ht="16" x14ac:dyDescent="0.2"/>
    <row r="6204" ht="16" x14ac:dyDescent="0.2"/>
    <row r="6205" ht="16" x14ac:dyDescent="0.2"/>
    <row r="6206" ht="16" x14ac:dyDescent="0.2"/>
    <row r="6207" ht="16" x14ac:dyDescent="0.2"/>
    <row r="6208" ht="16" x14ac:dyDescent="0.2"/>
    <row r="6209" ht="16" x14ac:dyDescent="0.2"/>
    <row r="6210" ht="16" x14ac:dyDescent="0.2"/>
    <row r="6211" ht="16" x14ac:dyDescent="0.2"/>
    <row r="6212" ht="16" x14ac:dyDescent="0.2"/>
    <row r="6213" ht="16" x14ac:dyDescent="0.2"/>
    <row r="6214" ht="16" x14ac:dyDescent="0.2"/>
    <row r="6215" ht="16" x14ac:dyDescent="0.2"/>
    <row r="6216" ht="16" x14ac:dyDescent="0.2"/>
    <row r="6217" ht="16" x14ac:dyDescent="0.2"/>
    <row r="6218" ht="16" x14ac:dyDescent="0.2"/>
    <row r="6219" ht="16" x14ac:dyDescent="0.2"/>
    <row r="6220" ht="16" x14ac:dyDescent="0.2"/>
    <row r="6221" ht="16" x14ac:dyDescent="0.2"/>
    <row r="6222" ht="16" x14ac:dyDescent="0.2"/>
    <row r="6223" ht="16" x14ac:dyDescent="0.2"/>
    <row r="6224" ht="16" x14ac:dyDescent="0.2"/>
    <row r="6225" ht="16" x14ac:dyDescent="0.2"/>
    <row r="6226" ht="16" x14ac:dyDescent="0.2"/>
    <row r="6227" ht="16" x14ac:dyDescent="0.2"/>
    <row r="6228" ht="16" x14ac:dyDescent="0.2"/>
    <row r="6229" ht="16" x14ac:dyDescent="0.2"/>
    <row r="6230" ht="16" x14ac:dyDescent="0.2"/>
    <row r="6231" ht="16" x14ac:dyDescent="0.2"/>
    <row r="6232" ht="16" x14ac:dyDescent="0.2"/>
    <row r="6233" ht="16" x14ac:dyDescent="0.2"/>
    <row r="6234" ht="16" x14ac:dyDescent="0.2"/>
    <row r="6235" ht="16" x14ac:dyDescent="0.2"/>
    <row r="6236" ht="16" x14ac:dyDescent="0.2"/>
    <row r="6237" ht="16" x14ac:dyDescent="0.2"/>
    <row r="6238" ht="16" x14ac:dyDescent="0.2"/>
    <row r="6239" ht="16" x14ac:dyDescent="0.2"/>
    <row r="6240" ht="16" x14ac:dyDescent="0.2"/>
    <row r="6241" ht="16" x14ac:dyDescent="0.2"/>
    <row r="6242" ht="16" x14ac:dyDescent="0.2"/>
    <row r="6243" ht="16" x14ac:dyDescent="0.2"/>
    <row r="6244" ht="16" x14ac:dyDescent="0.2"/>
    <row r="6245" ht="16" x14ac:dyDescent="0.2"/>
    <row r="6246" ht="16" x14ac:dyDescent="0.2"/>
    <row r="6247" ht="16" x14ac:dyDescent="0.2"/>
    <row r="6248" ht="16" x14ac:dyDescent="0.2"/>
    <row r="6249" ht="16" x14ac:dyDescent="0.2"/>
    <row r="6250" ht="16" x14ac:dyDescent="0.2"/>
    <row r="6251" ht="16" x14ac:dyDescent="0.2"/>
    <row r="6252" ht="16" x14ac:dyDescent="0.2"/>
    <row r="6253" ht="16" x14ac:dyDescent="0.2"/>
    <row r="6254" ht="16" x14ac:dyDescent="0.2"/>
    <row r="6255" ht="16" x14ac:dyDescent="0.2"/>
    <row r="6256" ht="16" x14ac:dyDescent="0.2"/>
    <row r="6257" ht="16" x14ac:dyDescent="0.2"/>
    <row r="6258" ht="16" x14ac:dyDescent="0.2"/>
    <row r="6259" ht="16" x14ac:dyDescent="0.2"/>
    <row r="6260" ht="16" x14ac:dyDescent="0.2"/>
    <row r="6261" ht="16" x14ac:dyDescent="0.2"/>
    <row r="6262" ht="16" x14ac:dyDescent="0.2"/>
    <row r="6263" ht="16" x14ac:dyDescent="0.2"/>
    <row r="6264" ht="16" x14ac:dyDescent="0.2"/>
    <row r="6265" ht="16" x14ac:dyDescent="0.2"/>
    <row r="6266" ht="16" x14ac:dyDescent="0.2"/>
    <row r="6267" ht="16" x14ac:dyDescent="0.2"/>
    <row r="6268" ht="16" x14ac:dyDescent="0.2"/>
    <row r="6269" ht="16" x14ac:dyDescent="0.2"/>
    <row r="6270" ht="16" x14ac:dyDescent="0.2"/>
    <row r="6271" ht="16" x14ac:dyDescent="0.2"/>
    <row r="6272" ht="16" x14ac:dyDescent="0.2"/>
    <row r="6273" ht="16" x14ac:dyDescent="0.2"/>
    <row r="6274" ht="16" x14ac:dyDescent="0.2"/>
    <row r="6275" ht="16" x14ac:dyDescent="0.2"/>
    <row r="6276" ht="16" x14ac:dyDescent="0.2"/>
    <row r="6277" ht="16" x14ac:dyDescent="0.2"/>
    <row r="6278" ht="16" x14ac:dyDescent="0.2"/>
    <row r="6279" ht="16" x14ac:dyDescent="0.2"/>
    <row r="6280" ht="16" x14ac:dyDescent="0.2"/>
    <row r="6281" ht="16" x14ac:dyDescent="0.2"/>
    <row r="6282" ht="16" x14ac:dyDescent="0.2"/>
    <row r="6283" ht="16" x14ac:dyDescent="0.2"/>
    <row r="6284" ht="16" x14ac:dyDescent="0.2"/>
    <row r="6285" ht="16" x14ac:dyDescent="0.2"/>
    <row r="6286" ht="16" x14ac:dyDescent="0.2"/>
    <row r="6287" ht="16" x14ac:dyDescent="0.2"/>
    <row r="6288" ht="16" x14ac:dyDescent="0.2"/>
    <row r="6289" ht="16" x14ac:dyDescent="0.2"/>
    <row r="6290" ht="16" x14ac:dyDescent="0.2"/>
    <row r="6291" ht="16" x14ac:dyDescent="0.2"/>
    <row r="6292" ht="16" x14ac:dyDescent="0.2"/>
    <row r="6293" ht="16" x14ac:dyDescent="0.2"/>
    <row r="6294" ht="16" x14ac:dyDescent="0.2"/>
    <row r="6295" ht="16" x14ac:dyDescent="0.2"/>
    <row r="6296" ht="16" x14ac:dyDescent="0.2"/>
    <row r="6297" ht="16" x14ac:dyDescent="0.2"/>
    <row r="6298" ht="16" x14ac:dyDescent="0.2"/>
    <row r="6299" ht="16" x14ac:dyDescent="0.2"/>
    <row r="6300" ht="16" x14ac:dyDescent="0.2"/>
    <row r="6301" ht="16" x14ac:dyDescent="0.2"/>
    <row r="6302" ht="16" x14ac:dyDescent="0.2"/>
    <row r="6303" ht="16" x14ac:dyDescent="0.2"/>
    <row r="6304" ht="16" x14ac:dyDescent="0.2"/>
    <row r="6305" ht="16" x14ac:dyDescent="0.2"/>
    <row r="6306" ht="16" x14ac:dyDescent="0.2"/>
    <row r="6307" ht="16" x14ac:dyDescent="0.2"/>
    <row r="6308" ht="16" x14ac:dyDescent="0.2"/>
    <row r="6309" ht="16" x14ac:dyDescent="0.2"/>
    <row r="6310" ht="16" x14ac:dyDescent="0.2"/>
    <row r="6311" ht="16" x14ac:dyDescent="0.2"/>
    <row r="6312" ht="16" x14ac:dyDescent="0.2"/>
    <row r="6313" ht="16" x14ac:dyDescent="0.2"/>
    <row r="6314" ht="16" x14ac:dyDescent="0.2"/>
    <row r="6315" ht="16" x14ac:dyDescent="0.2"/>
    <row r="6316" ht="16" x14ac:dyDescent="0.2"/>
    <row r="6317" ht="16" x14ac:dyDescent="0.2"/>
    <row r="6318" ht="16" x14ac:dyDescent="0.2"/>
    <row r="6319" ht="16" x14ac:dyDescent="0.2"/>
    <row r="6320" ht="16" x14ac:dyDescent="0.2"/>
    <row r="6321" ht="16" x14ac:dyDescent="0.2"/>
    <row r="6322" ht="16" x14ac:dyDescent="0.2"/>
    <row r="6323" ht="16" x14ac:dyDescent="0.2"/>
    <row r="6324" ht="16" x14ac:dyDescent="0.2"/>
    <row r="6325" ht="16" x14ac:dyDescent="0.2"/>
    <row r="6326" ht="16" x14ac:dyDescent="0.2"/>
    <row r="6327" ht="16" x14ac:dyDescent="0.2"/>
    <row r="6328" ht="16" x14ac:dyDescent="0.2"/>
    <row r="6329" ht="16" x14ac:dyDescent="0.2"/>
    <row r="6330" ht="16" x14ac:dyDescent="0.2"/>
    <row r="6331" ht="16" x14ac:dyDescent="0.2"/>
    <row r="6332" ht="16" x14ac:dyDescent="0.2"/>
    <row r="6333" ht="16" x14ac:dyDescent="0.2"/>
    <row r="6334" ht="16" x14ac:dyDescent="0.2"/>
    <row r="6335" ht="16" x14ac:dyDescent="0.2"/>
    <row r="6336" ht="16" x14ac:dyDescent="0.2"/>
    <row r="6337" ht="16" x14ac:dyDescent="0.2"/>
    <row r="6338" ht="16" x14ac:dyDescent="0.2"/>
    <row r="6339" ht="16" x14ac:dyDescent="0.2"/>
    <row r="6340" ht="16" x14ac:dyDescent="0.2"/>
    <row r="6341" ht="16" x14ac:dyDescent="0.2"/>
    <row r="6342" ht="16" x14ac:dyDescent="0.2"/>
    <row r="6343" ht="16" x14ac:dyDescent="0.2"/>
    <row r="6344" ht="16" x14ac:dyDescent="0.2"/>
    <row r="6345" ht="16" x14ac:dyDescent="0.2"/>
    <row r="6346" ht="16" x14ac:dyDescent="0.2"/>
    <row r="6347" ht="16" x14ac:dyDescent="0.2"/>
    <row r="6348" ht="16" x14ac:dyDescent="0.2"/>
    <row r="6349" ht="16" x14ac:dyDescent="0.2"/>
    <row r="6350" ht="16" x14ac:dyDescent="0.2"/>
    <row r="6351" ht="16" x14ac:dyDescent="0.2"/>
    <row r="6352" ht="16" x14ac:dyDescent="0.2"/>
    <row r="6353" ht="16" x14ac:dyDescent="0.2"/>
    <row r="6354" ht="16" x14ac:dyDescent="0.2"/>
    <row r="6355" ht="16" x14ac:dyDescent="0.2"/>
    <row r="6356" ht="16" x14ac:dyDescent="0.2"/>
    <row r="6357" ht="16" x14ac:dyDescent="0.2"/>
    <row r="6358" ht="16" x14ac:dyDescent="0.2"/>
    <row r="6359" ht="16" x14ac:dyDescent="0.2"/>
    <row r="6360" ht="16" x14ac:dyDescent="0.2"/>
    <row r="6361" ht="16" x14ac:dyDescent="0.2"/>
    <row r="6362" ht="16" x14ac:dyDescent="0.2"/>
    <row r="6363" ht="16" x14ac:dyDescent="0.2"/>
    <row r="6364" ht="16" x14ac:dyDescent="0.2"/>
    <row r="6365" ht="16" x14ac:dyDescent="0.2"/>
    <row r="6366" ht="16" x14ac:dyDescent="0.2"/>
    <row r="6367" ht="16" x14ac:dyDescent="0.2"/>
    <row r="6368" ht="16" x14ac:dyDescent="0.2"/>
    <row r="6369" ht="16" x14ac:dyDescent="0.2"/>
    <row r="6370" ht="16" x14ac:dyDescent="0.2"/>
    <row r="6371" ht="16" x14ac:dyDescent="0.2"/>
    <row r="6372" ht="16" x14ac:dyDescent="0.2"/>
    <row r="6373" ht="16" x14ac:dyDescent="0.2"/>
    <row r="6374" ht="16" x14ac:dyDescent="0.2"/>
    <row r="6375" ht="16" x14ac:dyDescent="0.2"/>
    <row r="6376" ht="16" x14ac:dyDescent="0.2"/>
    <row r="6377" ht="16" x14ac:dyDescent="0.2"/>
    <row r="6378" ht="16" x14ac:dyDescent="0.2"/>
    <row r="6379" ht="16" x14ac:dyDescent="0.2"/>
    <row r="6380" ht="16" x14ac:dyDescent="0.2"/>
    <row r="6381" ht="16" x14ac:dyDescent="0.2"/>
    <row r="6382" ht="16" x14ac:dyDescent="0.2"/>
    <row r="6383" ht="16" x14ac:dyDescent="0.2"/>
    <row r="6384" ht="16" x14ac:dyDescent="0.2"/>
    <row r="6385" ht="16" x14ac:dyDescent="0.2"/>
    <row r="6386" ht="16" x14ac:dyDescent="0.2"/>
    <row r="6387" ht="16" x14ac:dyDescent="0.2"/>
    <row r="6388" ht="16" x14ac:dyDescent="0.2"/>
    <row r="6389" ht="16" x14ac:dyDescent="0.2"/>
    <row r="6390" ht="16" x14ac:dyDescent="0.2"/>
    <row r="6391" ht="16" x14ac:dyDescent="0.2"/>
    <row r="6392" ht="16" x14ac:dyDescent="0.2"/>
    <row r="6393" ht="16" x14ac:dyDescent="0.2"/>
    <row r="6394" ht="16" x14ac:dyDescent="0.2"/>
    <row r="6395" ht="16" x14ac:dyDescent="0.2"/>
    <row r="6396" ht="16" x14ac:dyDescent="0.2"/>
    <row r="6397" ht="16" x14ac:dyDescent="0.2"/>
    <row r="6398" ht="16" x14ac:dyDescent="0.2"/>
    <row r="6399" ht="16" x14ac:dyDescent="0.2"/>
    <row r="6400" ht="16" x14ac:dyDescent="0.2"/>
    <row r="6401" ht="16" x14ac:dyDescent="0.2"/>
    <row r="6402" ht="16" x14ac:dyDescent="0.2"/>
    <row r="6403" ht="16" x14ac:dyDescent="0.2"/>
    <row r="6404" ht="16" x14ac:dyDescent="0.2"/>
    <row r="6405" ht="16" x14ac:dyDescent="0.2"/>
    <row r="6406" ht="16" x14ac:dyDescent="0.2"/>
    <row r="6407" ht="16" x14ac:dyDescent="0.2"/>
    <row r="6408" ht="16" x14ac:dyDescent="0.2"/>
    <row r="6409" ht="16" x14ac:dyDescent="0.2"/>
    <row r="6410" ht="16" x14ac:dyDescent="0.2"/>
    <row r="6411" ht="16" x14ac:dyDescent="0.2"/>
    <row r="6412" ht="16" x14ac:dyDescent="0.2"/>
    <row r="6413" ht="16" x14ac:dyDescent="0.2"/>
    <row r="6414" ht="16" x14ac:dyDescent="0.2"/>
    <row r="6415" ht="16" x14ac:dyDescent="0.2"/>
    <row r="6416" ht="16" x14ac:dyDescent="0.2"/>
    <row r="6417" ht="16" x14ac:dyDescent="0.2"/>
    <row r="6418" ht="16" x14ac:dyDescent="0.2"/>
    <row r="6419" ht="16" x14ac:dyDescent="0.2"/>
    <row r="6420" ht="16" x14ac:dyDescent="0.2"/>
    <row r="6421" ht="16" x14ac:dyDescent="0.2"/>
    <row r="6422" ht="16" x14ac:dyDescent="0.2"/>
    <row r="6423" ht="16" x14ac:dyDescent="0.2"/>
    <row r="6424" ht="16" x14ac:dyDescent="0.2"/>
    <row r="6425" ht="16" x14ac:dyDescent="0.2"/>
    <row r="6426" ht="16" x14ac:dyDescent="0.2"/>
    <row r="6427" ht="16" x14ac:dyDescent="0.2"/>
    <row r="6428" ht="16" x14ac:dyDescent="0.2"/>
    <row r="6429" ht="16" x14ac:dyDescent="0.2"/>
    <row r="6430" ht="16" x14ac:dyDescent="0.2"/>
    <row r="6431" ht="16" x14ac:dyDescent="0.2"/>
    <row r="6432" ht="16" x14ac:dyDescent="0.2"/>
    <row r="6433" ht="16" x14ac:dyDescent="0.2"/>
    <row r="6434" ht="16" x14ac:dyDescent="0.2"/>
    <row r="6435" ht="16" x14ac:dyDescent="0.2"/>
    <row r="6436" ht="16" x14ac:dyDescent="0.2"/>
    <row r="6437" ht="16" x14ac:dyDescent="0.2"/>
    <row r="6438" ht="16" x14ac:dyDescent="0.2"/>
    <row r="6439" ht="16" x14ac:dyDescent="0.2"/>
    <row r="6440" ht="16" x14ac:dyDescent="0.2"/>
    <row r="6441" ht="16" x14ac:dyDescent="0.2"/>
    <row r="6442" ht="16" x14ac:dyDescent="0.2"/>
    <row r="6443" ht="16" x14ac:dyDescent="0.2"/>
    <row r="6444" ht="16" x14ac:dyDescent="0.2"/>
    <row r="6445" ht="16" x14ac:dyDescent="0.2"/>
    <row r="6446" ht="16" x14ac:dyDescent="0.2"/>
    <row r="6447" ht="16" x14ac:dyDescent="0.2"/>
    <row r="6448" ht="16" x14ac:dyDescent="0.2"/>
    <row r="6449" ht="16" x14ac:dyDescent="0.2"/>
    <row r="6450" ht="16" x14ac:dyDescent="0.2"/>
    <row r="6451" ht="16" x14ac:dyDescent="0.2"/>
    <row r="6452" ht="16" x14ac:dyDescent="0.2"/>
    <row r="6453" ht="16" x14ac:dyDescent="0.2"/>
    <row r="6454" ht="16" x14ac:dyDescent="0.2"/>
    <row r="6455" ht="16" x14ac:dyDescent="0.2"/>
    <row r="6456" ht="16" x14ac:dyDescent="0.2"/>
    <row r="6457" ht="16" x14ac:dyDescent="0.2"/>
    <row r="6458" ht="16" x14ac:dyDescent="0.2"/>
    <row r="6459" ht="16" x14ac:dyDescent="0.2"/>
    <row r="6460" ht="16" x14ac:dyDescent="0.2"/>
    <row r="6461" ht="16" x14ac:dyDescent="0.2"/>
    <row r="6462" ht="16" x14ac:dyDescent="0.2"/>
    <row r="6463" ht="16" x14ac:dyDescent="0.2"/>
    <row r="6464" ht="16" x14ac:dyDescent="0.2"/>
    <row r="6465" ht="16" x14ac:dyDescent="0.2"/>
    <row r="6466" ht="16" x14ac:dyDescent="0.2"/>
    <row r="6467" ht="16" x14ac:dyDescent="0.2"/>
    <row r="6468" ht="16" x14ac:dyDescent="0.2"/>
    <row r="6469" ht="16" x14ac:dyDescent="0.2"/>
    <row r="6470" ht="16" x14ac:dyDescent="0.2"/>
    <row r="6471" ht="16" x14ac:dyDescent="0.2"/>
    <row r="6472" ht="16" x14ac:dyDescent="0.2"/>
    <row r="6473" ht="16" x14ac:dyDescent="0.2"/>
    <row r="6474" ht="16" x14ac:dyDescent="0.2"/>
    <row r="6475" ht="16" x14ac:dyDescent="0.2"/>
    <row r="6476" ht="16" x14ac:dyDescent="0.2"/>
    <row r="6477" ht="16" x14ac:dyDescent="0.2"/>
    <row r="6478" ht="16" x14ac:dyDescent="0.2"/>
    <row r="6479" ht="16" x14ac:dyDescent="0.2"/>
    <row r="6480" ht="16" x14ac:dyDescent="0.2"/>
    <row r="6481" ht="16" x14ac:dyDescent="0.2"/>
    <row r="6482" ht="16" x14ac:dyDescent="0.2"/>
    <row r="6483" ht="16" x14ac:dyDescent="0.2"/>
    <row r="6484" ht="16" x14ac:dyDescent="0.2"/>
    <row r="6485" ht="16" x14ac:dyDescent="0.2"/>
    <row r="6486" ht="16" x14ac:dyDescent="0.2"/>
    <row r="6487" ht="16" x14ac:dyDescent="0.2"/>
    <row r="6488" ht="16" x14ac:dyDescent="0.2"/>
    <row r="6489" ht="16" x14ac:dyDescent="0.2"/>
    <row r="6490" ht="16" x14ac:dyDescent="0.2"/>
    <row r="6491" ht="16" x14ac:dyDescent="0.2"/>
    <row r="6492" ht="16" x14ac:dyDescent="0.2"/>
    <row r="6493" ht="16" x14ac:dyDescent="0.2"/>
    <row r="6494" ht="16" x14ac:dyDescent="0.2"/>
    <row r="6495" ht="16" x14ac:dyDescent="0.2"/>
    <row r="6496" ht="16" x14ac:dyDescent="0.2"/>
    <row r="6497" ht="16" x14ac:dyDescent="0.2"/>
    <row r="6498" ht="16" x14ac:dyDescent="0.2"/>
    <row r="6499" ht="16" x14ac:dyDescent="0.2"/>
    <row r="6500" ht="16" x14ac:dyDescent="0.2"/>
    <row r="6501" ht="16" x14ac:dyDescent="0.2"/>
    <row r="6502" ht="16" x14ac:dyDescent="0.2"/>
    <row r="6503" ht="16" x14ac:dyDescent="0.2"/>
    <row r="6504" ht="16" x14ac:dyDescent="0.2"/>
    <row r="6505" ht="16" x14ac:dyDescent="0.2"/>
    <row r="6506" ht="16" x14ac:dyDescent="0.2"/>
    <row r="6507" ht="16" x14ac:dyDescent="0.2"/>
    <row r="6508" ht="16" x14ac:dyDescent="0.2"/>
    <row r="6509" ht="16" x14ac:dyDescent="0.2"/>
    <row r="6510" ht="16" x14ac:dyDescent="0.2"/>
    <row r="6511" ht="16" x14ac:dyDescent="0.2"/>
    <row r="6512" ht="16" x14ac:dyDescent="0.2"/>
    <row r="6513" ht="16" x14ac:dyDescent="0.2"/>
    <row r="6514" ht="16" x14ac:dyDescent="0.2"/>
    <row r="6515" ht="16" x14ac:dyDescent="0.2"/>
    <row r="6516" ht="16" x14ac:dyDescent="0.2"/>
    <row r="6517" ht="16" x14ac:dyDescent="0.2"/>
    <row r="6518" ht="16" x14ac:dyDescent="0.2"/>
    <row r="6519" ht="16" x14ac:dyDescent="0.2"/>
    <row r="6520" ht="16" x14ac:dyDescent="0.2"/>
    <row r="6521" ht="16" x14ac:dyDescent="0.2"/>
    <row r="6522" ht="16" x14ac:dyDescent="0.2"/>
    <row r="6523" ht="16" x14ac:dyDescent="0.2"/>
    <row r="6524" ht="16" x14ac:dyDescent="0.2"/>
    <row r="6525" ht="16" x14ac:dyDescent="0.2"/>
    <row r="6526" ht="16" x14ac:dyDescent="0.2"/>
    <row r="6527" ht="16" x14ac:dyDescent="0.2"/>
    <row r="6528" ht="16" x14ac:dyDescent="0.2"/>
    <row r="6529" ht="16" x14ac:dyDescent="0.2"/>
    <row r="6530" ht="16" x14ac:dyDescent="0.2"/>
    <row r="6531" ht="16" x14ac:dyDescent="0.2"/>
    <row r="6532" ht="16" x14ac:dyDescent="0.2"/>
    <row r="6533" ht="16" x14ac:dyDescent="0.2"/>
    <row r="6534" ht="16" x14ac:dyDescent="0.2"/>
    <row r="6535" ht="16" x14ac:dyDescent="0.2"/>
    <row r="6536" ht="16" x14ac:dyDescent="0.2"/>
    <row r="6537" ht="16" x14ac:dyDescent="0.2"/>
    <row r="6538" ht="16" x14ac:dyDescent="0.2"/>
    <row r="6539" ht="16" x14ac:dyDescent="0.2"/>
    <row r="6540" ht="16" x14ac:dyDescent="0.2"/>
    <row r="6541" ht="16" x14ac:dyDescent="0.2"/>
    <row r="6542" ht="16" x14ac:dyDescent="0.2"/>
    <row r="6543" ht="16" x14ac:dyDescent="0.2"/>
    <row r="6544" ht="16" x14ac:dyDescent="0.2"/>
    <row r="6545" ht="16" x14ac:dyDescent="0.2"/>
    <row r="6546" ht="16" x14ac:dyDescent="0.2"/>
    <row r="6547" ht="16" x14ac:dyDescent="0.2"/>
    <row r="6548" ht="16" x14ac:dyDescent="0.2"/>
    <row r="6549" ht="16" x14ac:dyDescent="0.2"/>
    <row r="6550" ht="16" x14ac:dyDescent="0.2"/>
    <row r="6551" ht="16" x14ac:dyDescent="0.2"/>
    <row r="6552" ht="16" x14ac:dyDescent="0.2"/>
    <row r="6553" ht="16" x14ac:dyDescent="0.2"/>
    <row r="6554" ht="16" x14ac:dyDescent="0.2"/>
    <row r="6555" ht="16" x14ac:dyDescent="0.2"/>
    <row r="6556" ht="16" x14ac:dyDescent="0.2"/>
    <row r="6557" ht="16" x14ac:dyDescent="0.2"/>
    <row r="6558" ht="16" x14ac:dyDescent="0.2"/>
    <row r="6559" ht="16" x14ac:dyDescent="0.2"/>
    <row r="6560" ht="16" x14ac:dyDescent="0.2"/>
    <row r="6561" ht="16" x14ac:dyDescent="0.2"/>
    <row r="6562" ht="16" x14ac:dyDescent="0.2"/>
    <row r="6563" ht="16" x14ac:dyDescent="0.2"/>
    <row r="6564" ht="16" x14ac:dyDescent="0.2"/>
    <row r="6565" ht="16" x14ac:dyDescent="0.2"/>
    <row r="6566" ht="16" x14ac:dyDescent="0.2"/>
    <row r="6567" ht="16" x14ac:dyDescent="0.2"/>
    <row r="6568" ht="16" x14ac:dyDescent="0.2"/>
    <row r="6569" ht="16" x14ac:dyDescent="0.2"/>
    <row r="6570" ht="16" x14ac:dyDescent="0.2"/>
    <row r="6571" ht="16" x14ac:dyDescent="0.2"/>
    <row r="6572" ht="16" x14ac:dyDescent="0.2"/>
    <row r="6573" ht="16" x14ac:dyDescent="0.2"/>
    <row r="6574" ht="16" x14ac:dyDescent="0.2"/>
    <row r="6575" ht="16" x14ac:dyDescent="0.2"/>
    <row r="6576" ht="16" x14ac:dyDescent="0.2"/>
    <row r="6577" ht="16" x14ac:dyDescent="0.2"/>
    <row r="6578" ht="16" x14ac:dyDescent="0.2"/>
    <row r="6579" ht="16" x14ac:dyDescent="0.2"/>
    <row r="6580" ht="16" x14ac:dyDescent="0.2"/>
    <row r="6581" ht="16" x14ac:dyDescent="0.2"/>
    <row r="6582" ht="16" x14ac:dyDescent="0.2"/>
    <row r="6583" ht="16" x14ac:dyDescent="0.2"/>
    <row r="6584" ht="16" x14ac:dyDescent="0.2"/>
    <row r="6585" ht="16" x14ac:dyDescent="0.2"/>
    <row r="6586" ht="16" x14ac:dyDescent="0.2"/>
    <row r="6587" ht="16" x14ac:dyDescent="0.2"/>
    <row r="6588" ht="16" x14ac:dyDescent="0.2"/>
    <row r="6589" ht="16" x14ac:dyDescent="0.2"/>
    <row r="6590" ht="16" x14ac:dyDescent="0.2"/>
    <row r="6591" ht="16" x14ac:dyDescent="0.2"/>
    <row r="6592" ht="16" x14ac:dyDescent="0.2"/>
    <row r="6593" ht="16" x14ac:dyDescent="0.2"/>
    <row r="6594" ht="16" x14ac:dyDescent="0.2"/>
    <row r="6595" ht="16" x14ac:dyDescent="0.2"/>
    <row r="6596" ht="16" x14ac:dyDescent="0.2"/>
    <row r="6597" ht="16" x14ac:dyDescent="0.2"/>
    <row r="6598" ht="16" x14ac:dyDescent="0.2"/>
    <row r="6599" ht="16" x14ac:dyDescent="0.2"/>
    <row r="6600" ht="16" x14ac:dyDescent="0.2"/>
    <row r="6601" ht="16" x14ac:dyDescent="0.2"/>
    <row r="6602" ht="16" x14ac:dyDescent="0.2"/>
    <row r="6603" ht="16" x14ac:dyDescent="0.2"/>
    <row r="6604" ht="16" x14ac:dyDescent="0.2"/>
    <row r="6605" ht="16" x14ac:dyDescent="0.2"/>
    <row r="6606" ht="16" x14ac:dyDescent="0.2"/>
    <row r="6607" ht="16" x14ac:dyDescent="0.2"/>
    <row r="6608" ht="16" x14ac:dyDescent="0.2"/>
    <row r="6609" ht="16" x14ac:dyDescent="0.2"/>
    <row r="6610" ht="16" x14ac:dyDescent="0.2"/>
    <row r="6611" ht="16" x14ac:dyDescent="0.2"/>
    <row r="6612" ht="16" x14ac:dyDescent="0.2"/>
    <row r="6613" ht="16" x14ac:dyDescent="0.2"/>
    <row r="6614" ht="16" x14ac:dyDescent="0.2"/>
    <row r="6615" ht="16" x14ac:dyDescent="0.2"/>
    <row r="6616" ht="16" x14ac:dyDescent="0.2"/>
    <row r="6617" ht="16" x14ac:dyDescent="0.2"/>
    <row r="6618" ht="16" x14ac:dyDescent="0.2"/>
    <row r="6619" ht="16" x14ac:dyDescent="0.2"/>
    <row r="6620" ht="16" x14ac:dyDescent="0.2"/>
    <row r="6621" ht="16" x14ac:dyDescent="0.2"/>
    <row r="6622" ht="16" x14ac:dyDescent="0.2"/>
    <row r="6623" ht="16" x14ac:dyDescent="0.2"/>
    <row r="6624" ht="16" x14ac:dyDescent="0.2"/>
    <row r="6625" ht="16" x14ac:dyDescent="0.2"/>
    <row r="6626" ht="16" x14ac:dyDescent="0.2"/>
    <row r="6627" ht="16" x14ac:dyDescent="0.2"/>
    <row r="6628" ht="16" x14ac:dyDescent="0.2"/>
    <row r="6629" ht="16" x14ac:dyDescent="0.2"/>
    <row r="6630" ht="16" x14ac:dyDescent="0.2"/>
    <row r="6631" ht="16" x14ac:dyDescent="0.2"/>
    <row r="6632" ht="16" x14ac:dyDescent="0.2"/>
    <row r="6633" ht="16" x14ac:dyDescent="0.2"/>
    <row r="6634" ht="16" x14ac:dyDescent="0.2"/>
    <row r="6635" ht="16" x14ac:dyDescent="0.2"/>
    <row r="6636" ht="16" x14ac:dyDescent="0.2"/>
    <row r="6637" ht="16" x14ac:dyDescent="0.2"/>
    <row r="6638" ht="16" x14ac:dyDescent="0.2"/>
    <row r="6639" ht="16" x14ac:dyDescent="0.2"/>
    <row r="6640" ht="16" x14ac:dyDescent="0.2"/>
    <row r="6641" ht="16" x14ac:dyDescent="0.2"/>
    <row r="6642" ht="16" x14ac:dyDescent="0.2"/>
    <row r="6643" ht="16" x14ac:dyDescent="0.2"/>
    <row r="6644" ht="16" x14ac:dyDescent="0.2"/>
    <row r="6645" ht="16" x14ac:dyDescent="0.2"/>
    <row r="6646" ht="16" x14ac:dyDescent="0.2"/>
    <row r="6647" ht="16" x14ac:dyDescent="0.2"/>
    <row r="6648" ht="16" x14ac:dyDescent="0.2"/>
    <row r="6649" ht="16" x14ac:dyDescent="0.2"/>
    <row r="6650" ht="16" x14ac:dyDescent="0.2"/>
    <row r="6651" ht="16" x14ac:dyDescent="0.2"/>
    <row r="6652" ht="16" x14ac:dyDescent="0.2"/>
    <row r="6653" ht="16" x14ac:dyDescent="0.2"/>
    <row r="6654" ht="16" x14ac:dyDescent="0.2"/>
    <row r="6655" ht="16" x14ac:dyDescent="0.2"/>
    <row r="6656" ht="16" x14ac:dyDescent="0.2"/>
    <row r="6657" ht="16" x14ac:dyDescent="0.2"/>
    <row r="6658" ht="16" x14ac:dyDescent="0.2"/>
    <row r="6659" ht="16" x14ac:dyDescent="0.2"/>
    <row r="6660" ht="16" x14ac:dyDescent="0.2"/>
    <row r="6661" ht="16" x14ac:dyDescent="0.2"/>
    <row r="6662" ht="16" x14ac:dyDescent="0.2"/>
    <row r="6663" ht="16" x14ac:dyDescent="0.2"/>
    <row r="6664" ht="16" x14ac:dyDescent="0.2"/>
    <row r="6665" ht="16" x14ac:dyDescent="0.2"/>
    <row r="6666" ht="16" x14ac:dyDescent="0.2"/>
    <row r="6667" ht="16" x14ac:dyDescent="0.2"/>
    <row r="6668" ht="16" x14ac:dyDescent="0.2"/>
    <row r="6669" ht="16" x14ac:dyDescent="0.2"/>
    <row r="6670" ht="16" x14ac:dyDescent="0.2"/>
    <row r="6671" ht="16" x14ac:dyDescent="0.2"/>
    <row r="6672" ht="16" x14ac:dyDescent="0.2"/>
    <row r="6673" ht="16" x14ac:dyDescent="0.2"/>
    <row r="6674" ht="16" x14ac:dyDescent="0.2"/>
    <row r="6675" ht="16" x14ac:dyDescent="0.2"/>
    <row r="6676" ht="16" x14ac:dyDescent="0.2"/>
    <row r="6677" ht="16" x14ac:dyDescent="0.2"/>
    <row r="6678" ht="16" x14ac:dyDescent="0.2"/>
    <row r="6679" ht="16" x14ac:dyDescent="0.2"/>
    <row r="6680" ht="16" x14ac:dyDescent="0.2"/>
    <row r="6681" ht="16" x14ac:dyDescent="0.2"/>
    <row r="6682" ht="16" x14ac:dyDescent="0.2"/>
    <row r="6683" ht="16" x14ac:dyDescent="0.2"/>
    <row r="6684" ht="16" x14ac:dyDescent="0.2"/>
    <row r="6685" ht="16" x14ac:dyDescent="0.2"/>
    <row r="6686" ht="16" x14ac:dyDescent="0.2"/>
    <row r="6687" ht="16" x14ac:dyDescent="0.2"/>
    <row r="6688" ht="16" x14ac:dyDescent="0.2"/>
    <row r="6689" ht="16" x14ac:dyDescent="0.2"/>
    <row r="6690" ht="16" x14ac:dyDescent="0.2"/>
    <row r="6691" ht="16" x14ac:dyDescent="0.2"/>
    <row r="6692" ht="16" x14ac:dyDescent="0.2"/>
    <row r="6693" ht="16" x14ac:dyDescent="0.2"/>
    <row r="6694" ht="16" x14ac:dyDescent="0.2"/>
    <row r="6695" ht="16" x14ac:dyDescent="0.2"/>
    <row r="6696" ht="16" x14ac:dyDescent="0.2"/>
    <row r="6697" ht="16" x14ac:dyDescent="0.2"/>
    <row r="6698" ht="16" x14ac:dyDescent="0.2"/>
    <row r="6699" ht="16" x14ac:dyDescent="0.2"/>
    <row r="6700" ht="16" x14ac:dyDescent="0.2"/>
    <row r="6701" ht="16" x14ac:dyDescent="0.2"/>
    <row r="6702" ht="16" x14ac:dyDescent="0.2"/>
    <row r="6703" ht="16" x14ac:dyDescent="0.2"/>
    <row r="6704" ht="16" x14ac:dyDescent="0.2"/>
    <row r="6705" ht="16" x14ac:dyDescent="0.2"/>
    <row r="6706" ht="16" x14ac:dyDescent="0.2"/>
    <row r="6707" ht="16" x14ac:dyDescent="0.2"/>
    <row r="6708" ht="16" x14ac:dyDescent="0.2"/>
    <row r="6709" ht="16" x14ac:dyDescent="0.2"/>
    <row r="6710" ht="16" x14ac:dyDescent="0.2"/>
    <row r="6711" ht="16" x14ac:dyDescent="0.2"/>
    <row r="6712" ht="16" x14ac:dyDescent="0.2"/>
    <row r="6713" ht="16" x14ac:dyDescent="0.2"/>
    <row r="6714" ht="16" x14ac:dyDescent="0.2"/>
    <row r="6715" ht="16" x14ac:dyDescent="0.2"/>
    <row r="6716" ht="16" x14ac:dyDescent="0.2"/>
    <row r="6717" ht="16" x14ac:dyDescent="0.2"/>
    <row r="6718" ht="16" x14ac:dyDescent="0.2"/>
    <row r="6719" ht="16" x14ac:dyDescent="0.2"/>
    <row r="6720" ht="16" x14ac:dyDescent="0.2"/>
    <row r="6721" ht="16" x14ac:dyDescent="0.2"/>
    <row r="6722" ht="16" x14ac:dyDescent="0.2"/>
    <row r="6723" ht="16" x14ac:dyDescent="0.2"/>
    <row r="6724" ht="16" x14ac:dyDescent="0.2"/>
    <row r="6725" ht="16" x14ac:dyDescent="0.2"/>
    <row r="6726" ht="16" x14ac:dyDescent="0.2"/>
    <row r="6727" ht="16" x14ac:dyDescent="0.2"/>
    <row r="6728" ht="16" x14ac:dyDescent="0.2"/>
    <row r="6729" ht="16" x14ac:dyDescent="0.2"/>
    <row r="6730" ht="16" x14ac:dyDescent="0.2"/>
    <row r="6731" ht="16" x14ac:dyDescent="0.2"/>
    <row r="6732" ht="16" x14ac:dyDescent="0.2"/>
    <row r="6733" ht="16" x14ac:dyDescent="0.2"/>
    <row r="6734" ht="16" x14ac:dyDescent="0.2"/>
    <row r="6735" ht="16" x14ac:dyDescent="0.2"/>
    <row r="6736" ht="16" x14ac:dyDescent="0.2"/>
    <row r="6737" ht="16" x14ac:dyDescent="0.2"/>
    <row r="6738" ht="16" x14ac:dyDescent="0.2"/>
    <row r="6739" ht="16" x14ac:dyDescent="0.2"/>
    <row r="6740" ht="16" x14ac:dyDescent="0.2"/>
    <row r="6741" ht="16" x14ac:dyDescent="0.2"/>
    <row r="6742" ht="16" x14ac:dyDescent="0.2"/>
    <row r="6743" ht="16" x14ac:dyDescent="0.2"/>
    <row r="6744" ht="16" x14ac:dyDescent="0.2"/>
    <row r="6745" ht="16" x14ac:dyDescent="0.2"/>
    <row r="6746" ht="16" x14ac:dyDescent="0.2"/>
    <row r="6747" ht="16" x14ac:dyDescent="0.2"/>
    <row r="6748" ht="16" x14ac:dyDescent="0.2"/>
    <row r="6749" ht="16" x14ac:dyDescent="0.2"/>
    <row r="6750" ht="16" x14ac:dyDescent="0.2"/>
    <row r="6751" ht="16" x14ac:dyDescent="0.2"/>
    <row r="6752" ht="16" x14ac:dyDescent="0.2"/>
    <row r="6753" ht="16" x14ac:dyDescent="0.2"/>
    <row r="6754" ht="16" x14ac:dyDescent="0.2"/>
    <row r="6755" ht="16" x14ac:dyDescent="0.2"/>
    <row r="6756" ht="16" x14ac:dyDescent="0.2"/>
    <row r="6757" ht="16" x14ac:dyDescent="0.2"/>
    <row r="6758" ht="16" x14ac:dyDescent="0.2"/>
    <row r="6759" ht="16" x14ac:dyDescent="0.2"/>
    <row r="6760" ht="16" x14ac:dyDescent="0.2"/>
    <row r="6761" ht="16" x14ac:dyDescent="0.2"/>
    <row r="6762" ht="16" x14ac:dyDescent="0.2"/>
    <row r="6763" ht="16" x14ac:dyDescent="0.2"/>
    <row r="6764" ht="16" x14ac:dyDescent="0.2"/>
    <row r="6765" ht="16" x14ac:dyDescent="0.2"/>
    <row r="6766" ht="16" x14ac:dyDescent="0.2"/>
    <row r="6767" ht="16" x14ac:dyDescent="0.2"/>
    <row r="6768" ht="16" x14ac:dyDescent="0.2"/>
    <row r="6769" ht="16" x14ac:dyDescent="0.2"/>
    <row r="6770" ht="16" x14ac:dyDescent="0.2"/>
    <row r="6771" ht="16" x14ac:dyDescent="0.2"/>
    <row r="6772" ht="16" x14ac:dyDescent="0.2"/>
    <row r="6773" ht="16" x14ac:dyDescent="0.2"/>
    <row r="6774" ht="16" x14ac:dyDescent="0.2"/>
    <row r="6775" ht="16" x14ac:dyDescent="0.2"/>
    <row r="6776" ht="16" x14ac:dyDescent="0.2"/>
    <row r="6777" ht="16" x14ac:dyDescent="0.2"/>
    <row r="6778" ht="16" x14ac:dyDescent="0.2"/>
    <row r="6779" ht="16" x14ac:dyDescent="0.2"/>
    <row r="6780" ht="16" x14ac:dyDescent="0.2"/>
    <row r="6781" ht="16" x14ac:dyDescent="0.2"/>
    <row r="6782" ht="16" x14ac:dyDescent="0.2"/>
    <row r="6783" ht="16" x14ac:dyDescent="0.2"/>
    <row r="6784" ht="16" x14ac:dyDescent="0.2"/>
    <row r="6785" ht="16" x14ac:dyDescent="0.2"/>
    <row r="6786" ht="16" x14ac:dyDescent="0.2"/>
    <row r="6787" ht="16" x14ac:dyDescent="0.2"/>
    <row r="6788" ht="16" x14ac:dyDescent="0.2"/>
    <row r="6789" ht="16" x14ac:dyDescent="0.2"/>
    <row r="6790" ht="16" x14ac:dyDescent="0.2"/>
    <row r="6791" ht="16" x14ac:dyDescent="0.2"/>
    <row r="6792" ht="16" x14ac:dyDescent="0.2"/>
    <row r="6793" ht="16" x14ac:dyDescent="0.2"/>
    <row r="6794" ht="16" x14ac:dyDescent="0.2"/>
    <row r="6795" ht="16" x14ac:dyDescent="0.2"/>
    <row r="6796" ht="16" x14ac:dyDescent="0.2"/>
    <row r="6797" ht="16" x14ac:dyDescent="0.2"/>
    <row r="6798" ht="16" x14ac:dyDescent="0.2"/>
    <row r="6799" ht="16" x14ac:dyDescent="0.2"/>
    <row r="6800" ht="16" x14ac:dyDescent="0.2"/>
    <row r="6801" ht="16" x14ac:dyDescent="0.2"/>
    <row r="6802" ht="16" x14ac:dyDescent="0.2"/>
    <row r="6803" ht="16" x14ac:dyDescent="0.2"/>
    <row r="6804" ht="16" x14ac:dyDescent="0.2"/>
    <row r="6805" ht="16" x14ac:dyDescent="0.2"/>
    <row r="6806" ht="16" x14ac:dyDescent="0.2"/>
    <row r="6807" ht="16" x14ac:dyDescent="0.2"/>
    <row r="6808" ht="16" x14ac:dyDescent="0.2"/>
    <row r="6809" ht="16" x14ac:dyDescent="0.2"/>
    <row r="6810" ht="16" x14ac:dyDescent="0.2"/>
    <row r="6811" ht="16" x14ac:dyDescent="0.2"/>
    <row r="6812" ht="16" x14ac:dyDescent="0.2"/>
    <row r="6813" ht="16" x14ac:dyDescent="0.2"/>
    <row r="6814" ht="16" x14ac:dyDescent="0.2"/>
    <row r="6815" ht="16" x14ac:dyDescent="0.2"/>
    <row r="6816" ht="16" x14ac:dyDescent="0.2"/>
    <row r="6817" ht="16" x14ac:dyDescent="0.2"/>
    <row r="6818" ht="16" x14ac:dyDescent="0.2"/>
    <row r="6819" ht="16" x14ac:dyDescent="0.2"/>
    <row r="6820" ht="16" x14ac:dyDescent="0.2"/>
    <row r="6821" ht="16" x14ac:dyDescent="0.2"/>
    <row r="6822" ht="16" x14ac:dyDescent="0.2"/>
    <row r="6823" ht="16" x14ac:dyDescent="0.2"/>
    <row r="6824" ht="16" x14ac:dyDescent="0.2"/>
    <row r="6825" ht="16" x14ac:dyDescent="0.2"/>
    <row r="6826" ht="16" x14ac:dyDescent="0.2"/>
    <row r="6827" ht="16" x14ac:dyDescent="0.2"/>
    <row r="6828" ht="16" x14ac:dyDescent="0.2"/>
    <row r="6829" ht="16" x14ac:dyDescent="0.2"/>
    <row r="6830" ht="16" x14ac:dyDescent="0.2"/>
    <row r="6831" ht="16" x14ac:dyDescent="0.2"/>
    <row r="6832" ht="16" x14ac:dyDescent="0.2"/>
    <row r="6833" ht="16" x14ac:dyDescent="0.2"/>
    <row r="6834" ht="16" x14ac:dyDescent="0.2"/>
    <row r="6835" ht="16" x14ac:dyDescent="0.2"/>
    <row r="6836" ht="16" x14ac:dyDescent="0.2"/>
    <row r="6837" ht="16" x14ac:dyDescent="0.2"/>
    <row r="6838" ht="16" x14ac:dyDescent="0.2"/>
    <row r="6839" ht="16" x14ac:dyDescent="0.2"/>
    <row r="6840" ht="16" x14ac:dyDescent="0.2"/>
    <row r="6841" ht="16" x14ac:dyDescent="0.2"/>
    <row r="6842" ht="16" x14ac:dyDescent="0.2"/>
    <row r="6843" ht="16" x14ac:dyDescent="0.2"/>
    <row r="6844" ht="16" x14ac:dyDescent="0.2"/>
    <row r="6845" ht="16" x14ac:dyDescent="0.2"/>
    <row r="6846" ht="16" x14ac:dyDescent="0.2"/>
    <row r="6847" ht="16" x14ac:dyDescent="0.2"/>
    <row r="6848" ht="16" x14ac:dyDescent="0.2"/>
    <row r="6849" ht="16" x14ac:dyDescent="0.2"/>
    <row r="6850" ht="16" x14ac:dyDescent="0.2"/>
    <row r="6851" ht="16" x14ac:dyDescent="0.2"/>
    <row r="6852" ht="16" x14ac:dyDescent="0.2"/>
    <row r="6853" ht="16" x14ac:dyDescent="0.2"/>
    <row r="6854" ht="16" x14ac:dyDescent="0.2"/>
    <row r="6855" ht="16" x14ac:dyDescent="0.2"/>
    <row r="6856" ht="16" x14ac:dyDescent="0.2"/>
    <row r="6857" ht="16" x14ac:dyDescent="0.2"/>
    <row r="6858" ht="16" x14ac:dyDescent="0.2"/>
    <row r="6859" ht="16" x14ac:dyDescent="0.2"/>
    <row r="6860" ht="16" x14ac:dyDescent="0.2"/>
    <row r="6861" ht="16" x14ac:dyDescent="0.2"/>
    <row r="6862" ht="16" x14ac:dyDescent="0.2"/>
    <row r="6863" ht="16" x14ac:dyDescent="0.2"/>
    <row r="6864" ht="16" x14ac:dyDescent="0.2"/>
    <row r="6865" ht="16" x14ac:dyDescent="0.2"/>
    <row r="6866" ht="16" x14ac:dyDescent="0.2"/>
    <row r="6867" ht="16" x14ac:dyDescent="0.2"/>
    <row r="6868" ht="16" x14ac:dyDescent="0.2"/>
    <row r="6869" ht="16" x14ac:dyDescent="0.2"/>
    <row r="6870" ht="16" x14ac:dyDescent="0.2"/>
    <row r="6871" ht="16" x14ac:dyDescent="0.2"/>
    <row r="6872" ht="16" x14ac:dyDescent="0.2"/>
    <row r="6873" ht="16" x14ac:dyDescent="0.2"/>
    <row r="6874" ht="16" x14ac:dyDescent="0.2"/>
    <row r="6875" ht="16" x14ac:dyDescent="0.2"/>
    <row r="6876" ht="16" x14ac:dyDescent="0.2"/>
    <row r="6877" ht="16" x14ac:dyDescent="0.2"/>
    <row r="6878" ht="16" x14ac:dyDescent="0.2"/>
    <row r="6879" ht="16" x14ac:dyDescent="0.2"/>
    <row r="6880" ht="16" x14ac:dyDescent="0.2"/>
    <row r="6881" ht="16" x14ac:dyDescent="0.2"/>
    <row r="6882" ht="16" x14ac:dyDescent="0.2"/>
    <row r="6883" ht="16" x14ac:dyDescent="0.2"/>
    <row r="6884" ht="16" x14ac:dyDescent="0.2"/>
    <row r="6885" ht="16" x14ac:dyDescent="0.2"/>
    <row r="6886" ht="16" x14ac:dyDescent="0.2"/>
    <row r="6887" ht="16" x14ac:dyDescent="0.2"/>
    <row r="6888" ht="16" x14ac:dyDescent="0.2"/>
    <row r="6889" ht="16" x14ac:dyDescent="0.2"/>
    <row r="6890" ht="16" x14ac:dyDescent="0.2"/>
    <row r="6891" ht="16" x14ac:dyDescent="0.2"/>
    <row r="6892" ht="16" x14ac:dyDescent="0.2"/>
    <row r="6893" ht="16" x14ac:dyDescent="0.2"/>
    <row r="6894" ht="16" x14ac:dyDescent="0.2"/>
    <row r="6895" ht="16" x14ac:dyDescent="0.2"/>
    <row r="6896" ht="16" x14ac:dyDescent="0.2"/>
    <row r="6897" ht="16" x14ac:dyDescent="0.2"/>
    <row r="6898" ht="16" x14ac:dyDescent="0.2"/>
    <row r="6899" ht="16" x14ac:dyDescent="0.2"/>
    <row r="6900" ht="16" x14ac:dyDescent="0.2"/>
    <row r="6901" ht="16" x14ac:dyDescent="0.2"/>
    <row r="6902" ht="16" x14ac:dyDescent="0.2"/>
    <row r="6903" ht="16" x14ac:dyDescent="0.2"/>
    <row r="6904" ht="16" x14ac:dyDescent="0.2"/>
    <row r="6905" ht="16" x14ac:dyDescent="0.2"/>
    <row r="6906" ht="16" x14ac:dyDescent="0.2"/>
    <row r="6907" ht="16" x14ac:dyDescent="0.2"/>
    <row r="6908" ht="16" x14ac:dyDescent="0.2"/>
    <row r="6909" ht="16" x14ac:dyDescent="0.2"/>
    <row r="6910" ht="16" x14ac:dyDescent="0.2"/>
    <row r="6911" ht="16" x14ac:dyDescent="0.2"/>
    <row r="6912" ht="16" x14ac:dyDescent="0.2"/>
    <row r="6913" ht="16" x14ac:dyDescent="0.2"/>
    <row r="6914" ht="16" x14ac:dyDescent="0.2"/>
    <row r="6915" ht="16" x14ac:dyDescent="0.2"/>
    <row r="6916" ht="16" x14ac:dyDescent="0.2"/>
    <row r="6917" ht="16" x14ac:dyDescent="0.2"/>
    <row r="6918" ht="16" x14ac:dyDescent="0.2"/>
    <row r="6919" ht="16" x14ac:dyDescent="0.2"/>
    <row r="6920" ht="16" x14ac:dyDescent="0.2"/>
    <row r="6921" ht="16" x14ac:dyDescent="0.2"/>
    <row r="6922" ht="16" x14ac:dyDescent="0.2"/>
    <row r="6923" ht="16" x14ac:dyDescent="0.2"/>
    <row r="6924" ht="16" x14ac:dyDescent="0.2"/>
    <row r="6925" ht="16" x14ac:dyDescent="0.2"/>
    <row r="6926" ht="16" x14ac:dyDescent="0.2"/>
    <row r="6927" ht="16" x14ac:dyDescent="0.2"/>
    <row r="6928" ht="16" x14ac:dyDescent="0.2"/>
    <row r="6929" ht="16" x14ac:dyDescent="0.2"/>
    <row r="6930" ht="16" x14ac:dyDescent="0.2"/>
    <row r="6931" ht="16" x14ac:dyDescent="0.2"/>
    <row r="6932" ht="16" x14ac:dyDescent="0.2"/>
    <row r="6933" ht="16" x14ac:dyDescent="0.2"/>
    <row r="6934" ht="16" x14ac:dyDescent="0.2"/>
    <row r="6935" ht="16" x14ac:dyDescent="0.2"/>
    <row r="6936" ht="16" x14ac:dyDescent="0.2"/>
    <row r="6937" ht="16" x14ac:dyDescent="0.2"/>
    <row r="6938" ht="16" x14ac:dyDescent="0.2"/>
    <row r="6939" ht="16" x14ac:dyDescent="0.2"/>
    <row r="6940" ht="16" x14ac:dyDescent="0.2"/>
    <row r="6941" ht="16" x14ac:dyDescent="0.2"/>
    <row r="6942" ht="16" x14ac:dyDescent="0.2"/>
    <row r="6943" ht="16" x14ac:dyDescent="0.2"/>
    <row r="6944" ht="16" x14ac:dyDescent="0.2"/>
    <row r="6945" ht="16" x14ac:dyDescent="0.2"/>
    <row r="6946" ht="16" x14ac:dyDescent="0.2"/>
    <row r="6947" ht="16" x14ac:dyDescent="0.2"/>
    <row r="6948" ht="16" x14ac:dyDescent="0.2"/>
    <row r="6949" ht="16" x14ac:dyDescent="0.2"/>
    <row r="6950" ht="16" x14ac:dyDescent="0.2"/>
    <row r="6951" ht="16" x14ac:dyDescent="0.2"/>
    <row r="6952" ht="16" x14ac:dyDescent="0.2"/>
    <row r="6953" ht="16" x14ac:dyDescent="0.2"/>
    <row r="6954" ht="16" x14ac:dyDescent="0.2"/>
    <row r="6955" ht="16" x14ac:dyDescent="0.2"/>
    <row r="6956" ht="16" x14ac:dyDescent="0.2"/>
    <row r="6957" ht="16" x14ac:dyDescent="0.2"/>
    <row r="6958" ht="16" x14ac:dyDescent="0.2"/>
    <row r="6959" ht="16" x14ac:dyDescent="0.2"/>
    <row r="6960" ht="16" x14ac:dyDescent="0.2"/>
    <row r="6961" ht="16" x14ac:dyDescent="0.2"/>
    <row r="6962" ht="16" x14ac:dyDescent="0.2"/>
    <row r="6963" ht="16" x14ac:dyDescent="0.2"/>
    <row r="6964" ht="16" x14ac:dyDescent="0.2"/>
    <row r="6965" ht="16" x14ac:dyDescent="0.2"/>
    <row r="6966" ht="16" x14ac:dyDescent="0.2"/>
    <row r="6967" ht="16" x14ac:dyDescent="0.2"/>
    <row r="6968" ht="16" x14ac:dyDescent="0.2"/>
    <row r="6969" ht="16" x14ac:dyDescent="0.2"/>
    <row r="6970" ht="16" x14ac:dyDescent="0.2"/>
    <row r="6971" ht="16" x14ac:dyDescent="0.2"/>
    <row r="6972" ht="16" x14ac:dyDescent="0.2"/>
    <row r="6973" ht="16" x14ac:dyDescent="0.2"/>
    <row r="6974" ht="16" x14ac:dyDescent="0.2"/>
    <row r="6975" ht="16" x14ac:dyDescent="0.2"/>
    <row r="6976" ht="16" x14ac:dyDescent="0.2"/>
    <row r="6977" ht="16" x14ac:dyDescent="0.2"/>
    <row r="6978" ht="16" x14ac:dyDescent="0.2"/>
    <row r="6979" ht="16" x14ac:dyDescent="0.2"/>
    <row r="6980" ht="16" x14ac:dyDescent="0.2"/>
    <row r="6981" ht="16" x14ac:dyDescent="0.2"/>
    <row r="6982" ht="16" x14ac:dyDescent="0.2"/>
    <row r="6983" ht="16" x14ac:dyDescent="0.2"/>
    <row r="6984" ht="16" x14ac:dyDescent="0.2"/>
    <row r="6985" ht="16" x14ac:dyDescent="0.2"/>
    <row r="6986" ht="16" x14ac:dyDescent="0.2"/>
    <row r="6987" ht="16" x14ac:dyDescent="0.2"/>
    <row r="6988" ht="16" x14ac:dyDescent="0.2"/>
    <row r="6989" ht="16" x14ac:dyDescent="0.2"/>
    <row r="6990" ht="16" x14ac:dyDescent="0.2"/>
    <row r="6991" ht="16" x14ac:dyDescent="0.2"/>
    <row r="6992" ht="16" x14ac:dyDescent="0.2"/>
    <row r="6993" ht="16" x14ac:dyDescent="0.2"/>
    <row r="6994" ht="16" x14ac:dyDescent="0.2"/>
    <row r="6995" ht="16" x14ac:dyDescent="0.2"/>
    <row r="6996" ht="16" x14ac:dyDescent="0.2"/>
    <row r="6997" ht="16" x14ac:dyDescent="0.2"/>
    <row r="6998" ht="16" x14ac:dyDescent="0.2"/>
    <row r="6999" ht="16" x14ac:dyDescent="0.2"/>
    <row r="7000" ht="16" x14ac:dyDescent="0.2"/>
    <row r="7001" ht="16" x14ac:dyDescent="0.2"/>
    <row r="7002" ht="16" x14ac:dyDescent="0.2"/>
    <row r="7003" ht="16" x14ac:dyDescent="0.2"/>
    <row r="7004" ht="16" x14ac:dyDescent="0.2"/>
    <row r="7005" ht="16" x14ac:dyDescent="0.2"/>
    <row r="7006" ht="16" x14ac:dyDescent="0.2"/>
    <row r="7007" ht="16" x14ac:dyDescent="0.2"/>
    <row r="7008" ht="16" x14ac:dyDescent="0.2"/>
    <row r="7009" ht="16" x14ac:dyDescent="0.2"/>
    <row r="7010" ht="16" x14ac:dyDescent="0.2"/>
    <row r="7011" ht="16" x14ac:dyDescent="0.2"/>
    <row r="7012" ht="16" x14ac:dyDescent="0.2"/>
    <row r="7013" ht="16" x14ac:dyDescent="0.2"/>
    <row r="7014" ht="16" x14ac:dyDescent="0.2"/>
    <row r="7015" ht="16" x14ac:dyDescent="0.2"/>
    <row r="7016" ht="16" x14ac:dyDescent="0.2"/>
    <row r="7017" ht="16" x14ac:dyDescent="0.2"/>
    <row r="7018" ht="16" x14ac:dyDescent="0.2"/>
    <row r="7019" ht="16" x14ac:dyDescent="0.2"/>
    <row r="7020" ht="16" x14ac:dyDescent="0.2"/>
    <row r="7021" ht="16" x14ac:dyDescent="0.2"/>
    <row r="7022" ht="16" x14ac:dyDescent="0.2"/>
    <row r="7023" ht="16" x14ac:dyDescent="0.2"/>
    <row r="7024" ht="16" x14ac:dyDescent="0.2"/>
    <row r="7025" ht="16" x14ac:dyDescent="0.2"/>
    <row r="7026" ht="16" x14ac:dyDescent="0.2"/>
    <row r="7027" ht="16" x14ac:dyDescent="0.2"/>
    <row r="7028" ht="16" x14ac:dyDescent="0.2"/>
    <row r="7029" ht="16" x14ac:dyDescent="0.2"/>
    <row r="7030" ht="16" x14ac:dyDescent="0.2"/>
    <row r="7031" ht="16" x14ac:dyDescent="0.2"/>
    <row r="7032" ht="16" x14ac:dyDescent="0.2"/>
    <row r="7033" ht="16" x14ac:dyDescent="0.2"/>
    <row r="7034" ht="16" x14ac:dyDescent="0.2"/>
    <row r="7035" ht="16" x14ac:dyDescent="0.2"/>
    <row r="7036" ht="16" x14ac:dyDescent="0.2"/>
    <row r="7037" ht="16" x14ac:dyDescent="0.2"/>
    <row r="7038" ht="16" x14ac:dyDescent="0.2"/>
    <row r="7039" ht="16" x14ac:dyDescent="0.2"/>
    <row r="7040" ht="16" x14ac:dyDescent="0.2"/>
    <row r="7041" ht="16" x14ac:dyDescent="0.2"/>
    <row r="7042" ht="16" x14ac:dyDescent="0.2"/>
    <row r="7043" ht="16" x14ac:dyDescent="0.2"/>
    <row r="7044" ht="16" x14ac:dyDescent="0.2"/>
    <row r="7045" ht="16" x14ac:dyDescent="0.2"/>
    <row r="7046" ht="16" x14ac:dyDescent="0.2"/>
    <row r="7047" ht="16" x14ac:dyDescent="0.2"/>
    <row r="7048" ht="16" x14ac:dyDescent="0.2"/>
    <row r="7049" ht="16" x14ac:dyDescent="0.2"/>
    <row r="7050" ht="16" x14ac:dyDescent="0.2"/>
    <row r="7051" ht="16" x14ac:dyDescent="0.2"/>
    <row r="7052" ht="16" x14ac:dyDescent="0.2"/>
    <row r="7053" ht="16" x14ac:dyDescent="0.2"/>
    <row r="7054" ht="16" x14ac:dyDescent="0.2"/>
    <row r="7055" ht="16" x14ac:dyDescent="0.2"/>
    <row r="7056" ht="16" x14ac:dyDescent="0.2"/>
    <row r="7057" ht="16" x14ac:dyDescent="0.2"/>
    <row r="7058" ht="16" x14ac:dyDescent="0.2"/>
    <row r="7059" ht="16" x14ac:dyDescent="0.2"/>
    <row r="7060" ht="16" x14ac:dyDescent="0.2"/>
    <row r="7061" ht="16" x14ac:dyDescent="0.2"/>
    <row r="7062" ht="16" x14ac:dyDescent="0.2"/>
    <row r="7063" ht="16" x14ac:dyDescent="0.2"/>
    <row r="7064" ht="16" x14ac:dyDescent="0.2"/>
    <row r="7065" ht="16" x14ac:dyDescent="0.2"/>
    <row r="7066" ht="16" x14ac:dyDescent="0.2"/>
    <row r="7067" ht="16" x14ac:dyDescent="0.2"/>
    <row r="7068" ht="16" x14ac:dyDescent="0.2"/>
    <row r="7069" ht="16" x14ac:dyDescent="0.2"/>
    <row r="7070" ht="16" x14ac:dyDescent="0.2"/>
    <row r="7071" ht="16" x14ac:dyDescent="0.2"/>
    <row r="7072" ht="16" x14ac:dyDescent="0.2"/>
    <row r="7073" ht="16" x14ac:dyDescent="0.2"/>
    <row r="7074" ht="16" x14ac:dyDescent="0.2"/>
    <row r="7075" ht="16" x14ac:dyDescent="0.2"/>
    <row r="7076" ht="16" x14ac:dyDescent="0.2"/>
    <row r="7077" ht="16" x14ac:dyDescent="0.2"/>
    <row r="7078" ht="16" x14ac:dyDescent="0.2"/>
    <row r="7079" ht="16" x14ac:dyDescent="0.2"/>
    <row r="7080" ht="16" x14ac:dyDescent="0.2"/>
    <row r="7081" ht="16" x14ac:dyDescent="0.2"/>
    <row r="7082" ht="16" x14ac:dyDescent="0.2"/>
    <row r="7083" ht="16" x14ac:dyDescent="0.2"/>
    <row r="7084" ht="16" x14ac:dyDescent="0.2"/>
    <row r="7085" ht="16" x14ac:dyDescent="0.2"/>
    <row r="7086" ht="16" x14ac:dyDescent="0.2"/>
    <row r="7087" ht="16" x14ac:dyDescent="0.2"/>
    <row r="7088" ht="16" x14ac:dyDescent="0.2"/>
    <row r="7089" ht="16" x14ac:dyDescent="0.2"/>
    <row r="7090" ht="16" x14ac:dyDescent="0.2"/>
    <row r="7091" ht="16" x14ac:dyDescent="0.2"/>
    <row r="7092" ht="16" x14ac:dyDescent="0.2"/>
    <row r="7093" ht="16" x14ac:dyDescent="0.2"/>
    <row r="7094" ht="16" x14ac:dyDescent="0.2"/>
    <row r="7095" ht="16" x14ac:dyDescent="0.2"/>
    <row r="7096" ht="16" x14ac:dyDescent="0.2"/>
    <row r="7097" ht="16" x14ac:dyDescent="0.2"/>
    <row r="7098" ht="16" x14ac:dyDescent="0.2"/>
    <row r="7099" ht="16" x14ac:dyDescent="0.2"/>
    <row r="7100" ht="16" x14ac:dyDescent="0.2"/>
    <row r="7101" ht="16" x14ac:dyDescent="0.2"/>
    <row r="7102" ht="16" x14ac:dyDescent="0.2"/>
    <row r="7103" ht="16" x14ac:dyDescent="0.2"/>
    <row r="7104" ht="16" x14ac:dyDescent="0.2"/>
    <row r="7105" ht="16" x14ac:dyDescent="0.2"/>
    <row r="7106" ht="16" x14ac:dyDescent="0.2"/>
    <row r="7107" ht="16" x14ac:dyDescent="0.2"/>
    <row r="7108" ht="16" x14ac:dyDescent="0.2"/>
    <row r="7109" ht="16" x14ac:dyDescent="0.2"/>
    <row r="7110" ht="16" x14ac:dyDescent="0.2"/>
    <row r="7111" ht="16" x14ac:dyDescent="0.2"/>
    <row r="7112" ht="16" x14ac:dyDescent="0.2"/>
    <row r="7113" ht="16" x14ac:dyDescent="0.2"/>
    <row r="7114" ht="16" x14ac:dyDescent="0.2"/>
    <row r="7115" ht="16" x14ac:dyDescent="0.2"/>
    <row r="7116" ht="16" x14ac:dyDescent="0.2"/>
    <row r="7117" ht="16" x14ac:dyDescent="0.2"/>
    <row r="7118" ht="16" x14ac:dyDescent="0.2"/>
    <row r="7119" ht="16" x14ac:dyDescent="0.2"/>
    <row r="7120" ht="16" x14ac:dyDescent="0.2"/>
    <row r="7121" ht="16" x14ac:dyDescent="0.2"/>
    <row r="7122" ht="16" x14ac:dyDescent="0.2"/>
    <row r="7123" ht="16" x14ac:dyDescent="0.2"/>
    <row r="7124" ht="16" x14ac:dyDescent="0.2"/>
    <row r="7125" ht="16" x14ac:dyDescent="0.2"/>
    <row r="7126" ht="16" x14ac:dyDescent="0.2"/>
    <row r="7127" ht="16" x14ac:dyDescent="0.2"/>
    <row r="7128" ht="16" x14ac:dyDescent="0.2"/>
    <row r="7129" ht="16" x14ac:dyDescent="0.2"/>
    <row r="7130" ht="16" x14ac:dyDescent="0.2"/>
    <row r="7131" ht="16" x14ac:dyDescent="0.2"/>
    <row r="7132" ht="16" x14ac:dyDescent="0.2"/>
    <row r="7133" ht="16" x14ac:dyDescent="0.2"/>
    <row r="7134" ht="16" x14ac:dyDescent="0.2"/>
    <row r="7135" ht="16" x14ac:dyDescent="0.2"/>
    <row r="7136" ht="16" x14ac:dyDescent="0.2"/>
    <row r="7137" ht="16" x14ac:dyDescent="0.2"/>
    <row r="7138" ht="16" x14ac:dyDescent="0.2"/>
    <row r="7139" ht="16" x14ac:dyDescent="0.2"/>
    <row r="7140" ht="16" x14ac:dyDescent="0.2"/>
    <row r="7141" ht="16" x14ac:dyDescent="0.2"/>
    <row r="7142" ht="16" x14ac:dyDescent="0.2"/>
    <row r="7143" ht="16" x14ac:dyDescent="0.2"/>
    <row r="7144" ht="16" x14ac:dyDescent="0.2"/>
    <row r="7145" ht="16" x14ac:dyDescent="0.2"/>
    <row r="7146" ht="16" x14ac:dyDescent="0.2"/>
    <row r="7147" ht="16" x14ac:dyDescent="0.2"/>
    <row r="7148" ht="16" x14ac:dyDescent="0.2"/>
    <row r="7149" ht="16" x14ac:dyDescent="0.2"/>
    <row r="7150" ht="16" x14ac:dyDescent="0.2"/>
    <row r="7151" ht="16" x14ac:dyDescent="0.2"/>
    <row r="7152" ht="16" x14ac:dyDescent="0.2"/>
    <row r="7153" ht="16" x14ac:dyDescent="0.2"/>
    <row r="7154" ht="16" x14ac:dyDescent="0.2"/>
    <row r="7155" ht="16" x14ac:dyDescent="0.2"/>
    <row r="7156" ht="16" x14ac:dyDescent="0.2"/>
    <row r="7157" ht="16" x14ac:dyDescent="0.2"/>
    <row r="7158" ht="16" x14ac:dyDescent="0.2"/>
    <row r="7159" ht="16" x14ac:dyDescent="0.2"/>
    <row r="7160" ht="16" x14ac:dyDescent="0.2"/>
    <row r="7161" ht="16" x14ac:dyDescent="0.2"/>
    <row r="7162" ht="16" x14ac:dyDescent="0.2"/>
    <row r="7163" ht="16" x14ac:dyDescent="0.2"/>
    <row r="7164" ht="16" x14ac:dyDescent="0.2"/>
    <row r="7165" ht="16" x14ac:dyDescent="0.2"/>
    <row r="7166" ht="16" x14ac:dyDescent="0.2"/>
    <row r="7167" ht="16" x14ac:dyDescent="0.2"/>
    <row r="7168" ht="16" x14ac:dyDescent="0.2"/>
    <row r="7169" ht="16" x14ac:dyDescent="0.2"/>
    <row r="7170" ht="16" x14ac:dyDescent="0.2"/>
    <row r="7171" ht="16" x14ac:dyDescent="0.2"/>
    <row r="7172" ht="16" x14ac:dyDescent="0.2"/>
    <row r="7173" ht="16" x14ac:dyDescent="0.2"/>
    <row r="7174" ht="16" x14ac:dyDescent="0.2"/>
    <row r="7175" ht="16" x14ac:dyDescent="0.2"/>
    <row r="7176" ht="16" x14ac:dyDescent="0.2"/>
    <row r="7177" ht="16" x14ac:dyDescent="0.2"/>
    <row r="7178" ht="16" x14ac:dyDescent="0.2"/>
    <row r="7179" ht="16" x14ac:dyDescent="0.2"/>
    <row r="7180" ht="16" x14ac:dyDescent="0.2"/>
    <row r="7181" ht="16" x14ac:dyDescent="0.2"/>
    <row r="7182" ht="16" x14ac:dyDescent="0.2"/>
    <row r="7183" ht="16" x14ac:dyDescent="0.2"/>
    <row r="7184" ht="16" x14ac:dyDescent="0.2"/>
    <row r="7185" ht="16" x14ac:dyDescent="0.2"/>
    <row r="7186" ht="16" x14ac:dyDescent="0.2"/>
    <row r="7187" ht="16" x14ac:dyDescent="0.2"/>
    <row r="7188" ht="16" x14ac:dyDescent="0.2"/>
    <row r="7189" ht="16" x14ac:dyDescent="0.2"/>
    <row r="7190" ht="16" x14ac:dyDescent="0.2"/>
    <row r="7191" ht="16" x14ac:dyDescent="0.2"/>
    <row r="7192" ht="16" x14ac:dyDescent="0.2"/>
    <row r="7193" ht="16" x14ac:dyDescent="0.2"/>
    <row r="7194" ht="16" x14ac:dyDescent="0.2"/>
    <row r="7195" ht="16" x14ac:dyDescent="0.2"/>
    <row r="7196" ht="16" x14ac:dyDescent="0.2"/>
    <row r="7197" ht="16" x14ac:dyDescent="0.2"/>
    <row r="7198" ht="16" x14ac:dyDescent="0.2"/>
    <row r="7199" ht="16" x14ac:dyDescent="0.2"/>
    <row r="7200" ht="16" x14ac:dyDescent="0.2"/>
    <row r="7201" ht="16" x14ac:dyDescent="0.2"/>
    <row r="7202" ht="16" x14ac:dyDescent="0.2"/>
    <row r="7203" ht="16" x14ac:dyDescent="0.2"/>
    <row r="7204" ht="16" x14ac:dyDescent="0.2"/>
    <row r="7205" ht="16" x14ac:dyDescent="0.2"/>
    <row r="7206" ht="16" x14ac:dyDescent="0.2"/>
    <row r="7207" ht="16" x14ac:dyDescent="0.2"/>
    <row r="7208" ht="16" x14ac:dyDescent="0.2"/>
    <row r="7209" ht="16" x14ac:dyDescent="0.2"/>
    <row r="7210" ht="16" x14ac:dyDescent="0.2"/>
    <row r="7211" ht="16" x14ac:dyDescent="0.2"/>
    <row r="7212" ht="16" x14ac:dyDescent="0.2"/>
    <row r="7213" ht="16" x14ac:dyDescent="0.2"/>
    <row r="7214" ht="16" x14ac:dyDescent="0.2"/>
    <row r="7215" ht="16" x14ac:dyDescent="0.2"/>
    <row r="7216" ht="16" x14ac:dyDescent="0.2"/>
    <row r="7217" ht="16" x14ac:dyDescent="0.2"/>
    <row r="7218" ht="16" x14ac:dyDescent="0.2"/>
    <row r="7219" ht="16" x14ac:dyDescent="0.2"/>
    <row r="7220" ht="16" x14ac:dyDescent="0.2"/>
    <row r="7221" ht="16" x14ac:dyDescent="0.2"/>
    <row r="7222" ht="16" x14ac:dyDescent="0.2"/>
    <row r="7223" ht="16" x14ac:dyDescent="0.2"/>
    <row r="7224" ht="16" x14ac:dyDescent="0.2"/>
    <row r="7225" ht="16" x14ac:dyDescent="0.2"/>
    <row r="7226" ht="16" x14ac:dyDescent="0.2"/>
    <row r="7227" ht="16" x14ac:dyDescent="0.2"/>
    <row r="7228" ht="16" x14ac:dyDescent="0.2"/>
    <row r="7229" ht="16" x14ac:dyDescent="0.2"/>
    <row r="7230" ht="16" x14ac:dyDescent="0.2"/>
    <row r="7231" ht="16" x14ac:dyDescent="0.2"/>
    <row r="7232" ht="16" x14ac:dyDescent="0.2"/>
    <row r="7233" ht="16" x14ac:dyDescent="0.2"/>
    <row r="7234" ht="16" x14ac:dyDescent="0.2"/>
    <row r="7235" ht="16" x14ac:dyDescent="0.2"/>
    <row r="7236" ht="16" x14ac:dyDescent="0.2"/>
    <row r="7237" ht="16" x14ac:dyDescent="0.2"/>
    <row r="7238" ht="16" x14ac:dyDescent="0.2"/>
    <row r="7239" ht="16" x14ac:dyDescent="0.2"/>
    <row r="7240" ht="16" x14ac:dyDescent="0.2"/>
    <row r="7241" ht="16" x14ac:dyDescent="0.2"/>
    <row r="7242" ht="16" x14ac:dyDescent="0.2"/>
    <row r="7243" ht="16" x14ac:dyDescent="0.2"/>
    <row r="7244" ht="16" x14ac:dyDescent="0.2"/>
    <row r="7245" ht="16" x14ac:dyDescent="0.2"/>
    <row r="7246" ht="16" x14ac:dyDescent="0.2"/>
    <row r="7247" ht="16" x14ac:dyDescent="0.2"/>
    <row r="7248" ht="16" x14ac:dyDescent="0.2"/>
    <row r="7249" ht="16" x14ac:dyDescent="0.2"/>
    <row r="7250" ht="16" x14ac:dyDescent="0.2"/>
    <row r="7251" ht="16" x14ac:dyDescent="0.2"/>
    <row r="7252" ht="16" x14ac:dyDescent="0.2"/>
    <row r="7253" ht="16" x14ac:dyDescent="0.2"/>
    <row r="7254" ht="16" x14ac:dyDescent="0.2"/>
    <row r="7255" ht="16" x14ac:dyDescent="0.2"/>
    <row r="7256" ht="16" x14ac:dyDescent="0.2"/>
    <row r="7257" ht="16" x14ac:dyDescent="0.2"/>
    <row r="7258" ht="16" x14ac:dyDescent="0.2"/>
    <row r="7259" ht="16" x14ac:dyDescent="0.2"/>
    <row r="7260" ht="16" x14ac:dyDescent="0.2"/>
    <row r="7261" ht="16" x14ac:dyDescent="0.2"/>
    <row r="7262" ht="16" x14ac:dyDescent="0.2"/>
    <row r="7263" ht="16" x14ac:dyDescent="0.2"/>
    <row r="7264" ht="16" x14ac:dyDescent="0.2"/>
    <row r="7265" ht="16" x14ac:dyDescent="0.2"/>
    <row r="7266" ht="16" x14ac:dyDescent="0.2"/>
    <row r="7267" ht="16" x14ac:dyDescent="0.2"/>
    <row r="7268" ht="16" x14ac:dyDescent="0.2"/>
    <row r="7269" ht="16" x14ac:dyDescent="0.2"/>
    <row r="7270" ht="16" x14ac:dyDescent="0.2"/>
    <row r="7271" ht="16" x14ac:dyDescent="0.2"/>
    <row r="7272" ht="16" x14ac:dyDescent="0.2"/>
    <row r="7273" ht="16" x14ac:dyDescent="0.2"/>
    <row r="7274" ht="16" x14ac:dyDescent="0.2"/>
    <row r="7275" ht="16" x14ac:dyDescent="0.2"/>
    <row r="7276" ht="16" x14ac:dyDescent="0.2"/>
    <row r="7277" ht="16" x14ac:dyDescent="0.2"/>
    <row r="7278" ht="16" x14ac:dyDescent="0.2"/>
    <row r="7279" ht="16" x14ac:dyDescent="0.2"/>
    <row r="7280" ht="16" x14ac:dyDescent="0.2"/>
    <row r="7281" ht="16" x14ac:dyDescent="0.2"/>
    <row r="7282" ht="16" x14ac:dyDescent="0.2"/>
    <row r="7283" ht="16" x14ac:dyDescent="0.2"/>
    <row r="7284" ht="16" x14ac:dyDescent="0.2"/>
    <row r="7285" ht="16" x14ac:dyDescent="0.2"/>
    <row r="7286" ht="16" x14ac:dyDescent="0.2"/>
    <row r="7287" ht="16" x14ac:dyDescent="0.2"/>
    <row r="7288" ht="16" x14ac:dyDescent="0.2"/>
    <row r="7289" ht="16" x14ac:dyDescent="0.2"/>
    <row r="7290" ht="16" x14ac:dyDescent="0.2"/>
    <row r="7291" ht="16" x14ac:dyDescent="0.2"/>
    <row r="7292" ht="16" x14ac:dyDescent="0.2"/>
    <row r="7293" ht="16" x14ac:dyDescent="0.2"/>
    <row r="7294" ht="16" x14ac:dyDescent="0.2"/>
    <row r="7295" ht="16" x14ac:dyDescent="0.2"/>
    <row r="7296" ht="16" x14ac:dyDescent="0.2"/>
    <row r="7297" ht="16" x14ac:dyDescent="0.2"/>
    <row r="7298" ht="16" x14ac:dyDescent="0.2"/>
    <row r="7299" ht="16" x14ac:dyDescent="0.2"/>
    <row r="7300" ht="16" x14ac:dyDescent="0.2"/>
    <row r="7301" ht="16" x14ac:dyDescent="0.2"/>
    <row r="7302" ht="16" x14ac:dyDescent="0.2"/>
    <row r="7303" ht="16" x14ac:dyDescent="0.2"/>
    <row r="7304" ht="16" x14ac:dyDescent="0.2"/>
    <row r="7305" ht="16" x14ac:dyDescent="0.2"/>
    <row r="7306" ht="16" x14ac:dyDescent="0.2"/>
    <row r="7307" ht="16" x14ac:dyDescent="0.2"/>
    <row r="7308" ht="16" x14ac:dyDescent="0.2"/>
    <row r="7309" ht="16" x14ac:dyDescent="0.2"/>
    <row r="7310" ht="16" x14ac:dyDescent="0.2"/>
    <row r="7311" ht="16" x14ac:dyDescent="0.2"/>
    <row r="7312" ht="16" x14ac:dyDescent="0.2"/>
    <row r="7313" ht="16" x14ac:dyDescent="0.2"/>
    <row r="7314" ht="16" x14ac:dyDescent="0.2"/>
    <row r="7315" ht="16" x14ac:dyDescent="0.2"/>
    <row r="7316" ht="16" x14ac:dyDescent="0.2"/>
    <row r="7317" ht="16" x14ac:dyDescent="0.2"/>
    <row r="7318" ht="16" x14ac:dyDescent="0.2"/>
    <row r="7319" ht="16" x14ac:dyDescent="0.2"/>
    <row r="7320" ht="16" x14ac:dyDescent="0.2"/>
    <row r="7321" ht="16" x14ac:dyDescent="0.2"/>
    <row r="7322" ht="16" x14ac:dyDescent="0.2"/>
    <row r="7323" ht="16" x14ac:dyDescent="0.2"/>
    <row r="7324" ht="16" x14ac:dyDescent="0.2"/>
    <row r="7325" ht="16" x14ac:dyDescent="0.2"/>
    <row r="7326" ht="16" x14ac:dyDescent="0.2"/>
    <row r="7327" ht="16" x14ac:dyDescent="0.2"/>
    <row r="7328" ht="16" x14ac:dyDescent="0.2"/>
    <row r="7329" ht="16" x14ac:dyDescent="0.2"/>
    <row r="7330" ht="16" x14ac:dyDescent="0.2"/>
    <row r="7331" ht="16" x14ac:dyDescent="0.2"/>
    <row r="7332" ht="16" x14ac:dyDescent="0.2"/>
    <row r="7333" ht="16" x14ac:dyDescent="0.2"/>
    <row r="7334" ht="16" x14ac:dyDescent="0.2"/>
    <row r="7335" ht="16" x14ac:dyDescent="0.2"/>
    <row r="7336" ht="16" x14ac:dyDescent="0.2"/>
    <row r="7337" ht="16" x14ac:dyDescent="0.2"/>
    <row r="7338" ht="16" x14ac:dyDescent="0.2"/>
    <row r="7339" ht="16" x14ac:dyDescent="0.2"/>
    <row r="7340" ht="16" x14ac:dyDescent="0.2"/>
    <row r="7341" ht="16" x14ac:dyDescent="0.2"/>
    <row r="7342" ht="16" x14ac:dyDescent="0.2"/>
    <row r="7343" ht="16" x14ac:dyDescent="0.2"/>
    <row r="7344" ht="16" x14ac:dyDescent="0.2"/>
    <row r="7345" ht="16" x14ac:dyDescent="0.2"/>
    <row r="7346" ht="16" x14ac:dyDescent="0.2"/>
    <row r="7347" ht="16" x14ac:dyDescent="0.2"/>
    <row r="7348" ht="16" x14ac:dyDescent="0.2"/>
    <row r="7349" ht="16" x14ac:dyDescent="0.2"/>
    <row r="7350" ht="16" x14ac:dyDescent="0.2"/>
    <row r="7351" ht="16" x14ac:dyDescent="0.2"/>
    <row r="7352" ht="16" x14ac:dyDescent="0.2"/>
    <row r="7353" ht="16" x14ac:dyDescent="0.2"/>
    <row r="7354" ht="16" x14ac:dyDescent="0.2"/>
    <row r="7355" ht="16" x14ac:dyDescent="0.2"/>
    <row r="7356" ht="16" x14ac:dyDescent="0.2"/>
    <row r="7357" ht="16" x14ac:dyDescent="0.2"/>
    <row r="7358" ht="16" x14ac:dyDescent="0.2"/>
    <row r="7359" ht="16" x14ac:dyDescent="0.2"/>
    <row r="7360" ht="16" x14ac:dyDescent="0.2"/>
    <row r="7361" ht="16" x14ac:dyDescent="0.2"/>
    <row r="7362" ht="16" x14ac:dyDescent="0.2"/>
    <row r="7363" ht="16" x14ac:dyDescent="0.2"/>
    <row r="7364" ht="16" x14ac:dyDescent="0.2"/>
    <row r="7365" ht="16" x14ac:dyDescent="0.2"/>
    <row r="7366" ht="16" x14ac:dyDescent="0.2"/>
    <row r="7367" ht="16" x14ac:dyDescent="0.2"/>
    <row r="7368" ht="16" x14ac:dyDescent="0.2"/>
    <row r="7369" ht="16" x14ac:dyDescent="0.2"/>
    <row r="7370" ht="16" x14ac:dyDescent="0.2"/>
    <row r="7371" ht="16" x14ac:dyDescent="0.2"/>
    <row r="7372" ht="16" x14ac:dyDescent="0.2"/>
    <row r="7373" ht="16" x14ac:dyDescent="0.2"/>
    <row r="7374" ht="16" x14ac:dyDescent="0.2"/>
    <row r="7375" ht="16" x14ac:dyDescent="0.2"/>
    <row r="7376" ht="16" x14ac:dyDescent="0.2"/>
    <row r="7377" ht="16" x14ac:dyDescent="0.2"/>
    <row r="7378" ht="16" x14ac:dyDescent="0.2"/>
    <row r="7379" ht="16" x14ac:dyDescent="0.2"/>
    <row r="7380" ht="16" x14ac:dyDescent="0.2"/>
    <row r="7381" ht="16" x14ac:dyDescent="0.2"/>
    <row r="7382" ht="16" x14ac:dyDescent="0.2"/>
    <row r="7383" ht="16" x14ac:dyDescent="0.2"/>
    <row r="7384" ht="16" x14ac:dyDescent="0.2"/>
    <row r="7385" ht="16" x14ac:dyDescent="0.2"/>
    <row r="7386" ht="16" x14ac:dyDescent="0.2"/>
    <row r="7387" ht="16" x14ac:dyDescent="0.2"/>
    <row r="7388" ht="16" x14ac:dyDescent="0.2"/>
    <row r="7389" ht="16" x14ac:dyDescent="0.2"/>
    <row r="7390" ht="16" x14ac:dyDescent="0.2"/>
    <row r="7391" ht="16" x14ac:dyDescent="0.2"/>
    <row r="7392" ht="16" x14ac:dyDescent="0.2"/>
    <row r="7393" ht="16" x14ac:dyDescent="0.2"/>
    <row r="7394" ht="16" x14ac:dyDescent="0.2"/>
    <row r="7395" ht="16" x14ac:dyDescent="0.2"/>
    <row r="7396" ht="16" x14ac:dyDescent="0.2"/>
    <row r="7397" ht="16" x14ac:dyDescent="0.2"/>
    <row r="7398" ht="16" x14ac:dyDescent="0.2"/>
    <row r="7399" ht="16" x14ac:dyDescent="0.2"/>
    <row r="7400" ht="16" x14ac:dyDescent="0.2"/>
    <row r="7401" ht="16" x14ac:dyDescent="0.2"/>
    <row r="7402" ht="16" x14ac:dyDescent="0.2"/>
    <row r="7403" ht="16" x14ac:dyDescent="0.2"/>
    <row r="7404" ht="16" x14ac:dyDescent="0.2"/>
    <row r="7405" ht="16" x14ac:dyDescent="0.2"/>
    <row r="7406" ht="16" x14ac:dyDescent="0.2"/>
    <row r="7407" ht="16" x14ac:dyDescent="0.2"/>
    <row r="7408" ht="16" x14ac:dyDescent="0.2"/>
    <row r="7409" ht="16" x14ac:dyDescent="0.2"/>
    <row r="7410" ht="16" x14ac:dyDescent="0.2"/>
    <row r="7411" ht="16" x14ac:dyDescent="0.2"/>
    <row r="7412" ht="16" x14ac:dyDescent="0.2"/>
    <row r="7413" ht="16" x14ac:dyDescent="0.2"/>
    <row r="7414" ht="16" x14ac:dyDescent="0.2"/>
    <row r="7415" ht="16" x14ac:dyDescent="0.2"/>
    <row r="7416" ht="16" x14ac:dyDescent="0.2"/>
    <row r="7417" ht="16" x14ac:dyDescent="0.2"/>
    <row r="7418" ht="16" x14ac:dyDescent="0.2"/>
    <row r="7419" ht="16" x14ac:dyDescent="0.2"/>
    <row r="7420" ht="16" x14ac:dyDescent="0.2"/>
    <row r="7421" ht="16" x14ac:dyDescent="0.2"/>
    <row r="7422" ht="16" x14ac:dyDescent="0.2"/>
    <row r="7423" ht="16" x14ac:dyDescent="0.2"/>
    <row r="7424" ht="16" x14ac:dyDescent="0.2"/>
    <row r="7425" ht="16" x14ac:dyDescent="0.2"/>
    <row r="7426" ht="16" x14ac:dyDescent="0.2"/>
    <row r="7427" ht="16" x14ac:dyDescent="0.2"/>
    <row r="7428" ht="16" x14ac:dyDescent="0.2"/>
    <row r="7429" ht="16" x14ac:dyDescent="0.2"/>
    <row r="7430" ht="16" x14ac:dyDescent="0.2"/>
    <row r="7431" ht="16" x14ac:dyDescent="0.2"/>
    <row r="7432" ht="16" x14ac:dyDescent="0.2"/>
    <row r="7433" ht="16" x14ac:dyDescent="0.2"/>
    <row r="7434" ht="16" x14ac:dyDescent="0.2"/>
    <row r="7435" ht="16" x14ac:dyDescent="0.2"/>
    <row r="7436" ht="16" x14ac:dyDescent="0.2"/>
    <row r="7437" ht="16" x14ac:dyDescent="0.2"/>
    <row r="7438" ht="16" x14ac:dyDescent="0.2"/>
    <row r="7439" ht="16" x14ac:dyDescent="0.2"/>
    <row r="7440" ht="16" x14ac:dyDescent="0.2"/>
    <row r="7441" ht="16" x14ac:dyDescent="0.2"/>
    <row r="7442" ht="16" x14ac:dyDescent="0.2"/>
    <row r="7443" ht="16" x14ac:dyDescent="0.2"/>
    <row r="7444" ht="16" x14ac:dyDescent="0.2"/>
    <row r="7445" ht="16" x14ac:dyDescent="0.2"/>
    <row r="7446" ht="16" x14ac:dyDescent="0.2"/>
    <row r="7447" ht="16" x14ac:dyDescent="0.2"/>
    <row r="7448" ht="16" x14ac:dyDescent="0.2"/>
    <row r="7449" ht="16" x14ac:dyDescent="0.2"/>
    <row r="7450" ht="16" x14ac:dyDescent="0.2"/>
    <row r="7451" ht="16" x14ac:dyDescent="0.2"/>
    <row r="7452" ht="16" x14ac:dyDescent="0.2"/>
    <row r="7453" ht="16" x14ac:dyDescent="0.2"/>
    <row r="7454" ht="16" x14ac:dyDescent="0.2"/>
    <row r="7455" ht="16" x14ac:dyDescent="0.2"/>
    <row r="7456" ht="16" x14ac:dyDescent="0.2"/>
    <row r="7457" ht="16" x14ac:dyDescent="0.2"/>
    <row r="7458" ht="16" x14ac:dyDescent="0.2"/>
    <row r="7459" ht="16" x14ac:dyDescent="0.2"/>
    <row r="7460" ht="16" x14ac:dyDescent="0.2"/>
    <row r="7461" ht="16" x14ac:dyDescent="0.2"/>
    <row r="7462" ht="16" x14ac:dyDescent="0.2"/>
    <row r="7463" ht="16" x14ac:dyDescent="0.2"/>
    <row r="7464" ht="16" x14ac:dyDescent="0.2"/>
    <row r="7465" ht="16" x14ac:dyDescent="0.2"/>
    <row r="7466" ht="16" x14ac:dyDescent="0.2"/>
    <row r="7467" ht="16" x14ac:dyDescent="0.2"/>
    <row r="7468" ht="16" x14ac:dyDescent="0.2"/>
    <row r="7469" ht="16" x14ac:dyDescent="0.2"/>
    <row r="7470" ht="16" x14ac:dyDescent="0.2"/>
    <row r="7471" ht="16" x14ac:dyDescent="0.2"/>
    <row r="7472" ht="16" x14ac:dyDescent="0.2"/>
    <row r="7473" ht="16" x14ac:dyDescent="0.2"/>
    <row r="7474" ht="16" x14ac:dyDescent="0.2"/>
    <row r="7475" ht="16" x14ac:dyDescent="0.2"/>
    <row r="7476" ht="16" x14ac:dyDescent="0.2"/>
    <row r="7477" ht="16" x14ac:dyDescent="0.2"/>
    <row r="7478" ht="16" x14ac:dyDescent="0.2"/>
    <row r="7479" ht="16" x14ac:dyDescent="0.2"/>
    <row r="7480" ht="16" x14ac:dyDescent="0.2"/>
    <row r="7481" ht="16" x14ac:dyDescent="0.2"/>
    <row r="7482" ht="16" x14ac:dyDescent="0.2"/>
    <row r="7483" ht="16" x14ac:dyDescent="0.2"/>
    <row r="7484" ht="16" x14ac:dyDescent="0.2"/>
    <row r="7485" ht="16" x14ac:dyDescent="0.2"/>
    <row r="7486" ht="16" x14ac:dyDescent="0.2"/>
    <row r="7487" ht="16" x14ac:dyDescent="0.2"/>
    <row r="7488" ht="16" x14ac:dyDescent="0.2"/>
    <row r="7489" ht="16" x14ac:dyDescent="0.2"/>
    <row r="7490" ht="16" x14ac:dyDescent="0.2"/>
    <row r="7491" ht="16" x14ac:dyDescent="0.2"/>
    <row r="7492" ht="16" x14ac:dyDescent="0.2"/>
    <row r="7493" ht="16" x14ac:dyDescent="0.2"/>
    <row r="7494" ht="16" x14ac:dyDescent="0.2"/>
    <row r="7495" ht="16" x14ac:dyDescent="0.2"/>
    <row r="7496" ht="16" x14ac:dyDescent="0.2"/>
    <row r="7497" ht="16" x14ac:dyDescent="0.2"/>
    <row r="7498" ht="16" x14ac:dyDescent="0.2"/>
    <row r="7499" ht="16" x14ac:dyDescent="0.2"/>
    <row r="7500" ht="16" x14ac:dyDescent="0.2"/>
    <row r="7501" ht="16" x14ac:dyDescent="0.2"/>
    <row r="7502" ht="16" x14ac:dyDescent="0.2"/>
    <row r="7503" ht="16" x14ac:dyDescent="0.2"/>
    <row r="7504" ht="16" x14ac:dyDescent="0.2"/>
    <row r="7505" ht="16" x14ac:dyDescent="0.2"/>
    <row r="7506" ht="16" x14ac:dyDescent="0.2"/>
    <row r="7507" ht="16" x14ac:dyDescent="0.2"/>
    <row r="7508" ht="16" x14ac:dyDescent="0.2"/>
    <row r="7509" ht="16" x14ac:dyDescent="0.2"/>
    <row r="7510" ht="16" x14ac:dyDescent="0.2"/>
    <row r="7511" ht="16" x14ac:dyDescent="0.2"/>
    <row r="7512" ht="16" x14ac:dyDescent="0.2"/>
    <row r="7513" ht="16" x14ac:dyDescent="0.2"/>
    <row r="7514" ht="16" x14ac:dyDescent="0.2"/>
    <row r="7515" ht="16" x14ac:dyDescent="0.2"/>
    <row r="7516" ht="16" x14ac:dyDescent="0.2"/>
    <row r="7517" ht="16" x14ac:dyDescent="0.2"/>
    <row r="7518" ht="16" x14ac:dyDescent="0.2"/>
    <row r="7519" ht="16" x14ac:dyDescent="0.2"/>
    <row r="7520" ht="16" x14ac:dyDescent="0.2"/>
    <row r="7521" ht="16" x14ac:dyDescent="0.2"/>
    <row r="7522" ht="16" x14ac:dyDescent="0.2"/>
    <row r="7523" ht="16" x14ac:dyDescent="0.2"/>
    <row r="7524" ht="16" x14ac:dyDescent="0.2"/>
    <row r="7525" ht="16" x14ac:dyDescent="0.2"/>
    <row r="7526" ht="16" x14ac:dyDescent="0.2"/>
    <row r="7527" ht="16" x14ac:dyDescent="0.2"/>
    <row r="7528" ht="16" x14ac:dyDescent="0.2"/>
    <row r="7529" ht="16" x14ac:dyDescent="0.2"/>
    <row r="7530" ht="16" x14ac:dyDescent="0.2"/>
    <row r="7531" ht="16" x14ac:dyDescent="0.2"/>
    <row r="7532" ht="16" x14ac:dyDescent="0.2"/>
    <row r="7533" ht="16" x14ac:dyDescent="0.2"/>
    <row r="7534" ht="16" x14ac:dyDescent="0.2"/>
    <row r="7535" ht="16" x14ac:dyDescent="0.2"/>
    <row r="7536" ht="16" x14ac:dyDescent="0.2"/>
    <row r="7537" ht="16" x14ac:dyDescent="0.2"/>
    <row r="7538" ht="16" x14ac:dyDescent="0.2"/>
    <row r="7539" ht="16" x14ac:dyDescent="0.2"/>
    <row r="7540" ht="16" x14ac:dyDescent="0.2"/>
    <row r="7541" ht="16" x14ac:dyDescent="0.2"/>
    <row r="7542" ht="16" x14ac:dyDescent="0.2"/>
    <row r="7543" ht="16" x14ac:dyDescent="0.2"/>
    <row r="7544" ht="16" x14ac:dyDescent="0.2"/>
    <row r="7545" ht="16" x14ac:dyDescent="0.2"/>
    <row r="7546" ht="16" x14ac:dyDescent="0.2"/>
    <row r="7547" ht="16" x14ac:dyDescent="0.2"/>
    <row r="7548" ht="16" x14ac:dyDescent="0.2"/>
    <row r="7549" ht="16" x14ac:dyDescent="0.2"/>
    <row r="7550" ht="16" x14ac:dyDescent="0.2"/>
    <row r="7551" ht="16" x14ac:dyDescent="0.2"/>
    <row r="7552" ht="16" x14ac:dyDescent="0.2"/>
    <row r="7553" ht="16" x14ac:dyDescent="0.2"/>
    <row r="7554" ht="16" x14ac:dyDescent="0.2"/>
    <row r="7555" ht="16" x14ac:dyDescent="0.2"/>
    <row r="7556" ht="16" x14ac:dyDescent="0.2"/>
    <row r="7557" ht="16" x14ac:dyDescent="0.2"/>
    <row r="7558" ht="16" x14ac:dyDescent="0.2"/>
    <row r="7559" ht="16" x14ac:dyDescent="0.2"/>
    <row r="7560" ht="16" x14ac:dyDescent="0.2"/>
    <row r="7561" ht="16" x14ac:dyDescent="0.2"/>
    <row r="7562" ht="16" x14ac:dyDescent="0.2"/>
    <row r="7563" ht="16" x14ac:dyDescent="0.2"/>
    <row r="7564" ht="16" x14ac:dyDescent="0.2"/>
    <row r="7565" ht="16" x14ac:dyDescent="0.2"/>
    <row r="7566" ht="16" x14ac:dyDescent="0.2"/>
    <row r="7567" ht="16" x14ac:dyDescent="0.2"/>
    <row r="7568" ht="16" x14ac:dyDescent="0.2"/>
    <row r="7569" ht="16" x14ac:dyDescent="0.2"/>
    <row r="7570" ht="16" x14ac:dyDescent="0.2"/>
    <row r="7571" ht="16" x14ac:dyDescent="0.2"/>
    <row r="7572" ht="16" x14ac:dyDescent="0.2"/>
    <row r="7573" ht="16" x14ac:dyDescent="0.2"/>
    <row r="7574" ht="16" x14ac:dyDescent="0.2"/>
    <row r="7575" ht="16" x14ac:dyDescent="0.2"/>
    <row r="7576" ht="16" x14ac:dyDescent="0.2"/>
    <row r="7577" ht="16" x14ac:dyDescent="0.2"/>
    <row r="7578" ht="16" x14ac:dyDescent="0.2"/>
    <row r="7579" ht="16" x14ac:dyDescent="0.2"/>
    <row r="7580" ht="16" x14ac:dyDescent="0.2"/>
    <row r="7581" ht="16" x14ac:dyDescent="0.2"/>
    <row r="7582" ht="16" x14ac:dyDescent="0.2"/>
    <row r="7583" ht="16" x14ac:dyDescent="0.2"/>
    <row r="7584" ht="16" x14ac:dyDescent="0.2"/>
    <row r="7585" ht="16" x14ac:dyDescent="0.2"/>
    <row r="7586" ht="16" x14ac:dyDescent="0.2"/>
    <row r="7587" ht="16" x14ac:dyDescent="0.2"/>
    <row r="7588" ht="16" x14ac:dyDescent="0.2"/>
    <row r="7589" ht="16" x14ac:dyDescent="0.2"/>
    <row r="7590" ht="16" x14ac:dyDescent="0.2"/>
    <row r="7591" ht="16" x14ac:dyDescent="0.2"/>
    <row r="7592" ht="16" x14ac:dyDescent="0.2"/>
    <row r="7593" ht="16" x14ac:dyDescent="0.2"/>
    <row r="7594" ht="16" x14ac:dyDescent="0.2"/>
    <row r="7595" ht="16" x14ac:dyDescent="0.2"/>
    <row r="7596" ht="16" x14ac:dyDescent="0.2"/>
    <row r="7597" ht="16" x14ac:dyDescent="0.2"/>
    <row r="7598" ht="16" x14ac:dyDescent="0.2"/>
    <row r="7599" ht="16" x14ac:dyDescent="0.2"/>
    <row r="7600" ht="16" x14ac:dyDescent="0.2"/>
    <row r="7601" ht="16" x14ac:dyDescent="0.2"/>
    <row r="7602" ht="16" x14ac:dyDescent="0.2"/>
    <row r="7603" ht="16" x14ac:dyDescent="0.2"/>
    <row r="7604" ht="16" x14ac:dyDescent="0.2"/>
    <row r="7605" ht="16" x14ac:dyDescent="0.2"/>
    <row r="7606" ht="16" x14ac:dyDescent="0.2"/>
    <row r="7607" ht="16" x14ac:dyDescent="0.2"/>
    <row r="7608" ht="16" x14ac:dyDescent="0.2"/>
    <row r="7609" ht="16" x14ac:dyDescent="0.2"/>
    <row r="7610" ht="16" x14ac:dyDescent="0.2"/>
    <row r="7611" ht="16" x14ac:dyDescent="0.2"/>
    <row r="7612" ht="16" x14ac:dyDescent="0.2"/>
    <row r="7613" ht="16" x14ac:dyDescent="0.2"/>
    <row r="7614" ht="16" x14ac:dyDescent="0.2"/>
    <row r="7615" ht="16" x14ac:dyDescent="0.2"/>
    <row r="7616" ht="16" x14ac:dyDescent="0.2"/>
    <row r="7617" ht="16" x14ac:dyDescent="0.2"/>
    <row r="7618" ht="16" x14ac:dyDescent="0.2"/>
    <row r="7619" ht="16" x14ac:dyDescent="0.2"/>
    <row r="7620" ht="16" x14ac:dyDescent="0.2"/>
    <row r="7621" ht="16" x14ac:dyDescent="0.2"/>
    <row r="7622" ht="16" x14ac:dyDescent="0.2"/>
    <row r="7623" ht="16" x14ac:dyDescent="0.2"/>
    <row r="7624" ht="16" x14ac:dyDescent="0.2"/>
    <row r="7625" ht="16" x14ac:dyDescent="0.2"/>
    <row r="7626" ht="16" x14ac:dyDescent="0.2"/>
    <row r="7627" ht="16" x14ac:dyDescent="0.2"/>
    <row r="7628" ht="16" x14ac:dyDescent="0.2"/>
    <row r="7629" ht="16" x14ac:dyDescent="0.2"/>
    <row r="7630" ht="16" x14ac:dyDescent="0.2"/>
    <row r="7631" ht="16" x14ac:dyDescent="0.2"/>
    <row r="7632" ht="16" x14ac:dyDescent="0.2"/>
    <row r="7633" ht="16" x14ac:dyDescent="0.2"/>
    <row r="7634" ht="16" x14ac:dyDescent="0.2"/>
    <row r="7635" ht="16" x14ac:dyDescent="0.2"/>
    <row r="7636" ht="16" x14ac:dyDescent="0.2"/>
    <row r="7637" ht="16" x14ac:dyDescent="0.2"/>
    <row r="7638" ht="16" x14ac:dyDescent="0.2"/>
    <row r="7639" ht="16" x14ac:dyDescent="0.2"/>
    <row r="7640" ht="16" x14ac:dyDescent="0.2"/>
    <row r="7641" ht="16" x14ac:dyDescent="0.2"/>
    <row r="7642" ht="16" x14ac:dyDescent="0.2"/>
    <row r="7643" ht="16" x14ac:dyDescent="0.2"/>
    <row r="7644" ht="16" x14ac:dyDescent="0.2"/>
    <row r="7645" ht="16" x14ac:dyDescent="0.2"/>
    <row r="7646" ht="16" x14ac:dyDescent="0.2"/>
    <row r="7647" ht="16" x14ac:dyDescent="0.2"/>
    <row r="7648" ht="16" x14ac:dyDescent="0.2"/>
    <row r="7649" ht="16" x14ac:dyDescent="0.2"/>
    <row r="7650" ht="16" x14ac:dyDescent="0.2"/>
    <row r="7651" ht="16" x14ac:dyDescent="0.2"/>
    <row r="7652" ht="16" x14ac:dyDescent="0.2"/>
    <row r="7653" ht="16" x14ac:dyDescent="0.2"/>
    <row r="7654" ht="16" x14ac:dyDescent="0.2"/>
    <row r="7655" ht="16" x14ac:dyDescent="0.2"/>
    <row r="7656" ht="16" x14ac:dyDescent="0.2"/>
    <row r="7657" ht="16" x14ac:dyDescent="0.2"/>
    <row r="7658" ht="16" x14ac:dyDescent="0.2"/>
    <row r="7659" ht="16" x14ac:dyDescent="0.2"/>
    <row r="7660" ht="16" x14ac:dyDescent="0.2"/>
    <row r="7661" ht="16" x14ac:dyDescent="0.2"/>
    <row r="7662" ht="16" x14ac:dyDescent="0.2"/>
    <row r="7663" ht="16" x14ac:dyDescent="0.2"/>
    <row r="7664" ht="16" x14ac:dyDescent="0.2"/>
    <row r="7665" ht="16" x14ac:dyDescent="0.2"/>
    <row r="7666" ht="16" x14ac:dyDescent="0.2"/>
    <row r="7667" ht="16" x14ac:dyDescent="0.2"/>
    <row r="7668" ht="16" x14ac:dyDescent="0.2"/>
    <row r="7669" ht="16" x14ac:dyDescent="0.2"/>
    <row r="7670" ht="16" x14ac:dyDescent="0.2"/>
    <row r="7671" ht="16" x14ac:dyDescent="0.2"/>
    <row r="7672" ht="16" x14ac:dyDescent="0.2"/>
    <row r="7673" ht="16" x14ac:dyDescent="0.2"/>
    <row r="7674" ht="16" x14ac:dyDescent="0.2"/>
    <row r="7675" ht="16" x14ac:dyDescent="0.2"/>
    <row r="7676" ht="16" x14ac:dyDescent="0.2"/>
    <row r="7677" ht="16" x14ac:dyDescent="0.2"/>
    <row r="7678" ht="16" x14ac:dyDescent="0.2"/>
    <row r="7679" ht="16" x14ac:dyDescent="0.2"/>
    <row r="7680" ht="16" x14ac:dyDescent="0.2"/>
    <row r="7681" ht="16" x14ac:dyDescent="0.2"/>
    <row r="7682" ht="16" x14ac:dyDescent="0.2"/>
    <row r="7683" ht="16" x14ac:dyDescent="0.2"/>
    <row r="7684" ht="16" x14ac:dyDescent="0.2"/>
    <row r="7685" ht="16" x14ac:dyDescent="0.2"/>
    <row r="7686" ht="16" x14ac:dyDescent="0.2"/>
    <row r="7687" ht="16" x14ac:dyDescent="0.2"/>
    <row r="7688" ht="16" x14ac:dyDescent="0.2"/>
    <row r="7689" ht="16" x14ac:dyDescent="0.2"/>
    <row r="7690" ht="16" x14ac:dyDescent="0.2"/>
    <row r="7691" ht="16" x14ac:dyDescent="0.2"/>
    <row r="7692" ht="16" x14ac:dyDescent="0.2"/>
    <row r="7693" ht="16" x14ac:dyDescent="0.2"/>
    <row r="7694" ht="16" x14ac:dyDescent="0.2"/>
    <row r="7695" ht="16" x14ac:dyDescent="0.2"/>
    <row r="7696" ht="16" x14ac:dyDescent="0.2"/>
    <row r="7697" ht="16" x14ac:dyDescent="0.2"/>
    <row r="7698" ht="16" x14ac:dyDescent="0.2"/>
    <row r="7699" ht="16" x14ac:dyDescent="0.2"/>
    <row r="7700" ht="16" x14ac:dyDescent="0.2"/>
    <row r="7701" ht="16" x14ac:dyDescent="0.2"/>
    <row r="7702" ht="16" x14ac:dyDescent="0.2"/>
    <row r="7703" ht="16" x14ac:dyDescent="0.2"/>
    <row r="7704" ht="16" x14ac:dyDescent="0.2"/>
    <row r="7705" ht="16" x14ac:dyDescent="0.2"/>
    <row r="7706" ht="16" x14ac:dyDescent="0.2"/>
    <row r="7707" ht="16" x14ac:dyDescent="0.2"/>
    <row r="7708" ht="16" x14ac:dyDescent="0.2"/>
    <row r="7709" ht="16" x14ac:dyDescent="0.2"/>
    <row r="7710" ht="16" x14ac:dyDescent="0.2"/>
    <row r="7711" ht="16" x14ac:dyDescent="0.2"/>
    <row r="7712" ht="16" x14ac:dyDescent="0.2"/>
    <row r="7713" ht="16" x14ac:dyDescent="0.2"/>
    <row r="7714" ht="16" x14ac:dyDescent="0.2"/>
    <row r="7715" ht="16" x14ac:dyDescent="0.2"/>
    <row r="7716" ht="16" x14ac:dyDescent="0.2"/>
    <row r="7717" ht="16" x14ac:dyDescent="0.2"/>
    <row r="7718" ht="16" x14ac:dyDescent="0.2"/>
    <row r="7719" ht="16" x14ac:dyDescent="0.2"/>
    <row r="7720" ht="16" x14ac:dyDescent="0.2"/>
    <row r="7721" ht="16" x14ac:dyDescent="0.2"/>
    <row r="7722" ht="16" x14ac:dyDescent="0.2"/>
    <row r="7723" ht="16" x14ac:dyDescent="0.2"/>
    <row r="7724" ht="16" x14ac:dyDescent="0.2"/>
    <row r="7725" ht="16" x14ac:dyDescent="0.2"/>
    <row r="7726" ht="16" x14ac:dyDescent="0.2"/>
    <row r="7727" ht="16" x14ac:dyDescent="0.2"/>
    <row r="7728" ht="16" x14ac:dyDescent="0.2"/>
    <row r="7729" ht="16" x14ac:dyDescent="0.2"/>
    <row r="7730" ht="16" x14ac:dyDescent="0.2"/>
    <row r="7731" ht="16" x14ac:dyDescent="0.2"/>
    <row r="7732" ht="16" x14ac:dyDescent="0.2"/>
    <row r="7733" ht="16" x14ac:dyDescent="0.2"/>
    <row r="7734" ht="16" x14ac:dyDescent="0.2"/>
    <row r="7735" ht="16" x14ac:dyDescent="0.2"/>
    <row r="7736" ht="16" x14ac:dyDescent="0.2"/>
    <row r="7737" ht="16" x14ac:dyDescent="0.2"/>
    <row r="7738" ht="16" x14ac:dyDescent="0.2"/>
    <row r="7739" ht="16" x14ac:dyDescent="0.2"/>
    <row r="7740" ht="16" x14ac:dyDescent="0.2"/>
    <row r="7741" ht="16" x14ac:dyDescent="0.2"/>
    <row r="7742" ht="16" x14ac:dyDescent="0.2"/>
    <row r="7743" ht="16" x14ac:dyDescent="0.2"/>
    <row r="7744" ht="16" x14ac:dyDescent="0.2"/>
    <row r="7745" ht="16" x14ac:dyDescent="0.2"/>
    <row r="7746" ht="16" x14ac:dyDescent="0.2"/>
    <row r="7747" ht="16" x14ac:dyDescent="0.2"/>
    <row r="7748" ht="16" x14ac:dyDescent="0.2"/>
    <row r="7749" ht="16" x14ac:dyDescent="0.2"/>
    <row r="7750" ht="16" x14ac:dyDescent="0.2"/>
    <row r="7751" ht="16" x14ac:dyDescent="0.2"/>
    <row r="7752" ht="16" x14ac:dyDescent="0.2"/>
    <row r="7753" ht="16" x14ac:dyDescent="0.2"/>
    <row r="7754" ht="16" x14ac:dyDescent="0.2"/>
    <row r="7755" ht="16" x14ac:dyDescent="0.2"/>
    <row r="7756" ht="16" x14ac:dyDescent="0.2"/>
    <row r="7757" ht="16" x14ac:dyDescent="0.2"/>
    <row r="7758" ht="16" x14ac:dyDescent="0.2"/>
    <row r="7759" ht="16" x14ac:dyDescent="0.2"/>
    <row r="7760" ht="16" x14ac:dyDescent="0.2"/>
    <row r="7761" ht="16" x14ac:dyDescent="0.2"/>
    <row r="7762" ht="16" x14ac:dyDescent="0.2"/>
    <row r="7763" ht="16" x14ac:dyDescent="0.2"/>
    <row r="7764" ht="16" x14ac:dyDescent="0.2"/>
    <row r="7765" ht="16" x14ac:dyDescent="0.2"/>
    <row r="7766" ht="16" x14ac:dyDescent="0.2"/>
    <row r="7767" ht="16" x14ac:dyDescent="0.2"/>
    <row r="7768" ht="16" x14ac:dyDescent="0.2"/>
    <row r="7769" ht="16" x14ac:dyDescent="0.2"/>
    <row r="7770" ht="16" x14ac:dyDescent="0.2"/>
    <row r="7771" ht="16" x14ac:dyDescent="0.2"/>
    <row r="7772" ht="16" x14ac:dyDescent="0.2"/>
    <row r="7773" ht="16" x14ac:dyDescent="0.2"/>
    <row r="7774" ht="16" x14ac:dyDescent="0.2"/>
    <row r="7775" ht="16" x14ac:dyDescent="0.2"/>
    <row r="7776" ht="16" x14ac:dyDescent="0.2"/>
    <row r="7777" ht="16" x14ac:dyDescent="0.2"/>
    <row r="7778" ht="16" x14ac:dyDescent="0.2"/>
    <row r="7779" ht="16" x14ac:dyDescent="0.2"/>
    <row r="7780" ht="16" x14ac:dyDescent="0.2"/>
    <row r="7781" ht="16" x14ac:dyDescent="0.2"/>
    <row r="7782" ht="16" x14ac:dyDescent="0.2"/>
    <row r="7783" ht="16" x14ac:dyDescent="0.2"/>
    <row r="7784" ht="16" x14ac:dyDescent="0.2"/>
    <row r="7785" ht="16" x14ac:dyDescent="0.2"/>
    <row r="7786" ht="16" x14ac:dyDescent="0.2"/>
    <row r="7787" ht="16" x14ac:dyDescent="0.2"/>
    <row r="7788" ht="16" x14ac:dyDescent="0.2"/>
    <row r="7789" ht="16" x14ac:dyDescent="0.2"/>
    <row r="7790" ht="16" x14ac:dyDescent="0.2"/>
    <row r="7791" ht="16" x14ac:dyDescent="0.2"/>
    <row r="7792" ht="16" x14ac:dyDescent="0.2"/>
    <row r="7793" ht="16" x14ac:dyDescent="0.2"/>
    <row r="7794" ht="16" x14ac:dyDescent="0.2"/>
    <row r="7795" ht="16" x14ac:dyDescent="0.2"/>
    <row r="7796" ht="16" x14ac:dyDescent="0.2"/>
    <row r="7797" ht="16" x14ac:dyDescent="0.2"/>
    <row r="7798" ht="16" x14ac:dyDescent="0.2"/>
    <row r="7799" ht="16" x14ac:dyDescent="0.2"/>
    <row r="7800" ht="16" x14ac:dyDescent="0.2"/>
    <row r="7801" ht="16" x14ac:dyDescent="0.2"/>
    <row r="7802" ht="16" x14ac:dyDescent="0.2"/>
    <row r="7803" ht="16" x14ac:dyDescent="0.2"/>
    <row r="7804" ht="16" x14ac:dyDescent="0.2"/>
    <row r="7805" ht="16" x14ac:dyDescent="0.2"/>
    <row r="7806" ht="16" x14ac:dyDescent="0.2"/>
    <row r="7807" ht="16" x14ac:dyDescent="0.2"/>
    <row r="7808" ht="16" x14ac:dyDescent="0.2"/>
    <row r="7809" ht="16" x14ac:dyDescent="0.2"/>
    <row r="7810" ht="16" x14ac:dyDescent="0.2"/>
    <row r="7811" ht="16" x14ac:dyDescent="0.2"/>
    <row r="7812" ht="16" x14ac:dyDescent="0.2"/>
    <row r="7813" ht="16" x14ac:dyDescent="0.2"/>
    <row r="7814" ht="16" x14ac:dyDescent="0.2"/>
    <row r="7815" ht="16" x14ac:dyDescent="0.2"/>
    <row r="7816" ht="16" x14ac:dyDescent="0.2"/>
    <row r="7817" ht="16" x14ac:dyDescent="0.2"/>
    <row r="7818" ht="16" x14ac:dyDescent="0.2"/>
    <row r="7819" ht="16" x14ac:dyDescent="0.2"/>
    <row r="7820" ht="16" x14ac:dyDescent="0.2"/>
    <row r="7821" ht="16" x14ac:dyDescent="0.2"/>
    <row r="7822" ht="16" x14ac:dyDescent="0.2"/>
    <row r="7823" ht="16" x14ac:dyDescent="0.2"/>
    <row r="7824" ht="16" x14ac:dyDescent="0.2"/>
    <row r="7825" ht="16" x14ac:dyDescent="0.2"/>
    <row r="7826" ht="16" x14ac:dyDescent="0.2"/>
    <row r="7827" ht="16" x14ac:dyDescent="0.2"/>
    <row r="7828" ht="16" x14ac:dyDescent="0.2"/>
    <row r="7829" ht="16" x14ac:dyDescent="0.2"/>
    <row r="7830" ht="16" x14ac:dyDescent="0.2"/>
    <row r="7831" ht="16" x14ac:dyDescent="0.2"/>
    <row r="7832" ht="16" x14ac:dyDescent="0.2"/>
    <row r="7833" ht="16" x14ac:dyDescent="0.2"/>
    <row r="7834" ht="16" x14ac:dyDescent="0.2"/>
    <row r="7835" ht="16" x14ac:dyDescent="0.2"/>
    <row r="7836" ht="16" x14ac:dyDescent="0.2"/>
    <row r="7837" ht="16" x14ac:dyDescent="0.2"/>
    <row r="7838" ht="16" x14ac:dyDescent="0.2"/>
    <row r="7839" ht="16" x14ac:dyDescent="0.2"/>
    <row r="7840" ht="16" x14ac:dyDescent="0.2"/>
    <row r="7841" ht="16" x14ac:dyDescent="0.2"/>
    <row r="7842" ht="16" x14ac:dyDescent="0.2"/>
    <row r="7843" ht="16" x14ac:dyDescent="0.2"/>
    <row r="7844" ht="16" x14ac:dyDescent="0.2"/>
    <row r="7845" ht="16" x14ac:dyDescent="0.2"/>
    <row r="7846" ht="16" x14ac:dyDescent="0.2"/>
    <row r="7847" ht="16" x14ac:dyDescent="0.2"/>
    <row r="7848" ht="16" x14ac:dyDescent="0.2"/>
    <row r="7849" ht="16" x14ac:dyDescent="0.2"/>
    <row r="7850" ht="16" x14ac:dyDescent="0.2"/>
    <row r="7851" ht="16" x14ac:dyDescent="0.2"/>
    <row r="7852" ht="16" x14ac:dyDescent="0.2"/>
    <row r="7853" ht="16" x14ac:dyDescent="0.2"/>
    <row r="7854" ht="16" x14ac:dyDescent="0.2"/>
    <row r="7855" ht="16" x14ac:dyDescent="0.2"/>
    <row r="7856" ht="16" x14ac:dyDescent="0.2"/>
    <row r="7857" ht="16" x14ac:dyDescent="0.2"/>
    <row r="7858" ht="16" x14ac:dyDescent="0.2"/>
    <row r="7859" ht="16" x14ac:dyDescent="0.2"/>
    <row r="7860" ht="16" x14ac:dyDescent="0.2"/>
    <row r="7861" ht="16" x14ac:dyDescent="0.2"/>
    <row r="7862" ht="16" x14ac:dyDescent="0.2"/>
    <row r="7863" ht="16" x14ac:dyDescent="0.2"/>
    <row r="7864" ht="16" x14ac:dyDescent="0.2"/>
    <row r="7865" ht="16" x14ac:dyDescent="0.2"/>
    <row r="7866" ht="16" x14ac:dyDescent="0.2"/>
    <row r="7867" ht="16" x14ac:dyDescent="0.2"/>
    <row r="7868" ht="16" x14ac:dyDescent="0.2"/>
    <row r="7869" ht="16" x14ac:dyDescent="0.2"/>
    <row r="7870" ht="16" x14ac:dyDescent="0.2"/>
    <row r="7871" ht="16" x14ac:dyDescent="0.2"/>
    <row r="7872" ht="16" x14ac:dyDescent="0.2"/>
    <row r="7873" ht="16" x14ac:dyDescent="0.2"/>
    <row r="7874" ht="16" x14ac:dyDescent="0.2"/>
    <row r="7875" ht="16" x14ac:dyDescent="0.2"/>
    <row r="7876" ht="16" x14ac:dyDescent="0.2"/>
    <row r="7877" ht="16" x14ac:dyDescent="0.2"/>
    <row r="7878" ht="16" x14ac:dyDescent="0.2"/>
    <row r="7879" ht="16" x14ac:dyDescent="0.2"/>
    <row r="7880" ht="16" x14ac:dyDescent="0.2"/>
    <row r="7881" ht="16" x14ac:dyDescent="0.2"/>
    <row r="7882" ht="16" x14ac:dyDescent="0.2"/>
    <row r="7883" ht="16" x14ac:dyDescent="0.2"/>
    <row r="7884" ht="16" x14ac:dyDescent="0.2"/>
    <row r="7885" ht="16" x14ac:dyDescent="0.2"/>
    <row r="7886" ht="16" x14ac:dyDescent="0.2"/>
    <row r="7887" ht="16" x14ac:dyDescent="0.2"/>
    <row r="7888" ht="16" x14ac:dyDescent="0.2"/>
    <row r="7889" ht="16" x14ac:dyDescent="0.2"/>
    <row r="7890" ht="16" x14ac:dyDescent="0.2"/>
    <row r="7891" ht="16" x14ac:dyDescent="0.2"/>
    <row r="7892" ht="16" x14ac:dyDescent="0.2"/>
    <row r="7893" ht="16" x14ac:dyDescent="0.2"/>
    <row r="7894" ht="16" x14ac:dyDescent="0.2"/>
    <row r="7895" ht="16" x14ac:dyDescent="0.2"/>
    <row r="7896" ht="16" x14ac:dyDescent="0.2"/>
    <row r="7897" ht="16" x14ac:dyDescent="0.2"/>
    <row r="7898" ht="16" x14ac:dyDescent="0.2"/>
    <row r="7899" ht="16" x14ac:dyDescent="0.2"/>
    <row r="7900" ht="16" x14ac:dyDescent="0.2"/>
    <row r="7901" ht="16" x14ac:dyDescent="0.2"/>
    <row r="7902" ht="16" x14ac:dyDescent="0.2"/>
    <row r="7903" ht="16" x14ac:dyDescent="0.2"/>
    <row r="7904" ht="16" x14ac:dyDescent="0.2"/>
    <row r="7905" ht="16" x14ac:dyDescent="0.2"/>
    <row r="7906" ht="16" x14ac:dyDescent="0.2"/>
    <row r="7907" ht="16" x14ac:dyDescent="0.2"/>
    <row r="7908" ht="16" x14ac:dyDescent="0.2"/>
    <row r="7909" ht="16" x14ac:dyDescent="0.2"/>
    <row r="7910" ht="16" x14ac:dyDescent="0.2"/>
    <row r="7911" ht="16" x14ac:dyDescent="0.2"/>
    <row r="7912" ht="16" x14ac:dyDescent="0.2"/>
    <row r="7913" ht="16" x14ac:dyDescent="0.2"/>
    <row r="7914" ht="16" x14ac:dyDescent="0.2"/>
    <row r="7915" ht="16" x14ac:dyDescent="0.2"/>
    <row r="7916" ht="16" x14ac:dyDescent="0.2"/>
    <row r="7917" ht="16" x14ac:dyDescent="0.2"/>
    <row r="7918" ht="16" x14ac:dyDescent="0.2"/>
    <row r="7919" ht="16" x14ac:dyDescent="0.2"/>
    <row r="7920" ht="16" x14ac:dyDescent="0.2"/>
    <row r="7921" ht="16" x14ac:dyDescent="0.2"/>
    <row r="7922" ht="16" x14ac:dyDescent="0.2"/>
    <row r="7923" ht="16" x14ac:dyDescent="0.2"/>
    <row r="7924" ht="16" x14ac:dyDescent="0.2"/>
    <row r="7925" ht="16" x14ac:dyDescent="0.2"/>
    <row r="7926" ht="16" x14ac:dyDescent="0.2"/>
    <row r="7927" ht="16" x14ac:dyDescent="0.2"/>
    <row r="7928" ht="16" x14ac:dyDescent="0.2"/>
    <row r="7929" ht="16" x14ac:dyDescent="0.2"/>
    <row r="7930" ht="16" x14ac:dyDescent="0.2"/>
    <row r="7931" ht="16" x14ac:dyDescent="0.2"/>
    <row r="7932" ht="16" x14ac:dyDescent="0.2"/>
    <row r="7933" ht="16" x14ac:dyDescent="0.2"/>
    <row r="7934" ht="16" x14ac:dyDescent="0.2"/>
    <row r="7935" ht="16" x14ac:dyDescent="0.2"/>
    <row r="7936" ht="16" x14ac:dyDescent="0.2"/>
    <row r="7937" ht="16" x14ac:dyDescent="0.2"/>
    <row r="7938" ht="16" x14ac:dyDescent="0.2"/>
    <row r="7939" ht="16" x14ac:dyDescent="0.2"/>
    <row r="7940" ht="16" x14ac:dyDescent="0.2"/>
    <row r="7941" ht="16" x14ac:dyDescent="0.2"/>
    <row r="7942" ht="16" x14ac:dyDescent="0.2"/>
    <row r="7943" ht="16" x14ac:dyDescent="0.2"/>
    <row r="7944" ht="16" x14ac:dyDescent="0.2"/>
    <row r="7945" ht="16" x14ac:dyDescent="0.2"/>
    <row r="7946" ht="16" x14ac:dyDescent="0.2"/>
    <row r="7947" ht="16" x14ac:dyDescent="0.2"/>
    <row r="7948" ht="16" x14ac:dyDescent="0.2"/>
    <row r="7949" ht="16" x14ac:dyDescent="0.2"/>
    <row r="7950" ht="16" x14ac:dyDescent="0.2"/>
    <row r="7951" ht="16" x14ac:dyDescent="0.2"/>
    <row r="7952" ht="16" x14ac:dyDescent="0.2"/>
    <row r="7953" ht="16" x14ac:dyDescent="0.2"/>
    <row r="7954" ht="16" x14ac:dyDescent="0.2"/>
    <row r="7955" ht="16" x14ac:dyDescent="0.2"/>
    <row r="7956" ht="16" x14ac:dyDescent="0.2"/>
    <row r="7957" ht="16" x14ac:dyDescent="0.2"/>
    <row r="7958" ht="16" x14ac:dyDescent="0.2"/>
    <row r="7959" ht="16" x14ac:dyDescent="0.2"/>
    <row r="7960" ht="16" x14ac:dyDescent="0.2"/>
    <row r="7961" ht="16" x14ac:dyDescent="0.2"/>
    <row r="7962" ht="16" x14ac:dyDescent="0.2"/>
    <row r="7963" ht="16" x14ac:dyDescent="0.2"/>
    <row r="7964" ht="16" x14ac:dyDescent="0.2"/>
    <row r="7965" ht="16" x14ac:dyDescent="0.2"/>
    <row r="7966" ht="16" x14ac:dyDescent="0.2"/>
    <row r="7967" ht="16" x14ac:dyDescent="0.2"/>
    <row r="7968" ht="16" x14ac:dyDescent="0.2"/>
    <row r="7969" ht="16" x14ac:dyDescent="0.2"/>
    <row r="7970" ht="16" x14ac:dyDescent="0.2"/>
    <row r="7971" ht="16" x14ac:dyDescent="0.2"/>
    <row r="7972" ht="16" x14ac:dyDescent="0.2"/>
    <row r="7973" ht="16" x14ac:dyDescent="0.2"/>
    <row r="7974" ht="16" x14ac:dyDescent="0.2"/>
    <row r="7975" ht="16" x14ac:dyDescent="0.2"/>
    <row r="7976" ht="16" x14ac:dyDescent="0.2"/>
    <row r="7977" ht="16" x14ac:dyDescent="0.2"/>
    <row r="7978" ht="16" x14ac:dyDescent="0.2"/>
    <row r="7979" ht="16" x14ac:dyDescent="0.2"/>
    <row r="7980" ht="16" x14ac:dyDescent="0.2"/>
    <row r="7981" ht="16" x14ac:dyDescent="0.2"/>
    <row r="7982" ht="16" x14ac:dyDescent="0.2"/>
    <row r="7983" ht="16" x14ac:dyDescent="0.2"/>
    <row r="7984" ht="16" x14ac:dyDescent="0.2"/>
    <row r="7985" ht="16" x14ac:dyDescent="0.2"/>
    <row r="7986" ht="16" x14ac:dyDescent="0.2"/>
    <row r="7987" ht="16" x14ac:dyDescent="0.2"/>
    <row r="7988" ht="16" x14ac:dyDescent="0.2"/>
    <row r="7989" ht="16" x14ac:dyDescent="0.2"/>
    <row r="7990" ht="16" x14ac:dyDescent="0.2"/>
    <row r="7991" ht="16" x14ac:dyDescent="0.2"/>
    <row r="7992" ht="16" x14ac:dyDescent="0.2"/>
    <row r="7993" ht="16" x14ac:dyDescent="0.2"/>
    <row r="7994" ht="16" x14ac:dyDescent="0.2"/>
    <row r="7995" ht="16" x14ac:dyDescent="0.2"/>
    <row r="7996" ht="16" x14ac:dyDescent="0.2"/>
    <row r="7997" ht="16" x14ac:dyDescent="0.2"/>
    <row r="7998" ht="16" x14ac:dyDescent="0.2"/>
    <row r="7999" ht="16" x14ac:dyDescent="0.2"/>
    <row r="8000" ht="16" x14ac:dyDescent="0.2"/>
    <row r="8001" ht="16" x14ac:dyDescent="0.2"/>
    <row r="8002" ht="16" x14ac:dyDescent="0.2"/>
    <row r="8003" ht="16" x14ac:dyDescent="0.2"/>
    <row r="8004" ht="16" x14ac:dyDescent="0.2"/>
    <row r="8005" ht="16" x14ac:dyDescent="0.2"/>
    <row r="8006" ht="16" x14ac:dyDescent="0.2"/>
    <row r="8007" ht="16" x14ac:dyDescent="0.2"/>
    <row r="8008" ht="16" x14ac:dyDescent="0.2"/>
    <row r="8009" ht="16" x14ac:dyDescent="0.2"/>
    <row r="8010" ht="16" x14ac:dyDescent="0.2"/>
    <row r="8011" ht="16" x14ac:dyDescent="0.2"/>
    <row r="8012" ht="16" x14ac:dyDescent="0.2"/>
    <row r="8013" ht="16" x14ac:dyDescent="0.2"/>
    <row r="8014" ht="16" x14ac:dyDescent="0.2"/>
    <row r="8015" ht="16" x14ac:dyDescent="0.2"/>
    <row r="8016" ht="16" x14ac:dyDescent="0.2"/>
    <row r="8017" ht="16" x14ac:dyDescent="0.2"/>
    <row r="8018" ht="16" x14ac:dyDescent="0.2"/>
    <row r="8019" ht="16" x14ac:dyDescent="0.2"/>
    <row r="8020" ht="16" x14ac:dyDescent="0.2"/>
    <row r="8021" ht="16" x14ac:dyDescent="0.2"/>
    <row r="8022" ht="16" x14ac:dyDescent="0.2"/>
    <row r="8023" ht="16" x14ac:dyDescent="0.2"/>
    <row r="8024" ht="16" x14ac:dyDescent="0.2"/>
    <row r="8025" ht="16" x14ac:dyDescent="0.2"/>
    <row r="8026" ht="16" x14ac:dyDescent="0.2"/>
    <row r="8027" ht="16" x14ac:dyDescent="0.2"/>
    <row r="8028" ht="16" x14ac:dyDescent="0.2"/>
    <row r="8029" ht="16" x14ac:dyDescent="0.2"/>
    <row r="8030" ht="16" x14ac:dyDescent="0.2"/>
    <row r="8031" ht="16" x14ac:dyDescent="0.2"/>
    <row r="8032" ht="16" x14ac:dyDescent="0.2"/>
    <row r="8033" ht="16" x14ac:dyDescent="0.2"/>
    <row r="8034" ht="16" x14ac:dyDescent="0.2"/>
    <row r="8035" ht="16" x14ac:dyDescent="0.2"/>
    <row r="8036" ht="16" x14ac:dyDescent="0.2"/>
    <row r="8037" ht="16" x14ac:dyDescent="0.2"/>
    <row r="8038" ht="16" x14ac:dyDescent="0.2"/>
    <row r="8039" ht="16" x14ac:dyDescent="0.2"/>
    <row r="8040" ht="16" x14ac:dyDescent="0.2"/>
    <row r="8041" ht="16" x14ac:dyDescent="0.2"/>
    <row r="8042" ht="16" x14ac:dyDescent="0.2"/>
    <row r="8043" ht="16" x14ac:dyDescent="0.2"/>
    <row r="8044" ht="16" x14ac:dyDescent="0.2"/>
    <row r="8045" ht="16" x14ac:dyDescent="0.2"/>
    <row r="8046" ht="16" x14ac:dyDescent="0.2"/>
    <row r="8047" ht="16" x14ac:dyDescent="0.2"/>
    <row r="8048" ht="16" x14ac:dyDescent="0.2"/>
    <row r="8049" ht="16" x14ac:dyDescent="0.2"/>
    <row r="8050" ht="16" x14ac:dyDescent="0.2"/>
    <row r="8051" ht="16" x14ac:dyDescent="0.2"/>
    <row r="8052" ht="16" x14ac:dyDescent="0.2"/>
    <row r="8053" ht="16" x14ac:dyDescent="0.2"/>
    <row r="8054" ht="16" x14ac:dyDescent="0.2"/>
    <row r="8055" ht="16" x14ac:dyDescent="0.2"/>
    <row r="8056" ht="16" x14ac:dyDescent="0.2"/>
    <row r="8057" ht="16" x14ac:dyDescent="0.2"/>
    <row r="8058" ht="16" x14ac:dyDescent="0.2"/>
    <row r="8059" ht="16" x14ac:dyDescent="0.2"/>
    <row r="8060" ht="16" x14ac:dyDescent="0.2"/>
    <row r="8061" ht="16" x14ac:dyDescent="0.2"/>
    <row r="8062" ht="16" x14ac:dyDescent="0.2"/>
    <row r="8063" ht="16" x14ac:dyDescent="0.2"/>
    <row r="8064" ht="16" x14ac:dyDescent="0.2"/>
    <row r="8065" ht="16" x14ac:dyDescent="0.2"/>
    <row r="8066" ht="16" x14ac:dyDescent="0.2"/>
    <row r="8067" ht="16" x14ac:dyDescent="0.2"/>
    <row r="8068" ht="16" x14ac:dyDescent="0.2"/>
    <row r="8069" ht="16" x14ac:dyDescent="0.2"/>
    <row r="8070" ht="16" x14ac:dyDescent="0.2"/>
    <row r="8071" ht="16" x14ac:dyDescent="0.2"/>
    <row r="8072" ht="16" x14ac:dyDescent="0.2"/>
    <row r="8073" ht="16" x14ac:dyDescent="0.2"/>
    <row r="8074" ht="16" x14ac:dyDescent="0.2"/>
    <row r="8075" ht="16" x14ac:dyDescent="0.2"/>
    <row r="8076" ht="16" x14ac:dyDescent="0.2"/>
    <row r="8077" ht="16" x14ac:dyDescent="0.2"/>
    <row r="8078" ht="16" x14ac:dyDescent="0.2"/>
    <row r="8079" ht="16" x14ac:dyDescent="0.2"/>
    <row r="8080" ht="16" x14ac:dyDescent="0.2"/>
    <row r="8081" ht="16" x14ac:dyDescent="0.2"/>
    <row r="8082" ht="16" x14ac:dyDescent="0.2"/>
    <row r="8083" ht="16" x14ac:dyDescent="0.2"/>
    <row r="8084" ht="16" x14ac:dyDescent="0.2"/>
    <row r="8085" ht="16" x14ac:dyDescent="0.2"/>
    <row r="8086" ht="16" x14ac:dyDescent="0.2"/>
    <row r="8087" ht="16" x14ac:dyDescent="0.2"/>
    <row r="8088" ht="16" x14ac:dyDescent="0.2"/>
    <row r="8089" ht="16" x14ac:dyDescent="0.2"/>
    <row r="8090" ht="16" x14ac:dyDescent="0.2"/>
    <row r="8091" ht="16" x14ac:dyDescent="0.2"/>
    <row r="8092" ht="16" x14ac:dyDescent="0.2"/>
    <row r="8093" ht="16" x14ac:dyDescent="0.2"/>
    <row r="8094" ht="16" x14ac:dyDescent="0.2"/>
    <row r="8095" ht="16" x14ac:dyDescent="0.2"/>
    <row r="8096" ht="16" x14ac:dyDescent="0.2"/>
    <row r="8097" ht="16" x14ac:dyDescent="0.2"/>
    <row r="8098" ht="16" x14ac:dyDescent="0.2"/>
    <row r="8099" ht="16" x14ac:dyDescent="0.2"/>
    <row r="8100" ht="16" x14ac:dyDescent="0.2"/>
    <row r="8101" ht="16" x14ac:dyDescent="0.2"/>
    <row r="8102" ht="16" x14ac:dyDescent="0.2"/>
    <row r="8103" ht="16" x14ac:dyDescent="0.2"/>
    <row r="8104" ht="16" x14ac:dyDescent="0.2"/>
    <row r="8105" ht="16" x14ac:dyDescent="0.2"/>
    <row r="8106" ht="16" x14ac:dyDescent="0.2"/>
    <row r="8107" ht="16" x14ac:dyDescent="0.2"/>
    <row r="8108" ht="16" x14ac:dyDescent="0.2"/>
    <row r="8109" ht="16" x14ac:dyDescent="0.2"/>
    <row r="8110" ht="16" x14ac:dyDescent="0.2"/>
    <row r="8111" ht="16" x14ac:dyDescent="0.2"/>
    <row r="8112" ht="16" x14ac:dyDescent="0.2"/>
    <row r="8113" ht="16" x14ac:dyDescent="0.2"/>
    <row r="8114" ht="16" x14ac:dyDescent="0.2"/>
    <row r="8115" ht="16" x14ac:dyDescent="0.2"/>
    <row r="8116" ht="16" x14ac:dyDescent="0.2"/>
    <row r="8117" ht="16" x14ac:dyDescent="0.2"/>
    <row r="8118" ht="16" x14ac:dyDescent="0.2"/>
    <row r="8119" ht="16" x14ac:dyDescent="0.2"/>
    <row r="8120" ht="16" x14ac:dyDescent="0.2"/>
    <row r="8121" ht="16" x14ac:dyDescent="0.2"/>
    <row r="8122" ht="16" x14ac:dyDescent="0.2"/>
    <row r="8123" ht="16" x14ac:dyDescent="0.2"/>
    <row r="8124" ht="16" x14ac:dyDescent="0.2"/>
    <row r="8125" ht="16" x14ac:dyDescent="0.2"/>
    <row r="8126" ht="16" x14ac:dyDescent="0.2"/>
    <row r="8127" ht="16" x14ac:dyDescent="0.2"/>
    <row r="8128" ht="16" x14ac:dyDescent="0.2"/>
    <row r="8129" ht="16" x14ac:dyDescent="0.2"/>
    <row r="8130" ht="16" x14ac:dyDescent="0.2"/>
    <row r="8131" ht="16" x14ac:dyDescent="0.2"/>
    <row r="8132" ht="16" x14ac:dyDescent="0.2"/>
    <row r="8133" ht="16" x14ac:dyDescent="0.2"/>
    <row r="8134" ht="16" x14ac:dyDescent="0.2"/>
    <row r="8135" ht="16" x14ac:dyDescent="0.2"/>
    <row r="8136" ht="16" x14ac:dyDescent="0.2"/>
    <row r="8137" ht="16" x14ac:dyDescent="0.2"/>
    <row r="8138" ht="16" x14ac:dyDescent="0.2"/>
    <row r="8139" ht="16" x14ac:dyDescent="0.2"/>
    <row r="8140" ht="16" x14ac:dyDescent="0.2"/>
    <row r="8141" ht="16" x14ac:dyDescent="0.2"/>
    <row r="8142" ht="16" x14ac:dyDescent="0.2"/>
    <row r="8143" ht="16" x14ac:dyDescent="0.2"/>
    <row r="8144" ht="16" x14ac:dyDescent="0.2"/>
    <row r="8145" ht="16" x14ac:dyDescent="0.2"/>
    <row r="8146" ht="16" x14ac:dyDescent="0.2"/>
    <row r="8147" ht="16" x14ac:dyDescent="0.2"/>
    <row r="8148" ht="16" x14ac:dyDescent="0.2"/>
    <row r="8149" ht="16" x14ac:dyDescent="0.2"/>
    <row r="8150" ht="16" x14ac:dyDescent="0.2"/>
    <row r="8151" ht="16" x14ac:dyDescent="0.2"/>
    <row r="8152" ht="16" x14ac:dyDescent="0.2"/>
    <row r="8153" ht="16" x14ac:dyDescent="0.2"/>
    <row r="8154" ht="16" x14ac:dyDescent="0.2"/>
    <row r="8155" ht="16" x14ac:dyDescent="0.2"/>
    <row r="8156" ht="16" x14ac:dyDescent="0.2"/>
    <row r="8157" ht="16" x14ac:dyDescent="0.2"/>
    <row r="8158" ht="16" x14ac:dyDescent="0.2"/>
    <row r="8159" ht="16" x14ac:dyDescent="0.2"/>
    <row r="8160" ht="16" x14ac:dyDescent="0.2"/>
    <row r="8161" ht="16" x14ac:dyDescent="0.2"/>
    <row r="8162" ht="16" x14ac:dyDescent="0.2"/>
    <row r="8163" ht="16" x14ac:dyDescent="0.2"/>
    <row r="8164" ht="16" x14ac:dyDescent="0.2"/>
    <row r="8165" ht="16" x14ac:dyDescent="0.2"/>
    <row r="8166" ht="16" x14ac:dyDescent="0.2"/>
    <row r="8167" ht="16" x14ac:dyDescent="0.2"/>
    <row r="8168" ht="16" x14ac:dyDescent="0.2"/>
    <row r="8169" ht="16" x14ac:dyDescent="0.2"/>
    <row r="8170" ht="16" x14ac:dyDescent="0.2"/>
    <row r="8171" ht="16" x14ac:dyDescent="0.2"/>
    <row r="8172" ht="16" x14ac:dyDescent="0.2"/>
    <row r="8173" ht="16" x14ac:dyDescent="0.2"/>
    <row r="8174" ht="16" x14ac:dyDescent="0.2"/>
    <row r="8175" ht="16" x14ac:dyDescent="0.2"/>
    <row r="8176" ht="16" x14ac:dyDescent="0.2"/>
    <row r="8177" ht="16" x14ac:dyDescent="0.2"/>
    <row r="8178" ht="16" x14ac:dyDescent="0.2"/>
    <row r="8179" ht="16" x14ac:dyDescent="0.2"/>
    <row r="8180" ht="16" x14ac:dyDescent="0.2"/>
    <row r="8181" ht="16" x14ac:dyDescent="0.2"/>
    <row r="8182" ht="16" x14ac:dyDescent="0.2"/>
    <row r="8183" ht="16" x14ac:dyDescent="0.2"/>
    <row r="8184" ht="16" x14ac:dyDescent="0.2"/>
    <row r="8185" ht="16" x14ac:dyDescent="0.2"/>
    <row r="8186" ht="16" x14ac:dyDescent="0.2"/>
    <row r="8187" ht="16" x14ac:dyDescent="0.2"/>
    <row r="8188" ht="16" x14ac:dyDescent="0.2"/>
    <row r="8189" ht="16" x14ac:dyDescent="0.2"/>
    <row r="8190" ht="16" x14ac:dyDescent="0.2"/>
    <row r="8191" ht="16" x14ac:dyDescent="0.2"/>
    <row r="8192" ht="16" x14ac:dyDescent="0.2"/>
    <row r="8193" ht="16" x14ac:dyDescent="0.2"/>
    <row r="8194" ht="16" x14ac:dyDescent="0.2"/>
    <row r="8195" ht="16" x14ac:dyDescent="0.2"/>
    <row r="8196" ht="16" x14ac:dyDescent="0.2"/>
    <row r="8197" ht="16" x14ac:dyDescent="0.2"/>
    <row r="8198" ht="16" x14ac:dyDescent="0.2"/>
    <row r="8199" ht="16" x14ac:dyDescent="0.2"/>
    <row r="8200" ht="16" x14ac:dyDescent="0.2"/>
    <row r="8201" ht="16" x14ac:dyDescent="0.2"/>
    <row r="8202" ht="16" x14ac:dyDescent="0.2"/>
    <row r="8203" ht="16" x14ac:dyDescent="0.2"/>
    <row r="8204" ht="16" x14ac:dyDescent="0.2"/>
    <row r="8205" ht="16" x14ac:dyDescent="0.2"/>
    <row r="8206" ht="16" x14ac:dyDescent="0.2"/>
    <row r="8207" ht="16" x14ac:dyDescent="0.2"/>
    <row r="8208" ht="16" x14ac:dyDescent="0.2"/>
    <row r="8209" ht="16" x14ac:dyDescent="0.2"/>
    <row r="8210" ht="16" x14ac:dyDescent="0.2"/>
    <row r="8211" ht="16" x14ac:dyDescent="0.2"/>
    <row r="8212" ht="16" x14ac:dyDescent="0.2"/>
    <row r="8213" ht="16" x14ac:dyDescent="0.2"/>
    <row r="8214" ht="16" x14ac:dyDescent="0.2"/>
    <row r="8215" ht="16" x14ac:dyDescent="0.2"/>
    <row r="8216" ht="16" x14ac:dyDescent="0.2"/>
    <row r="8217" ht="16" x14ac:dyDescent="0.2"/>
    <row r="8218" ht="16" x14ac:dyDescent="0.2"/>
    <row r="8219" ht="16" x14ac:dyDescent="0.2"/>
    <row r="8220" ht="16" x14ac:dyDescent="0.2"/>
    <row r="8221" ht="16" x14ac:dyDescent="0.2"/>
    <row r="8222" ht="16" x14ac:dyDescent="0.2"/>
    <row r="8223" ht="16" x14ac:dyDescent="0.2"/>
    <row r="8224" ht="16" x14ac:dyDescent="0.2"/>
    <row r="8225" ht="16" x14ac:dyDescent="0.2"/>
    <row r="8226" ht="16" x14ac:dyDescent="0.2"/>
    <row r="8227" ht="16" x14ac:dyDescent="0.2"/>
    <row r="8228" ht="16" x14ac:dyDescent="0.2"/>
    <row r="8229" ht="16" x14ac:dyDescent="0.2"/>
    <row r="8230" ht="16" x14ac:dyDescent="0.2"/>
    <row r="8231" ht="16" x14ac:dyDescent="0.2"/>
    <row r="8232" ht="16" x14ac:dyDescent="0.2"/>
    <row r="8233" ht="16" x14ac:dyDescent="0.2"/>
    <row r="8234" ht="16" x14ac:dyDescent="0.2"/>
    <row r="8235" ht="16" x14ac:dyDescent="0.2"/>
    <row r="8236" ht="16" x14ac:dyDescent="0.2"/>
    <row r="8237" ht="16" x14ac:dyDescent="0.2"/>
    <row r="8238" ht="16" x14ac:dyDescent="0.2"/>
    <row r="8239" ht="16" x14ac:dyDescent="0.2"/>
    <row r="8240" ht="16" x14ac:dyDescent="0.2"/>
    <row r="8241" ht="16" x14ac:dyDescent="0.2"/>
    <row r="8242" ht="16" x14ac:dyDescent="0.2"/>
    <row r="8243" ht="16" x14ac:dyDescent="0.2"/>
    <row r="8244" ht="16" x14ac:dyDescent="0.2"/>
    <row r="8245" ht="16" x14ac:dyDescent="0.2"/>
    <row r="8246" ht="16" x14ac:dyDescent="0.2"/>
    <row r="8247" ht="16" x14ac:dyDescent="0.2"/>
    <row r="8248" ht="16" x14ac:dyDescent="0.2"/>
    <row r="8249" ht="16" x14ac:dyDescent="0.2"/>
    <row r="8250" ht="16" x14ac:dyDescent="0.2"/>
    <row r="8251" ht="16" x14ac:dyDescent="0.2"/>
    <row r="8252" ht="16" x14ac:dyDescent="0.2"/>
    <row r="8253" ht="16" x14ac:dyDescent="0.2"/>
    <row r="8254" ht="16" x14ac:dyDescent="0.2"/>
    <row r="8255" ht="16" x14ac:dyDescent="0.2"/>
    <row r="8256" ht="16" x14ac:dyDescent="0.2"/>
    <row r="8257" ht="16" x14ac:dyDescent="0.2"/>
    <row r="8258" ht="16" x14ac:dyDescent="0.2"/>
    <row r="8259" ht="16" x14ac:dyDescent="0.2"/>
    <row r="8260" ht="16" x14ac:dyDescent="0.2"/>
    <row r="8261" ht="16" x14ac:dyDescent="0.2"/>
    <row r="8262" ht="16" x14ac:dyDescent="0.2"/>
    <row r="8263" ht="16" x14ac:dyDescent="0.2"/>
    <row r="8264" ht="16" x14ac:dyDescent="0.2"/>
    <row r="8265" ht="16" x14ac:dyDescent="0.2"/>
    <row r="8266" ht="16" x14ac:dyDescent="0.2"/>
    <row r="8267" ht="16" x14ac:dyDescent="0.2"/>
    <row r="8268" ht="16" x14ac:dyDescent="0.2"/>
    <row r="8269" ht="16" x14ac:dyDescent="0.2"/>
    <row r="8270" ht="16" x14ac:dyDescent="0.2"/>
    <row r="8271" ht="16" x14ac:dyDescent="0.2"/>
    <row r="8272" ht="16" x14ac:dyDescent="0.2"/>
    <row r="8273" ht="16" x14ac:dyDescent="0.2"/>
    <row r="8274" ht="16" x14ac:dyDescent="0.2"/>
    <row r="8275" ht="16" x14ac:dyDescent="0.2"/>
    <row r="8276" ht="16" x14ac:dyDescent="0.2"/>
    <row r="8277" ht="16" x14ac:dyDescent="0.2"/>
    <row r="8278" ht="16" x14ac:dyDescent="0.2"/>
    <row r="8279" ht="16" x14ac:dyDescent="0.2"/>
    <row r="8280" ht="16" x14ac:dyDescent="0.2"/>
    <row r="8281" ht="16" x14ac:dyDescent="0.2"/>
    <row r="8282" ht="16" x14ac:dyDescent="0.2"/>
    <row r="8283" ht="16" x14ac:dyDescent="0.2"/>
    <row r="8284" ht="16" x14ac:dyDescent="0.2"/>
    <row r="8285" ht="16" x14ac:dyDescent="0.2"/>
    <row r="8286" ht="16" x14ac:dyDescent="0.2"/>
    <row r="8287" ht="16" x14ac:dyDescent="0.2"/>
    <row r="8288" ht="16" x14ac:dyDescent="0.2"/>
    <row r="8289" ht="16" x14ac:dyDescent="0.2"/>
    <row r="8290" ht="16" x14ac:dyDescent="0.2"/>
    <row r="8291" ht="16" x14ac:dyDescent="0.2"/>
    <row r="8292" ht="16" x14ac:dyDescent="0.2"/>
    <row r="8293" ht="16" x14ac:dyDescent="0.2"/>
    <row r="8294" ht="16" x14ac:dyDescent="0.2"/>
    <row r="8295" ht="16" x14ac:dyDescent="0.2"/>
    <row r="8296" ht="16" x14ac:dyDescent="0.2"/>
    <row r="8297" ht="16" x14ac:dyDescent="0.2"/>
    <row r="8298" ht="16" x14ac:dyDescent="0.2"/>
    <row r="8299" ht="16" x14ac:dyDescent="0.2"/>
    <row r="8300" ht="16" x14ac:dyDescent="0.2"/>
    <row r="8301" ht="16" x14ac:dyDescent="0.2"/>
    <row r="8302" ht="16" x14ac:dyDescent="0.2"/>
    <row r="8303" ht="16" x14ac:dyDescent="0.2"/>
    <row r="8304" ht="16" x14ac:dyDescent="0.2"/>
    <row r="8305" ht="16" x14ac:dyDescent="0.2"/>
    <row r="8306" ht="16" x14ac:dyDescent="0.2"/>
    <row r="8307" ht="16" x14ac:dyDescent="0.2"/>
    <row r="8308" ht="16" x14ac:dyDescent="0.2"/>
    <row r="8309" ht="16" x14ac:dyDescent="0.2"/>
    <row r="8310" ht="16" x14ac:dyDescent="0.2"/>
    <row r="8311" ht="16" x14ac:dyDescent="0.2"/>
    <row r="8312" ht="16" x14ac:dyDescent="0.2"/>
    <row r="8313" ht="16" x14ac:dyDescent="0.2"/>
    <row r="8314" ht="16" x14ac:dyDescent="0.2"/>
    <row r="8315" ht="16" x14ac:dyDescent="0.2"/>
    <row r="8316" ht="16" x14ac:dyDescent="0.2"/>
    <row r="8317" ht="16" x14ac:dyDescent="0.2"/>
    <row r="8318" ht="16" x14ac:dyDescent="0.2"/>
    <row r="8319" ht="16" x14ac:dyDescent="0.2"/>
    <row r="8320" ht="16" x14ac:dyDescent="0.2"/>
    <row r="8321" ht="16" x14ac:dyDescent="0.2"/>
    <row r="8322" ht="16" x14ac:dyDescent="0.2"/>
    <row r="8323" ht="16" x14ac:dyDescent="0.2"/>
    <row r="8324" ht="16" x14ac:dyDescent="0.2"/>
    <row r="8325" ht="16" x14ac:dyDescent="0.2"/>
    <row r="8326" ht="16" x14ac:dyDescent="0.2"/>
    <row r="8327" ht="16" x14ac:dyDescent="0.2"/>
    <row r="8328" ht="16" x14ac:dyDescent="0.2"/>
    <row r="8329" ht="16" x14ac:dyDescent="0.2"/>
    <row r="8330" ht="16" x14ac:dyDescent="0.2"/>
    <row r="8331" ht="16" x14ac:dyDescent="0.2"/>
    <row r="8332" ht="16" x14ac:dyDescent="0.2"/>
    <row r="8333" ht="16" x14ac:dyDescent="0.2"/>
    <row r="8334" ht="16" x14ac:dyDescent="0.2"/>
    <row r="8335" ht="16" x14ac:dyDescent="0.2"/>
    <row r="8336" ht="16" x14ac:dyDescent="0.2"/>
    <row r="8337" ht="16" x14ac:dyDescent="0.2"/>
    <row r="8338" ht="16" x14ac:dyDescent="0.2"/>
    <row r="8339" ht="16" x14ac:dyDescent="0.2"/>
    <row r="8340" ht="16" x14ac:dyDescent="0.2"/>
    <row r="8341" ht="16" x14ac:dyDescent="0.2"/>
    <row r="8342" ht="16" x14ac:dyDescent="0.2"/>
    <row r="8343" ht="16" x14ac:dyDescent="0.2"/>
    <row r="8344" ht="16" x14ac:dyDescent="0.2"/>
    <row r="8345" ht="16" x14ac:dyDescent="0.2"/>
    <row r="8346" ht="16" x14ac:dyDescent="0.2"/>
    <row r="8347" ht="16" x14ac:dyDescent="0.2"/>
    <row r="8348" ht="16" x14ac:dyDescent="0.2"/>
    <row r="8349" ht="16" x14ac:dyDescent="0.2"/>
    <row r="8350" ht="16" x14ac:dyDescent="0.2"/>
    <row r="8351" ht="16" x14ac:dyDescent="0.2"/>
    <row r="8352" ht="16" x14ac:dyDescent="0.2"/>
    <row r="8353" ht="16" x14ac:dyDescent="0.2"/>
    <row r="8354" ht="16" x14ac:dyDescent="0.2"/>
    <row r="8355" ht="16" x14ac:dyDescent="0.2"/>
    <row r="8356" ht="16" x14ac:dyDescent="0.2"/>
    <row r="8357" ht="16" x14ac:dyDescent="0.2"/>
    <row r="8358" ht="16" x14ac:dyDescent="0.2"/>
    <row r="8359" ht="16" x14ac:dyDescent="0.2"/>
    <row r="8360" ht="16" x14ac:dyDescent="0.2"/>
    <row r="8361" ht="16" x14ac:dyDescent="0.2"/>
    <row r="8362" ht="16" x14ac:dyDescent="0.2"/>
    <row r="8363" ht="16" x14ac:dyDescent="0.2"/>
    <row r="8364" ht="16" x14ac:dyDescent="0.2"/>
    <row r="8365" ht="16" x14ac:dyDescent="0.2"/>
    <row r="8366" ht="16" x14ac:dyDescent="0.2"/>
    <row r="8367" ht="16" x14ac:dyDescent="0.2"/>
    <row r="8368" ht="16" x14ac:dyDescent="0.2"/>
    <row r="8369" ht="16" x14ac:dyDescent="0.2"/>
    <row r="8370" ht="16" x14ac:dyDescent="0.2"/>
    <row r="8371" ht="16" x14ac:dyDescent="0.2"/>
    <row r="8372" ht="16" x14ac:dyDescent="0.2"/>
    <row r="8373" ht="16" x14ac:dyDescent="0.2"/>
    <row r="8374" ht="16" x14ac:dyDescent="0.2"/>
    <row r="8375" ht="16" x14ac:dyDescent="0.2"/>
    <row r="8376" ht="16" x14ac:dyDescent="0.2"/>
    <row r="8377" ht="16" x14ac:dyDescent="0.2"/>
    <row r="8378" ht="16" x14ac:dyDescent="0.2"/>
    <row r="8379" ht="16" x14ac:dyDescent="0.2"/>
    <row r="8380" ht="16" x14ac:dyDescent="0.2"/>
    <row r="8381" ht="16" x14ac:dyDescent="0.2"/>
    <row r="8382" ht="16" x14ac:dyDescent="0.2"/>
    <row r="8383" ht="16" x14ac:dyDescent="0.2"/>
    <row r="8384" ht="16" x14ac:dyDescent="0.2"/>
    <row r="8385" ht="16" x14ac:dyDescent="0.2"/>
    <row r="8386" ht="16" x14ac:dyDescent="0.2"/>
    <row r="8387" ht="16" x14ac:dyDescent="0.2"/>
    <row r="8388" ht="16" x14ac:dyDescent="0.2"/>
    <row r="8389" ht="16" x14ac:dyDescent="0.2"/>
    <row r="8390" ht="16" x14ac:dyDescent="0.2"/>
    <row r="8391" ht="16" x14ac:dyDescent="0.2"/>
    <row r="8392" ht="16" x14ac:dyDescent="0.2"/>
    <row r="8393" ht="16" x14ac:dyDescent="0.2"/>
    <row r="8394" ht="16" x14ac:dyDescent="0.2"/>
    <row r="8395" ht="16" x14ac:dyDescent="0.2"/>
    <row r="8396" ht="16" x14ac:dyDescent="0.2"/>
    <row r="8397" ht="16" x14ac:dyDescent="0.2"/>
    <row r="8398" ht="16" x14ac:dyDescent="0.2"/>
    <row r="8399" ht="16" x14ac:dyDescent="0.2"/>
    <row r="8400" ht="16" x14ac:dyDescent="0.2"/>
    <row r="8401" ht="16" x14ac:dyDescent="0.2"/>
    <row r="8402" ht="16" x14ac:dyDescent="0.2"/>
    <row r="8403" ht="16" x14ac:dyDescent="0.2"/>
    <row r="8404" ht="16" x14ac:dyDescent="0.2"/>
    <row r="8405" ht="16" x14ac:dyDescent="0.2"/>
    <row r="8406" ht="16" x14ac:dyDescent="0.2"/>
    <row r="8407" ht="16" x14ac:dyDescent="0.2"/>
    <row r="8408" ht="16" x14ac:dyDescent="0.2"/>
    <row r="8409" ht="16" x14ac:dyDescent="0.2"/>
    <row r="8410" ht="16" x14ac:dyDescent="0.2"/>
    <row r="8411" ht="16" x14ac:dyDescent="0.2"/>
    <row r="8412" ht="16" x14ac:dyDescent="0.2"/>
    <row r="8413" ht="16" x14ac:dyDescent="0.2"/>
    <row r="8414" ht="16" x14ac:dyDescent="0.2"/>
    <row r="8415" ht="16" x14ac:dyDescent="0.2"/>
    <row r="8416" ht="16" x14ac:dyDescent="0.2"/>
    <row r="8417" ht="16" x14ac:dyDescent="0.2"/>
    <row r="8418" ht="16" x14ac:dyDescent="0.2"/>
    <row r="8419" ht="16" x14ac:dyDescent="0.2"/>
    <row r="8420" ht="16" x14ac:dyDescent="0.2"/>
    <row r="8421" ht="16" x14ac:dyDescent="0.2"/>
    <row r="8422" ht="16" x14ac:dyDescent="0.2"/>
    <row r="8423" ht="16" x14ac:dyDescent="0.2"/>
    <row r="8424" ht="16" x14ac:dyDescent="0.2"/>
    <row r="8425" ht="16" x14ac:dyDescent="0.2"/>
    <row r="8426" ht="16" x14ac:dyDescent="0.2"/>
    <row r="8427" ht="16" x14ac:dyDescent="0.2"/>
    <row r="8428" ht="16" x14ac:dyDescent="0.2"/>
    <row r="8429" ht="16" x14ac:dyDescent="0.2"/>
    <row r="8430" ht="16" x14ac:dyDescent="0.2"/>
    <row r="8431" ht="16" x14ac:dyDescent="0.2"/>
    <row r="8432" ht="16" x14ac:dyDescent="0.2"/>
    <row r="8433" ht="16" x14ac:dyDescent="0.2"/>
    <row r="8434" ht="16" x14ac:dyDescent="0.2"/>
    <row r="8435" ht="16" x14ac:dyDescent="0.2"/>
    <row r="8436" ht="16" x14ac:dyDescent="0.2"/>
    <row r="8437" ht="16" x14ac:dyDescent="0.2"/>
    <row r="8438" ht="16" x14ac:dyDescent="0.2"/>
    <row r="8439" ht="16" x14ac:dyDescent="0.2"/>
    <row r="8440" ht="16" x14ac:dyDescent="0.2"/>
    <row r="8441" ht="16" x14ac:dyDescent="0.2"/>
    <row r="8442" ht="16" x14ac:dyDescent="0.2"/>
    <row r="8443" ht="16" x14ac:dyDescent="0.2"/>
    <row r="8444" ht="16" x14ac:dyDescent="0.2"/>
    <row r="8445" ht="16" x14ac:dyDescent="0.2"/>
    <row r="8446" ht="16" x14ac:dyDescent="0.2"/>
    <row r="8447" ht="16" x14ac:dyDescent="0.2"/>
    <row r="8448" ht="16" x14ac:dyDescent="0.2"/>
    <row r="8449" ht="16" x14ac:dyDescent="0.2"/>
    <row r="8450" ht="16" x14ac:dyDescent="0.2"/>
    <row r="8451" ht="16" x14ac:dyDescent="0.2"/>
    <row r="8452" ht="16" x14ac:dyDescent="0.2"/>
    <row r="8453" ht="16" x14ac:dyDescent="0.2"/>
    <row r="8454" ht="16" x14ac:dyDescent="0.2"/>
    <row r="8455" ht="16" x14ac:dyDescent="0.2"/>
    <row r="8456" ht="16" x14ac:dyDescent="0.2"/>
    <row r="8457" ht="16" x14ac:dyDescent="0.2"/>
    <row r="8458" ht="16" x14ac:dyDescent="0.2"/>
    <row r="8459" ht="16" x14ac:dyDescent="0.2"/>
    <row r="8460" ht="16" x14ac:dyDescent="0.2"/>
    <row r="8461" ht="16" x14ac:dyDescent="0.2"/>
    <row r="8462" ht="16" x14ac:dyDescent="0.2"/>
    <row r="8463" ht="16" x14ac:dyDescent="0.2"/>
    <row r="8464" ht="16" x14ac:dyDescent="0.2"/>
    <row r="8465" ht="16" x14ac:dyDescent="0.2"/>
    <row r="8466" ht="16" x14ac:dyDescent="0.2"/>
    <row r="8467" ht="16" x14ac:dyDescent="0.2"/>
    <row r="8468" ht="16" x14ac:dyDescent="0.2"/>
    <row r="8469" ht="16" x14ac:dyDescent="0.2"/>
    <row r="8470" ht="16" x14ac:dyDescent="0.2"/>
    <row r="8471" ht="16" x14ac:dyDescent="0.2"/>
    <row r="8472" ht="16" x14ac:dyDescent="0.2"/>
    <row r="8473" ht="16" x14ac:dyDescent="0.2"/>
    <row r="8474" ht="16" x14ac:dyDescent="0.2"/>
    <row r="8475" ht="16" x14ac:dyDescent="0.2"/>
    <row r="8476" ht="16" x14ac:dyDescent="0.2"/>
    <row r="8477" ht="16" x14ac:dyDescent="0.2"/>
    <row r="8478" ht="16" x14ac:dyDescent="0.2"/>
    <row r="8479" ht="16" x14ac:dyDescent="0.2"/>
    <row r="8480" ht="16" x14ac:dyDescent="0.2"/>
    <row r="8481" ht="16" x14ac:dyDescent="0.2"/>
    <row r="8482" ht="16" x14ac:dyDescent="0.2"/>
    <row r="8483" ht="16" x14ac:dyDescent="0.2"/>
    <row r="8484" ht="16" x14ac:dyDescent="0.2"/>
    <row r="8485" ht="16" x14ac:dyDescent="0.2"/>
    <row r="8486" ht="16" x14ac:dyDescent="0.2"/>
    <row r="8487" ht="16" x14ac:dyDescent="0.2"/>
    <row r="8488" ht="16" x14ac:dyDescent="0.2"/>
    <row r="8489" ht="16" x14ac:dyDescent="0.2"/>
    <row r="8490" ht="16" x14ac:dyDescent="0.2"/>
    <row r="8491" ht="16" x14ac:dyDescent="0.2"/>
    <row r="8492" ht="16" x14ac:dyDescent="0.2"/>
    <row r="8493" ht="16" x14ac:dyDescent="0.2"/>
    <row r="8494" ht="16" x14ac:dyDescent="0.2"/>
    <row r="8495" ht="16" x14ac:dyDescent="0.2"/>
    <row r="8496" ht="16" x14ac:dyDescent="0.2"/>
    <row r="8497" ht="16" x14ac:dyDescent="0.2"/>
    <row r="8498" ht="16" x14ac:dyDescent="0.2"/>
    <row r="8499" ht="16" x14ac:dyDescent="0.2"/>
    <row r="8500" ht="16" x14ac:dyDescent="0.2"/>
    <row r="8501" ht="16" x14ac:dyDescent="0.2"/>
    <row r="8502" ht="16" x14ac:dyDescent="0.2"/>
    <row r="8503" ht="16" x14ac:dyDescent="0.2"/>
    <row r="8504" ht="16" x14ac:dyDescent="0.2"/>
    <row r="8505" ht="16" x14ac:dyDescent="0.2"/>
    <row r="8506" ht="16" x14ac:dyDescent="0.2"/>
    <row r="8507" ht="16" x14ac:dyDescent="0.2"/>
    <row r="8508" ht="16" x14ac:dyDescent="0.2"/>
    <row r="8509" ht="16" x14ac:dyDescent="0.2"/>
    <row r="8510" ht="16" x14ac:dyDescent="0.2"/>
    <row r="8511" ht="16" x14ac:dyDescent="0.2"/>
    <row r="8512" ht="16" x14ac:dyDescent="0.2"/>
    <row r="8513" ht="16" x14ac:dyDescent="0.2"/>
    <row r="8514" ht="16" x14ac:dyDescent="0.2"/>
    <row r="8515" ht="16" x14ac:dyDescent="0.2"/>
    <row r="8516" ht="16" x14ac:dyDescent="0.2"/>
    <row r="8517" ht="16" x14ac:dyDescent="0.2"/>
    <row r="8518" ht="16" x14ac:dyDescent="0.2"/>
    <row r="8519" ht="16" x14ac:dyDescent="0.2"/>
    <row r="8520" ht="16" x14ac:dyDescent="0.2"/>
    <row r="8521" ht="16" x14ac:dyDescent="0.2"/>
    <row r="8522" ht="16" x14ac:dyDescent="0.2"/>
    <row r="8523" ht="16" x14ac:dyDescent="0.2"/>
    <row r="8524" ht="16" x14ac:dyDescent="0.2"/>
    <row r="8525" ht="16" x14ac:dyDescent="0.2"/>
    <row r="8526" ht="16" x14ac:dyDescent="0.2"/>
    <row r="8527" ht="16" x14ac:dyDescent="0.2"/>
    <row r="8528" ht="16" x14ac:dyDescent="0.2"/>
    <row r="8529" ht="16" x14ac:dyDescent="0.2"/>
    <row r="8530" ht="16" x14ac:dyDescent="0.2"/>
    <row r="8531" ht="16" x14ac:dyDescent="0.2"/>
    <row r="8532" ht="16" x14ac:dyDescent="0.2"/>
    <row r="8533" ht="16" x14ac:dyDescent="0.2"/>
    <row r="8534" ht="16" x14ac:dyDescent="0.2"/>
    <row r="8535" ht="16" x14ac:dyDescent="0.2"/>
    <row r="8536" ht="16" x14ac:dyDescent="0.2"/>
    <row r="8537" ht="16" x14ac:dyDescent="0.2"/>
    <row r="8538" ht="16" x14ac:dyDescent="0.2"/>
    <row r="8539" ht="16" x14ac:dyDescent="0.2"/>
    <row r="8540" ht="16" x14ac:dyDescent="0.2"/>
    <row r="8541" ht="16" x14ac:dyDescent="0.2"/>
    <row r="8542" ht="16" x14ac:dyDescent="0.2"/>
    <row r="8543" ht="16" x14ac:dyDescent="0.2"/>
    <row r="8544" ht="16" x14ac:dyDescent="0.2"/>
    <row r="8545" ht="16" x14ac:dyDescent="0.2"/>
    <row r="8546" ht="16" x14ac:dyDescent="0.2"/>
    <row r="8547" ht="16" x14ac:dyDescent="0.2"/>
    <row r="8548" ht="16" x14ac:dyDescent="0.2"/>
    <row r="8549" ht="16" x14ac:dyDescent="0.2"/>
    <row r="8550" ht="16" x14ac:dyDescent="0.2"/>
    <row r="8551" ht="16" x14ac:dyDescent="0.2"/>
    <row r="8552" ht="16" x14ac:dyDescent="0.2"/>
    <row r="8553" ht="16" x14ac:dyDescent="0.2"/>
    <row r="8554" ht="16" x14ac:dyDescent="0.2"/>
    <row r="8555" ht="16" x14ac:dyDescent="0.2"/>
    <row r="8556" ht="16" x14ac:dyDescent="0.2"/>
    <row r="8557" ht="16" x14ac:dyDescent="0.2"/>
    <row r="8558" ht="16" x14ac:dyDescent="0.2"/>
    <row r="8559" ht="16" x14ac:dyDescent="0.2"/>
    <row r="8560" ht="16" x14ac:dyDescent="0.2"/>
    <row r="8561" ht="16" x14ac:dyDescent="0.2"/>
    <row r="8562" ht="16" x14ac:dyDescent="0.2"/>
    <row r="8563" ht="16" x14ac:dyDescent="0.2"/>
    <row r="8564" ht="16" x14ac:dyDescent="0.2"/>
    <row r="8565" ht="16" x14ac:dyDescent="0.2"/>
    <row r="8566" ht="16" x14ac:dyDescent="0.2"/>
    <row r="8567" ht="16" x14ac:dyDescent="0.2"/>
    <row r="8568" ht="16" x14ac:dyDescent="0.2"/>
    <row r="8569" ht="16" x14ac:dyDescent="0.2"/>
    <row r="8570" ht="16" x14ac:dyDescent="0.2"/>
    <row r="8571" ht="16" x14ac:dyDescent="0.2"/>
    <row r="8572" ht="16" x14ac:dyDescent="0.2"/>
    <row r="8573" ht="16" x14ac:dyDescent="0.2"/>
    <row r="8574" ht="16" x14ac:dyDescent="0.2"/>
    <row r="8575" ht="16" x14ac:dyDescent="0.2"/>
    <row r="8576" ht="16" x14ac:dyDescent="0.2"/>
    <row r="8577" ht="16" x14ac:dyDescent="0.2"/>
    <row r="8578" ht="16" x14ac:dyDescent="0.2"/>
    <row r="8579" ht="16" x14ac:dyDescent="0.2"/>
    <row r="8580" ht="16" x14ac:dyDescent="0.2"/>
    <row r="8581" ht="16" x14ac:dyDescent="0.2"/>
    <row r="8582" ht="16" x14ac:dyDescent="0.2"/>
    <row r="8583" ht="16" x14ac:dyDescent="0.2"/>
    <row r="8584" ht="16" x14ac:dyDescent="0.2"/>
    <row r="8585" ht="16" x14ac:dyDescent="0.2"/>
    <row r="8586" ht="16" x14ac:dyDescent="0.2"/>
    <row r="8587" ht="16" x14ac:dyDescent="0.2"/>
    <row r="8588" ht="16" x14ac:dyDescent="0.2"/>
    <row r="8589" ht="16" x14ac:dyDescent="0.2"/>
    <row r="8590" ht="16" x14ac:dyDescent="0.2"/>
    <row r="8591" ht="16" x14ac:dyDescent="0.2"/>
    <row r="8592" ht="16" x14ac:dyDescent="0.2"/>
    <row r="8593" ht="16" x14ac:dyDescent="0.2"/>
    <row r="8594" ht="16" x14ac:dyDescent="0.2"/>
    <row r="8595" ht="16" x14ac:dyDescent="0.2"/>
    <row r="8596" ht="16" x14ac:dyDescent="0.2"/>
    <row r="8597" ht="16" x14ac:dyDescent="0.2"/>
    <row r="8598" ht="16" x14ac:dyDescent="0.2"/>
    <row r="8599" ht="16" x14ac:dyDescent="0.2"/>
    <row r="8600" ht="16" x14ac:dyDescent="0.2"/>
    <row r="8601" ht="16" x14ac:dyDescent="0.2"/>
    <row r="8602" ht="16" x14ac:dyDescent="0.2"/>
    <row r="8603" ht="16" x14ac:dyDescent="0.2"/>
    <row r="8604" ht="16" x14ac:dyDescent="0.2"/>
    <row r="8605" ht="16" x14ac:dyDescent="0.2"/>
    <row r="8606" ht="16" x14ac:dyDescent="0.2"/>
    <row r="8607" ht="16" x14ac:dyDescent="0.2"/>
    <row r="8608" ht="16" x14ac:dyDescent="0.2"/>
    <row r="8609" ht="16" x14ac:dyDescent="0.2"/>
    <row r="8610" ht="16" x14ac:dyDescent="0.2"/>
    <row r="8611" ht="16" x14ac:dyDescent="0.2"/>
    <row r="8612" ht="16" x14ac:dyDescent="0.2"/>
    <row r="8613" ht="16" x14ac:dyDescent="0.2"/>
    <row r="8614" ht="16" x14ac:dyDescent="0.2"/>
    <row r="8615" ht="16" x14ac:dyDescent="0.2"/>
    <row r="8616" ht="16" x14ac:dyDescent="0.2"/>
    <row r="8617" ht="16" x14ac:dyDescent="0.2"/>
    <row r="8618" ht="16" x14ac:dyDescent="0.2"/>
    <row r="8619" ht="16" x14ac:dyDescent="0.2"/>
    <row r="8620" ht="16" x14ac:dyDescent="0.2"/>
    <row r="8621" ht="16" x14ac:dyDescent="0.2"/>
    <row r="8622" ht="16" x14ac:dyDescent="0.2"/>
    <row r="8623" ht="16" x14ac:dyDescent="0.2"/>
    <row r="8624" ht="16" x14ac:dyDescent="0.2"/>
    <row r="8625" ht="16" x14ac:dyDescent="0.2"/>
    <row r="8626" ht="16" x14ac:dyDescent="0.2"/>
    <row r="8627" ht="16" x14ac:dyDescent="0.2"/>
    <row r="8628" ht="16" x14ac:dyDescent="0.2"/>
    <row r="8629" ht="16" x14ac:dyDescent="0.2"/>
    <row r="8630" ht="16" x14ac:dyDescent="0.2"/>
    <row r="8631" ht="16" x14ac:dyDescent="0.2"/>
    <row r="8632" ht="16" x14ac:dyDescent="0.2"/>
    <row r="8633" ht="16" x14ac:dyDescent="0.2"/>
    <row r="8634" ht="16" x14ac:dyDescent="0.2"/>
    <row r="8635" ht="16" x14ac:dyDescent="0.2"/>
    <row r="8636" ht="16" x14ac:dyDescent="0.2"/>
    <row r="8637" ht="16" x14ac:dyDescent="0.2"/>
    <row r="8638" ht="16" x14ac:dyDescent="0.2"/>
    <row r="8639" ht="16" x14ac:dyDescent="0.2"/>
    <row r="8640" ht="16" x14ac:dyDescent="0.2"/>
    <row r="8641" ht="16" x14ac:dyDescent="0.2"/>
    <row r="8642" ht="16" x14ac:dyDescent="0.2"/>
    <row r="8643" ht="16" x14ac:dyDescent="0.2"/>
    <row r="8644" ht="16" x14ac:dyDescent="0.2"/>
    <row r="8645" ht="16" x14ac:dyDescent="0.2"/>
    <row r="8646" ht="16" x14ac:dyDescent="0.2"/>
    <row r="8647" ht="16" x14ac:dyDescent="0.2"/>
    <row r="8648" ht="16" x14ac:dyDescent="0.2"/>
    <row r="8649" ht="16" x14ac:dyDescent="0.2"/>
    <row r="8650" ht="16" x14ac:dyDescent="0.2"/>
    <row r="8651" ht="16" x14ac:dyDescent="0.2"/>
    <row r="8652" ht="16" x14ac:dyDescent="0.2"/>
    <row r="8653" ht="16" x14ac:dyDescent="0.2"/>
    <row r="8654" ht="16" x14ac:dyDescent="0.2"/>
    <row r="8655" ht="16" x14ac:dyDescent="0.2"/>
    <row r="8656" ht="16" x14ac:dyDescent="0.2"/>
    <row r="8657" ht="16" x14ac:dyDescent="0.2"/>
    <row r="8658" ht="16" x14ac:dyDescent="0.2"/>
    <row r="8659" ht="16" x14ac:dyDescent="0.2"/>
    <row r="8660" ht="16" x14ac:dyDescent="0.2"/>
    <row r="8661" ht="16" x14ac:dyDescent="0.2"/>
    <row r="8662" ht="16" x14ac:dyDescent="0.2"/>
    <row r="8663" ht="16" x14ac:dyDescent="0.2"/>
    <row r="8664" ht="16" x14ac:dyDescent="0.2"/>
    <row r="8665" ht="16" x14ac:dyDescent="0.2"/>
    <row r="8666" ht="16" x14ac:dyDescent="0.2"/>
    <row r="8667" ht="16" x14ac:dyDescent="0.2"/>
    <row r="8668" ht="16" x14ac:dyDescent="0.2"/>
    <row r="8669" ht="16" x14ac:dyDescent="0.2"/>
    <row r="8670" ht="16" x14ac:dyDescent="0.2"/>
    <row r="8671" ht="16" x14ac:dyDescent="0.2"/>
    <row r="8672" ht="16" x14ac:dyDescent="0.2"/>
    <row r="8673" ht="16" x14ac:dyDescent="0.2"/>
    <row r="8674" ht="16" x14ac:dyDescent="0.2"/>
    <row r="8675" ht="16" x14ac:dyDescent="0.2"/>
    <row r="8676" ht="16" x14ac:dyDescent="0.2"/>
    <row r="8677" ht="16" x14ac:dyDescent="0.2"/>
    <row r="8678" ht="16" x14ac:dyDescent="0.2"/>
    <row r="8679" ht="16" x14ac:dyDescent="0.2"/>
    <row r="8680" ht="16" x14ac:dyDescent="0.2"/>
    <row r="8681" ht="16" x14ac:dyDescent="0.2"/>
    <row r="8682" ht="16" x14ac:dyDescent="0.2"/>
    <row r="8683" ht="16" x14ac:dyDescent="0.2"/>
    <row r="8684" ht="16" x14ac:dyDescent="0.2"/>
    <row r="8685" ht="16" x14ac:dyDescent="0.2"/>
    <row r="8686" ht="16" x14ac:dyDescent="0.2"/>
    <row r="8687" ht="16" x14ac:dyDescent="0.2"/>
    <row r="8688" ht="16" x14ac:dyDescent="0.2"/>
    <row r="8689" ht="16" x14ac:dyDescent="0.2"/>
    <row r="8690" ht="16" x14ac:dyDescent="0.2"/>
    <row r="8691" ht="16" x14ac:dyDescent="0.2"/>
    <row r="8692" ht="16" x14ac:dyDescent="0.2"/>
    <row r="8693" ht="16" x14ac:dyDescent="0.2"/>
    <row r="8694" ht="16" x14ac:dyDescent="0.2"/>
    <row r="8695" ht="16" x14ac:dyDescent="0.2"/>
    <row r="8696" ht="16" x14ac:dyDescent="0.2"/>
    <row r="8697" ht="16" x14ac:dyDescent="0.2"/>
    <row r="8698" ht="16" x14ac:dyDescent="0.2"/>
    <row r="8699" ht="16" x14ac:dyDescent="0.2"/>
    <row r="8700" ht="16" x14ac:dyDescent="0.2"/>
    <row r="8701" ht="16" x14ac:dyDescent="0.2"/>
    <row r="8702" ht="16" x14ac:dyDescent="0.2"/>
    <row r="8703" ht="16" x14ac:dyDescent="0.2"/>
    <row r="8704" ht="16" x14ac:dyDescent="0.2"/>
    <row r="8705" ht="16" x14ac:dyDescent="0.2"/>
    <row r="8706" ht="16" x14ac:dyDescent="0.2"/>
    <row r="8707" ht="16" x14ac:dyDescent="0.2"/>
    <row r="8708" ht="16" x14ac:dyDescent="0.2"/>
    <row r="8709" ht="16" x14ac:dyDescent="0.2"/>
    <row r="8710" ht="16" x14ac:dyDescent="0.2"/>
    <row r="8711" ht="16" x14ac:dyDescent="0.2"/>
    <row r="8712" ht="16" x14ac:dyDescent="0.2"/>
    <row r="8713" ht="16" x14ac:dyDescent="0.2"/>
    <row r="8714" ht="16" x14ac:dyDescent="0.2"/>
    <row r="8715" ht="16" x14ac:dyDescent="0.2"/>
    <row r="8716" ht="16" x14ac:dyDescent="0.2"/>
    <row r="8717" ht="16" x14ac:dyDescent="0.2"/>
    <row r="8718" ht="16" x14ac:dyDescent="0.2"/>
    <row r="8719" ht="16" x14ac:dyDescent="0.2"/>
    <row r="8720" ht="16" x14ac:dyDescent="0.2"/>
    <row r="8721" ht="16" x14ac:dyDescent="0.2"/>
    <row r="8722" ht="16" x14ac:dyDescent="0.2"/>
    <row r="8723" ht="16" x14ac:dyDescent="0.2"/>
    <row r="8724" ht="16" x14ac:dyDescent="0.2"/>
    <row r="8725" ht="16" x14ac:dyDescent="0.2"/>
    <row r="8726" ht="16" x14ac:dyDescent="0.2"/>
    <row r="8727" ht="16" x14ac:dyDescent="0.2"/>
    <row r="8728" ht="16" x14ac:dyDescent="0.2"/>
    <row r="8729" ht="16" x14ac:dyDescent="0.2"/>
    <row r="8730" ht="16" x14ac:dyDescent="0.2"/>
    <row r="8731" ht="16" x14ac:dyDescent="0.2"/>
    <row r="8732" ht="16" x14ac:dyDescent="0.2"/>
    <row r="8733" ht="16" x14ac:dyDescent="0.2"/>
    <row r="8734" ht="16" x14ac:dyDescent="0.2"/>
    <row r="8735" ht="16" x14ac:dyDescent="0.2"/>
    <row r="8736" ht="16" x14ac:dyDescent="0.2"/>
    <row r="8737" ht="16" x14ac:dyDescent="0.2"/>
    <row r="8738" ht="16" x14ac:dyDescent="0.2"/>
    <row r="8739" ht="16" x14ac:dyDescent="0.2"/>
    <row r="8740" ht="16" x14ac:dyDescent="0.2"/>
    <row r="8741" ht="16" x14ac:dyDescent="0.2"/>
    <row r="8742" ht="16" x14ac:dyDescent="0.2"/>
    <row r="8743" ht="16" x14ac:dyDescent="0.2"/>
    <row r="8744" ht="16" x14ac:dyDescent="0.2"/>
    <row r="8745" ht="16" x14ac:dyDescent="0.2"/>
    <row r="8746" ht="16" x14ac:dyDescent="0.2"/>
    <row r="8747" ht="16" x14ac:dyDescent="0.2"/>
    <row r="8748" ht="16" x14ac:dyDescent="0.2"/>
    <row r="8749" ht="16" x14ac:dyDescent="0.2"/>
    <row r="8750" ht="16" x14ac:dyDescent="0.2"/>
    <row r="8751" ht="16" x14ac:dyDescent="0.2"/>
    <row r="8752" ht="16" x14ac:dyDescent="0.2"/>
    <row r="8753" ht="16" x14ac:dyDescent="0.2"/>
    <row r="8754" ht="16" x14ac:dyDescent="0.2"/>
    <row r="8755" ht="16" x14ac:dyDescent="0.2"/>
    <row r="8756" ht="16" x14ac:dyDescent="0.2"/>
    <row r="8757" ht="16" x14ac:dyDescent="0.2"/>
    <row r="8758" ht="16" x14ac:dyDescent="0.2"/>
    <row r="8759" ht="16" x14ac:dyDescent="0.2"/>
    <row r="8760" ht="16" x14ac:dyDescent="0.2"/>
    <row r="8761" ht="16" x14ac:dyDescent="0.2"/>
    <row r="8762" ht="16" x14ac:dyDescent="0.2"/>
    <row r="8763" ht="16" x14ac:dyDescent="0.2"/>
    <row r="8764" ht="16" x14ac:dyDescent="0.2"/>
    <row r="8765" ht="16" x14ac:dyDescent="0.2"/>
    <row r="8766" ht="16" x14ac:dyDescent="0.2"/>
    <row r="8767" ht="16" x14ac:dyDescent="0.2"/>
    <row r="8768" ht="16" x14ac:dyDescent="0.2"/>
    <row r="8769" ht="16" x14ac:dyDescent="0.2"/>
    <row r="8770" ht="16" x14ac:dyDescent="0.2"/>
    <row r="8771" ht="16" x14ac:dyDescent="0.2"/>
    <row r="8772" ht="16" x14ac:dyDescent="0.2"/>
    <row r="8773" ht="16" x14ac:dyDescent="0.2"/>
    <row r="8774" ht="16" x14ac:dyDescent="0.2"/>
    <row r="8775" ht="16" x14ac:dyDescent="0.2"/>
    <row r="8776" ht="16" x14ac:dyDescent="0.2"/>
    <row r="8777" ht="16" x14ac:dyDescent="0.2"/>
    <row r="8778" ht="16" x14ac:dyDescent="0.2"/>
    <row r="8779" ht="16" x14ac:dyDescent="0.2"/>
    <row r="8780" ht="16" x14ac:dyDescent="0.2"/>
    <row r="8781" ht="16" x14ac:dyDescent="0.2"/>
    <row r="8782" ht="16" x14ac:dyDescent="0.2"/>
    <row r="8783" ht="16" x14ac:dyDescent="0.2"/>
    <row r="8784" ht="16" x14ac:dyDescent="0.2"/>
    <row r="8785" ht="16" x14ac:dyDescent="0.2"/>
    <row r="8786" ht="16" x14ac:dyDescent="0.2"/>
    <row r="8787" ht="16" x14ac:dyDescent="0.2"/>
    <row r="8788" ht="16" x14ac:dyDescent="0.2"/>
    <row r="8789" ht="16" x14ac:dyDescent="0.2"/>
    <row r="8790" ht="16" x14ac:dyDescent="0.2"/>
    <row r="8791" ht="16" x14ac:dyDescent="0.2"/>
    <row r="8792" ht="16" x14ac:dyDescent="0.2"/>
    <row r="8793" ht="16" x14ac:dyDescent="0.2"/>
    <row r="8794" ht="16" x14ac:dyDescent="0.2"/>
    <row r="8795" ht="16" x14ac:dyDescent="0.2"/>
    <row r="8796" ht="16" x14ac:dyDescent="0.2"/>
    <row r="8797" ht="16" x14ac:dyDescent="0.2"/>
    <row r="8798" ht="16" x14ac:dyDescent="0.2"/>
    <row r="8799" ht="16" x14ac:dyDescent="0.2"/>
    <row r="8800" ht="16" x14ac:dyDescent="0.2"/>
    <row r="8801" ht="16" x14ac:dyDescent="0.2"/>
    <row r="8802" ht="16" x14ac:dyDescent="0.2"/>
    <row r="8803" ht="16" x14ac:dyDescent="0.2"/>
    <row r="8804" ht="16" x14ac:dyDescent="0.2"/>
    <row r="8805" ht="16" x14ac:dyDescent="0.2"/>
    <row r="8806" ht="16" x14ac:dyDescent="0.2"/>
    <row r="8807" ht="16" x14ac:dyDescent="0.2"/>
    <row r="8808" ht="16" x14ac:dyDescent="0.2"/>
    <row r="8809" ht="16" x14ac:dyDescent="0.2"/>
    <row r="8810" ht="16" x14ac:dyDescent="0.2"/>
    <row r="8811" ht="16" x14ac:dyDescent="0.2"/>
    <row r="8812" ht="16" x14ac:dyDescent="0.2"/>
    <row r="8813" ht="16" x14ac:dyDescent="0.2"/>
    <row r="8814" ht="16" x14ac:dyDescent="0.2"/>
    <row r="8815" ht="16" x14ac:dyDescent="0.2"/>
    <row r="8816" ht="16" x14ac:dyDescent="0.2"/>
    <row r="8817" ht="16" x14ac:dyDescent="0.2"/>
    <row r="8818" ht="16" x14ac:dyDescent="0.2"/>
    <row r="8819" ht="16" x14ac:dyDescent="0.2"/>
    <row r="8820" ht="16" x14ac:dyDescent="0.2"/>
    <row r="8821" ht="16" x14ac:dyDescent="0.2"/>
    <row r="8822" ht="16" x14ac:dyDescent="0.2"/>
    <row r="8823" ht="16" x14ac:dyDescent="0.2"/>
    <row r="8824" ht="16" x14ac:dyDescent="0.2"/>
    <row r="8825" ht="16" x14ac:dyDescent="0.2"/>
    <row r="8826" ht="16" x14ac:dyDescent="0.2"/>
    <row r="8827" ht="16" x14ac:dyDescent="0.2"/>
    <row r="8828" ht="16" x14ac:dyDescent="0.2"/>
    <row r="8829" ht="16" x14ac:dyDescent="0.2"/>
    <row r="8830" ht="16" x14ac:dyDescent="0.2"/>
    <row r="8831" ht="16" x14ac:dyDescent="0.2"/>
    <row r="8832" ht="16" x14ac:dyDescent="0.2"/>
    <row r="8833" ht="16" x14ac:dyDescent="0.2"/>
    <row r="8834" ht="16" x14ac:dyDescent="0.2"/>
    <row r="8835" ht="16" x14ac:dyDescent="0.2"/>
    <row r="8836" ht="16" x14ac:dyDescent="0.2"/>
    <row r="8837" ht="16" x14ac:dyDescent="0.2"/>
    <row r="8838" ht="16" x14ac:dyDescent="0.2"/>
    <row r="8839" ht="16" x14ac:dyDescent="0.2"/>
    <row r="8840" ht="16" x14ac:dyDescent="0.2"/>
    <row r="8841" ht="16" x14ac:dyDescent="0.2"/>
    <row r="8842" ht="16" x14ac:dyDescent="0.2"/>
    <row r="8843" ht="16" x14ac:dyDescent="0.2"/>
    <row r="8844" ht="16" x14ac:dyDescent="0.2"/>
    <row r="8845" ht="16" x14ac:dyDescent="0.2"/>
    <row r="8846" ht="16" x14ac:dyDescent="0.2"/>
    <row r="8847" ht="16" x14ac:dyDescent="0.2"/>
    <row r="8848" ht="16" x14ac:dyDescent="0.2"/>
    <row r="8849" ht="16" x14ac:dyDescent="0.2"/>
    <row r="8850" ht="16" x14ac:dyDescent="0.2"/>
    <row r="8851" ht="16" x14ac:dyDescent="0.2"/>
    <row r="8852" ht="16" x14ac:dyDescent="0.2"/>
    <row r="8853" ht="16" x14ac:dyDescent="0.2"/>
    <row r="8854" ht="16" x14ac:dyDescent="0.2"/>
    <row r="8855" ht="16" x14ac:dyDescent="0.2"/>
    <row r="8856" ht="16" x14ac:dyDescent="0.2"/>
    <row r="8857" ht="16" x14ac:dyDescent="0.2"/>
    <row r="8858" ht="16" x14ac:dyDescent="0.2"/>
    <row r="8859" ht="16" x14ac:dyDescent="0.2"/>
    <row r="8860" ht="16" x14ac:dyDescent="0.2"/>
    <row r="8861" ht="16" x14ac:dyDescent="0.2"/>
    <row r="8862" ht="16" x14ac:dyDescent="0.2"/>
    <row r="8863" ht="16" x14ac:dyDescent="0.2"/>
    <row r="8864" ht="16" x14ac:dyDescent="0.2"/>
    <row r="8865" ht="16" x14ac:dyDescent="0.2"/>
    <row r="8866" ht="16" x14ac:dyDescent="0.2"/>
    <row r="8867" ht="16" x14ac:dyDescent="0.2"/>
    <row r="8868" ht="16" x14ac:dyDescent="0.2"/>
    <row r="8869" ht="16" x14ac:dyDescent="0.2"/>
    <row r="8870" ht="16" x14ac:dyDescent="0.2"/>
    <row r="8871" ht="16" x14ac:dyDescent="0.2"/>
    <row r="8872" ht="16" x14ac:dyDescent="0.2"/>
    <row r="8873" ht="16" x14ac:dyDescent="0.2"/>
    <row r="8874" ht="16" x14ac:dyDescent="0.2"/>
    <row r="8875" ht="16" x14ac:dyDescent="0.2"/>
    <row r="8876" ht="16" x14ac:dyDescent="0.2"/>
    <row r="8877" ht="16" x14ac:dyDescent="0.2"/>
    <row r="8878" ht="16" x14ac:dyDescent="0.2"/>
    <row r="8879" ht="16" x14ac:dyDescent="0.2"/>
    <row r="8880" ht="16" x14ac:dyDescent="0.2"/>
    <row r="8881" ht="16" x14ac:dyDescent="0.2"/>
    <row r="8882" ht="16" x14ac:dyDescent="0.2"/>
    <row r="8883" ht="16" x14ac:dyDescent="0.2"/>
    <row r="8884" ht="16" x14ac:dyDescent="0.2"/>
    <row r="8885" ht="16" x14ac:dyDescent="0.2"/>
    <row r="8886" ht="16" x14ac:dyDescent="0.2"/>
    <row r="8887" ht="16" x14ac:dyDescent="0.2"/>
    <row r="8888" ht="16" x14ac:dyDescent="0.2"/>
    <row r="8889" ht="16" x14ac:dyDescent="0.2"/>
    <row r="8890" ht="16" x14ac:dyDescent="0.2"/>
    <row r="8891" ht="16" x14ac:dyDescent="0.2"/>
    <row r="8892" ht="16" x14ac:dyDescent="0.2"/>
    <row r="8893" ht="16" x14ac:dyDescent="0.2"/>
    <row r="8894" ht="16" x14ac:dyDescent="0.2"/>
    <row r="8895" ht="16" x14ac:dyDescent="0.2"/>
    <row r="8896" ht="16" x14ac:dyDescent="0.2"/>
    <row r="8897" ht="16" x14ac:dyDescent="0.2"/>
    <row r="8898" ht="16" x14ac:dyDescent="0.2"/>
    <row r="8899" ht="16" x14ac:dyDescent="0.2"/>
    <row r="8900" ht="16" x14ac:dyDescent="0.2"/>
    <row r="8901" ht="16" x14ac:dyDescent="0.2"/>
    <row r="8902" ht="16" x14ac:dyDescent="0.2"/>
    <row r="8903" ht="16" x14ac:dyDescent="0.2"/>
    <row r="8904" ht="16" x14ac:dyDescent="0.2"/>
    <row r="8905" ht="16" x14ac:dyDescent="0.2"/>
    <row r="8906" ht="16" x14ac:dyDescent="0.2"/>
    <row r="8907" ht="16" x14ac:dyDescent="0.2"/>
    <row r="8908" ht="16" x14ac:dyDescent="0.2"/>
    <row r="8909" ht="16" x14ac:dyDescent="0.2"/>
    <row r="8910" ht="16" x14ac:dyDescent="0.2"/>
    <row r="8911" ht="16" x14ac:dyDescent="0.2"/>
    <row r="8912" ht="16" x14ac:dyDescent="0.2"/>
    <row r="8913" ht="16" x14ac:dyDescent="0.2"/>
    <row r="8914" ht="16" x14ac:dyDescent="0.2"/>
    <row r="8915" ht="16" x14ac:dyDescent="0.2"/>
    <row r="8916" ht="16" x14ac:dyDescent="0.2"/>
    <row r="8917" ht="16" x14ac:dyDescent="0.2"/>
    <row r="8918" ht="16" x14ac:dyDescent="0.2"/>
    <row r="8919" ht="16" x14ac:dyDescent="0.2"/>
    <row r="8920" ht="16" x14ac:dyDescent="0.2"/>
    <row r="8921" ht="16" x14ac:dyDescent="0.2"/>
    <row r="8922" ht="16" x14ac:dyDescent="0.2"/>
    <row r="8923" ht="16" x14ac:dyDescent="0.2"/>
    <row r="8924" ht="16" x14ac:dyDescent="0.2"/>
    <row r="8925" ht="16" x14ac:dyDescent="0.2"/>
    <row r="8926" ht="16" x14ac:dyDescent="0.2"/>
    <row r="8927" ht="16" x14ac:dyDescent="0.2"/>
    <row r="8928" ht="16" x14ac:dyDescent="0.2"/>
    <row r="8929" ht="16" x14ac:dyDescent="0.2"/>
    <row r="8930" ht="16" x14ac:dyDescent="0.2"/>
    <row r="8931" ht="16" x14ac:dyDescent="0.2"/>
    <row r="8932" ht="16" x14ac:dyDescent="0.2"/>
    <row r="8933" ht="16" x14ac:dyDescent="0.2"/>
    <row r="8934" ht="16" x14ac:dyDescent="0.2"/>
    <row r="8935" ht="16" x14ac:dyDescent="0.2"/>
    <row r="8936" ht="16" x14ac:dyDescent="0.2"/>
    <row r="8937" ht="16" x14ac:dyDescent="0.2"/>
    <row r="8938" ht="16" x14ac:dyDescent="0.2"/>
    <row r="8939" ht="16" x14ac:dyDescent="0.2"/>
    <row r="8940" ht="16" x14ac:dyDescent="0.2"/>
    <row r="8941" ht="16" x14ac:dyDescent="0.2"/>
    <row r="8942" ht="16" x14ac:dyDescent="0.2"/>
    <row r="8943" ht="16" x14ac:dyDescent="0.2"/>
    <row r="8944" ht="16" x14ac:dyDescent="0.2"/>
    <row r="8945" ht="16" x14ac:dyDescent="0.2"/>
    <row r="8946" ht="16" x14ac:dyDescent="0.2"/>
    <row r="8947" ht="16" x14ac:dyDescent="0.2"/>
    <row r="8948" ht="16" x14ac:dyDescent="0.2"/>
    <row r="8949" ht="16" x14ac:dyDescent="0.2"/>
    <row r="8950" ht="16" x14ac:dyDescent="0.2"/>
    <row r="8951" ht="16" x14ac:dyDescent="0.2"/>
    <row r="8952" ht="16" x14ac:dyDescent="0.2"/>
    <row r="8953" ht="16" x14ac:dyDescent="0.2"/>
    <row r="8954" ht="16" x14ac:dyDescent="0.2"/>
    <row r="8955" ht="16" x14ac:dyDescent="0.2"/>
    <row r="8956" ht="16" x14ac:dyDescent="0.2"/>
    <row r="8957" ht="16" x14ac:dyDescent="0.2"/>
    <row r="8958" ht="16" x14ac:dyDescent="0.2"/>
    <row r="8959" ht="16" x14ac:dyDescent="0.2"/>
    <row r="8960" ht="16" x14ac:dyDescent="0.2"/>
    <row r="8961" ht="16" x14ac:dyDescent="0.2"/>
    <row r="8962" ht="16" x14ac:dyDescent="0.2"/>
    <row r="8963" ht="16" x14ac:dyDescent="0.2"/>
    <row r="8964" ht="16" x14ac:dyDescent="0.2"/>
    <row r="8965" ht="16" x14ac:dyDescent="0.2"/>
    <row r="8966" ht="16" x14ac:dyDescent="0.2"/>
    <row r="8967" ht="16" x14ac:dyDescent="0.2"/>
    <row r="8968" ht="16" x14ac:dyDescent="0.2"/>
    <row r="8969" ht="16" x14ac:dyDescent="0.2"/>
    <row r="8970" ht="16" x14ac:dyDescent="0.2"/>
    <row r="8971" ht="16" x14ac:dyDescent="0.2"/>
    <row r="8972" ht="16" x14ac:dyDescent="0.2"/>
    <row r="8973" ht="16" x14ac:dyDescent="0.2"/>
    <row r="8974" ht="16" x14ac:dyDescent="0.2"/>
    <row r="8975" ht="16" x14ac:dyDescent="0.2"/>
    <row r="8976" ht="16" x14ac:dyDescent="0.2"/>
    <row r="8977" ht="16" x14ac:dyDescent="0.2"/>
    <row r="8978" ht="16" x14ac:dyDescent="0.2"/>
    <row r="8979" ht="16" x14ac:dyDescent="0.2"/>
    <row r="8980" ht="16" x14ac:dyDescent="0.2"/>
    <row r="8981" ht="16" x14ac:dyDescent="0.2"/>
    <row r="8982" ht="16" x14ac:dyDescent="0.2"/>
    <row r="8983" ht="16" x14ac:dyDescent="0.2"/>
    <row r="8984" ht="16" x14ac:dyDescent="0.2"/>
    <row r="8985" ht="16" x14ac:dyDescent="0.2"/>
    <row r="8986" ht="16" x14ac:dyDescent="0.2"/>
    <row r="8987" ht="16" x14ac:dyDescent="0.2"/>
    <row r="8988" ht="16" x14ac:dyDescent="0.2"/>
    <row r="8989" ht="16" x14ac:dyDescent="0.2"/>
    <row r="8990" ht="16" x14ac:dyDescent="0.2"/>
    <row r="8991" ht="16" x14ac:dyDescent="0.2"/>
    <row r="8992" ht="16" x14ac:dyDescent="0.2"/>
    <row r="8993" ht="16" x14ac:dyDescent="0.2"/>
    <row r="8994" ht="16" x14ac:dyDescent="0.2"/>
    <row r="8995" ht="16" x14ac:dyDescent="0.2"/>
    <row r="8996" ht="16" x14ac:dyDescent="0.2"/>
    <row r="8997" ht="16" x14ac:dyDescent="0.2"/>
    <row r="8998" ht="16" x14ac:dyDescent="0.2"/>
    <row r="8999" ht="16" x14ac:dyDescent="0.2"/>
    <row r="9000" ht="16" x14ac:dyDescent="0.2"/>
    <row r="9001" ht="16" x14ac:dyDescent="0.2"/>
    <row r="9002" ht="16" x14ac:dyDescent="0.2"/>
    <row r="9003" ht="16" x14ac:dyDescent="0.2"/>
    <row r="9004" ht="16" x14ac:dyDescent="0.2"/>
    <row r="9005" ht="16" x14ac:dyDescent="0.2"/>
    <row r="9006" ht="16" x14ac:dyDescent="0.2"/>
    <row r="9007" ht="16" x14ac:dyDescent="0.2"/>
    <row r="9008" ht="16" x14ac:dyDescent="0.2"/>
    <row r="9009" ht="16" x14ac:dyDescent="0.2"/>
    <row r="9010" ht="16" x14ac:dyDescent="0.2"/>
    <row r="9011" ht="16" x14ac:dyDescent="0.2"/>
    <row r="9012" ht="16" x14ac:dyDescent="0.2"/>
    <row r="9013" ht="16" x14ac:dyDescent="0.2"/>
    <row r="9014" ht="16" x14ac:dyDescent="0.2"/>
    <row r="9015" ht="16" x14ac:dyDescent="0.2"/>
    <row r="9016" ht="16" x14ac:dyDescent="0.2"/>
    <row r="9017" ht="16" x14ac:dyDescent="0.2"/>
    <row r="9018" ht="16" x14ac:dyDescent="0.2"/>
    <row r="9019" ht="16" x14ac:dyDescent="0.2"/>
    <row r="9020" ht="16" x14ac:dyDescent="0.2"/>
    <row r="9021" ht="16" x14ac:dyDescent="0.2"/>
    <row r="9022" ht="16" x14ac:dyDescent="0.2"/>
    <row r="9023" ht="16" x14ac:dyDescent="0.2"/>
    <row r="9024" ht="16" x14ac:dyDescent="0.2"/>
    <row r="9025" ht="16" x14ac:dyDescent="0.2"/>
    <row r="9026" ht="16" x14ac:dyDescent="0.2"/>
    <row r="9027" ht="16" x14ac:dyDescent="0.2"/>
    <row r="9028" ht="16" x14ac:dyDescent="0.2"/>
    <row r="9029" ht="16" x14ac:dyDescent="0.2"/>
    <row r="9030" ht="16" x14ac:dyDescent="0.2"/>
    <row r="9031" ht="16" x14ac:dyDescent="0.2"/>
    <row r="9032" ht="16" x14ac:dyDescent="0.2"/>
    <row r="9033" ht="16" x14ac:dyDescent="0.2"/>
    <row r="9034" ht="16" x14ac:dyDescent="0.2"/>
    <row r="9035" ht="16" x14ac:dyDescent="0.2"/>
    <row r="9036" ht="16" x14ac:dyDescent="0.2"/>
    <row r="9037" ht="16" x14ac:dyDescent="0.2"/>
    <row r="9038" ht="16" x14ac:dyDescent="0.2"/>
    <row r="9039" ht="16" x14ac:dyDescent="0.2"/>
    <row r="9040" ht="16" x14ac:dyDescent="0.2"/>
    <row r="9041" ht="16" x14ac:dyDescent="0.2"/>
    <row r="9042" ht="16" x14ac:dyDescent="0.2"/>
    <row r="9043" ht="16" x14ac:dyDescent="0.2"/>
    <row r="9044" ht="16" x14ac:dyDescent="0.2"/>
    <row r="9045" ht="16" x14ac:dyDescent="0.2"/>
    <row r="9046" ht="16" x14ac:dyDescent="0.2"/>
    <row r="9047" ht="16" x14ac:dyDescent="0.2"/>
    <row r="9048" ht="16" x14ac:dyDescent="0.2"/>
    <row r="9049" ht="16" x14ac:dyDescent="0.2"/>
    <row r="9050" ht="16" x14ac:dyDescent="0.2"/>
    <row r="9051" ht="16" x14ac:dyDescent="0.2"/>
    <row r="9052" ht="16" x14ac:dyDescent="0.2"/>
    <row r="9053" ht="16" x14ac:dyDescent="0.2"/>
    <row r="9054" ht="16" x14ac:dyDescent="0.2"/>
    <row r="9055" ht="16" x14ac:dyDescent="0.2"/>
    <row r="9056" ht="16" x14ac:dyDescent="0.2"/>
    <row r="9057" ht="16" x14ac:dyDescent="0.2"/>
    <row r="9058" ht="16" x14ac:dyDescent="0.2"/>
    <row r="9059" ht="16" x14ac:dyDescent="0.2"/>
    <row r="9060" ht="16" x14ac:dyDescent="0.2"/>
    <row r="9061" ht="16" x14ac:dyDescent="0.2"/>
    <row r="9062" ht="16" x14ac:dyDescent="0.2"/>
    <row r="9063" ht="16" x14ac:dyDescent="0.2"/>
    <row r="9064" ht="16" x14ac:dyDescent="0.2"/>
    <row r="9065" ht="16" x14ac:dyDescent="0.2"/>
    <row r="9066" ht="16" x14ac:dyDescent="0.2"/>
    <row r="9067" ht="16" x14ac:dyDescent="0.2"/>
    <row r="9068" ht="16" x14ac:dyDescent="0.2"/>
    <row r="9069" ht="16" x14ac:dyDescent="0.2"/>
    <row r="9070" ht="16" x14ac:dyDescent="0.2"/>
    <row r="9071" ht="16" x14ac:dyDescent="0.2"/>
    <row r="9072" ht="16" x14ac:dyDescent="0.2"/>
    <row r="9073" ht="16" x14ac:dyDescent="0.2"/>
    <row r="9074" ht="16" x14ac:dyDescent="0.2"/>
    <row r="9075" ht="16" x14ac:dyDescent="0.2"/>
    <row r="9076" ht="16" x14ac:dyDescent="0.2"/>
    <row r="9077" ht="16" x14ac:dyDescent="0.2"/>
    <row r="9078" ht="16" x14ac:dyDescent="0.2"/>
    <row r="9079" ht="16" x14ac:dyDescent="0.2"/>
    <row r="9080" ht="16" x14ac:dyDescent="0.2"/>
    <row r="9081" ht="16" x14ac:dyDescent="0.2"/>
    <row r="9082" ht="16" x14ac:dyDescent="0.2"/>
    <row r="9083" ht="16" x14ac:dyDescent="0.2"/>
    <row r="9084" ht="16" x14ac:dyDescent="0.2"/>
    <row r="9085" ht="16" x14ac:dyDescent="0.2"/>
    <row r="9086" ht="16" x14ac:dyDescent="0.2"/>
    <row r="9087" ht="16" x14ac:dyDescent="0.2"/>
    <row r="9088" ht="16" x14ac:dyDescent="0.2"/>
    <row r="9089" ht="16" x14ac:dyDescent="0.2"/>
    <row r="9090" ht="16" x14ac:dyDescent="0.2"/>
    <row r="9091" ht="16" x14ac:dyDescent="0.2"/>
    <row r="9092" ht="16" x14ac:dyDescent="0.2"/>
    <row r="9093" ht="16" x14ac:dyDescent="0.2"/>
    <row r="9094" ht="16" x14ac:dyDescent="0.2"/>
    <row r="9095" ht="16" x14ac:dyDescent="0.2"/>
    <row r="9096" ht="16" x14ac:dyDescent="0.2"/>
    <row r="9097" ht="16" x14ac:dyDescent="0.2"/>
    <row r="9098" ht="16" x14ac:dyDescent="0.2"/>
    <row r="9099" ht="16" x14ac:dyDescent="0.2"/>
    <row r="9100" ht="16" x14ac:dyDescent="0.2"/>
    <row r="9101" ht="16" x14ac:dyDescent="0.2"/>
    <row r="9102" ht="16" x14ac:dyDescent="0.2"/>
    <row r="9103" ht="16" x14ac:dyDescent="0.2"/>
    <row r="9104" ht="16" x14ac:dyDescent="0.2"/>
    <row r="9105" ht="16" x14ac:dyDescent="0.2"/>
    <row r="9106" ht="16" x14ac:dyDescent="0.2"/>
    <row r="9107" ht="16" x14ac:dyDescent="0.2"/>
    <row r="9108" ht="16" x14ac:dyDescent="0.2"/>
    <row r="9109" ht="16" x14ac:dyDescent="0.2"/>
    <row r="9110" ht="16" x14ac:dyDescent="0.2"/>
    <row r="9111" ht="16" x14ac:dyDescent="0.2"/>
    <row r="9112" ht="16" x14ac:dyDescent="0.2"/>
    <row r="9113" ht="16" x14ac:dyDescent="0.2"/>
    <row r="9114" ht="16" x14ac:dyDescent="0.2"/>
    <row r="9115" ht="16" x14ac:dyDescent="0.2"/>
    <row r="9116" ht="16" x14ac:dyDescent="0.2"/>
    <row r="9117" ht="16" x14ac:dyDescent="0.2"/>
    <row r="9118" ht="16" x14ac:dyDescent="0.2"/>
    <row r="9119" ht="16" x14ac:dyDescent="0.2"/>
    <row r="9120" ht="16" x14ac:dyDescent="0.2"/>
    <row r="9121" ht="16" x14ac:dyDescent="0.2"/>
    <row r="9122" ht="16" x14ac:dyDescent="0.2"/>
    <row r="9123" ht="16" x14ac:dyDescent="0.2"/>
    <row r="9124" ht="16" x14ac:dyDescent="0.2"/>
    <row r="9125" ht="16" x14ac:dyDescent="0.2"/>
    <row r="9126" ht="16" x14ac:dyDescent="0.2"/>
    <row r="9127" ht="16" x14ac:dyDescent="0.2"/>
    <row r="9128" ht="16" x14ac:dyDescent="0.2"/>
    <row r="9129" ht="16" x14ac:dyDescent="0.2"/>
    <row r="9130" ht="16" x14ac:dyDescent="0.2"/>
    <row r="9131" ht="16" x14ac:dyDescent="0.2"/>
    <row r="9132" ht="16" x14ac:dyDescent="0.2"/>
    <row r="9133" ht="16" x14ac:dyDescent="0.2"/>
    <row r="9134" ht="16" x14ac:dyDescent="0.2"/>
    <row r="9135" ht="16" x14ac:dyDescent="0.2"/>
    <row r="9136" ht="16" x14ac:dyDescent="0.2"/>
    <row r="9137" ht="16" x14ac:dyDescent="0.2"/>
    <row r="9138" ht="16" x14ac:dyDescent="0.2"/>
    <row r="9139" ht="16" x14ac:dyDescent="0.2"/>
    <row r="9140" ht="16" x14ac:dyDescent="0.2"/>
    <row r="9141" ht="16" x14ac:dyDescent="0.2"/>
    <row r="9142" ht="16" x14ac:dyDescent="0.2"/>
    <row r="9143" ht="16" x14ac:dyDescent="0.2"/>
    <row r="9144" ht="16" x14ac:dyDescent="0.2"/>
    <row r="9145" ht="16" x14ac:dyDescent="0.2"/>
    <row r="9146" ht="16" x14ac:dyDescent="0.2"/>
    <row r="9147" ht="16" x14ac:dyDescent="0.2"/>
    <row r="9148" ht="16" x14ac:dyDescent="0.2"/>
    <row r="9149" ht="16" x14ac:dyDescent="0.2"/>
    <row r="9150" ht="16" x14ac:dyDescent="0.2"/>
    <row r="9151" ht="16" x14ac:dyDescent="0.2"/>
    <row r="9152" ht="16" x14ac:dyDescent="0.2"/>
    <row r="9153" ht="16" x14ac:dyDescent="0.2"/>
    <row r="9154" ht="16" x14ac:dyDescent="0.2"/>
    <row r="9155" ht="16" x14ac:dyDescent="0.2"/>
    <row r="9156" ht="16" x14ac:dyDescent="0.2"/>
    <row r="9157" ht="16" x14ac:dyDescent="0.2"/>
    <row r="9158" ht="16" x14ac:dyDescent="0.2"/>
    <row r="9159" ht="16" x14ac:dyDescent="0.2"/>
    <row r="9160" ht="16" x14ac:dyDescent="0.2"/>
    <row r="9161" ht="16" x14ac:dyDescent="0.2"/>
    <row r="9162" ht="16" x14ac:dyDescent="0.2"/>
    <row r="9163" ht="16" x14ac:dyDescent="0.2"/>
    <row r="9164" ht="16" x14ac:dyDescent="0.2"/>
    <row r="9165" ht="16" x14ac:dyDescent="0.2"/>
    <row r="9166" ht="16" x14ac:dyDescent="0.2"/>
    <row r="9167" ht="16" x14ac:dyDescent="0.2"/>
    <row r="9168" ht="16" x14ac:dyDescent="0.2"/>
    <row r="9169" ht="16" x14ac:dyDescent="0.2"/>
    <row r="9170" ht="16" x14ac:dyDescent="0.2"/>
    <row r="9171" ht="16" x14ac:dyDescent="0.2"/>
    <row r="9172" ht="16" x14ac:dyDescent="0.2"/>
    <row r="9173" ht="16" x14ac:dyDescent="0.2"/>
    <row r="9174" ht="16" x14ac:dyDescent="0.2"/>
    <row r="9175" ht="16" x14ac:dyDescent="0.2"/>
    <row r="9176" ht="16" x14ac:dyDescent="0.2"/>
    <row r="9177" ht="16" x14ac:dyDescent="0.2"/>
    <row r="9178" ht="16" x14ac:dyDescent="0.2"/>
    <row r="9179" ht="16" x14ac:dyDescent="0.2"/>
    <row r="9180" ht="16" x14ac:dyDescent="0.2"/>
    <row r="9181" ht="16" x14ac:dyDescent="0.2"/>
    <row r="9182" ht="16" x14ac:dyDescent="0.2"/>
    <row r="9183" ht="16" x14ac:dyDescent="0.2"/>
    <row r="9184" ht="16" x14ac:dyDescent="0.2"/>
    <row r="9185" ht="16" x14ac:dyDescent="0.2"/>
    <row r="9186" ht="16" x14ac:dyDescent="0.2"/>
    <row r="9187" ht="16" x14ac:dyDescent="0.2"/>
    <row r="9188" ht="16" x14ac:dyDescent="0.2"/>
    <row r="9189" ht="16" x14ac:dyDescent="0.2"/>
    <row r="9190" ht="16" x14ac:dyDescent="0.2"/>
    <row r="9191" ht="16" x14ac:dyDescent="0.2"/>
    <row r="9192" ht="16" x14ac:dyDescent="0.2"/>
    <row r="9193" ht="16" x14ac:dyDescent="0.2"/>
    <row r="9194" ht="16" x14ac:dyDescent="0.2"/>
    <row r="9195" ht="16" x14ac:dyDescent="0.2"/>
    <row r="9196" ht="16" x14ac:dyDescent="0.2"/>
    <row r="9197" ht="16" x14ac:dyDescent="0.2"/>
    <row r="9198" ht="16" x14ac:dyDescent="0.2"/>
    <row r="9199" ht="16" x14ac:dyDescent="0.2"/>
    <row r="9200" ht="16" x14ac:dyDescent="0.2"/>
    <row r="9201" ht="16" x14ac:dyDescent="0.2"/>
    <row r="9202" ht="16" x14ac:dyDescent="0.2"/>
    <row r="9203" ht="16" x14ac:dyDescent="0.2"/>
    <row r="9204" ht="16" x14ac:dyDescent="0.2"/>
    <row r="9205" ht="16" x14ac:dyDescent="0.2"/>
    <row r="9206" ht="16" x14ac:dyDescent="0.2"/>
    <row r="9207" ht="16" x14ac:dyDescent="0.2"/>
    <row r="9208" ht="16" x14ac:dyDescent="0.2"/>
    <row r="9209" ht="16" x14ac:dyDescent="0.2"/>
    <row r="9210" ht="16" x14ac:dyDescent="0.2"/>
    <row r="9211" ht="16" x14ac:dyDescent="0.2"/>
    <row r="9212" ht="16" x14ac:dyDescent="0.2"/>
    <row r="9213" ht="16" x14ac:dyDescent="0.2"/>
    <row r="9214" ht="16" x14ac:dyDescent="0.2"/>
    <row r="9215" ht="16" x14ac:dyDescent="0.2"/>
    <row r="9216" ht="16" x14ac:dyDescent="0.2"/>
    <row r="9217" ht="16" x14ac:dyDescent="0.2"/>
    <row r="9218" ht="16" x14ac:dyDescent="0.2"/>
    <row r="9219" ht="16" x14ac:dyDescent="0.2"/>
    <row r="9220" ht="16" x14ac:dyDescent="0.2"/>
    <row r="9221" ht="16" x14ac:dyDescent="0.2"/>
    <row r="9222" ht="16" x14ac:dyDescent="0.2"/>
    <row r="9223" ht="16" x14ac:dyDescent="0.2"/>
    <row r="9224" ht="16" x14ac:dyDescent="0.2"/>
    <row r="9225" ht="16" x14ac:dyDescent="0.2"/>
    <row r="9226" ht="16" x14ac:dyDescent="0.2"/>
    <row r="9227" ht="16" x14ac:dyDescent="0.2"/>
    <row r="9228" ht="16" x14ac:dyDescent="0.2"/>
    <row r="9229" ht="16" x14ac:dyDescent="0.2"/>
    <row r="9230" ht="16" x14ac:dyDescent="0.2"/>
    <row r="9231" ht="16" x14ac:dyDescent="0.2"/>
    <row r="9232" ht="16" x14ac:dyDescent="0.2"/>
    <row r="9233" ht="16" x14ac:dyDescent="0.2"/>
    <row r="9234" ht="16" x14ac:dyDescent="0.2"/>
    <row r="9235" ht="16" x14ac:dyDescent="0.2"/>
    <row r="9236" ht="16" x14ac:dyDescent="0.2"/>
    <row r="9237" ht="16" x14ac:dyDescent="0.2"/>
    <row r="9238" ht="16" x14ac:dyDescent="0.2"/>
    <row r="9239" ht="16" x14ac:dyDescent="0.2"/>
    <row r="9240" ht="16" x14ac:dyDescent="0.2"/>
    <row r="9241" ht="16" x14ac:dyDescent="0.2"/>
    <row r="9242" ht="16" x14ac:dyDescent="0.2"/>
    <row r="9243" ht="16" x14ac:dyDescent="0.2"/>
    <row r="9244" ht="16" x14ac:dyDescent="0.2"/>
    <row r="9245" ht="16" x14ac:dyDescent="0.2"/>
    <row r="9246" ht="16" x14ac:dyDescent="0.2"/>
    <row r="9247" ht="16" x14ac:dyDescent="0.2"/>
    <row r="9248" ht="16" x14ac:dyDescent="0.2"/>
    <row r="9249" ht="16" x14ac:dyDescent="0.2"/>
    <row r="9250" ht="16" x14ac:dyDescent="0.2"/>
    <row r="9251" ht="16" x14ac:dyDescent="0.2"/>
    <row r="9252" ht="16" x14ac:dyDescent="0.2"/>
    <row r="9253" ht="16" x14ac:dyDescent="0.2"/>
    <row r="9254" ht="16" x14ac:dyDescent="0.2"/>
    <row r="9255" ht="16" x14ac:dyDescent="0.2"/>
    <row r="9256" ht="16" x14ac:dyDescent="0.2"/>
    <row r="9257" ht="16" x14ac:dyDescent="0.2"/>
    <row r="9258" ht="16" x14ac:dyDescent="0.2"/>
    <row r="9259" ht="16" x14ac:dyDescent="0.2"/>
    <row r="9260" ht="16" x14ac:dyDescent="0.2"/>
    <row r="9261" ht="16" x14ac:dyDescent="0.2"/>
    <row r="9262" ht="16" x14ac:dyDescent="0.2"/>
    <row r="9263" ht="16" x14ac:dyDescent="0.2"/>
    <row r="9264" ht="16" x14ac:dyDescent="0.2"/>
    <row r="9265" ht="16" x14ac:dyDescent="0.2"/>
    <row r="9266" ht="16" x14ac:dyDescent="0.2"/>
    <row r="9267" ht="16" x14ac:dyDescent="0.2"/>
    <row r="9268" ht="16" x14ac:dyDescent="0.2"/>
    <row r="9269" ht="16" x14ac:dyDescent="0.2"/>
    <row r="9270" ht="16" x14ac:dyDescent="0.2"/>
    <row r="9271" ht="16" x14ac:dyDescent="0.2"/>
    <row r="9272" ht="16" x14ac:dyDescent="0.2"/>
    <row r="9273" ht="16" x14ac:dyDescent="0.2"/>
    <row r="9274" ht="16" x14ac:dyDescent="0.2"/>
    <row r="9275" ht="16" x14ac:dyDescent="0.2"/>
    <row r="9276" ht="16" x14ac:dyDescent="0.2"/>
    <row r="9277" ht="16" x14ac:dyDescent="0.2"/>
    <row r="9278" ht="16" x14ac:dyDescent="0.2"/>
    <row r="9279" ht="16" x14ac:dyDescent="0.2"/>
    <row r="9280" ht="16" x14ac:dyDescent="0.2"/>
    <row r="9281" ht="16" x14ac:dyDescent="0.2"/>
    <row r="9282" ht="16" x14ac:dyDescent="0.2"/>
    <row r="9283" ht="16" x14ac:dyDescent="0.2"/>
    <row r="9284" ht="16" x14ac:dyDescent="0.2"/>
    <row r="9285" ht="16" x14ac:dyDescent="0.2"/>
    <row r="9286" ht="16" x14ac:dyDescent="0.2"/>
    <row r="9287" ht="16" x14ac:dyDescent="0.2"/>
    <row r="9288" ht="16" x14ac:dyDescent="0.2"/>
    <row r="9289" ht="16" x14ac:dyDescent="0.2"/>
    <row r="9290" ht="16" x14ac:dyDescent="0.2"/>
    <row r="9291" ht="16" x14ac:dyDescent="0.2"/>
    <row r="9292" ht="16" x14ac:dyDescent="0.2"/>
    <row r="9293" ht="16" x14ac:dyDescent="0.2"/>
    <row r="9294" ht="16" x14ac:dyDescent="0.2"/>
    <row r="9295" ht="16" x14ac:dyDescent="0.2"/>
    <row r="9296" ht="16" x14ac:dyDescent="0.2"/>
    <row r="9297" ht="16" x14ac:dyDescent="0.2"/>
    <row r="9298" ht="16" x14ac:dyDescent="0.2"/>
    <row r="9299" ht="16" x14ac:dyDescent="0.2"/>
    <row r="9300" ht="16" x14ac:dyDescent="0.2"/>
    <row r="9301" ht="16" x14ac:dyDescent="0.2"/>
    <row r="9302" ht="16" x14ac:dyDescent="0.2"/>
    <row r="9303" ht="16" x14ac:dyDescent="0.2"/>
    <row r="9304" ht="16" x14ac:dyDescent="0.2"/>
    <row r="9305" ht="16" x14ac:dyDescent="0.2"/>
    <row r="9306" ht="16" x14ac:dyDescent="0.2"/>
    <row r="9307" ht="16" x14ac:dyDescent="0.2"/>
    <row r="9308" ht="16" x14ac:dyDescent="0.2"/>
    <row r="9309" ht="16" x14ac:dyDescent="0.2"/>
    <row r="9310" ht="16" x14ac:dyDescent="0.2"/>
    <row r="9311" ht="16" x14ac:dyDescent="0.2"/>
    <row r="9312" ht="16" x14ac:dyDescent="0.2"/>
    <row r="9313" ht="16" x14ac:dyDescent="0.2"/>
    <row r="9314" ht="16" x14ac:dyDescent="0.2"/>
    <row r="9315" ht="16" x14ac:dyDescent="0.2"/>
    <row r="9316" ht="16" x14ac:dyDescent="0.2"/>
    <row r="9317" ht="16" x14ac:dyDescent="0.2"/>
    <row r="9318" ht="16" x14ac:dyDescent="0.2"/>
    <row r="9319" ht="16" x14ac:dyDescent="0.2"/>
    <row r="9320" ht="16" x14ac:dyDescent="0.2"/>
    <row r="9321" ht="16" x14ac:dyDescent="0.2"/>
    <row r="9322" ht="16" x14ac:dyDescent="0.2"/>
    <row r="9323" ht="16" x14ac:dyDescent="0.2"/>
    <row r="9324" ht="16" x14ac:dyDescent="0.2"/>
    <row r="9325" ht="16" x14ac:dyDescent="0.2"/>
    <row r="9326" ht="16" x14ac:dyDescent="0.2"/>
    <row r="9327" ht="16" x14ac:dyDescent="0.2"/>
    <row r="9328" ht="16" x14ac:dyDescent="0.2"/>
    <row r="9329" ht="16" x14ac:dyDescent="0.2"/>
    <row r="9330" ht="16" x14ac:dyDescent="0.2"/>
    <row r="9331" ht="16" x14ac:dyDescent="0.2"/>
    <row r="9332" ht="16" x14ac:dyDescent="0.2"/>
    <row r="9333" ht="16" x14ac:dyDescent="0.2"/>
    <row r="9334" ht="16" x14ac:dyDescent="0.2"/>
    <row r="9335" ht="16" x14ac:dyDescent="0.2"/>
    <row r="9336" ht="16" x14ac:dyDescent="0.2"/>
    <row r="9337" ht="16" x14ac:dyDescent="0.2"/>
    <row r="9338" ht="16" x14ac:dyDescent="0.2"/>
    <row r="9339" ht="16" x14ac:dyDescent="0.2"/>
    <row r="9340" ht="16" x14ac:dyDescent="0.2"/>
    <row r="9341" ht="16" x14ac:dyDescent="0.2"/>
    <row r="9342" ht="16" x14ac:dyDescent="0.2"/>
    <row r="9343" ht="16" x14ac:dyDescent="0.2"/>
    <row r="9344" ht="16" x14ac:dyDescent="0.2"/>
    <row r="9345" ht="16" x14ac:dyDescent="0.2"/>
    <row r="9346" ht="16" x14ac:dyDescent="0.2"/>
    <row r="9347" ht="16" x14ac:dyDescent="0.2"/>
    <row r="9348" ht="16" x14ac:dyDescent="0.2"/>
    <row r="9349" ht="16" x14ac:dyDescent="0.2"/>
    <row r="9350" ht="16" x14ac:dyDescent="0.2"/>
    <row r="9351" ht="16" x14ac:dyDescent="0.2"/>
    <row r="9352" ht="16" x14ac:dyDescent="0.2"/>
    <row r="9353" ht="16" x14ac:dyDescent="0.2"/>
    <row r="9354" ht="16" x14ac:dyDescent="0.2"/>
    <row r="9355" ht="16" x14ac:dyDescent="0.2"/>
    <row r="9356" ht="16" x14ac:dyDescent="0.2"/>
    <row r="9357" ht="16" x14ac:dyDescent="0.2"/>
    <row r="9358" ht="16" x14ac:dyDescent="0.2"/>
    <row r="9359" ht="16" x14ac:dyDescent="0.2"/>
    <row r="9360" ht="16" x14ac:dyDescent="0.2"/>
    <row r="9361" ht="16" x14ac:dyDescent="0.2"/>
    <row r="9362" ht="16" x14ac:dyDescent="0.2"/>
    <row r="9363" ht="16" x14ac:dyDescent="0.2"/>
    <row r="9364" ht="16" x14ac:dyDescent="0.2"/>
    <row r="9365" ht="16" x14ac:dyDescent="0.2"/>
    <row r="9366" ht="16" x14ac:dyDescent="0.2"/>
    <row r="9367" ht="16" x14ac:dyDescent="0.2"/>
    <row r="9368" ht="16" x14ac:dyDescent="0.2"/>
    <row r="9369" ht="16" x14ac:dyDescent="0.2"/>
    <row r="9370" ht="16" x14ac:dyDescent="0.2"/>
    <row r="9371" ht="16" x14ac:dyDescent="0.2"/>
    <row r="9372" ht="16" x14ac:dyDescent="0.2"/>
    <row r="9373" ht="16" x14ac:dyDescent="0.2"/>
    <row r="9374" ht="16" x14ac:dyDescent="0.2"/>
    <row r="9375" ht="16" x14ac:dyDescent="0.2"/>
    <row r="9376" ht="16" x14ac:dyDescent="0.2"/>
    <row r="9377" ht="16" x14ac:dyDescent="0.2"/>
    <row r="9378" ht="16" x14ac:dyDescent="0.2"/>
    <row r="9379" ht="16" x14ac:dyDescent="0.2"/>
    <row r="9380" ht="16" x14ac:dyDescent="0.2"/>
    <row r="9381" ht="16" x14ac:dyDescent="0.2"/>
    <row r="9382" ht="16" x14ac:dyDescent="0.2"/>
    <row r="9383" ht="16" x14ac:dyDescent="0.2"/>
    <row r="9384" ht="16" x14ac:dyDescent="0.2"/>
    <row r="9385" ht="16" x14ac:dyDescent="0.2"/>
    <row r="9386" ht="16" x14ac:dyDescent="0.2"/>
    <row r="9387" ht="16" x14ac:dyDescent="0.2"/>
    <row r="9388" ht="16" x14ac:dyDescent="0.2"/>
    <row r="9389" ht="16" x14ac:dyDescent="0.2"/>
    <row r="9390" ht="16" x14ac:dyDescent="0.2"/>
    <row r="9391" ht="16" x14ac:dyDescent="0.2"/>
    <row r="9392" ht="16" x14ac:dyDescent="0.2"/>
    <row r="9393" ht="16" x14ac:dyDescent="0.2"/>
    <row r="9394" ht="16" x14ac:dyDescent="0.2"/>
    <row r="9395" ht="16" x14ac:dyDescent="0.2"/>
    <row r="9396" ht="16" x14ac:dyDescent="0.2"/>
    <row r="9397" ht="16" x14ac:dyDescent="0.2"/>
    <row r="9398" ht="16" x14ac:dyDescent="0.2"/>
    <row r="9399" ht="16" x14ac:dyDescent="0.2"/>
    <row r="9400" ht="16" x14ac:dyDescent="0.2"/>
    <row r="9401" ht="16" x14ac:dyDescent="0.2"/>
    <row r="9402" ht="16" x14ac:dyDescent="0.2"/>
    <row r="9403" ht="16" x14ac:dyDescent="0.2"/>
    <row r="9404" ht="16" x14ac:dyDescent="0.2"/>
    <row r="9405" ht="16" x14ac:dyDescent="0.2"/>
    <row r="9406" ht="16" x14ac:dyDescent="0.2"/>
    <row r="9407" ht="16" x14ac:dyDescent="0.2"/>
    <row r="9408" ht="16" x14ac:dyDescent="0.2"/>
    <row r="9409" ht="16" x14ac:dyDescent="0.2"/>
    <row r="9410" ht="16" x14ac:dyDescent="0.2"/>
    <row r="9411" ht="16" x14ac:dyDescent="0.2"/>
    <row r="9412" ht="16" x14ac:dyDescent="0.2"/>
    <row r="9413" ht="16" x14ac:dyDescent="0.2"/>
    <row r="9414" ht="16" x14ac:dyDescent="0.2"/>
    <row r="9415" ht="16" x14ac:dyDescent="0.2"/>
    <row r="9416" ht="16" x14ac:dyDescent="0.2"/>
    <row r="9417" ht="16" x14ac:dyDescent="0.2"/>
    <row r="9418" ht="16" x14ac:dyDescent="0.2"/>
    <row r="9419" ht="16" x14ac:dyDescent="0.2"/>
    <row r="9420" ht="16" x14ac:dyDescent="0.2"/>
    <row r="9421" ht="16" x14ac:dyDescent="0.2"/>
    <row r="9422" ht="16" x14ac:dyDescent="0.2"/>
    <row r="9423" ht="16" x14ac:dyDescent="0.2"/>
    <row r="9424" ht="16" x14ac:dyDescent="0.2"/>
    <row r="9425" ht="16" x14ac:dyDescent="0.2"/>
    <row r="9426" ht="16" x14ac:dyDescent="0.2"/>
    <row r="9427" ht="16" x14ac:dyDescent="0.2"/>
    <row r="9428" ht="16" x14ac:dyDescent="0.2"/>
    <row r="9429" ht="16" x14ac:dyDescent="0.2"/>
    <row r="9430" ht="16" x14ac:dyDescent="0.2"/>
    <row r="9431" ht="16" x14ac:dyDescent="0.2"/>
    <row r="9432" ht="16" x14ac:dyDescent="0.2"/>
    <row r="9433" ht="16" x14ac:dyDescent="0.2"/>
    <row r="9434" ht="16" x14ac:dyDescent="0.2"/>
    <row r="9435" ht="16" x14ac:dyDescent="0.2"/>
    <row r="9436" ht="16" x14ac:dyDescent="0.2"/>
    <row r="9437" ht="16" x14ac:dyDescent="0.2"/>
    <row r="9438" ht="16" x14ac:dyDescent="0.2"/>
    <row r="9439" ht="16" x14ac:dyDescent="0.2"/>
    <row r="9440" ht="16" x14ac:dyDescent="0.2"/>
    <row r="9441" ht="16" x14ac:dyDescent="0.2"/>
    <row r="9442" ht="16" x14ac:dyDescent="0.2"/>
    <row r="9443" ht="16" x14ac:dyDescent="0.2"/>
    <row r="9444" ht="16" x14ac:dyDescent="0.2"/>
    <row r="9445" ht="16" x14ac:dyDescent="0.2"/>
    <row r="9446" ht="16" x14ac:dyDescent="0.2"/>
    <row r="9447" ht="16" x14ac:dyDescent="0.2"/>
    <row r="9448" ht="16" x14ac:dyDescent="0.2"/>
    <row r="9449" ht="16" x14ac:dyDescent="0.2"/>
    <row r="9450" ht="16" x14ac:dyDescent="0.2"/>
    <row r="9451" ht="16" x14ac:dyDescent="0.2"/>
    <row r="9452" ht="16" x14ac:dyDescent="0.2"/>
    <row r="9453" ht="16" x14ac:dyDescent="0.2"/>
    <row r="9454" ht="16" x14ac:dyDescent="0.2"/>
    <row r="9455" ht="16" x14ac:dyDescent="0.2"/>
    <row r="9456" ht="16" x14ac:dyDescent="0.2"/>
    <row r="9457" ht="16" x14ac:dyDescent="0.2"/>
    <row r="9458" ht="16" x14ac:dyDescent="0.2"/>
    <row r="9459" ht="16" x14ac:dyDescent="0.2"/>
    <row r="9460" ht="16" x14ac:dyDescent="0.2"/>
    <row r="9461" ht="16" x14ac:dyDescent="0.2"/>
    <row r="9462" ht="16" x14ac:dyDescent="0.2"/>
    <row r="9463" ht="16" x14ac:dyDescent="0.2"/>
    <row r="9464" ht="16" x14ac:dyDescent="0.2"/>
    <row r="9465" ht="16" x14ac:dyDescent="0.2"/>
    <row r="9466" ht="16" x14ac:dyDescent="0.2"/>
    <row r="9467" ht="16" x14ac:dyDescent="0.2"/>
    <row r="9468" ht="16" x14ac:dyDescent="0.2"/>
    <row r="9469" ht="16" x14ac:dyDescent="0.2"/>
    <row r="9470" ht="16" x14ac:dyDescent="0.2"/>
    <row r="9471" ht="16" x14ac:dyDescent="0.2"/>
    <row r="9472" ht="16" x14ac:dyDescent="0.2"/>
    <row r="9473" ht="16" x14ac:dyDescent="0.2"/>
    <row r="9474" ht="16" x14ac:dyDescent="0.2"/>
    <row r="9475" ht="16" x14ac:dyDescent="0.2"/>
    <row r="9476" ht="16" x14ac:dyDescent="0.2"/>
    <row r="9477" ht="16" x14ac:dyDescent="0.2"/>
    <row r="9478" ht="16" x14ac:dyDescent="0.2"/>
    <row r="9479" ht="16" x14ac:dyDescent="0.2"/>
    <row r="9480" ht="16" x14ac:dyDescent="0.2"/>
    <row r="9481" ht="16" x14ac:dyDescent="0.2"/>
    <row r="9482" ht="16" x14ac:dyDescent="0.2"/>
    <row r="9483" ht="16" x14ac:dyDescent="0.2"/>
    <row r="9484" ht="16" x14ac:dyDescent="0.2"/>
    <row r="9485" ht="16" x14ac:dyDescent="0.2"/>
    <row r="9486" ht="16" x14ac:dyDescent="0.2"/>
    <row r="9487" ht="16" x14ac:dyDescent="0.2"/>
    <row r="9488" ht="16" x14ac:dyDescent="0.2"/>
    <row r="9489" ht="16" x14ac:dyDescent="0.2"/>
    <row r="9490" ht="16" x14ac:dyDescent="0.2"/>
    <row r="9491" ht="16" x14ac:dyDescent="0.2"/>
    <row r="9492" ht="16" x14ac:dyDescent="0.2"/>
    <row r="9493" ht="16" x14ac:dyDescent="0.2"/>
    <row r="9494" ht="16" x14ac:dyDescent="0.2"/>
    <row r="9495" ht="16" x14ac:dyDescent="0.2"/>
    <row r="9496" ht="16" x14ac:dyDescent="0.2"/>
    <row r="9497" ht="16" x14ac:dyDescent="0.2"/>
    <row r="9498" ht="16" x14ac:dyDescent="0.2"/>
    <row r="9499" ht="16" x14ac:dyDescent="0.2"/>
    <row r="9500" ht="16" x14ac:dyDescent="0.2"/>
    <row r="9501" ht="16" x14ac:dyDescent="0.2"/>
    <row r="9502" ht="16" x14ac:dyDescent="0.2"/>
    <row r="9503" ht="16" x14ac:dyDescent="0.2"/>
    <row r="9504" ht="16" x14ac:dyDescent="0.2"/>
    <row r="9505" ht="16" x14ac:dyDescent="0.2"/>
    <row r="9506" ht="16" x14ac:dyDescent="0.2"/>
    <row r="9507" ht="16" x14ac:dyDescent="0.2"/>
    <row r="9508" ht="16" x14ac:dyDescent="0.2"/>
    <row r="9509" ht="16" x14ac:dyDescent="0.2"/>
    <row r="9510" ht="16" x14ac:dyDescent="0.2"/>
    <row r="9511" ht="16" x14ac:dyDescent="0.2"/>
    <row r="9512" ht="16" x14ac:dyDescent="0.2"/>
    <row r="9513" ht="16" x14ac:dyDescent="0.2"/>
    <row r="9514" ht="16" x14ac:dyDescent="0.2"/>
    <row r="9515" ht="16" x14ac:dyDescent="0.2"/>
    <row r="9516" ht="16" x14ac:dyDescent="0.2"/>
    <row r="9517" ht="16" x14ac:dyDescent="0.2"/>
    <row r="9518" ht="16" x14ac:dyDescent="0.2"/>
    <row r="9519" ht="16" x14ac:dyDescent="0.2"/>
    <row r="9520" ht="16" x14ac:dyDescent="0.2"/>
    <row r="9521" ht="16" x14ac:dyDescent="0.2"/>
    <row r="9522" ht="16" x14ac:dyDescent="0.2"/>
    <row r="9523" ht="16" x14ac:dyDescent="0.2"/>
    <row r="9524" ht="16" x14ac:dyDescent="0.2"/>
    <row r="9525" ht="16" x14ac:dyDescent="0.2"/>
    <row r="9526" ht="16" x14ac:dyDescent="0.2"/>
    <row r="9527" ht="16" x14ac:dyDescent="0.2"/>
    <row r="9528" ht="16" x14ac:dyDescent="0.2"/>
    <row r="9529" ht="16" x14ac:dyDescent="0.2"/>
    <row r="9530" ht="16" x14ac:dyDescent="0.2"/>
    <row r="9531" ht="16" x14ac:dyDescent="0.2"/>
    <row r="9532" ht="16" x14ac:dyDescent="0.2"/>
    <row r="9533" ht="16" x14ac:dyDescent="0.2"/>
    <row r="9534" ht="16" x14ac:dyDescent="0.2"/>
    <row r="9535" ht="16" x14ac:dyDescent="0.2"/>
    <row r="9536" ht="16" x14ac:dyDescent="0.2"/>
    <row r="9537" ht="16" x14ac:dyDescent="0.2"/>
    <row r="9538" ht="16" x14ac:dyDescent="0.2"/>
    <row r="9539" ht="16" x14ac:dyDescent="0.2"/>
    <row r="9540" ht="16" x14ac:dyDescent="0.2"/>
    <row r="9541" ht="16" x14ac:dyDescent="0.2"/>
    <row r="9542" ht="16" x14ac:dyDescent="0.2"/>
    <row r="9543" ht="16" x14ac:dyDescent="0.2"/>
    <row r="9544" ht="16" x14ac:dyDescent="0.2"/>
    <row r="9545" ht="16" x14ac:dyDescent="0.2"/>
    <row r="9546" ht="16" x14ac:dyDescent="0.2"/>
    <row r="9547" ht="16" x14ac:dyDescent="0.2"/>
    <row r="9548" ht="16" x14ac:dyDescent="0.2"/>
    <row r="9549" ht="16" x14ac:dyDescent="0.2"/>
    <row r="9550" ht="16" x14ac:dyDescent="0.2"/>
    <row r="9551" ht="16" x14ac:dyDescent="0.2"/>
    <row r="9552" ht="16" x14ac:dyDescent="0.2"/>
    <row r="9553" ht="16" x14ac:dyDescent="0.2"/>
    <row r="9554" ht="16" x14ac:dyDescent="0.2"/>
    <row r="9555" ht="16" x14ac:dyDescent="0.2"/>
    <row r="9556" ht="16" x14ac:dyDescent="0.2"/>
    <row r="9557" ht="16" x14ac:dyDescent="0.2"/>
    <row r="9558" ht="16" x14ac:dyDescent="0.2"/>
    <row r="9559" ht="16" x14ac:dyDescent="0.2"/>
    <row r="9560" ht="16" x14ac:dyDescent="0.2"/>
    <row r="9561" ht="16" x14ac:dyDescent="0.2"/>
    <row r="9562" ht="16" x14ac:dyDescent="0.2"/>
    <row r="9563" ht="16" x14ac:dyDescent="0.2"/>
    <row r="9564" ht="16" x14ac:dyDescent="0.2"/>
    <row r="9565" ht="16" x14ac:dyDescent="0.2"/>
    <row r="9566" ht="16" x14ac:dyDescent="0.2"/>
    <row r="9567" ht="16" x14ac:dyDescent="0.2"/>
    <row r="9568" ht="16" x14ac:dyDescent="0.2"/>
    <row r="9569" ht="16" x14ac:dyDescent="0.2"/>
    <row r="9570" ht="16" x14ac:dyDescent="0.2"/>
    <row r="9571" ht="16" x14ac:dyDescent="0.2"/>
    <row r="9572" ht="16" x14ac:dyDescent="0.2"/>
    <row r="9573" ht="16" x14ac:dyDescent="0.2"/>
    <row r="9574" ht="16" x14ac:dyDescent="0.2"/>
    <row r="9575" ht="16" x14ac:dyDescent="0.2"/>
    <row r="9576" ht="16" x14ac:dyDescent="0.2"/>
    <row r="9577" ht="16" x14ac:dyDescent="0.2"/>
    <row r="9578" ht="16" x14ac:dyDescent="0.2"/>
    <row r="9579" ht="16" x14ac:dyDescent="0.2"/>
    <row r="9580" ht="16" x14ac:dyDescent="0.2"/>
    <row r="9581" ht="16" x14ac:dyDescent="0.2"/>
    <row r="9582" ht="16" x14ac:dyDescent="0.2"/>
    <row r="9583" ht="16" x14ac:dyDescent="0.2"/>
    <row r="9584" ht="16" x14ac:dyDescent="0.2"/>
    <row r="9585" ht="16" x14ac:dyDescent="0.2"/>
    <row r="9586" ht="16" x14ac:dyDescent="0.2"/>
    <row r="9587" ht="16" x14ac:dyDescent="0.2"/>
    <row r="9588" ht="16" x14ac:dyDescent="0.2"/>
    <row r="9589" ht="16" x14ac:dyDescent="0.2"/>
    <row r="9590" ht="16" x14ac:dyDescent="0.2"/>
    <row r="9591" ht="16" x14ac:dyDescent="0.2"/>
    <row r="9592" ht="16" x14ac:dyDescent="0.2"/>
    <row r="9593" ht="16" x14ac:dyDescent="0.2"/>
    <row r="9594" ht="16" x14ac:dyDescent="0.2"/>
    <row r="9595" ht="16" x14ac:dyDescent="0.2"/>
    <row r="9596" ht="16" x14ac:dyDescent="0.2"/>
    <row r="9597" ht="16" x14ac:dyDescent="0.2"/>
    <row r="9598" ht="16" x14ac:dyDescent="0.2"/>
    <row r="9599" ht="16" x14ac:dyDescent="0.2"/>
    <row r="9600" ht="16" x14ac:dyDescent="0.2"/>
    <row r="9601" ht="16" x14ac:dyDescent="0.2"/>
    <row r="9602" ht="16" x14ac:dyDescent="0.2"/>
    <row r="9603" ht="16" x14ac:dyDescent="0.2"/>
    <row r="9604" ht="16" x14ac:dyDescent="0.2"/>
    <row r="9605" ht="16" x14ac:dyDescent="0.2"/>
    <row r="9606" ht="16" x14ac:dyDescent="0.2"/>
    <row r="9607" ht="16" x14ac:dyDescent="0.2"/>
    <row r="9608" ht="16" x14ac:dyDescent="0.2"/>
    <row r="9609" ht="16" x14ac:dyDescent="0.2"/>
    <row r="9610" ht="16" x14ac:dyDescent="0.2"/>
    <row r="9611" ht="16" x14ac:dyDescent="0.2"/>
    <row r="9612" ht="16" x14ac:dyDescent="0.2"/>
    <row r="9613" ht="16" x14ac:dyDescent="0.2"/>
    <row r="9614" ht="16" x14ac:dyDescent="0.2"/>
    <row r="9615" ht="16" x14ac:dyDescent="0.2"/>
    <row r="9616" ht="16" x14ac:dyDescent="0.2"/>
    <row r="9617" ht="16" x14ac:dyDescent="0.2"/>
    <row r="9618" ht="16" x14ac:dyDescent="0.2"/>
    <row r="9619" ht="16" x14ac:dyDescent="0.2"/>
    <row r="9620" ht="16" x14ac:dyDescent="0.2"/>
    <row r="9621" ht="16" x14ac:dyDescent="0.2"/>
    <row r="9622" ht="16" x14ac:dyDescent="0.2"/>
    <row r="9623" ht="16" x14ac:dyDescent="0.2"/>
    <row r="9624" ht="16" x14ac:dyDescent="0.2"/>
    <row r="9625" ht="16" x14ac:dyDescent="0.2"/>
    <row r="9626" ht="16" x14ac:dyDescent="0.2"/>
    <row r="9627" ht="16" x14ac:dyDescent="0.2"/>
    <row r="9628" ht="16" x14ac:dyDescent="0.2"/>
    <row r="9629" ht="16" x14ac:dyDescent="0.2"/>
    <row r="9630" ht="16" x14ac:dyDescent="0.2"/>
    <row r="9631" ht="16" x14ac:dyDescent="0.2"/>
    <row r="9632" ht="16" x14ac:dyDescent="0.2"/>
    <row r="9633" ht="16" x14ac:dyDescent="0.2"/>
    <row r="9634" ht="16" x14ac:dyDescent="0.2"/>
    <row r="9635" ht="16" x14ac:dyDescent="0.2"/>
    <row r="9636" ht="16" x14ac:dyDescent="0.2"/>
    <row r="9637" ht="16" x14ac:dyDescent="0.2"/>
    <row r="9638" ht="16" x14ac:dyDescent="0.2"/>
    <row r="9639" ht="16" x14ac:dyDescent="0.2"/>
    <row r="9640" ht="16" x14ac:dyDescent="0.2"/>
    <row r="9641" ht="16" x14ac:dyDescent="0.2"/>
    <row r="9642" ht="16" x14ac:dyDescent="0.2"/>
    <row r="9643" ht="16" x14ac:dyDescent="0.2"/>
    <row r="9644" ht="16" x14ac:dyDescent="0.2"/>
    <row r="9645" ht="16" x14ac:dyDescent="0.2"/>
    <row r="9646" ht="16" x14ac:dyDescent="0.2"/>
    <row r="9647" ht="16" x14ac:dyDescent="0.2"/>
    <row r="9648" ht="16" x14ac:dyDescent="0.2"/>
    <row r="9649" ht="16" x14ac:dyDescent="0.2"/>
    <row r="9650" ht="16" x14ac:dyDescent="0.2"/>
    <row r="9651" ht="16" x14ac:dyDescent="0.2"/>
    <row r="9652" ht="16" x14ac:dyDescent="0.2"/>
    <row r="9653" ht="16" x14ac:dyDescent="0.2"/>
    <row r="9654" ht="16" x14ac:dyDescent="0.2"/>
    <row r="9655" ht="16" x14ac:dyDescent="0.2"/>
    <row r="9656" ht="16" x14ac:dyDescent="0.2"/>
    <row r="9657" ht="16" x14ac:dyDescent="0.2"/>
    <row r="9658" ht="16" x14ac:dyDescent="0.2"/>
    <row r="9659" ht="16" x14ac:dyDescent="0.2"/>
    <row r="9660" ht="16" x14ac:dyDescent="0.2"/>
    <row r="9661" ht="16" x14ac:dyDescent="0.2"/>
    <row r="9662" ht="16" x14ac:dyDescent="0.2"/>
    <row r="9663" ht="16" x14ac:dyDescent="0.2"/>
    <row r="9664" ht="16" x14ac:dyDescent="0.2"/>
    <row r="9665" ht="16" x14ac:dyDescent="0.2"/>
    <row r="9666" ht="16" x14ac:dyDescent="0.2"/>
    <row r="9667" ht="16" x14ac:dyDescent="0.2"/>
    <row r="9668" ht="16" x14ac:dyDescent="0.2"/>
    <row r="9669" ht="16" x14ac:dyDescent="0.2"/>
    <row r="9670" ht="16" x14ac:dyDescent="0.2"/>
    <row r="9671" ht="16" x14ac:dyDescent="0.2"/>
    <row r="9672" ht="16" x14ac:dyDescent="0.2"/>
    <row r="9673" ht="16" x14ac:dyDescent="0.2"/>
    <row r="9674" ht="16" x14ac:dyDescent="0.2"/>
    <row r="9675" ht="16" x14ac:dyDescent="0.2"/>
    <row r="9676" ht="16" x14ac:dyDescent="0.2"/>
    <row r="9677" ht="16" x14ac:dyDescent="0.2"/>
    <row r="9678" ht="16" x14ac:dyDescent="0.2"/>
    <row r="9679" ht="16" x14ac:dyDescent="0.2"/>
    <row r="9680" ht="16" x14ac:dyDescent="0.2"/>
    <row r="9681" ht="16" x14ac:dyDescent="0.2"/>
    <row r="9682" ht="16" x14ac:dyDescent="0.2"/>
    <row r="9683" ht="16" x14ac:dyDescent="0.2"/>
    <row r="9684" ht="16" x14ac:dyDescent="0.2"/>
    <row r="9685" ht="16" x14ac:dyDescent="0.2"/>
    <row r="9686" ht="16" x14ac:dyDescent="0.2"/>
    <row r="9687" ht="16" x14ac:dyDescent="0.2"/>
    <row r="9688" ht="16" x14ac:dyDescent="0.2"/>
    <row r="9689" ht="16" x14ac:dyDescent="0.2"/>
    <row r="9690" ht="16" x14ac:dyDescent="0.2"/>
    <row r="9691" ht="16" x14ac:dyDescent="0.2"/>
    <row r="9692" ht="16" x14ac:dyDescent="0.2"/>
    <row r="9693" ht="16" x14ac:dyDescent="0.2"/>
    <row r="9694" ht="16" x14ac:dyDescent="0.2"/>
    <row r="9695" ht="16" x14ac:dyDescent="0.2"/>
    <row r="9696" ht="16" x14ac:dyDescent="0.2"/>
    <row r="9697" ht="16" x14ac:dyDescent="0.2"/>
    <row r="9698" ht="16" x14ac:dyDescent="0.2"/>
    <row r="9699" ht="16" x14ac:dyDescent="0.2"/>
    <row r="9700" ht="16" x14ac:dyDescent="0.2"/>
    <row r="9701" ht="16" x14ac:dyDescent="0.2"/>
    <row r="9702" ht="16" x14ac:dyDescent="0.2"/>
    <row r="9703" ht="16" x14ac:dyDescent="0.2"/>
    <row r="9704" ht="16" x14ac:dyDescent="0.2"/>
    <row r="9705" ht="16" x14ac:dyDescent="0.2"/>
    <row r="9706" ht="16" x14ac:dyDescent="0.2"/>
    <row r="9707" ht="16" x14ac:dyDescent="0.2"/>
    <row r="9708" ht="16" x14ac:dyDescent="0.2"/>
    <row r="9709" ht="16" x14ac:dyDescent="0.2"/>
    <row r="9710" ht="16" x14ac:dyDescent="0.2"/>
    <row r="9711" ht="16" x14ac:dyDescent="0.2"/>
    <row r="9712" ht="16" x14ac:dyDescent="0.2"/>
    <row r="9713" ht="16" x14ac:dyDescent="0.2"/>
    <row r="9714" ht="16" x14ac:dyDescent="0.2"/>
    <row r="9715" ht="16" x14ac:dyDescent="0.2"/>
    <row r="9716" ht="16" x14ac:dyDescent="0.2"/>
    <row r="9717" ht="16" x14ac:dyDescent="0.2"/>
    <row r="9718" ht="16" x14ac:dyDescent="0.2"/>
    <row r="9719" ht="16" x14ac:dyDescent="0.2"/>
    <row r="9720" ht="16" x14ac:dyDescent="0.2"/>
    <row r="9721" ht="16" x14ac:dyDescent="0.2"/>
    <row r="9722" ht="16" x14ac:dyDescent="0.2"/>
    <row r="9723" ht="16" x14ac:dyDescent="0.2"/>
    <row r="9724" ht="16" x14ac:dyDescent="0.2"/>
    <row r="9725" ht="16" x14ac:dyDescent="0.2"/>
    <row r="9726" ht="16" x14ac:dyDescent="0.2"/>
    <row r="9727" ht="16" x14ac:dyDescent="0.2"/>
    <row r="9728" ht="16" x14ac:dyDescent="0.2"/>
    <row r="9729" ht="16" x14ac:dyDescent="0.2"/>
    <row r="9730" ht="16" x14ac:dyDescent="0.2"/>
    <row r="9731" ht="16" x14ac:dyDescent="0.2"/>
    <row r="9732" ht="16" x14ac:dyDescent="0.2"/>
    <row r="9733" ht="16" x14ac:dyDescent="0.2"/>
    <row r="9734" ht="16" x14ac:dyDescent="0.2"/>
    <row r="9735" ht="16" x14ac:dyDescent="0.2"/>
    <row r="9736" ht="16" x14ac:dyDescent="0.2"/>
    <row r="9737" ht="16" x14ac:dyDescent="0.2"/>
    <row r="9738" ht="16" x14ac:dyDescent="0.2"/>
    <row r="9739" ht="16" x14ac:dyDescent="0.2"/>
    <row r="9740" ht="16" x14ac:dyDescent="0.2"/>
    <row r="9741" ht="16" x14ac:dyDescent="0.2"/>
    <row r="9742" ht="16" x14ac:dyDescent="0.2"/>
    <row r="9743" ht="16" x14ac:dyDescent="0.2"/>
    <row r="9744" ht="16" x14ac:dyDescent="0.2"/>
    <row r="9745" ht="16" x14ac:dyDescent="0.2"/>
    <row r="9746" ht="16" x14ac:dyDescent="0.2"/>
    <row r="9747" ht="16" x14ac:dyDescent="0.2"/>
    <row r="9748" ht="16" x14ac:dyDescent="0.2"/>
    <row r="9749" ht="16" x14ac:dyDescent="0.2"/>
    <row r="9750" ht="16" x14ac:dyDescent="0.2"/>
    <row r="9751" ht="16" x14ac:dyDescent="0.2"/>
    <row r="9752" ht="16" x14ac:dyDescent="0.2"/>
    <row r="9753" ht="16" x14ac:dyDescent="0.2"/>
    <row r="9754" ht="16" x14ac:dyDescent="0.2"/>
    <row r="9755" ht="16" x14ac:dyDescent="0.2"/>
    <row r="9756" ht="16" x14ac:dyDescent="0.2"/>
    <row r="9757" ht="16" x14ac:dyDescent="0.2"/>
    <row r="9758" ht="16" x14ac:dyDescent="0.2"/>
    <row r="9759" ht="16" x14ac:dyDescent="0.2"/>
    <row r="9760" ht="16" x14ac:dyDescent="0.2"/>
    <row r="9761" ht="16" x14ac:dyDescent="0.2"/>
    <row r="9762" ht="16" x14ac:dyDescent="0.2"/>
    <row r="9763" ht="16" x14ac:dyDescent="0.2"/>
    <row r="9764" ht="16" x14ac:dyDescent="0.2"/>
    <row r="9765" ht="16" x14ac:dyDescent="0.2"/>
    <row r="9766" ht="16" x14ac:dyDescent="0.2"/>
    <row r="9767" ht="16" x14ac:dyDescent="0.2"/>
    <row r="9768" ht="16" x14ac:dyDescent="0.2"/>
    <row r="9769" ht="16" x14ac:dyDescent="0.2"/>
    <row r="9770" ht="16" x14ac:dyDescent="0.2"/>
    <row r="9771" ht="16" x14ac:dyDescent="0.2"/>
    <row r="9772" ht="16" x14ac:dyDescent="0.2"/>
    <row r="9773" ht="16" x14ac:dyDescent="0.2"/>
    <row r="9774" ht="16" x14ac:dyDescent="0.2"/>
    <row r="9775" ht="16" x14ac:dyDescent="0.2"/>
    <row r="9776" ht="16" x14ac:dyDescent="0.2"/>
    <row r="9777" ht="16" x14ac:dyDescent="0.2"/>
    <row r="9778" ht="16" x14ac:dyDescent="0.2"/>
    <row r="9779" ht="16" x14ac:dyDescent="0.2"/>
    <row r="9780" ht="16" x14ac:dyDescent="0.2"/>
    <row r="9781" ht="16" x14ac:dyDescent="0.2"/>
    <row r="9782" ht="16" x14ac:dyDescent="0.2"/>
    <row r="9783" ht="16" x14ac:dyDescent="0.2"/>
    <row r="9784" ht="16" x14ac:dyDescent="0.2"/>
    <row r="9785" ht="16" x14ac:dyDescent="0.2"/>
    <row r="9786" ht="16" x14ac:dyDescent="0.2"/>
    <row r="9787" ht="16" x14ac:dyDescent="0.2"/>
    <row r="9788" ht="16" x14ac:dyDescent="0.2"/>
    <row r="9789" ht="16" x14ac:dyDescent="0.2"/>
    <row r="9790" ht="16" x14ac:dyDescent="0.2"/>
    <row r="9791" ht="16" x14ac:dyDescent="0.2"/>
    <row r="9792" ht="16" x14ac:dyDescent="0.2"/>
    <row r="9793" ht="16" x14ac:dyDescent="0.2"/>
    <row r="9794" ht="16" x14ac:dyDescent="0.2"/>
    <row r="9795" ht="16" x14ac:dyDescent="0.2"/>
    <row r="9796" ht="16" x14ac:dyDescent="0.2"/>
    <row r="9797" ht="16" x14ac:dyDescent="0.2"/>
    <row r="9798" ht="16" x14ac:dyDescent="0.2"/>
    <row r="9799" ht="16" x14ac:dyDescent="0.2"/>
    <row r="9800" ht="16" x14ac:dyDescent="0.2"/>
    <row r="9801" ht="16" x14ac:dyDescent="0.2"/>
    <row r="9802" ht="16" x14ac:dyDescent="0.2"/>
    <row r="9803" ht="16" x14ac:dyDescent="0.2"/>
    <row r="9804" ht="16" x14ac:dyDescent="0.2"/>
    <row r="9805" ht="16" x14ac:dyDescent="0.2"/>
    <row r="9806" ht="16" x14ac:dyDescent="0.2"/>
    <row r="9807" ht="16" x14ac:dyDescent="0.2"/>
    <row r="9808" ht="16" x14ac:dyDescent="0.2"/>
    <row r="9809" ht="16" x14ac:dyDescent="0.2"/>
    <row r="9810" ht="16" x14ac:dyDescent="0.2"/>
    <row r="9811" ht="16" x14ac:dyDescent="0.2"/>
    <row r="9812" ht="16" x14ac:dyDescent="0.2"/>
    <row r="9813" ht="16" x14ac:dyDescent="0.2"/>
    <row r="9814" ht="16" x14ac:dyDescent="0.2"/>
    <row r="9815" ht="16" x14ac:dyDescent="0.2"/>
    <row r="9816" ht="16" x14ac:dyDescent="0.2"/>
    <row r="9817" ht="16" x14ac:dyDescent="0.2"/>
    <row r="9818" ht="16" x14ac:dyDescent="0.2"/>
    <row r="9819" ht="16" x14ac:dyDescent="0.2"/>
    <row r="9820" ht="16" x14ac:dyDescent="0.2"/>
    <row r="9821" ht="16" x14ac:dyDescent="0.2"/>
    <row r="9822" ht="16" x14ac:dyDescent="0.2"/>
    <row r="9823" ht="16" x14ac:dyDescent="0.2"/>
    <row r="9824" ht="16" x14ac:dyDescent="0.2"/>
    <row r="9825" ht="16" x14ac:dyDescent="0.2"/>
    <row r="9826" ht="16" x14ac:dyDescent="0.2"/>
    <row r="9827" ht="16" x14ac:dyDescent="0.2"/>
    <row r="9828" ht="16" x14ac:dyDescent="0.2"/>
    <row r="9829" ht="16" x14ac:dyDescent="0.2"/>
    <row r="9830" ht="16" x14ac:dyDescent="0.2"/>
    <row r="9831" ht="16" x14ac:dyDescent="0.2"/>
    <row r="9832" ht="16" x14ac:dyDescent="0.2"/>
    <row r="9833" ht="16" x14ac:dyDescent="0.2"/>
    <row r="9834" ht="16" x14ac:dyDescent="0.2"/>
    <row r="9835" ht="16" x14ac:dyDescent="0.2"/>
    <row r="9836" ht="16" x14ac:dyDescent="0.2"/>
    <row r="9837" ht="16" x14ac:dyDescent="0.2"/>
    <row r="9838" ht="16" x14ac:dyDescent="0.2"/>
    <row r="9839" ht="16" x14ac:dyDescent="0.2"/>
    <row r="9840" ht="16" x14ac:dyDescent="0.2"/>
    <row r="9841" ht="16" x14ac:dyDescent="0.2"/>
    <row r="9842" ht="16" x14ac:dyDescent="0.2"/>
    <row r="9843" ht="16" x14ac:dyDescent="0.2"/>
    <row r="9844" ht="16" x14ac:dyDescent="0.2"/>
    <row r="9845" ht="16" x14ac:dyDescent="0.2"/>
    <row r="9846" ht="16" x14ac:dyDescent="0.2"/>
    <row r="9847" ht="16" x14ac:dyDescent="0.2"/>
    <row r="9848" ht="16" x14ac:dyDescent="0.2"/>
    <row r="9849" ht="16" x14ac:dyDescent="0.2"/>
    <row r="9850" ht="16" x14ac:dyDescent="0.2"/>
    <row r="9851" ht="16" x14ac:dyDescent="0.2"/>
    <row r="9852" ht="16" x14ac:dyDescent="0.2"/>
    <row r="9853" ht="16" x14ac:dyDescent="0.2"/>
    <row r="9854" ht="16" x14ac:dyDescent="0.2"/>
    <row r="9855" ht="16" x14ac:dyDescent="0.2"/>
    <row r="9856" ht="16" x14ac:dyDescent="0.2"/>
    <row r="9857" ht="16" x14ac:dyDescent="0.2"/>
    <row r="9858" ht="16" x14ac:dyDescent="0.2"/>
    <row r="9859" ht="16" x14ac:dyDescent="0.2"/>
    <row r="9860" ht="16" x14ac:dyDescent="0.2"/>
    <row r="9861" ht="16" x14ac:dyDescent="0.2"/>
    <row r="9862" ht="16" x14ac:dyDescent="0.2"/>
    <row r="9863" ht="16" x14ac:dyDescent="0.2"/>
    <row r="9864" ht="16" x14ac:dyDescent="0.2"/>
    <row r="9865" ht="16" x14ac:dyDescent="0.2"/>
    <row r="9866" ht="16" x14ac:dyDescent="0.2"/>
    <row r="9867" ht="16" x14ac:dyDescent="0.2"/>
    <row r="9868" ht="16" x14ac:dyDescent="0.2"/>
    <row r="9869" ht="16" x14ac:dyDescent="0.2"/>
    <row r="9870" ht="16" x14ac:dyDescent="0.2"/>
    <row r="9871" ht="16" x14ac:dyDescent="0.2"/>
    <row r="9872" ht="16" x14ac:dyDescent="0.2"/>
    <row r="9873" ht="16" x14ac:dyDescent="0.2"/>
    <row r="9874" ht="16" x14ac:dyDescent="0.2"/>
    <row r="9875" ht="16" x14ac:dyDescent="0.2"/>
    <row r="9876" ht="16" x14ac:dyDescent="0.2"/>
    <row r="9877" ht="16" x14ac:dyDescent="0.2"/>
    <row r="9878" ht="16" x14ac:dyDescent="0.2"/>
    <row r="9879" ht="16" x14ac:dyDescent="0.2"/>
    <row r="9880" ht="16" x14ac:dyDescent="0.2"/>
    <row r="9881" ht="16" x14ac:dyDescent="0.2"/>
    <row r="9882" ht="16" x14ac:dyDescent="0.2"/>
    <row r="9883" ht="16" x14ac:dyDescent="0.2"/>
    <row r="9884" ht="16" x14ac:dyDescent="0.2"/>
    <row r="9885" ht="16" x14ac:dyDescent="0.2"/>
    <row r="9886" ht="16" x14ac:dyDescent="0.2"/>
    <row r="9887" ht="16" x14ac:dyDescent="0.2"/>
    <row r="9888" ht="16" x14ac:dyDescent="0.2"/>
    <row r="9889" ht="16" x14ac:dyDescent="0.2"/>
    <row r="9890" ht="16" x14ac:dyDescent="0.2"/>
    <row r="9891" ht="16" x14ac:dyDescent="0.2"/>
    <row r="9892" ht="16" x14ac:dyDescent="0.2"/>
    <row r="9893" ht="16" x14ac:dyDescent="0.2"/>
    <row r="9894" ht="16" x14ac:dyDescent="0.2"/>
    <row r="9895" ht="16" x14ac:dyDescent="0.2"/>
    <row r="9896" ht="16" x14ac:dyDescent="0.2"/>
    <row r="9897" ht="16" x14ac:dyDescent="0.2"/>
    <row r="9898" ht="16" x14ac:dyDescent="0.2"/>
    <row r="9899" ht="16" x14ac:dyDescent="0.2"/>
    <row r="9900" ht="16" x14ac:dyDescent="0.2"/>
    <row r="9901" ht="16" x14ac:dyDescent="0.2"/>
    <row r="9902" ht="16" x14ac:dyDescent="0.2"/>
    <row r="9903" ht="16" x14ac:dyDescent="0.2"/>
    <row r="9904" ht="16" x14ac:dyDescent="0.2"/>
    <row r="9905" ht="16" x14ac:dyDescent="0.2"/>
    <row r="9906" ht="16" x14ac:dyDescent="0.2"/>
    <row r="9907" ht="16" x14ac:dyDescent="0.2"/>
    <row r="9908" ht="16" x14ac:dyDescent="0.2"/>
    <row r="9909" ht="16" x14ac:dyDescent="0.2"/>
    <row r="9910" ht="16" x14ac:dyDescent="0.2"/>
    <row r="9911" ht="16" x14ac:dyDescent="0.2"/>
    <row r="9912" ht="16" x14ac:dyDescent="0.2"/>
    <row r="9913" ht="16" x14ac:dyDescent="0.2"/>
    <row r="9914" ht="16" x14ac:dyDescent="0.2"/>
    <row r="9915" ht="16" x14ac:dyDescent="0.2"/>
    <row r="9916" ht="16" x14ac:dyDescent="0.2"/>
    <row r="9917" ht="16" x14ac:dyDescent="0.2"/>
    <row r="9918" ht="16" x14ac:dyDescent="0.2"/>
    <row r="9919" ht="16" x14ac:dyDescent="0.2"/>
    <row r="9920" ht="16" x14ac:dyDescent="0.2"/>
    <row r="9921" ht="16" x14ac:dyDescent="0.2"/>
    <row r="9922" ht="16" x14ac:dyDescent="0.2"/>
    <row r="9923" ht="16" x14ac:dyDescent="0.2"/>
    <row r="9924" ht="16" x14ac:dyDescent="0.2"/>
    <row r="9925" ht="16" x14ac:dyDescent="0.2"/>
    <row r="9926" ht="16" x14ac:dyDescent="0.2"/>
    <row r="9927" ht="16" x14ac:dyDescent="0.2"/>
    <row r="9928" ht="16" x14ac:dyDescent="0.2"/>
    <row r="9929" ht="16" x14ac:dyDescent="0.2"/>
    <row r="9930" ht="16" x14ac:dyDescent="0.2"/>
    <row r="9931" ht="16" x14ac:dyDescent="0.2"/>
    <row r="9932" ht="16" x14ac:dyDescent="0.2"/>
    <row r="9933" ht="16" x14ac:dyDescent="0.2"/>
    <row r="9934" ht="16" x14ac:dyDescent="0.2"/>
    <row r="9935" ht="16" x14ac:dyDescent="0.2"/>
    <row r="9936" ht="16" x14ac:dyDescent="0.2"/>
    <row r="9937" ht="16" x14ac:dyDescent="0.2"/>
    <row r="9938" ht="16" x14ac:dyDescent="0.2"/>
    <row r="9939" ht="16" x14ac:dyDescent="0.2"/>
    <row r="9940" ht="16" x14ac:dyDescent="0.2"/>
    <row r="9941" ht="16" x14ac:dyDescent="0.2"/>
    <row r="9942" ht="16" x14ac:dyDescent="0.2"/>
    <row r="9943" ht="16" x14ac:dyDescent="0.2"/>
    <row r="9944" ht="16" x14ac:dyDescent="0.2"/>
    <row r="9945" ht="16" x14ac:dyDescent="0.2"/>
    <row r="9946" ht="16" x14ac:dyDescent="0.2"/>
    <row r="9947" ht="16" x14ac:dyDescent="0.2"/>
    <row r="9948" ht="16" x14ac:dyDescent="0.2"/>
    <row r="9949" ht="16" x14ac:dyDescent="0.2"/>
    <row r="9950" ht="16" x14ac:dyDescent="0.2"/>
    <row r="9951" ht="16" x14ac:dyDescent="0.2"/>
    <row r="9952" ht="16" x14ac:dyDescent="0.2"/>
    <row r="9953" ht="16" x14ac:dyDescent="0.2"/>
    <row r="9954" ht="16" x14ac:dyDescent="0.2"/>
    <row r="9955" ht="16" x14ac:dyDescent="0.2"/>
    <row r="9956" ht="16" x14ac:dyDescent="0.2"/>
    <row r="9957" ht="16" x14ac:dyDescent="0.2"/>
    <row r="9958" ht="16" x14ac:dyDescent="0.2"/>
    <row r="9959" ht="16" x14ac:dyDescent="0.2"/>
    <row r="9960" ht="16" x14ac:dyDescent="0.2"/>
    <row r="9961" ht="16" x14ac:dyDescent="0.2"/>
    <row r="9962" ht="16" x14ac:dyDescent="0.2"/>
    <row r="9963" ht="16" x14ac:dyDescent="0.2"/>
    <row r="9964" ht="16" x14ac:dyDescent="0.2"/>
    <row r="9965" ht="16" x14ac:dyDescent="0.2"/>
    <row r="9966" ht="16" x14ac:dyDescent="0.2"/>
    <row r="9967" ht="16" x14ac:dyDescent="0.2"/>
    <row r="9968" ht="16" x14ac:dyDescent="0.2"/>
    <row r="9969" ht="16" x14ac:dyDescent="0.2"/>
    <row r="9970" ht="16" x14ac:dyDescent="0.2"/>
    <row r="9971" ht="16" x14ac:dyDescent="0.2"/>
    <row r="9972" ht="16" x14ac:dyDescent="0.2"/>
    <row r="9973" ht="16" x14ac:dyDescent="0.2"/>
    <row r="9974" ht="16" x14ac:dyDescent="0.2"/>
    <row r="9975" ht="16" x14ac:dyDescent="0.2"/>
    <row r="9976" ht="16" x14ac:dyDescent="0.2"/>
    <row r="9977" ht="16" x14ac:dyDescent="0.2"/>
    <row r="9978" ht="16" x14ac:dyDescent="0.2"/>
    <row r="9979" ht="16" x14ac:dyDescent="0.2"/>
    <row r="9980" ht="16" x14ac:dyDescent="0.2"/>
    <row r="9981" ht="16" x14ac:dyDescent="0.2"/>
    <row r="9982" ht="16" x14ac:dyDescent="0.2"/>
    <row r="9983" ht="16" x14ac:dyDescent="0.2"/>
    <row r="9984" ht="16" x14ac:dyDescent="0.2"/>
    <row r="9985" ht="16" x14ac:dyDescent="0.2"/>
    <row r="9986" ht="16" x14ac:dyDescent="0.2"/>
    <row r="9987" ht="16" x14ac:dyDescent="0.2"/>
    <row r="9988" ht="16" x14ac:dyDescent="0.2"/>
    <row r="9989" ht="16" x14ac:dyDescent="0.2"/>
    <row r="9990" ht="16" x14ac:dyDescent="0.2"/>
    <row r="9991" ht="16" x14ac:dyDescent="0.2"/>
    <row r="9992" ht="16" x14ac:dyDescent="0.2"/>
    <row r="9993" ht="16" x14ac:dyDescent="0.2"/>
    <row r="9994" ht="16" x14ac:dyDescent="0.2"/>
    <row r="9995" ht="16" x14ac:dyDescent="0.2"/>
    <row r="9996" ht="16" x14ac:dyDescent="0.2"/>
    <row r="9997" ht="16" x14ac:dyDescent="0.2"/>
    <row r="9998" ht="16" x14ac:dyDescent="0.2"/>
    <row r="9999" ht="16" x14ac:dyDescent="0.2"/>
    <row r="10000" ht="16" x14ac:dyDescent="0.2"/>
    <row r="10001" ht="16" x14ac:dyDescent="0.2"/>
    <row r="10002" ht="16" x14ac:dyDescent="0.2"/>
    <row r="10003" ht="16" x14ac:dyDescent="0.2"/>
    <row r="10004" ht="16" x14ac:dyDescent="0.2"/>
    <row r="10005" ht="16" x14ac:dyDescent="0.2"/>
    <row r="10006" ht="16" x14ac:dyDescent="0.2"/>
    <row r="10007" ht="16" x14ac:dyDescent="0.2"/>
    <row r="10008" ht="16" x14ac:dyDescent="0.2"/>
    <row r="10009" ht="16" x14ac:dyDescent="0.2"/>
    <row r="10010" ht="16" x14ac:dyDescent="0.2"/>
    <row r="10011" ht="16" x14ac:dyDescent="0.2"/>
    <row r="10012" ht="16" x14ac:dyDescent="0.2"/>
    <row r="10013" ht="16" x14ac:dyDescent="0.2"/>
    <row r="10014" ht="16" x14ac:dyDescent="0.2"/>
    <row r="10015" ht="16" x14ac:dyDescent="0.2"/>
    <row r="10016" ht="16" x14ac:dyDescent="0.2"/>
    <row r="10017" ht="16" x14ac:dyDescent="0.2"/>
    <row r="10018" ht="16" x14ac:dyDescent="0.2"/>
    <row r="10019" ht="16" x14ac:dyDescent="0.2"/>
    <row r="10020" ht="16" x14ac:dyDescent="0.2"/>
    <row r="10021" ht="16" x14ac:dyDescent="0.2"/>
    <row r="10022" ht="16" x14ac:dyDescent="0.2"/>
    <row r="10023" ht="16" x14ac:dyDescent="0.2"/>
    <row r="10024" ht="16" x14ac:dyDescent="0.2"/>
    <row r="10025" ht="16" x14ac:dyDescent="0.2"/>
    <row r="10026" ht="16" x14ac:dyDescent="0.2"/>
    <row r="10027" ht="16" x14ac:dyDescent="0.2"/>
    <row r="10028" ht="16" x14ac:dyDescent="0.2"/>
    <row r="10029" ht="16" x14ac:dyDescent="0.2"/>
    <row r="10030" ht="16" x14ac:dyDescent="0.2"/>
    <row r="10031" ht="16" x14ac:dyDescent="0.2"/>
    <row r="10032" ht="16" x14ac:dyDescent="0.2"/>
    <row r="10033" ht="16" x14ac:dyDescent="0.2"/>
    <row r="10034" ht="16" x14ac:dyDescent="0.2"/>
    <row r="10035" ht="16" x14ac:dyDescent="0.2"/>
    <row r="10036" ht="16" x14ac:dyDescent="0.2"/>
    <row r="10037" ht="16" x14ac:dyDescent="0.2"/>
    <row r="10038" ht="16" x14ac:dyDescent="0.2"/>
    <row r="10039" ht="16" x14ac:dyDescent="0.2"/>
    <row r="10040" ht="16" x14ac:dyDescent="0.2"/>
    <row r="10041" ht="16" x14ac:dyDescent="0.2"/>
    <row r="10042" ht="16" x14ac:dyDescent="0.2"/>
    <row r="10043" ht="16" x14ac:dyDescent="0.2"/>
    <row r="10044" ht="16" x14ac:dyDescent="0.2"/>
    <row r="10045" ht="16" x14ac:dyDescent="0.2"/>
    <row r="10046" ht="16" x14ac:dyDescent="0.2"/>
    <row r="10047" ht="16" x14ac:dyDescent="0.2"/>
    <row r="10048" ht="16" x14ac:dyDescent="0.2"/>
    <row r="10049" ht="16" x14ac:dyDescent="0.2"/>
    <row r="10050" ht="16" x14ac:dyDescent="0.2"/>
    <row r="10051" ht="16" x14ac:dyDescent="0.2"/>
    <row r="10052" ht="16" x14ac:dyDescent="0.2"/>
    <row r="10053" ht="16" x14ac:dyDescent="0.2"/>
    <row r="10054" ht="16" x14ac:dyDescent="0.2"/>
    <row r="10055" ht="16" x14ac:dyDescent="0.2"/>
    <row r="10056" ht="16" x14ac:dyDescent="0.2"/>
    <row r="10057" ht="16" x14ac:dyDescent="0.2"/>
    <row r="10058" ht="16" x14ac:dyDescent="0.2"/>
    <row r="10059" ht="16" x14ac:dyDescent="0.2"/>
    <row r="10060" ht="16" x14ac:dyDescent="0.2"/>
    <row r="10061" ht="16" x14ac:dyDescent="0.2"/>
    <row r="10062" ht="16" x14ac:dyDescent="0.2"/>
    <row r="10063" ht="16" x14ac:dyDescent="0.2"/>
    <row r="10064" ht="16" x14ac:dyDescent="0.2"/>
    <row r="10065" ht="16" x14ac:dyDescent="0.2"/>
    <row r="10066" ht="16" x14ac:dyDescent="0.2"/>
    <row r="10067" ht="16" x14ac:dyDescent="0.2"/>
    <row r="10068" ht="16" x14ac:dyDescent="0.2"/>
    <row r="10069" ht="16" x14ac:dyDescent="0.2"/>
    <row r="10070" ht="16" x14ac:dyDescent="0.2"/>
    <row r="10071" ht="16" x14ac:dyDescent="0.2"/>
    <row r="10072" ht="16" x14ac:dyDescent="0.2"/>
    <row r="10073" ht="16" x14ac:dyDescent="0.2"/>
    <row r="10074" ht="16" x14ac:dyDescent="0.2"/>
    <row r="10075" ht="16" x14ac:dyDescent="0.2"/>
    <row r="10076" ht="16" x14ac:dyDescent="0.2"/>
    <row r="10077" ht="16" x14ac:dyDescent="0.2"/>
    <row r="10078" ht="16" x14ac:dyDescent="0.2"/>
    <row r="10079" ht="16" x14ac:dyDescent="0.2"/>
    <row r="10080" ht="16" x14ac:dyDescent="0.2"/>
    <row r="10081" ht="16" x14ac:dyDescent="0.2"/>
    <row r="10082" ht="16" x14ac:dyDescent="0.2"/>
    <row r="10083" ht="16" x14ac:dyDescent="0.2"/>
    <row r="10084" ht="16" x14ac:dyDescent="0.2"/>
    <row r="10085" ht="16" x14ac:dyDescent="0.2"/>
    <row r="10086" ht="16" x14ac:dyDescent="0.2"/>
    <row r="10087" ht="16" x14ac:dyDescent="0.2"/>
    <row r="10088" ht="16" x14ac:dyDescent="0.2"/>
    <row r="10089" ht="16" x14ac:dyDescent="0.2"/>
    <row r="10090" ht="16" x14ac:dyDescent="0.2"/>
    <row r="10091" ht="16" x14ac:dyDescent="0.2"/>
    <row r="10092" ht="16" x14ac:dyDescent="0.2"/>
    <row r="10093" ht="16" x14ac:dyDescent="0.2"/>
    <row r="10094" ht="16" x14ac:dyDescent="0.2"/>
    <row r="10095" ht="16" x14ac:dyDescent="0.2"/>
    <row r="10096" ht="16" x14ac:dyDescent="0.2"/>
    <row r="10097" ht="16" x14ac:dyDescent="0.2"/>
    <row r="10098" ht="16" x14ac:dyDescent="0.2"/>
    <row r="10099" ht="16" x14ac:dyDescent="0.2"/>
    <row r="10100" ht="16" x14ac:dyDescent="0.2"/>
    <row r="10101" ht="16" x14ac:dyDescent="0.2"/>
    <row r="10102" ht="16" x14ac:dyDescent="0.2"/>
    <row r="10103" ht="16" x14ac:dyDescent="0.2"/>
    <row r="10104" ht="16" x14ac:dyDescent="0.2"/>
    <row r="10105" ht="16" x14ac:dyDescent="0.2"/>
    <row r="10106" ht="16" x14ac:dyDescent="0.2"/>
    <row r="10107" ht="16" x14ac:dyDescent="0.2"/>
    <row r="10108" ht="16" x14ac:dyDescent="0.2"/>
    <row r="10109" ht="16" x14ac:dyDescent="0.2"/>
    <row r="10110" ht="16" x14ac:dyDescent="0.2"/>
    <row r="10111" ht="16" x14ac:dyDescent="0.2"/>
    <row r="10112" ht="16" x14ac:dyDescent="0.2"/>
    <row r="10113" ht="16" x14ac:dyDescent="0.2"/>
    <row r="10114" ht="16" x14ac:dyDescent="0.2"/>
    <row r="10115" ht="16" x14ac:dyDescent="0.2"/>
    <row r="10116" ht="16" x14ac:dyDescent="0.2"/>
    <row r="10117" ht="16" x14ac:dyDescent="0.2"/>
    <row r="10118" ht="16" x14ac:dyDescent="0.2"/>
    <row r="10119" ht="16" x14ac:dyDescent="0.2"/>
    <row r="10120" ht="16" x14ac:dyDescent="0.2"/>
    <row r="10121" ht="16" x14ac:dyDescent="0.2"/>
    <row r="10122" ht="16" x14ac:dyDescent="0.2"/>
    <row r="10123" ht="16" x14ac:dyDescent="0.2"/>
    <row r="10124" ht="16" x14ac:dyDescent="0.2"/>
    <row r="10125" ht="16" x14ac:dyDescent="0.2"/>
    <row r="10126" ht="16" x14ac:dyDescent="0.2"/>
    <row r="10127" ht="16" x14ac:dyDescent="0.2"/>
    <row r="10128" ht="16" x14ac:dyDescent="0.2"/>
    <row r="10129" ht="16" x14ac:dyDescent="0.2"/>
    <row r="10130" ht="16" x14ac:dyDescent="0.2"/>
    <row r="10131" ht="16" x14ac:dyDescent="0.2"/>
    <row r="10132" ht="16" x14ac:dyDescent="0.2"/>
    <row r="10133" ht="16" x14ac:dyDescent="0.2"/>
    <row r="10134" ht="16" x14ac:dyDescent="0.2"/>
    <row r="10135" ht="16" x14ac:dyDescent="0.2"/>
    <row r="10136" ht="16" x14ac:dyDescent="0.2"/>
    <row r="10137" ht="16" x14ac:dyDescent="0.2"/>
    <row r="10138" ht="16" x14ac:dyDescent="0.2"/>
    <row r="10139" ht="16" x14ac:dyDescent="0.2"/>
    <row r="10140" ht="16" x14ac:dyDescent="0.2"/>
    <row r="10141" ht="16" x14ac:dyDescent="0.2"/>
    <row r="10142" ht="16" x14ac:dyDescent="0.2"/>
    <row r="10143" ht="16" x14ac:dyDescent="0.2"/>
    <row r="10144" ht="16" x14ac:dyDescent="0.2"/>
    <row r="10145" ht="16" x14ac:dyDescent="0.2"/>
    <row r="10146" ht="16" x14ac:dyDescent="0.2"/>
    <row r="10147" ht="16" x14ac:dyDescent="0.2"/>
    <row r="10148" ht="16" x14ac:dyDescent="0.2"/>
    <row r="10149" ht="16" x14ac:dyDescent="0.2"/>
    <row r="10150" ht="16" x14ac:dyDescent="0.2"/>
    <row r="10151" ht="16" x14ac:dyDescent="0.2"/>
    <row r="10152" ht="16" x14ac:dyDescent="0.2"/>
    <row r="10153" ht="16" x14ac:dyDescent="0.2"/>
    <row r="10154" ht="16" x14ac:dyDescent="0.2"/>
    <row r="10155" ht="16" x14ac:dyDescent="0.2"/>
    <row r="10156" ht="16" x14ac:dyDescent="0.2"/>
    <row r="10157" ht="16" x14ac:dyDescent="0.2"/>
    <row r="10158" ht="16" x14ac:dyDescent="0.2"/>
    <row r="10159" ht="16" x14ac:dyDescent="0.2"/>
    <row r="10160" ht="16" x14ac:dyDescent="0.2"/>
    <row r="10161" ht="16" x14ac:dyDescent="0.2"/>
    <row r="10162" ht="16" x14ac:dyDescent="0.2"/>
    <row r="10163" ht="16" x14ac:dyDescent="0.2"/>
    <row r="10164" ht="16" x14ac:dyDescent="0.2"/>
    <row r="10165" ht="16" x14ac:dyDescent="0.2"/>
    <row r="10166" ht="16" x14ac:dyDescent="0.2"/>
    <row r="10167" ht="16" x14ac:dyDescent="0.2"/>
    <row r="10168" ht="16" x14ac:dyDescent="0.2"/>
    <row r="10169" ht="16" x14ac:dyDescent="0.2"/>
    <row r="10170" ht="16" x14ac:dyDescent="0.2"/>
    <row r="10171" ht="16" x14ac:dyDescent="0.2"/>
    <row r="10172" ht="16" x14ac:dyDescent="0.2"/>
    <row r="10173" ht="16" x14ac:dyDescent="0.2"/>
    <row r="10174" ht="16" x14ac:dyDescent="0.2"/>
    <row r="10175" ht="16" x14ac:dyDescent="0.2"/>
    <row r="10176" ht="16" x14ac:dyDescent="0.2"/>
    <row r="10177" ht="16" x14ac:dyDescent="0.2"/>
    <row r="10178" ht="16" x14ac:dyDescent="0.2"/>
    <row r="10179" ht="16" x14ac:dyDescent="0.2"/>
    <row r="10180" ht="16" x14ac:dyDescent="0.2"/>
    <row r="10181" ht="16" x14ac:dyDescent="0.2"/>
    <row r="10182" ht="16" x14ac:dyDescent="0.2"/>
    <row r="10183" ht="16" x14ac:dyDescent="0.2"/>
    <row r="10184" ht="16" x14ac:dyDescent="0.2"/>
    <row r="10185" ht="16" x14ac:dyDescent="0.2"/>
    <row r="10186" ht="16" x14ac:dyDescent="0.2"/>
    <row r="10187" ht="16" x14ac:dyDescent="0.2"/>
    <row r="10188" ht="16" x14ac:dyDescent="0.2"/>
    <row r="10189" ht="16" x14ac:dyDescent="0.2"/>
    <row r="10190" ht="16" x14ac:dyDescent="0.2"/>
    <row r="10191" ht="16" x14ac:dyDescent="0.2"/>
    <row r="10192" ht="16" x14ac:dyDescent="0.2"/>
    <row r="10193" ht="16" x14ac:dyDescent="0.2"/>
    <row r="10194" ht="16" x14ac:dyDescent="0.2"/>
    <row r="10195" ht="16" x14ac:dyDescent="0.2"/>
    <row r="10196" ht="16" x14ac:dyDescent="0.2"/>
    <row r="10197" ht="16" x14ac:dyDescent="0.2"/>
    <row r="10198" ht="16" x14ac:dyDescent="0.2"/>
    <row r="10199" ht="16" x14ac:dyDescent="0.2"/>
    <row r="10200" ht="16" x14ac:dyDescent="0.2"/>
    <row r="10201" ht="16" x14ac:dyDescent="0.2"/>
    <row r="10202" ht="16" x14ac:dyDescent="0.2"/>
    <row r="10203" ht="16" x14ac:dyDescent="0.2"/>
    <row r="10204" ht="16" x14ac:dyDescent="0.2"/>
    <row r="10205" ht="16" x14ac:dyDescent="0.2"/>
    <row r="10206" ht="16" x14ac:dyDescent="0.2"/>
    <row r="10207" ht="16" x14ac:dyDescent="0.2"/>
    <row r="10208" ht="16" x14ac:dyDescent="0.2"/>
    <row r="10209" ht="16" x14ac:dyDescent="0.2"/>
    <row r="10210" ht="16" x14ac:dyDescent="0.2"/>
    <row r="10211" ht="16" x14ac:dyDescent="0.2"/>
    <row r="10212" ht="16" x14ac:dyDescent="0.2"/>
    <row r="10213" ht="16" x14ac:dyDescent="0.2"/>
    <row r="10214" ht="16" x14ac:dyDescent="0.2"/>
    <row r="10215" ht="16" x14ac:dyDescent="0.2"/>
    <row r="10216" ht="16" x14ac:dyDescent="0.2"/>
    <row r="10217" ht="16" x14ac:dyDescent="0.2"/>
    <row r="10218" ht="16" x14ac:dyDescent="0.2"/>
    <row r="10219" ht="16" x14ac:dyDescent="0.2"/>
    <row r="10220" ht="16" x14ac:dyDescent="0.2"/>
    <row r="10221" ht="16" x14ac:dyDescent="0.2"/>
    <row r="10222" ht="16" x14ac:dyDescent="0.2"/>
    <row r="10223" ht="16" x14ac:dyDescent="0.2"/>
    <row r="10224" ht="16" x14ac:dyDescent="0.2"/>
    <row r="10225" ht="16" x14ac:dyDescent="0.2"/>
    <row r="10226" ht="16" x14ac:dyDescent="0.2"/>
    <row r="10227" ht="16" x14ac:dyDescent="0.2"/>
    <row r="10228" ht="16" x14ac:dyDescent="0.2"/>
    <row r="10229" ht="16" x14ac:dyDescent="0.2"/>
    <row r="10230" ht="16" x14ac:dyDescent="0.2"/>
    <row r="10231" ht="16" x14ac:dyDescent="0.2"/>
    <row r="10232" ht="16" x14ac:dyDescent="0.2"/>
    <row r="10233" ht="16" x14ac:dyDescent="0.2"/>
    <row r="10234" ht="16" x14ac:dyDescent="0.2"/>
    <row r="10235" ht="16" x14ac:dyDescent="0.2"/>
    <row r="10236" ht="16" x14ac:dyDescent="0.2"/>
    <row r="10237" ht="16" x14ac:dyDescent="0.2"/>
    <row r="10238" ht="16" x14ac:dyDescent="0.2"/>
    <row r="10239" ht="16" x14ac:dyDescent="0.2"/>
    <row r="10240" ht="16" x14ac:dyDescent="0.2"/>
    <row r="10241" ht="16" x14ac:dyDescent="0.2"/>
    <row r="10242" ht="16" x14ac:dyDescent="0.2"/>
    <row r="10243" ht="16" x14ac:dyDescent="0.2"/>
    <row r="10244" ht="16" x14ac:dyDescent="0.2"/>
    <row r="10245" ht="16" x14ac:dyDescent="0.2"/>
    <row r="10246" ht="16" x14ac:dyDescent="0.2"/>
    <row r="10247" ht="16" x14ac:dyDescent="0.2"/>
    <row r="10248" ht="16" x14ac:dyDescent="0.2"/>
    <row r="10249" ht="16" x14ac:dyDescent="0.2"/>
    <row r="10250" ht="16" x14ac:dyDescent="0.2"/>
    <row r="10251" ht="16" x14ac:dyDescent="0.2"/>
    <row r="10252" ht="16" x14ac:dyDescent="0.2"/>
    <row r="10253" ht="16" x14ac:dyDescent="0.2"/>
    <row r="10254" ht="16" x14ac:dyDescent="0.2"/>
    <row r="10255" ht="16" x14ac:dyDescent="0.2"/>
    <row r="10256" ht="16" x14ac:dyDescent="0.2"/>
    <row r="10257" ht="16" x14ac:dyDescent="0.2"/>
    <row r="10258" ht="16" x14ac:dyDescent="0.2"/>
    <row r="10259" ht="16" x14ac:dyDescent="0.2"/>
    <row r="10260" ht="16" x14ac:dyDescent="0.2"/>
    <row r="10261" ht="16" x14ac:dyDescent="0.2"/>
    <row r="10262" ht="16" x14ac:dyDescent="0.2"/>
    <row r="10263" ht="16" x14ac:dyDescent="0.2"/>
    <row r="10264" ht="16" x14ac:dyDescent="0.2"/>
    <row r="10265" ht="16" x14ac:dyDescent="0.2"/>
    <row r="10266" ht="16" x14ac:dyDescent="0.2"/>
    <row r="10267" ht="16" x14ac:dyDescent="0.2"/>
    <row r="10268" ht="16" x14ac:dyDescent="0.2"/>
    <row r="10269" ht="16" x14ac:dyDescent="0.2"/>
    <row r="10270" ht="16" x14ac:dyDescent="0.2"/>
    <row r="10271" ht="16" x14ac:dyDescent="0.2"/>
    <row r="10272" ht="16" x14ac:dyDescent="0.2"/>
    <row r="10273" ht="16" x14ac:dyDescent="0.2"/>
    <row r="10274" ht="16" x14ac:dyDescent="0.2"/>
    <row r="10275" ht="16" x14ac:dyDescent="0.2"/>
    <row r="10276" ht="16" x14ac:dyDescent="0.2"/>
    <row r="10277" ht="16" x14ac:dyDescent="0.2"/>
    <row r="10278" ht="16" x14ac:dyDescent="0.2"/>
    <row r="10279" ht="16" x14ac:dyDescent="0.2"/>
    <row r="10280" ht="16" x14ac:dyDescent="0.2"/>
    <row r="10281" ht="16" x14ac:dyDescent="0.2"/>
    <row r="10282" ht="16" x14ac:dyDescent="0.2"/>
    <row r="10283" ht="16" x14ac:dyDescent="0.2"/>
    <row r="10284" ht="16" x14ac:dyDescent="0.2"/>
    <row r="10285" ht="16" x14ac:dyDescent="0.2"/>
    <row r="10286" ht="16" x14ac:dyDescent="0.2"/>
    <row r="10287" ht="16" x14ac:dyDescent="0.2"/>
    <row r="10288" ht="16" x14ac:dyDescent="0.2"/>
    <row r="10289" ht="16" x14ac:dyDescent="0.2"/>
    <row r="10290" ht="16" x14ac:dyDescent="0.2"/>
    <row r="10291" ht="16" x14ac:dyDescent="0.2"/>
    <row r="10292" ht="16" x14ac:dyDescent="0.2"/>
    <row r="10293" ht="16" x14ac:dyDescent="0.2"/>
    <row r="10294" ht="16" x14ac:dyDescent="0.2"/>
    <row r="10295" ht="16" x14ac:dyDescent="0.2"/>
    <row r="10296" ht="16" x14ac:dyDescent="0.2"/>
    <row r="10297" ht="16" x14ac:dyDescent="0.2"/>
    <row r="10298" ht="16" x14ac:dyDescent="0.2"/>
    <row r="10299" ht="16" x14ac:dyDescent="0.2"/>
    <row r="10300" ht="16" x14ac:dyDescent="0.2"/>
    <row r="10301" ht="16" x14ac:dyDescent="0.2"/>
    <row r="10302" ht="16" x14ac:dyDescent="0.2"/>
    <row r="10303" ht="16" x14ac:dyDescent="0.2"/>
    <row r="10304" ht="16" x14ac:dyDescent="0.2"/>
    <row r="10305" ht="16" x14ac:dyDescent="0.2"/>
    <row r="10306" ht="16" x14ac:dyDescent="0.2"/>
    <row r="10307" ht="16" x14ac:dyDescent="0.2"/>
    <row r="10308" ht="16" x14ac:dyDescent="0.2"/>
    <row r="10309" ht="16" x14ac:dyDescent="0.2"/>
    <row r="10310" ht="16" x14ac:dyDescent="0.2"/>
    <row r="10311" ht="16" x14ac:dyDescent="0.2"/>
    <row r="10312" ht="16" x14ac:dyDescent="0.2"/>
    <row r="10313" ht="16" x14ac:dyDescent="0.2"/>
    <row r="10314" ht="16" x14ac:dyDescent="0.2"/>
    <row r="10315" ht="16" x14ac:dyDescent="0.2"/>
    <row r="10316" ht="16" x14ac:dyDescent="0.2"/>
    <row r="10317" ht="16" x14ac:dyDescent="0.2"/>
    <row r="10318" ht="16" x14ac:dyDescent="0.2"/>
    <row r="10319" ht="16" x14ac:dyDescent="0.2"/>
    <row r="10320" ht="16" x14ac:dyDescent="0.2"/>
    <row r="10321" ht="16" x14ac:dyDescent="0.2"/>
    <row r="10322" ht="16" x14ac:dyDescent="0.2"/>
    <row r="10323" ht="16" x14ac:dyDescent="0.2"/>
    <row r="10324" ht="16" x14ac:dyDescent="0.2"/>
    <row r="10325" ht="16" x14ac:dyDescent="0.2"/>
    <row r="10326" ht="16" x14ac:dyDescent="0.2"/>
    <row r="10327" ht="16" x14ac:dyDescent="0.2"/>
    <row r="10328" ht="16" x14ac:dyDescent="0.2"/>
    <row r="10329" ht="16" x14ac:dyDescent="0.2"/>
    <row r="10330" ht="16" x14ac:dyDescent="0.2"/>
    <row r="10331" ht="16" x14ac:dyDescent="0.2"/>
    <row r="10332" ht="16" x14ac:dyDescent="0.2"/>
    <row r="10333" ht="16" x14ac:dyDescent="0.2"/>
    <row r="10334" ht="16" x14ac:dyDescent="0.2"/>
    <row r="10335" ht="16" x14ac:dyDescent="0.2"/>
    <row r="10336" ht="16" x14ac:dyDescent="0.2"/>
    <row r="10337" ht="16" x14ac:dyDescent="0.2"/>
    <row r="10338" ht="16" x14ac:dyDescent="0.2"/>
    <row r="10339" ht="16" x14ac:dyDescent="0.2"/>
    <row r="10340" ht="16" x14ac:dyDescent="0.2"/>
    <row r="10341" ht="16" x14ac:dyDescent="0.2"/>
    <row r="10342" ht="16" x14ac:dyDescent="0.2"/>
    <row r="10343" ht="16" x14ac:dyDescent="0.2"/>
    <row r="10344" ht="16" x14ac:dyDescent="0.2"/>
    <row r="10345" ht="16" x14ac:dyDescent="0.2"/>
    <row r="10346" ht="16" x14ac:dyDescent="0.2"/>
    <row r="10347" ht="16" x14ac:dyDescent="0.2"/>
    <row r="10348" ht="16" x14ac:dyDescent="0.2"/>
    <row r="10349" ht="16" x14ac:dyDescent="0.2"/>
    <row r="10350" ht="16" x14ac:dyDescent="0.2"/>
    <row r="10351" ht="16" x14ac:dyDescent="0.2"/>
    <row r="10352" ht="16" x14ac:dyDescent="0.2"/>
    <row r="10353" ht="16" x14ac:dyDescent="0.2"/>
    <row r="10354" ht="16" x14ac:dyDescent="0.2"/>
    <row r="10355" ht="16" x14ac:dyDescent="0.2"/>
    <row r="10356" ht="16" x14ac:dyDescent="0.2"/>
    <row r="10357" ht="16" x14ac:dyDescent="0.2"/>
    <row r="10358" ht="16" x14ac:dyDescent="0.2"/>
    <row r="10359" ht="16" x14ac:dyDescent="0.2"/>
    <row r="10360" ht="16" x14ac:dyDescent="0.2"/>
    <row r="10361" ht="16" x14ac:dyDescent="0.2"/>
    <row r="10362" ht="16" x14ac:dyDescent="0.2"/>
    <row r="10363" ht="16" x14ac:dyDescent="0.2"/>
    <row r="10364" ht="16" x14ac:dyDescent="0.2"/>
    <row r="10365" ht="16" x14ac:dyDescent="0.2"/>
    <row r="10366" ht="16" x14ac:dyDescent="0.2"/>
    <row r="10367" ht="16" x14ac:dyDescent="0.2"/>
    <row r="10368" ht="16" x14ac:dyDescent="0.2"/>
    <row r="10369" ht="16" x14ac:dyDescent="0.2"/>
    <row r="10370" ht="16" x14ac:dyDescent="0.2"/>
    <row r="10371" ht="16" x14ac:dyDescent="0.2"/>
    <row r="10372" ht="16" x14ac:dyDescent="0.2"/>
    <row r="10373" ht="16" x14ac:dyDescent="0.2"/>
    <row r="10374" ht="16" x14ac:dyDescent="0.2"/>
    <row r="10375" ht="16" x14ac:dyDescent="0.2"/>
    <row r="10376" ht="16" x14ac:dyDescent="0.2"/>
    <row r="10377" ht="16" x14ac:dyDescent="0.2"/>
    <row r="10378" ht="16" x14ac:dyDescent="0.2"/>
    <row r="10379" ht="16" x14ac:dyDescent="0.2"/>
    <row r="10380" ht="16" x14ac:dyDescent="0.2"/>
    <row r="10381" ht="16" x14ac:dyDescent="0.2"/>
    <row r="10382" ht="16" x14ac:dyDescent="0.2"/>
    <row r="10383" ht="16" x14ac:dyDescent="0.2"/>
    <row r="10384" ht="16" x14ac:dyDescent="0.2"/>
    <row r="10385" ht="16" x14ac:dyDescent="0.2"/>
    <row r="10386" ht="16" x14ac:dyDescent="0.2"/>
    <row r="10387" ht="16" x14ac:dyDescent="0.2"/>
    <row r="10388" ht="16" x14ac:dyDescent="0.2"/>
    <row r="10389" ht="16" x14ac:dyDescent="0.2"/>
    <row r="10390" ht="16" x14ac:dyDescent="0.2"/>
    <row r="10391" ht="16" x14ac:dyDescent="0.2"/>
    <row r="10392" ht="16" x14ac:dyDescent="0.2"/>
    <row r="10393" ht="16" x14ac:dyDescent="0.2"/>
    <row r="10394" ht="16" x14ac:dyDescent="0.2"/>
    <row r="10395" ht="16" x14ac:dyDescent="0.2"/>
    <row r="10396" ht="16" x14ac:dyDescent="0.2"/>
    <row r="10397" ht="16" x14ac:dyDescent="0.2"/>
    <row r="10398" ht="16" x14ac:dyDescent="0.2"/>
    <row r="10399" ht="16" x14ac:dyDescent="0.2"/>
    <row r="10400" ht="16" x14ac:dyDescent="0.2"/>
    <row r="10401" ht="16" x14ac:dyDescent="0.2"/>
    <row r="10402" ht="16" x14ac:dyDescent="0.2"/>
    <row r="10403" ht="16" x14ac:dyDescent="0.2"/>
    <row r="10404" ht="16" x14ac:dyDescent="0.2"/>
    <row r="10405" ht="16" x14ac:dyDescent="0.2"/>
    <row r="10406" ht="16" x14ac:dyDescent="0.2"/>
    <row r="10407" ht="16" x14ac:dyDescent="0.2"/>
    <row r="10408" ht="16" x14ac:dyDescent="0.2"/>
    <row r="10409" ht="16" x14ac:dyDescent="0.2"/>
    <row r="10410" ht="16" x14ac:dyDescent="0.2"/>
    <row r="10411" ht="16" x14ac:dyDescent="0.2"/>
    <row r="10412" ht="16" x14ac:dyDescent="0.2"/>
    <row r="10413" ht="16" x14ac:dyDescent="0.2"/>
    <row r="10414" ht="16" x14ac:dyDescent="0.2"/>
    <row r="10415" ht="16" x14ac:dyDescent="0.2"/>
    <row r="10416" ht="16" x14ac:dyDescent="0.2"/>
    <row r="10417" ht="16" x14ac:dyDescent="0.2"/>
    <row r="10418" ht="16" x14ac:dyDescent="0.2"/>
    <row r="10419" ht="16" x14ac:dyDescent="0.2"/>
    <row r="10420" ht="16" x14ac:dyDescent="0.2"/>
    <row r="10421" ht="16" x14ac:dyDescent="0.2"/>
    <row r="10422" ht="16" x14ac:dyDescent="0.2"/>
    <row r="10423" ht="16" x14ac:dyDescent="0.2"/>
    <row r="10424" ht="16" x14ac:dyDescent="0.2"/>
    <row r="10425" ht="16" x14ac:dyDescent="0.2"/>
    <row r="10426" ht="16" x14ac:dyDescent="0.2"/>
    <row r="10427" ht="16" x14ac:dyDescent="0.2"/>
    <row r="10428" ht="16" x14ac:dyDescent="0.2"/>
    <row r="10429" ht="16" x14ac:dyDescent="0.2"/>
    <row r="10430" ht="16" x14ac:dyDescent="0.2"/>
    <row r="10431" ht="16" x14ac:dyDescent="0.2"/>
    <row r="10432" ht="16" x14ac:dyDescent="0.2"/>
    <row r="10433" ht="16" x14ac:dyDescent="0.2"/>
    <row r="10434" ht="16" x14ac:dyDescent="0.2"/>
    <row r="10435" ht="16" x14ac:dyDescent="0.2"/>
    <row r="10436" ht="16" x14ac:dyDescent="0.2"/>
    <row r="10437" ht="16" x14ac:dyDescent="0.2"/>
    <row r="10438" ht="16" x14ac:dyDescent="0.2"/>
    <row r="10439" ht="16" x14ac:dyDescent="0.2"/>
    <row r="10440" ht="16" x14ac:dyDescent="0.2"/>
    <row r="10441" ht="16" x14ac:dyDescent="0.2"/>
    <row r="10442" ht="16" x14ac:dyDescent="0.2"/>
    <row r="10443" ht="16" x14ac:dyDescent="0.2"/>
    <row r="10444" ht="16" x14ac:dyDescent="0.2"/>
    <row r="10445" ht="16" x14ac:dyDescent="0.2"/>
    <row r="10446" ht="16" x14ac:dyDescent="0.2"/>
    <row r="10447" ht="16" x14ac:dyDescent="0.2"/>
    <row r="10448" ht="16" x14ac:dyDescent="0.2"/>
    <row r="10449" ht="16" x14ac:dyDescent="0.2"/>
    <row r="10450" ht="16" x14ac:dyDescent="0.2"/>
    <row r="10451" ht="16" x14ac:dyDescent="0.2"/>
    <row r="10452" ht="16" x14ac:dyDescent="0.2"/>
    <row r="10453" ht="16" x14ac:dyDescent="0.2"/>
    <row r="10454" ht="16" x14ac:dyDescent="0.2"/>
    <row r="10455" ht="16" x14ac:dyDescent="0.2"/>
    <row r="10456" ht="16" x14ac:dyDescent="0.2"/>
    <row r="10457" ht="16" x14ac:dyDescent="0.2"/>
    <row r="10458" ht="16" x14ac:dyDescent="0.2"/>
    <row r="10459" ht="16" x14ac:dyDescent="0.2"/>
    <row r="10460" ht="16" x14ac:dyDescent="0.2"/>
    <row r="10461" ht="16" x14ac:dyDescent="0.2"/>
    <row r="10462" ht="16" x14ac:dyDescent="0.2"/>
    <row r="10463" ht="16" x14ac:dyDescent="0.2"/>
    <row r="10464" ht="16" x14ac:dyDescent="0.2"/>
    <row r="10465" ht="16" x14ac:dyDescent="0.2"/>
    <row r="10466" ht="16" x14ac:dyDescent="0.2"/>
    <row r="10467" ht="16" x14ac:dyDescent="0.2"/>
    <row r="10468" ht="16" x14ac:dyDescent="0.2"/>
    <row r="10469" ht="16" x14ac:dyDescent="0.2"/>
    <row r="10470" ht="16" x14ac:dyDescent="0.2"/>
    <row r="10471" ht="16" x14ac:dyDescent="0.2"/>
    <row r="10472" ht="16" x14ac:dyDescent="0.2"/>
    <row r="10473" ht="16" x14ac:dyDescent="0.2"/>
    <row r="10474" ht="16" x14ac:dyDescent="0.2"/>
    <row r="10475" ht="16" x14ac:dyDescent="0.2"/>
    <row r="10476" ht="16" x14ac:dyDescent="0.2"/>
    <row r="10477" ht="16" x14ac:dyDescent="0.2"/>
    <row r="10478" ht="16" x14ac:dyDescent="0.2"/>
    <row r="10479" ht="16" x14ac:dyDescent="0.2"/>
    <row r="10480" ht="16" x14ac:dyDescent="0.2"/>
    <row r="10481" ht="16" x14ac:dyDescent="0.2"/>
    <row r="10482" ht="16" x14ac:dyDescent="0.2"/>
    <row r="10483" ht="16" x14ac:dyDescent="0.2"/>
    <row r="10484" ht="16" x14ac:dyDescent="0.2"/>
    <row r="10485" ht="16" x14ac:dyDescent="0.2"/>
    <row r="10486" ht="16" x14ac:dyDescent="0.2"/>
    <row r="10487" ht="16" x14ac:dyDescent="0.2"/>
    <row r="10488" ht="16" x14ac:dyDescent="0.2"/>
    <row r="10489" ht="16" x14ac:dyDescent="0.2"/>
    <row r="10490" ht="16" x14ac:dyDescent="0.2"/>
    <row r="10491" ht="16" x14ac:dyDescent="0.2"/>
    <row r="10492" ht="16" x14ac:dyDescent="0.2"/>
    <row r="10493" ht="16" x14ac:dyDescent="0.2"/>
    <row r="10494" ht="16" x14ac:dyDescent="0.2"/>
    <row r="10495" ht="16" x14ac:dyDescent="0.2"/>
    <row r="10496" ht="16" x14ac:dyDescent="0.2"/>
    <row r="10497" ht="16" x14ac:dyDescent="0.2"/>
    <row r="10498" ht="16" x14ac:dyDescent="0.2"/>
    <row r="10499" ht="16" x14ac:dyDescent="0.2"/>
    <row r="10500" ht="16" x14ac:dyDescent="0.2"/>
    <row r="10501" ht="16" x14ac:dyDescent="0.2"/>
    <row r="10502" ht="16" x14ac:dyDescent="0.2"/>
    <row r="10503" ht="16" x14ac:dyDescent="0.2"/>
    <row r="10504" ht="16" x14ac:dyDescent="0.2"/>
    <row r="10505" ht="16" x14ac:dyDescent="0.2"/>
    <row r="10506" ht="16" x14ac:dyDescent="0.2"/>
    <row r="10507" ht="16" x14ac:dyDescent="0.2"/>
    <row r="10508" ht="16" x14ac:dyDescent="0.2"/>
    <row r="10509" ht="16" x14ac:dyDescent="0.2"/>
    <row r="10510" ht="16" x14ac:dyDescent="0.2"/>
    <row r="10511" ht="16" x14ac:dyDescent="0.2"/>
    <row r="10512" ht="16" x14ac:dyDescent="0.2"/>
    <row r="10513" ht="16" x14ac:dyDescent="0.2"/>
    <row r="10514" ht="16" x14ac:dyDescent="0.2"/>
    <row r="10515" ht="16" x14ac:dyDescent="0.2"/>
    <row r="10516" ht="16" x14ac:dyDescent="0.2"/>
    <row r="10517" ht="16" x14ac:dyDescent="0.2"/>
    <row r="10518" ht="16" x14ac:dyDescent="0.2"/>
    <row r="10519" ht="16" x14ac:dyDescent="0.2"/>
    <row r="10520" ht="16" x14ac:dyDescent="0.2"/>
    <row r="10521" ht="16" x14ac:dyDescent="0.2"/>
    <row r="10522" ht="16" x14ac:dyDescent="0.2"/>
    <row r="10523" ht="16" x14ac:dyDescent="0.2"/>
    <row r="10524" ht="16" x14ac:dyDescent="0.2"/>
    <row r="10525" ht="16" x14ac:dyDescent="0.2"/>
    <row r="10526" ht="16" x14ac:dyDescent="0.2"/>
    <row r="10527" ht="16" x14ac:dyDescent="0.2"/>
    <row r="10528" ht="16" x14ac:dyDescent="0.2"/>
    <row r="10529" ht="16" x14ac:dyDescent="0.2"/>
    <row r="10530" ht="16" x14ac:dyDescent="0.2"/>
    <row r="10531" ht="16" x14ac:dyDescent="0.2"/>
    <row r="10532" ht="16" x14ac:dyDescent="0.2"/>
    <row r="10533" ht="16" x14ac:dyDescent="0.2"/>
    <row r="10534" ht="16" x14ac:dyDescent="0.2"/>
    <row r="10535" ht="16" x14ac:dyDescent="0.2"/>
    <row r="10536" ht="16" x14ac:dyDescent="0.2"/>
    <row r="10537" ht="16" x14ac:dyDescent="0.2"/>
    <row r="10538" ht="16" x14ac:dyDescent="0.2"/>
    <row r="10539" ht="16" x14ac:dyDescent="0.2"/>
    <row r="10540" ht="16" x14ac:dyDescent="0.2"/>
    <row r="10541" ht="16" x14ac:dyDescent="0.2"/>
    <row r="10542" ht="16" x14ac:dyDescent="0.2"/>
    <row r="10543" ht="16" x14ac:dyDescent="0.2"/>
    <row r="10544" ht="16" x14ac:dyDescent="0.2"/>
    <row r="10545" ht="16" x14ac:dyDescent="0.2"/>
    <row r="10546" ht="16" x14ac:dyDescent="0.2"/>
    <row r="10547" ht="16" x14ac:dyDescent="0.2"/>
    <row r="10548" ht="16" x14ac:dyDescent="0.2"/>
    <row r="10549" ht="16" x14ac:dyDescent="0.2"/>
    <row r="10550" ht="16" x14ac:dyDescent="0.2"/>
    <row r="10551" ht="16" x14ac:dyDescent="0.2"/>
    <row r="10552" ht="16" x14ac:dyDescent="0.2"/>
    <row r="10553" ht="16" x14ac:dyDescent="0.2"/>
    <row r="10554" ht="16" x14ac:dyDescent="0.2"/>
    <row r="10555" ht="16" x14ac:dyDescent="0.2"/>
    <row r="10556" ht="16" x14ac:dyDescent="0.2"/>
    <row r="10557" ht="16" x14ac:dyDescent="0.2"/>
    <row r="10558" ht="16" x14ac:dyDescent="0.2"/>
    <row r="10559" ht="16" x14ac:dyDescent="0.2"/>
    <row r="10560" ht="16" x14ac:dyDescent="0.2"/>
    <row r="10561" ht="16" x14ac:dyDescent="0.2"/>
    <row r="10562" ht="16" x14ac:dyDescent="0.2"/>
    <row r="10563" ht="16" x14ac:dyDescent="0.2"/>
    <row r="10564" ht="16" x14ac:dyDescent="0.2"/>
    <row r="10565" ht="16" x14ac:dyDescent="0.2"/>
    <row r="10566" ht="16" x14ac:dyDescent="0.2"/>
    <row r="10567" ht="16" x14ac:dyDescent="0.2"/>
    <row r="10568" ht="16" x14ac:dyDescent="0.2"/>
    <row r="10569" ht="16" x14ac:dyDescent="0.2"/>
    <row r="10570" ht="16" x14ac:dyDescent="0.2"/>
    <row r="10571" ht="16" x14ac:dyDescent="0.2"/>
    <row r="10572" ht="16" x14ac:dyDescent="0.2"/>
    <row r="10573" ht="16" x14ac:dyDescent="0.2"/>
    <row r="10574" ht="16" x14ac:dyDescent="0.2"/>
    <row r="10575" ht="16" x14ac:dyDescent="0.2"/>
    <row r="10576" ht="16" x14ac:dyDescent="0.2"/>
    <row r="10577" ht="16" x14ac:dyDescent="0.2"/>
    <row r="10578" ht="16" x14ac:dyDescent="0.2"/>
    <row r="10579" ht="16" x14ac:dyDescent="0.2"/>
    <row r="10580" ht="16" x14ac:dyDescent="0.2"/>
    <row r="10581" ht="16" x14ac:dyDescent="0.2"/>
    <row r="10582" ht="16" x14ac:dyDescent="0.2"/>
    <row r="10583" ht="16" x14ac:dyDescent="0.2"/>
    <row r="10584" ht="16" x14ac:dyDescent="0.2"/>
    <row r="10585" ht="16" x14ac:dyDescent="0.2"/>
    <row r="10586" ht="16" x14ac:dyDescent="0.2"/>
    <row r="10587" ht="16" x14ac:dyDescent="0.2"/>
    <row r="10588" ht="16" x14ac:dyDescent="0.2"/>
    <row r="10589" ht="16" x14ac:dyDescent="0.2"/>
    <row r="10590" ht="16" x14ac:dyDescent="0.2"/>
    <row r="10591" ht="16" x14ac:dyDescent="0.2"/>
    <row r="10592" ht="16" x14ac:dyDescent="0.2"/>
    <row r="10593" ht="16" x14ac:dyDescent="0.2"/>
    <row r="10594" ht="16" x14ac:dyDescent="0.2"/>
    <row r="10595" ht="16" x14ac:dyDescent="0.2"/>
    <row r="10596" ht="16" x14ac:dyDescent="0.2"/>
    <row r="10597" ht="16" x14ac:dyDescent="0.2"/>
    <row r="10598" ht="16" x14ac:dyDescent="0.2"/>
    <row r="10599" ht="16" x14ac:dyDescent="0.2"/>
    <row r="10600" ht="16" x14ac:dyDescent="0.2"/>
    <row r="10601" ht="16" x14ac:dyDescent="0.2"/>
    <row r="10602" ht="16" x14ac:dyDescent="0.2"/>
    <row r="10603" ht="16" x14ac:dyDescent="0.2"/>
    <row r="10604" ht="16" x14ac:dyDescent="0.2"/>
    <row r="10605" ht="16" x14ac:dyDescent="0.2"/>
    <row r="10606" ht="16" x14ac:dyDescent="0.2"/>
    <row r="10607" ht="16" x14ac:dyDescent="0.2"/>
    <row r="10608" ht="16" x14ac:dyDescent="0.2"/>
    <row r="10609" ht="16" x14ac:dyDescent="0.2"/>
    <row r="10610" ht="16" x14ac:dyDescent="0.2"/>
    <row r="10611" ht="16" x14ac:dyDescent="0.2"/>
    <row r="10612" ht="16" x14ac:dyDescent="0.2"/>
    <row r="10613" ht="16" x14ac:dyDescent="0.2"/>
    <row r="10614" ht="16" x14ac:dyDescent="0.2"/>
    <row r="10615" ht="16" x14ac:dyDescent="0.2"/>
    <row r="10616" ht="16" x14ac:dyDescent="0.2"/>
    <row r="10617" ht="16" x14ac:dyDescent="0.2"/>
    <row r="10618" ht="16" x14ac:dyDescent="0.2"/>
    <row r="10619" ht="16" x14ac:dyDescent="0.2"/>
    <row r="10620" ht="16" x14ac:dyDescent="0.2"/>
    <row r="10621" ht="16" x14ac:dyDescent="0.2"/>
    <row r="10622" ht="16" x14ac:dyDescent="0.2"/>
    <row r="10623" ht="16" x14ac:dyDescent="0.2"/>
    <row r="10624" ht="16" x14ac:dyDescent="0.2"/>
    <row r="10625" ht="16" x14ac:dyDescent="0.2"/>
    <row r="10626" ht="16" x14ac:dyDescent="0.2"/>
    <row r="10627" ht="16" x14ac:dyDescent="0.2"/>
    <row r="10628" ht="16" x14ac:dyDescent="0.2"/>
    <row r="10629" ht="16" x14ac:dyDescent="0.2"/>
    <row r="10630" ht="16" x14ac:dyDescent="0.2"/>
    <row r="10631" ht="16" x14ac:dyDescent="0.2"/>
    <row r="10632" ht="16" x14ac:dyDescent="0.2"/>
    <row r="10633" ht="16" x14ac:dyDescent="0.2"/>
    <row r="10634" ht="16" x14ac:dyDescent="0.2"/>
    <row r="10635" ht="16" x14ac:dyDescent="0.2"/>
    <row r="10636" ht="16" x14ac:dyDescent="0.2"/>
    <row r="10637" ht="16" x14ac:dyDescent="0.2"/>
    <row r="10638" ht="16" x14ac:dyDescent="0.2"/>
    <row r="10639" ht="16" x14ac:dyDescent="0.2"/>
    <row r="10640" ht="16" x14ac:dyDescent="0.2"/>
    <row r="10641" ht="16" x14ac:dyDescent="0.2"/>
    <row r="10642" ht="16" x14ac:dyDescent="0.2"/>
    <row r="10643" ht="16" x14ac:dyDescent="0.2"/>
    <row r="10644" ht="16" x14ac:dyDescent="0.2"/>
    <row r="10645" ht="16" x14ac:dyDescent="0.2"/>
    <row r="10646" ht="16" x14ac:dyDescent="0.2"/>
    <row r="10647" ht="16" x14ac:dyDescent="0.2"/>
    <row r="10648" ht="16" x14ac:dyDescent="0.2"/>
    <row r="10649" ht="16" x14ac:dyDescent="0.2"/>
    <row r="10650" ht="16" x14ac:dyDescent="0.2"/>
    <row r="10651" ht="16" x14ac:dyDescent="0.2"/>
    <row r="10652" ht="16" x14ac:dyDescent="0.2"/>
    <row r="10653" ht="16" x14ac:dyDescent="0.2"/>
    <row r="10654" ht="16" x14ac:dyDescent="0.2"/>
    <row r="10655" ht="16" x14ac:dyDescent="0.2"/>
    <row r="10656" ht="16" x14ac:dyDescent="0.2"/>
    <row r="10657" ht="16" x14ac:dyDescent="0.2"/>
    <row r="10658" ht="16" x14ac:dyDescent="0.2"/>
    <row r="10659" ht="16" x14ac:dyDescent="0.2"/>
    <row r="10660" ht="16" x14ac:dyDescent="0.2"/>
    <row r="10661" ht="16" x14ac:dyDescent="0.2"/>
    <row r="10662" ht="16" x14ac:dyDescent="0.2"/>
    <row r="10663" ht="16" x14ac:dyDescent="0.2"/>
    <row r="10664" ht="16" x14ac:dyDescent="0.2"/>
    <row r="10665" ht="16" x14ac:dyDescent="0.2"/>
    <row r="10666" ht="16" x14ac:dyDescent="0.2"/>
    <row r="10667" ht="16" x14ac:dyDescent="0.2"/>
    <row r="10668" ht="16" x14ac:dyDescent="0.2"/>
    <row r="10669" ht="16" x14ac:dyDescent="0.2"/>
    <row r="10670" ht="16" x14ac:dyDescent="0.2"/>
    <row r="10671" ht="16" x14ac:dyDescent="0.2"/>
    <row r="10672" ht="16" x14ac:dyDescent="0.2"/>
    <row r="10673" ht="16" x14ac:dyDescent="0.2"/>
    <row r="10674" ht="16" x14ac:dyDescent="0.2"/>
    <row r="10675" ht="16" x14ac:dyDescent="0.2"/>
    <row r="10676" ht="16" x14ac:dyDescent="0.2"/>
    <row r="10677" ht="16" x14ac:dyDescent="0.2"/>
    <row r="10678" ht="16" x14ac:dyDescent="0.2"/>
    <row r="10679" ht="16" x14ac:dyDescent="0.2"/>
    <row r="10680" ht="16" x14ac:dyDescent="0.2"/>
    <row r="10681" ht="16" x14ac:dyDescent="0.2"/>
    <row r="10682" ht="16" x14ac:dyDescent="0.2"/>
    <row r="10683" ht="16" x14ac:dyDescent="0.2"/>
    <row r="10684" ht="16" x14ac:dyDescent="0.2"/>
    <row r="10685" ht="16" x14ac:dyDescent="0.2"/>
    <row r="10686" ht="16" x14ac:dyDescent="0.2"/>
    <row r="10687" ht="16" x14ac:dyDescent="0.2"/>
    <row r="10688" ht="16" x14ac:dyDescent="0.2"/>
    <row r="10689" ht="16" x14ac:dyDescent="0.2"/>
    <row r="10690" ht="16" x14ac:dyDescent="0.2"/>
    <row r="10691" ht="16" x14ac:dyDescent="0.2"/>
    <row r="10692" ht="16" x14ac:dyDescent="0.2"/>
    <row r="10693" ht="16" x14ac:dyDescent="0.2"/>
    <row r="10694" ht="16" x14ac:dyDescent="0.2"/>
    <row r="10695" ht="16" x14ac:dyDescent="0.2"/>
    <row r="10696" ht="16" x14ac:dyDescent="0.2"/>
    <row r="10697" ht="16" x14ac:dyDescent="0.2"/>
    <row r="10698" ht="16" x14ac:dyDescent="0.2"/>
    <row r="10699" ht="16" x14ac:dyDescent="0.2"/>
    <row r="10700" ht="16" x14ac:dyDescent="0.2"/>
    <row r="10701" ht="16" x14ac:dyDescent="0.2"/>
    <row r="10702" ht="16" x14ac:dyDescent="0.2"/>
    <row r="10703" ht="16" x14ac:dyDescent="0.2"/>
    <row r="10704" ht="16" x14ac:dyDescent="0.2"/>
    <row r="10705" ht="16" x14ac:dyDescent="0.2"/>
    <row r="10706" ht="16" x14ac:dyDescent="0.2"/>
    <row r="10707" ht="16" x14ac:dyDescent="0.2"/>
    <row r="10708" ht="16" x14ac:dyDescent="0.2"/>
    <row r="10709" ht="16" x14ac:dyDescent="0.2"/>
    <row r="10710" ht="16" x14ac:dyDescent="0.2"/>
    <row r="10711" ht="16" x14ac:dyDescent="0.2"/>
    <row r="10712" ht="16" x14ac:dyDescent="0.2"/>
    <row r="10713" ht="16" x14ac:dyDescent="0.2"/>
    <row r="10714" ht="16" x14ac:dyDescent="0.2"/>
    <row r="10715" ht="16" x14ac:dyDescent="0.2"/>
    <row r="10716" ht="16" x14ac:dyDescent="0.2"/>
    <row r="10717" ht="16" x14ac:dyDescent="0.2"/>
    <row r="10718" ht="16" x14ac:dyDescent="0.2"/>
    <row r="10719" ht="16" x14ac:dyDescent="0.2"/>
    <row r="10720" ht="16" x14ac:dyDescent="0.2"/>
    <row r="10721" ht="16" x14ac:dyDescent="0.2"/>
    <row r="10722" ht="16" x14ac:dyDescent="0.2"/>
    <row r="10723" ht="16" x14ac:dyDescent="0.2"/>
    <row r="10724" ht="16" x14ac:dyDescent="0.2"/>
    <row r="10725" ht="16" x14ac:dyDescent="0.2"/>
    <row r="10726" ht="16" x14ac:dyDescent="0.2"/>
    <row r="10727" ht="16" x14ac:dyDescent="0.2"/>
    <row r="10728" ht="16" x14ac:dyDescent="0.2"/>
    <row r="10729" ht="16" x14ac:dyDescent="0.2"/>
    <row r="10730" ht="16" x14ac:dyDescent="0.2"/>
    <row r="10731" ht="16" x14ac:dyDescent="0.2"/>
    <row r="10732" ht="16" x14ac:dyDescent="0.2"/>
    <row r="10733" ht="16" x14ac:dyDescent="0.2"/>
    <row r="10734" ht="16" x14ac:dyDescent="0.2"/>
    <row r="10735" ht="16" x14ac:dyDescent="0.2"/>
    <row r="10736" ht="16" x14ac:dyDescent="0.2"/>
    <row r="10737" ht="16" x14ac:dyDescent="0.2"/>
    <row r="10738" ht="16" x14ac:dyDescent="0.2"/>
    <row r="10739" ht="16" x14ac:dyDescent="0.2"/>
    <row r="10740" ht="16" x14ac:dyDescent="0.2"/>
    <row r="10741" ht="16" x14ac:dyDescent="0.2"/>
    <row r="10742" ht="16" x14ac:dyDescent="0.2"/>
    <row r="10743" ht="16" x14ac:dyDescent="0.2"/>
    <row r="10744" ht="16" x14ac:dyDescent="0.2"/>
    <row r="10745" ht="16" x14ac:dyDescent="0.2"/>
    <row r="10746" ht="16" x14ac:dyDescent="0.2"/>
    <row r="10747" ht="16" x14ac:dyDescent="0.2"/>
    <row r="10748" ht="16" x14ac:dyDescent="0.2"/>
    <row r="10749" ht="16" x14ac:dyDescent="0.2"/>
    <row r="10750" ht="16" x14ac:dyDescent="0.2"/>
    <row r="10751" ht="16" x14ac:dyDescent="0.2"/>
    <row r="10752" ht="16" x14ac:dyDescent="0.2"/>
    <row r="10753" ht="16" x14ac:dyDescent="0.2"/>
    <row r="10754" ht="16" x14ac:dyDescent="0.2"/>
    <row r="10755" ht="16" x14ac:dyDescent="0.2"/>
    <row r="10756" ht="16" x14ac:dyDescent="0.2"/>
    <row r="10757" ht="16" x14ac:dyDescent="0.2"/>
    <row r="10758" ht="16" x14ac:dyDescent="0.2"/>
    <row r="10759" ht="16" x14ac:dyDescent="0.2"/>
    <row r="10760" ht="16" x14ac:dyDescent="0.2"/>
    <row r="10761" ht="16" x14ac:dyDescent="0.2"/>
    <row r="10762" ht="16" x14ac:dyDescent="0.2"/>
    <row r="10763" ht="16" x14ac:dyDescent="0.2"/>
    <row r="10764" ht="16" x14ac:dyDescent="0.2"/>
    <row r="10765" ht="16" x14ac:dyDescent="0.2"/>
    <row r="10766" ht="16" x14ac:dyDescent="0.2"/>
    <row r="10767" ht="16" x14ac:dyDescent="0.2"/>
    <row r="10768" ht="16" x14ac:dyDescent="0.2"/>
    <row r="10769" ht="16" x14ac:dyDescent="0.2"/>
    <row r="10770" ht="16" x14ac:dyDescent="0.2"/>
    <row r="10771" ht="16" x14ac:dyDescent="0.2"/>
    <row r="10772" ht="16" x14ac:dyDescent="0.2"/>
    <row r="10773" ht="16" x14ac:dyDescent="0.2"/>
    <row r="10774" ht="16" x14ac:dyDescent="0.2"/>
    <row r="10775" ht="16" x14ac:dyDescent="0.2"/>
    <row r="10776" ht="16" x14ac:dyDescent="0.2"/>
    <row r="10777" ht="16" x14ac:dyDescent="0.2"/>
    <row r="10778" ht="16" x14ac:dyDescent="0.2"/>
    <row r="10779" ht="16" x14ac:dyDescent="0.2"/>
    <row r="10780" ht="16" x14ac:dyDescent="0.2"/>
    <row r="10781" ht="16" x14ac:dyDescent="0.2"/>
    <row r="10782" ht="16" x14ac:dyDescent="0.2"/>
    <row r="10783" ht="16" x14ac:dyDescent="0.2"/>
    <row r="10784" ht="16" x14ac:dyDescent="0.2"/>
    <row r="10785" ht="16" x14ac:dyDescent="0.2"/>
    <row r="10786" ht="16" x14ac:dyDescent="0.2"/>
    <row r="10787" ht="16" x14ac:dyDescent="0.2"/>
    <row r="10788" ht="16" x14ac:dyDescent="0.2"/>
    <row r="10789" ht="16" x14ac:dyDescent="0.2"/>
    <row r="10790" ht="16" x14ac:dyDescent="0.2"/>
    <row r="10791" ht="16" x14ac:dyDescent="0.2"/>
    <row r="10792" ht="16" x14ac:dyDescent="0.2"/>
    <row r="10793" ht="16" x14ac:dyDescent="0.2"/>
    <row r="10794" ht="16" x14ac:dyDescent="0.2"/>
    <row r="10795" ht="16" x14ac:dyDescent="0.2"/>
    <row r="10796" ht="16" x14ac:dyDescent="0.2"/>
    <row r="10797" ht="16" x14ac:dyDescent="0.2"/>
    <row r="10798" ht="16" x14ac:dyDescent="0.2"/>
    <row r="10799" ht="16" x14ac:dyDescent="0.2"/>
    <row r="10800" ht="16" x14ac:dyDescent="0.2"/>
    <row r="10801" ht="16" x14ac:dyDescent="0.2"/>
    <row r="10802" ht="16" x14ac:dyDescent="0.2"/>
    <row r="10803" ht="16" x14ac:dyDescent="0.2"/>
    <row r="10804" ht="16" x14ac:dyDescent="0.2"/>
    <row r="10805" ht="16" x14ac:dyDescent="0.2"/>
    <row r="10806" ht="16" x14ac:dyDescent="0.2"/>
    <row r="10807" ht="16" x14ac:dyDescent="0.2"/>
    <row r="10808" ht="16" x14ac:dyDescent="0.2"/>
    <row r="10809" ht="16" x14ac:dyDescent="0.2"/>
    <row r="10810" ht="16" x14ac:dyDescent="0.2"/>
    <row r="10811" ht="16" x14ac:dyDescent="0.2"/>
    <row r="10812" ht="16" x14ac:dyDescent="0.2"/>
    <row r="10813" ht="16" x14ac:dyDescent="0.2"/>
    <row r="10814" ht="16" x14ac:dyDescent="0.2"/>
    <row r="10815" ht="16" x14ac:dyDescent="0.2"/>
    <row r="10816" ht="16" x14ac:dyDescent="0.2"/>
    <row r="10817" ht="16" x14ac:dyDescent="0.2"/>
    <row r="10818" ht="16" x14ac:dyDescent="0.2"/>
    <row r="10819" ht="16" x14ac:dyDescent="0.2"/>
    <row r="10820" ht="16" x14ac:dyDescent="0.2"/>
    <row r="10821" ht="16" x14ac:dyDescent="0.2"/>
    <row r="10822" ht="16" x14ac:dyDescent="0.2"/>
    <row r="10823" ht="16" x14ac:dyDescent="0.2"/>
    <row r="10824" ht="16" x14ac:dyDescent="0.2"/>
    <row r="10825" ht="16" x14ac:dyDescent="0.2"/>
    <row r="10826" ht="16" x14ac:dyDescent="0.2"/>
    <row r="10827" ht="16" x14ac:dyDescent="0.2"/>
    <row r="10828" ht="16" x14ac:dyDescent="0.2"/>
    <row r="10829" ht="16" x14ac:dyDescent="0.2"/>
    <row r="10830" ht="16" x14ac:dyDescent="0.2"/>
    <row r="10831" ht="16" x14ac:dyDescent="0.2"/>
    <row r="10832" ht="16" x14ac:dyDescent="0.2"/>
    <row r="10833" ht="16" x14ac:dyDescent="0.2"/>
    <row r="10834" ht="16" x14ac:dyDescent="0.2"/>
    <row r="10835" ht="16" x14ac:dyDescent="0.2"/>
    <row r="10836" ht="16" x14ac:dyDescent="0.2"/>
    <row r="10837" ht="16" x14ac:dyDescent="0.2"/>
    <row r="10838" ht="16" x14ac:dyDescent="0.2"/>
    <row r="10839" ht="16" x14ac:dyDescent="0.2"/>
    <row r="10840" ht="16" x14ac:dyDescent="0.2"/>
    <row r="10841" ht="16" x14ac:dyDescent="0.2"/>
    <row r="10842" ht="16" x14ac:dyDescent="0.2"/>
    <row r="10843" ht="16" x14ac:dyDescent="0.2"/>
    <row r="10844" ht="16" x14ac:dyDescent="0.2"/>
    <row r="10845" ht="16" x14ac:dyDescent="0.2"/>
    <row r="10846" ht="16" x14ac:dyDescent="0.2"/>
    <row r="10847" ht="16" x14ac:dyDescent="0.2"/>
    <row r="10848" ht="16" x14ac:dyDescent="0.2"/>
    <row r="10849" ht="16" x14ac:dyDescent="0.2"/>
    <row r="10850" ht="16" x14ac:dyDescent="0.2"/>
    <row r="10851" ht="16" x14ac:dyDescent="0.2"/>
    <row r="10852" ht="16" x14ac:dyDescent="0.2"/>
    <row r="10853" ht="16" x14ac:dyDescent="0.2"/>
    <row r="10854" ht="16" x14ac:dyDescent="0.2"/>
    <row r="10855" ht="16" x14ac:dyDescent="0.2"/>
    <row r="10856" ht="16" x14ac:dyDescent="0.2"/>
    <row r="10857" ht="16" x14ac:dyDescent="0.2"/>
    <row r="10858" ht="16" x14ac:dyDescent="0.2"/>
    <row r="10859" ht="16" x14ac:dyDescent="0.2"/>
    <row r="10860" ht="16" x14ac:dyDescent="0.2"/>
    <row r="10861" ht="16" x14ac:dyDescent="0.2"/>
    <row r="10862" ht="16" x14ac:dyDescent="0.2"/>
    <row r="10863" ht="16" x14ac:dyDescent="0.2"/>
    <row r="10864" ht="16" x14ac:dyDescent="0.2"/>
    <row r="10865" ht="16" x14ac:dyDescent="0.2"/>
    <row r="10866" ht="16" x14ac:dyDescent="0.2"/>
    <row r="10867" ht="16" x14ac:dyDescent="0.2"/>
    <row r="10868" ht="16" x14ac:dyDescent="0.2"/>
    <row r="10869" ht="16" x14ac:dyDescent="0.2"/>
    <row r="10870" ht="16" x14ac:dyDescent="0.2"/>
    <row r="10871" ht="16" x14ac:dyDescent="0.2"/>
    <row r="10872" ht="16" x14ac:dyDescent="0.2"/>
    <row r="10873" ht="16" x14ac:dyDescent="0.2"/>
    <row r="10874" ht="16" x14ac:dyDescent="0.2"/>
    <row r="10875" ht="16" x14ac:dyDescent="0.2"/>
    <row r="10876" ht="16" x14ac:dyDescent="0.2"/>
    <row r="10877" ht="16" x14ac:dyDescent="0.2"/>
    <row r="10878" ht="16" x14ac:dyDescent="0.2"/>
    <row r="10879" ht="16" x14ac:dyDescent="0.2"/>
    <row r="10880" ht="16" x14ac:dyDescent="0.2"/>
    <row r="10881" ht="16" x14ac:dyDescent="0.2"/>
    <row r="10882" ht="16" x14ac:dyDescent="0.2"/>
    <row r="10883" ht="16" x14ac:dyDescent="0.2"/>
    <row r="10884" ht="16" x14ac:dyDescent="0.2"/>
    <row r="10885" ht="16" x14ac:dyDescent="0.2"/>
    <row r="10886" ht="16" x14ac:dyDescent="0.2"/>
    <row r="10887" ht="16" x14ac:dyDescent="0.2"/>
    <row r="10888" ht="16" x14ac:dyDescent="0.2"/>
    <row r="10889" ht="16" x14ac:dyDescent="0.2"/>
    <row r="10890" ht="16" x14ac:dyDescent="0.2"/>
    <row r="10891" ht="16" x14ac:dyDescent="0.2"/>
    <row r="10892" ht="16" x14ac:dyDescent="0.2"/>
    <row r="10893" ht="16" x14ac:dyDescent="0.2"/>
    <row r="10894" ht="16" x14ac:dyDescent="0.2"/>
    <row r="10895" ht="16" x14ac:dyDescent="0.2"/>
    <row r="10896" ht="16" x14ac:dyDescent="0.2"/>
    <row r="10897" ht="16" x14ac:dyDescent="0.2"/>
    <row r="10898" ht="16" x14ac:dyDescent="0.2"/>
    <row r="10899" ht="16" x14ac:dyDescent="0.2"/>
    <row r="10900" ht="16" x14ac:dyDescent="0.2"/>
    <row r="10901" ht="16" x14ac:dyDescent="0.2"/>
    <row r="10902" ht="16" x14ac:dyDescent="0.2"/>
    <row r="10903" ht="16" x14ac:dyDescent="0.2"/>
    <row r="10904" ht="16" x14ac:dyDescent="0.2"/>
    <row r="10905" ht="16" x14ac:dyDescent="0.2"/>
    <row r="10906" ht="16" x14ac:dyDescent="0.2"/>
    <row r="10907" ht="16" x14ac:dyDescent="0.2"/>
    <row r="10908" ht="16" x14ac:dyDescent="0.2"/>
    <row r="10909" ht="16" x14ac:dyDescent="0.2"/>
    <row r="10910" ht="16" x14ac:dyDescent="0.2"/>
    <row r="10911" ht="16" x14ac:dyDescent="0.2"/>
    <row r="10912" ht="16" x14ac:dyDescent="0.2"/>
    <row r="10913" ht="16" x14ac:dyDescent="0.2"/>
    <row r="10914" ht="16" x14ac:dyDescent="0.2"/>
    <row r="10915" ht="16" x14ac:dyDescent="0.2"/>
    <row r="10916" ht="16" x14ac:dyDescent="0.2"/>
    <row r="10917" ht="16" x14ac:dyDescent="0.2"/>
    <row r="10918" ht="16" x14ac:dyDescent="0.2"/>
    <row r="10919" ht="16" x14ac:dyDescent="0.2"/>
    <row r="10920" ht="16" x14ac:dyDescent="0.2"/>
    <row r="10921" ht="16" x14ac:dyDescent="0.2"/>
    <row r="10922" ht="16" x14ac:dyDescent="0.2"/>
    <row r="10923" ht="16" x14ac:dyDescent="0.2"/>
    <row r="10924" ht="16" x14ac:dyDescent="0.2"/>
    <row r="10925" ht="16" x14ac:dyDescent="0.2"/>
    <row r="10926" ht="16" x14ac:dyDescent="0.2"/>
    <row r="10927" ht="16" x14ac:dyDescent="0.2"/>
    <row r="10928" ht="16" x14ac:dyDescent="0.2"/>
    <row r="10929" ht="16" x14ac:dyDescent="0.2"/>
    <row r="10930" ht="16" x14ac:dyDescent="0.2"/>
    <row r="10931" ht="16" x14ac:dyDescent="0.2"/>
    <row r="10932" ht="16" x14ac:dyDescent="0.2"/>
    <row r="10933" ht="16" x14ac:dyDescent="0.2"/>
    <row r="10934" ht="16" x14ac:dyDescent="0.2"/>
    <row r="10935" ht="16" x14ac:dyDescent="0.2"/>
    <row r="10936" ht="16" x14ac:dyDescent="0.2"/>
    <row r="10937" ht="16" x14ac:dyDescent="0.2"/>
    <row r="10938" ht="16" x14ac:dyDescent="0.2"/>
    <row r="10939" ht="16" x14ac:dyDescent="0.2"/>
    <row r="10940" ht="16" x14ac:dyDescent="0.2"/>
    <row r="10941" ht="16" x14ac:dyDescent="0.2"/>
    <row r="10942" ht="16" x14ac:dyDescent="0.2"/>
    <row r="10943" ht="16" x14ac:dyDescent="0.2"/>
    <row r="10944" ht="16" x14ac:dyDescent="0.2"/>
    <row r="10945" ht="16" x14ac:dyDescent="0.2"/>
    <row r="10946" ht="16" x14ac:dyDescent="0.2"/>
    <row r="10947" ht="16" x14ac:dyDescent="0.2"/>
    <row r="10948" ht="16" x14ac:dyDescent="0.2"/>
    <row r="10949" ht="16" x14ac:dyDescent="0.2"/>
    <row r="10950" ht="16" x14ac:dyDescent="0.2"/>
    <row r="10951" ht="16" x14ac:dyDescent="0.2"/>
    <row r="10952" ht="16" x14ac:dyDescent="0.2"/>
    <row r="10953" ht="16" x14ac:dyDescent="0.2"/>
    <row r="10954" ht="16" x14ac:dyDescent="0.2"/>
    <row r="10955" ht="16" x14ac:dyDescent="0.2"/>
    <row r="10956" ht="16" x14ac:dyDescent="0.2"/>
    <row r="10957" ht="16" x14ac:dyDescent="0.2"/>
    <row r="10958" ht="16" x14ac:dyDescent="0.2"/>
    <row r="10959" ht="16" x14ac:dyDescent="0.2"/>
    <row r="10960" ht="16" x14ac:dyDescent="0.2"/>
    <row r="10961" ht="16" x14ac:dyDescent="0.2"/>
    <row r="10962" ht="16" x14ac:dyDescent="0.2"/>
    <row r="10963" ht="16" x14ac:dyDescent="0.2"/>
    <row r="10964" ht="16" x14ac:dyDescent="0.2"/>
    <row r="10965" ht="16" x14ac:dyDescent="0.2"/>
    <row r="10966" ht="16" x14ac:dyDescent="0.2"/>
    <row r="10967" ht="16" x14ac:dyDescent="0.2"/>
    <row r="10968" ht="16" x14ac:dyDescent="0.2"/>
    <row r="10969" ht="16" x14ac:dyDescent="0.2"/>
    <row r="10970" ht="16" x14ac:dyDescent="0.2"/>
    <row r="10971" ht="16" x14ac:dyDescent="0.2"/>
    <row r="10972" ht="16" x14ac:dyDescent="0.2"/>
    <row r="10973" ht="16" x14ac:dyDescent="0.2"/>
    <row r="10974" ht="16" x14ac:dyDescent="0.2"/>
    <row r="10975" ht="16" x14ac:dyDescent="0.2"/>
    <row r="10976" ht="16" x14ac:dyDescent="0.2"/>
    <row r="10977" ht="16" x14ac:dyDescent="0.2"/>
    <row r="10978" ht="16" x14ac:dyDescent="0.2"/>
    <row r="10979" ht="16" x14ac:dyDescent="0.2"/>
    <row r="10980" ht="16" x14ac:dyDescent="0.2"/>
    <row r="10981" ht="16" x14ac:dyDescent="0.2"/>
    <row r="10982" ht="16" x14ac:dyDescent="0.2"/>
    <row r="10983" ht="16" x14ac:dyDescent="0.2"/>
    <row r="10984" ht="16" x14ac:dyDescent="0.2"/>
    <row r="10985" ht="16" x14ac:dyDescent="0.2"/>
    <row r="10986" ht="16" x14ac:dyDescent="0.2"/>
    <row r="10987" ht="16" x14ac:dyDescent="0.2"/>
    <row r="10988" ht="16" x14ac:dyDescent="0.2"/>
    <row r="10989" ht="16" x14ac:dyDescent="0.2"/>
    <row r="10990" ht="16" x14ac:dyDescent="0.2"/>
    <row r="10991" ht="16" x14ac:dyDescent="0.2"/>
    <row r="10992" ht="16" x14ac:dyDescent="0.2"/>
    <row r="10993" ht="16" x14ac:dyDescent="0.2"/>
    <row r="10994" ht="16" x14ac:dyDescent="0.2"/>
    <row r="10995" ht="16" x14ac:dyDescent="0.2"/>
    <row r="10996" ht="16" x14ac:dyDescent="0.2"/>
    <row r="10997" ht="16" x14ac:dyDescent="0.2"/>
    <row r="10998" ht="16" x14ac:dyDescent="0.2"/>
    <row r="10999" ht="16" x14ac:dyDescent="0.2"/>
    <row r="11000" ht="16" x14ac:dyDescent="0.2"/>
    <row r="11001" ht="16" x14ac:dyDescent="0.2"/>
    <row r="11002" ht="16" x14ac:dyDescent="0.2"/>
    <row r="11003" ht="16" x14ac:dyDescent="0.2"/>
    <row r="11004" ht="16" x14ac:dyDescent="0.2"/>
    <row r="11005" ht="16" x14ac:dyDescent="0.2"/>
    <row r="11006" ht="16" x14ac:dyDescent="0.2"/>
    <row r="11007" ht="16" x14ac:dyDescent="0.2"/>
    <row r="11008" ht="16" x14ac:dyDescent="0.2"/>
    <row r="11009" ht="16" x14ac:dyDescent="0.2"/>
    <row r="11010" ht="16" x14ac:dyDescent="0.2"/>
    <row r="11011" ht="16" x14ac:dyDescent="0.2"/>
    <row r="11012" ht="16" x14ac:dyDescent="0.2"/>
    <row r="11013" ht="16" x14ac:dyDescent="0.2"/>
    <row r="11014" ht="16" x14ac:dyDescent="0.2"/>
    <row r="11015" ht="16" x14ac:dyDescent="0.2"/>
    <row r="11016" ht="16" x14ac:dyDescent="0.2"/>
    <row r="11017" ht="16" x14ac:dyDescent="0.2"/>
    <row r="11018" ht="16" x14ac:dyDescent="0.2"/>
    <row r="11019" ht="16" x14ac:dyDescent="0.2"/>
    <row r="11020" ht="16" x14ac:dyDescent="0.2"/>
    <row r="11021" ht="16" x14ac:dyDescent="0.2"/>
    <row r="11022" ht="16" x14ac:dyDescent="0.2"/>
    <row r="11023" ht="16" x14ac:dyDescent="0.2"/>
    <row r="11024" ht="16" x14ac:dyDescent="0.2"/>
    <row r="11025" ht="16" x14ac:dyDescent="0.2"/>
    <row r="11026" ht="16" x14ac:dyDescent="0.2"/>
    <row r="11027" ht="16" x14ac:dyDescent="0.2"/>
    <row r="11028" ht="16" x14ac:dyDescent="0.2"/>
    <row r="11029" ht="16" x14ac:dyDescent="0.2"/>
    <row r="11030" ht="16" x14ac:dyDescent="0.2"/>
    <row r="11031" ht="16" x14ac:dyDescent="0.2"/>
    <row r="11032" ht="16" x14ac:dyDescent="0.2"/>
    <row r="11033" ht="16" x14ac:dyDescent="0.2"/>
    <row r="11034" ht="16" x14ac:dyDescent="0.2"/>
    <row r="11035" ht="16" x14ac:dyDescent="0.2"/>
    <row r="11036" ht="16" x14ac:dyDescent="0.2"/>
    <row r="11037" ht="16" x14ac:dyDescent="0.2"/>
    <row r="11038" ht="16" x14ac:dyDescent="0.2"/>
    <row r="11039" ht="16" x14ac:dyDescent="0.2"/>
    <row r="11040" ht="16" x14ac:dyDescent="0.2"/>
    <row r="11041" ht="16" x14ac:dyDescent="0.2"/>
    <row r="11042" ht="16" x14ac:dyDescent="0.2"/>
    <row r="11043" ht="16" x14ac:dyDescent="0.2"/>
    <row r="11044" ht="16" x14ac:dyDescent="0.2"/>
    <row r="11045" ht="16" x14ac:dyDescent="0.2"/>
    <row r="11046" ht="16" x14ac:dyDescent="0.2"/>
    <row r="11047" ht="16" x14ac:dyDescent="0.2"/>
    <row r="11048" ht="16" x14ac:dyDescent="0.2"/>
    <row r="11049" ht="16" x14ac:dyDescent="0.2"/>
    <row r="11050" ht="16" x14ac:dyDescent="0.2"/>
    <row r="11051" ht="16" x14ac:dyDescent="0.2"/>
    <row r="11052" ht="16" x14ac:dyDescent="0.2"/>
    <row r="11053" ht="16" x14ac:dyDescent="0.2"/>
    <row r="11054" ht="16" x14ac:dyDescent="0.2"/>
    <row r="11055" ht="16" x14ac:dyDescent="0.2"/>
    <row r="11056" ht="16" x14ac:dyDescent="0.2"/>
    <row r="11057" ht="16" x14ac:dyDescent="0.2"/>
    <row r="11058" ht="16" x14ac:dyDescent="0.2"/>
    <row r="11059" ht="16" x14ac:dyDescent="0.2"/>
    <row r="11060" ht="16" x14ac:dyDescent="0.2"/>
    <row r="11061" ht="16" x14ac:dyDescent="0.2"/>
    <row r="11062" ht="16" x14ac:dyDescent="0.2"/>
    <row r="11063" ht="16" x14ac:dyDescent="0.2"/>
    <row r="11064" ht="16" x14ac:dyDescent="0.2"/>
    <row r="11065" ht="16" x14ac:dyDescent="0.2"/>
    <row r="11066" ht="16" x14ac:dyDescent="0.2"/>
    <row r="11067" ht="16" x14ac:dyDescent="0.2"/>
    <row r="11068" ht="16" x14ac:dyDescent="0.2"/>
    <row r="11069" ht="16" x14ac:dyDescent="0.2"/>
    <row r="11070" ht="16" x14ac:dyDescent="0.2"/>
    <row r="11071" ht="16" x14ac:dyDescent="0.2"/>
    <row r="11072" ht="16" x14ac:dyDescent="0.2"/>
    <row r="11073" ht="16" x14ac:dyDescent="0.2"/>
    <row r="11074" ht="16" x14ac:dyDescent="0.2"/>
    <row r="11075" ht="16" x14ac:dyDescent="0.2"/>
    <row r="11076" ht="16" x14ac:dyDescent="0.2"/>
    <row r="11077" ht="16" x14ac:dyDescent="0.2"/>
    <row r="11078" ht="16" x14ac:dyDescent="0.2"/>
    <row r="11079" ht="16" x14ac:dyDescent="0.2"/>
    <row r="11080" ht="16" x14ac:dyDescent="0.2"/>
    <row r="11081" ht="16" x14ac:dyDescent="0.2"/>
    <row r="11082" ht="16" x14ac:dyDescent="0.2"/>
    <row r="11083" ht="16" x14ac:dyDescent="0.2"/>
    <row r="11084" ht="16" x14ac:dyDescent="0.2"/>
    <row r="11085" ht="16" x14ac:dyDescent="0.2"/>
    <row r="11086" ht="16" x14ac:dyDescent="0.2"/>
    <row r="11087" ht="16" x14ac:dyDescent="0.2"/>
    <row r="11088" ht="16" x14ac:dyDescent="0.2"/>
    <row r="11089" ht="16" x14ac:dyDescent="0.2"/>
    <row r="11090" ht="16" x14ac:dyDescent="0.2"/>
    <row r="11091" ht="16" x14ac:dyDescent="0.2"/>
    <row r="11092" ht="16" x14ac:dyDescent="0.2"/>
    <row r="11093" ht="16" x14ac:dyDescent="0.2"/>
    <row r="11094" ht="16" x14ac:dyDescent="0.2"/>
    <row r="11095" ht="16" x14ac:dyDescent="0.2"/>
    <row r="11096" ht="16" x14ac:dyDescent="0.2"/>
    <row r="11097" ht="16" x14ac:dyDescent="0.2"/>
    <row r="11098" ht="16" x14ac:dyDescent="0.2"/>
    <row r="11099" ht="16" x14ac:dyDescent="0.2"/>
    <row r="11100" ht="16" x14ac:dyDescent="0.2"/>
    <row r="11101" ht="16" x14ac:dyDescent="0.2"/>
    <row r="11102" ht="16" x14ac:dyDescent="0.2"/>
    <row r="11103" ht="16" x14ac:dyDescent="0.2"/>
    <row r="11104" ht="16" x14ac:dyDescent="0.2"/>
    <row r="11105" ht="16" x14ac:dyDescent="0.2"/>
    <row r="11106" ht="16" x14ac:dyDescent="0.2"/>
    <row r="11107" ht="16" x14ac:dyDescent="0.2"/>
    <row r="11108" ht="16" x14ac:dyDescent="0.2"/>
    <row r="11109" ht="16" x14ac:dyDescent="0.2"/>
    <row r="11110" ht="16" x14ac:dyDescent="0.2"/>
    <row r="11111" ht="16" x14ac:dyDescent="0.2"/>
    <row r="11112" ht="16" x14ac:dyDescent="0.2"/>
    <row r="11113" ht="16" x14ac:dyDescent="0.2"/>
    <row r="11114" ht="16" x14ac:dyDescent="0.2"/>
    <row r="11115" ht="16" x14ac:dyDescent="0.2"/>
    <row r="11116" ht="16" x14ac:dyDescent="0.2"/>
    <row r="11117" ht="16" x14ac:dyDescent="0.2"/>
    <row r="11118" ht="16" x14ac:dyDescent="0.2"/>
    <row r="11119" ht="16" x14ac:dyDescent="0.2"/>
    <row r="11120" ht="16" x14ac:dyDescent="0.2"/>
    <row r="11121" ht="16" x14ac:dyDescent="0.2"/>
    <row r="11122" ht="16" x14ac:dyDescent="0.2"/>
    <row r="11123" ht="16" x14ac:dyDescent="0.2"/>
    <row r="11124" ht="16" x14ac:dyDescent="0.2"/>
    <row r="11125" ht="16" x14ac:dyDescent="0.2"/>
    <row r="11126" ht="16" x14ac:dyDescent="0.2"/>
    <row r="11127" ht="16" x14ac:dyDescent="0.2"/>
    <row r="11128" ht="16" x14ac:dyDescent="0.2"/>
    <row r="11129" ht="16" x14ac:dyDescent="0.2"/>
    <row r="11130" ht="16" x14ac:dyDescent="0.2"/>
    <row r="11131" ht="16" x14ac:dyDescent="0.2"/>
    <row r="11132" ht="16" x14ac:dyDescent="0.2"/>
    <row r="11133" ht="16" x14ac:dyDescent="0.2"/>
    <row r="11134" ht="16" x14ac:dyDescent="0.2"/>
    <row r="11135" ht="16" x14ac:dyDescent="0.2"/>
    <row r="11136" ht="16" x14ac:dyDescent="0.2"/>
    <row r="11137" ht="16" x14ac:dyDescent="0.2"/>
    <row r="11138" ht="16" x14ac:dyDescent="0.2"/>
    <row r="11139" ht="16" x14ac:dyDescent="0.2"/>
    <row r="11140" ht="16" x14ac:dyDescent="0.2"/>
    <row r="11141" ht="16" x14ac:dyDescent="0.2"/>
    <row r="11142" ht="16" x14ac:dyDescent="0.2"/>
    <row r="11143" ht="16" x14ac:dyDescent="0.2"/>
    <row r="11144" ht="16" x14ac:dyDescent="0.2"/>
    <row r="11145" ht="16" x14ac:dyDescent="0.2"/>
    <row r="11146" ht="16" x14ac:dyDescent="0.2"/>
    <row r="11147" ht="16" x14ac:dyDescent="0.2"/>
    <row r="11148" ht="16" x14ac:dyDescent="0.2"/>
    <row r="11149" ht="16" x14ac:dyDescent="0.2"/>
    <row r="11150" ht="16" x14ac:dyDescent="0.2"/>
    <row r="11151" ht="16" x14ac:dyDescent="0.2"/>
    <row r="11152" ht="16" x14ac:dyDescent="0.2"/>
    <row r="11153" ht="16" x14ac:dyDescent="0.2"/>
    <row r="11154" ht="16" x14ac:dyDescent="0.2"/>
    <row r="11155" ht="16" x14ac:dyDescent="0.2"/>
    <row r="11156" ht="16" x14ac:dyDescent="0.2"/>
    <row r="11157" ht="16" x14ac:dyDescent="0.2"/>
    <row r="11158" ht="16" x14ac:dyDescent="0.2"/>
    <row r="11159" ht="16" x14ac:dyDescent="0.2"/>
    <row r="11160" ht="16" x14ac:dyDescent="0.2"/>
    <row r="11161" ht="16" x14ac:dyDescent="0.2"/>
    <row r="11162" ht="16" x14ac:dyDescent="0.2"/>
    <row r="11163" ht="16" x14ac:dyDescent="0.2"/>
    <row r="11164" ht="16" x14ac:dyDescent="0.2"/>
    <row r="11165" ht="16" x14ac:dyDescent="0.2"/>
    <row r="11166" ht="16" x14ac:dyDescent="0.2"/>
    <row r="11167" ht="16" x14ac:dyDescent="0.2"/>
    <row r="11168" ht="16" x14ac:dyDescent="0.2"/>
    <row r="11169" ht="16" x14ac:dyDescent="0.2"/>
    <row r="11170" ht="16" x14ac:dyDescent="0.2"/>
    <row r="11171" ht="16" x14ac:dyDescent="0.2"/>
    <row r="11172" ht="16" x14ac:dyDescent="0.2"/>
    <row r="11173" ht="16" x14ac:dyDescent="0.2"/>
    <row r="11174" ht="16" x14ac:dyDescent="0.2"/>
    <row r="11175" ht="16" x14ac:dyDescent="0.2"/>
    <row r="11176" ht="16" x14ac:dyDescent="0.2"/>
    <row r="11177" ht="16" x14ac:dyDescent="0.2"/>
    <row r="11178" ht="16" x14ac:dyDescent="0.2"/>
    <row r="11179" ht="16" x14ac:dyDescent="0.2"/>
    <row r="11180" ht="16" x14ac:dyDescent="0.2"/>
    <row r="11181" ht="16" x14ac:dyDescent="0.2"/>
    <row r="11182" ht="16" x14ac:dyDescent="0.2"/>
    <row r="11183" ht="16" x14ac:dyDescent="0.2"/>
    <row r="11184" ht="16" x14ac:dyDescent="0.2"/>
    <row r="11185" ht="16" x14ac:dyDescent="0.2"/>
    <row r="11186" ht="16" x14ac:dyDescent="0.2"/>
    <row r="11187" ht="16" x14ac:dyDescent="0.2"/>
    <row r="11188" ht="16" x14ac:dyDescent="0.2"/>
    <row r="11189" ht="16" x14ac:dyDescent="0.2"/>
    <row r="11190" ht="16" x14ac:dyDescent="0.2"/>
    <row r="11191" ht="16" x14ac:dyDescent="0.2"/>
    <row r="11192" ht="16" x14ac:dyDescent="0.2"/>
    <row r="11193" ht="16" x14ac:dyDescent="0.2"/>
    <row r="11194" ht="16" x14ac:dyDescent="0.2"/>
    <row r="11195" ht="16" x14ac:dyDescent="0.2"/>
    <row r="11196" ht="16" x14ac:dyDescent="0.2"/>
    <row r="11197" ht="16" x14ac:dyDescent="0.2"/>
    <row r="11198" ht="16" x14ac:dyDescent="0.2"/>
    <row r="11199" ht="16" x14ac:dyDescent="0.2"/>
    <row r="11200" ht="16" x14ac:dyDescent="0.2"/>
    <row r="11201" ht="16" x14ac:dyDescent="0.2"/>
    <row r="11202" ht="16" x14ac:dyDescent="0.2"/>
    <row r="11203" ht="16" x14ac:dyDescent="0.2"/>
    <row r="11204" ht="16" x14ac:dyDescent="0.2"/>
    <row r="11205" ht="16" x14ac:dyDescent="0.2"/>
    <row r="11206" ht="16" x14ac:dyDescent="0.2"/>
    <row r="11207" ht="16" x14ac:dyDescent="0.2"/>
    <row r="11208" ht="16" x14ac:dyDescent="0.2"/>
    <row r="11209" ht="16" x14ac:dyDescent="0.2"/>
    <row r="11210" ht="16" x14ac:dyDescent="0.2"/>
    <row r="11211" ht="16" x14ac:dyDescent="0.2"/>
    <row r="11212" ht="16" x14ac:dyDescent="0.2"/>
    <row r="11213" ht="16" x14ac:dyDescent="0.2"/>
    <row r="11214" ht="16" x14ac:dyDescent="0.2"/>
    <row r="11215" ht="16" x14ac:dyDescent="0.2"/>
    <row r="11216" ht="16" x14ac:dyDescent="0.2"/>
    <row r="11217" ht="16" x14ac:dyDescent="0.2"/>
    <row r="11218" ht="16" x14ac:dyDescent="0.2"/>
    <row r="11219" ht="16" x14ac:dyDescent="0.2"/>
    <row r="11220" ht="16" x14ac:dyDescent="0.2"/>
    <row r="11221" ht="16" x14ac:dyDescent="0.2"/>
    <row r="11222" ht="16" x14ac:dyDescent="0.2"/>
    <row r="11223" ht="16" x14ac:dyDescent="0.2"/>
    <row r="11224" ht="16" x14ac:dyDescent="0.2"/>
    <row r="11225" ht="16" x14ac:dyDescent="0.2"/>
    <row r="11226" ht="16" x14ac:dyDescent="0.2"/>
    <row r="11227" ht="16" x14ac:dyDescent="0.2"/>
    <row r="11228" ht="16" x14ac:dyDescent="0.2"/>
    <row r="11229" ht="16" x14ac:dyDescent="0.2"/>
    <row r="11230" ht="16" x14ac:dyDescent="0.2"/>
    <row r="11231" ht="16" x14ac:dyDescent="0.2"/>
    <row r="11232" ht="16" x14ac:dyDescent="0.2"/>
    <row r="11233" ht="16" x14ac:dyDescent="0.2"/>
    <row r="11234" ht="16" x14ac:dyDescent="0.2"/>
    <row r="11235" ht="16" x14ac:dyDescent="0.2"/>
    <row r="11236" ht="16" x14ac:dyDescent="0.2"/>
    <row r="11237" ht="16" x14ac:dyDescent="0.2"/>
    <row r="11238" ht="16" x14ac:dyDescent="0.2"/>
    <row r="11239" ht="16" x14ac:dyDescent="0.2"/>
    <row r="11240" ht="16" x14ac:dyDescent="0.2"/>
    <row r="11241" ht="16" x14ac:dyDescent="0.2"/>
    <row r="11242" ht="16" x14ac:dyDescent="0.2"/>
    <row r="11243" ht="16" x14ac:dyDescent="0.2"/>
    <row r="11244" ht="16" x14ac:dyDescent="0.2"/>
    <row r="11245" ht="16" x14ac:dyDescent="0.2"/>
    <row r="11246" ht="16" x14ac:dyDescent="0.2"/>
    <row r="11247" ht="16" x14ac:dyDescent="0.2"/>
    <row r="11248" ht="16" x14ac:dyDescent="0.2"/>
    <row r="11249" ht="16" x14ac:dyDescent="0.2"/>
    <row r="11250" ht="16" x14ac:dyDescent="0.2"/>
    <row r="11251" ht="16" x14ac:dyDescent="0.2"/>
    <row r="11252" ht="16" x14ac:dyDescent="0.2"/>
    <row r="11253" ht="16" x14ac:dyDescent="0.2"/>
    <row r="11254" ht="16" x14ac:dyDescent="0.2"/>
    <row r="11255" ht="16" x14ac:dyDescent="0.2"/>
    <row r="11256" ht="16" x14ac:dyDescent="0.2"/>
    <row r="11257" ht="16" x14ac:dyDescent="0.2"/>
    <row r="11258" ht="16" x14ac:dyDescent="0.2"/>
    <row r="11259" ht="16" x14ac:dyDescent="0.2"/>
    <row r="11260" ht="16" x14ac:dyDescent="0.2"/>
    <row r="11261" ht="16" x14ac:dyDescent="0.2"/>
    <row r="11262" ht="16" x14ac:dyDescent="0.2"/>
    <row r="11263" ht="16" x14ac:dyDescent="0.2"/>
    <row r="11264" ht="16" x14ac:dyDescent="0.2"/>
    <row r="11265" ht="16" x14ac:dyDescent="0.2"/>
    <row r="11266" ht="16" x14ac:dyDescent="0.2"/>
    <row r="11267" ht="16" x14ac:dyDescent="0.2"/>
    <row r="11268" ht="16" x14ac:dyDescent="0.2"/>
    <row r="11269" ht="16" x14ac:dyDescent="0.2"/>
    <row r="11270" ht="16" x14ac:dyDescent="0.2"/>
    <row r="11271" ht="16" x14ac:dyDescent="0.2"/>
    <row r="11272" ht="16" x14ac:dyDescent="0.2"/>
    <row r="11273" ht="16" x14ac:dyDescent="0.2"/>
    <row r="11274" ht="16" x14ac:dyDescent="0.2"/>
    <row r="11275" ht="16" x14ac:dyDescent="0.2"/>
    <row r="11276" ht="16" x14ac:dyDescent="0.2"/>
    <row r="11277" ht="16" x14ac:dyDescent="0.2"/>
    <row r="11278" ht="16" x14ac:dyDescent="0.2"/>
    <row r="11279" ht="16" x14ac:dyDescent="0.2"/>
    <row r="11280" ht="16" x14ac:dyDescent="0.2"/>
    <row r="11281" ht="16" x14ac:dyDescent="0.2"/>
    <row r="11282" ht="16" x14ac:dyDescent="0.2"/>
    <row r="11283" ht="16" x14ac:dyDescent="0.2"/>
    <row r="11284" ht="16" x14ac:dyDescent="0.2"/>
    <row r="11285" ht="16" x14ac:dyDescent="0.2"/>
    <row r="11286" ht="16" x14ac:dyDescent="0.2"/>
    <row r="11287" ht="16" x14ac:dyDescent="0.2"/>
    <row r="11288" ht="16" x14ac:dyDescent="0.2"/>
    <row r="11289" ht="16" x14ac:dyDescent="0.2"/>
    <row r="11290" ht="16" x14ac:dyDescent="0.2"/>
    <row r="11291" ht="16" x14ac:dyDescent="0.2"/>
    <row r="11292" ht="16" x14ac:dyDescent="0.2"/>
    <row r="11293" ht="16" x14ac:dyDescent="0.2"/>
    <row r="11294" ht="16" x14ac:dyDescent="0.2"/>
    <row r="11295" ht="16" x14ac:dyDescent="0.2"/>
    <row r="11296" ht="16" x14ac:dyDescent="0.2"/>
    <row r="11297" ht="16" x14ac:dyDescent="0.2"/>
    <row r="11298" ht="16" x14ac:dyDescent="0.2"/>
    <row r="11299" ht="16" x14ac:dyDescent="0.2"/>
    <row r="11300" ht="16" x14ac:dyDescent="0.2"/>
    <row r="11301" ht="16" x14ac:dyDescent="0.2"/>
    <row r="11302" ht="16" x14ac:dyDescent="0.2"/>
    <row r="11303" ht="16" x14ac:dyDescent="0.2"/>
    <row r="11304" ht="16" x14ac:dyDescent="0.2"/>
    <row r="11305" ht="16" x14ac:dyDescent="0.2"/>
    <row r="11306" ht="16" x14ac:dyDescent="0.2"/>
    <row r="11307" ht="16" x14ac:dyDescent="0.2"/>
    <row r="11308" ht="16" x14ac:dyDescent="0.2"/>
    <row r="11309" ht="16" x14ac:dyDescent="0.2"/>
    <row r="11310" ht="16" x14ac:dyDescent="0.2"/>
    <row r="11311" ht="16" x14ac:dyDescent="0.2"/>
    <row r="11312" ht="16" x14ac:dyDescent="0.2"/>
    <row r="11313" ht="16" x14ac:dyDescent="0.2"/>
    <row r="11314" ht="16" x14ac:dyDescent="0.2"/>
    <row r="11315" ht="16" x14ac:dyDescent="0.2"/>
    <row r="11316" ht="16" x14ac:dyDescent="0.2"/>
    <row r="11317" ht="16" x14ac:dyDescent="0.2"/>
    <row r="11318" ht="16" x14ac:dyDescent="0.2"/>
    <row r="11319" ht="16" x14ac:dyDescent="0.2"/>
    <row r="11320" ht="16" x14ac:dyDescent="0.2"/>
    <row r="11321" ht="16" x14ac:dyDescent="0.2"/>
    <row r="11322" ht="16" x14ac:dyDescent="0.2"/>
    <row r="11323" ht="16" x14ac:dyDescent="0.2"/>
    <row r="11324" ht="16" x14ac:dyDescent="0.2"/>
    <row r="11325" ht="16" x14ac:dyDescent="0.2"/>
    <row r="11326" ht="16" x14ac:dyDescent="0.2"/>
    <row r="11327" ht="16" x14ac:dyDescent="0.2"/>
    <row r="11328" ht="16" x14ac:dyDescent="0.2"/>
    <row r="11329" ht="16" x14ac:dyDescent="0.2"/>
    <row r="11330" ht="16" x14ac:dyDescent="0.2"/>
    <row r="11331" ht="16" x14ac:dyDescent="0.2"/>
    <row r="11332" ht="16" x14ac:dyDescent="0.2"/>
    <row r="11333" ht="16" x14ac:dyDescent="0.2"/>
    <row r="11334" ht="16" x14ac:dyDescent="0.2"/>
    <row r="11335" ht="16" x14ac:dyDescent="0.2"/>
    <row r="11336" ht="16" x14ac:dyDescent="0.2"/>
    <row r="11337" ht="16" x14ac:dyDescent="0.2"/>
    <row r="11338" ht="16" x14ac:dyDescent="0.2"/>
    <row r="11339" ht="16" x14ac:dyDescent="0.2"/>
    <row r="11340" ht="16" x14ac:dyDescent="0.2"/>
    <row r="11341" ht="16" x14ac:dyDescent="0.2"/>
    <row r="11342" ht="16" x14ac:dyDescent="0.2"/>
    <row r="11343" ht="16" x14ac:dyDescent="0.2"/>
    <row r="11344" ht="16" x14ac:dyDescent="0.2"/>
    <row r="11345" ht="16" x14ac:dyDescent="0.2"/>
    <row r="11346" ht="16" x14ac:dyDescent="0.2"/>
    <row r="11347" ht="16" x14ac:dyDescent="0.2"/>
    <row r="11348" ht="16" x14ac:dyDescent="0.2"/>
    <row r="11349" ht="16" x14ac:dyDescent="0.2"/>
    <row r="11350" ht="16" x14ac:dyDescent="0.2"/>
    <row r="11351" ht="16" x14ac:dyDescent="0.2"/>
    <row r="11352" ht="16" x14ac:dyDescent="0.2"/>
    <row r="11353" ht="16" x14ac:dyDescent="0.2"/>
    <row r="11354" ht="16" x14ac:dyDescent="0.2"/>
    <row r="11355" ht="16" x14ac:dyDescent="0.2"/>
    <row r="11356" ht="16" x14ac:dyDescent="0.2"/>
    <row r="11357" ht="16" x14ac:dyDescent="0.2"/>
    <row r="11358" ht="16" x14ac:dyDescent="0.2"/>
    <row r="11359" ht="16" x14ac:dyDescent="0.2"/>
    <row r="11360" ht="16" x14ac:dyDescent="0.2"/>
    <row r="11361" ht="16" x14ac:dyDescent="0.2"/>
    <row r="11362" ht="16" x14ac:dyDescent="0.2"/>
    <row r="11363" ht="16" x14ac:dyDescent="0.2"/>
    <row r="11364" ht="16" x14ac:dyDescent="0.2"/>
    <row r="11365" ht="16" x14ac:dyDescent="0.2"/>
    <row r="11366" ht="16" x14ac:dyDescent="0.2"/>
    <row r="11367" ht="16" x14ac:dyDescent="0.2"/>
    <row r="11368" ht="16" x14ac:dyDescent="0.2"/>
    <row r="11369" ht="16" x14ac:dyDescent="0.2"/>
    <row r="11370" ht="16" x14ac:dyDescent="0.2"/>
    <row r="11371" ht="16" x14ac:dyDescent="0.2"/>
    <row r="11372" ht="16" x14ac:dyDescent="0.2"/>
    <row r="11373" ht="16" x14ac:dyDescent="0.2"/>
    <row r="11374" ht="16" x14ac:dyDescent="0.2"/>
    <row r="11375" ht="16" x14ac:dyDescent="0.2"/>
    <row r="11376" ht="16" x14ac:dyDescent="0.2"/>
    <row r="11377" ht="16" x14ac:dyDescent="0.2"/>
    <row r="11378" ht="16" x14ac:dyDescent="0.2"/>
    <row r="11379" ht="16" x14ac:dyDescent="0.2"/>
    <row r="11380" ht="16" x14ac:dyDescent="0.2"/>
    <row r="11381" ht="16" x14ac:dyDescent="0.2"/>
    <row r="11382" ht="16" x14ac:dyDescent="0.2"/>
    <row r="11383" ht="16" x14ac:dyDescent="0.2"/>
    <row r="11384" ht="16" x14ac:dyDescent="0.2"/>
    <row r="11385" ht="16" x14ac:dyDescent="0.2"/>
    <row r="11386" ht="16" x14ac:dyDescent="0.2"/>
    <row r="11387" ht="16" x14ac:dyDescent="0.2"/>
    <row r="11388" ht="16" x14ac:dyDescent="0.2"/>
    <row r="11389" ht="16" x14ac:dyDescent="0.2"/>
    <row r="11390" ht="16" x14ac:dyDescent="0.2"/>
    <row r="11391" ht="16" x14ac:dyDescent="0.2"/>
    <row r="11392" ht="16" x14ac:dyDescent="0.2"/>
    <row r="11393" ht="16" x14ac:dyDescent="0.2"/>
    <row r="11394" ht="16" x14ac:dyDescent="0.2"/>
    <row r="11395" ht="16" x14ac:dyDescent="0.2"/>
    <row r="11396" ht="16" x14ac:dyDescent="0.2"/>
    <row r="11397" ht="16" x14ac:dyDescent="0.2"/>
    <row r="11398" ht="16" x14ac:dyDescent="0.2"/>
    <row r="11399" ht="16" x14ac:dyDescent="0.2"/>
    <row r="11400" ht="16" x14ac:dyDescent="0.2"/>
    <row r="11401" ht="16" x14ac:dyDescent="0.2"/>
    <row r="11402" ht="16" x14ac:dyDescent="0.2"/>
    <row r="11403" ht="16" x14ac:dyDescent="0.2"/>
    <row r="11404" ht="16" x14ac:dyDescent="0.2"/>
    <row r="11405" ht="16" x14ac:dyDescent="0.2"/>
    <row r="11406" ht="16" x14ac:dyDescent="0.2"/>
    <row r="11407" ht="16" x14ac:dyDescent="0.2"/>
    <row r="11408" ht="16" x14ac:dyDescent="0.2"/>
    <row r="11409" ht="16" x14ac:dyDescent="0.2"/>
    <row r="11410" ht="16" x14ac:dyDescent="0.2"/>
    <row r="11411" ht="16" x14ac:dyDescent="0.2"/>
    <row r="11412" ht="16" x14ac:dyDescent="0.2"/>
    <row r="11413" ht="16" x14ac:dyDescent="0.2"/>
    <row r="11414" ht="16" x14ac:dyDescent="0.2"/>
    <row r="11415" ht="16" x14ac:dyDescent="0.2"/>
    <row r="11416" ht="16" x14ac:dyDescent="0.2"/>
    <row r="11417" ht="16" x14ac:dyDescent="0.2"/>
    <row r="11418" ht="16" x14ac:dyDescent="0.2"/>
    <row r="11419" ht="16" x14ac:dyDescent="0.2"/>
    <row r="11420" ht="16" x14ac:dyDescent="0.2"/>
    <row r="11421" ht="16" x14ac:dyDescent="0.2"/>
    <row r="11422" ht="16" x14ac:dyDescent="0.2"/>
    <row r="11423" ht="16" x14ac:dyDescent="0.2"/>
    <row r="11424" ht="16" x14ac:dyDescent="0.2"/>
    <row r="11425" ht="16" x14ac:dyDescent="0.2"/>
    <row r="11426" ht="16" x14ac:dyDescent="0.2"/>
    <row r="11427" ht="16" x14ac:dyDescent="0.2"/>
    <row r="11428" ht="16" x14ac:dyDescent="0.2"/>
    <row r="11429" ht="16" x14ac:dyDescent="0.2"/>
    <row r="11430" ht="16" x14ac:dyDescent="0.2"/>
    <row r="11431" ht="16" x14ac:dyDescent="0.2"/>
    <row r="11432" ht="16" x14ac:dyDescent="0.2"/>
    <row r="11433" ht="16" x14ac:dyDescent="0.2"/>
    <row r="11434" ht="16" x14ac:dyDescent="0.2"/>
    <row r="11435" ht="16" x14ac:dyDescent="0.2"/>
    <row r="11436" ht="16" x14ac:dyDescent="0.2"/>
    <row r="11437" ht="16" x14ac:dyDescent="0.2"/>
    <row r="11438" ht="16" x14ac:dyDescent="0.2"/>
    <row r="11439" ht="16" x14ac:dyDescent="0.2"/>
    <row r="11440" ht="16" x14ac:dyDescent="0.2"/>
    <row r="11441" ht="16" x14ac:dyDescent="0.2"/>
    <row r="11442" ht="16" x14ac:dyDescent="0.2"/>
    <row r="11443" ht="16" x14ac:dyDescent="0.2"/>
    <row r="11444" ht="16" x14ac:dyDescent="0.2"/>
    <row r="11445" ht="16" x14ac:dyDescent="0.2"/>
    <row r="11446" ht="16" x14ac:dyDescent="0.2"/>
    <row r="11447" ht="16" x14ac:dyDescent="0.2"/>
    <row r="11448" ht="16" x14ac:dyDescent="0.2"/>
    <row r="11449" ht="16" x14ac:dyDescent="0.2"/>
    <row r="11450" ht="16" x14ac:dyDescent="0.2"/>
    <row r="11451" ht="16" x14ac:dyDescent="0.2"/>
    <row r="11452" ht="16" x14ac:dyDescent="0.2"/>
    <row r="11453" ht="16" x14ac:dyDescent="0.2"/>
    <row r="11454" ht="16" x14ac:dyDescent="0.2"/>
    <row r="11455" ht="16" x14ac:dyDescent="0.2"/>
    <row r="11456" ht="16" x14ac:dyDescent="0.2"/>
    <row r="11457" ht="16" x14ac:dyDescent="0.2"/>
    <row r="11458" ht="16" x14ac:dyDescent="0.2"/>
    <row r="11459" ht="16" x14ac:dyDescent="0.2"/>
    <row r="11460" ht="16" x14ac:dyDescent="0.2"/>
    <row r="11461" ht="16" x14ac:dyDescent="0.2"/>
    <row r="11462" ht="16" x14ac:dyDescent="0.2"/>
    <row r="11463" ht="16" x14ac:dyDescent="0.2"/>
    <row r="11464" ht="16" x14ac:dyDescent="0.2"/>
    <row r="11465" ht="16" x14ac:dyDescent="0.2"/>
    <row r="11466" ht="16" x14ac:dyDescent="0.2"/>
    <row r="11467" ht="16" x14ac:dyDescent="0.2"/>
    <row r="11468" ht="16" x14ac:dyDescent="0.2"/>
    <row r="11469" ht="16" x14ac:dyDescent="0.2"/>
    <row r="11470" ht="16" x14ac:dyDescent="0.2"/>
    <row r="11471" ht="16" x14ac:dyDescent="0.2"/>
    <row r="11472" ht="16" x14ac:dyDescent="0.2"/>
    <row r="11473" ht="16" x14ac:dyDescent="0.2"/>
    <row r="11474" ht="16" x14ac:dyDescent="0.2"/>
    <row r="11475" ht="16" x14ac:dyDescent="0.2"/>
    <row r="11476" ht="16" x14ac:dyDescent="0.2"/>
    <row r="11477" ht="16" x14ac:dyDescent="0.2"/>
    <row r="11478" ht="16" x14ac:dyDescent="0.2"/>
    <row r="11479" ht="16" x14ac:dyDescent="0.2"/>
    <row r="11480" ht="16" x14ac:dyDescent="0.2"/>
    <row r="11481" ht="16" x14ac:dyDescent="0.2"/>
    <row r="11482" ht="16" x14ac:dyDescent="0.2"/>
    <row r="11483" ht="16" x14ac:dyDescent="0.2"/>
    <row r="11484" ht="16" x14ac:dyDescent="0.2"/>
    <row r="11485" ht="16" x14ac:dyDescent="0.2"/>
    <row r="11486" ht="16" x14ac:dyDescent="0.2"/>
    <row r="11487" ht="16" x14ac:dyDescent="0.2"/>
    <row r="11488" ht="16" x14ac:dyDescent="0.2"/>
    <row r="11489" ht="16" x14ac:dyDescent="0.2"/>
    <row r="11490" ht="16" x14ac:dyDescent="0.2"/>
    <row r="11491" ht="16" x14ac:dyDescent="0.2"/>
    <row r="11492" ht="16" x14ac:dyDescent="0.2"/>
    <row r="11493" ht="16" x14ac:dyDescent="0.2"/>
    <row r="11494" ht="16" x14ac:dyDescent="0.2"/>
    <row r="11495" ht="16" x14ac:dyDescent="0.2"/>
    <row r="11496" ht="16" x14ac:dyDescent="0.2"/>
    <row r="11497" ht="16" x14ac:dyDescent="0.2"/>
    <row r="11498" ht="16" x14ac:dyDescent="0.2"/>
    <row r="11499" ht="16" x14ac:dyDescent="0.2"/>
    <row r="11500" ht="16" x14ac:dyDescent="0.2"/>
    <row r="11501" ht="16" x14ac:dyDescent="0.2"/>
    <row r="11502" ht="16" x14ac:dyDescent="0.2"/>
    <row r="11503" ht="16" x14ac:dyDescent="0.2"/>
    <row r="11504" ht="16" x14ac:dyDescent="0.2"/>
    <row r="11505" ht="16" x14ac:dyDescent="0.2"/>
    <row r="11506" ht="16" x14ac:dyDescent="0.2"/>
    <row r="11507" ht="16" x14ac:dyDescent="0.2"/>
    <row r="11508" ht="16" x14ac:dyDescent="0.2"/>
    <row r="11509" ht="16" x14ac:dyDescent="0.2"/>
    <row r="11510" ht="16" x14ac:dyDescent="0.2"/>
    <row r="11511" ht="16" x14ac:dyDescent="0.2"/>
    <row r="11512" ht="16" x14ac:dyDescent="0.2"/>
    <row r="11513" ht="16" x14ac:dyDescent="0.2"/>
    <row r="11514" ht="16" x14ac:dyDescent="0.2"/>
    <row r="11515" ht="16" x14ac:dyDescent="0.2"/>
    <row r="11516" ht="16" x14ac:dyDescent="0.2"/>
    <row r="11517" ht="16" x14ac:dyDescent="0.2"/>
    <row r="11518" ht="16" x14ac:dyDescent="0.2"/>
    <row r="11519" ht="16" x14ac:dyDescent="0.2"/>
    <row r="11520" ht="16" x14ac:dyDescent="0.2"/>
    <row r="11521" ht="16" x14ac:dyDescent="0.2"/>
    <row r="11522" ht="16" x14ac:dyDescent="0.2"/>
    <row r="11523" ht="16" x14ac:dyDescent="0.2"/>
    <row r="11524" ht="16" x14ac:dyDescent="0.2"/>
    <row r="11525" ht="16" x14ac:dyDescent="0.2"/>
    <row r="11526" ht="16" x14ac:dyDescent="0.2"/>
    <row r="11527" ht="16" x14ac:dyDescent="0.2"/>
    <row r="11528" ht="16" x14ac:dyDescent="0.2"/>
    <row r="11529" ht="16" x14ac:dyDescent="0.2"/>
    <row r="11530" ht="16" x14ac:dyDescent="0.2"/>
    <row r="11531" ht="16" x14ac:dyDescent="0.2"/>
    <row r="11532" ht="16" x14ac:dyDescent="0.2"/>
    <row r="11533" ht="16" x14ac:dyDescent="0.2"/>
    <row r="11534" ht="16" x14ac:dyDescent="0.2"/>
    <row r="11535" ht="16" x14ac:dyDescent="0.2"/>
    <row r="11536" ht="16" x14ac:dyDescent="0.2"/>
    <row r="11537" ht="16" x14ac:dyDescent="0.2"/>
    <row r="11538" ht="16" x14ac:dyDescent="0.2"/>
    <row r="11539" ht="16" x14ac:dyDescent="0.2"/>
    <row r="11540" ht="16" x14ac:dyDescent="0.2"/>
    <row r="11541" ht="16" x14ac:dyDescent="0.2"/>
    <row r="11542" ht="16" x14ac:dyDescent="0.2"/>
    <row r="11543" ht="16" x14ac:dyDescent="0.2"/>
    <row r="11544" ht="16" x14ac:dyDescent="0.2"/>
    <row r="11545" ht="16" x14ac:dyDescent="0.2"/>
    <row r="11546" ht="16" x14ac:dyDescent="0.2"/>
    <row r="11547" ht="16" x14ac:dyDescent="0.2"/>
    <row r="11548" ht="16" x14ac:dyDescent="0.2"/>
    <row r="11549" ht="16" x14ac:dyDescent="0.2"/>
    <row r="11550" ht="16" x14ac:dyDescent="0.2"/>
    <row r="11551" ht="16" x14ac:dyDescent="0.2"/>
    <row r="11552" ht="16" x14ac:dyDescent="0.2"/>
    <row r="11553" ht="16" x14ac:dyDescent="0.2"/>
    <row r="11554" ht="16" x14ac:dyDescent="0.2"/>
    <row r="11555" ht="16" x14ac:dyDescent="0.2"/>
    <row r="11556" ht="16" x14ac:dyDescent="0.2"/>
    <row r="11557" ht="16" x14ac:dyDescent="0.2"/>
    <row r="11558" ht="16" x14ac:dyDescent="0.2"/>
    <row r="11559" ht="16" x14ac:dyDescent="0.2"/>
    <row r="11560" ht="16" x14ac:dyDescent="0.2"/>
    <row r="11561" ht="16" x14ac:dyDescent="0.2"/>
    <row r="11562" ht="16" x14ac:dyDescent="0.2"/>
    <row r="11563" ht="16" x14ac:dyDescent="0.2"/>
    <row r="11564" ht="16" x14ac:dyDescent="0.2"/>
    <row r="11565" ht="16" x14ac:dyDescent="0.2"/>
    <row r="11566" ht="16" x14ac:dyDescent="0.2"/>
    <row r="11567" ht="16" x14ac:dyDescent="0.2"/>
    <row r="11568" ht="16" x14ac:dyDescent="0.2"/>
    <row r="11569" ht="16" x14ac:dyDescent="0.2"/>
    <row r="11570" ht="16" x14ac:dyDescent="0.2"/>
    <row r="11571" ht="16" x14ac:dyDescent="0.2"/>
    <row r="11572" ht="16" x14ac:dyDescent="0.2"/>
    <row r="11573" ht="16" x14ac:dyDescent="0.2"/>
    <row r="11574" ht="16" x14ac:dyDescent="0.2"/>
    <row r="11575" ht="16" x14ac:dyDescent="0.2"/>
    <row r="11576" ht="16" x14ac:dyDescent="0.2"/>
    <row r="11577" ht="16" x14ac:dyDescent="0.2"/>
    <row r="11578" ht="16" x14ac:dyDescent="0.2"/>
    <row r="11579" ht="16" x14ac:dyDescent="0.2"/>
    <row r="11580" ht="16" x14ac:dyDescent="0.2"/>
    <row r="11581" ht="16" x14ac:dyDescent="0.2"/>
    <row r="11582" ht="16" x14ac:dyDescent="0.2"/>
    <row r="11583" ht="16" x14ac:dyDescent="0.2"/>
    <row r="11584" ht="16" x14ac:dyDescent="0.2"/>
    <row r="11585" ht="16" x14ac:dyDescent="0.2"/>
    <row r="11586" ht="16" x14ac:dyDescent="0.2"/>
    <row r="11587" ht="16" x14ac:dyDescent="0.2"/>
    <row r="11588" ht="16" x14ac:dyDescent="0.2"/>
    <row r="11589" ht="16" x14ac:dyDescent="0.2"/>
    <row r="11590" ht="16" x14ac:dyDescent="0.2"/>
    <row r="11591" ht="16" x14ac:dyDescent="0.2"/>
    <row r="11592" ht="16" x14ac:dyDescent="0.2"/>
    <row r="11593" ht="16" x14ac:dyDescent="0.2"/>
    <row r="11594" ht="16" x14ac:dyDescent="0.2"/>
    <row r="11595" ht="16" x14ac:dyDescent="0.2"/>
    <row r="11596" ht="16" x14ac:dyDescent="0.2"/>
    <row r="11597" ht="16" x14ac:dyDescent="0.2"/>
    <row r="11598" ht="16" x14ac:dyDescent="0.2"/>
    <row r="11599" ht="16" x14ac:dyDescent="0.2"/>
    <row r="11600" ht="16" x14ac:dyDescent="0.2"/>
    <row r="11601" ht="16" x14ac:dyDescent="0.2"/>
    <row r="11602" ht="16" x14ac:dyDescent="0.2"/>
    <row r="11603" ht="16" x14ac:dyDescent="0.2"/>
    <row r="11604" ht="16" x14ac:dyDescent="0.2"/>
    <row r="11605" ht="16" x14ac:dyDescent="0.2"/>
    <row r="11606" ht="16" x14ac:dyDescent="0.2"/>
    <row r="11607" ht="16" x14ac:dyDescent="0.2"/>
    <row r="11608" ht="16" x14ac:dyDescent="0.2"/>
    <row r="11609" ht="16" x14ac:dyDescent="0.2"/>
    <row r="11610" ht="16" x14ac:dyDescent="0.2"/>
    <row r="11611" ht="16" x14ac:dyDescent="0.2"/>
    <row r="11612" ht="16" x14ac:dyDescent="0.2"/>
    <row r="11613" ht="16" x14ac:dyDescent="0.2"/>
    <row r="11614" ht="16" x14ac:dyDescent="0.2"/>
    <row r="11615" ht="16" x14ac:dyDescent="0.2"/>
    <row r="11616" ht="16" x14ac:dyDescent="0.2"/>
    <row r="11617" ht="16" x14ac:dyDescent="0.2"/>
    <row r="11618" ht="16" x14ac:dyDescent="0.2"/>
    <row r="11619" ht="16" x14ac:dyDescent="0.2"/>
    <row r="11620" ht="16" x14ac:dyDescent="0.2"/>
    <row r="11621" ht="16" x14ac:dyDescent="0.2"/>
    <row r="11622" ht="16" x14ac:dyDescent="0.2"/>
    <row r="11623" ht="16" x14ac:dyDescent="0.2"/>
    <row r="11624" ht="16" x14ac:dyDescent="0.2"/>
    <row r="11625" ht="16" x14ac:dyDescent="0.2"/>
    <row r="11626" ht="16" x14ac:dyDescent="0.2"/>
    <row r="11627" ht="16" x14ac:dyDescent="0.2"/>
    <row r="11628" ht="16" x14ac:dyDescent="0.2"/>
    <row r="11629" ht="16" x14ac:dyDescent="0.2"/>
    <row r="11630" ht="16" x14ac:dyDescent="0.2"/>
    <row r="11631" ht="16" x14ac:dyDescent="0.2"/>
    <row r="11632" ht="16" x14ac:dyDescent="0.2"/>
    <row r="11633" ht="16" x14ac:dyDescent="0.2"/>
    <row r="11634" ht="16" x14ac:dyDescent="0.2"/>
    <row r="11635" ht="16" x14ac:dyDescent="0.2"/>
    <row r="11636" ht="16" x14ac:dyDescent="0.2"/>
    <row r="11637" ht="16" x14ac:dyDescent="0.2"/>
    <row r="11638" ht="16" x14ac:dyDescent="0.2"/>
    <row r="11639" ht="16" x14ac:dyDescent="0.2"/>
    <row r="11640" ht="16" x14ac:dyDescent="0.2"/>
    <row r="11641" ht="16" x14ac:dyDescent="0.2"/>
    <row r="11642" ht="16" x14ac:dyDescent="0.2"/>
    <row r="11643" ht="16" x14ac:dyDescent="0.2"/>
    <row r="11644" ht="16" x14ac:dyDescent="0.2"/>
    <row r="11645" ht="16" x14ac:dyDescent="0.2"/>
    <row r="11646" ht="16" x14ac:dyDescent="0.2"/>
    <row r="11647" ht="16" x14ac:dyDescent="0.2"/>
    <row r="11648" ht="16" x14ac:dyDescent="0.2"/>
    <row r="11649" ht="16" x14ac:dyDescent="0.2"/>
    <row r="11650" ht="16" x14ac:dyDescent="0.2"/>
    <row r="11651" ht="16" x14ac:dyDescent="0.2"/>
    <row r="11652" ht="16" x14ac:dyDescent="0.2"/>
    <row r="11653" ht="16" x14ac:dyDescent="0.2"/>
    <row r="11654" ht="16" x14ac:dyDescent="0.2"/>
    <row r="11655" ht="16" x14ac:dyDescent="0.2"/>
    <row r="11656" ht="16" x14ac:dyDescent="0.2"/>
    <row r="11657" ht="16" x14ac:dyDescent="0.2"/>
    <row r="11658" ht="16" x14ac:dyDescent="0.2"/>
    <row r="11659" ht="16" x14ac:dyDescent="0.2"/>
    <row r="11660" ht="16" x14ac:dyDescent="0.2"/>
    <row r="11661" ht="16" x14ac:dyDescent="0.2"/>
    <row r="11662" ht="16" x14ac:dyDescent="0.2"/>
    <row r="11663" ht="16" x14ac:dyDescent="0.2"/>
    <row r="11664" ht="16" x14ac:dyDescent="0.2"/>
    <row r="11665" ht="16" x14ac:dyDescent="0.2"/>
    <row r="11666" ht="16" x14ac:dyDescent="0.2"/>
    <row r="11667" ht="16" x14ac:dyDescent="0.2"/>
    <row r="11668" ht="16" x14ac:dyDescent="0.2"/>
    <row r="11669" ht="16" x14ac:dyDescent="0.2"/>
    <row r="11670" ht="16" x14ac:dyDescent="0.2"/>
    <row r="11671" ht="16" x14ac:dyDescent="0.2"/>
    <row r="11672" ht="16" x14ac:dyDescent="0.2"/>
    <row r="11673" ht="16" x14ac:dyDescent="0.2"/>
    <row r="11674" ht="16" x14ac:dyDescent="0.2"/>
    <row r="11675" ht="16" x14ac:dyDescent="0.2"/>
    <row r="11676" ht="16" x14ac:dyDescent="0.2"/>
    <row r="11677" ht="16" x14ac:dyDescent="0.2"/>
    <row r="11678" ht="16" x14ac:dyDescent="0.2"/>
    <row r="11679" ht="16" x14ac:dyDescent="0.2"/>
    <row r="11680" ht="16" x14ac:dyDescent="0.2"/>
    <row r="11681" ht="16" x14ac:dyDescent="0.2"/>
    <row r="11682" ht="16" x14ac:dyDescent="0.2"/>
    <row r="11683" ht="16" x14ac:dyDescent="0.2"/>
    <row r="11684" ht="16" x14ac:dyDescent="0.2"/>
    <row r="11685" ht="16" x14ac:dyDescent="0.2"/>
    <row r="11686" ht="16" x14ac:dyDescent="0.2"/>
    <row r="11687" ht="16" x14ac:dyDescent="0.2"/>
    <row r="11688" ht="16" x14ac:dyDescent="0.2"/>
    <row r="11689" ht="16" x14ac:dyDescent="0.2"/>
    <row r="11690" ht="16" x14ac:dyDescent="0.2"/>
    <row r="11691" ht="16" x14ac:dyDescent="0.2"/>
    <row r="11692" ht="16" x14ac:dyDescent="0.2"/>
    <row r="11693" ht="16" x14ac:dyDescent="0.2"/>
    <row r="11694" ht="16" x14ac:dyDescent="0.2"/>
    <row r="11695" ht="16" x14ac:dyDescent="0.2"/>
    <row r="11696" ht="16" x14ac:dyDescent="0.2"/>
    <row r="11697" ht="16" x14ac:dyDescent="0.2"/>
    <row r="11698" ht="16" x14ac:dyDescent="0.2"/>
    <row r="11699" ht="16" x14ac:dyDescent="0.2"/>
    <row r="11700" ht="16" x14ac:dyDescent="0.2"/>
    <row r="11701" ht="16" x14ac:dyDescent="0.2"/>
    <row r="11702" ht="16" x14ac:dyDescent="0.2"/>
    <row r="11703" ht="16" x14ac:dyDescent="0.2"/>
    <row r="11704" ht="16" x14ac:dyDescent="0.2"/>
    <row r="11705" ht="16" x14ac:dyDescent="0.2"/>
    <row r="11706" ht="16" x14ac:dyDescent="0.2"/>
    <row r="11707" ht="16" x14ac:dyDescent="0.2"/>
    <row r="11708" ht="16" x14ac:dyDescent="0.2"/>
    <row r="11709" ht="16" x14ac:dyDescent="0.2"/>
    <row r="11710" ht="16" x14ac:dyDescent="0.2"/>
    <row r="11711" ht="16" x14ac:dyDescent="0.2"/>
    <row r="11712" ht="16" x14ac:dyDescent="0.2"/>
    <row r="11713" ht="16" x14ac:dyDescent="0.2"/>
    <row r="11714" ht="16" x14ac:dyDescent="0.2"/>
    <row r="11715" ht="16" x14ac:dyDescent="0.2"/>
    <row r="11716" ht="16" x14ac:dyDescent="0.2"/>
    <row r="11717" ht="16" x14ac:dyDescent="0.2"/>
    <row r="11718" ht="16" x14ac:dyDescent="0.2"/>
    <row r="11719" ht="16" x14ac:dyDescent="0.2"/>
    <row r="11720" ht="16" x14ac:dyDescent="0.2"/>
    <row r="11721" ht="16" x14ac:dyDescent="0.2"/>
    <row r="11722" ht="16" x14ac:dyDescent="0.2"/>
    <row r="11723" ht="16" x14ac:dyDescent="0.2"/>
    <row r="11724" ht="16" x14ac:dyDescent="0.2"/>
    <row r="11725" ht="16" x14ac:dyDescent="0.2"/>
    <row r="11726" ht="16" x14ac:dyDescent="0.2"/>
    <row r="11727" ht="16" x14ac:dyDescent="0.2"/>
    <row r="11728" ht="16" x14ac:dyDescent="0.2"/>
    <row r="11729" ht="16" x14ac:dyDescent="0.2"/>
    <row r="11730" ht="16" x14ac:dyDescent="0.2"/>
    <row r="11731" ht="16" x14ac:dyDescent="0.2"/>
    <row r="11732" ht="16" x14ac:dyDescent="0.2"/>
    <row r="11733" ht="16" x14ac:dyDescent="0.2"/>
    <row r="11734" ht="16" x14ac:dyDescent="0.2"/>
    <row r="11735" ht="16" x14ac:dyDescent="0.2"/>
    <row r="11736" ht="16" x14ac:dyDescent="0.2"/>
    <row r="11737" ht="16" x14ac:dyDescent="0.2"/>
    <row r="11738" ht="16" x14ac:dyDescent="0.2"/>
    <row r="11739" ht="16" x14ac:dyDescent="0.2"/>
    <row r="11740" ht="16" x14ac:dyDescent="0.2"/>
    <row r="11741" ht="16" x14ac:dyDescent="0.2"/>
    <row r="11742" ht="16" x14ac:dyDescent="0.2"/>
    <row r="11743" ht="16" x14ac:dyDescent="0.2"/>
    <row r="11744" ht="16" x14ac:dyDescent="0.2"/>
    <row r="11745" ht="16" x14ac:dyDescent="0.2"/>
    <row r="11746" ht="16" x14ac:dyDescent="0.2"/>
    <row r="11747" ht="16" x14ac:dyDescent="0.2"/>
    <row r="11748" ht="16" x14ac:dyDescent="0.2"/>
    <row r="11749" ht="16" x14ac:dyDescent="0.2"/>
    <row r="11750" ht="16" x14ac:dyDescent="0.2"/>
    <row r="11751" ht="16" x14ac:dyDescent="0.2"/>
    <row r="11752" ht="16" x14ac:dyDescent="0.2"/>
    <row r="11753" ht="16" x14ac:dyDescent="0.2"/>
    <row r="11754" ht="16" x14ac:dyDescent="0.2"/>
    <row r="11755" ht="16" x14ac:dyDescent="0.2"/>
    <row r="11756" ht="16" x14ac:dyDescent="0.2"/>
    <row r="11757" ht="16" x14ac:dyDescent="0.2"/>
    <row r="11758" ht="16" x14ac:dyDescent="0.2"/>
    <row r="11759" ht="16" x14ac:dyDescent="0.2"/>
    <row r="11760" ht="16" x14ac:dyDescent="0.2"/>
    <row r="11761" ht="16" x14ac:dyDescent="0.2"/>
    <row r="11762" ht="16" x14ac:dyDescent="0.2"/>
    <row r="11763" ht="16" x14ac:dyDescent="0.2"/>
    <row r="11764" ht="16" x14ac:dyDescent="0.2"/>
    <row r="11765" ht="16" x14ac:dyDescent="0.2"/>
    <row r="11766" ht="16" x14ac:dyDescent="0.2"/>
    <row r="11767" ht="16" x14ac:dyDescent="0.2"/>
    <row r="11768" ht="16" x14ac:dyDescent="0.2"/>
    <row r="11769" ht="16" x14ac:dyDescent="0.2"/>
    <row r="11770" ht="16" x14ac:dyDescent="0.2"/>
    <row r="11771" ht="16" x14ac:dyDescent="0.2"/>
    <row r="11772" ht="16" x14ac:dyDescent="0.2"/>
    <row r="11773" ht="16" x14ac:dyDescent="0.2"/>
    <row r="11774" ht="16" x14ac:dyDescent="0.2"/>
    <row r="11775" ht="16" x14ac:dyDescent="0.2"/>
    <row r="11776" ht="16" x14ac:dyDescent="0.2"/>
    <row r="11777" ht="16" x14ac:dyDescent="0.2"/>
    <row r="11778" ht="16" x14ac:dyDescent="0.2"/>
    <row r="11779" ht="16" x14ac:dyDescent="0.2"/>
    <row r="11780" ht="16" x14ac:dyDescent="0.2"/>
    <row r="11781" ht="16" x14ac:dyDescent="0.2"/>
    <row r="11782" ht="16" x14ac:dyDescent="0.2"/>
    <row r="11783" ht="16" x14ac:dyDescent="0.2"/>
    <row r="11784" ht="16" x14ac:dyDescent="0.2"/>
    <row r="11785" ht="16" x14ac:dyDescent="0.2"/>
    <row r="11786" ht="16" x14ac:dyDescent="0.2"/>
    <row r="11787" ht="16" x14ac:dyDescent="0.2"/>
    <row r="11788" ht="16" x14ac:dyDescent="0.2"/>
    <row r="11789" ht="16" x14ac:dyDescent="0.2"/>
    <row r="11790" ht="16" x14ac:dyDescent="0.2"/>
    <row r="11791" ht="16" x14ac:dyDescent="0.2"/>
    <row r="11792" ht="16" x14ac:dyDescent="0.2"/>
    <row r="11793" ht="16" x14ac:dyDescent="0.2"/>
    <row r="11794" ht="16" x14ac:dyDescent="0.2"/>
    <row r="11795" ht="16" x14ac:dyDescent="0.2"/>
    <row r="11796" ht="16" x14ac:dyDescent="0.2"/>
    <row r="11797" ht="16" x14ac:dyDescent="0.2"/>
    <row r="11798" ht="16" x14ac:dyDescent="0.2"/>
    <row r="11799" ht="16" x14ac:dyDescent="0.2"/>
    <row r="11800" ht="16" x14ac:dyDescent="0.2"/>
    <row r="11801" ht="16" x14ac:dyDescent="0.2"/>
    <row r="11802" ht="16" x14ac:dyDescent="0.2"/>
    <row r="11803" ht="16" x14ac:dyDescent="0.2"/>
    <row r="11804" ht="16" x14ac:dyDescent="0.2"/>
    <row r="11805" ht="16" x14ac:dyDescent="0.2"/>
    <row r="11806" ht="16" x14ac:dyDescent="0.2"/>
    <row r="11807" ht="16" x14ac:dyDescent="0.2"/>
    <row r="11808" ht="16" x14ac:dyDescent="0.2"/>
    <row r="11809" ht="16" x14ac:dyDescent="0.2"/>
    <row r="11810" ht="16" x14ac:dyDescent="0.2"/>
    <row r="11811" ht="16" x14ac:dyDescent="0.2"/>
    <row r="11812" ht="16" x14ac:dyDescent="0.2"/>
    <row r="11813" ht="16" x14ac:dyDescent="0.2"/>
    <row r="11814" ht="16" x14ac:dyDescent="0.2"/>
    <row r="11815" ht="16" x14ac:dyDescent="0.2"/>
    <row r="11816" ht="16" x14ac:dyDescent="0.2"/>
    <row r="11817" ht="16" x14ac:dyDescent="0.2"/>
    <row r="11818" ht="16" x14ac:dyDescent="0.2"/>
    <row r="11819" ht="16" x14ac:dyDescent="0.2"/>
    <row r="11820" ht="16" x14ac:dyDescent="0.2"/>
    <row r="11821" ht="16" x14ac:dyDescent="0.2"/>
    <row r="11822" ht="16" x14ac:dyDescent="0.2"/>
    <row r="11823" ht="16" x14ac:dyDescent="0.2"/>
    <row r="11824" ht="16" x14ac:dyDescent="0.2"/>
    <row r="11825" ht="16" x14ac:dyDescent="0.2"/>
    <row r="11826" ht="16" x14ac:dyDescent="0.2"/>
    <row r="11827" ht="16" x14ac:dyDescent="0.2"/>
    <row r="11828" ht="16" x14ac:dyDescent="0.2"/>
    <row r="11829" ht="16" x14ac:dyDescent="0.2"/>
    <row r="11830" ht="16" x14ac:dyDescent="0.2"/>
    <row r="11831" ht="16" x14ac:dyDescent="0.2"/>
    <row r="11832" ht="16" x14ac:dyDescent="0.2"/>
    <row r="11833" ht="16" x14ac:dyDescent="0.2"/>
    <row r="11834" ht="16" x14ac:dyDescent="0.2"/>
    <row r="11835" ht="16" x14ac:dyDescent="0.2"/>
    <row r="11836" ht="16" x14ac:dyDescent="0.2"/>
    <row r="11837" ht="16" x14ac:dyDescent="0.2"/>
    <row r="11838" ht="16" x14ac:dyDescent="0.2"/>
    <row r="11839" ht="16" x14ac:dyDescent="0.2"/>
    <row r="11840" ht="16" x14ac:dyDescent="0.2"/>
    <row r="11841" ht="16" x14ac:dyDescent="0.2"/>
    <row r="11842" ht="16" x14ac:dyDescent="0.2"/>
    <row r="11843" ht="16" x14ac:dyDescent="0.2"/>
    <row r="11844" ht="16" x14ac:dyDescent="0.2"/>
    <row r="11845" ht="16" x14ac:dyDescent="0.2"/>
    <row r="11846" ht="16" x14ac:dyDescent="0.2"/>
    <row r="11847" ht="16" x14ac:dyDescent="0.2"/>
    <row r="11848" ht="16" x14ac:dyDescent="0.2"/>
    <row r="11849" ht="16" x14ac:dyDescent="0.2"/>
    <row r="11850" ht="16" x14ac:dyDescent="0.2"/>
    <row r="11851" ht="16" x14ac:dyDescent="0.2"/>
    <row r="11852" ht="16" x14ac:dyDescent="0.2"/>
    <row r="11853" ht="16" x14ac:dyDescent="0.2"/>
    <row r="11854" ht="16" x14ac:dyDescent="0.2"/>
    <row r="11855" ht="16" x14ac:dyDescent="0.2"/>
    <row r="11856" ht="16" x14ac:dyDescent="0.2"/>
    <row r="11857" ht="16" x14ac:dyDescent="0.2"/>
    <row r="11858" ht="16" x14ac:dyDescent="0.2"/>
    <row r="11859" ht="16" x14ac:dyDescent="0.2"/>
    <row r="11860" ht="16" x14ac:dyDescent="0.2"/>
    <row r="11861" ht="16" x14ac:dyDescent="0.2"/>
    <row r="11862" ht="16" x14ac:dyDescent="0.2"/>
    <row r="11863" ht="16" x14ac:dyDescent="0.2"/>
    <row r="11864" ht="16" x14ac:dyDescent="0.2"/>
    <row r="11865" ht="16" x14ac:dyDescent="0.2"/>
    <row r="11866" ht="16" x14ac:dyDescent="0.2"/>
    <row r="11867" ht="16" x14ac:dyDescent="0.2"/>
    <row r="11868" ht="16" x14ac:dyDescent="0.2"/>
    <row r="11869" ht="16" x14ac:dyDescent="0.2"/>
    <row r="11870" ht="16" x14ac:dyDescent="0.2"/>
    <row r="11871" ht="16" x14ac:dyDescent="0.2"/>
    <row r="11872" ht="16" x14ac:dyDescent="0.2"/>
    <row r="11873" ht="16" x14ac:dyDescent="0.2"/>
    <row r="11874" ht="16" x14ac:dyDescent="0.2"/>
    <row r="11875" ht="16" x14ac:dyDescent="0.2"/>
    <row r="11876" ht="16" x14ac:dyDescent="0.2"/>
    <row r="11877" ht="16" x14ac:dyDescent="0.2"/>
    <row r="11878" ht="16" x14ac:dyDescent="0.2"/>
    <row r="11879" ht="16" x14ac:dyDescent="0.2"/>
    <row r="11880" ht="16" x14ac:dyDescent="0.2"/>
    <row r="11881" ht="16" x14ac:dyDescent="0.2"/>
    <row r="11882" ht="16" x14ac:dyDescent="0.2"/>
    <row r="11883" ht="16" x14ac:dyDescent="0.2"/>
    <row r="11884" ht="16" x14ac:dyDescent="0.2"/>
    <row r="11885" ht="16" x14ac:dyDescent="0.2"/>
    <row r="11886" ht="16" x14ac:dyDescent="0.2"/>
    <row r="11887" ht="16" x14ac:dyDescent="0.2"/>
    <row r="11888" ht="16" x14ac:dyDescent="0.2"/>
    <row r="11889" ht="16" x14ac:dyDescent="0.2"/>
    <row r="11890" ht="16" x14ac:dyDescent="0.2"/>
    <row r="11891" ht="16" x14ac:dyDescent="0.2"/>
    <row r="11892" ht="16" x14ac:dyDescent="0.2"/>
    <row r="11893" ht="16" x14ac:dyDescent="0.2"/>
    <row r="11894" ht="16" x14ac:dyDescent="0.2"/>
    <row r="11895" ht="16" x14ac:dyDescent="0.2"/>
    <row r="11896" ht="16" x14ac:dyDescent="0.2"/>
    <row r="11897" ht="16" x14ac:dyDescent="0.2"/>
    <row r="11898" ht="16" x14ac:dyDescent="0.2"/>
    <row r="11899" ht="16" x14ac:dyDescent="0.2"/>
    <row r="11900" ht="16" x14ac:dyDescent="0.2"/>
    <row r="11901" ht="16" x14ac:dyDescent="0.2"/>
    <row r="11902" ht="16" x14ac:dyDescent="0.2"/>
    <row r="11903" ht="16" x14ac:dyDescent="0.2"/>
    <row r="11904" ht="16" x14ac:dyDescent="0.2"/>
    <row r="11905" ht="16" x14ac:dyDescent="0.2"/>
    <row r="11906" ht="16" x14ac:dyDescent="0.2"/>
    <row r="11907" ht="16" x14ac:dyDescent="0.2"/>
    <row r="11908" ht="16" x14ac:dyDescent="0.2"/>
    <row r="11909" ht="16" x14ac:dyDescent="0.2"/>
    <row r="11910" ht="16" x14ac:dyDescent="0.2"/>
    <row r="11911" ht="16" x14ac:dyDescent="0.2"/>
    <row r="11912" ht="16" x14ac:dyDescent="0.2"/>
    <row r="11913" ht="16" x14ac:dyDescent="0.2"/>
    <row r="11914" ht="16" x14ac:dyDescent="0.2"/>
    <row r="11915" ht="16" x14ac:dyDescent="0.2"/>
    <row r="11916" ht="16" x14ac:dyDescent="0.2"/>
    <row r="11917" ht="16" x14ac:dyDescent="0.2"/>
    <row r="11918" ht="16" x14ac:dyDescent="0.2"/>
    <row r="11919" ht="16" x14ac:dyDescent="0.2"/>
    <row r="11920" ht="16" x14ac:dyDescent="0.2"/>
    <row r="11921" ht="16" x14ac:dyDescent="0.2"/>
    <row r="11922" ht="16" x14ac:dyDescent="0.2"/>
    <row r="11923" ht="16" x14ac:dyDescent="0.2"/>
    <row r="11924" ht="16" x14ac:dyDescent="0.2"/>
    <row r="11925" ht="16" x14ac:dyDescent="0.2"/>
    <row r="11926" ht="16" x14ac:dyDescent="0.2"/>
    <row r="11927" ht="16" x14ac:dyDescent="0.2"/>
    <row r="11928" ht="16" x14ac:dyDescent="0.2"/>
    <row r="11929" ht="16" x14ac:dyDescent="0.2"/>
    <row r="11930" ht="16" x14ac:dyDescent="0.2"/>
    <row r="11931" ht="16" x14ac:dyDescent="0.2"/>
    <row r="11932" ht="16" x14ac:dyDescent="0.2"/>
    <row r="11933" ht="16" x14ac:dyDescent="0.2"/>
    <row r="11934" ht="16" x14ac:dyDescent="0.2"/>
    <row r="11935" ht="16" x14ac:dyDescent="0.2"/>
    <row r="11936" ht="16" x14ac:dyDescent="0.2"/>
    <row r="11937" ht="16" x14ac:dyDescent="0.2"/>
    <row r="11938" ht="16" x14ac:dyDescent="0.2"/>
    <row r="11939" ht="16" x14ac:dyDescent="0.2"/>
    <row r="11940" ht="16" x14ac:dyDescent="0.2"/>
    <row r="11941" ht="16" x14ac:dyDescent="0.2"/>
    <row r="11942" ht="16" x14ac:dyDescent="0.2"/>
    <row r="11943" ht="16" x14ac:dyDescent="0.2"/>
    <row r="11944" ht="16" x14ac:dyDescent="0.2"/>
    <row r="11945" ht="16" x14ac:dyDescent="0.2"/>
    <row r="11946" ht="16" x14ac:dyDescent="0.2"/>
    <row r="11947" ht="16" x14ac:dyDescent="0.2"/>
    <row r="11948" ht="16" x14ac:dyDescent="0.2"/>
    <row r="11949" ht="16" x14ac:dyDescent="0.2"/>
    <row r="11950" ht="16" x14ac:dyDescent="0.2"/>
    <row r="11951" ht="16" x14ac:dyDescent="0.2"/>
    <row r="11952" ht="16" x14ac:dyDescent="0.2"/>
    <row r="11953" ht="16" x14ac:dyDescent="0.2"/>
    <row r="11954" ht="16" x14ac:dyDescent="0.2"/>
    <row r="11955" ht="16" x14ac:dyDescent="0.2"/>
    <row r="11956" ht="16" x14ac:dyDescent="0.2"/>
    <row r="11957" ht="16" x14ac:dyDescent="0.2"/>
    <row r="11958" ht="16" x14ac:dyDescent="0.2"/>
    <row r="11959" ht="16" x14ac:dyDescent="0.2"/>
    <row r="11960" ht="16" x14ac:dyDescent="0.2"/>
    <row r="11961" ht="16" x14ac:dyDescent="0.2"/>
    <row r="11962" ht="16" x14ac:dyDescent="0.2"/>
    <row r="11963" ht="16" x14ac:dyDescent="0.2"/>
    <row r="11964" ht="16" x14ac:dyDescent="0.2"/>
    <row r="11965" ht="16" x14ac:dyDescent="0.2"/>
    <row r="11966" ht="16" x14ac:dyDescent="0.2"/>
    <row r="11967" ht="16" x14ac:dyDescent="0.2"/>
    <row r="11968" ht="16" x14ac:dyDescent="0.2"/>
    <row r="11969" ht="16" x14ac:dyDescent="0.2"/>
    <row r="11970" ht="16" x14ac:dyDescent="0.2"/>
    <row r="11971" ht="16" x14ac:dyDescent="0.2"/>
    <row r="11972" ht="16" x14ac:dyDescent="0.2"/>
    <row r="11973" ht="16" x14ac:dyDescent="0.2"/>
    <row r="11974" ht="16" x14ac:dyDescent="0.2"/>
    <row r="11975" ht="16" x14ac:dyDescent="0.2"/>
    <row r="11976" ht="16" x14ac:dyDescent="0.2"/>
    <row r="11977" ht="16" x14ac:dyDescent="0.2"/>
    <row r="11978" ht="16" x14ac:dyDescent="0.2"/>
    <row r="11979" ht="16" x14ac:dyDescent="0.2"/>
    <row r="11980" ht="16" x14ac:dyDescent="0.2"/>
    <row r="11981" ht="16" x14ac:dyDescent="0.2"/>
    <row r="11982" ht="16" x14ac:dyDescent="0.2"/>
    <row r="11983" ht="16" x14ac:dyDescent="0.2"/>
    <row r="11984" ht="16" x14ac:dyDescent="0.2"/>
    <row r="11985" ht="16" x14ac:dyDescent="0.2"/>
    <row r="11986" ht="16" x14ac:dyDescent="0.2"/>
    <row r="11987" ht="16" x14ac:dyDescent="0.2"/>
    <row r="11988" ht="16" x14ac:dyDescent="0.2"/>
    <row r="11989" ht="16" x14ac:dyDescent="0.2"/>
    <row r="11990" ht="16" x14ac:dyDescent="0.2"/>
    <row r="11991" ht="16" x14ac:dyDescent="0.2"/>
    <row r="11992" ht="16" x14ac:dyDescent="0.2"/>
    <row r="11993" ht="16" x14ac:dyDescent="0.2"/>
    <row r="11994" ht="16" x14ac:dyDescent="0.2"/>
    <row r="11995" ht="16" x14ac:dyDescent="0.2"/>
    <row r="11996" ht="16" x14ac:dyDescent="0.2"/>
    <row r="11997" ht="16" x14ac:dyDescent="0.2"/>
    <row r="11998" ht="16" x14ac:dyDescent="0.2"/>
    <row r="11999" ht="16" x14ac:dyDescent="0.2"/>
    <row r="12000" ht="16" x14ac:dyDescent="0.2"/>
    <row r="12001" ht="16" x14ac:dyDescent="0.2"/>
    <row r="12002" ht="16" x14ac:dyDescent="0.2"/>
    <row r="12003" ht="16" x14ac:dyDescent="0.2"/>
    <row r="12004" ht="16" x14ac:dyDescent="0.2"/>
    <row r="12005" ht="16" x14ac:dyDescent="0.2"/>
    <row r="12006" ht="16" x14ac:dyDescent="0.2"/>
    <row r="12007" ht="16" x14ac:dyDescent="0.2"/>
    <row r="12008" ht="16" x14ac:dyDescent="0.2"/>
    <row r="12009" ht="16" x14ac:dyDescent="0.2"/>
    <row r="12010" ht="16" x14ac:dyDescent="0.2"/>
    <row r="12011" ht="16" x14ac:dyDescent="0.2"/>
    <row r="12012" ht="16" x14ac:dyDescent="0.2"/>
    <row r="12013" ht="16" x14ac:dyDescent="0.2"/>
    <row r="12014" ht="16" x14ac:dyDescent="0.2"/>
    <row r="12015" ht="16" x14ac:dyDescent="0.2"/>
    <row r="12016" ht="16" x14ac:dyDescent="0.2"/>
    <row r="12017" ht="16" x14ac:dyDescent="0.2"/>
    <row r="12018" ht="16" x14ac:dyDescent="0.2"/>
    <row r="12019" ht="16" x14ac:dyDescent="0.2"/>
    <row r="12020" ht="16" x14ac:dyDescent="0.2"/>
    <row r="12021" ht="16" x14ac:dyDescent="0.2"/>
    <row r="12022" ht="16" x14ac:dyDescent="0.2"/>
    <row r="12023" ht="16" x14ac:dyDescent="0.2"/>
    <row r="12024" ht="16" x14ac:dyDescent="0.2"/>
    <row r="12025" ht="16" x14ac:dyDescent="0.2"/>
    <row r="12026" ht="16" x14ac:dyDescent="0.2"/>
    <row r="12027" ht="16" x14ac:dyDescent="0.2"/>
    <row r="12028" ht="16" x14ac:dyDescent="0.2"/>
    <row r="12029" ht="16" x14ac:dyDescent="0.2"/>
    <row r="12030" ht="16" x14ac:dyDescent="0.2"/>
    <row r="12031" ht="16" x14ac:dyDescent="0.2"/>
    <row r="12032" ht="16" x14ac:dyDescent="0.2"/>
    <row r="12033" ht="16" x14ac:dyDescent="0.2"/>
    <row r="12034" ht="16" x14ac:dyDescent="0.2"/>
    <row r="12035" ht="16" x14ac:dyDescent="0.2"/>
    <row r="12036" ht="16" x14ac:dyDescent="0.2"/>
    <row r="12037" ht="16" x14ac:dyDescent="0.2"/>
    <row r="12038" ht="16" x14ac:dyDescent="0.2"/>
    <row r="12039" ht="16" x14ac:dyDescent="0.2"/>
    <row r="12040" ht="16" x14ac:dyDescent="0.2"/>
    <row r="12041" ht="16" x14ac:dyDescent="0.2"/>
    <row r="12042" ht="16" x14ac:dyDescent="0.2"/>
    <row r="12043" ht="16" x14ac:dyDescent="0.2"/>
    <row r="12044" ht="16" x14ac:dyDescent="0.2"/>
    <row r="12045" ht="16" x14ac:dyDescent="0.2"/>
    <row r="12046" ht="16" x14ac:dyDescent="0.2"/>
    <row r="12047" ht="16" x14ac:dyDescent="0.2"/>
    <row r="12048" ht="16" x14ac:dyDescent="0.2"/>
    <row r="12049" ht="16" x14ac:dyDescent="0.2"/>
    <row r="12050" ht="16" x14ac:dyDescent="0.2"/>
    <row r="12051" ht="16" x14ac:dyDescent="0.2"/>
    <row r="12052" ht="16" x14ac:dyDescent="0.2"/>
    <row r="12053" ht="16" x14ac:dyDescent="0.2"/>
    <row r="12054" ht="16" x14ac:dyDescent="0.2"/>
    <row r="12055" ht="16" x14ac:dyDescent="0.2"/>
    <row r="12056" ht="16" x14ac:dyDescent="0.2"/>
    <row r="12057" ht="16" x14ac:dyDescent="0.2"/>
    <row r="12058" ht="16" x14ac:dyDescent="0.2"/>
    <row r="12059" ht="16" x14ac:dyDescent="0.2"/>
    <row r="12060" ht="16" x14ac:dyDescent="0.2"/>
    <row r="12061" ht="16" x14ac:dyDescent="0.2"/>
    <row r="12062" ht="16" x14ac:dyDescent="0.2"/>
    <row r="12063" ht="16" x14ac:dyDescent="0.2"/>
    <row r="12064" ht="16" x14ac:dyDescent="0.2"/>
    <row r="12065" ht="16" x14ac:dyDescent="0.2"/>
    <row r="12066" ht="16" x14ac:dyDescent="0.2"/>
    <row r="12067" ht="16" x14ac:dyDescent="0.2"/>
    <row r="12068" ht="16" x14ac:dyDescent="0.2"/>
    <row r="12069" ht="16" x14ac:dyDescent="0.2"/>
    <row r="12070" ht="16" x14ac:dyDescent="0.2"/>
    <row r="12071" ht="16" x14ac:dyDescent="0.2"/>
    <row r="12072" ht="16" x14ac:dyDescent="0.2"/>
    <row r="12073" ht="16" x14ac:dyDescent="0.2"/>
    <row r="12074" ht="16" x14ac:dyDescent="0.2"/>
    <row r="12075" ht="16" x14ac:dyDescent="0.2"/>
    <row r="12076" ht="16" x14ac:dyDescent="0.2"/>
    <row r="12077" ht="16" x14ac:dyDescent="0.2"/>
    <row r="12078" ht="16" x14ac:dyDescent="0.2"/>
    <row r="12079" ht="16" x14ac:dyDescent="0.2"/>
    <row r="12080" ht="16" x14ac:dyDescent="0.2"/>
    <row r="12081" ht="16" x14ac:dyDescent="0.2"/>
    <row r="12082" ht="16" x14ac:dyDescent="0.2"/>
    <row r="12083" ht="16" x14ac:dyDescent="0.2"/>
    <row r="12084" ht="16" x14ac:dyDescent="0.2"/>
    <row r="12085" ht="16" x14ac:dyDescent="0.2"/>
    <row r="12086" ht="16" x14ac:dyDescent="0.2"/>
    <row r="12087" ht="16" x14ac:dyDescent="0.2"/>
    <row r="12088" ht="16" x14ac:dyDescent="0.2"/>
    <row r="12089" ht="16" x14ac:dyDescent="0.2"/>
    <row r="12090" ht="16" x14ac:dyDescent="0.2"/>
    <row r="12091" ht="16" x14ac:dyDescent="0.2"/>
    <row r="12092" ht="16" x14ac:dyDescent="0.2"/>
    <row r="12093" ht="16" x14ac:dyDescent="0.2"/>
    <row r="12094" ht="16" x14ac:dyDescent="0.2"/>
    <row r="12095" ht="16" x14ac:dyDescent="0.2"/>
    <row r="12096" ht="16" x14ac:dyDescent="0.2"/>
    <row r="12097" ht="16" x14ac:dyDescent="0.2"/>
    <row r="12098" ht="16" x14ac:dyDescent="0.2"/>
    <row r="12099" ht="16" x14ac:dyDescent="0.2"/>
    <row r="12100" ht="16" x14ac:dyDescent="0.2"/>
    <row r="12101" ht="16" x14ac:dyDescent="0.2"/>
    <row r="12102" ht="16" x14ac:dyDescent="0.2"/>
    <row r="12103" ht="16" x14ac:dyDescent="0.2"/>
    <row r="12104" ht="16" x14ac:dyDescent="0.2"/>
    <row r="12105" ht="16" x14ac:dyDescent="0.2"/>
    <row r="12106" ht="16" x14ac:dyDescent="0.2"/>
    <row r="12107" ht="16" x14ac:dyDescent="0.2"/>
    <row r="12108" ht="16" x14ac:dyDescent="0.2"/>
    <row r="12109" ht="16" x14ac:dyDescent="0.2"/>
    <row r="12110" ht="16" x14ac:dyDescent="0.2"/>
    <row r="12111" ht="16" x14ac:dyDescent="0.2"/>
    <row r="12112" ht="16" x14ac:dyDescent="0.2"/>
    <row r="12113" ht="16" x14ac:dyDescent="0.2"/>
    <row r="12114" ht="16" x14ac:dyDescent="0.2"/>
    <row r="12115" ht="16" x14ac:dyDescent="0.2"/>
    <row r="12116" ht="16" x14ac:dyDescent="0.2"/>
    <row r="12117" ht="16" x14ac:dyDescent="0.2"/>
    <row r="12118" ht="16" x14ac:dyDescent="0.2"/>
    <row r="12119" ht="16" x14ac:dyDescent="0.2"/>
    <row r="12120" ht="16" x14ac:dyDescent="0.2"/>
    <row r="12121" ht="16" x14ac:dyDescent="0.2"/>
    <row r="12122" ht="16" x14ac:dyDescent="0.2"/>
    <row r="12123" ht="16" x14ac:dyDescent="0.2"/>
    <row r="12124" ht="16" x14ac:dyDescent="0.2"/>
    <row r="12125" ht="16" x14ac:dyDescent="0.2"/>
    <row r="12126" ht="16" x14ac:dyDescent="0.2"/>
    <row r="12127" ht="16" x14ac:dyDescent="0.2"/>
    <row r="12128" ht="16" x14ac:dyDescent="0.2"/>
    <row r="12129" ht="16" x14ac:dyDescent="0.2"/>
    <row r="12130" ht="16" x14ac:dyDescent="0.2"/>
    <row r="12131" ht="16" x14ac:dyDescent="0.2"/>
    <row r="12132" ht="16" x14ac:dyDescent="0.2"/>
    <row r="12133" ht="16" x14ac:dyDescent="0.2"/>
    <row r="12134" ht="16" x14ac:dyDescent="0.2"/>
    <row r="12135" ht="16" x14ac:dyDescent="0.2"/>
    <row r="12136" ht="16" x14ac:dyDescent="0.2"/>
    <row r="12137" ht="16" x14ac:dyDescent="0.2"/>
    <row r="12138" ht="16" x14ac:dyDescent="0.2"/>
    <row r="12139" ht="16" x14ac:dyDescent="0.2"/>
    <row r="12140" ht="16" x14ac:dyDescent="0.2"/>
    <row r="12141" ht="16" x14ac:dyDescent="0.2"/>
    <row r="12142" ht="16" x14ac:dyDescent="0.2"/>
    <row r="12143" ht="16" x14ac:dyDescent="0.2"/>
    <row r="12144" ht="16" x14ac:dyDescent="0.2"/>
    <row r="12145" ht="16" x14ac:dyDescent="0.2"/>
    <row r="12146" ht="16" x14ac:dyDescent="0.2"/>
    <row r="12147" ht="16" x14ac:dyDescent="0.2"/>
    <row r="12148" ht="16" x14ac:dyDescent="0.2"/>
    <row r="12149" ht="16" x14ac:dyDescent="0.2"/>
    <row r="12150" ht="16" x14ac:dyDescent="0.2"/>
    <row r="12151" ht="16" x14ac:dyDescent="0.2"/>
    <row r="12152" ht="16" x14ac:dyDescent="0.2"/>
    <row r="12153" ht="16" x14ac:dyDescent="0.2"/>
    <row r="12154" ht="16" x14ac:dyDescent="0.2"/>
    <row r="12155" ht="16" x14ac:dyDescent="0.2"/>
    <row r="12156" ht="16" x14ac:dyDescent="0.2"/>
    <row r="12157" ht="16" x14ac:dyDescent="0.2"/>
    <row r="12158" ht="16" x14ac:dyDescent="0.2"/>
    <row r="12159" ht="16" x14ac:dyDescent="0.2"/>
    <row r="12160" ht="16" x14ac:dyDescent="0.2"/>
    <row r="12161" ht="16" x14ac:dyDescent="0.2"/>
    <row r="12162" ht="16" x14ac:dyDescent="0.2"/>
    <row r="12163" ht="16" x14ac:dyDescent="0.2"/>
    <row r="12164" ht="16" x14ac:dyDescent="0.2"/>
    <row r="12165" ht="16" x14ac:dyDescent="0.2"/>
    <row r="12166" ht="16" x14ac:dyDescent="0.2"/>
    <row r="12167" ht="16" x14ac:dyDescent="0.2"/>
    <row r="12168" ht="16" x14ac:dyDescent="0.2"/>
    <row r="12169" ht="16" x14ac:dyDescent="0.2"/>
    <row r="12170" ht="16" x14ac:dyDescent="0.2"/>
    <row r="12171" ht="16" x14ac:dyDescent="0.2"/>
    <row r="12172" ht="16" x14ac:dyDescent="0.2"/>
    <row r="12173" ht="16" x14ac:dyDescent="0.2"/>
    <row r="12174" ht="16" x14ac:dyDescent="0.2"/>
    <row r="12175" ht="16" x14ac:dyDescent="0.2"/>
    <row r="12176" ht="16" x14ac:dyDescent="0.2"/>
    <row r="12177" ht="16" x14ac:dyDescent="0.2"/>
    <row r="12178" ht="16" x14ac:dyDescent="0.2"/>
    <row r="12179" ht="16" x14ac:dyDescent="0.2"/>
    <row r="12180" ht="16" x14ac:dyDescent="0.2"/>
    <row r="12181" ht="16" x14ac:dyDescent="0.2"/>
    <row r="12182" ht="16" x14ac:dyDescent="0.2"/>
    <row r="12183" ht="16" x14ac:dyDescent="0.2"/>
    <row r="12184" ht="16" x14ac:dyDescent="0.2"/>
    <row r="12185" ht="16" x14ac:dyDescent="0.2"/>
    <row r="12186" ht="16" x14ac:dyDescent="0.2"/>
    <row r="12187" ht="16" x14ac:dyDescent="0.2"/>
    <row r="12188" ht="16" x14ac:dyDescent="0.2"/>
    <row r="12189" ht="16" x14ac:dyDescent="0.2"/>
    <row r="12190" ht="16" x14ac:dyDescent="0.2"/>
    <row r="12191" ht="16" x14ac:dyDescent="0.2"/>
    <row r="12192" ht="16" x14ac:dyDescent="0.2"/>
    <row r="12193" ht="16" x14ac:dyDescent="0.2"/>
    <row r="12194" ht="16" x14ac:dyDescent="0.2"/>
    <row r="12195" ht="16" x14ac:dyDescent="0.2"/>
    <row r="12196" ht="16" x14ac:dyDescent="0.2"/>
    <row r="12197" ht="16" x14ac:dyDescent="0.2"/>
    <row r="12198" ht="16" x14ac:dyDescent="0.2"/>
    <row r="12199" ht="16" x14ac:dyDescent="0.2"/>
    <row r="12200" ht="16" x14ac:dyDescent="0.2"/>
    <row r="12201" ht="16" x14ac:dyDescent="0.2"/>
    <row r="12202" ht="16" x14ac:dyDescent="0.2"/>
    <row r="12203" ht="16" x14ac:dyDescent="0.2"/>
    <row r="12204" ht="16" x14ac:dyDescent="0.2"/>
    <row r="12205" ht="16" x14ac:dyDescent="0.2"/>
    <row r="12206" ht="16" x14ac:dyDescent="0.2"/>
    <row r="12207" ht="16" x14ac:dyDescent="0.2"/>
    <row r="12208" ht="16" x14ac:dyDescent="0.2"/>
    <row r="12209" ht="16" x14ac:dyDescent="0.2"/>
    <row r="12210" ht="16" x14ac:dyDescent="0.2"/>
    <row r="12211" ht="16" x14ac:dyDescent="0.2"/>
    <row r="12212" ht="16" x14ac:dyDescent="0.2"/>
    <row r="12213" ht="16" x14ac:dyDescent="0.2"/>
    <row r="12214" ht="16" x14ac:dyDescent="0.2"/>
    <row r="12215" ht="16" x14ac:dyDescent="0.2"/>
    <row r="12216" ht="16" x14ac:dyDescent="0.2"/>
    <row r="12217" ht="16" x14ac:dyDescent="0.2"/>
    <row r="12218" ht="16" x14ac:dyDescent="0.2"/>
    <row r="12219" ht="16" x14ac:dyDescent="0.2"/>
    <row r="12220" ht="16" x14ac:dyDescent="0.2"/>
    <row r="12221" ht="16" x14ac:dyDescent="0.2"/>
    <row r="12222" ht="16" x14ac:dyDescent="0.2"/>
    <row r="12223" ht="16" x14ac:dyDescent="0.2"/>
    <row r="12224" ht="16" x14ac:dyDescent="0.2"/>
    <row r="12225" ht="16" x14ac:dyDescent="0.2"/>
    <row r="12226" ht="16" x14ac:dyDescent="0.2"/>
    <row r="12227" ht="16" x14ac:dyDescent="0.2"/>
    <row r="12228" ht="16" x14ac:dyDescent="0.2"/>
    <row r="12229" ht="16" x14ac:dyDescent="0.2"/>
    <row r="12230" ht="16" x14ac:dyDescent="0.2"/>
    <row r="12231" ht="16" x14ac:dyDescent="0.2"/>
    <row r="12232" ht="16" x14ac:dyDescent="0.2"/>
    <row r="12233" ht="16" x14ac:dyDescent="0.2"/>
    <row r="12234" ht="16" x14ac:dyDescent="0.2"/>
    <row r="12235" ht="16" x14ac:dyDescent="0.2"/>
    <row r="12236" ht="16" x14ac:dyDescent="0.2"/>
    <row r="12237" ht="16" x14ac:dyDescent="0.2"/>
    <row r="12238" ht="16" x14ac:dyDescent="0.2"/>
    <row r="12239" ht="16" x14ac:dyDescent="0.2"/>
    <row r="12240" ht="16" x14ac:dyDescent="0.2"/>
    <row r="12241" ht="16" x14ac:dyDescent="0.2"/>
    <row r="12242" ht="16" x14ac:dyDescent="0.2"/>
    <row r="12243" ht="16" x14ac:dyDescent="0.2"/>
    <row r="12244" ht="16" x14ac:dyDescent="0.2"/>
    <row r="12245" ht="16" x14ac:dyDescent="0.2"/>
    <row r="12246" ht="16" x14ac:dyDescent="0.2"/>
    <row r="12247" ht="16" x14ac:dyDescent="0.2"/>
    <row r="12248" ht="16" x14ac:dyDescent="0.2"/>
    <row r="12249" ht="16" x14ac:dyDescent="0.2"/>
    <row r="12250" ht="16" x14ac:dyDescent="0.2"/>
    <row r="12251" ht="16" x14ac:dyDescent="0.2"/>
    <row r="12252" ht="16" x14ac:dyDescent="0.2"/>
    <row r="12253" ht="16" x14ac:dyDescent="0.2"/>
    <row r="12254" ht="16" x14ac:dyDescent="0.2"/>
    <row r="12255" ht="16" x14ac:dyDescent="0.2"/>
    <row r="12256" ht="16" x14ac:dyDescent="0.2"/>
    <row r="12257" ht="16" x14ac:dyDescent="0.2"/>
    <row r="12258" ht="16" x14ac:dyDescent="0.2"/>
    <row r="12259" ht="16" x14ac:dyDescent="0.2"/>
    <row r="12260" ht="16" x14ac:dyDescent="0.2"/>
    <row r="12261" ht="16" x14ac:dyDescent="0.2"/>
    <row r="12262" ht="16" x14ac:dyDescent="0.2"/>
    <row r="12263" ht="16" x14ac:dyDescent="0.2"/>
    <row r="12264" ht="16" x14ac:dyDescent="0.2"/>
    <row r="12265" ht="16" x14ac:dyDescent="0.2"/>
    <row r="12266" ht="16" x14ac:dyDescent="0.2"/>
    <row r="12267" ht="16" x14ac:dyDescent="0.2"/>
    <row r="12268" ht="16" x14ac:dyDescent="0.2"/>
    <row r="12269" ht="16" x14ac:dyDescent="0.2"/>
    <row r="12270" ht="16" x14ac:dyDescent="0.2"/>
    <row r="12271" ht="16" x14ac:dyDescent="0.2"/>
    <row r="12272" ht="16" x14ac:dyDescent="0.2"/>
    <row r="12273" ht="16" x14ac:dyDescent="0.2"/>
    <row r="12274" ht="16" x14ac:dyDescent="0.2"/>
    <row r="12275" ht="16" x14ac:dyDescent="0.2"/>
    <row r="12276" ht="16" x14ac:dyDescent="0.2"/>
    <row r="12277" ht="16" x14ac:dyDescent="0.2"/>
    <row r="12278" ht="16" x14ac:dyDescent="0.2"/>
    <row r="12279" ht="16" x14ac:dyDescent="0.2"/>
    <row r="12280" ht="16" x14ac:dyDescent="0.2"/>
    <row r="12281" ht="16" x14ac:dyDescent="0.2"/>
    <row r="12282" ht="16" x14ac:dyDescent="0.2"/>
    <row r="12283" ht="16" x14ac:dyDescent="0.2"/>
    <row r="12284" ht="16" x14ac:dyDescent="0.2"/>
    <row r="12285" ht="16" x14ac:dyDescent="0.2"/>
    <row r="12286" ht="16" x14ac:dyDescent="0.2"/>
    <row r="12287" ht="16" x14ac:dyDescent="0.2"/>
    <row r="12288" ht="16" x14ac:dyDescent="0.2"/>
    <row r="12289" ht="16" x14ac:dyDescent="0.2"/>
    <row r="12290" ht="16" x14ac:dyDescent="0.2"/>
    <row r="12291" ht="16" x14ac:dyDescent="0.2"/>
    <row r="12292" ht="16" x14ac:dyDescent="0.2"/>
    <row r="12293" ht="16" x14ac:dyDescent="0.2"/>
    <row r="12294" ht="16" x14ac:dyDescent="0.2"/>
    <row r="12295" ht="16" x14ac:dyDescent="0.2"/>
    <row r="12296" ht="16" x14ac:dyDescent="0.2"/>
    <row r="12297" ht="16" x14ac:dyDescent="0.2"/>
    <row r="12298" ht="16" x14ac:dyDescent="0.2"/>
    <row r="12299" ht="16" x14ac:dyDescent="0.2"/>
    <row r="12300" ht="16" x14ac:dyDescent="0.2"/>
    <row r="12301" ht="16" x14ac:dyDescent="0.2"/>
    <row r="12302" ht="16" x14ac:dyDescent="0.2"/>
    <row r="12303" ht="16" x14ac:dyDescent="0.2"/>
    <row r="12304" ht="16" x14ac:dyDescent="0.2"/>
    <row r="12305" ht="16" x14ac:dyDescent="0.2"/>
    <row r="12306" ht="16" x14ac:dyDescent="0.2"/>
    <row r="12307" ht="16" x14ac:dyDescent="0.2"/>
    <row r="12308" ht="16" x14ac:dyDescent="0.2"/>
    <row r="12309" ht="16" x14ac:dyDescent="0.2"/>
    <row r="12310" ht="16" x14ac:dyDescent="0.2"/>
    <row r="12311" ht="16" x14ac:dyDescent="0.2"/>
    <row r="12312" ht="16" x14ac:dyDescent="0.2"/>
    <row r="12313" ht="16" x14ac:dyDescent="0.2"/>
    <row r="12314" ht="16" x14ac:dyDescent="0.2"/>
    <row r="12315" ht="16" x14ac:dyDescent="0.2"/>
    <row r="12316" ht="16" x14ac:dyDescent="0.2"/>
    <row r="12317" ht="16" x14ac:dyDescent="0.2"/>
    <row r="12318" ht="16" x14ac:dyDescent="0.2"/>
    <row r="12319" ht="16" x14ac:dyDescent="0.2"/>
    <row r="12320" ht="16" x14ac:dyDescent="0.2"/>
    <row r="12321" ht="16" x14ac:dyDescent="0.2"/>
    <row r="12322" ht="16" x14ac:dyDescent="0.2"/>
    <row r="12323" ht="16" x14ac:dyDescent="0.2"/>
    <row r="12324" ht="16" x14ac:dyDescent="0.2"/>
    <row r="12325" ht="16" x14ac:dyDescent="0.2"/>
    <row r="12326" ht="16" x14ac:dyDescent="0.2"/>
    <row r="12327" ht="16" x14ac:dyDescent="0.2"/>
    <row r="12328" ht="16" x14ac:dyDescent="0.2"/>
    <row r="12329" ht="16" x14ac:dyDescent="0.2"/>
    <row r="12330" ht="16" x14ac:dyDescent="0.2"/>
    <row r="12331" ht="16" x14ac:dyDescent="0.2"/>
    <row r="12332" ht="16" x14ac:dyDescent="0.2"/>
    <row r="12333" ht="16" x14ac:dyDescent="0.2"/>
    <row r="12334" ht="16" x14ac:dyDescent="0.2"/>
    <row r="12335" ht="16" x14ac:dyDescent="0.2"/>
    <row r="12336" ht="16" x14ac:dyDescent="0.2"/>
    <row r="12337" ht="16" x14ac:dyDescent="0.2"/>
    <row r="12338" ht="16" x14ac:dyDescent="0.2"/>
    <row r="12339" ht="16" x14ac:dyDescent="0.2"/>
    <row r="12340" ht="16" x14ac:dyDescent="0.2"/>
    <row r="12341" ht="16" x14ac:dyDescent="0.2"/>
    <row r="12342" ht="16" x14ac:dyDescent="0.2"/>
    <row r="12343" ht="16" x14ac:dyDescent="0.2"/>
    <row r="12344" ht="16" x14ac:dyDescent="0.2"/>
    <row r="12345" ht="16" x14ac:dyDescent="0.2"/>
    <row r="12346" ht="16" x14ac:dyDescent="0.2"/>
    <row r="12347" ht="16" x14ac:dyDescent="0.2"/>
    <row r="12348" ht="16" x14ac:dyDescent="0.2"/>
    <row r="12349" ht="16" x14ac:dyDescent="0.2"/>
    <row r="12350" ht="16" x14ac:dyDescent="0.2"/>
    <row r="12351" ht="16" x14ac:dyDescent="0.2"/>
    <row r="12352" ht="16" x14ac:dyDescent="0.2"/>
    <row r="12353" ht="16" x14ac:dyDescent="0.2"/>
    <row r="12354" ht="16" x14ac:dyDescent="0.2"/>
    <row r="12355" ht="16" x14ac:dyDescent="0.2"/>
    <row r="12356" ht="16" x14ac:dyDescent="0.2"/>
    <row r="12357" ht="16" x14ac:dyDescent="0.2"/>
    <row r="12358" ht="16" x14ac:dyDescent="0.2"/>
    <row r="12359" ht="16" x14ac:dyDescent="0.2"/>
    <row r="12360" ht="16" x14ac:dyDescent="0.2"/>
    <row r="12361" ht="16" x14ac:dyDescent="0.2"/>
    <row r="12362" ht="16" x14ac:dyDescent="0.2"/>
    <row r="12363" ht="16" x14ac:dyDescent="0.2"/>
    <row r="12364" ht="16" x14ac:dyDescent="0.2"/>
    <row r="12365" ht="16" x14ac:dyDescent="0.2"/>
    <row r="12366" ht="16" x14ac:dyDescent="0.2"/>
    <row r="12367" ht="16" x14ac:dyDescent="0.2"/>
    <row r="12368" ht="16" x14ac:dyDescent="0.2"/>
    <row r="12369" ht="16" x14ac:dyDescent="0.2"/>
    <row r="12370" ht="16" x14ac:dyDescent="0.2"/>
    <row r="12371" ht="16" x14ac:dyDescent="0.2"/>
    <row r="12372" ht="16" x14ac:dyDescent="0.2"/>
    <row r="12373" ht="16" x14ac:dyDescent="0.2"/>
    <row r="12374" ht="16" x14ac:dyDescent="0.2"/>
    <row r="12375" ht="16" x14ac:dyDescent="0.2"/>
    <row r="12376" ht="16" x14ac:dyDescent="0.2"/>
    <row r="12377" ht="16" x14ac:dyDescent="0.2"/>
    <row r="12378" ht="16" x14ac:dyDescent="0.2"/>
    <row r="12379" ht="16" x14ac:dyDescent="0.2"/>
    <row r="12380" ht="16" x14ac:dyDescent="0.2"/>
    <row r="12381" ht="16" x14ac:dyDescent="0.2"/>
    <row r="12382" ht="16" x14ac:dyDescent="0.2"/>
    <row r="12383" ht="16" x14ac:dyDescent="0.2"/>
    <row r="12384" ht="16" x14ac:dyDescent="0.2"/>
    <row r="12385" ht="16" x14ac:dyDescent="0.2"/>
    <row r="12386" ht="16" x14ac:dyDescent="0.2"/>
    <row r="12387" ht="16" x14ac:dyDescent="0.2"/>
    <row r="12388" ht="16" x14ac:dyDescent="0.2"/>
    <row r="12389" ht="16" x14ac:dyDescent="0.2"/>
    <row r="12390" ht="16" x14ac:dyDescent="0.2"/>
    <row r="12391" ht="16" x14ac:dyDescent="0.2"/>
    <row r="12392" ht="16" x14ac:dyDescent="0.2"/>
    <row r="12393" ht="16" x14ac:dyDescent="0.2"/>
    <row r="12394" ht="16" x14ac:dyDescent="0.2"/>
    <row r="12395" ht="16" x14ac:dyDescent="0.2"/>
    <row r="12396" ht="16" x14ac:dyDescent="0.2"/>
    <row r="12397" ht="16" x14ac:dyDescent="0.2"/>
    <row r="12398" ht="16" x14ac:dyDescent="0.2"/>
    <row r="12399" ht="16" x14ac:dyDescent="0.2"/>
    <row r="12400" ht="16" x14ac:dyDescent="0.2"/>
    <row r="12401" ht="16" x14ac:dyDescent="0.2"/>
    <row r="12402" ht="16" x14ac:dyDescent="0.2"/>
    <row r="12403" ht="16" x14ac:dyDescent="0.2"/>
    <row r="12404" ht="16" x14ac:dyDescent="0.2"/>
    <row r="12405" ht="16" x14ac:dyDescent="0.2"/>
    <row r="12406" ht="16" x14ac:dyDescent="0.2"/>
    <row r="12407" ht="16" x14ac:dyDescent="0.2"/>
    <row r="12408" ht="16" x14ac:dyDescent="0.2"/>
    <row r="12409" ht="16" x14ac:dyDescent="0.2"/>
    <row r="12410" ht="16" x14ac:dyDescent="0.2"/>
    <row r="12411" ht="16" x14ac:dyDescent="0.2"/>
    <row r="12412" ht="16" x14ac:dyDescent="0.2"/>
    <row r="12413" ht="16" x14ac:dyDescent="0.2"/>
    <row r="12414" ht="16" x14ac:dyDescent="0.2"/>
    <row r="12415" ht="16" x14ac:dyDescent="0.2"/>
    <row r="12416" ht="16" x14ac:dyDescent="0.2"/>
    <row r="12417" ht="16" x14ac:dyDescent="0.2"/>
    <row r="12418" ht="16" x14ac:dyDescent="0.2"/>
    <row r="12419" ht="16" x14ac:dyDescent="0.2"/>
    <row r="12420" ht="16" x14ac:dyDescent="0.2"/>
    <row r="12421" ht="16" x14ac:dyDescent="0.2"/>
    <row r="12422" ht="16" x14ac:dyDescent="0.2"/>
    <row r="12423" ht="16" x14ac:dyDescent="0.2"/>
    <row r="12424" ht="16" x14ac:dyDescent="0.2"/>
    <row r="12425" ht="16" x14ac:dyDescent="0.2"/>
    <row r="12426" ht="16" x14ac:dyDescent="0.2"/>
    <row r="12427" ht="16" x14ac:dyDescent="0.2"/>
    <row r="12428" ht="16" x14ac:dyDescent="0.2"/>
    <row r="12429" ht="16" x14ac:dyDescent="0.2"/>
    <row r="12430" ht="16" x14ac:dyDescent="0.2"/>
    <row r="12431" ht="16" x14ac:dyDescent="0.2"/>
    <row r="12432" ht="16" x14ac:dyDescent="0.2"/>
    <row r="12433" ht="16" x14ac:dyDescent="0.2"/>
    <row r="12434" ht="16" x14ac:dyDescent="0.2"/>
    <row r="12435" ht="16" x14ac:dyDescent="0.2"/>
    <row r="12436" ht="16" x14ac:dyDescent="0.2"/>
    <row r="12437" ht="16" x14ac:dyDescent="0.2"/>
    <row r="12438" ht="16" x14ac:dyDescent="0.2"/>
    <row r="12439" ht="16" x14ac:dyDescent="0.2"/>
    <row r="12440" ht="16" x14ac:dyDescent="0.2"/>
    <row r="12441" ht="16" x14ac:dyDescent="0.2"/>
    <row r="12442" ht="16" x14ac:dyDescent="0.2"/>
    <row r="12443" ht="16" x14ac:dyDescent="0.2"/>
    <row r="12444" ht="16" x14ac:dyDescent="0.2"/>
    <row r="12445" ht="16" x14ac:dyDescent="0.2"/>
    <row r="12446" ht="16" x14ac:dyDescent="0.2"/>
    <row r="12447" ht="16" x14ac:dyDescent="0.2"/>
    <row r="12448" ht="16" x14ac:dyDescent="0.2"/>
    <row r="12449" ht="16" x14ac:dyDescent="0.2"/>
    <row r="12450" ht="16" x14ac:dyDescent="0.2"/>
    <row r="12451" ht="16" x14ac:dyDescent="0.2"/>
    <row r="12452" ht="16" x14ac:dyDescent="0.2"/>
    <row r="12453" ht="16" x14ac:dyDescent="0.2"/>
    <row r="12454" ht="16" x14ac:dyDescent="0.2"/>
    <row r="12455" ht="16" x14ac:dyDescent="0.2"/>
    <row r="12456" ht="16" x14ac:dyDescent="0.2"/>
    <row r="12457" ht="16" x14ac:dyDescent="0.2"/>
    <row r="12458" ht="16" x14ac:dyDescent="0.2"/>
    <row r="12459" ht="16" x14ac:dyDescent="0.2"/>
    <row r="12460" ht="16" x14ac:dyDescent="0.2"/>
    <row r="12461" ht="16" x14ac:dyDescent="0.2"/>
    <row r="12462" ht="16" x14ac:dyDescent="0.2"/>
    <row r="12463" ht="16" x14ac:dyDescent="0.2"/>
    <row r="12464" ht="16" x14ac:dyDescent="0.2"/>
    <row r="12465" ht="16" x14ac:dyDescent="0.2"/>
    <row r="12466" ht="16" x14ac:dyDescent="0.2"/>
    <row r="12467" ht="16" x14ac:dyDescent="0.2"/>
    <row r="12468" ht="16" x14ac:dyDescent="0.2"/>
    <row r="12469" ht="16" x14ac:dyDescent="0.2"/>
    <row r="12470" ht="16" x14ac:dyDescent="0.2"/>
    <row r="12471" ht="16" x14ac:dyDescent="0.2"/>
    <row r="12472" ht="16" x14ac:dyDescent="0.2"/>
    <row r="12473" ht="16" x14ac:dyDescent="0.2"/>
    <row r="12474" ht="16" x14ac:dyDescent="0.2"/>
    <row r="12475" ht="16" x14ac:dyDescent="0.2"/>
    <row r="12476" ht="16" x14ac:dyDescent="0.2"/>
    <row r="12477" ht="16" x14ac:dyDescent="0.2"/>
    <row r="12478" ht="16" x14ac:dyDescent="0.2"/>
    <row r="12479" ht="16" x14ac:dyDescent="0.2"/>
    <row r="12480" ht="16" x14ac:dyDescent="0.2"/>
    <row r="12481" ht="16" x14ac:dyDescent="0.2"/>
    <row r="12482" ht="16" x14ac:dyDescent="0.2"/>
    <row r="12483" ht="16" x14ac:dyDescent="0.2"/>
    <row r="12484" ht="16" x14ac:dyDescent="0.2"/>
    <row r="12485" ht="16" x14ac:dyDescent="0.2"/>
    <row r="12486" ht="16" x14ac:dyDescent="0.2"/>
    <row r="12487" ht="16" x14ac:dyDescent="0.2"/>
    <row r="12488" ht="16" x14ac:dyDescent="0.2"/>
    <row r="12489" ht="16" x14ac:dyDescent="0.2"/>
    <row r="12490" ht="16" x14ac:dyDescent="0.2"/>
    <row r="12491" ht="16" x14ac:dyDescent="0.2"/>
    <row r="12492" ht="16" x14ac:dyDescent="0.2"/>
    <row r="12493" ht="16" x14ac:dyDescent="0.2"/>
    <row r="12494" ht="16" x14ac:dyDescent="0.2"/>
    <row r="12495" ht="16" x14ac:dyDescent="0.2"/>
    <row r="12496" ht="16" x14ac:dyDescent="0.2"/>
    <row r="12497" ht="16" x14ac:dyDescent="0.2"/>
    <row r="12498" ht="16" x14ac:dyDescent="0.2"/>
    <row r="12499" ht="16" x14ac:dyDescent="0.2"/>
    <row r="12500" ht="16" x14ac:dyDescent="0.2"/>
    <row r="12501" ht="16" x14ac:dyDescent="0.2"/>
    <row r="12502" ht="16" x14ac:dyDescent="0.2"/>
    <row r="12503" ht="16" x14ac:dyDescent="0.2"/>
    <row r="12504" ht="16" x14ac:dyDescent="0.2"/>
    <row r="12505" ht="16" x14ac:dyDescent="0.2"/>
    <row r="12506" ht="16" x14ac:dyDescent="0.2"/>
    <row r="12507" ht="16" x14ac:dyDescent="0.2"/>
    <row r="12508" ht="16" x14ac:dyDescent="0.2"/>
    <row r="12509" ht="16" x14ac:dyDescent="0.2"/>
    <row r="12510" ht="16" x14ac:dyDescent="0.2"/>
    <row r="12511" ht="16" x14ac:dyDescent="0.2"/>
    <row r="12512" ht="16" x14ac:dyDescent="0.2"/>
    <row r="12513" ht="16" x14ac:dyDescent="0.2"/>
    <row r="12514" ht="16" x14ac:dyDescent="0.2"/>
    <row r="12515" ht="16" x14ac:dyDescent="0.2"/>
    <row r="12516" ht="16" x14ac:dyDescent="0.2"/>
    <row r="12517" ht="16" x14ac:dyDescent="0.2"/>
    <row r="12518" ht="16" x14ac:dyDescent="0.2"/>
    <row r="12519" ht="16" x14ac:dyDescent="0.2"/>
    <row r="12520" ht="16" x14ac:dyDescent="0.2"/>
    <row r="12521" ht="16" x14ac:dyDescent="0.2"/>
    <row r="12522" ht="16" x14ac:dyDescent="0.2"/>
    <row r="12523" ht="16" x14ac:dyDescent="0.2"/>
    <row r="12524" ht="16" x14ac:dyDescent="0.2"/>
    <row r="12525" ht="16" x14ac:dyDescent="0.2"/>
    <row r="12526" ht="16" x14ac:dyDescent="0.2"/>
    <row r="12527" ht="16" x14ac:dyDescent="0.2"/>
    <row r="12528" ht="16" x14ac:dyDescent="0.2"/>
    <row r="12529" ht="16" x14ac:dyDescent="0.2"/>
    <row r="12530" ht="16" x14ac:dyDescent="0.2"/>
    <row r="12531" ht="16" x14ac:dyDescent="0.2"/>
    <row r="12532" ht="16" x14ac:dyDescent="0.2"/>
    <row r="12533" ht="16" x14ac:dyDescent="0.2"/>
    <row r="12534" ht="16" x14ac:dyDescent="0.2"/>
    <row r="12535" ht="16" x14ac:dyDescent="0.2"/>
    <row r="12536" ht="16" x14ac:dyDescent="0.2"/>
    <row r="12537" ht="16" x14ac:dyDescent="0.2"/>
    <row r="12538" ht="16" x14ac:dyDescent="0.2"/>
    <row r="12539" ht="16" x14ac:dyDescent="0.2"/>
    <row r="12540" ht="16" x14ac:dyDescent="0.2"/>
    <row r="12541" ht="16" x14ac:dyDescent="0.2"/>
    <row r="12542" ht="16" x14ac:dyDescent="0.2"/>
    <row r="12543" ht="16" x14ac:dyDescent="0.2"/>
    <row r="12544" ht="16" x14ac:dyDescent="0.2"/>
    <row r="12545" ht="16" x14ac:dyDescent="0.2"/>
    <row r="12546" ht="16" x14ac:dyDescent="0.2"/>
    <row r="12547" ht="16" x14ac:dyDescent="0.2"/>
    <row r="12548" ht="16" x14ac:dyDescent="0.2"/>
    <row r="12549" ht="16" x14ac:dyDescent="0.2"/>
    <row r="12550" ht="16" x14ac:dyDescent="0.2"/>
    <row r="12551" ht="16" x14ac:dyDescent="0.2"/>
    <row r="12552" ht="16" x14ac:dyDescent="0.2"/>
    <row r="12553" ht="16" x14ac:dyDescent="0.2"/>
    <row r="12554" ht="16" x14ac:dyDescent="0.2"/>
    <row r="12555" ht="16" x14ac:dyDescent="0.2"/>
    <row r="12556" ht="16" x14ac:dyDescent="0.2"/>
    <row r="12557" ht="16" x14ac:dyDescent="0.2"/>
    <row r="12558" ht="16" x14ac:dyDescent="0.2"/>
    <row r="12559" ht="16" x14ac:dyDescent="0.2"/>
    <row r="12560" ht="16" x14ac:dyDescent="0.2"/>
    <row r="12561" ht="16" x14ac:dyDescent="0.2"/>
    <row r="12562" ht="16" x14ac:dyDescent="0.2"/>
    <row r="12563" ht="16" x14ac:dyDescent="0.2"/>
    <row r="12564" ht="16" x14ac:dyDescent="0.2"/>
    <row r="12565" ht="16" x14ac:dyDescent="0.2"/>
    <row r="12566" ht="16" x14ac:dyDescent="0.2"/>
    <row r="12567" ht="16" x14ac:dyDescent="0.2"/>
    <row r="12568" ht="16" x14ac:dyDescent="0.2"/>
    <row r="12569" ht="16" x14ac:dyDescent="0.2"/>
    <row r="12570" ht="16" x14ac:dyDescent="0.2"/>
    <row r="12571" ht="16" x14ac:dyDescent="0.2"/>
    <row r="12572" ht="16" x14ac:dyDescent="0.2"/>
    <row r="12573" ht="16" x14ac:dyDescent="0.2"/>
    <row r="12574" ht="16" x14ac:dyDescent="0.2"/>
    <row r="12575" ht="16" x14ac:dyDescent="0.2"/>
    <row r="12576" ht="16" x14ac:dyDescent="0.2"/>
    <row r="12577" ht="16" x14ac:dyDescent="0.2"/>
    <row r="12578" ht="16" x14ac:dyDescent="0.2"/>
    <row r="12579" ht="16" x14ac:dyDescent="0.2"/>
    <row r="12580" ht="16" x14ac:dyDescent="0.2"/>
    <row r="12581" ht="16" x14ac:dyDescent="0.2"/>
    <row r="12582" ht="16" x14ac:dyDescent="0.2"/>
    <row r="12583" ht="16" x14ac:dyDescent="0.2"/>
    <row r="12584" ht="16" x14ac:dyDescent="0.2"/>
    <row r="12585" ht="16" x14ac:dyDescent="0.2"/>
    <row r="12586" ht="16" x14ac:dyDescent="0.2"/>
    <row r="12587" ht="16" x14ac:dyDescent="0.2"/>
    <row r="12588" ht="16" x14ac:dyDescent="0.2"/>
    <row r="12589" ht="16" x14ac:dyDescent="0.2"/>
    <row r="12590" ht="16" x14ac:dyDescent="0.2"/>
    <row r="12591" ht="16" x14ac:dyDescent="0.2"/>
    <row r="12592" ht="16" x14ac:dyDescent="0.2"/>
    <row r="12593" ht="16" x14ac:dyDescent="0.2"/>
    <row r="12594" ht="16" x14ac:dyDescent="0.2"/>
    <row r="12595" ht="16" x14ac:dyDescent="0.2"/>
    <row r="12596" ht="16" x14ac:dyDescent="0.2"/>
    <row r="12597" ht="16" x14ac:dyDescent="0.2"/>
    <row r="12598" ht="16" x14ac:dyDescent="0.2"/>
    <row r="12599" ht="16" x14ac:dyDescent="0.2"/>
    <row r="12600" ht="16" x14ac:dyDescent="0.2"/>
    <row r="12601" ht="16" x14ac:dyDescent="0.2"/>
    <row r="12602" ht="16" x14ac:dyDescent="0.2"/>
    <row r="12603" ht="16" x14ac:dyDescent="0.2"/>
    <row r="12604" ht="16" x14ac:dyDescent="0.2"/>
    <row r="12605" ht="16" x14ac:dyDescent="0.2"/>
    <row r="12606" ht="16" x14ac:dyDescent="0.2"/>
    <row r="12607" ht="16" x14ac:dyDescent="0.2"/>
    <row r="12608" ht="16" x14ac:dyDescent="0.2"/>
    <row r="12609" ht="16" x14ac:dyDescent="0.2"/>
    <row r="12610" ht="16" x14ac:dyDescent="0.2"/>
    <row r="12611" ht="16" x14ac:dyDescent="0.2"/>
    <row r="12612" ht="16" x14ac:dyDescent="0.2"/>
    <row r="12613" ht="16" x14ac:dyDescent="0.2"/>
    <row r="12614" ht="16" x14ac:dyDescent="0.2"/>
    <row r="12615" ht="16" x14ac:dyDescent="0.2"/>
    <row r="12616" ht="16" x14ac:dyDescent="0.2"/>
    <row r="12617" ht="16" x14ac:dyDescent="0.2"/>
    <row r="12618" ht="16" x14ac:dyDescent="0.2"/>
    <row r="12619" ht="16" x14ac:dyDescent="0.2"/>
    <row r="12620" ht="16" x14ac:dyDescent="0.2"/>
    <row r="12621" ht="16" x14ac:dyDescent="0.2"/>
    <row r="12622" ht="16" x14ac:dyDescent="0.2"/>
    <row r="12623" ht="16" x14ac:dyDescent="0.2"/>
    <row r="12624" ht="16" x14ac:dyDescent="0.2"/>
    <row r="12625" ht="16" x14ac:dyDescent="0.2"/>
    <row r="12626" ht="16" x14ac:dyDescent="0.2"/>
    <row r="12627" ht="16" x14ac:dyDescent="0.2"/>
    <row r="12628" ht="16" x14ac:dyDescent="0.2"/>
    <row r="12629" ht="16" x14ac:dyDescent="0.2"/>
    <row r="12630" ht="16" x14ac:dyDescent="0.2"/>
    <row r="12631" ht="16" x14ac:dyDescent="0.2"/>
    <row r="12632" ht="16" x14ac:dyDescent="0.2"/>
    <row r="12633" ht="16" x14ac:dyDescent="0.2"/>
    <row r="12634" ht="16" x14ac:dyDescent="0.2"/>
    <row r="12635" ht="16" x14ac:dyDescent="0.2"/>
    <row r="12636" ht="16" x14ac:dyDescent="0.2"/>
    <row r="12637" ht="16" x14ac:dyDescent="0.2"/>
    <row r="12638" ht="16" x14ac:dyDescent="0.2"/>
    <row r="12639" ht="16" x14ac:dyDescent="0.2"/>
    <row r="12640" ht="16" x14ac:dyDescent="0.2"/>
    <row r="12641" ht="16" x14ac:dyDescent="0.2"/>
    <row r="12642" ht="16" x14ac:dyDescent="0.2"/>
    <row r="12643" ht="16" x14ac:dyDescent="0.2"/>
    <row r="12644" ht="16" x14ac:dyDescent="0.2"/>
    <row r="12645" ht="16" x14ac:dyDescent="0.2"/>
    <row r="12646" ht="16" x14ac:dyDescent="0.2"/>
    <row r="12647" ht="16" x14ac:dyDescent="0.2"/>
    <row r="12648" ht="16" x14ac:dyDescent="0.2"/>
    <row r="12649" ht="16" x14ac:dyDescent="0.2"/>
    <row r="12650" ht="16" x14ac:dyDescent="0.2"/>
    <row r="12651" ht="16" x14ac:dyDescent="0.2"/>
    <row r="12652" ht="16" x14ac:dyDescent="0.2"/>
    <row r="12653" ht="16" x14ac:dyDescent="0.2"/>
    <row r="12654" ht="16" x14ac:dyDescent="0.2"/>
    <row r="12655" ht="16" x14ac:dyDescent="0.2"/>
    <row r="12656" ht="16" x14ac:dyDescent="0.2"/>
    <row r="12657" ht="16" x14ac:dyDescent="0.2"/>
    <row r="12658" ht="16" x14ac:dyDescent="0.2"/>
    <row r="12659" ht="16" x14ac:dyDescent="0.2"/>
    <row r="12660" ht="16" x14ac:dyDescent="0.2"/>
    <row r="12661" ht="16" x14ac:dyDescent="0.2"/>
    <row r="12662" ht="16" x14ac:dyDescent="0.2"/>
    <row r="12663" ht="16" x14ac:dyDescent="0.2"/>
    <row r="12664" ht="16" x14ac:dyDescent="0.2"/>
    <row r="12665" ht="16" x14ac:dyDescent="0.2"/>
    <row r="12666" ht="16" x14ac:dyDescent="0.2"/>
    <row r="12667" ht="16" x14ac:dyDescent="0.2"/>
    <row r="12668" ht="16" x14ac:dyDescent="0.2"/>
    <row r="12669" ht="16" x14ac:dyDescent="0.2"/>
    <row r="12670" ht="16" x14ac:dyDescent="0.2"/>
    <row r="12671" ht="16" x14ac:dyDescent="0.2"/>
    <row r="12672" ht="16" x14ac:dyDescent="0.2"/>
    <row r="12673" ht="16" x14ac:dyDescent="0.2"/>
    <row r="12674" ht="16" x14ac:dyDescent="0.2"/>
    <row r="12675" ht="16" x14ac:dyDescent="0.2"/>
    <row r="12676" ht="16" x14ac:dyDescent="0.2"/>
    <row r="12677" ht="16" x14ac:dyDescent="0.2"/>
    <row r="12678" ht="16" x14ac:dyDescent="0.2"/>
    <row r="12679" ht="16" x14ac:dyDescent="0.2"/>
    <row r="12680" ht="16" x14ac:dyDescent="0.2"/>
    <row r="12681" ht="16" x14ac:dyDescent="0.2"/>
    <row r="12682" ht="16" x14ac:dyDescent="0.2"/>
    <row r="12683" ht="16" x14ac:dyDescent="0.2"/>
    <row r="12684" ht="16" x14ac:dyDescent="0.2"/>
    <row r="12685" ht="16" x14ac:dyDescent="0.2"/>
    <row r="12686" ht="16" x14ac:dyDescent="0.2"/>
    <row r="12687" ht="16" x14ac:dyDescent="0.2"/>
    <row r="12688" ht="16" x14ac:dyDescent="0.2"/>
    <row r="12689" ht="16" x14ac:dyDescent="0.2"/>
    <row r="12690" ht="16" x14ac:dyDescent="0.2"/>
    <row r="12691" ht="16" x14ac:dyDescent="0.2"/>
    <row r="12692" ht="16" x14ac:dyDescent="0.2"/>
    <row r="12693" ht="16" x14ac:dyDescent="0.2"/>
    <row r="12694" ht="16" x14ac:dyDescent="0.2"/>
    <row r="12695" ht="16" x14ac:dyDescent="0.2"/>
    <row r="12696" ht="16" x14ac:dyDescent="0.2"/>
    <row r="12697" ht="16" x14ac:dyDescent="0.2"/>
    <row r="12698" ht="16" x14ac:dyDescent="0.2"/>
    <row r="12699" ht="16" x14ac:dyDescent="0.2"/>
    <row r="12700" ht="16" x14ac:dyDescent="0.2"/>
    <row r="12701" ht="16" x14ac:dyDescent="0.2"/>
    <row r="12702" ht="16" x14ac:dyDescent="0.2"/>
    <row r="12703" ht="16" x14ac:dyDescent="0.2"/>
    <row r="12704" ht="16" x14ac:dyDescent="0.2"/>
    <row r="12705" ht="16" x14ac:dyDescent="0.2"/>
    <row r="12706" ht="16" x14ac:dyDescent="0.2"/>
    <row r="12707" ht="16" x14ac:dyDescent="0.2"/>
    <row r="12708" ht="16" x14ac:dyDescent="0.2"/>
    <row r="12709" ht="16" x14ac:dyDescent="0.2"/>
    <row r="12710" ht="16" x14ac:dyDescent="0.2"/>
    <row r="12711" ht="16" x14ac:dyDescent="0.2"/>
    <row r="12712" ht="16" x14ac:dyDescent="0.2"/>
    <row r="12713" ht="16" x14ac:dyDescent="0.2"/>
    <row r="12714" ht="16" x14ac:dyDescent="0.2"/>
    <row r="12715" ht="16" x14ac:dyDescent="0.2"/>
    <row r="12716" ht="16" x14ac:dyDescent="0.2"/>
    <row r="12717" ht="16" x14ac:dyDescent="0.2"/>
    <row r="12718" ht="16" x14ac:dyDescent="0.2"/>
    <row r="12719" ht="16" x14ac:dyDescent="0.2"/>
    <row r="12720" ht="16" x14ac:dyDescent="0.2"/>
    <row r="12721" ht="16" x14ac:dyDescent="0.2"/>
    <row r="12722" ht="16" x14ac:dyDescent="0.2"/>
    <row r="12723" ht="16" x14ac:dyDescent="0.2"/>
    <row r="12724" ht="16" x14ac:dyDescent="0.2"/>
    <row r="12725" ht="16" x14ac:dyDescent="0.2"/>
    <row r="12726" ht="16" x14ac:dyDescent="0.2"/>
    <row r="12727" ht="16" x14ac:dyDescent="0.2"/>
    <row r="12728" ht="16" x14ac:dyDescent="0.2"/>
    <row r="12729" ht="16" x14ac:dyDescent="0.2"/>
    <row r="12730" ht="16" x14ac:dyDescent="0.2"/>
    <row r="12731" ht="16" x14ac:dyDescent="0.2"/>
    <row r="12732" ht="16" x14ac:dyDescent="0.2"/>
    <row r="12733" ht="16" x14ac:dyDescent="0.2"/>
    <row r="12734" ht="16" x14ac:dyDescent="0.2"/>
    <row r="12735" ht="16" x14ac:dyDescent="0.2"/>
    <row r="12736" ht="16" x14ac:dyDescent="0.2"/>
    <row r="12737" ht="16" x14ac:dyDescent="0.2"/>
    <row r="12738" ht="16" x14ac:dyDescent="0.2"/>
    <row r="12739" ht="16" x14ac:dyDescent="0.2"/>
    <row r="12740" ht="16" x14ac:dyDescent="0.2"/>
    <row r="12741" ht="16" x14ac:dyDescent="0.2"/>
    <row r="12742" ht="16" x14ac:dyDescent="0.2"/>
    <row r="12743" ht="16" x14ac:dyDescent="0.2"/>
    <row r="12744" ht="16" x14ac:dyDescent="0.2"/>
    <row r="12745" ht="16" x14ac:dyDescent="0.2"/>
    <row r="12746" ht="16" x14ac:dyDescent="0.2"/>
    <row r="12747" ht="16" x14ac:dyDescent="0.2"/>
    <row r="12748" ht="16" x14ac:dyDescent="0.2"/>
    <row r="12749" ht="16" x14ac:dyDescent="0.2"/>
    <row r="12750" ht="16" x14ac:dyDescent="0.2"/>
    <row r="12751" ht="16" x14ac:dyDescent="0.2"/>
    <row r="12752" ht="16" x14ac:dyDescent="0.2"/>
    <row r="12753" ht="16" x14ac:dyDescent="0.2"/>
    <row r="12754" ht="16" x14ac:dyDescent="0.2"/>
    <row r="12755" ht="16" x14ac:dyDescent="0.2"/>
    <row r="12756" ht="16" x14ac:dyDescent="0.2"/>
    <row r="12757" ht="16" x14ac:dyDescent="0.2"/>
    <row r="12758" ht="16" x14ac:dyDescent="0.2"/>
    <row r="12759" ht="16" x14ac:dyDescent="0.2"/>
    <row r="12760" ht="16" x14ac:dyDescent="0.2"/>
    <row r="12761" ht="16" x14ac:dyDescent="0.2"/>
    <row r="12762" ht="16" x14ac:dyDescent="0.2"/>
    <row r="12763" ht="16" x14ac:dyDescent="0.2"/>
    <row r="12764" ht="16" x14ac:dyDescent="0.2"/>
    <row r="12765" ht="16" x14ac:dyDescent="0.2"/>
    <row r="12766" ht="16" x14ac:dyDescent="0.2"/>
    <row r="12767" ht="16" x14ac:dyDescent="0.2"/>
    <row r="12768" ht="16" x14ac:dyDescent="0.2"/>
    <row r="12769" ht="16" x14ac:dyDescent="0.2"/>
    <row r="12770" ht="16" x14ac:dyDescent="0.2"/>
    <row r="12771" ht="16" x14ac:dyDescent="0.2"/>
    <row r="12772" ht="16" x14ac:dyDescent="0.2"/>
    <row r="12773" ht="16" x14ac:dyDescent="0.2"/>
    <row r="12774" ht="16" x14ac:dyDescent="0.2"/>
    <row r="12775" ht="16" x14ac:dyDescent="0.2"/>
    <row r="12776" ht="16" x14ac:dyDescent="0.2"/>
    <row r="12777" ht="16" x14ac:dyDescent="0.2"/>
    <row r="12778" ht="16" x14ac:dyDescent="0.2"/>
    <row r="12779" ht="16" x14ac:dyDescent="0.2"/>
    <row r="12780" ht="16" x14ac:dyDescent="0.2"/>
    <row r="12781" ht="16" x14ac:dyDescent="0.2"/>
    <row r="12782" ht="16" x14ac:dyDescent="0.2"/>
    <row r="12783" ht="16" x14ac:dyDescent="0.2"/>
    <row r="12784" ht="16" x14ac:dyDescent="0.2"/>
    <row r="12785" ht="16" x14ac:dyDescent="0.2"/>
    <row r="12786" ht="16" x14ac:dyDescent="0.2"/>
    <row r="12787" ht="16" x14ac:dyDescent="0.2"/>
    <row r="12788" ht="16" x14ac:dyDescent="0.2"/>
    <row r="12789" ht="16" x14ac:dyDescent="0.2"/>
    <row r="12790" ht="16" x14ac:dyDescent="0.2"/>
    <row r="12791" ht="16" x14ac:dyDescent="0.2"/>
    <row r="12792" ht="16" x14ac:dyDescent="0.2"/>
    <row r="12793" ht="16" x14ac:dyDescent="0.2"/>
    <row r="12794" ht="16" x14ac:dyDescent="0.2"/>
    <row r="12795" ht="16" x14ac:dyDescent="0.2"/>
    <row r="12796" ht="16" x14ac:dyDescent="0.2"/>
    <row r="12797" ht="16" x14ac:dyDescent="0.2"/>
    <row r="12798" ht="16" x14ac:dyDescent="0.2"/>
    <row r="12799" ht="16" x14ac:dyDescent="0.2"/>
    <row r="12800" ht="16" x14ac:dyDescent="0.2"/>
    <row r="12801" ht="16" x14ac:dyDescent="0.2"/>
    <row r="12802" ht="16" x14ac:dyDescent="0.2"/>
    <row r="12803" ht="16" x14ac:dyDescent="0.2"/>
    <row r="12804" ht="16" x14ac:dyDescent="0.2"/>
    <row r="12805" ht="16" x14ac:dyDescent="0.2"/>
    <row r="12806" ht="16" x14ac:dyDescent="0.2"/>
    <row r="12807" ht="16" x14ac:dyDescent="0.2"/>
    <row r="12808" ht="16" x14ac:dyDescent="0.2"/>
    <row r="12809" ht="16" x14ac:dyDescent="0.2"/>
    <row r="12810" ht="16" x14ac:dyDescent="0.2"/>
    <row r="12811" ht="16" x14ac:dyDescent="0.2"/>
    <row r="12812" ht="16" x14ac:dyDescent="0.2"/>
    <row r="12813" ht="16" x14ac:dyDescent="0.2"/>
    <row r="12814" ht="16" x14ac:dyDescent="0.2"/>
    <row r="12815" ht="16" x14ac:dyDescent="0.2"/>
    <row r="12816" ht="16" x14ac:dyDescent="0.2"/>
    <row r="12817" ht="16" x14ac:dyDescent="0.2"/>
    <row r="12818" ht="16" x14ac:dyDescent="0.2"/>
    <row r="12819" ht="16" x14ac:dyDescent="0.2"/>
    <row r="12820" ht="16" x14ac:dyDescent="0.2"/>
    <row r="12821" ht="16" x14ac:dyDescent="0.2"/>
    <row r="12822" ht="16" x14ac:dyDescent="0.2"/>
    <row r="12823" ht="16" x14ac:dyDescent="0.2"/>
    <row r="12824" ht="16" x14ac:dyDescent="0.2"/>
    <row r="12825" ht="16" x14ac:dyDescent="0.2"/>
    <row r="12826" ht="16" x14ac:dyDescent="0.2"/>
    <row r="12827" ht="16" x14ac:dyDescent="0.2"/>
    <row r="12828" ht="16" x14ac:dyDescent="0.2"/>
    <row r="12829" ht="16" x14ac:dyDescent="0.2"/>
    <row r="12830" ht="16" x14ac:dyDescent="0.2"/>
    <row r="12831" ht="16" x14ac:dyDescent="0.2"/>
    <row r="12832" ht="16" x14ac:dyDescent="0.2"/>
    <row r="12833" ht="16" x14ac:dyDescent="0.2"/>
    <row r="12834" ht="16" x14ac:dyDescent="0.2"/>
    <row r="12835" ht="16" x14ac:dyDescent="0.2"/>
    <row r="12836" ht="16" x14ac:dyDescent="0.2"/>
    <row r="12837" ht="16" x14ac:dyDescent="0.2"/>
    <row r="12838" ht="16" x14ac:dyDescent="0.2"/>
    <row r="12839" ht="16" x14ac:dyDescent="0.2"/>
    <row r="12840" ht="16" x14ac:dyDescent="0.2"/>
    <row r="12841" ht="16" x14ac:dyDescent="0.2"/>
    <row r="12842" ht="16" x14ac:dyDescent="0.2"/>
    <row r="12843" ht="16" x14ac:dyDescent="0.2"/>
    <row r="12844" ht="16" x14ac:dyDescent="0.2"/>
    <row r="12845" ht="16" x14ac:dyDescent="0.2"/>
    <row r="12846" ht="16" x14ac:dyDescent="0.2"/>
    <row r="12847" ht="16" x14ac:dyDescent="0.2"/>
    <row r="12848" ht="16" x14ac:dyDescent="0.2"/>
    <row r="12849" ht="16" x14ac:dyDescent="0.2"/>
    <row r="12850" ht="16" x14ac:dyDescent="0.2"/>
    <row r="12851" ht="16" x14ac:dyDescent="0.2"/>
    <row r="12852" ht="16" x14ac:dyDescent="0.2"/>
    <row r="12853" ht="16" x14ac:dyDescent="0.2"/>
    <row r="12854" ht="16" x14ac:dyDescent="0.2"/>
    <row r="12855" ht="16" x14ac:dyDescent="0.2"/>
    <row r="12856" ht="16" x14ac:dyDescent="0.2"/>
    <row r="12857" ht="16" x14ac:dyDescent="0.2"/>
    <row r="12858" ht="16" x14ac:dyDescent="0.2"/>
    <row r="12859" ht="16" x14ac:dyDescent="0.2"/>
    <row r="12860" ht="16" x14ac:dyDescent="0.2"/>
    <row r="12861" ht="16" x14ac:dyDescent="0.2"/>
    <row r="12862" ht="16" x14ac:dyDescent="0.2"/>
    <row r="12863" ht="16" x14ac:dyDescent="0.2"/>
    <row r="12864" ht="16" x14ac:dyDescent="0.2"/>
    <row r="12865" ht="16" x14ac:dyDescent="0.2"/>
    <row r="12866" ht="16" x14ac:dyDescent="0.2"/>
    <row r="12867" ht="16" x14ac:dyDescent="0.2"/>
    <row r="12868" ht="16" x14ac:dyDescent="0.2"/>
    <row r="12869" ht="16" x14ac:dyDescent="0.2"/>
    <row r="12870" ht="16" x14ac:dyDescent="0.2"/>
    <row r="12871" ht="16" x14ac:dyDescent="0.2"/>
    <row r="12872" ht="16" x14ac:dyDescent="0.2"/>
    <row r="12873" ht="16" x14ac:dyDescent="0.2"/>
    <row r="12874" ht="16" x14ac:dyDescent="0.2"/>
    <row r="12875" ht="16" x14ac:dyDescent="0.2"/>
    <row r="12876" ht="16" x14ac:dyDescent="0.2"/>
    <row r="12877" ht="16" x14ac:dyDescent="0.2"/>
    <row r="12878" ht="16" x14ac:dyDescent="0.2"/>
    <row r="12879" ht="16" x14ac:dyDescent="0.2"/>
    <row r="12880" ht="16" x14ac:dyDescent="0.2"/>
    <row r="12881" ht="16" x14ac:dyDescent="0.2"/>
    <row r="12882" ht="16" x14ac:dyDescent="0.2"/>
    <row r="12883" ht="16" x14ac:dyDescent="0.2"/>
    <row r="12884" ht="16" x14ac:dyDescent="0.2"/>
    <row r="12885" ht="16" x14ac:dyDescent="0.2"/>
    <row r="12886" ht="16" x14ac:dyDescent="0.2"/>
    <row r="12887" ht="16" x14ac:dyDescent="0.2"/>
    <row r="12888" ht="16" x14ac:dyDescent="0.2"/>
    <row r="12889" ht="16" x14ac:dyDescent="0.2"/>
    <row r="12890" ht="16" x14ac:dyDescent="0.2"/>
    <row r="12891" ht="16" x14ac:dyDescent="0.2"/>
    <row r="12892" ht="16" x14ac:dyDescent="0.2"/>
    <row r="12893" ht="16" x14ac:dyDescent="0.2"/>
    <row r="12894" ht="16" x14ac:dyDescent="0.2"/>
    <row r="12895" ht="16" x14ac:dyDescent="0.2"/>
    <row r="12896" ht="16" x14ac:dyDescent="0.2"/>
    <row r="12897" ht="16" x14ac:dyDescent="0.2"/>
    <row r="12898" ht="16" x14ac:dyDescent="0.2"/>
    <row r="12899" ht="16" x14ac:dyDescent="0.2"/>
    <row r="12900" ht="16" x14ac:dyDescent="0.2"/>
    <row r="12901" ht="16" x14ac:dyDescent="0.2"/>
    <row r="12902" ht="16" x14ac:dyDescent="0.2"/>
    <row r="12903" ht="16" x14ac:dyDescent="0.2"/>
    <row r="12904" ht="16" x14ac:dyDescent="0.2"/>
    <row r="12905" ht="16" x14ac:dyDescent="0.2"/>
    <row r="12906" ht="16" x14ac:dyDescent="0.2"/>
    <row r="12907" ht="16" x14ac:dyDescent="0.2"/>
    <row r="12908" ht="16" x14ac:dyDescent="0.2"/>
    <row r="12909" ht="16" x14ac:dyDescent="0.2"/>
    <row r="12910" ht="16" x14ac:dyDescent="0.2"/>
    <row r="12911" ht="16" x14ac:dyDescent="0.2"/>
    <row r="12912" ht="16" x14ac:dyDescent="0.2"/>
    <row r="12913" ht="16" x14ac:dyDescent="0.2"/>
    <row r="12914" ht="16" x14ac:dyDescent="0.2"/>
    <row r="12915" ht="16" x14ac:dyDescent="0.2"/>
    <row r="12916" ht="16" x14ac:dyDescent="0.2"/>
    <row r="12917" ht="16" x14ac:dyDescent="0.2"/>
    <row r="12918" ht="16" x14ac:dyDescent="0.2"/>
    <row r="12919" ht="16" x14ac:dyDescent="0.2"/>
    <row r="12920" ht="16" x14ac:dyDescent="0.2"/>
    <row r="12921" ht="16" x14ac:dyDescent="0.2"/>
    <row r="12922" ht="16" x14ac:dyDescent="0.2"/>
    <row r="12923" ht="16" x14ac:dyDescent="0.2"/>
    <row r="12924" ht="16" x14ac:dyDescent="0.2"/>
    <row r="12925" ht="16" x14ac:dyDescent="0.2"/>
    <row r="12926" ht="16" x14ac:dyDescent="0.2"/>
    <row r="12927" ht="16" x14ac:dyDescent="0.2"/>
    <row r="12928" ht="16" x14ac:dyDescent="0.2"/>
    <row r="12929" ht="16" x14ac:dyDescent="0.2"/>
    <row r="12930" ht="16" x14ac:dyDescent="0.2"/>
    <row r="12931" ht="16" x14ac:dyDescent="0.2"/>
    <row r="12932" ht="16" x14ac:dyDescent="0.2"/>
    <row r="12933" ht="16" x14ac:dyDescent="0.2"/>
    <row r="12934" ht="16" x14ac:dyDescent="0.2"/>
    <row r="12935" ht="16" x14ac:dyDescent="0.2"/>
    <row r="12936" ht="16" x14ac:dyDescent="0.2"/>
    <row r="12937" ht="16" x14ac:dyDescent="0.2"/>
    <row r="12938" ht="16" x14ac:dyDescent="0.2"/>
    <row r="12939" ht="16" x14ac:dyDescent="0.2"/>
    <row r="12940" ht="16" x14ac:dyDescent="0.2"/>
    <row r="12941" ht="16" x14ac:dyDescent="0.2"/>
    <row r="12942" ht="16" x14ac:dyDescent="0.2"/>
    <row r="12943" ht="16" x14ac:dyDescent="0.2"/>
    <row r="12944" ht="16" x14ac:dyDescent="0.2"/>
    <row r="12945" ht="16" x14ac:dyDescent="0.2"/>
    <row r="12946" ht="16" x14ac:dyDescent="0.2"/>
    <row r="12947" ht="16" x14ac:dyDescent="0.2"/>
    <row r="12948" ht="16" x14ac:dyDescent="0.2"/>
    <row r="12949" ht="16" x14ac:dyDescent="0.2"/>
    <row r="12950" ht="16" x14ac:dyDescent="0.2"/>
    <row r="12951" ht="16" x14ac:dyDescent="0.2"/>
    <row r="12952" ht="16" x14ac:dyDescent="0.2"/>
    <row r="12953" ht="16" x14ac:dyDescent="0.2"/>
    <row r="12954" ht="16" x14ac:dyDescent="0.2"/>
    <row r="12955" ht="16" x14ac:dyDescent="0.2"/>
    <row r="12956" ht="16" x14ac:dyDescent="0.2"/>
    <row r="12957" ht="16" x14ac:dyDescent="0.2"/>
    <row r="12958" ht="16" x14ac:dyDescent="0.2"/>
    <row r="12959" ht="16" x14ac:dyDescent="0.2"/>
    <row r="12960" ht="16" x14ac:dyDescent="0.2"/>
    <row r="12961" ht="16" x14ac:dyDescent="0.2"/>
    <row r="12962" ht="16" x14ac:dyDescent="0.2"/>
    <row r="12963" ht="16" x14ac:dyDescent="0.2"/>
    <row r="12964" ht="16" x14ac:dyDescent="0.2"/>
    <row r="12965" ht="16" x14ac:dyDescent="0.2"/>
    <row r="12966" ht="16" x14ac:dyDescent="0.2"/>
    <row r="12967" ht="16" x14ac:dyDescent="0.2"/>
    <row r="12968" ht="16" x14ac:dyDescent="0.2"/>
    <row r="12969" ht="16" x14ac:dyDescent="0.2"/>
    <row r="12970" ht="16" x14ac:dyDescent="0.2"/>
    <row r="12971" ht="16" x14ac:dyDescent="0.2"/>
    <row r="12972" ht="16" x14ac:dyDescent="0.2"/>
    <row r="12973" ht="16" x14ac:dyDescent="0.2"/>
    <row r="12974" ht="16" x14ac:dyDescent="0.2"/>
    <row r="12975" ht="16" x14ac:dyDescent="0.2"/>
    <row r="12976" ht="16" x14ac:dyDescent="0.2"/>
    <row r="12977" ht="16" x14ac:dyDescent="0.2"/>
    <row r="12978" ht="16" x14ac:dyDescent="0.2"/>
    <row r="12979" ht="16" x14ac:dyDescent="0.2"/>
    <row r="12980" ht="16" x14ac:dyDescent="0.2"/>
    <row r="12981" ht="16" x14ac:dyDescent="0.2"/>
    <row r="12982" ht="16" x14ac:dyDescent="0.2"/>
    <row r="12983" ht="16" x14ac:dyDescent="0.2"/>
    <row r="12984" ht="16" x14ac:dyDescent="0.2"/>
    <row r="12985" ht="16" x14ac:dyDescent="0.2"/>
    <row r="12986" ht="16" x14ac:dyDescent="0.2"/>
    <row r="12987" ht="16" x14ac:dyDescent="0.2"/>
    <row r="12988" ht="16" x14ac:dyDescent="0.2"/>
    <row r="12989" ht="16" x14ac:dyDescent="0.2"/>
    <row r="12990" ht="16" x14ac:dyDescent="0.2"/>
    <row r="12991" ht="16" x14ac:dyDescent="0.2"/>
    <row r="12992" ht="16" x14ac:dyDescent="0.2"/>
    <row r="12993" ht="16" x14ac:dyDescent="0.2"/>
    <row r="12994" ht="16" x14ac:dyDescent="0.2"/>
    <row r="12995" ht="16" x14ac:dyDescent="0.2"/>
    <row r="12996" ht="16" x14ac:dyDescent="0.2"/>
    <row r="12997" ht="16" x14ac:dyDescent="0.2"/>
    <row r="12998" ht="16" x14ac:dyDescent="0.2"/>
    <row r="12999" ht="16" x14ac:dyDescent="0.2"/>
    <row r="13000" ht="16" x14ac:dyDescent="0.2"/>
    <row r="13001" ht="16" x14ac:dyDescent="0.2"/>
    <row r="13002" ht="16" x14ac:dyDescent="0.2"/>
    <row r="13003" ht="16" x14ac:dyDescent="0.2"/>
    <row r="13004" ht="16" x14ac:dyDescent="0.2"/>
    <row r="13005" ht="16" x14ac:dyDescent="0.2"/>
    <row r="13006" ht="16" x14ac:dyDescent="0.2"/>
    <row r="13007" ht="16" x14ac:dyDescent="0.2"/>
    <row r="13008" ht="16" x14ac:dyDescent="0.2"/>
    <row r="13009" ht="16" x14ac:dyDescent="0.2"/>
    <row r="13010" ht="16" x14ac:dyDescent="0.2"/>
    <row r="13011" ht="16" x14ac:dyDescent="0.2"/>
    <row r="13012" ht="16" x14ac:dyDescent="0.2"/>
    <row r="13013" ht="16" x14ac:dyDescent="0.2"/>
    <row r="13014" ht="16" x14ac:dyDescent="0.2"/>
    <row r="13015" ht="16" x14ac:dyDescent="0.2"/>
    <row r="13016" ht="16" x14ac:dyDescent="0.2"/>
    <row r="13017" ht="16" x14ac:dyDescent="0.2"/>
    <row r="13018" ht="16" x14ac:dyDescent="0.2"/>
    <row r="13019" ht="16" x14ac:dyDescent="0.2"/>
    <row r="13020" ht="16" x14ac:dyDescent="0.2"/>
    <row r="13021" ht="16" x14ac:dyDescent="0.2"/>
    <row r="13022" ht="16" x14ac:dyDescent="0.2"/>
    <row r="13023" ht="16" x14ac:dyDescent="0.2"/>
    <row r="13024" ht="16" x14ac:dyDescent="0.2"/>
    <row r="13025" ht="16" x14ac:dyDescent="0.2"/>
    <row r="13026" ht="16" x14ac:dyDescent="0.2"/>
    <row r="13027" ht="16" x14ac:dyDescent="0.2"/>
    <row r="13028" ht="16" x14ac:dyDescent="0.2"/>
    <row r="13029" ht="16" x14ac:dyDescent="0.2"/>
    <row r="13030" ht="16" x14ac:dyDescent="0.2"/>
    <row r="13031" ht="16" x14ac:dyDescent="0.2"/>
    <row r="13032" ht="16" x14ac:dyDescent="0.2"/>
    <row r="13033" ht="16" x14ac:dyDescent="0.2"/>
    <row r="13034" ht="16" x14ac:dyDescent="0.2"/>
    <row r="13035" ht="16" x14ac:dyDescent="0.2"/>
    <row r="13036" ht="16" x14ac:dyDescent="0.2"/>
    <row r="13037" ht="16" x14ac:dyDescent="0.2"/>
    <row r="13038" ht="16" x14ac:dyDescent="0.2"/>
    <row r="13039" ht="16" x14ac:dyDescent="0.2"/>
    <row r="13040" ht="16" x14ac:dyDescent="0.2"/>
    <row r="13041" ht="16" x14ac:dyDescent="0.2"/>
    <row r="13042" ht="16" x14ac:dyDescent="0.2"/>
    <row r="13043" ht="16" x14ac:dyDescent="0.2"/>
    <row r="13044" ht="16" x14ac:dyDescent="0.2"/>
    <row r="13045" ht="16" x14ac:dyDescent="0.2"/>
    <row r="13046" ht="16" x14ac:dyDescent="0.2"/>
    <row r="13047" ht="16" x14ac:dyDescent="0.2"/>
    <row r="13048" ht="16" x14ac:dyDescent="0.2"/>
    <row r="13049" ht="16" x14ac:dyDescent="0.2"/>
    <row r="13050" ht="16" x14ac:dyDescent="0.2"/>
    <row r="13051" ht="16" x14ac:dyDescent="0.2"/>
    <row r="13052" ht="16" x14ac:dyDescent="0.2"/>
    <row r="13053" ht="16" x14ac:dyDescent="0.2"/>
    <row r="13054" ht="16" x14ac:dyDescent="0.2"/>
    <row r="13055" ht="16" x14ac:dyDescent="0.2"/>
    <row r="13056" ht="16" x14ac:dyDescent="0.2"/>
    <row r="13057" ht="16" x14ac:dyDescent="0.2"/>
    <row r="13058" ht="16" x14ac:dyDescent="0.2"/>
    <row r="13059" ht="16" x14ac:dyDescent="0.2"/>
    <row r="13060" ht="16" x14ac:dyDescent="0.2"/>
    <row r="13061" ht="16" x14ac:dyDescent="0.2"/>
    <row r="13062" ht="16" x14ac:dyDescent="0.2"/>
    <row r="13063" ht="16" x14ac:dyDescent="0.2"/>
    <row r="13064" ht="16" x14ac:dyDescent="0.2"/>
    <row r="13065" ht="16" x14ac:dyDescent="0.2"/>
    <row r="13066" ht="16" x14ac:dyDescent="0.2"/>
    <row r="13067" ht="16" x14ac:dyDescent="0.2"/>
    <row r="13068" ht="16" x14ac:dyDescent="0.2"/>
    <row r="13069" ht="16" x14ac:dyDescent="0.2"/>
    <row r="13070" ht="16" x14ac:dyDescent="0.2"/>
    <row r="13071" ht="16" x14ac:dyDescent="0.2"/>
    <row r="13072" ht="16" x14ac:dyDescent="0.2"/>
    <row r="13073" ht="16" x14ac:dyDescent="0.2"/>
    <row r="13074" ht="16" x14ac:dyDescent="0.2"/>
    <row r="13075" ht="16" x14ac:dyDescent="0.2"/>
    <row r="13076" ht="16" x14ac:dyDescent="0.2"/>
    <row r="13077" ht="16" x14ac:dyDescent="0.2"/>
    <row r="13078" ht="16" x14ac:dyDescent="0.2"/>
    <row r="13079" ht="16" x14ac:dyDescent="0.2"/>
    <row r="13080" ht="16" x14ac:dyDescent="0.2"/>
    <row r="13081" ht="16" x14ac:dyDescent="0.2"/>
    <row r="13082" ht="16" x14ac:dyDescent="0.2"/>
    <row r="13083" ht="16" x14ac:dyDescent="0.2"/>
    <row r="13084" ht="16" x14ac:dyDescent="0.2"/>
    <row r="13085" ht="16" x14ac:dyDescent="0.2"/>
    <row r="13086" ht="16" x14ac:dyDescent="0.2"/>
    <row r="13087" ht="16" x14ac:dyDescent="0.2"/>
    <row r="13088" ht="16" x14ac:dyDescent="0.2"/>
    <row r="13089" ht="16" x14ac:dyDescent="0.2"/>
    <row r="13090" ht="16" x14ac:dyDescent="0.2"/>
    <row r="13091" ht="16" x14ac:dyDescent="0.2"/>
    <row r="13092" ht="16" x14ac:dyDescent="0.2"/>
    <row r="13093" ht="16" x14ac:dyDescent="0.2"/>
    <row r="13094" ht="16" x14ac:dyDescent="0.2"/>
    <row r="13095" ht="16" x14ac:dyDescent="0.2"/>
    <row r="13096" ht="16" x14ac:dyDescent="0.2"/>
    <row r="13097" ht="16" x14ac:dyDescent="0.2"/>
    <row r="13098" ht="16" x14ac:dyDescent="0.2"/>
    <row r="13099" ht="16" x14ac:dyDescent="0.2"/>
    <row r="13100" ht="16" x14ac:dyDescent="0.2"/>
    <row r="13101" ht="16" x14ac:dyDescent="0.2"/>
    <row r="13102" ht="16" x14ac:dyDescent="0.2"/>
    <row r="13103" ht="16" x14ac:dyDescent="0.2"/>
    <row r="13104" ht="16" x14ac:dyDescent="0.2"/>
    <row r="13105" ht="16" x14ac:dyDescent="0.2"/>
    <row r="13106" ht="16" x14ac:dyDescent="0.2"/>
    <row r="13107" ht="16" x14ac:dyDescent="0.2"/>
    <row r="13108" ht="16" x14ac:dyDescent="0.2"/>
    <row r="13109" ht="16" x14ac:dyDescent="0.2"/>
    <row r="13110" ht="16" x14ac:dyDescent="0.2"/>
    <row r="13111" ht="16" x14ac:dyDescent="0.2"/>
    <row r="13112" ht="16" x14ac:dyDescent="0.2"/>
    <row r="13113" ht="16" x14ac:dyDescent="0.2"/>
    <row r="13114" ht="16" x14ac:dyDescent="0.2"/>
    <row r="13115" ht="16" x14ac:dyDescent="0.2"/>
    <row r="13116" ht="16" x14ac:dyDescent="0.2"/>
    <row r="13117" ht="16" x14ac:dyDescent="0.2"/>
    <row r="13118" ht="16" x14ac:dyDescent="0.2"/>
    <row r="13119" ht="16" x14ac:dyDescent="0.2"/>
    <row r="13120" ht="16" x14ac:dyDescent="0.2"/>
    <row r="13121" ht="16" x14ac:dyDescent="0.2"/>
    <row r="13122" ht="16" x14ac:dyDescent="0.2"/>
    <row r="13123" ht="16" x14ac:dyDescent="0.2"/>
    <row r="13124" ht="16" x14ac:dyDescent="0.2"/>
    <row r="13125" ht="16" x14ac:dyDescent="0.2"/>
    <row r="13126" ht="16" x14ac:dyDescent="0.2"/>
    <row r="13127" ht="16" x14ac:dyDescent="0.2"/>
    <row r="13128" ht="16" x14ac:dyDescent="0.2"/>
    <row r="13129" ht="16" x14ac:dyDescent="0.2"/>
    <row r="13130" ht="16" x14ac:dyDescent="0.2"/>
    <row r="13131" ht="16" x14ac:dyDescent="0.2"/>
    <row r="13132" ht="16" x14ac:dyDescent="0.2"/>
    <row r="13133" ht="16" x14ac:dyDescent="0.2"/>
    <row r="13134" ht="16" x14ac:dyDescent="0.2"/>
    <row r="13135" ht="16" x14ac:dyDescent="0.2"/>
    <row r="13136" ht="16" x14ac:dyDescent="0.2"/>
    <row r="13137" ht="16" x14ac:dyDescent="0.2"/>
    <row r="13138" ht="16" x14ac:dyDescent="0.2"/>
    <row r="13139" ht="16" x14ac:dyDescent="0.2"/>
    <row r="13140" ht="16" x14ac:dyDescent="0.2"/>
    <row r="13141" ht="16" x14ac:dyDescent="0.2"/>
    <row r="13142" ht="16" x14ac:dyDescent="0.2"/>
    <row r="13143" ht="16" x14ac:dyDescent="0.2"/>
    <row r="13144" ht="16" x14ac:dyDescent="0.2"/>
    <row r="13145" ht="16" x14ac:dyDescent="0.2"/>
    <row r="13146" ht="16" x14ac:dyDescent="0.2"/>
    <row r="13147" ht="16" x14ac:dyDescent="0.2"/>
    <row r="13148" ht="16" x14ac:dyDescent="0.2"/>
    <row r="13149" ht="16" x14ac:dyDescent="0.2"/>
    <row r="13150" ht="16" x14ac:dyDescent="0.2"/>
    <row r="13151" ht="16" x14ac:dyDescent="0.2"/>
    <row r="13152" ht="16" x14ac:dyDescent="0.2"/>
    <row r="13153" ht="16" x14ac:dyDescent="0.2"/>
    <row r="13154" ht="16" x14ac:dyDescent="0.2"/>
    <row r="13155" ht="16" x14ac:dyDescent="0.2"/>
    <row r="13156" ht="16" x14ac:dyDescent="0.2"/>
    <row r="13157" ht="16" x14ac:dyDescent="0.2"/>
    <row r="13158" ht="16" x14ac:dyDescent="0.2"/>
    <row r="13159" ht="16" x14ac:dyDescent="0.2"/>
    <row r="13160" ht="16" x14ac:dyDescent="0.2"/>
    <row r="13161" ht="16" x14ac:dyDescent="0.2"/>
    <row r="13162" ht="16" x14ac:dyDescent="0.2"/>
    <row r="13163" ht="16" x14ac:dyDescent="0.2"/>
    <row r="13164" ht="16" x14ac:dyDescent="0.2"/>
    <row r="13165" ht="16" x14ac:dyDescent="0.2"/>
    <row r="13166" ht="16" x14ac:dyDescent="0.2"/>
    <row r="13167" ht="16" x14ac:dyDescent="0.2"/>
    <row r="13168" ht="16" x14ac:dyDescent="0.2"/>
    <row r="13169" ht="16" x14ac:dyDescent="0.2"/>
    <row r="13170" ht="16" x14ac:dyDescent="0.2"/>
    <row r="13171" ht="16" x14ac:dyDescent="0.2"/>
    <row r="13172" ht="16" x14ac:dyDescent="0.2"/>
    <row r="13173" ht="16" x14ac:dyDescent="0.2"/>
    <row r="13174" ht="16" x14ac:dyDescent="0.2"/>
    <row r="13175" ht="16" x14ac:dyDescent="0.2"/>
    <row r="13176" ht="16" x14ac:dyDescent="0.2"/>
    <row r="13177" ht="16" x14ac:dyDescent="0.2"/>
    <row r="13178" ht="16" x14ac:dyDescent="0.2"/>
    <row r="13179" ht="16" x14ac:dyDescent="0.2"/>
    <row r="13180" ht="16" x14ac:dyDescent="0.2"/>
    <row r="13181" ht="16" x14ac:dyDescent="0.2"/>
    <row r="13182" ht="16" x14ac:dyDescent="0.2"/>
    <row r="13183" ht="16" x14ac:dyDescent="0.2"/>
    <row r="13184" ht="16" x14ac:dyDescent="0.2"/>
    <row r="13185" ht="16" x14ac:dyDescent="0.2"/>
    <row r="13186" ht="16" x14ac:dyDescent="0.2"/>
    <row r="13187" ht="16" x14ac:dyDescent="0.2"/>
    <row r="13188" ht="16" x14ac:dyDescent="0.2"/>
    <row r="13189" ht="16" x14ac:dyDescent="0.2"/>
    <row r="13190" ht="16" x14ac:dyDescent="0.2"/>
    <row r="13191" ht="16" x14ac:dyDescent="0.2"/>
    <row r="13192" ht="16" x14ac:dyDescent="0.2"/>
    <row r="13193" ht="16" x14ac:dyDescent="0.2"/>
    <row r="13194" ht="16" x14ac:dyDescent="0.2"/>
    <row r="13195" ht="16" x14ac:dyDescent="0.2"/>
    <row r="13196" ht="16" x14ac:dyDescent="0.2"/>
    <row r="13197" ht="16" x14ac:dyDescent="0.2"/>
    <row r="13198" ht="16" x14ac:dyDescent="0.2"/>
    <row r="13199" ht="16" x14ac:dyDescent="0.2"/>
    <row r="13200" ht="16" x14ac:dyDescent="0.2"/>
    <row r="13201" ht="16" x14ac:dyDescent="0.2"/>
    <row r="13202" ht="16" x14ac:dyDescent="0.2"/>
    <row r="13203" ht="16" x14ac:dyDescent="0.2"/>
    <row r="13204" ht="16" x14ac:dyDescent="0.2"/>
    <row r="13205" ht="16" x14ac:dyDescent="0.2"/>
    <row r="13206" ht="16" x14ac:dyDescent="0.2"/>
    <row r="13207" ht="16" x14ac:dyDescent="0.2"/>
    <row r="13208" ht="16" x14ac:dyDescent="0.2"/>
    <row r="13209" ht="16" x14ac:dyDescent="0.2"/>
    <row r="13210" ht="16" x14ac:dyDescent="0.2"/>
    <row r="13211" ht="16" x14ac:dyDescent="0.2"/>
    <row r="13212" ht="16" x14ac:dyDescent="0.2"/>
    <row r="13213" ht="16" x14ac:dyDescent="0.2"/>
    <row r="13214" ht="16" x14ac:dyDescent="0.2"/>
    <row r="13215" ht="16" x14ac:dyDescent="0.2"/>
    <row r="13216" ht="16" x14ac:dyDescent="0.2"/>
    <row r="13217" ht="16" x14ac:dyDescent="0.2"/>
    <row r="13218" ht="16" x14ac:dyDescent="0.2"/>
    <row r="13219" ht="16" x14ac:dyDescent="0.2"/>
    <row r="13220" ht="16" x14ac:dyDescent="0.2"/>
    <row r="13221" ht="16" x14ac:dyDescent="0.2"/>
    <row r="13222" ht="16" x14ac:dyDescent="0.2"/>
    <row r="13223" ht="16" x14ac:dyDescent="0.2"/>
    <row r="13224" ht="16" x14ac:dyDescent="0.2"/>
    <row r="13225" ht="16" x14ac:dyDescent="0.2"/>
    <row r="13226" ht="16" x14ac:dyDescent="0.2"/>
    <row r="13227" ht="16" x14ac:dyDescent="0.2"/>
    <row r="13228" ht="16" x14ac:dyDescent="0.2"/>
    <row r="13229" ht="16" x14ac:dyDescent="0.2"/>
    <row r="13230" ht="16" x14ac:dyDescent="0.2"/>
    <row r="13231" ht="16" x14ac:dyDescent="0.2"/>
    <row r="13232" ht="16" x14ac:dyDescent="0.2"/>
    <row r="13233" ht="16" x14ac:dyDescent="0.2"/>
    <row r="13234" ht="16" x14ac:dyDescent="0.2"/>
    <row r="13235" ht="16" x14ac:dyDescent="0.2"/>
    <row r="13236" ht="16" x14ac:dyDescent="0.2"/>
    <row r="13237" ht="16" x14ac:dyDescent="0.2"/>
    <row r="13238" ht="16" x14ac:dyDescent="0.2"/>
    <row r="13239" ht="16" x14ac:dyDescent="0.2"/>
    <row r="13240" ht="16" x14ac:dyDescent="0.2"/>
    <row r="13241" ht="16" x14ac:dyDescent="0.2"/>
    <row r="13242" ht="16" x14ac:dyDescent="0.2"/>
    <row r="13243" ht="16" x14ac:dyDescent="0.2"/>
    <row r="13244" ht="16" x14ac:dyDescent="0.2"/>
    <row r="13245" ht="16" x14ac:dyDescent="0.2"/>
    <row r="13246" ht="16" x14ac:dyDescent="0.2"/>
    <row r="13247" ht="16" x14ac:dyDescent="0.2"/>
    <row r="13248" ht="16" x14ac:dyDescent="0.2"/>
    <row r="13249" ht="16" x14ac:dyDescent="0.2"/>
    <row r="13250" ht="16" x14ac:dyDescent="0.2"/>
    <row r="13251" ht="16" x14ac:dyDescent="0.2"/>
    <row r="13252" ht="16" x14ac:dyDescent="0.2"/>
    <row r="13253" ht="16" x14ac:dyDescent="0.2"/>
    <row r="13254" ht="16" x14ac:dyDescent="0.2"/>
    <row r="13255" ht="16" x14ac:dyDescent="0.2"/>
    <row r="13256" ht="16" x14ac:dyDescent="0.2"/>
    <row r="13257" ht="16" x14ac:dyDescent="0.2"/>
    <row r="13258" ht="16" x14ac:dyDescent="0.2"/>
    <row r="13259" ht="16" x14ac:dyDescent="0.2"/>
    <row r="13260" ht="16" x14ac:dyDescent="0.2"/>
    <row r="13261" ht="16" x14ac:dyDescent="0.2"/>
    <row r="13262" ht="16" x14ac:dyDescent="0.2"/>
    <row r="13263" ht="16" x14ac:dyDescent="0.2"/>
    <row r="13264" ht="16" x14ac:dyDescent="0.2"/>
    <row r="13265" ht="16" x14ac:dyDescent="0.2"/>
    <row r="13266" ht="16" x14ac:dyDescent="0.2"/>
    <row r="13267" ht="16" x14ac:dyDescent="0.2"/>
    <row r="13268" ht="16" x14ac:dyDescent="0.2"/>
    <row r="13269" ht="16" x14ac:dyDescent="0.2"/>
    <row r="13270" ht="16" x14ac:dyDescent="0.2"/>
    <row r="13271" ht="16" x14ac:dyDescent="0.2"/>
    <row r="13272" ht="16" x14ac:dyDescent="0.2"/>
    <row r="13273" ht="16" x14ac:dyDescent="0.2"/>
    <row r="13274" ht="16" x14ac:dyDescent="0.2"/>
    <row r="13275" ht="16" x14ac:dyDescent="0.2"/>
    <row r="13276" ht="16" x14ac:dyDescent="0.2"/>
    <row r="13277" ht="16" x14ac:dyDescent="0.2"/>
    <row r="13278" ht="16" x14ac:dyDescent="0.2"/>
    <row r="13279" ht="16" x14ac:dyDescent="0.2"/>
    <row r="13280" ht="16" x14ac:dyDescent="0.2"/>
    <row r="13281" ht="16" x14ac:dyDescent="0.2"/>
    <row r="13282" ht="16" x14ac:dyDescent="0.2"/>
    <row r="13283" ht="16" x14ac:dyDescent="0.2"/>
    <row r="13284" ht="16" x14ac:dyDescent="0.2"/>
    <row r="13285" ht="16" x14ac:dyDescent="0.2"/>
    <row r="13286" ht="16" x14ac:dyDescent="0.2"/>
    <row r="13287" ht="16" x14ac:dyDescent="0.2"/>
    <row r="13288" ht="16" x14ac:dyDescent="0.2"/>
    <row r="13289" ht="16" x14ac:dyDescent="0.2"/>
    <row r="13290" ht="16" x14ac:dyDescent="0.2"/>
    <row r="13291" ht="16" x14ac:dyDescent="0.2"/>
    <row r="13292" ht="16" x14ac:dyDescent="0.2"/>
    <row r="13293" ht="16" x14ac:dyDescent="0.2"/>
    <row r="13294" ht="16" x14ac:dyDescent="0.2"/>
    <row r="13295" ht="16" x14ac:dyDescent="0.2"/>
    <row r="13296" ht="16" x14ac:dyDescent="0.2"/>
    <row r="13297" ht="16" x14ac:dyDescent="0.2"/>
    <row r="13298" ht="16" x14ac:dyDescent="0.2"/>
    <row r="13299" ht="16" x14ac:dyDescent="0.2"/>
    <row r="13300" ht="16" x14ac:dyDescent="0.2"/>
    <row r="13301" ht="16" x14ac:dyDescent="0.2"/>
    <row r="13302" ht="16" x14ac:dyDescent="0.2"/>
    <row r="13303" ht="16" x14ac:dyDescent="0.2"/>
    <row r="13304" ht="16" x14ac:dyDescent="0.2"/>
    <row r="13305" ht="16" x14ac:dyDescent="0.2"/>
    <row r="13306" ht="16" x14ac:dyDescent="0.2"/>
    <row r="13307" ht="16" x14ac:dyDescent="0.2"/>
    <row r="13308" ht="16" x14ac:dyDescent="0.2"/>
    <row r="13309" ht="16" x14ac:dyDescent="0.2"/>
    <row r="13310" ht="16" x14ac:dyDescent="0.2"/>
    <row r="13311" ht="16" x14ac:dyDescent="0.2"/>
    <row r="13312" ht="16" x14ac:dyDescent="0.2"/>
    <row r="13313" ht="16" x14ac:dyDescent="0.2"/>
    <row r="13314" ht="16" x14ac:dyDescent="0.2"/>
    <row r="13315" ht="16" x14ac:dyDescent="0.2"/>
    <row r="13316" ht="16" x14ac:dyDescent="0.2"/>
    <row r="13317" ht="16" x14ac:dyDescent="0.2"/>
    <row r="13318" ht="16" x14ac:dyDescent="0.2"/>
    <row r="13319" ht="16" x14ac:dyDescent="0.2"/>
    <row r="13320" ht="16" x14ac:dyDescent="0.2"/>
    <row r="13321" ht="16" x14ac:dyDescent="0.2"/>
    <row r="13322" ht="16" x14ac:dyDescent="0.2"/>
    <row r="13323" ht="16" x14ac:dyDescent="0.2"/>
    <row r="13324" ht="16" x14ac:dyDescent="0.2"/>
    <row r="13325" ht="16" x14ac:dyDescent="0.2"/>
    <row r="13326" ht="16" x14ac:dyDescent="0.2"/>
    <row r="13327" ht="16" x14ac:dyDescent="0.2"/>
    <row r="13328" ht="16" x14ac:dyDescent="0.2"/>
    <row r="13329" ht="16" x14ac:dyDescent="0.2"/>
    <row r="13330" ht="16" x14ac:dyDescent="0.2"/>
    <row r="13331" ht="16" x14ac:dyDescent="0.2"/>
    <row r="13332" ht="16" x14ac:dyDescent="0.2"/>
    <row r="13333" ht="16" x14ac:dyDescent="0.2"/>
    <row r="13334" ht="16" x14ac:dyDescent="0.2"/>
    <row r="13335" ht="16" x14ac:dyDescent="0.2"/>
    <row r="13336" ht="16" x14ac:dyDescent="0.2"/>
    <row r="13337" ht="16" x14ac:dyDescent="0.2"/>
    <row r="13338" ht="16" x14ac:dyDescent="0.2"/>
    <row r="13339" ht="16" x14ac:dyDescent="0.2"/>
    <row r="13340" ht="16" x14ac:dyDescent="0.2"/>
    <row r="13341" ht="16" x14ac:dyDescent="0.2"/>
    <row r="13342" ht="16" x14ac:dyDescent="0.2"/>
    <row r="13343" ht="16" x14ac:dyDescent="0.2"/>
    <row r="13344" ht="16" x14ac:dyDescent="0.2"/>
    <row r="13345" ht="16" x14ac:dyDescent="0.2"/>
    <row r="13346" ht="16" x14ac:dyDescent="0.2"/>
    <row r="13347" ht="16" x14ac:dyDescent="0.2"/>
    <row r="13348" ht="16" x14ac:dyDescent="0.2"/>
    <row r="13349" ht="16" x14ac:dyDescent="0.2"/>
    <row r="13350" ht="16" x14ac:dyDescent="0.2"/>
    <row r="13351" ht="16" x14ac:dyDescent="0.2"/>
    <row r="13352" ht="16" x14ac:dyDescent="0.2"/>
    <row r="13353" ht="16" x14ac:dyDescent="0.2"/>
    <row r="13354" ht="16" x14ac:dyDescent="0.2"/>
    <row r="13355" ht="16" x14ac:dyDescent="0.2"/>
    <row r="13356" ht="16" x14ac:dyDescent="0.2"/>
    <row r="13357" ht="16" x14ac:dyDescent="0.2"/>
    <row r="13358" ht="16" x14ac:dyDescent="0.2"/>
    <row r="13359" ht="16" x14ac:dyDescent="0.2"/>
    <row r="13360" ht="16" x14ac:dyDescent="0.2"/>
    <row r="13361" ht="16" x14ac:dyDescent="0.2"/>
    <row r="13362" ht="16" x14ac:dyDescent="0.2"/>
    <row r="13363" ht="16" x14ac:dyDescent="0.2"/>
    <row r="13364" ht="16" x14ac:dyDescent="0.2"/>
    <row r="13365" ht="16" x14ac:dyDescent="0.2"/>
    <row r="13366" ht="16" x14ac:dyDescent="0.2"/>
    <row r="13367" ht="16" x14ac:dyDescent="0.2"/>
    <row r="13368" ht="16" x14ac:dyDescent="0.2"/>
    <row r="13369" ht="16" x14ac:dyDescent="0.2"/>
    <row r="13370" ht="16" x14ac:dyDescent="0.2"/>
    <row r="13371" ht="16" x14ac:dyDescent="0.2"/>
    <row r="13372" ht="16" x14ac:dyDescent="0.2"/>
    <row r="13373" ht="16" x14ac:dyDescent="0.2"/>
    <row r="13374" ht="16" x14ac:dyDescent="0.2"/>
    <row r="13375" ht="16" x14ac:dyDescent="0.2"/>
    <row r="13376" ht="16" x14ac:dyDescent="0.2"/>
    <row r="13377" ht="16" x14ac:dyDescent="0.2"/>
    <row r="13378" ht="16" x14ac:dyDescent="0.2"/>
    <row r="13379" ht="16" x14ac:dyDescent="0.2"/>
    <row r="13380" ht="16" x14ac:dyDescent="0.2"/>
    <row r="13381" ht="16" x14ac:dyDescent="0.2"/>
    <row r="13382" ht="16" x14ac:dyDescent="0.2"/>
    <row r="13383" ht="16" x14ac:dyDescent="0.2"/>
    <row r="13384" ht="16" x14ac:dyDescent="0.2"/>
    <row r="13385" ht="16" x14ac:dyDescent="0.2"/>
    <row r="13386" ht="16" x14ac:dyDescent="0.2"/>
    <row r="13387" ht="16" x14ac:dyDescent="0.2"/>
    <row r="13388" ht="16" x14ac:dyDescent="0.2"/>
    <row r="13389" ht="16" x14ac:dyDescent="0.2"/>
    <row r="13390" ht="16" x14ac:dyDescent="0.2"/>
    <row r="13391" ht="16" x14ac:dyDescent="0.2"/>
    <row r="13392" ht="16" x14ac:dyDescent="0.2"/>
    <row r="13393" ht="16" x14ac:dyDescent="0.2"/>
    <row r="13394" ht="16" x14ac:dyDescent="0.2"/>
    <row r="13395" ht="16" x14ac:dyDescent="0.2"/>
    <row r="13396" ht="16" x14ac:dyDescent="0.2"/>
    <row r="13397" ht="16" x14ac:dyDescent="0.2"/>
    <row r="13398" ht="16" x14ac:dyDescent="0.2"/>
    <row r="13399" ht="16" x14ac:dyDescent="0.2"/>
    <row r="13400" ht="16" x14ac:dyDescent="0.2"/>
    <row r="13401" ht="16" x14ac:dyDescent="0.2"/>
    <row r="13402" ht="16" x14ac:dyDescent="0.2"/>
    <row r="13403" ht="16" x14ac:dyDescent="0.2"/>
    <row r="13404" ht="16" x14ac:dyDescent="0.2"/>
    <row r="13405" ht="16" x14ac:dyDescent="0.2"/>
    <row r="13406" ht="16" x14ac:dyDescent="0.2"/>
    <row r="13407" ht="16" x14ac:dyDescent="0.2"/>
    <row r="13408" ht="16" x14ac:dyDescent="0.2"/>
    <row r="13409" ht="16" x14ac:dyDescent="0.2"/>
    <row r="13410" ht="16" x14ac:dyDescent="0.2"/>
    <row r="13411" ht="16" x14ac:dyDescent="0.2"/>
    <row r="13412" ht="16" x14ac:dyDescent="0.2"/>
    <row r="13413" ht="16" x14ac:dyDescent="0.2"/>
    <row r="13414" ht="16" x14ac:dyDescent="0.2"/>
    <row r="13415" ht="16" x14ac:dyDescent="0.2"/>
    <row r="13416" ht="16" x14ac:dyDescent="0.2"/>
    <row r="13417" ht="16" x14ac:dyDescent="0.2"/>
    <row r="13418" ht="16" x14ac:dyDescent="0.2"/>
    <row r="13419" ht="16" x14ac:dyDescent="0.2"/>
    <row r="13420" ht="16" x14ac:dyDescent="0.2"/>
    <row r="13421" ht="16" x14ac:dyDescent="0.2"/>
    <row r="13422" ht="16" x14ac:dyDescent="0.2"/>
    <row r="13423" ht="16" x14ac:dyDescent="0.2"/>
    <row r="13424" ht="16" x14ac:dyDescent="0.2"/>
    <row r="13425" ht="16" x14ac:dyDescent="0.2"/>
    <row r="13426" ht="16" x14ac:dyDescent="0.2"/>
    <row r="13427" ht="16" x14ac:dyDescent="0.2"/>
    <row r="13428" ht="16" x14ac:dyDescent="0.2"/>
    <row r="13429" ht="16" x14ac:dyDescent="0.2"/>
    <row r="13430" ht="16" x14ac:dyDescent="0.2"/>
    <row r="13431" ht="16" x14ac:dyDescent="0.2"/>
    <row r="13432" ht="16" x14ac:dyDescent="0.2"/>
    <row r="13433" ht="16" x14ac:dyDescent="0.2"/>
    <row r="13434" ht="16" x14ac:dyDescent="0.2"/>
    <row r="13435" ht="16" x14ac:dyDescent="0.2"/>
    <row r="13436" ht="16" x14ac:dyDescent="0.2"/>
    <row r="13437" ht="16" x14ac:dyDescent="0.2"/>
    <row r="13438" ht="16" x14ac:dyDescent="0.2"/>
    <row r="13439" ht="16" x14ac:dyDescent="0.2"/>
    <row r="13440" ht="16" x14ac:dyDescent="0.2"/>
    <row r="13441" ht="16" x14ac:dyDescent="0.2"/>
    <row r="13442" ht="16" x14ac:dyDescent="0.2"/>
    <row r="13443" ht="16" x14ac:dyDescent="0.2"/>
    <row r="13444" ht="16" x14ac:dyDescent="0.2"/>
    <row r="13445" ht="16" x14ac:dyDescent="0.2"/>
    <row r="13446" ht="16" x14ac:dyDescent="0.2"/>
    <row r="13447" ht="16" x14ac:dyDescent="0.2"/>
    <row r="13448" ht="16" x14ac:dyDescent="0.2"/>
    <row r="13449" ht="16" x14ac:dyDescent="0.2"/>
    <row r="13450" ht="16" x14ac:dyDescent="0.2"/>
    <row r="13451" ht="16" x14ac:dyDescent="0.2"/>
    <row r="13452" ht="16" x14ac:dyDescent="0.2"/>
    <row r="13453" ht="16" x14ac:dyDescent="0.2"/>
    <row r="13454" ht="16" x14ac:dyDescent="0.2"/>
    <row r="13455" ht="16" x14ac:dyDescent="0.2"/>
    <row r="13456" ht="16" x14ac:dyDescent="0.2"/>
    <row r="13457" ht="16" x14ac:dyDescent="0.2"/>
    <row r="13458" ht="16" x14ac:dyDescent="0.2"/>
    <row r="13459" ht="16" x14ac:dyDescent="0.2"/>
    <row r="13460" ht="16" x14ac:dyDescent="0.2"/>
    <row r="13461" ht="16" x14ac:dyDescent="0.2"/>
    <row r="13462" ht="16" x14ac:dyDescent="0.2"/>
    <row r="13463" ht="16" x14ac:dyDescent="0.2"/>
    <row r="13464" ht="16" x14ac:dyDescent="0.2"/>
    <row r="13465" ht="16" x14ac:dyDescent="0.2"/>
    <row r="13466" ht="16" x14ac:dyDescent="0.2"/>
    <row r="13467" ht="16" x14ac:dyDescent="0.2"/>
    <row r="13468" ht="16" x14ac:dyDescent="0.2"/>
    <row r="13469" ht="16" x14ac:dyDescent="0.2"/>
    <row r="13470" ht="16" x14ac:dyDescent="0.2"/>
    <row r="13471" ht="16" x14ac:dyDescent="0.2"/>
    <row r="13472" ht="16" x14ac:dyDescent="0.2"/>
    <row r="13473" ht="16" x14ac:dyDescent="0.2"/>
    <row r="13474" ht="16" x14ac:dyDescent="0.2"/>
    <row r="13475" ht="16" x14ac:dyDescent="0.2"/>
    <row r="13476" ht="16" x14ac:dyDescent="0.2"/>
    <row r="13477" ht="16" x14ac:dyDescent="0.2"/>
    <row r="13478" ht="16" x14ac:dyDescent="0.2"/>
    <row r="13479" ht="16" x14ac:dyDescent="0.2"/>
    <row r="13480" ht="16" x14ac:dyDescent="0.2"/>
    <row r="13481" ht="16" x14ac:dyDescent="0.2"/>
    <row r="13482" ht="16" x14ac:dyDescent="0.2"/>
    <row r="13483" ht="16" x14ac:dyDescent="0.2"/>
    <row r="13484" ht="16" x14ac:dyDescent="0.2"/>
    <row r="13485" ht="16" x14ac:dyDescent="0.2"/>
    <row r="13486" ht="16" x14ac:dyDescent="0.2"/>
    <row r="13487" ht="16" x14ac:dyDescent="0.2"/>
    <row r="13488" ht="16" x14ac:dyDescent="0.2"/>
    <row r="13489" ht="16" x14ac:dyDescent="0.2"/>
    <row r="13490" ht="16" x14ac:dyDescent="0.2"/>
    <row r="13491" ht="16" x14ac:dyDescent="0.2"/>
    <row r="13492" ht="16" x14ac:dyDescent="0.2"/>
    <row r="13493" ht="16" x14ac:dyDescent="0.2"/>
    <row r="13494" ht="16" x14ac:dyDescent="0.2"/>
    <row r="13495" ht="16" x14ac:dyDescent="0.2"/>
    <row r="13496" ht="16" x14ac:dyDescent="0.2"/>
    <row r="13497" ht="16" x14ac:dyDescent="0.2"/>
    <row r="13498" ht="16" x14ac:dyDescent="0.2"/>
    <row r="13499" ht="16" x14ac:dyDescent="0.2"/>
    <row r="13500" ht="16" x14ac:dyDescent="0.2"/>
    <row r="13501" ht="16" x14ac:dyDescent="0.2"/>
    <row r="13502" ht="16" x14ac:dyDescent="0.2"/>
    <row r="13503" ht="16" x14ac:dyDescent="0.2"/>
    <row r="13504" ht="16" x14ac:dyDescent="0.2"/>
    <row r="13505" ht="16" x14ac:dyDescent="0.2"/>
    <row r="13506" ht="16" x14ac:dyDescent="0.2"/>
    <row r="13507" ht="16" x14ac:dyDescent="0.2"/>
    <row r="13508" ht="16" x14ac:dyDescent="0.2"/>
    <row r="13509" ht="16" x14ac:dyDescent="0.2"/>
    <row r="13510" ht="16" x14ac:dyDescent="0.2"/>
    <row r="13511" ht="16" x14ac:dyDescent="0.2"/>
    <row r="13512" ht="16" x14ac:dyDescent="0.2"/>
    <row r="13513" ht="16" x14ac:dyDescent="0.2"/>
    <row r="13514" ht="16" x14ac:dyDescent="0.2"/>
    <row r="13515" ht="16" x14ac:dyDescent="0.2"/>
    <row r="13516" ht="16" x14ac:dyDescent="0.2"/>
    <row r="13517" ht="16" x14ac:dyDescent="0.2"/>
    <row r="13518" ht="16" x14ac:dyDescent="0.2"/>
    <row r="13519" ht="16" x14ac:dyDescent="0.2"/>
    <row r="13520" ht="16" x14ac:dyDescent="0.2"/>
    <row r="13521" ht="16" x14ac:dyDescent="0.2"/>
    <row r="13522" ht="16" x14ac:dyDescent="0.2"/>
    <row r="13523" ht="16" x14ac:dyDescent="0.2"/>
    <row r="13524" ht="16" x14ac:dyDescent="0.2"/>
    <row r="13525" ht="16" x14ac:dyDescent="0.2"/>
    <row r="13526" ht="16" x14ac:dyDescent="0.2"/>
    <row r="13527" ht="16" x14ac:dyDescent="0.2"/>
    <row r="13528" ht="16" x14ac:dyDescent="0.2"/>
    <row r="13529" ht="16" x14ac:dyDescent="0.2"/>
    <row r="13530" ht="16" x14ac:dyDescent="0.2"/>
    <row r="13531" ht="16" x14ac:dyDescent="0.2"/>
    <row r="13532" ht="16" x14ac:dyDescent="0.2"/>
    <row r="13533" ht="16" x14ac:dyDescent="0.2"/>
    <row r="13534" ht="16" x14ac:dyDescent="0.2"/>
    <row r="13535" ht="16" x14ac:dyDescent="0.2"/>
    <row r="13536" ht="16" x14ac:dyDescent="0.2"/>
    <row r="13537" ht="16" x14ac:dyDescent="0.2"/>
    <row r="13538" ht="16" x14ac:dyDescent="0.2"/>
    <row r="13539" ht="16" x14ac:dyDescent="0.2"/>
    <row r="13540" ht="16" x14ac:dyDescent="0.2"/>
    <row r="13541" ht="16" x14ac:dyDescent="0.2"/>
    <row r="13542" ht="16" x14ac:dyDescent="0.2"/>
    <row r="13543" ht="16" x14ac:dyDescent="0.2"/>
    <row r="13544" ht="16" x14ac:dyDescent="0.2"/>
    <row r="13545" ht="16" x14ac:dyDescent="0.2"/>
    <row r="13546" ht="16" x14ac:dyDescent="0.2"/>
    <row r="13547" ht="16" x14ac:dyDescent="0.2"/>
    <row r="13548" ht="16" x14ac:dyDescent="0.2"/>
    <row r="13549" ht="16" x14ac:dyDescent="0.2"/>
    <row r="13550" ht="16" x14ac:dyDescent="0.2"/>
    <row r="13551" ht="16" x14ac:dyDescent="0.2"/>
    <row r="13552" ht="16" x14ac:dyDescent="0.2"/>
    <row r="13553" ht="16" x14ac:dyDescent="0.2"/>
    <row r="13554" ht="16" x14ac:dyDescent="0.2"/>
    <row r="13555" ht="16" x14ac:dyDescent="0.2"/>
    <row r="13556" ht="16" x14ac:dyDescent="0.2"/>
    <row r="13557" ht="16" x14ac:dyDescent="0.2"/>
    <row r="13558" ht="16" x14ac:dyDescent="0.2"/>
    <row r="13559" ht="16" x14ac:dyDescent="0.2"/>
    <row r="13560" ht="16" x14ac:dyDescent="0.2"/>
    <row r="13561" ht="16" x14ac:dyDescent="0.2"/>
    <row r="13562" ht="16" x14ac:dyDescent="0.2"/>
    <row r="13563" ht="16" x14ac:dyDescent="0.2"/>
    <row r="13564" ht="16" x14ac:dyDescent="0.2"/>
    <row r="13565" ht="16" x14ac:dyDescent="0.2"/>
    <row r="13566" ht="16" x14ac:dyDescent="0.2"/>
    <row r="13567" ht="16" x14ac:dyDescent="0.2"/>
    <row r="13568" ht="16" x14ac:dyDescent="0.2"/>
    <row r="13569" ht="16" x14ac:dyDescent="0.2"/>
    <row r="13570" ht="16" x14ac:dyDescent="0.2"/>
    <row r="13571" ht="16" x14ac:dyDescent="0.2"/>
    <row r="13572" ht="16" x14ac:dyDescent="0.2"/>
    <row r="13573" ht="16" x14ac:dyDescent="0.2"/>
    <row r="13574" ht="16" x14ac:dyDescent="0.2"/>
    <row r="13575" ht="16" x14ac:dyDescent="0.2"/>
    <row r="13576" ht="16" x14ac:dyDescent="0.2"/>
    <row r="13577" ht="16" x14ac:dyDescent="0.2"/>
    <row r="13578" ht="16" x14ac:dyDescent="0.2"/>
    <row r="13579" ht="16" x14ac:dyDescent="0.2"/>
    <row r="13580" ht="16" x14ac:dyDescent="0.2"/>
    <row r="13581" ht="16" x14ac:dyDescent="0.2"/>
    <row r="13582" ht="16" x14ac:dyDescent="0.2"/>
    <row r="13583" ht="16" x14ac:dyDescent="0.2"/>
    <row r="13584" ht="16" x14ac:dyDescent="0.2"/>
    <row r="13585" ht="16" x14ac:dyDescent="0.2"/>
    <row r="13586" ht="16" x14ac:dyDescent="0.2"/>
    <row r="13587" ht="16" x14ac:dyDescent="0.2"/>
    <row r="13588" ht="16" x14ac:dyDescent="0.2"/>
    <row r="13589" ht="16" x14ac:dyDescent="0.2"/>
    <row r="13590" ht="16" x14ac:dyDescent="0.2"/>
    <row r="13591" ht="16" x14ac:dyDescent="0.2"/>
    <row r="13592" ht="16" x14ac:dyDescent="0.2"/>
    <row r="13593" ht="16" x14ac:dyDescent="0.2"/>
    <row r="13594" ht="16" x14ac:dyDescent="0.2"/>
    <row r="13595" ht="16" x14ac:dyDescent="0.2"/>
    <row r="13596" ht="16" x14ac:dyDescent="0.2"/>
    <row r="13597" ht="16" x14ac:dyDescent="0.2"/>
    <row r="13598" ht="16" x14ac:dyDescent="0.2"/>
    <row r="13599" ht="16" x14ac:dyDescent="0.2"/>
    <row r="13600" ht="16" x14ac:dyDescent="0.2"/>
    <row r="13601" ht="16" x14ac:dyDescent="0.2"/>
    <row r="13602" ht="16" x14ac:dyDescent="0.2"/>
    <row r="13603" ht="16" x14ac:dyDescent="0.2"/>
    <row r="13604" ht="16" x14ac:dyDescent="0.2"/>
    <row r="13605" ht="16" x14ac:dyDescent="0.2"/>
    <row r="13606" ht="16" x14ac:dyDescent="0.2"/>
    <row r="13607" ht="16" x14ac:dyDescent="0.2"/>
    <row r="13608" ht="16" x14ac:dyDescent="0.2"/>
    <row r="13609" ht="16" x14ac:dyDescent="0.2"/>
    <row r="13610" ht="16" x14ac:dyDescent="0.2"/>
    <row r="13611" ht="16" x14ac:dyDescent="0.2"/>
    <row r="13612" ht="16" x14ac:dyDescent="0.2"/>
    <row r="13613" ht="16" x14ac:dyDescent="0.2"/>
    <row r="13614" ht="16" x14ac:dyDescent="0.2"/>
    <row r="13615" ht="16" x14ac:dyDescent="0.2"/>
    <row r="13616" ht="16" x14ac:dyDescent="0.2"/>
    <row r="13617" ht="16" x14ac:dyDescent="0.2"/>
    <row r="13618" ht="16" x14ac:dyDescent="0.2"/>
    <row r="13619" ht="16" x14ac:dyDescent="0.2"/>
    <row r="13620" ht="16" x14ac:dyDescent="0.2"/>
    <row r="13621" ht="16" x14ac:dyDescent="0.2"/>
    <row r="13622" ht="16" x14ac:dyDescent="0.2"/>
    <row r="13623" ht="16" x14ac:dyDescent="0.2"/>
    <row r="13624" ht="16" x14ac:dyDescent="0.2"/>
    <row r="13625" ht="16" x14ac:dyDescent="0.2"/>
    <row r="13626" ht="16" x14ac:dyDescent="0.2"/>
    <row r="13627" ht="16" x14ac:dyDescent="0.2"/>
    <row r="13628" ht="16" x14ac:dyDescent="0.2"/>
    <row r="13629" ht="16" x14ac:dyDescent="0.2"/>
    <row r="13630" ht="16" x14ac:dyDescent="0.2"/>
    <row r="13631" ht="16" x14ac:dyDescent="0.2"/>
    <row r="13632" ht="16" x14ac:dyDescent="0.2"/>
    <row r="13633" ht="16" x14ac:dyDescent="0.2"/>
    <row r="13634" ht="16" x14ac:dyDescent="0.2"/>
    <row r="13635" ht="16" x14ac:dyDescent="0.2"/>
    <row r="13636" ht="16" x14ac:dyDescent="0.2"/>
    <row r="13637" ht="16" x14ac:dyDescent="0.2"/>
    <row r="13638" ht="16" x14ac:dyDescent="0.2"/>
    <row r="13639" ht="16" x14ac:dyDescent="0.2"/>
    <row r="13640" ht="16" x14ac:dyDescent="0.2"/>
    <row r="13641" ht="16" x14ac:dyDescent="0.2"/>
    <row r="13642" ht="16" x14ac:dyDescent="0.2"/>
    <row r="13643" ht="16" x14ac:dyDescent="0.2"/>
    <row r="13644" ht="16" x14ac:dyDescent="0.2"/>
    <row r="13645" ht="16" x14ac:dyDescent="0.2"/>
    <row r="13646" ht="16" x14ac:dyDescent="0.2"/>
    <row r="13647" ht="16" x14ac:dyDescent="0.2"/>
    <row r="13648" ht="16" x14ac:dyDescent="0.2"/>
    <row r="13649" ht="16" x14ac:dyDescent="0.2"/>
    <row r="13650" ht="16" x14ac:dyDescent="0.2"/>
    <row r="13651" ht="16" x14ac:dyDescent="0.2"/>
    <row r="13652" ht="16" x14ac:dyDescent="0.2"/>
    <row r="13653" ht="16" x14ac:dyDescent="0.2"/>
    <row r="13654" ht="16" x14ac:dyDescent="0.2"/>
    <row r="13655" ht="16" x14ac:dyDescent="0.2"/>
    <row r="13656" ht="16" x14ac:dyDescent="0.2"/>
    <row r="13657" ht="16" x14ac:dyDescent="0.2"/>
    <row r="13658" ht="16" x14ac:dyDescent="0.2"/>
    <row r="13659" ht="16" x14ac:dyDescent="0.2"/>
    <row r="13660" ht="16" x14ac:dyDescent="0.2"/>
    <row r="13661" ht="16" x14ac:dyDescent="0.2"/>
    <row r="13662" ht="16" x14ac:dyDescent="0.2"/>
    <row r="13663" ht="16" x14ac:dyDescent="0.2"/>
    <row r="13664" ht="16" x14ac:dyDescent="0.2"/>
    <row r="13665" ht="16" x14ac:dyDescent="0.2"/>
    <row r="13666" ht="16" x14ac:dyDescent="0.2"/>
    <row r="13667" ht="16" x14ac:dyDescent="0.2"/>
    <row r="13668" ht="16" x14ac:dyDescent="0.2"/>
    <row r="13669" ht="16" x14ac:dyDescent="0.2"/>
    <row r="13670" ht="16" x14ac:dyDescent="0.2"/>
    <row r="13671" ht="16" x14ac:dyDescent="0.2"/>
    <row r="13672" ht="16" x14ac:dyDescent="0.2"/>
    <row r="13673" ht="16" x14ac:dyDescent="0.2"/>
    <row r="13674" ht="16" x14ac:dyDescent="0.2"/>
    <row r="13675" ht="16" x14ac:dyDescent="0.2"/>
    <row r="13676" ht="16" x14ac:dyDescent="0.2"/>
    <row r="13677" ht="16" x14ac:dyDescent="0.2"/>
    <row r="13678" ht="16" x14ac:dyDescent="0.2"/>
    <row r="13679" ht="16" x14ac:dyDescent="0.2"/>
    <row r="13680" ht="16" x14ac:dyDescent="0.2"/>
    <row r="13681" ht="16" x14ac:dyDescent="0.2"/>
    <row r="13682" ht="16" x14ac:dyDescent="0.2"/>
    <row r="13683" ht="16" x14ac:dyDescent="0.2"/>
    <row r="13684" ht="16" x14ac:dyDescent="0.2"/>
    <row r="13685" ht="16" x14ac:dyDescent="0.2"/>
    <row r="13686" ht="16" x14ac:dyDescent="0.2"/>
    <row r="13687" ht="16" x14ac:dyDescent="0.2"/>
    <row r="13688" ht="16" x14ac:dyDescent="0.2"/>
    <row r="13689" ht="16" x14ac:dyDescent="0.2"/>
    <row r="13690" ht="16" x14ac:dyDescent="0.2"/>
    <row r="13691" ht="16" x14ac:dyDescent="0.2"/>
    <row r="13692" ht="16" x14ac:dyDescent="0.2"/>
    <row r="13693" ht="16" x14ac:dyDescent="0.2"/>
    <row r="13694" ht="16" x14ac:dyDescent="0.2"/>
    <row r="13695" ht="16" x14ac:dyDescent="0.2"/>
    <row r="13696" ht="16" x14ac:dyDescent="0.2"/>
    <row r="13697" ht="16" x14ac:dyDescent="0.2"/>
    <row r="13698" ht="16" x14ac:dyDescent="0.2"/>
    <row r="13699" ht="16" x14ac:dyDescent="0.2"/>
    <row r="13700" ht="16" x14ac:dyDescent="0.2"/>
    <row r="13701" ht="16" x14ac:dyDescent="0.2"/>
    <row r="13702" ht="16" x14ac:dyDescent="0.2"/>
    <row r="13703" ht="16" x14ac:dyDescent="0.2"/>
    <row r="13704" ht="16" x14ac:dyDescent="0.2"/>
    <row r="13705" ht="16" x14ac:dyDescent="0.2"/>
    <row r="13706" ht="16" x14ac:dyDescent="0.2"/>
    <row r="13707" ht="16" x14ac:dyDescent="0.2"/>
    <row r="13708" ht="16" x14ac:dyDescent="0.2"/>
    <row r="13709" ht="16" x14ac:dyDescent="0.2"/>
    <row r="13710" ht="16" x14ac:dyDescent="0.2"/>
    <row r="13711" ht="16" x14ac:dyDescent="0.2"/>
    <row r="13712" ht="16" x14ac:dyDescent="0.2"/>
    <row r="13713" ht="16" x14ac:dyDescent="0.2"/>
    <row r="13714" ht="16" x14ac:dyDescent="0.2"/>
    <row r="13715" ht="16" x14ac:dyDescent="0.2"/>
    <row r="13716" ht="16" x14ac:dyDescent="0.2"/>
    <row r="13717" ht="16" x14ac:dyDescent="0.2"/>
    <row r="13718" ht="16" x14ac:dyDescent="0.2"/>
    <row r="13719" ht="16" x14ac:dyDescent="0.2"/>
    <row r="13720" ht="16" x14ac:dyDescent="0.2"/>
    <row r="13721" ht="16" x14ac:dyDescent="0.2"/>
    <row r="13722" ht="16" x14ac:dyDescent="0.2"/>
    <row r="13723" ht="16" x14ac:dyDescent="0.2"/>
    <row r="13724" ht="16" x14ac:dyDescent="0.2"/>
    <row r="13725" ht="16" x14ac:dyDescent="0.2"/>
    <row r="13726" ht="16" x14ac:dyDescent="0.2"/>
    <row r="13727" ht="16" x14ac:dyDescent="0.2"/>
    <row r="13728" ht="16" x14ac:dyDescent="0.2"/>
    <row r="13729" ht="16" x14ac:dyDescent="0.2"/>
    <row r="13730" ht="16" x14ac:dyDescent="0.2"/>
    <row r="13731" ht="16" x14ac:dyDescent="0.2"/>
    <row r="13732" ht="16" x14ac:dyDescent="0.2"/>
    <row r="13733" ht="16" x14ac:dyDescent="0.2"/>
    <row r="13734" ht="16" x14ac:dyDescent="0.2"/>
    <row r="13735" ht="16" x14ac:dyDescent="0.2"/>
    <row r="13736" ht="16" x14ac:dyDescent="0.2"/>
    <row r="13737" ht="16" x14ac:dyDescent="0.2"/>
    <row r="13738" ht="16" x14ac:dyDescent="0.2"/>
    <row r="13739" ht="16" x14ac:dyDescent="0.2"/>
    <row r="13740" ht="16" x14ac:dyDescent="0.2"/>
    <row r="13741" ht="16" x14ac:dyDescent="0.2"/>
    <row r="13742" ht="16" x14ac:dyDescent="0.2"/>
    <row r="13743" ht="16" x14ac:dyDescent="0.2"/>
    <row r="13744" ht="16" x14ac:dyDescent="0.2"/>
    <row r="13745" ht="16" x14ac:dyDescent="0.2"/>
    <row r="13746" ht="16" x14ac:dyDescent="0.2"/>
    <row r="13747" ht="16" x14ac:dyDescent="0.2"/>
    <row r="13748" ht="16" x14ac:dyDescent="0.2"/>
    <row r="13749" ht="16" x14ac:dyDescent="0.2"/>
    <row r="13750" ht="16" x14ac:dyDescent="0.2"/>
    <row r="13751" ht="16" x14ac:dyDescent="0.2"/>
    <row r="13752" ht="16" x14ac:dyDescent="0.2"/>
    <row r="13753" ht="16" x14ac:dyDescent="0.2"/>
    <row r="13754" ht="16" x14ac:dyDescent="0.2"/>
    <row r="13755" ht="16" x14ac:dyDescent="0.2"/>
    <row r="13756" ht="16" x14ac:dyDescent="0.2"/>
    <row r="13757" ht="16" x14ac:dyDescent="0.2"/>
    <row r="13758" ht="16" x14ac:dyDescent="0.2"/>
    <row r="13759" ht="16" x14ac:dyDescent="0.2"/>
    <row r="13760" ht="16" x14ac:dyDescent="0.2"/>
    <row r="13761" ht="16" x14ac:dyDescent="0.2"/>
    <row r="13762" ht="16" x14ac:dyDescent="0.2"/>
    <row r="13763" ht="16" x14ac:dyDescent="0.2"/>
    <row r="13764" ht="16" x14ac:dyDescent="0.2"/>
    <row r="13765" ht="16" x14ac:dyDescent="0.2"/>
    <row r="13766" ht="16" x14ac:dyDescent="0.2"/>
    <row r="13767" ht="16" x14ac:dyDescent="0.2"/>
    <row r="13768" ht="16" x14ac:dyDescent="0.2"/>
    <row r="13769" ht="16" x14ac:dyDescent="0.2"/>
    <row r="13770" ht="16" x14ac:dyDescent="0.2"/>
    <row r="13771" ht="16" x14ac:dyDescent="0.2"/>
    <row r="13772" ht="16" x14ac:dyDescent="0.2"/>
    <row r="13773" ht="16" x14ac:dyDescent="0.2"/>
    <row r="13774" ht="16" x14ac:dyDescent="0.2"/>
    <row r="13775" ht="16" x14ac:dyDescent="0.2"/>
    <row r="13776" ht="16" x14ac:dyDescent="0.2"/>
    <row r="13777" ht="16" x14ac:dyDescent="0.2"/>
    <row r="13778" ht="16" x14ac:dyDescent="0.2"/>
    <row r="13779" ht="16" x14ac:dyDescent="0.2"/>
    <row r="13780" ht="16" x14ac:dyDescent="0.2"/>
    <row r="13781" ht="16" x14ac:dyDescent="0.2"/>
    <row r="13782" ht="16" x14ac:dyDescent="0.2"/>
    <row r="13783" ht="16" x14ac:dyDescent="0.2"/>
    <row r="13784" ht="16" x14ac:dyDescent="0.2"/>
    <row r="13785" ht="16" x14ac:dyDescent="0.2"/>
    <row r="13786" ht="16" x14ac:dyDescent="0.2"/>
    <row r="13787" ht="16" x14ac:dyDescent="0.2"/>
    <row r="13788" ht="16" x14ac:dyDescent="0.2"/>
    <row r="13789" ht="16" x14ac:dyDescent="0.2"/>
    <row r="13790" ht="16" x14ac:dyDescent="0.2"/>
    <row r="13791" ht="16" x14ac:dyDescent="0.2"/>
    <row r="13792" ht="16" x14ac:dyDescent="0.2"/>
    <row r="13793" ht="16" x14ac:dyDescent="0.2"/>
    <row r="13794" ht="16" x14ac:dyDescent="0.2"/>
    <row r="13795" ht="16" x14ac:dyDescent="0.2"/>
    <row r="13796" ht="16" x14ac:dyDescent="0.2"/>
    <row r="13797" ht="16" x14ac:dyDescent="0.2"/>
    <row r="13798" ht="16" x14ac:dyDescent="0.2"/>
    <row r="13799" ht="16" x14ac:dyDescent="0.2"/>
    <row r="13800" ht="16" x14ac:dyDescent="0.2"/>
    <row r="13801" ht="16" x14ac:dyDescent="0.2"/>
    <row r="13802" ht="16" x14ac:dyDescent="0.2"/>
    <row r="13803" ht="16" x14ac:dyDescent="0.2"/>
    <row r="13804" ht="16" x14ac:dyDescent="0.2"/>
    <row r="13805" ht="16" x14ac:dyDescent="0.2"/>
    <row r="13806" ht="16" x14ac:dyDescent="0.2"/>
    <row r="13807" ht="16" x14ac:dyDescent="0.2"/>
    <row r="13808" ht="16" x14ac:dyDescent="0.2"/>
    <row r="13809" ht="16" x14ac:dyDescent="0.2"/>
    <row r="13810" ht="16" x14ac:dyDescent="0.2"/>
    <row r="13811" ht="16" x14ac:dyDescent="0.2"/>
    <row r="13812" ht="16" x14ac:dyDescent="0.2"/>
    <row r="13813" ht="16" x14ac:dyDescent="0.2"/>
    <row r="13814" ht="16" x14ac:dyDescent="0.2"/>
    <row r="13815" ht="16" x14ac:dyDescent="0.2"/>
    <row r="13816" ht="16" x14ac:dyDescent="0.2"/>
    <row r="13817" ht="16" x14ac:dyDescent="0.2"/>
    <row r="13818" ht="16" x14ac:dyDescent="0.2"/>
    <row r="13819" ht="16" x14ac:dyDescent="0.2"/>
    <row r="13820" ht="16" x14ac:dyDescent="0.2"/>
    <row r="13821" ht="16" x14ac:dyDescent="0.2"/>
    <row r="13822" ht="16" x14ac:dyDescent="0.2"/>
    <row r="13823" ht="16" x14ac:dyDescent="0.2"/>
    <row r="13824" ht="16" x14ac:dyDescent="0.2"/>
    <row r="13825" ht="16" x14ac:dyDescent="0.2"/>
    <row r="13826" ht="16" x14ac:dyDescent="0.2"/>
    <row r="13827" ht="16" x14ac:dyDescent="0.2"/>
    <row r="13828" ht="16" x14ac:dyDescent="0.2"/>
    <row r="13829" ht="16" x14ac:dyDescent="0.2"/>
    <row r="13830" ht="16" x14ac:dyDescent="0.2"/>
    <row r="13831" ht="16" x14ac:dyDescent="0.2"/>
    <row r="13832" ht="16" x14ac:dyDescent="0.2"/>
    <row r="13833" ht="16" x14ac:dyDescent="0.2"/>
    <row r="13834" ht="16" x14ac:dyDescent="0.2"/>
    <row r="13835" ht="16" x14ac:dyDescent="0.2"/>
    <row r="13836" ht="16" x14ac:dyDescent="0.2"/>
    <row r="13837" ht="16" x14ac:dyDescent="0.2"/>
    <row r="13838" ht="16" x14ac:dyDescent="0.2"/>
    <row r="13839" ht="16" x14ac:dyDescent="0.2"/>
    <row r="13840" ht="16" x14ac:dyDescent="0.2"/>
    <row r="13841" ht="16" x14ac:dyDescent="0.2"/>
    <row r="13842" ht="16" x14ac:dyDescent="0.2"/>
    <row r="13843" ht="16" x14ac:dyDescent="0.2"/>
    <row r="13844" ht="16" x14ac:dyDescent="0.2"/>
    <row r="13845" ht="16" x14ac:dyDescent="0.2"/>
    <row r="13846" ht="16" x14ac:dyDescent="0.2"/>
    <row r="13847" ht="16" x14ac:dyDescent="0.2"/>
    <row r="13848" ht="16" x14ac:dyDescent="0.2"/>
    <row r="13849" ht="16" x14ac:dyDescent="0.2"/>
    <row r="13850" ht="16" x14ac:dyDescent="0.2"/>
    <row r="13851" ht="16" x14ac:dyDescent="0.2"/>
    <row r="13852" ht="16" x14ac:dyDescent="0.2"/>
    <row r="13853" ht="16" x14ac:dyDescent="0.2"/>
    <row r="13854" ht="16" x14ac:dyDescent="0.2"/>
    <row r="13855" ht="16" x14ac:dyDescent="0.2"/>
    <row r="13856" ht="16" x14ac:dyDescent="0.2"/>
    <row r="13857" ht="16" x14ac:dyDescent="0.2"/>
    <row r="13858" ht="16" x14ac:dyDescent="0.2"/>
    <row r="13859" ht="16" x14ac:dyDescent="0.2"/>
    <row r="13860" ht="16" x14ac:dyDescent="0.2"/>
    <row r="13861" ht="16" x14ac:dyDescent="0.2"/>
    <row r="13862" ht="16" x14ac:dyDescent="0.2"/>
    <row r="13863" ht="16" x14ac:dyDescent="0.2"/>
    <row r="13864" ht="16" x14ac:dyDescent="0.2"/>
    <row r="13865" ht="16" x14ac:dyDescent="0.2"/>
    <row r="13866" ht="16" x14ac:dyDescent="0.2"/>
    <row r="13867" ht="16" x14ac:dyDescent="0.2"/>
    <row r="13868" ht="16" x14ac:dyDescent="0.2"/>
    <row r="13869" ht="16" x14ac:dyDescent="0.2"/>
    <row r="13870" ht="16" x14ac:dyDescent="0.2"/>
    <row r="13871" ht="16" x14ac:dyDescent="0.2"/>
    <row r="13872" ht="16" x14ac:dyDescent="0.2"/>
    <row r="13873" ht="16" x14ac:dyDescent="0.2"/>
    <row r="13874" ht="16" x14ac:dyDescent="0.2"/>
    <row r="13875" ht="16" x14ac:dyDescent="0.2"/>
    <row r="13876" ht="16" x14ac:dyDescent="0.2"/>
    <row r="13877" ht="16" x14ac:dyDescent="0.2"/>
    <row r="13878" ht="16" x14ac:dyDescent="0.2"/>
    <row r="13879" ht="16" x14ac:dyDescent="0.2"/>
    <row r="13880" ht="16" x14ac:dyDescent="0.2"/>
    <row r="13881" ht="16" x14ac:dyDescent="0.2"/>
    <row r="13882" ht="16" x14ac:dyDescent="0.2"/>
    <row r="13883" ht="16" x14ac:dyDescent="0.2"/>
    <row r="13884" ht="16" x14ac:dyDescent="0.2"/>
    <row r="13885" ht="16" x14ac:dyDescent="0.2"/>
    <row r="13886" ht="16" x14ac:dyDescent="0.2"/>
    <row r="13887" ht="16" x14ac:dyDescent="0.2"/>
    <row r="13888" ht="16" x14ac:dyDescent="0.2"/>
    <row r="13889" ht="16" x14ac:dyDescent="0.2"/>
    <row r="13890" ht="16" x14ac:dyDescent="0.2"/>
    <row r="13891" ht="16" x14ac:dyDescent="0.2"/>
    <row r="13892" ht="16" x14ac:dyDescent="0.2"/>
    <row r="13893" ht="16" x14ac:dyDescent="0.2"/>
    <row r="13894" ht="16" x14ac:dyDescent="0.2"/>
    <row r="13895" ht="16" x14ac:dyDescent="0.2"/>
    <row r="13896" ht="16" x14ac:dyDescent="0.2"/>
    <row r="13897" ht="16" x14ac:dyDescent="0.2"/>
    <row r="13898" ht="16" x14ac:dyDescent="0.2"/>
    <row r="13899" ht="16" x14ac:dyDescent="0.2"/>
    <row r="13900" ht="16" x14ac:dyDescent="0.2"/>
    <row r="13901" ht="16" x14ac:dyDescent="0.2"/>
    <row r="13902" ht="16" x14ac:dyDescent="0.2"/>
    <row r="13903" ht="16" x14ac:dyDescent="0.2"/>
    <row r="13904" ht="16" x14ac:dyDescent="0.2"/>
    <row r="13905" ht="16" x14ac:dyDescent="0.2"/>
    <row r="13906" ht="16" x14ac:dyDescent="0.2"/>
    <row r="13907" ht="16" x14ac:dyDescent="0.2"/>
    <row r="13908" ht="16" x14ac:dyDescent="0.2"/>
    <row r="13909" ht="16" x14ac:dyDescent="0.2"/>
    <row r="13910" ht="16" x14ac:dyDescent="0.2"/>
    <row r="13911" ht="16" x14ac:dyDescent="0.2"/>
    <row r="13912" ht="16" x14ac:dyDescent="0.2"/>
    <row r="13913" ht="16" x14ac:dyDescent="0.2"/>
    <row r="13914" ht="16" x14ac:dyDescent="0.2"/>
    <row r="13915" ht="16" x14ac:dyDescent="0.2"/>
    <row r="13916" ht="16" x14ac:dyDescent="0.2"/>
    <row r="13917" ht="16" x14ac:dyDescent="0.2"/>
    <row r="13918" ht="16" x14ac:dyDescent="0.2"/>
    <row r="13919" ht="16" x14ac:dyDescent="0.2"/>
    <row r="13920" ht="16" x14ac:dyDescent="0.2"/>
    <row r="13921" ht="16" x14ac:dyDescent="0.2"/>
    <row r="13922" ht="16" x14ac:dyDescent="0.2"/>
    <row r="13923" ht="16" x14ac:dyDescent="0.2"/>
    <row r="13924" ht="16" x14ac:dyDescent="0.2"/>
    <row r="13925" ht="16" x14ac:dyDescent="0.2"/>
    <row r="13926" ht="16" x14ac:dyDescent="0.2"/>
    <row r="13927" ht="16" x14ac:dyDescent="0.2"/>
    <row r="13928" ht="16" x14ac:dyDescent="0.2"/>
    <row r="13929" ht="16" x14ac:dyDescent="0.2"/>
    <row r="13930" ht="16" x14ac:dyDescent="0.2"/>
    <row r="13931" ht="16" x14ac:dyDescent="0.2"/>
    <row r="13932" ht="16" x14ac:dyDescent="0.2"/>
    <row r="13933" ht="16" x14ac:dyDescent="0.2"/>
    <row r="13934" ht="16" x14ac:dyDescent="0.2"/>
    <row r="13935" ht="16" x14ac:dyDescent="0.2"/>
    <row r="13936" ht="16" x14ac:dyDescent="0.2"/>
    <row r="13937" ht="16" x14ac:dyDescent="0.2"/>
    <row r="13938" ht="16" x14ac:dyDescent="0.2"/>
    <row r="13939" ht="16" x14ac:dyDescent="0.2"/>
    <row r="13940" ht="16" x14ac:dyDescent="0.2"/>
    <row r="13941" ht="16" x14ac:dyDescent="0.2"/>
    <row r="13942" ht="16" x14ac:dyDescent="0.2"/>
    <row r="13943" ht="16" x14ac:dyDescent="0.2"/>
    <row r="13944" ht="16" x14ac:dyDescent="0.2"/>
    <row r="13945" ht="16" x14ac:dyDescent="0.2"/>
    <row r="13946" ht="16" x14ac:dyDescent="0.2"/>
    <row r="13947" ht="16" x14ac:dyDescent="0.2"/>
    <row r="13948" ht="16" x14ac:dyDescent="0.2"/>
    <row r="13949" ht="16" x14ac:dyDescent="0.2"/>
    <row r="13950" ht="16" x14ac:dyDescent="0.2"/>
    <row r="13951" ht="16" x14ac:dyDescent="0.2"/>
    <row r="13952" ht="16" x14ac:dyDescent="0.2"/>
    <row r="13953" ht="16" x14ac:dyDescent="0.2"/>
    <row r="13954" ht="16" x14ac:dyDescent="0.2"/>
    <row r="13955" ht="16" x14ac:dyDescent="0.2"/>
    <row r="13956" ht="16" x14ac:dyDescent="0.2"/>
    <row r="13957" ht="16" x14ac:dyDescent="0.2"/>
    <row r="13958" ht="16" x14ac:dyDescent="0.2"/>
    <row r="13959" ht="16" x14ac:dyDescent="0.2"/>
    <row r="13960" ht="16" x14ac:dyDescent="0.2"/>
    <row r="13961" ht="16" x14ac:dyDescent="0.2"/>
    <row r="13962" ht="16" x14ac:dyDescent="0.2"/>
    <row r="13963" ht="16" x14ac:dyDescent="0.2"/>
    <row r="13964" ht="16" x14ac:dyDescent="0.2"/>
    <row r="13965" ht="16" x14ac:dyDescent="0.2"/>
    <row r="13966" ht="16" x14ac:dyDescent="0.2"/>
    <row r="13967" ht="16" x14ac:dyDescent="0.2"/>
    <row r="13968" ht="16" x14ac:dyDescent="0.2"/>
    <row r="13969" ht="16" x14ac:dyDescent="0.2"/>
    <row r="13970" ht="16" x14ac:dyDescent="0.2"/>
    <row r="13971" ht="16" x14ac:dyDescent="0.2"/>
    <row r="13972" ht="16" x14ac:dyDescent="0.2"/>
    <row r="13973" ht="16" x14ac:dyDescent="0.2"/>
    <row r="13974" ht="16" x14ac:dyDescent="0.2"/>
    <row r="13975" ht="16" x14ac:dyDescent="0.2"/>
    <row r="13976" ht="16" x14ac:dyDescent="0.2"/>
    <row r="13977" ht="16" x14ac:dyDescent="0.2"/>
    <row r="13978" ht="16" x14ac:dyDescent="0.2"/>
    <row r="13979" ht="16" x14ac:dyDescent="0.2"/>
    <row r="13980" ht="16" x14ac:dyDescent="0.2"/>
    <row r="13981" ht="16" x14ac:dyDescent="0.2"/>
    <row r="13982" ht="16" x14ac:dyDescent="0.2"/>
    <row r="13983" ht="16" x14ac:dyDescent="0.2"/>
    <row r="13984" ht="16" x14ac:dyDescent="0.2"/>
    <row r="13985" ht="16" x14ac:dyDescent="0.2"/>
    <row r="13986" ht="16" x14ac:dyDescent="0.2"/>
    <row r="13987" ht="16" x14ac:dyDescent="0.2"/>
    <row r="13988" ht="16" x14ac:dyDescent="0.2"/>
    <row r="13989" ht="16" x14ac:dyDescent="0.2"/>
    <row r="13990" ht="16" x14ac:dyDescent="0.2"/>
    <row r="13991" ht="16" x14ac:dyDescent="0.2"/>
    <row r="13992" ht="16" x14ac:dyDescent="0.2"/>
    <row r="13993" ht="16" x14ac:dyDescent="0.2"/>
    <row r="13994" ht="16" x14ac:dyDescent="0.2"/>
    <row r="13995" ht="16" x14ac:dyDescent="0.2"/>
    <row r="13996" ht="16" x14ac:dyDescent="0.2"/>
    <row r="13997" ht="16" x14ac:dyDescent="0.2"/>
    <row r="13998" ht="16" x14ac:dyDescent="0.2"/>
    <row r="13999" ht="16" x14ac:dyDescent="0.2"/>
    <row r="14000" ht="16" x14ac:dyDescent="0.2"/>
    <row r="14001" ht="16" x14ac:dyDescent="0.2"/>
    <row r="14002" ht="16" x14ac:dyDescent="0.2"/>
    <row r="14003" ht="16" x14ac:dyDescent="0.2"/>
    <row r="14004" ht="16" x14ac:dyDescent="0.2"/>
    <row r="14005" ht="16" x14ac:dyDescent="0.2"/>
    <row r="14006" ht="16" x14ac:dyDescent="0.2"/>
    <row r="14007" ht="16" x14ac:dyDescent="0.2"/>
    <row r="14008" ht="16" x14ac:dyDescent="0.2"/>
    <row r="14009" ht="16" x14ac:dyDescent="0.2"/>
    <row r="14010" ht="16" x14ac:dyDescent="0.2"/>
    <row r="14011" ht="16" x14ac:dyDescent="0.2"/>
    <row r="14012" ht="16" x14ac:dyDescent="0.2"/>
    <row r="14013" ht="16" x14ac:dyDescent="0.2"/>
    <row r="14014" ht="16" x14ac:dyDescent="0.2"/>
    <row r="14015" ht="16" x14ac:dyDescent="0.2"/>
    <row r="14016" ht="16" x14ac:dyDescent="0.2"/>
    <row r="14017" ht="16" x14ac:dyDescent="0.2"/>
    <row r="14018" ht="16" x14ac:dyDescent="0.2"/>
    <row r="14019" ht="16" x14ac:dyDescent="0.2"/>
    <row r="14020" ht="16" x14ac:dyDescent="0.2"/>
    <row r="14021" ht="16" x14ac:dyDescent="0.2"/>
    <row r="14022" ht="16" x14ac:dyDescent="0.2"/>
    <row r="14023" ht="16" x14ac:dyDescent="0.2"/>
    <row r="14024" ht="16" x14ac:dyDescent="0.2"/>
    <row r="14025" ht="16" x14ac:dyDescent="0.2"/>
    <row r="14026" ht="16" x14ac:dyDescent="0.2"/>
    <row r="14027" ht="16" x14ac:dyDescent="0.2"/>
    <row r="14028" ht="16" x14ac:dyDescent="0.2"/>
    <row r="14029" ht="16" x14ac:dyDescent="0.2"/>
    <row r="14030" ht="16" x14ac:dyDescent="0.2"/>
    <row r="14031" ht="16" x14ac:dyDescent="0.2"/>
    <row r="14032" ht="16" x14ac:dyDescent="0.2"/>
    <row r="14033" ht="16" x14ac:dyDescent="0.2"/>
    <row r="14034" ht="16" x14ac:dyDescent="0.2"/>
    <row r="14035" ht="16" x14ac:dyDescent="0.2"/>
    <row r="14036" ht="16" x14ac:dyDescent="0.2"/>
    <row r="14037" ht="16" x14ac:dyDescent="0.2"/>
    <row r="14038" ht="16" x14ac:dyDescent="0.2"/>
    <row r="14039" ht="16" x14ac:dyDescent="0.2"/>
    <row r="14040" ht="16" x14ac:dyDescent="0.2"/>
    <row r="14041" ht="16" x14ac:dyDescent="0.2"/>
    <row r="14042" ht="16" x14ac:dyDescent="0.2"/>
    <row r="14043" ht="16" x14ac:dyDescent="0.2"/>
    <row r="14044" ht="16" x14ac:dyDescent="0.2"/>
    <row r="14045" ht="16" x14ac:dyDescent="0.2"/>
    <row r="14046" ht="16" x14ac:dyDescent="0.2"/>
    <row r="14047" ht="16" x14ac:dyDescent="0.2"/>
    <row r="14048" ht="16" x14ac:dyDescent="0.2"/>
    <row r="14049" ht="16" x14ac:dyDescent="0.2"/>
    <row r="14050" ht="16" x14ac:dyDescent="0.2"/>
    <row r="14051" ht="16" x14ac:dyDescent="0.2"/>
    <row r="14052" ht="16" x14ac:dyDescent="0.2"/>
    <row r="14053" ht="16" x14ac:dyDescent="0.2"/>
    <row r="14054" ht="16" x14ac:dyDescent="0.2"/>
    <row r="14055" ht="16" x14ac:dyDescent="0.2"/>
    <row r="14056" ht="16" x14ac:dyDescent="0.2"/>
    <row r="14057" ht="16" x14ac:dyDescent="0.2"/>
    <row r="14058" ht="16" x14ac:dyDescent="0.2"/>
    <row r="14059" ht="16" x14ac:dyDescent="0.2"/>
    <row r="14060" ht="16" x14ac:dyDescent="0.2"/>
    <row r="14061" ht="16" x14ac:dyDescent="0.2"/>
    <row r="14062" ht="16" x14ac:dyDescent="0.2"/>
    <row r="14063" ht="16" x14ac:dyDescent="0.2"/>
    <row r="14064" ht="16" x14ac:dyDescent="0.2"/>
    <row r="14065" ht="16" x14ac:dyDescent="0.2"/>
    <row r="14066" ht="16" x14ac:dyDescent="0.2"/>
    <row r="14067" ht="16" x14ac:dyDescent="0.2"/>
    <row r="14068" ht="16" x14ac:dyDescent="0.2"/>
    <row r="14069" ht="16" x14ac:dyDescent="0.2"/>
    <row r="14070" ht="16" x14ac:dyDescent="0.2"/>
    <row r="14071" ht="16" x14ac:dyDescent="0.2"/>
    <row r="14072" ht="16" x14ac:dyDescent="0.2"/>
    <row r="14073" ht="16" x14ac:dyDescent="0.2"/>
    <row r="14074" ht="16" x14ac:dyDescent="0.2"/>
    <row r="14075" ht="16" x14ac:dyDescent="0.2"/>
    <row r="14076" ht="16" x14ac:dyDescent="0.2"/>
    <row r="14077" ht="16" x14ac:dyDescent="0.2"/>
    <row r="14078" ht="16" x14ac:dyDescent="0.2"/>
    <row r="14079" ht="16" x14ac:dyDescent="0.2"/>
    <row r="14080" ht="16" x14ac:dyDescent="0.2"/>
    <row r="14081" ht="16" x14ac:dyDescent="0.2"/>
    <row r="14082" ht="16" x14ac:dyDescent="0.2"/>
    <row r="14083" ht="16" x14ac:dyDescent="0.2"/>
    <row r="14084" ht="16" x14ac:dyDescent="0.2"/>
    <row r="14085" ht="16" x14ac:dyDescent="0.2"/>
    <row r="14086" ht="16" x14ac:dyDescent="0.2"/>
    <row r="14087" ht="16" x14ac:dyDescent="0.2"/>
    <row r="14088" ht="16" x14ac:dyDescent="0.2"/>
    <row r="14089" ht="16" x14ac:dyDescent="0.2"/>
    <row r="14090" ht="16" x14ac:dyDescent="0.2"/>
    <row r="14091" ht="16" x14ac:dyDescent="0.2"/>
    <row r="14092" ht="16" x14ac:dyDescent="0.2"/>
    <row r="14093" ht="16" x14ac:dyDescent="0.2"/>
    <row r="14094" ht="16" x14ac:dyDescent="0.2"/>
    <row r="14095" ht="16" x14ac:dyDescent="0.2"/>
    <row r="14096" ht="16" x14ac:dyDescent="0.2"/>
    <row r="14097" ht="16" x14ac:dyDescent="0.2"/>
    <row r="14098" ht="16" x14ac:dyDescent="0.2"/>
    <row r="14099" ht="16" x14ac:dyDescent="0.2"/>
    <row r="14100" ht="16" x14ac:dyDescent="0.2"/>
    <row r="14101" ht="16" x14ac:dyDescent="0.2"/>
    <row r="14102" ht="16" x14ac:dyDescent="0.2"/>
    <row r="14103" ht="16" x14ac:dyDescent="0.2"/>
    <row r="14104" ht="16" x14ac:dyDescent="0.2"/>
    <row r="14105" ht="16" x14ac:dyDescent="0.2"/>
    <row r="14106" ht="16" x14ac:dyDescent="0.2"/>
    <row r="14107" ht="16" x14ac:dyDescent="0.2"/>
    <row r="14108" ht="16" x14ac:dyDescent="0.2"/>
    <row r="14109" ht="16" x14ac:dyDescent="0.2"/>
    <row r="14110" ht="16" x14ac:dyDescent="0.2"/>
    <row r="14111" ht="16" x14ac:dyDescent="0.2"/>
    <row r="14112" ht="16" x14ac:dyDescent="0.2"/>
    <row r="14113" ht="16" x14ac:dyDescent="0.2"/>
    <row r="14114" ht="16" x14ac:dyDescent="0.2"/>
    <row r="14115" ht="16" x14ac:dyDescent="0.2"/>
    <row r="14116" ht="16" x14ac:dyDescent="0.2"/>
    <row r="14117" ht="16" x14ac:dyDescent="0.2"/>
    <row r="14118" ht="16" x14ac:dyDescent="0.2"/>
    <row r="14119" ht="16" x14ac:dyDescent="0.2"/>
    <row r="14120" ht="16" x14ac:dyDescent="0.2"/>
    <row r="14121" ht="16" x14ac:dyDescent="0.2"/>
    <row r="14122" ht="16" x14ac:dyDescent="0.2"/>
    <row r="14123" ht="16" x14ac:dyDescent="0.2"/>
    <row r="14124" ht="16" x14ac:dyDescent="0.2"/>
    <row r="14125" ht="16" x14ac:dyDescent="0.2"/>
    <row r="14126" ht="16" x14ac:dyDescent="0.2"/>
    <row r="14127" ht="16" x14ac:dyDescent="0.2"/>
    <row r="14128" ht="16" x14ac:dyDescent="0.2"/>
    <row r="14129" ht="16" x14ac:dyDescent="0.2"/>
    <row r="14130" ht="16" x14ac:dyDescent="0.2"/>
    <row r="14131" ht="16" x14ac:dyDescent="0.2"/>
    <row r="14132" ht="16" x14ac:dyDescent="0.2"/>
    <row r="14133" ht="16" x14ac:dyDescent="0.2"/>
    <row r="14134" ht="16" x14ac:dyDescent="0.2"/>
    <row r="14135" ht="16" x14ac:dyDescent="0.2"/>
    <row r="14136" ht="16" x14ac:dyDescent="0.2"/>
    <row r="14137" ht="16" x14ac:dyDescent="0.2"/>
    <row r="14138" ht="16" x14ac:dyDescent="0.2"/>
    <row r="14139" ht="16" x14ac:dyDescent="0.2"/>
    <row r="14140" ht="16" x14ac:dyDescent="0.2"/>
    <row r="14141" ht="16" x14ac:dyDescent="0.2"/>
    <row r="14142" ht="16" x14ac:dyDescent="0.2"/>
    <row r="14143" ht="16" x14ac:dyDescent="0.2"/>
    <row r="14144" ht="16" x14ac:dyDescent="0.2"/>
    <row r="14145" ht="16" x14ac:dyDescent="0.2"/>
    <row r="14146" ht="16" x14ac:dyDescent="0.2"/>
    <row r="14147" ht="16" x14ac:dyDescent="0.2"/>
    <row r="14148" ht="16" x14ac:dyDescent="0.2"/>
    <row r="14149" ht="16" x14ac:dyDescent="0.2"/>
    <row r="14150" ht="16" x14ac:dyDescent="0.2"/>
    <row r="14151" ht="16" x14ac:dyDescent="0.2"/>
    <row r="14152" ht="16" x14ac:dyDescent="0.2"/>
    <row r="14153" ht="16" x14ac:dyDescent="0.2"/>
    <row r="14154" ht="16" x14ac:dyDescent="0.2"/>
    <row r="14155" ht="16" x14ac:dyDescent="0.2"/>
    <row r="14156" ht="16" x14ac:dyDescent="0.2"/>
    <row r="14157" ht="16" x14ac:dyDescent="0.2"/>
    <row r="14158" ht="16" x14ac:dyDescent="0.2"/>
    <row r="14159" ht="16" x14ac:dyDescent="0.2"/>
    <row r="14160" ht="16" x14ac:dyDescent="0.2"/>
    <row r="14161" ht="16" x14ac:dyDescent="0.2"/>
    <row r="14162" ht="16" x14ac:dyDescent="0.2"/>
    <row r="14163" ht="16" x14ac:dyDescent="0.2"/>
    <row r="14164" ht="16" x14ac:dyDescent="0.2"/>
    <row r="14165" ht="16" x14ac:dyDescent="0.2"/>
    <row r="14166" ht="16" x14ac:dyDescent="0.2"/>
    <row r="14167" ht="16" x14ac:dyDescent="0.2"/>
    <row r="14168" ht="16" x14ac:dyDescent="0.2"/>
    <row r="14169" ht="16" x14ac:dyDescent="0.2"/>
    <row r="14170" ht="16" x14ac:dyDescent="0.2"/>
    <row r="14171" ht="16" x14ac:dyDescent="0.2"/>
    <row r="14172" ht="16" x14ac:dyDescent="0.2"/>
    <row r="14173" ht="16" x14ac:dyDescent="0.2"/>
    <row r="14174" ht="16" x14ac:dyDescent="0.2"/>
    <row r="14175" ht="16" x14ac:dyDescent="0.2"/>
    <row r="14176" ht="16" x14ac:dyDescent="0.2"/>
    <row r="14177" ht="16" x14ac:dyDescent="0.2"/>
    <row r="14178" ht="16" x14ac:dyDescent="0.2"/>
    <row r="14179" ht="16" x14ac:dyDescent="0.2"/>
    <row r="14180" ht="16" x14ac:dyDescent="0.2"/>
    <row r="14181" ht="16" x14ac:dyDescent="0.2"/>
    <row r="14182" ht="16" x14ac:dyDescent="0.2"/>
    <row r="14183" ht="16" x14ac:dyDescent="0.2"/>
    <row r="14184" ht="16" x14ac:dyDescent="0.2"/>
    <row r="14185" ht="16" x14ac:dyDescent="0.2"/>
    <row r="14186" ht="16" x14ac:dyDescent="0.2"/>
    <row r="14187" ht="16" x14ac:dyDescent="0.2"/>
    <row r="14188" ht="16" x14ac:dyDescent="0.2"/>
    <row r="14189" ht="16" x14ac:dyDescent="0.2"/>
    <row r="14190" ht="16" x14ac:dyDescent="0.2"/>
    <row r="14191" ht="16" x14ac:dyDescent="0.2"/>
    <row r="14192" ht="16" x14ac:dyDescent="0.2"/>
    <row r="14193" ht="16" x14ac:dyDescent="0.2"/>
    <row r="14194" ht="16" x14ac:dyDescent="0.2"/>
    <row r="14195" ht="16" x14ac:dyDescent="0.2"/>
    <row r="14196" ht="16" x14ac:dyDescent="0.2"/>
    <row r="14197" ht="16" x14ac:dyDescent="0.2"/>
    <row r="14198" ht="16" x14ac:dyDescent="0.2"/>
    <row r="14199" ht="16" x14ac:dyDescent="0.2"/>
    <row r="14200" ht="16" x14ac:dyDescent="0.2"/>
    <row r="14201" ht="16" x14ac:dyDescent="0.2"/>
    <row r="14202" ht="16" x14ac:dyDescent="0.2"/>
    <row r="14203" ht="16" x14ac:dyDescent="0.2"/>
    <row r="14204" ht="16" x14ac:dyDescent="0.2"/>
    <row r="14205" ht="16" x14ac:dyDescent="0.2"/>
    <row r="14206" ht="16" x14ac:dyDescent="0.2"/>
    <row r="14207" ht="16" x14ac:dyDescent="0.2"/>
    <row r="14208" ht="16" x14ac:dyDescent="0.2"/>
    <row r="14209" ht="16" x14ac:dyDescent="0.2"/>
    <row r="14210" ht="16" x14ac:dyDescent="0.2"/>
    <row r="14211" ht="16" x14ac:dyDescent="0.2"/>
    <row r="14212" ht="16" x14ac:dyDescent="0.2"/>
    <row r="14213" ht="16" x14ac:dyDescent="0.2"/>
    <row r="14214" ht="16" x14ac:dyDescent="0.2"/>
    <row r="14215" ht="16" x14ac:dyDescent="0.2"/>
    <row r="14216" ht="16" x14ac:dyDescent="0.2"/>
    <row r="14217" ht="16" x14ac:dyDescent="0.2"/>
    <row r="14218" ht="16" x14ac:dyDescent="0.2"/>
    <row r="14219" ht="16" x14ac:dyDescent="0.2"/>
    <row r="14220" ht="16" x14ac:dyDescent="0.2"/>
    <row r="14221" ht="16" x14ac:dyDescent="0.2"/>
    <row r="14222" ht="16" x14ac:dyDescent="0.2"/>
    <row r="14223" ht="16" x14ac:dyDescent="0.2"/>
    <row r="14224" ht="16" x14ac:dyDescent="0.2"/>
    <row r="14225" ht="16" x14ac:dyDescent="0.2"/>
    <row r="14226" ht="16" x14ac:dyDescent="0.2"/>
    <row r="14227" ht="16" x14ac:dyDescent="0.2"/>
    <row r="14228" ht="16" x14ac:dyDescent="0.2"/>
    <row r="14229" ht="16" x14ac:dyDescent="0.2"/>
    <row r="14230" ht="16" x14ac:dyDescent="0.2"/>
    <row r="14231" ht="16" x14ac:dyDescent="0.2"/>
    <row r="14232" ht="16" x14ac:dyDescent="0.2"/>
    <row r="14233" ht="16" x14ac:dyDescent="0.2"/>
    <row r="14234" ht="16" x14ac:dyDescent="0.2"/>
    <row r="14235" ht="16" x14ac:dyDescent="0.2"/>
    <row r="14236" ht="16" x14ac:dyDescent="0.2"/>
    <row r="14237" ht="16" x14ac:dyDescent="0.2"/>
    <row r="14238" ht="16" x14ac:dyDescent="0.2"/>
    <row r="14239" ht="16" x14ac:dyDescent="0.2"/>
    <row r="14240" ht="16" x14ac:dyDescent="0.2"/>
    <row r="14241" ht="16" x14ac:dyDescent="0.2"/>
    <row r="14242" ht="16" x14ac:dyDescent="0.2"/>
    <row r="14243" ht="16" x14ac:dyDescent="0.2"/>
    <row r="14244" ht="16" x14ac:dyDescent="0.2"/>
    <row r="14245" ht="16" x14ac:dyDescent="0.2"/>
    <row r="14246" ht="16" x14ac:dyDescent="0.2"/>
    <row r="14247" ht="16" x14ac:dyDescent="0.2"/>
    <row r="14248" ht="16" x14ac:dyDescent="0.2"/>
    <row r="14249" ht="16" x14ac:dyDescent="0.2"/>
    <row r="14250" ht="16" x14ac:dyDescent="0.2"/>
    <row r="14251" ht="16" x14ac:dyDescent="0.2"/>
    <row r="14252" ht="16" x14ac:dyDescent="0.2"/>
    <row r="14253" ht="16" x14ac:dyDescent="0.2"/>
    <row r="14254" ht="16" x14ac:dyDescent="0.2"/>
    <row r="14255" ht="16" x14ac:dyDescent="0.2"/>
    <row r="14256" ht="16" x14ac:dyDescent="0.2"/>
    <row r="14257" ht="16" x14ac:dyDescent="0.2"/>
    <row r="14258" ht="16" x14ac:dyDescent="0.2"/>
    <row r="14259" ht="16" x14ac:dyDescent="0.2"/>
    <row r="14260" ht="16" x14ac:dyDescent="0.2"/>
    <row r="14261" ht="16" x14ac:dyDescent="0.2"/>
    <row r="14262" ht="16" x14ac:dyDescent="0.2"/>
    <row r="14263" ht="16" x14ac:dyDescent="0.2"/>
    <row r="14264" ht="16" x14ac:dyDescent="0.2"/>
    <row r="14265" ht="16" x14ac:dyDescent="0.2"/>
    <row r="14266" ht="16" x14ac:dyDescent="0.2"/>
    <row r="14267" ht="16" x14ac:dyDescent="0.2"/>
    <row r="14268" ht="16" x14ac:dyDescent="0.2"/>
    <row r="14269" ht="16" x14ac:dyDescent="0.2"/>
    <row r="14270" ht="16" x14ac:dyDescent="0.2"/>
    <row r="14271" ht="16" x14ac:dyDescent="0.2"/>
    <row r="14272" ht="16" x14ac:dyDescent="0.2"/>
    <row r="14273" ht="16" x14ac:dyDescent="0.2"/>
    <row r="14274" ht="16" x14ac:dyDescent="0.2"/>
    <row r="14275" ht="16" x14ac:dyDescent="0.2"/>
    <row r="14276" ht="16" x14ac:dyDescent="0.2"/>
    <row r="14277" ht="16" x14ac:dyDescent="0.2"/>
    <row r="14278" ht="16" x14ac:dyDescent="0.2"/>
    <row r="14279" ht="16" x14ac:dyDescent="0.2"/>
    <row r="14280" ht="16" x14ac:dyDescent="0.2"/>
    <row r="14281" ht="16" x14ac:dyDescent="0.2"/>
    <row r="14282" ht="16" x14ac:dyDescent="0.2"/>
    <row r="14283" ht="16" x14ac:dyDescent="0.2"/>
    <row r="14284" ht="16" x14ac:dyDescent="0.2"/>
    <row r="14285" ht="16" x14ac:dyDescent="0.2"/>
    <row r="14286" ht="16" x14ac:dyDescent="0.2"/>
    <row r="14287" ht="16" x14ac:dyDescent="0.2"/>
    <row r="14288" ht="16" x14ac:dyDescent="0.2"/>
    <row r="14289" ht="16" x14ac:dyDescent="0.2"/>
    <row r="14290" ht="16" x14ac:dyDescent="0.2"/>
    <row r="14291" ht="16" x14ac:dyDescent="0.2"/>
    <row r="14292" ht="16" x14ac:dyDescent="0.2"/>
    <row r="14293" ht="16" x14ac:dyDescent="0.2"/>
    <row r="14294" ht="16" x14ac:dyDescent="0.2"/>
    <row r="14295" ht="16" x14ac:dyDescent="0.2"/>
    <row r="14296" ht="16" x14ac:dyDescent="0.2"/>
    <row r="14297" ht="16" x14ac:dyDescent="0.2"/>
    <row r="14298" ht="16" x14ac:dyDescent="0.2"/>
    <row r="14299" ht="16" x14ac:dyDescent="0.2"/>
    <row r="14300" ht="16" x14ac:dyDescent="0.2"/>
    <row r="14301" ht="16" x14ac:dyDescent="0.2"/>
    <row r="14302" ht="16" x14ac:dyDescent="0.2"/>
    <row r="14303" ht="16" x14ac:dyDescent="0.2"/>
    <row r="14304" ht="16" x14ac:dyDescent="0.2"/>
    <row r="14305" ht="16" x14ac:dyDescent="0.2"/>
    <row r="14306" ht="16" x14ac:dyDescent="0.2"/>
    <row r="14307" ht="16" x14ac:dyDescent="0.2"/>
    <row r="14308" ht="16" x14ac:dyDescent="0.2"/>
    <row r="14309" ht="16" x14ac:dyDescent="0.2"/>
    <row r="14310" ht="16" x14ac:dyDescent="0.2"/>
    <row r="14311" ht="16" x14ac:dyDescent="0.2"/>
    <row r="14312" ht="16" x14ac:dyDescent="0.2"/>
    <row r="14313" ht="16" x14ac:dyDescent="0.2"/>
    <row r="14314" ht="16" x14ac:dyDescent="0.2"/>
    <row r="14315" ht="16" x14ac:dyDescent="0.2"/>
    <row r="14316" ht="16" x14ac:dyDescent="0.2"/>
    <row r="14317" ht="16" x14ac:dyDescent="0.2"/>
    <row r="14318" ht="16" x14ac:dyDescent="0.2"/>
    <row r="14319" ht="16" x14ac:dyDescent="0.2"/>
    <row r="14320" ht="16" x14ac:dyDescent="0.2"/>
    <row r="14321" ht="16" x14ac:dyDescent="0.2"/>
    <row r="14322" ht="16" x14ac:dyDescent="0.2"/>
    <row r="14323" ht="16" x14ac:dyDescent="0.2"/>
    <row r="14324" ht="16" x14ac:dyDescent="0.2"/>
    <row r="14325" ht="16" x14ac:dyDescent="0.2"/>
    <row r="14326" ht="16" x14ac:dyDescent="0.2"/>
    <row r="14327" ht="16" x14ac:dyDescent="0.2"/>
    <row r="14328" ht="16" x14ac:dyDescent="0.2"/>
    <row r="14329" ht="16" x14ac:dyDescent="0.2"/>
    <row r="14330" ht="16" x14ac:dyDescent="0.2"/>
    <row r="14331" ht="16" x14ac:dyDescent="0.2"/>
    <row r="14332" ht="16" x14ac:dyDescent="0.2"/>
    <row r="14333" ht="16" x14ac:dyDescent="0.2"/>
    <row r="14334" ht="16" x14ac:dyDescent="0.2"/>
    <row r="14335" ht="16" x14ac:dyDescent="0.2"/>
    <row r="14336" ht="16" x14ac:dyDescent="0.2"/>
    <row r="14337" ht="16" x14ac:dyDescent="0.2"/>
    <row r="14338" ht="16" x14ac:dyDescent="0.2"/>
    <row r="14339" ht="16" x14ac:dyDescent="0.2"/>
    <row r="14340" ht="16" x14ac:dyDescent="0.2"/>
    <row r="14341" ht="16" x14ac:dyDescent="0.2"/>
    <row r="14342" ht="16" x14ac:dyDescent="0.2"/>
    <row r="14343" ht="16" x14ac:dyDescent="0.2"/>
    <row r="14344" ht="16" x14ac:dyDescent="0.2"/>
    <row r="14345" ht="16" x14ac:dyDescent="0.2"/>
    <row r="14346" ht="16" x14ac:dyDescent="0.2"/>
    <row r="14347" ht="16" x14ac:dyDescent="0.2"/>
    <row r="14348" ht="16" x14ac:dyDescent="0.2"/>
    <row r="14349" ht="16" x14ac:dyDescent="0.2"/>
    <row r="14350" ht="16" x14ac:dyDescent="0.2"/>
    <row r="14351" ht="16" x14ac:dyDescent="0.2"/>
    <row r="14352" ht="16" x14ac:dyDescent="0.2"/>
    <row r="14353" ht="16" x14ac:dyDescent="0.2"/>
    <row r="14354" ht="16" x14ac:dyDescent="0.2"/>
    <row r="14355" ht="16" x14ac:dyDescent="0.2"/>
    <row r="14356" ht="16" x14ac:dyDescent="0.2"/>
    <row r="14357" ht="16" x14ac:dyDescent="0.2"/>
    <row r="14358" ht="16" x14ac:dyDescent="0.2"/>
    <row r="14359" ht="16" x14ac:dyDescent="0.2"/>
    <row r="14360" ht="16" x14ac:dyDescent="0.2"/>
    <row r="14361" ht="16" x14ac:dyDescent="0.2"/>
    <row r="14362" ht="16" x14ac:dyDescent="0.2"/>
    <row r="14363" ht="16" x14ac:dyDescent="0.2"/>
    <row r="14364" ht="16" x14ac:dyDescent="0.2"/>
    <row r="14365" ht="16" x14ac:dyDescent="0.2"/>
    <row r="14366" ht="16" x14ac:dyDescent="0.2"/>
    <row r="14367" ht="16" x14ac:dyDescent="0.2"/>
    <row r="14368" ht="16" x14ac:dyDescent="0.2"/>
    <row r="14369" ht="16" x14ac:dyDescent="0.2"/>
    <row r="14370" ht="16" x14ac:dyDescent="0.2"/>
    <row r="14371" ht="16" x14ac:dyDescent="0.2"/>
    <row r="14372" ht="16" x14ac:dyDescent="0.2"/>
    <row r="14373" ht="16" x14ac:dyDescent="0.2"/>
    <row r="14374" ht="16" x14ac:dyDescent="0.2"/>
    <row r="14375" ht="16" x14ac:dyDescent="0.2"/>
    <row r="14376" ht="16" x14ac:dyDescent="0.2"/>
    <row r="14377" ht="16" x14ac:dyDescent="0.2"/>
    <row r="14378" ht="16" x14ac:dyDescent="0.2"/>
    <row r="14379" ht="16" x14ac:dyDescent="0.2"/>
    <row r="14380" ht="16" x14ac:dyDescent="0.2"/>
    <row r="14381" ht="16" x14ac:dyDescent="0.2"/>
    <row r="14382" ht="16" x14ac:dyDescent="0.2"/>
    <row r="14383" ht="16" x14ac:dyDescent="0.2"/>
    <row r="14384" ht="16" x14ac:dyDescent="0.2"/>
    <row r="14385" ht="16" x14ac:dyDescent="0.2"/>
    <row r="14386" ht="16" x14ac:dyDescent="0.2"/>
    <row r="14387" ht="16" x14ac:dyDescent="0.2"/>
    <row r="14388" ht="16" x14ac:dyDescent="0.2"/>
    <row r="14389" ht="16" x14ac:dyDescent="0.2"/>
    <row r="14390" ht="16" x14ac:dyDescent="0.2"/>
    <row r="14391" ht="16" x14ac:dyDescent="0.2"/>
    <row r="14392" ht="16" x14ac:dyDescent="0.2"/>
    <row r="14393" ht="16" x14ac:dyDescent="0.2"/>
    <row r="14394" ht="16" x14ac:dyDescent="0.2"/>
    <row r="14395" ht="16" x14ac:dyDescent="0.2"/>
    <row r="14396" ht="16" x14ac:dyDescent="0.2"/>
    <row r="14397" ht="16" x14ac:dyDescent="0.2"/>
    <row r="14398" ht="16" x14ac:dyDescent="0.2"/>
    <row r="14399" ht="16" x14ac:dyDescent="0.2"/>
    <row r="14400" ht="16" x14ac:dyDescent="0.2"/>
    <row r="14401" ht="16" x14ac:dyDescent="0.2"/>
    <row r="14402" ht="16" x14ac:dyDescent="0.2"/>
    <row r="14403" ht="16" x14ac:dyDescent="0.2"/>
    <row r="14404" ht="16" x14ac:dyDescent="0.2"/>
    <row r="14405" ht="16" x14ac:dyDescent="0.2"/>
    <row r="14406" ht="16" x14ac:dyDescent="0.2"/>
    <row r="14407" ht="16" x14ac:dyDescent="0.2"/>
    <row r="14408" ht="16" x14ac:dyDescent="0.2"/>
    <row r="14409" ht="16" x14ac:dyDescent="0.2"/>
    <row r="14410" ht="16" x14ac:dyDescent="0.2"/>
    <row r="14411" ht="16" x14ac:dyDescent="0.2"/>
    <row r="14412" ht="16" x14ac:dyDescent="0.2"/>
    <row r="14413" ht="16" x14ac:dyDescent="0.2"/>
    <row r="14414" ht="16" x14ac:dyDescent="0.2"/>
    <row r="14415" ht="16" x14ac:dyDescent="0.2"/>
    <row r="14416" ht="16" x14ac:dyDescent="0.2"/>
    <row r="14417" ht="16" x14ac:dyDescent="0.2"/>
    <row r="14418" ht="16" x14ac:dyDescent="0.2"/>
    <row r="14419" ht="16" x14ac:dyDescent="0.2"/>
    <row r="14420" ht="16" x14ac:dyDescent="0.2"/>
    <row r="14421" ht="16" x14ac:dyDescent="0.2"/>
    <row r="14422" ht="16" x14ac:dyDescent="0.2"/>
    <row r="14423" ht="16" x14ac:dyDescent="0.2"/>
    <row r="14424" ht="16" x14ac:dyDescent="0.2"/>
    <row r="14425" ht="16" x14ac:dyDescent="0.2"/>
    <row r="14426" ht="16" x14ac:dyDescent="0.2"/>
    <row r="14427" ht="16" x14ac:dyDescent="0.2"/>
    <row r="14428" ht="16" x14ac:dyDescent="0.2"/>
    <row r="14429" ht="16" x14ac:dyDescent="0.2"/>
    <row r="14430" ht="16" x14ac:dyDescent="0.2"/>
    <row r="14431" ht="16" x14ac:dyDescent="0.2"/>
    <row r="14432" ht="16" x14ac:dyDescent="0.2"/>
    <row r="14433" ht="16" x14ac:dyDescent="0.2"/>
    <row r="14434" ht="16" x14ac:dyDescent="0.2"/>
    <row r="14435" ht="16" x14ac:dyDescent="0.2"/>
    <row r="14436" ht="16" x14ac:dyDescent="0.2"/>
    <row r="14437" ht="16" x14ac:dyDescent="0.2"/>
    <row r="14438" ht="16" x14ac:dyDescent="0.2"/>
    <row r="14439" ht="16" x14ac:dyDescent="0.2"/>
    <row r="14440" ht="16" x14ac:dyDescent="0.2"/>
    <row r="14441" ht="16" x14ac:dyDescent="0.2"/>
    <row r="14442" ht="16" x14ac:dyDescent="0.2"/>
    <row r="14443" ht="16" x14ac:dyDescent="0.2"/>
    <row r="14444" ht="16" x14ac:dyDescent="0.2"/>
    <row r="14445" ht="16" x14ac:dyDescent="0.2"/>
    <row r="14446" ht="16" x14ac:dyDescent="0.2"/>
    <row r="14447" ht="16" x14ac:dyDescent="0.2"/>
    <row r="14448" ht="16" x14ac:dyDescent="0.2"/>
    <row r="14449" ht="16" x14ac:dyDescent="0.2"/>
    <row r="14450" ht="16" x14ac:dyDescent="0.2"/>
    <row r="14451" ht="16" x14ac:dyDescent="0.2"/>
    <row r="14452" ht="16" x14ac:dyDescent="0.2"/>
    <row r="14453" ht="16" x14ac:dyDescent="0.2"/>
    <row r="14454" ht="16" x14ac:dyDescent="0.2"/>
    <row r="14455" ht="16" x14ac:dyDescent="0.2"/>
    <row r="14456" ht="16" x14ac:dyDescent="0.2"/>
    <row r="14457" ht="16" x14ac:dyDescent="0.2"/>
    <row r="14458" ht="16" x14ac:dyDescent="0.2"/>
    <row r="14459" ht="16" x14ac:dyDescent="0.2"/>
    <row r="14460" ht="16" x14ac:dyDescent="0.2"/>
    <row r="14461" ht="16" x14ac:dyDescent="0.2"/>
    <row r="14462" ht="16" x14ac:dyDescent="0.2"/>
    <row r="14463" ht="16" x14ac:dyDescent="0.2"/>
    <row r="14464" ht="16" x14ac:dyDescent="0.2"/>
    <row r="14465" ht="16" x14ac:dyDescent="0.2"/>
    <row r="14466" ht="16" x14ac:dyDescent="0.2"/>
    <row r="14467" ht="16" x14ac:dyDescent="0.2"/>
    <row r="14468" ht="16" x14ac:dyDescent="0.2"/>
    <row r="14469" ht="16" x14ac:dyDescent="0.2"/>
    <row r="14470" ht="16" x14ac:dyDescent="0.2"/>
    <row r="14471" ht="16" x14ac:dyDescent="0.2"/>
    <row r="14472" ht="16" x14ac:dyDescent="0.2"/>
    <row r="14473" ht="16" x14ac:dyDescent="0.2"/>
    <row r="14474" ht="16" x14ac:dyDescent="0.2"/>
    <row r="14475" ht="16" x14ac:dyDescent="0.2"/>
    <row r="14476" ht="16" x14ac:dyDescent="0.2"/>
    <row r="14477" ht="16" x14ac:dyDescent="0.2"/>
    <row r="14478" ht="16" x14ac:dyDescent="0.2"/>
    <row r="14479" ht="16" x14ac:dyDescent="0.2"/>
    <row r="14480" ht="16" x14ac:dyDescent="0.2"/>
    <row r="14481" ht="16" x14ac:dyDescent="0.2"/>
    <row r="14482" ht="16" x14ac:dyDescent="0.2"/>
    <row r="14483" ht="16" x14ac:dyDescent="0.2"/>
    <row r="14484" ht="16" x14ac:dyDescent="0.2"/>
    <row r="14485" ht="16" x14ac:dyDescent="0.2"/>
    <row r="14486" ht="16" x14ac:dyDescent="0.2"/>
    <row r="14487" ht="16" x14ac:dyDescent="0.2"/>
    <row r="14488" ht="16" x14ac:dyDescent="0.2"/>
    <row r="14489" ht="16" x14ac:dyDescent="0.2"/>
    <row r="14490" ht="16" x14ac:dyDescent="0.2"/>
    <row r="14491" ht="16" x14ac:dyDescent="0.2"/>
    <row r="14492" ht="16" x14ac:dyDescent="0.2"/>
    <row r="14493" ht="16" x14ac:dyDescent="0.2"/>
    <row r="14494" ht="16" x14ac:dyDescent="0.2"/>
    <row r="14495" ht="16" x14ac:dyDescent="0.2"/>
    <row r="14496" ht="16" x14ac:dyDescent="0.2"/>
    <row r="14497" ht="16" x14ac:dyDescent="0.2"/>
    <row r="14498" ht="16" x14ac:dyDescent="0.2"/>
    <row r="14499" ht="16" x14ac:dyDescent="0.2"/>
    <row r="14500" ht="16" x14ac:dyDescent="0.2"/>
    <row r="14501" ht="16" x14ac:dyDescent="0.2"/>
    <row r="14502" ht="16" x14ac:dyDescent="0.2"/>
    <row r="14503" ht="16" x14ac:dyDescent="0.2"/>
    <row r="14504" ht="16" x14ac:dyDescent="0.2"/>
    <row r="14505" ht="16" x14ac:dyDescent="0.2"/>
    <row r="14506" ht="16" x14ac:dyDescent="0.2"/>
    <row r="14507" ht="16" x14ac:dyDescent="0.2"/>
    <row r="14508" ht="16" x14ac:dyDescent="0.2"/>
    <row r="14509" ht="16" x14ac:dyDescent="0.2"/>
    <row r="14510" ht="16" x14ac:dyDescent="0.2"/>
    <row r="14511" ht="16" x14ac:dyDescent="0.2"/>
    <row r="14512" ht="16" x14ac:dyDescent="0.2"/>
    <row r="14513" ht="16" x14ac:dyDescent="0.2"/>
    <row r="14514" ht="16" x14ac:dyDescent="0.2"/>
    <row r="14515" ht="16" x14ac:dyDescent="0.2"/>
    <row r="14516" ht="16" x14ac:dyDescent="0.2"/>
    <row r="14517" ht="16" x14ac:dyDescent="0.2"/>
    <row r="14518" ht="16" x14ac:dyDescent="0.2"/>
    <row r="14519" ht="16" x14ac:dyDescent="0.2"/>
    <row r="14520" ht="16" x14ac:dyDescent="0.2"/>
    <row r="14521" ht="16" x14ac:dyDescent="0.2"/>
    <row r="14522" ht="16" x14ac:dyDescent="0.2"/>
    <row r="14523" ht="16" x14ac:dyDescent="0.2"/>
    <row r="14524" ht="16" x14ac:dyDescent="0.2"/>
    <row r="14525" ht="16" x14ac:dyDescent="0.2"/>
    <row r="14526" ht="16" x14ac:dyDescent="0.2"/>
    <row r="14527" ht="16" x14ac:dyDescent="0.2"/>
    <row r="14528" ht="16" x14ac:dyDescent="0.2"/>
    <row r="14529" ht="16" x14ac:dyDescent="0.2"/>
    <row r="14530" ht="16" x14ac:dyDescent="0.2"/>
    <row r="14531" ht="16" x14ac:dyDescent="0.2"/>
    <row r="14532" ht="16" x14ac:dyDescent="0.2"/>
    <row r="14533" ht="16" x14ac:dyDescent="0.2"/>
    <row r="14534" ht="16" x14ac:dyDescent="0.2"/>
    <row r="14535" ht="16" x14ac:dyDescent="0.2"/>
    <row r="14536" ht="16" x14ac:dyDescent="0.2"/>
    <row r="14537" ht="16" x14ac:dyDescent="0.2"/>
    <row r="14538" ht="16" x14ac:dyDescent="0.2"/>
    <row r="14539" ht="16" x14ac:dyDescent="0.2"/>
    <row r="14540" ht="16" x14ac:dyDescent="0.2"/>
    <row r="14541" ht="16" x14ac:dyDescent="0.2"/>
    <row r="14542" ht="16" x14ac:dyDescent="0.2"/>
    <row r="14543" ht="16" x14ac:dyDescent="0.2"/>
    <row r="14544" ht="16" x14ac:dyDescent="0.2"/>
    <row r="14545" ht="16" x14ac:dyDescent="0.2"/>
    <row r="14546" ht="16" x14ac:dyDescent="0.2"/>
    <row r="14547" ht="16" x14ac:dyDescent="0.2"/>
    <row r="14548" ht="16" x14ac:dyDescent="0.2"/>
    <row r="14549" ht="16" x14ac:dyDescent="0.2"/>
    <row r="14550" ht="16" x14ac:dyDescent="0.2"/>
    <row r="14551" ht="16" x14ac:dyDescent="0.2"/>
    <row r="14552" ht="16" x14ac:dyDescent="0.2"/>
    <row r="14553" ht="16" x14ac:dyDescent="0.2"/>
    <row r="14554" ht="16" x14ac:dyDescent="0.2"/>
    <row r="14555" ht="16" x14ac:dyDescent="0.2"/>
    <row r="14556" ht="16" x14ac:dyDescent="0.2"/>
    <row r="14557" ht="16" x14ac:dyDescent="0.2"/>
    <row r="14558" ht="16" x14ac:dyDescent="0.2"/>
    <row r="14559" ht="16" x14ac:dyDescent="0.2"/>
    <row r="14560" ht="16" x14ac:dyDescent="0.2"/>
    <row r="14561" ht="16" x14ac:dyDescent="0.2"/>
    <row r="14562" ht="16" x14ac:dyDescent="0.2"/>
    <row r="14563" ht="16" x14ac:dyDescent="0.2"/>
    <row r="14564" ht="16" x14ac:dyDescent="0.2"/>
    <row r="14565" ht="16" x14ac:dyDescent="0.2"/>
    <row r="14566" ht="16" x14ac:dyDescent="0.2"/>
    <row r="14567" ht="16" x14ac:dyDescent="0.2"/>
    <row r="14568" ht="16" x14ac:dyDescent="0.2"/>
    <row r="14569" ht="16" x14ac:dyDescent="0.2"/>
    <row r="14570" ht="16" x14ac:dyDescent="0.2"/>
    <row r="14571" ht="16" x14ac:dyDescent="0.2"/>
    <row r="14572" ht="16" x14ac:dyDescent="0.2"/>
    <row r="14573" ht="16" x14ac:dyDescent="0.2"/>
    <row r="14574" ht="16" x14ac:dyDescent="0.2"/>
    <row r="14575" ht="16" x14ac:dyDescent="0.2"/>
    <row r="14576" ht="16" x14ac:dyDescent="0.2"/>
    <row r="14577" ht="16" x14ac:dyDescent="0.2"/>
    <row r="14578" ht="16" x14ac:dyDescent="0.2"/>
    <row r="14579" ht="16" x14ac:dyDescent="0.2"/>
    <row r="14580" ht="16" x14ac:dyDescent="0.2"/>
    <row r="14581" ht="16" x14ac:dyDescent="0.2"/>
    <row r="14582" ht="16" x14ac:dyDescent="0.2"/>
    <row r="14583" ht="16" x14ac:dyDescent="0.2"/>
    <row r="14584" ht="16" x14ac:dyDescent="0.2"/>
    <row r="14585" ht="16" x14ac:dyDescent="0.2"/>
    <row r="14586" ht="16" x14ac:dyDescent="0.2"/>
    <row r="14587" ht="16" x14ac:dyDescent="0.2"/>
    <row r="14588" ht="16" x14ac:dyDescent="0.2"/>
    <row r="14589" ht="16" x14ac:dyDescent="0.2"/>
    <row r="14590" ht="16" x14ac:dyDescent="0.2"/>
    <row r="14591" ht="16" x14ac:dyDescent="0.2"/>
    <row r="14592" ht="16" x14ac:dyDescent="0.2"/>
    <row r="14593" ht="16" x14ac:dyDescent="0.2"/>
    <row r="14594" ht="16" x14ac:dyDescent="0.2"/>
    <row r="14595" ht="16" x14ac:dyDescent="0.2"/>
    <row r="14596" ht="16" x14ac:dyDescent="0.2"/>
    <row r="14597" ht="16" x14ac:dyDescent="0.2"/>
    <row r="14598" ht="16" x14ac:dyDescent="0.2"/>
    <row r="14599" ht="16" x14ac:dyDescent="0.2"/>
    <row r="14600" ht="16" x14ac:dyDescent="0.2"/>
    <row r="14601" ht="16" x14ac:dyDescent="0.2"/>
    <row r="14602" ht="16" x14ac:dyDescent="0.2"/>
    <row r="14603" ht="16" x14ac:dyDescent="0.2"/>
    <row r="14604" ht="16" x14ac:dyDescent="0.2"/>
    <row r="14605" ht="16" x14ac:dyDescent="0.2"/>
    <row r="14606" ht="16" x14ac:dyDescent="0.2"/>
    <row r="14607" ht="16" x14ac:dyDescent="0.2"/>
    <row r="14608" ht="16" x14ac:dyDescent="0.2"/>
    <row r="14609" ht="16" x14ac:dyDescent="0.2"/>
    <row r="14610" ht="16" x14ac:dyDescent="0.2"/>
    <row r="14611" ht="16" x14ac:dyDescent="0.2"/>
    <row r="14612" ht="16" x14ac:dyDescent="0.2"/>
    <row r="14613" ht="16" x14ac:dyDescent="0.2"/>
    <row r="14614" ht="16" x14ac:dyDescent="0.2"/>
    <row r="14615" ht="16" x14ac:dyDescent="0.2"/>
    <row r="14616" ht="16" x14ac:dyDescent="0.2"/>
    <row r="14617" ht="16" x14ac:dyDescent="0.2"/>
    <row r="14618" ht="16" x14ac:dyDescent="0.2"/>
    <row r="14619" ht="16" x14ac:dyDescent="0.2"/>
    <row r="14620" ht="16" x14ac:dyDescent="0.2"/>
    <row r="14621" ht="16" x14ac:dyDescent="0.2"/>
    <row r="14622" ht="16" x14ac:dyDescent="0.2"/>
    <row r="14623" ht="16" x14ac:dyDescent="0.2"/>
    <row r="14624" ht="16" x14ac:dyDescent="0.2"/>
    <row r="14625" ht="16" x14ac:dyDescent="0.2"/>
    <row r="14626" ht="16" x14ac:dyDescent="0.2"/>
    <row r="14627" ht="16" x14ac:dyDescent="0.2"/>
    <row r="14628" ht="16" x14ac:dyDescent="0.2"/>
    <row r="14629" ht="16" x14ac:dyDescent="0.2"/>
    <row r="14630" ht="16" x14ac:dyDescent="0.2"/>
    <row r="14631" ht="16" x14ac:dyDescent="0.2"/>
    <row r="14632" ht="16" x14ac:dyDescent="0.2"/>
    <row r="14633" ht="16" x14ac:dyDescent="0.2"/>
    <row r="14634" ht="16" x14ac:dyDescent="0.2"/>
    <row r="14635" ht="16" x14ac:dyDescent="0.2"/>
    <row r="14636" ht="16" x14ac:dyDescent="0.2"/>
    <row r="14637" ht="16" x14ac:dyDescent="0.2"/>
    <row r="14638" ht="16" x14ac:dyDescent="0.2"/>
    <row r="14639" ht="16" x14ac:dyDescent="0.2"/>
    <row r="14640" ht="16" x14ac:dyDescent="0.2"/>
    <row r="14641" ht="16" x14ac:dyDescent="0.2"/>
    <row r="14642" ht="16" x14ac:dyDescent="0.2"/>
    <row r="14643" ht="16" x14ac:dyDescent="0.2"/>
    <row r="14644" ht="16" x14ac:dyDescent="0.2"/>
    <row r="14645" ht="16" x14ac:dyDescent="0.2"/>
    <row r="14646" ht="16" x14ac:dyDescent="0.2"/>
    <row r="14647" ht="16" x14ac:dyDescent="0.2"/>
    <row r="14648" ht="16" x14ac:dyDescent="0.2"/>
    <row r="14649" ht="16" x14ac:dyDescent="0.2"/>
    <row r="14650" ht="16" x14ac:dyDescent="0.2"/>
    <row r="14651" ht="16" x14ac:dyDescent="0.2"/>
    <row r="14652" ht="16" x14ac:dyDescent="0.2"/>
    <row r="14653" ht="16" x14ac:dyDescent="0.2"/>
    <row r="14654" ht="16" x14ac:dyDescent="0.2"/>
    <row r="14655" ht="16" x14ac:dyDescent="0.2"/>
    <row r="14656" ht="16" x14ac:dyDescent="0.2"/>
    <row r="14657" ht="16" x14ac:dyDescent="0.2"/>
    <row r="14658" ht="16" x14ac:dyDescent="0.2"/>
    <row r="14659" ht="16" x14ac:dyDescent="0.2"/>
    <row r="14660" ht="16" x14ac:dyDescent="0.2"/>
    <row r="14661" ht="16" x14ac:dyDescent="0.2"/>
    <row r="14662" ht="16" x14ac:dyDescent="0.2"/>
    <row r="14663" ht="16" x14ac:dyDescent="0.2"/>
    <row r="14664" ht="16" x14ac:dyDescent="0.2"/>
    <row r="14665" ht="16" x14ac:dyDescent="0.2"/>
    <row r="14666" ht="16" x14ac:dyDescent="0.2"/>
    <row r="14667" ht="16" x14ac:dyDescent="0.2"/>
    <row r="14668" ht="16" x14ac:dyDescent="0.2"/>
    <row r="14669" ht="16" x14ac:dyDescent="0.2"/>
    <row r="14670" ht="16" x14ac:dyDescent="0.2"/>
    <row r="14671" ht="16" x14ac:dyDescent="0.2"/>
    <row r="14672" ht="16" x14ac:dyDescent="0.2"/>
    <row r="14673" ht="16" x14ac:dyDescent="0.2"/>
    <row r="14674" ht="16" x14ac:dyDescent="0.2"/>
    <row r="14675" ht="16" x14ac:dyDescent="0.2"/>
    <row r="14676" ht="16" x14ac:dyDescent="0.2"/>
    <row r="14677" ht="16" x14ac:dyDescent="0.2"/>
    <row r="14678" ht="16" x14ac:dyDescent="0.2"/>
    <row r="14679" ht="16" x14ac:dyDescent="0.2"/>
    <row r="14680" ht="16" x14ac:dyDescent="0.2"/>
    <row r="14681" ht="16" x14ac:dyDescent="0.2"/>
    <row r="14682" ht="16" x14ac:dyDescent="0.2"/>
    <row r="14683" ht="16" x14ac:dyDescent="0.2"/>
    <row r="14684" ht="16" x14ac:dyDescent="0.2"/>
    <row r="14685" ht="16" x14ac:dyDescent="0.2"/>
    <row r="14686" ht="16" x14ac:dyDescent="0.2"/>
    <row r="14687" ht="16" x14ac:dyDescent="0.2"/>
    <row r="14688" ht="16" x14ac:dyDescent="0.2"/>
    <row r="14689" ht="16" x14ac:dyDescent="0.2"/>
    <row r="14690" ht="16" x14ac:dyDescent="0.2"/>
    <row r="14691" ht="16" x14ac:dyDescent="0.2"/>
    <row r="14692" ht="16" x14ac:dyDescent="0.2"/>
    <row r="14693" ht="16" x14ac:dyDescent="0.2"/>
    <row r="14694" ht="16" x14ac:dyDescent="0.2"/>
    <row r="14695" ht="16" x14ac:dyDescent="0.2"/>
    <row r="14696" ht="16" x14ac:dyDescent="0.2"/>
    <row r="14697" ht="16" x14ac:dyDescent="0.2"/>
    <row r="14698" ht="16" x14ac:dyDescent="0.2"/>
    <row r="14699" ht="16" x14ac:dyDescent="0.2"/>
    <row r="14700" ht="16" x14ac:dyDescent="0.2"/>
    <row r="14701" ht="16" x14ac:dyDescent="0.2"/>
    <row r="14702" ht="16" x14ac:dyDescent="0.2"/>
    <row r="14703" ht="16" x14ac:dyDescent="0.2"/>
    <row r="14704" ht="16" x14ac:dyDescent="0.2"/>
    <row r="14705" ht="16" x14ac:dyDescent="0.2"/>
    <row r="14706" ht="16" x14ac:dyDescent="0.2"/>
    <row r="14707" ht="16" x14ac:dyDescent="0.2"/>
    <row r="14708" ht="16" x14ac:dyDescent="0.2"/>
    <row r="14709" ht="16" x14ac:dyDescent="0.2"/>
    <row r="14710" ht="16" x14ac:dyDescent="0.2"/>
    <row r="14711" ht="16" x14ac:dyDescent="0.2"/>
    <row r="14712" ht="16" x14ac:dyDescent="0.2"/>
    <row r="14713" ht="16" x14ac:dyDescent="0.2"/>
    <row r="14714" ht="16" x14ac:dyDescent="0.2"/>
    <row r="14715" ht="16" x14ac:dyDescent="0.2"/>
    <row r="14716" ht="16" x14ac:dyDescent="0.2"/>
    <row r="14717" ht="16" x14ac:dyDescent="0.2"/>
    <row r="14718" ht="16" x14ac:dyDescent="0.2"/>
    <row r="14719" ht="16" x14ac:dyDescent="0.2"/>
    <row r="14720" ht="16" x14ac:dyDescent="0.2"/>
    <row r="14721" ht="16" x14ac:dyDescent="0.2"/>
    <row r="14722" ht="16" x14ac:dyDescent="0.2"/>
    <row r="14723" ht="16" x14ac:dyDescent="0.2"/>
    <row r="14724" ht="16" x14ac:dyDescent="0.2"/>
    <row r="14725" ht="16" x14ac:dyDescent="0.2"/>
    <row r="14726" ht="16" x14ac:dyDescent="0.2"/>
    <row r="14727" ht="16" x14ac:dyDescent="0.2"/>
    <row r="14728" ht="16" x14ac:dyDescent="0.2"/>
    <row r="14729" ht="16" x14ac:dyDescent="0.2"/>
    <row r="14730" ht="16" x14ac:dyDescent="0.2"/>
    <row r="14731" ht="16" x14ac:dyDescent="0.2"/>
    <row r="14732" ht="16" x14ac:dyDescent="0.2"/>
    <row r="14733" ht="16" x14ac:dyDescent="0.2"/>
    <row r="14734" ht="16" x14ac:dyDescent="0.2"/>
    <row r="14735" ht="16" x14ac:dyDescent="0.2"/>
    <row r="14736" ht="16" x14ac:dyDescent="0.2"/>
    <row r="14737" ht="16" x14ac:dyDescent="0.2"/>
    <row r="14738" ht="16" x14ac:dyDescent="0.2"/>
    <row r="14739" ht="16" x14ac:dyDescent="0.2"/>
    <row r="14740" ht="16" x14ac:dyDescent="0.2"/>
    <row r="14741" ht="16" x14ac:dyDescent="0.2"/>
    <row r="14742" ht="16" x14ac:dyDescent="0.2"/>
    <row r="14743" ht="16" x14ac:dyDescent="0.2"/>
    <row r="14744" ht="16" x14ac:dyDescent="0.2"/>
    <row r="14745" ht="16" x14ac:dyDescent="0.2"/>
    <row r="14746" ht="16" x14ac:dyDescent="0.2"/>
    <row r="14747" ht="16" x14ac:dyDescent="0.2"/>
    <row r="14748" ht="16" x14ac:dyDescent="0.2"/>
    <row r="14749" ht="16" x14ac:dyDescent="0.2"/>
    <row r="14750" ht="16" x14ac:dyDescent="0.2"/>
    <row r="14751" ht="16" x14ac:dyDescent="0.2"/>
    <row r="14752" ht="16" x14ac:dyDescent="0.2"/>
    <row r="14753" ht="16" x14ac:dyDescent="0.2"/>
    <row r="14754" ht="16" x14ac:dyDescent="0.2"/>
    <row r="14755" ht="16" x14ac:dyDescent="0.2"/>
    <row r="14756" ht="16" x14ac:dyDescent="0.2"/>
    <row r="14757" ht="16" x14ac:dyDescent="0.2"/>
    <row r="14758" ht="16" x14ac:dyDescent="0.2"/>
    <row r="14759" ht="16" x14ac:dyDescent="0.2"/>
    <row r="14760" ht="16" x14ac:dyDescent="0.2"/>
    <row r="14761" ht="16" x14ac:dyDescent="0.2"/>
    <row r="14762" ht="16" x14ac:dyDescent="0.2"/>
    <row r="14763" ht="16" x14ac:dyDescent="0.2"/>
    <row r="14764" ht="16" x14ac:dyDescent="0.2"/>
    <row r="14765" ht="16" x14ac:dyDescent="0.2"/>
    <row r="14766" ht="16" x14ac:dyDescent="0.2"/>
    <row r="14767" ht="16" x14ac:dyDescent="0.2"/>
    <row r="14768" ht="16" x14ac:dyDescent="0.2"/>
    <row r="14769" ht="16" x14ac:dyDescent="0.2"/>
    <row r="14770" ht="16" x14ac:dyDescent="0.2"/>
    <row r="14771" ht="16" x14ac:dyDescent="0.2"/>
    <row r="14772" ht="16" x14ac:dyDescent="0.2"/>
    <row r="14773" ht="16" x14ac:dyDescent="0.2"/>
    <row r="14774" ht="16" x14ac:dyDescent="0.2"/>
    <row r="14775" ht="16" x14ac:dyDescent="0.2"/>
    <row r="14776" ht="16" x14ac:dyDescent="0.2"/>
    <row r="14777" ht="16" x14ac:dyDescent="0.2"/>
    <row r="14778" ht="16" x14ac:dyDescent="0.2"/>
    <row r="14779" ht="16" x14ac:dyDescent="0.2"/>
    <row r="14780" ht="16" x14ac:dyDescent="0.2"/>
    <row r="14781" ht="16" x14ac:dyDescent="0.2"/>
    <row r="14782" ht="16" x14ac:dyDescent="0.2"/>
    <row r="14783" ht="16" x14ac:dyDescent="0.2"/>
    <row r="14784" ht="16" x14ac:dyDescent="0.2"/>
    <row r="14785" ht="16" x14ac:dyDescent="0.2"/>
    <row r="14786" ht="16" x14ac:dyDescent="0.2"/>
    <row r="14787" ht="16" x14ac:dyDescent="0.2"/>
    <row r="14788" ht="16" x14ac:dyDescent="0.2"/>
    <row r="14789" ht="16" x14ac:dyDescent="0.2"/>
    <row r="14790" ht="16" x14ac:dyDescent="0.2"/>
    <row r="14791" ht="16" x14ac:dyDescent="0.2"/>
    <row r="14792" ht="16" x14ac:dyDescent="0.2"/>
    <row r="14793" ht="16" x14ac:dyDescent="0.2"/>
    <row r="14794" ht="16" x14ac:dyDescent="0.2"/>
    <row r="14795" ht="16" x14ac:dyDescent="0.2"/>
    <row r="14796" ht="16" x14ac:dyDescent="0.2"/>
    <row r="14797" ht="16" x14ac:dyDescent="0.2"/>
    <row r="14798" ht="16" x14ac:dyDescent="0.2"/>
    <row r="14799" ht="16" x14ac:dyDescent="0.2"/>
    <row r="14800" ht="16" x14ac:dyDescent="0.2"/>
    <row r="14801" ht="16" x14ac:dyDescent="0.2"/>
    <row r="14802" ht="16" x14ac:dyDescent="0.2"/>
    <row r="14803" ht="16" x14ac:dyDescent="0.2"/>
    <row r="14804" ht="16" x14ac:dyDescent="0.2"/>
    <row r="14805" ht="16" x14ac:dyDescent="0.2"/>
    <row r="14806" ht="16" x14ac:dyDescent="0.2"/>
    <row r="14807" ht="16" x14ac:dyDescent="0.2"/>
    <row r="14808" ht="16" x14ac:dyDescent="0.2"/>
    <row r="14809" ht="16" x14ac:dyDescent="0.2"/>
    <row r="14810" ht="16" x14ac:dyDescent="0.2"/>
    <row r="14811" ht="16" x14ac:dyDescent="0.2"/>
    <row r="14812" ht="16" x14ac:dyDescent="0.2"/>
    <row r="14813" ht="16" x14ac:dyDescent="0.2"/>
    <row r="14814" ht="16" x14ac:dyDescent="0.2"/>
    <row r="14815" ht="16" x14ac:dyDescent="0.2"/>
    <row r="14816" ht="16" x14ac:dyDescent="0.2"/>
    <row r="14817" ht="16" x14ac:dyDescent="0.2"/>
    <row r="14818" ht="16" x14ac:dyDescent="0.2"/>
    <row r="14819" ht="16" x14ac:dyDescent="0.2"/>
    <row r="14820" ht="16" x14ac:dyDescent="0.2"/>
    <row r="14821" ht="16" x14ac:dyDescent="0.2"/>
    <row r="14822" ht="16" x14ac:dyDescent="0.2"/>
    <row r="14823" ht="16" x14ac:dyDescent="0.2"/>
    <row r="14824" ht="16" x14ac:dyDescent="0.2"/>
    <row r="14825" ht="16" x14ac:dyDescent="0.2"/>
    <row r="14826" ht="16" x14ac:dyDescent="0.2"/>
    <row r="14827" ht="16" x14ac:dyDescent="0.2"/>
    <row r="14828" ht="16" x14ac:dyDescent="0.2"/>
    <row r="14829" ht="16" x14ac:dyDescent="0.2"/>
    <row r="14830" ht="16" x14ac:dyDescent="0.2"/>
    <row r="14831" ht="16" x14ac:dyDescent="0.2"/>
    <row r="14832" ht="16" x14ac:dyDescent="0.2"/>
    <row r="14833" ht="16" x14ac:dyDescent="0.2"/>
    <row r="14834" ht="16" x14ac:dyDescent="0.2"/>
    <row r="14835" ht="16" x14ac:dyDescent="0.2"/>
    <row r="14836" ht="16" x14ac:dyDescent="0.2"/>
    <row r="14837" ht="16" x14ac:dyDescent="0.2"/>
    <row r="14838" ht="16" x14ac:dyDescent="0.2"/>
    <row r="14839" ht="16" x14ac:dyDescent="0.2"/>
    <row r="14840" ht="16" x14ac:dyDescent="0.2"/>
    <row r="14841" ht="16" x14ac:dyDescent="0.2"/>
    <row r="14842" ht="16" x14ac:dyDescent="0.2"/>
    <row r="14843" ht="16" x14ac:dyDescent="0.2"/>
    <row r="14844" ht="16" x14ac:dyDescent="0.2"/>
    <row r="14845" ht="16" x14ac:dyDescent="0.2"/>
    <row r="14846" ht="16" x14ac:dyDescent="0.2"/>
    <row r="14847" ht="16" x14ac:dyDescent="0.2"/>
    <row r="14848" ht="16" x14ac:dyDescent="0.2"/>
    <row r="14849" ht="16" x14ac:dyDescent="0.2"/>
    <row r="14850" ht="16" x14ac:dyDescent="0.2"/>
    <row r="14851" ht="16" x14ac:dyDescent="0.2"/>
    <row r="14852" ht="16" x14ac:dyDescent="0.2"/>
    <row r="14853" ht="16" x14ac:dyDescent="0.2"/>
    <row r="14854" ht="16" x14ac:dyDescent="0.2"/>
    <row r="14855" ht="16" x14ac:dyDescent="0.2"/>
    <row r="14856" ht="16" x14ac:dyDescent="0.2"/>
    <row r="14857" ht="16" x14ac:dyDescent="0.2"/>
    <row r="14858" ht="16" x14ac:dyDescent="0.2"/>
    <row r="14859" ht="16" x14ac:dyDescent="0.2"/>
    <row r="14860" ht="16" x14ac:dyDescent="0.2"/>
    <row r="14861" ht="16" x14ac:dyDescent="0.2"/>
    <row r="14862" ht="16" x14ac:dyDescent="0.2"/>
    <row r="14863" ht="16" x14ac:dyDescent="0.2"/>
    <row r="14864" ht="16" x14ac:dyDescent="0.2"/>
    <row r="14865" ht="16" x14ac:dyDescent="0.2"/>
    <row r="14866" ht="16" x14ac:dyDescent="0.2"/>
    <row r="14867" ht="16" x14ac:dyDescent="0.2"/>
    <row r="14868" ht="16" x14ac:dyDescent="0.2"/>
    <row r="14869" ht="16" x14ac:dyDescent="0.2"/>
    <row r="14870" ht="16" x14ac:dyDescent="0.2"/>
    <row r="14871" ht="16" x14ac:dyDescent="0.2"/>
    <row r="14872" ht="16" x14ac:dyDescent="0.2"/>
    <row r="14873" ht="16" x14ac:dyDescent="0.2"/>
    <row r="14874" ht="16" x14ac:dyDescent="0.2"/>
    <row r="14875" ht="16" x14ac:dyDescent="0.2"/>
    <row r="14876" ht="16" x14ac:dyDescent="0.2"/>
    <row r="14877" ht="16" x14ac:dyDescent="0.2"/>
    <row r="14878" ht="16" x14ac:dyDescent="0.2"/>
    <row r="14879" ht="16" x14ac:dyDescent="0.2"/>
    <row r="14880" ht="16" x14ac:dyDescent="0.2"/>
    <row r="14881" ht="16" x14ac:dyDescent="0.2"/>
    <row r="14882" ht="16" x14ac:dyDescent="0.2"/>
    <row r="14883" ht="16" x14ac:dyDescent="0.2"/>
    <row r="14884" ht="16" x14ac:dyDescent="0.2"/>
    <row r="14885" ht="16" x14ac:dyDescent="0.2"/>
    <row r="14886" ht="16" x14ac:dyDescent="0.2"/>
    <row r="14887" ht="16" x14ac:dyDescent="0.2"/>
    <row r="14888" ht="16" x14ac:dyDescent="0.2"/>
    <row r="14889" ht="16" x14ac:dyDescent="0.2"/>
    <row r="14890" ht="16" x14ac:dyDescent="0.2"/>
    <row r="14891" ht="16" x14ac:dyDescent="0.2"/>
    <row r="14892" ht="16" x14ac:dyDescent="0.2"/>
    <row r="14893" ht="16" x14ac:dyDescent="0.2"/>
    <row r="14894" ht="16" x14ac:dyDescent="0.2"/>
    <row r="14895" ht="16" x14ac:dyDescent="0.2"/>
    <row r="14896" ht="16" x14ac:dyDescent="0.2"/>
    <row r="14897" ht="16" x14ac:dyDescent="0.2"/>
    <row r="14898" ht="16" x14ac:dyDescent="0.2"/>
    <row r="14899" ht="16" x14ac:dyDescent="0.2"/>
    <row r="14900" ht="16" x14ac:dyDescent="0.2"/>
    <row r="14901" ht="16" x14ac:dyDescent="0.2"/>
    <row r="14902" ht="16" x14ac:dyDescent="0.2"/>
    <row r="14903" ht="16" x14ac:dyDescent="0.2"/>
    <row r="14904" ht="16" x14ac:dyDescent="0.2"/>
    <row r="14905" ht="16" x14ac:dyDescent="0.2"/>
    <row r="14906" ht="16" x14ac:dyDescent="0.2"/>
    <row r="14907" ht="16" x14ac:dyDescent="0.2"/>
    <row r="14908" ht="16" x14ac:dyDescent="0.2"/>
    <row r="14909" ht="16" x14ac:dyDescent="0.2"/>
    <row r="14910" ht="16" x14ac:dyDescent="0.2"/>
    <row r="14911" ht="16" x14ac:dyDescent="0.2"/>
    <row r="14912" ht="16" x14ac:dyDescent="0.2"/>
    <row r="14913" ht="16" x14ac:dyDescent="0.2"/>
    <row r="14914" ht="16" x14ac:dyDescent="0.2"/>
    <row r="14915" ht="16" x14ac:dyDescent="0.2"/>
    <row r="14916" ht="16" x14ac:dyDescent="0.2"/>
    <row r="14917" ht="16" x14ac:dyDescent="0.2"/>
    <row r="14918" ht="16" x14ac:dyDescent="0.2"/>
    <row r="14919" ht="16" x14ac:dyDescent="0.2"/>
    <row r="14920" ht="16" x14ac:dyDescent="0.2"/>
    <row r="14921" ht="16" x14ac:dyDescent="0.2"/>
    <row r="14922" ht="16" x14ac:dyDescent="0.2"/>
    <row r="14923" ht="16" x14ac:dyDescent="0.2"/>
    <row r="14924" ht="16" x14ac:dyDescent="0.2"/>
    <row r="14925" ht="16" x14ac:dyDescent="0.2"/>
    <row r="14926" ht="16" x14ac:dyDescent="0.2"/>
    <row r="14927" ht="16" x14ac:dyDescent="0.2"/>
    <row r="14928" ht="16" x14ac:dyDescent="0.2"/>
    <row r="14929" ht="16" x14ac:dyDescent="0.2"/>
    <row r="14930" ht="16" x14ac:dyDescent="0.2"/>
    <row r="14931" ht="16" x14ac:dyDescent="0.2"/>
    <row r="14932" ht="16" x14ac:dyDescent="0.2"/>
    <row r="14933" ht="16" x14ac:dyDescent="0.2"/>
    <row r="14934" ht="16" x14ac:dyDescent="0.2"/>
    <row r="14935" ht="16" x14ac:dyDescent="0.2"/>
    <row r="14936" ht="16" x14ac:dyDescent="0.2"/>
    <row r="14937" ht="16" x14ac:dyDescent="0.2"/>
    <row r="14938" ht="16" x14ac:dyDescent="0.2"/>
    <row r="14939" ht="16" x14ac:dyDescent="0.2"/>
    <row r="14940" ht="16" x14ac:dyDescent="0.2"/>
    <row r="14941" ht="16" x14ac:dyDescent="0.2"/>
    <row r="14942" ht="16" x14ac:dyDescent="0.2"/>
    <row r="14943" ht="16" x14ac:dyDescent="0.2"/>
    <row r="14944" ht="16" x14ac:dyDescent="0.2"/>
    <row r="14945" ht="16" x14ac:dyDescent="0.2"/>
    <row r="14946" ht="16" x14ac:dyDescent="0.2"/>
    <row r="14947" ht="16" x14ac:dyDescent="0.2"/>
    <row r="14948" ht="16" x14ac:dyDescent="0.2"/>
    <row r="14949" ht="16" x14ac:dyDescent="0.2"/>
    <row r="14950" ht="16" x14ac:dyDescent="0.2"/>
    <row r="14951" ht="16" x14ac:dyDescent="0.2"/>
    <row r="14952" ht="16" x14ac:dyDescent="0.2"/>
    <row r="14953" ht="16" x14ac:dyDescent="0.2"/>
    <row r="14954" ht="16" x14ac:dyDescent="0.2"/>
    <row r="14955" ht="16" x14ac:dyDescent="0.2"/>
    <row r="14956" ht="16" x14ac:dyDescent="0.2"/>
    <row r="14957" ht="16" x14ac:dyDescent="0.2"/>
    <row r="14958" ht="16" x14ac:dyDescent="0.2"/>
    <row r="14959" ht="16" x14ac:dyDescent="0.2"/>
    <row r="14960" ht="16" x14ac:dyDescent="0.2"/>
    <row r="14961" ht="16" x14ac:dyDescent="0.2"/>
    <row r="14962" ht="16" x14ac:dyDescent="0.2"/>
    <row r="14963" ht="16" x14ac:dyDescent="0.2"/>
    <row r="14964" ht="16" x14ac:dyDescent="0.2"/>
    <row r="14965" ht="16" x14ac:dyDescent="0.2"/>
    <row r="14966" ht="16" x14ac:dyDescent="0.2"/>
    <row r="14967" ht="16" x14ac:dyDescent="0.2"/>
    <row r="14968" ht="16" x14ac:dyDescent="0.2"/>
    <row r="14969" ht="16" x14ac:dyDescent="0.2"/>
    <row r="14970" ht="16" x14ac:dyDescent="0.2"/>
    <row r="14971" ht="16" x14ac:dyDescent="0.2"/>
    <row r="14972" ht="16" x14ac:dyDescent="0.2"/>
    <row r="14973" ht="16" x14ac:dyDescent="0.2"/>
    <row r="14974" ht="16" x14ac:dyDescent="0.2"/>
    <row r="14975" ht="16" x14ac:dyDescent="0.2"/>
    <row r="14976" ht="16" x14ac:dyDescent="0.2"/>
    <row r="14977" ht="16" x14ac:dyDescent="0.2"/>
    <row r="14978" ht="16" x14ac:dyDescent="0.2"/>
    <row r="14979" ht="16" x14ac:dyDescent="0.2"/>
    <row r="14980" ht="16" x14ac:dyDescent="0.2"/>
    <row r="14981" ht="16" x14ac:dyDescent="0.2"/>
    <row r="14982" ht="16" x14ac:dyDescent="0.2"/>
    <row r="14983" ht="16" x14ac:dyDescent="0.2"/>
    <row r="14984" ht="16" x14ac:dyDescent="0.2"/>
    <row r="14985" ht="16" x14ac:dyDescent="0.2"/>
    <row r="14986" ht="16" x14ac:dyDescent="0.2"/>
    <row r="14987" ht="16" x14ac:dyDescent="0.2"/>
    <row r="14988" ht="16" x14ac:dyDescent="0.2"/>
    <row r="14989" ht="16" x14ac:dyDescent="0.2"/>
    <row r="14990" ht="16" x14ac:dyDescent="0.2"/>
    <row r="14991" ht="16" x14ac:dyDescent="0.2"/>
    <row r="14992" ht="16" x14ac:dyDescent="0.2"/>
    <row r="14993" ht="16" x14ac:dyDescent="0.2"/>
    <row r="14994" ht="16" x14ac:dyDescent="0.2"/>
    <row r="14995" ht="16" x14ac:dyDescent="0.2"/>
    <row r="14996" ht="16" x14ac:dyDescent="0.2"/>
    <row r="14997" ht="16" x14ac:dyDescent="0.2"/>
    <row r="14998" ht="16" x14ac:dyDescent="0.2"/>
    <row r="14999" ht="16" x14ac:dyDescent="0.2"/>
    <row r="15000" ht="16" x14ac:dyDescent="0.2"/>
    <row r="15001" ht="16" x14ac:dyDescent="0.2"/>
    <row r="15002" ht="16" x14ac:dyDescent="0.2"/>
    <row r="15003" ht="16" x14ac:dyDescent="0.2"/>
    <row r="15004" ht="16" x14ac:dyDescent="0.2"/>
    <row r="15005" ht="16" x14ac:dyDescent="0.2"/>
    <row r="15006" ht="16" x14ac:dyDescent="0.2"/>
    <row r="15007" ht="16" x14ac:dyDescent="0.2"/>
    <row r="15008" ht="16" x14ac:dyDescent="0.2"/>
    <row r="15009" ht="16" x14ac:dyDescent="0.2"/>
    <row r="15010" ht="16" x14ac:dyDescent="0.2"/>
    <row r="15011" ht="16" x14ac:dyDescent="0.2"/>
    <row r="15012" ht="16" x14ac:dyDescent="0.2"/>
    <row r="15013" ht="16" x14ac:dyDescent="0.2"/>
    <row r="15014" ht="16" x14ac:dyDescent="0.2"/>
    <row r="15015" ht="16" x14ac:dyDescent="0.2"/>
    <row r="15016" ht="16" x14ac:dyDescent="0.2"/>
    <row r="15017" ht="16" x14ac:dyDescent="0.2"/>
    <row r="15018" ht="16" x14ac:dyDescent="0.2"/>
    <row r="15019" ht="16" x14ac:dyDescent="0.2"/>
    <row r="15020" ht="16" x14ac:dyDescent="0.2"/>
    <row r="15021" ht="16" x14ac:dyDescent="0.2"/>
    <row r="15022" ht="16" x14ac:dyDescent="0.2"/>
    <row r="15023" ht="16" x14ac:dyDescent="0.2"/>
    <row r="15024" ht="16" x14ac:dyDescent="0.2"/>
    <row r="15025" ht="16" x14ac:dyDescent="0.2"/>
    <row r="15026" ht="16" x14ac:dyDescent="0.2"/>
    <row r="15027" ht="16" x14ac:dyDescent="0.2"/>
    <row r="15028" ht="16" x14ac:dyDescent="0.2"/>
    <row r="15029" ht="16" x14ac:dyDescent="0.2"/>
    <row r="15030" ht="16" x14ac:dyDescent="0.2"/>
    <row r="15031" ht="16" x14ac:dyDescent="0.2"/>
    <row r="15032" ht="16" x14ac:dyDescent="0.2"/>
    <row r="15033" ht="16" x14ac:dyDescent="0.2"/>
    <row r="15034" ht="16" x14ac:dyDescent="0.2"/>
    <row r="15035" ht="16" x14ac:dyDescent="0.2"/>
    <row r="15036" ht="16" x14ac:dyDescent="0.2"/>
    <row r="15037" ht="16" x14ac:dyDescent="0.2"/>
    <row r="15038" ht="16" x14ac:dyDescent="0.2"/>
    <row r="15039" ht="16" x14ac:dyDescent="0.2"/>
    <row r="15040" ht="16" x14ac:dyDescent="0.2"/>
    <row r="15041" ht="16" x14ac:dyDescent="0.2"/>
    <row r="15042" ht="16" x14ac:dyDescent="0.2"/>
    <row r="15043" ht="16" x14ac:dyDescent="0.2"/>
    <row r="15044" ht="16" x14ac:dyDescent="0.2"/>
    <row r="15045" ht="16" x14ac:dyDescent="0.2"/>
    <row r="15046" ht="16" x14ac:dyDescent="0.2"/>
    <row r="15047" ht="16" x14ac:dyDescent="0.2"/>
    <row r="15048" ht="16" x14ac:dyDescent="0.2"/>
    <row r="15049" ht="16" x14ac:dyDescent="0.2"/>
    <row r="15050" ht="16" x14ac:dyDescent="0.2"/>
    <row r="15051" ht="16" x14ac:dyDescent="0.2"/>
    <row r="15052" ht="16" x14ac:dyDescent="0.2"/>
    <row r="15053" ht="16" x14ac:dyDescent="0.2"/>
    <row r="15054" ht="16" x14ac:dyDescent="0.2"/>
    <row r="15055" ht="16" x14ac:dyDescent="0.2"/>
    <row r="15056" ht="16" x14ac:dyDescent="0.2"/>
    <row r="15057" ht="16" x14ac:dyDescent="0.2"/>
    <row r="15058" ht="16" x14ac:dyDescent="0.2"/>
    <row r="15059" ht="16" x14ac:dyDescent="0.2"/>
    <row r="15060" ht="16" x14ac:dyDescent="0.2"/>
    <row r="15061" ht="16" x14ac:dyDescent="0.2"/>
    <row r="15062" ht="16" x14ac:dyDescent="0.2"/>
    <row r="15063" ht="16" x14ac:dyDescent="0.2"/>
    <row r="15064" ht="16" x14ac:dyDescent="0.2"/>
    <row r="15065" ht="16" x14ac:dyDescent="0.2"/>
    <row r="15066" ht="16" x14ac:dyDescent="0.2"/>
    <row r="15067" ht="16" x14ac:dyDescent="0.2"/>
    <row r="15068" ht="16" x14ac:dyDescent="0.2"/>
    <row r="15069" ht="16" x14ac:dyDescent="0.2"/>
    <row r="15070" ht="16" x14ac:dyDescent="0.2"/>
    <row r="15071" ht="16" x14ac:dyDescent="0.2"/>
    <row r="15072" ht="16" x14ac:dyDescent="0.2"/>
    <row r="15073" ht="16" x14ac:dyDescent="0.2"/>
    <row r="15074" ht="16" x14ac:dyDescent="0.2"/>
    <row r="15075" ht="16" x14ac:dyDescent="0.2"/>
    <row r="15076" ht="16" x14ac:dyDescent="0.2"/>
    <row r="15077" ht="16" x14ac:dyDescent="0.2"/>
    <row r="15078" ht="16" x14ac:dyDescent="0.2"/>
    <row r="15079" ht="16" x14ac:dyDescent="0.2"/>
    <row r="15080" ht="16" x14ac:dyDescent="0.2"/>
    <row r="15081" ht="16" x14ac:dyDescent="0.2"/>
    <row r="15082" ht="16" x14ac:dyDescent="0.2"/>
    <row r="15083" ht="16" x14ac:dyDescent="0.2"/>
    <row r="15084" ht="16" x14ac:dyDescent="0.2"/>
    <row r="15085" ht="16" x14ac:dyDescent="0.2"/>
    <row r="15086" ht="16" x14ac:dyDescent="0.2"/>
    <row r="15087" ht="16" x14ac:dyDescent="0.2"/>
    <row r="15088" ht="16" x14ac:dyDescent="0.2"/>
    <row r="15089" ht="16" x14ac:dyDescent="0.2"/>
    <row r="15090" ht="16" x14ac:dyDescent="0.2"/>
    <row r="15091" ht="16" x14ac:dyDescent="0.2"/>
    <row r="15092" ht="16" x14ac:dyDescent="0.2"/>
    <row r="15093" ht="16" x14ac:dyDescent="0.2"/>
    <row r="15094" ht="16" x14ac:dyDescent="0.2"/>
    <row r="15095" ht="16" x14ac:dyDescent="0.2"/>
    <row r="15096" ht="16" x14ac:dyDescent="0.2"/>
    <row r="15097" ht="16" x14ac:dyDescent="0.2"/>
    <row r="15098" ht="16" x14ac:dyDescent="0.2"/>
    <row r="15099" ht="16" x14ac:dyDescent="0.2"/>
    <row r="15100" ht="16" x14ac:dyDescent="0.2"/>
    <row r="15101" ht="16" x14ac:dyDescent="0.2"/>
    <row r="15102" ht="16" x14ac:dyDescent="0.2"/>
    <row r="15103" ht="16" x14ac:dyDescent="0.2"/>
    <row r="15104" ht="16" x14ac:dyDescent="0.2"/>
    <row r="15105" ht="16" x14ac:dyDescent="0.2"/>
    <row r="15106" ht="16" x14ac:dyDescent="0.2"/>
    <row r="15107" ht="16" x14ac:dyDescent="0.2"/>
    <row r="15108" ht="16" x14ac:dyDescent="0.2"/>
    <row r="15109" ht="16" x14ac:dyDescent="0.2"/>
    <row r="15110" ht="16" x14ac:dyDescent="0.2"/>
    <row r="15111" ht="16" x14ac:dyDescent="0.2"/>
    <row r="15112" ht="16" x14ac:dyDescent="0.2"/>
    <row r="15113" ht="16" x14ac:dyDescent="0.2"/>
    <row r="15114" ht="16" x14ac:dyDescent="0.2"/>
    <row r="15115" ht="16" x14ac:dyDescent="0.2"/>
    <row r="15116" ht="16" x14ac:dyDescent="0.2"/>
    <row r="15117" ht="16" x14ac:dyDescent="0.2"/>
    <row r="15118" ht="16" x14ac:dyDescent="0.2"/>
    <row r="15119" ht="16" x14ac:dyDescent="0.2"/>
    <row r="15120" ht="16" x14ac:dyDescent="0.2"/>
    <row r="15121" ht="16" x14ac:dyDescent="0.2"/>
    <row r="15122" ht="16" x14ac:dyDescent="0.2"/>
    <row r="15123" ht="16" x14ac:dyDescent="0.2"/>
    <row r="15124" ht="16" x14ac:dyDescent="0.2"/>
    <row r="15125" ht="16" x14ac:dyDescent="0.2"/>
    <row r="15126" ht="16" x14ac:dyDescent="0.2"/>
    <row r="15127" ht="16" x14ac:dyDescent="0.2"/>
    <row r="15128" ht="16" x14ac:dyDescent="0.2"/>
    <row r="15129" ht="16" x14ac:dyDescent="0.2"/>
    <row r="15130" ht="16" x14ac:dyDescent="0.2"/>
    <row r="15131" ht="16" x14ac:dyDescent="0.2"/>
    <row r="15132" ht="16" x14ac:dyDescent="0.2"/>
    <row r="15133" ht="16" x14ac:dyDescent="0.2"/>
    <row r="15134" ht="16" x14ac:dyDescent="0.2"/>
    <row r="15135" ht="16" x14ac:dyDescent="0.2"/>
    <row r="15136" ht="16" x14ac:dyDescent="0.2"/>
    <row r="15137" ht="16" x14ac:dyDescent="0.2"/>
    <row r="15138" ht="16" x14ac:dyDescent="0.2"/>
    <row r="15139" ht="16" x14ac:dyDescent="0.2"/>
    <row r="15140" ht="16" x14ac:dyDescent="0.2"/>
    <row r="15141" ht="16" x14ac:dyDescent="0.2"/>
    <row r="15142" ht="16" x14ac:dyDescent="0.2"/>
    <row r="15143" ht="16" x14ac:dyDescent="0.2"/>
    <row r="15144" ht="16" x14ac:dyDescent="0.2"/>
    <row r="15145" ht="16" x14ac:dyDescent="0.2"/>
    <row r="15146" ht="16" x14ac:dyDescent="0.2"/>
    <row r="15147" ht="16" x14ac:dyDescent="0.2"/>
    <row r="15148" ht="16" x14ac:dyDescent="0.2"/>
    <row r="15149" ht="16" x14ac:dyDescent="0.2"/>
    <row r="15150" ht="16" x14ac:dyDescent="0.2"/>
    <row r="15151" ht="16" x14ac:dyDescent="0.2"/>
    <row r="15152" ht="16" x14ac:dyDescent="0.2"/>
    <row r="15153" ht="16" x14ac:dyDescent="0.2"/>
    <row r="15154" ht="16" x14ac:dyDescent="0.2"/>
    <row r="15155" ht="16" x14ac:dyDescent="0.2"/>
    <row r="15156" ht="16" x14ac:dyDescent="0.2"/>
    <row r="15157" ht="16" x14ac:dyDescent="0.2"/>
    <row r="15158" ht="16" x14ac:dyDescent="0.2"/>
    <row r="15159" ht="16" x14ac:dyDescent="0.2"/>
    <row r="15160" ht="16" x14ac:dyDescent="0.2"/>
    <row r="15161" ht="16" x14ac:dyDescent="0.2"/>
    <row r="15162" ht="16" x14ac:dyDescent="0.2"/>
    <row r="15163" ht="16" x14ac:dyDescent="0.2"/>
    <row r="15164" ht="16" x14ac:dyDescent="0.2"/>
    <row r="15165" ht="16" x14ac:dyDescent="0.2"/>
    <row r="15166" ht="16" x14ac:dyDescent="0.2"/>
    <row r="15167" ht="16" x14ac:dyDescent="0.2"/>
    <row r="15168" ht="16" x14ac:dyDescent="0.2"/>
    <row r="15169" ht="16" x14ac:dyDescent="0.2"/>
    <row r="15170" ht="16" x14ac:dyDescent="0.2"/>
    <row r="15171" ht="16" x14ac:dyDescent="0.2"/>
    <row r="15172" ht="16" x14ac:dyDescent="0.2"/>
    <row r="15173" ht="16" x14ac:dyDescent="0.2"/>
    <row r="15174" ht="16" x14ac:dyDescent="0.2"/>
    <row r="15175" ht="16" x14ac:dyDescent="0.2"/>
    <row r="15176" ht="16" x14ac:dyDescent="0.2"/>
    <row r="15177" ht="16" x14ac:dyDescent="0.2"/>
    <row r="15178" ht="16" x14ac:dyDescent="0.2"/>
    <row r="15179" ht="16" x14ac:dyDescent="0.2"/>
    <row r="15180" ht="16" x14ac:dyDescent="0.2"/>
    <row r="15181" ht="16" x14ac:dyDescent="0.2"/>
    <row r="15182" ht="16" x14ac:dyDescent="0.2"/>
    <row r="15183" ht="16" x14ac:dyDescent="0.2"/>
    <row r="15184" ht="16" x14ac:dyDescent="0.2"/>
    <row r="15185" ht="16" x14ac:dyDescent="0.2"/>
    <row r="15186" ht="16" x14ac:dyDescent="0.2"/>
    <row r="15187" ht="16" x14ac:dyDescent="0.2"/>
    <row r="15188" ht="16" x14ac:dyDescent="0.2"/>
    <row r="15189" ht="16" x14ac:dyDescent="0.2"/>
    <row r="15190" ht="16" x14ac:dyDescent="0.2"/>
    <row r="15191" ht="16" x14ac:dyDescent="0.2"/>
    <row r="15192" ht="16" x14ac:dyDescent="0.2"/>
    <row r="15193" ht="16" x14ac:dyDescent="0.2"/>
    <row r="15194" ht="16" x14ac:dyDescent="0.2"/>
    <row r="15195" ht="16" x14ac:dyDescent="0.2"/>
    <row r="15196" ht="16" x14ac:dyDescent="0.2"/>
    <row r="15197" ht="16" x14ac:dyDescent="0.2"/>
    <row r="15198" ht="16" x14ac:dyDescent="0.2"/>
    <row r="15199" ht="16" x14ac:dyDescent="0.2"/>
    <row r="15200" ht="16" x14ac:dyDescent="0.2"/>
    <row r="15201" ht="16" x14ac:dyDescent="0.2"/>
    <row r="15202" ht="16" x14ac:dyDescent="0.2"/>
    <row r="15203" ht="16" x14ac:dyDescent="0.2"/>
    <row r="15204" ht="16" x14ac:dyDescent="0.2"/>
    <row r="15205" ht="16" x14ac:dyDescent="0.2"/>
    <row r="15206" ht="16" x14ac:dyDescent="0.2"/>
    <row r="15207" ht="16" x14ac:dyDescent="0.2"/>
    <row r="15208" ht="16" x14ac:dyDescent="0.2"/>
    <row r="15209" ht="16" x14ac:dyDescent="0.2"/>
    <row r="15210" ht="16" x14ac:dyDescent="0.2"/>
    <row r="15211" ht="16" x14ac:dyDescent="0.2"/>
    <row r="15212" ht="16" x14ac:dyDescent="0.2"/>
    <row r="15213" ht="16" x14ac:dyDescent="0.2"/>
    <row r="15214" ht="16" x14ac:dyDescent="0.2"/>
    <row r="15215" ht="16" x14ac:dyDescent="0.2"/>
    <row r="15216" ht="16" x14ac:dyDescent="0.2"/>
    <row r="15217" ht="16" x14ac:dyDescent="0.2"/>
    <row r="15218" ht="16" x14ac:dyDescent="0.2"/>
    <row r="15219" ht="16" x14ac:dyDescent="0.2"/>
    <row r="15220" ht="16" x14ac:dyDescent="0.2"/>
    <row r="15221" ht="16" x14ac:dyDescent="0.2"/>
    <row r="15222" ht="16" x14ac:dyDescent="0.2"/>
    <row r="15223" ht="16" x14ac:dyDescent="0.2"/>
    <row r="15224" ht="16" x14ac:dyDescent="0.2"/>
    <row r="15225" ht="16" x14ac:dyDescent="0.2"/>
    <row r="15226" ht="16" x14ac:dyDescent="0.2"/>
    <row r="15227" ht="16" x14ac:dyDescent="0.2"/>
    <row r="15228" ht="16" x14ac:dyDescent="0.2"/>
    <row r="15229" ht="16" x14ac:dyDescent="0.2"/>
    <row r="15230" ht="16" x14ac:dyDescent="0.2"/>
    <row r="15231" ht="16" x14ac:dyDescent="0.2"/>
    <row r="15232" ht="16" x14ac:dyDescent="0.2"/>
    <row r="15233" ht="16" x14ac:dyDescent="0.2"/>
    <row r="15234" ht="16" x14ac:dyDescent="0.2"/>
    <row r="15235" ht="16" x14ac:dyDescent="0.2"/>
    <row r="15236" ht="16" x14ac:dyDescent="0.2"/>
    <row r="15237" ht="16" x14ac:dyDescent="0.2"/>
    <row r="15238" ht="16" x14ac:dyDescent="0.2"/>
    <row r="15239" ht="16" x14ac:dyDescent="0.2"/>
    <row r="15240" ht="16" x14ac:dyDescent="0.2"/>
    <row r="15241" ht="16" x14ac:dyDescent="0.2"/>
    <row r="15242" ht="16" x14ac:dyDescent="0.2"/>
    <row r="15243" ht="16" x14ac:dyDescent="0.2"/>
    <row r="15244" ht="16" x14ac:dyDescent="0.2"/>
    <row r="15245" ht="16" x14ac:dyDescent="0.2"/>
    <row r="15246" ht="16" x14ac:dyDescent="0.2"/>
    <row r="15247" ht="16" x14ac:dyDescent="0.2"/>
    <row r="15248" ht="16" x14ac:dyDescent="0.2"/>
    <row r="15249" ht="16" x14ac:dyDescent="0.2"/>
    <row r="15250" ht="16" x14ac:dyDescent="0.2"/>
    <row r="15251" ht="16" x14ac:dyDescent="0.2"/>
    <row r="15252" ht="16" x14ac:dyDescent="0.2"/>
    <row r="15253" ht="16" x14ac:dyDescent="0.2"/>
    <row r="15254" ht="16" x14ac:dyDescent="0.2"/>
    <row r="15255" ht="16" x14ac:dyDescent="0.2"/>
    <row r="15256" ht="16" x14ac:dyDescent="0.2"/>
    <row r="15257" ht="16" x14ac:dyDescent="0.2"/>
    <row r="15258" ht="16" x14ac:dyDescent="0.2"/>
    <row r="15259" ht="16" x14ac:dyDescent="0.2"/>
    <row r="15260" ht="16" x14ac:dyDescent="0.2"/>
    <row r="15261" ht="16" x14ac:dyDescent="0.2"/>
    <row r="15262" ht="16" x14ac:dyDescent="0.2"/>
    <row r="15263" ht="16" x14ac:dyDescent="0.2"/>
    <row r="15264" ht="16" x14ac:dyDescent="0.2"/>
    <row r="15265" ht="16" x14ac:dyDescent="0.2"/>
    <row r="15266" ht="16" x14ac:dyDescent="0.2"/>
    <row r="15267" ht="16" x14ac:dyDescent="0.2"/>
    <row r="15268" ht="16" x14ac:dyDescent="0.2"/>
    <row r="15269" ht="16" x14ac:dyDescent="0.2"/>
    <row r="15270" ht="16" x14ac:dyDescent="0.2"/>
    <row r="15271" ht="16" x14ac:dyDescent="0.2"/>
    <row r="15272" ht="16" x14ac:dyDescent="0.2"/>
    <row r="15273" ht="16" x14ac:dyDescent="0.2"/>
    <row r="15274" ht="16" x14ac:dyDescent="0.2"/>
    <row r="15275" ht="16" x14ac:dyDescent="0.2"/>
    <row r="15276" ht="16" x14ac:dyDescent="0.2"/>
    <row r="15277" ht="16" x14ac:dyDescent="0.2"/>
    <row r="15278" ht="16" x14ac:dyDescent="0.2"/>
    <row r="15279" ht="16" x14ac:dyDescent="0.2"/>
    <row r="15280" ht="16" x14ac:dyDescent="0.2"/>
    <row r="15281" ht="16" x14ac:dyDescent="0.2"/>
    <row r="15282" ht="16" x14ac:dyDescent="0.2"/>
    <row r="15283" ht="16" x14ac:dyDescent="0.2"/>
    <row r="15284" ht="16" x14ac:dyDescent="0.2"/>
    <row r="15285" ht="16" x14ac:dyDescent="0.2"/>
    <row r="15286" ht="16" x14ac:dyDescent="0.2"/>
    <row r="15287" ht="16" x14ac:dyDescent="0.2"/>
    <row r="15288" ht="16" x14ac:dyDescent="0.2"/>
    <row r="15289" ht="16" x14ac:dyDescent="0.2"/>
    <row r="15290" ht="16" x14ac:dyDescent="0.2"/>
    <row r="15291" ht="16" x14ac:dyDescent="0.2"/>
    <row r="15292" ht="16" x14ac:dyDescent="0.2"/>
    <row r="15293" ht="16" x14ac:dyDescent="0.2"/>
    <row r="15294" ht="16" x14ac:dyDescent="0.2"/>
    <row r="15295" ht="16" x14ac:dyDescent="0.2"/>
    <row r="15296" ht="16" x14ac:dyDescent="0.2"/>
    <row r="15297" ht="16" x14ac:dyDescent="0.2"/>
    <row r="15298" ht="16" x14ac:dyDescent="0.2"/>
    <row r="15299" ht="16" x14ac:dyDescent="0.2"/>
    <row r="15300" ht="16" x14ac:dyDescent="0.2"/>
    <row r="15301" ht="16" x14ac:dyDescent="0.2"/>
    <row r="15302" ht="16" x14ac:dyDescent="0.2"/>
    <row r="15303" ht="16" x14ac:dyDescent="0.2"/>
    <row r="15304" ht="16" x14ac:dyDescent="0.2"/>
    <row r="15305" ht="16" x14ac:dyDescent="0.2"/>
    <row r="15306" ht="16" x14ac:dyDescent="0.2"/>
    <row r="15307" ht="16" x14ac:dyDescent="0.2"/>
    <row r="15308" ht="16" x14ac:dyDescent="0.2"/>
    <row r="15309" ht="16" x14ac:dyDescent="0.2"/>
    <row r="15310" ht="16" x14ac:dyDescent="0.2"/>
    <row r="15311" ht="16" x14ac:dyDescent="0.2"/>
    <row r="15312" ht="16" x14ac:dyDescent="0.2"/>
    <row r="15313" ht="16" x14ac:dyDescent="0.2"/>
    <row r="15314" ht="16" x14ac:dyDescent="0.2"/>
    <row r="15315" ht="16" x14ac:dyDescent="0.2"/>
    <row r="15316" ht="16" x14ac:dyDescent="0.2"/>
    <row r="15317" ht="16" x14ac:dyDescent="0.2"/>
    <row r="15318" ht="16" x14ac:dyDescent="0.2"/>
    <row r="15319" ht="16" x14ac:dyDescent="0.2"/>
    <row r="15320" ht="16" x14ac:dyDescent="0.2"/>
    <row r="15321" ht="16" x14ac:dyDescent="0.2"/>
    <row r="15322" ht="16" x14ac:dyDescent="0.2"/>
    <row r="15323" ht="16" x14ac:dyDescent="0.2"/>
    <row r="15324" ht="16" x14ac:dyDescent="0.2"/>
    <row r="15325" ht="16" x14ac:dyDescent="0.2"/>
    <row r="15326" ht="16" x14ac:dyDescent="0.2"/>
    <row r="15327" ht="16" x14ac:dyDescent="0.2"/>
    <row r="15328" ht="16" x14ac:dyDescent="0.2"/>
    <row r="15329" ht="16" x14ac:dyDescent="0.2"/>
    <row r="15330" ht="16" x14ac:dyDescent="0.2"/>
    <row r="15331" ht="16" x14ac:dyDescent="0.2"/>
    <row r="15332" ht="16" x14ac:dyDescent="0.2"/>
    <row r="15333" ht="16" x14ac:dyDescent="0.2"/>
    <row r="15334" ht="16" x14ac:dyDescent="0.2"/>
    <row r="15335" ht="16" x14ac:dyDescent="0.2"/>
    <row r="15336" ht="16" x14ac:dyDescent="0.2"/>
    <row r="15337" ht="16" x14ac:dyDescent="0.2"/>
    <row r="15338" ht="16" x14ac:dyDescent="0.2"/>
    <row r="15339" ht="16" x14ac:dyDescent="0.2"/>
    <row r="15340" ht="16" x14ac:dyDescent="0.2"/>
    <row r="15341" ht="16" x14ac:dyDescent="0.2"/>
    <row r="15342" ht="16" x14ac:dyDescent="0.2"/>
    <row r="15343" ht="16" x14ac:dyDescent="0.2"/>
    <row r="15344" ht="16" x14ac:dyDescent="0.2"/>
    <row r="15345" ht="16" x14ac:dyDescent="0.2"/>
    <row r="15346" ht="16" x14ac:dyDescent="0.2"/>
    <row r="15347" ht="16" x14ac:dyDescent="0.2"/>
    <row r="15348" ht="16" x14ac:dyDescent="0.2"/>
    <row r="15349" ht="16" x14ac:dyDescent="0.2"/>
    <row r="15350" ht="16" x14ac:dyDescent="0.2"/>
    <row r="15351" ht="16" x14ac:dyDescent="0.2"/>
    <row r="15352" ht="16" x14ac:dyDescent="0.2"/>
    <row r="15353" ht="16" x14ac:dyDescent="0.2"/>
    <row r="15354" ht="16" x14ac:dyDescent="0.2"/>
    <row r="15355" ht="16" x14ac:dyDescent="0.2"/>
    <row r="15356" ht="16" x14ac:dyDescent="0.2"/>
    <row r="15357" ht="16" x14ac:dyDescent="0.2"/>
    <row r="15358" ht="16" x14ac:dyDescent="0.2"/>
    <row r="15359" ht="16" x14ac:dyDescent="0.2"/>
    <row r="15360" ht="16" x14ac:dyDescent="0.2"/>
    <row r="15361" ht="16" x14ac:dyDescent="0.2"/>
    <row r="15362" ht="16" x14ac:dyDescent="0.2"/>
    <row r="15363" ht="16" x14ac:dyDescent="0.2"/>
    <row r="15364" ht="16" x14ac:dyDescent="0.2"/>
    <row r="15365" ht="16" x14ac:dyDescent="0.2"/>
    <row r="15366" ht="16" x14ac:dyDescent="0.2"/>
    <row r="15367" ht="16" x14ac:dyDescent="0.2"/>
    <row r="15368" ht="16" x14ac:dyDescent="0.2"/>
    <row r="15369" ht="16" x14ac:dyDescent="0.2"/>
    <row r="15370" ht="16" x14ac:dyDescent="0.2"/>
    <row r="15371" ht="16" x14ac:dyDescent="0.2"/>
    <row r="15372" ht="16" x14ac:dyDescent="0.2"/>
    <row r="15373" ht="16" x14ac:dyDescent="0.2"/>
    <row r="15374" ht="16" x14ac:dyDescent="0.2"/>
    <row r="15375" ht="16" x14ac:dyDescent="0.2"/>
    <row r="15376" ht="16" x14ac:dyDescent="0.2"/>
    <row r="15377" ht="16" x14ac:dyDescent="0.2"/>
    <row r="15378" ht="16" x14ac:dyDescent="0.2"/>
    <row r="15379" ht="16" x14ac:dyDescent="0.2"/>
    <row r="15380" ht="16" x14ac:dyDescent="0.2"/>
    <row r="15381" ht="16" x14ac:dyDescent="0.2"/>
    <row r="15382" ht="16" x14ac:dyDescent="0.2"/>
    <row r="15383" ht="16" x14ac:dyDescent="0.2"/>
    <row r="15384" ht="16" x14ac:dyDescent="0.2"/>
    <row r="15385" ht="16" x14ac:dyDescent="0.2"/>
    <row r="15386" ht="16" x14ac:dyDescent="0.2"/>
    <row r="15387" ht="16" x14ac:dyDescent="0.2"/>
    <row r="15388" ht="16" x14ac:dyDescent="0.2"/>
    <row r="15389" ht="16" x14ac:dyDescent="0.2"/>
    <row r="15390" ht="16" x14ac:dyDescent="0.2"/>
    <row r="15391" ht="16" x14ac:dyDescent="0.2"/>
    <row r="15392" ht="16" x14ac:dyDescent="0.2"/>
    <row r="15393" ht="16" x14ac:dyDescent="0.2"/>
    <row r="15394" ht="16" x14ac:dyDescent="0.2"/>
    <row r="15395" ht="16" x14ac:dyDescent="0.2"/>
    <row r="15396" ht="16" x14ac:dyDescent="0.2"/>
    <row r="15397" ht="16" x14ac:dyDescent="0.2"/>
    <row r="15398" ht="16" x14ac:dyDescent="0.2"/>
    <row r="15399" ht="16" x14ac:dyDescent="0.2"/>
    <row r="15400" ht="16" x14ac:dyDescent="0.2"/>
    <row r="15401" ht="16" x14ac:dyDescent="0.2"/>
    <row r="15402" ht="16" x14ac:dyDescent="0.2"/>
    <row r="15403" ht="16" x14ac:dyDescent="0.2"/>
    <row r="15404" ht="16" x14ac:dyDescent="0.2"/>
    <row r="15405" ht="16" x14ac:dyDescent="0.2"/>
    <row r="15406" ht="16" x14ac:dyDescent="0.2"/>
    <row r="15407" ht="16" x14ac:dyDescent="0.2"/>
    <row r="15408" ht="16" x14ac:dyDescent="0.2"/>
    <row r="15409" ht="16" x14ac:dyDescent="0.2"/>
    <row r="15410" ht="16" x14ac:dyDescent="0.2"/>
    <row r="15411" ht="16" x14ac:dyDescent="0.2"/>
    <row r="15412" ht="16" x14ac:dyDescent="0.2"/>
    <row r="15413" ht="16" x14ac:dyDescent="0.2"/>
    <row r="15414" ht="16" x14ac:dyDescent="0.2"/>
    <row r="15415" ht="16" x14ac:dyDescent="0.2"/>
    <row r="15416" ht="16" x14ac:dyDescent="0.2"/>
    <row r="15417" ht="16" x14ac:dyDescent="0.2"/>
    <row r="15418" ht="16" x14ac:dyDescent="0.2"/>
    <row r="15419" ht="16" x14ac:dyDescent="0.2"/>
    <row r="15420" ht="16" x14ac:dyDescent="0.2"/>
    <row r="15421" ht="16" x14ac:dyDescent="0.2"/>
    <row r="15422" ht="16" x14ac:dyDescent="0.2"/>
    <row r="15423" ht="16" x14ac:dyDescent="0.2"/>
    <row r="15424" ht="16" x14ac:dyDescent="0.2"/>
    <row r="15425" ht="16" x14ac:dyDescent="0.2"/>
    <row r="15426" ht="16" x14ac:dyDescent="0.2"/>
    <row r="15427" ht="16" x14ac:dyDescent="0.2"/>
    <row r="15428" ht="16" x14ac:dyDescent="0.2"/>
    <row r="15429" ht="16" x14ac:dyDescent="0.2"/>
    <row r="15430" ht="16" x14ac:dyDescent="0.2"/>
    <row r="15431" ht="16" x14ac:dyDescent="0.2"/>
    <row r="15432" ht="16" x14ac:dyDescent="0.2"/>
    <row r="15433" ht="16" x14ac:dyDescent="0.2"/>
    <row r="15434" ht="16" x14ac:dyDescent="0.2"/>
    <row r="15435" ht="16" x14ac:dyDescent="0.2"/>
    <row r="15436" ht="16" x14ac:dyDescent="0.2"/>
    <row r="15437" ht="16" x14ac:dyDescent="0.2"/>
    <row r="15438" ht="16" x14ac:dyDescent="0.2"/>
    <row r="15439" ht="16" x14ac:dyDescent="0.2"/>
    <row r="15440" ht="16" x14ac:dyDescent="0.2"/>
    <row r="15441" ht="16" x14ac:dyDescent="0.2"/>
    <row r="15442" ht="16" x14ac:dyDescent="0.2"/>
    <row r="15443" ht="16" x14ac:dyDescent="0.2"/>
    <row r="15444" ht="16" x14ac:dyDescent="0.2"/>
    <row r="15445" ht="16" x14ac:dyDescent="0.2"/>
    <row r="15446" ht="16" x14ac:dyDescent="0.2"/>
    <row r="15447" ht="16" x14ac:dyDescent="0.2"/>
    <row r="15448" ht="16" x14ac:dyDescent="0.2"/>
    <row r="15449" ht="16" x14ac:dyDescent="0.2"/>
    <row r="15450" ht="16" x14ac:dyDescent="0.2"/>
    <row r="15451" ht="16" x14ac:dyDescent="0.2"/>
    <row r="15452" ht="16" x14ac:dyDescent="0.2"/>
    <row r="15453" ht="16" x14ac:dyDescent="0.2"/>
    <row r="15454" ht="16" x14ac:dyDescent="0.2"/>
    <row r="15455" ht="16" x14ac:dyDescent="0.2"/>
    <row r="15456" ht="16" x14ac:dyDescent="0.2"/>
    <row r="15457" ht="16" x14ac:dyDescent="0.2"/>
    <row r="15458" ht="16" x14ac:dyDescent="0.2"/>
    <row r="15459" ht="16" x14ac:dyDescent="0.2"/>
    <row r="15460" ht="16" x14ac:dyDescent="0.2"/>
    <row r="15461" ht="16" x14ac:dyDescent="0.2"/>
    <row r="15462" ht="16" x14ac:dyDescent="0.2"/>
    <row r="15463" ht="16" x14ac:dyDescent="0.2"/>
    <row r="15464" ht="16" x14ac:dyDescent="0.2"/>
    <row r="15465" ht="16" x14ac:dyDescent="0.2"/>
    <row r="15466" ht="16" x14ac:dyDescent="0.2"/>
    <row r="15467" ht="16" x14ac:dyDescent="0.2"/>
    <row r="15468" ht="16" x14ac:dyDescent="0.2"/>
    <row r="15469" ht="16" x14ac:dyDescent="0.2"/>
    <row r="15470" ht="16" x14ac:dyDescent="0.2"/>
    <row r="15471" ht="16" x14ac:dyDescent="0.2"/>
    <row r="15472" ht="16" x14ac:dyDescent="0.2"/>
    <row r="15473" ht="16" x14ac:dyDescent="0.2"/>
    <row r="15474" ht="16" x14ac:dyDescent="0.2"/>
    <row r="15475" ht="16" x14ac:dyDescent="0.2"/>
    <row r="15476" ht="16" x14ac:dyDescent="0.2"/>
    <row r="15477" ht="16" x14ac:dyDescent="0.2"/>
    <row r="15478" ht="16" x14ac:dyDescent="0.2"/>
    <row r="15479" ht="16" x14ac:dyDescent="0.2"/>
    <row r="15480" ht="16" x14ac:dyDescent="0.2"/>
    <row r="15481" ht="16" x14ac:dyDescent="0.2"/>
    <row r="15482" ht="16" x14ac:dyDescent="0.2"/>
    <row r="15483" ht="16" x14ac:dyDescent="0.2"/>
    <row r="15484" ht="16" x14ac:dyDescent="0.2"/>
    <row r="15485" ht="16" x14ac:dyDescent="0.2"/>
    <row r="15486" ht="16" x14ac:dyDescent="0.2"/>
    <row r="15487" ht="16" x14ac:dyDescent="0.2"/>
    <row r="15488" ht="16" x14ac:dyDescent="0.2"/>
    <row r="15489" ht="16" x14ac:dyDescent="0.2"/>
    <row r="15490" ht="16" x14ac:dyDescent="0.2"/>
    <row r="15491" ht="16" x14ac:dyDescent="0.2"/>
    <row r="15492" ht="16" x14ac:dyDescent="0.2"/>
    <row r="15493" ht="16" x14ac:dyDescent="0.2"/>
    <row r="15494" ht="16" x14ac:dyDescent="0.2"/>
    <row r="15495" ht="16" x14ac:dyDescent="0.2"/>
    <row r="15496" ht="16" x14ac:dyDescent="0.2"/>
    <row r="15497" ht="16" x14ac:dyDescent="0.2"/>
    <row r="15498" ht="16" x14ac:dyDescent="0.2"/>
    <row r="15499" ht="16" x14ac:dyDescent="0.2"/>
    <row r="15500" ht="16" x14ac:dyDescent="0.2"/>
    <row r="15501" ht="16" x14ac:dyDescent="0.2"/>
    <row r="15502" ht="16" x14ac:dyDescent="0.2"/>
    <row r="15503" ht="16" x14ac:dyDescent="0.2"/>
    <row r="15504" ht="16" x14ac:dyDescent="0.2"/>
    <row r="15505" ht="16" x14ac:dyDescent="0.2"/>
    <row r="15506" ht="16" x14ac:dyDescent="0.2"/>
    <row r="15507" ht="16" x14ac:dyDescent="0.2"/>
    <row r="15508" ht="16" x14ac:dyDescent="0.2"/>
    <row r="15509" ht="16" x14ac:dyDescent="0.2"/>
    <row r="15510" ht="16" x14ac:dyDescent="0.2"/>
    <row r="15511" ht="16" x14ac:dyDescent="0.2"/>
    <row r="15512" ht="16" x14ac:dyDescent="0.2"/>
    <row r="15513" ht="16" x14ac:dyDescent="0.2"/>
    <row r="15514" ht="16" x14ac:dyDescent="0.2"/>
    <row r="15515" ht="16" x14ac:dyDescent="0.2"/>
    <row r="15516" ht="16" x14ac:dyDescent="0.2"/>
    <row r="15517" ht="16" x14ac:dyDescent="0.2"/>
    <row r="15518" ht="16" x14ac:dyDescent="0.2"/>
    <row r="15519" ht="16" x14ac:dyDescent="0.2"/>
    <row r="15520" ht="16" x14ac:dyDescent="0.2"/>
    <row r="15521" ht="16" x14ac:dyDescent="0.2"/>
    <row r="15522" ht="16" x14ac:dyDescent="0.2"/>
    <row r="15523" ht="16" x14ac:dyDescent="0.2"/>
    <row r="15524" ht="16" x14ac:dyDescent="0.2"/>
    <row r="15525" ht="16" x14ac:dyDescent="0.2"/>
    <row r="15526" ht="16" x14ac:dyDescent="0.2"/>
    <row r="15527" ht="16" x14ac:dyDescent="0.2"/>
    <row r="15528" ht="16" x14ac:dyDescent="0.2"/>
    <row r="15529" ht="16" x14ac:dyDescent="0.2"/>
    <row r="15530" ht="16" x14ac:dyDescent="0.2"/>
    <row r="15531" ht="16" x14ac:dyDescent="0.2"/>
    <row r="15532" ht="16" x14ac:dyDescent="0.2"/>
    <row r="15533" ht="16" x14ac:dyDescent="0.2"/>
    <row r="15534" ht="16" x14ac:dyDescent="0.2"/>
    <row r="15535" ht="16" x14ac:dyDescent="0.2"/>
    <row r="15536" ht="16" x14ac:dyDescent="0.2"/>
    <row r="15537" ht="16" x14ac:dyDescent="0.2"/>
    <row r="15538" ht="16" x14ac:dyDescent="0.2"/>
    <row r="15539" ht="16" x14ac:dyDescent="0.2"/>
    <row r="15540" ht="16" x14ac:dyDescent="0.2"/>
    <row r="15541" ht="16" x14ac:dyDescent="0.2"/>
    <row r="15542" ht="16" x14ac:dyDescent="0.2"/>
    <row r="15543" ht="16" x14ac:dyDescent="0.2"/>
    <row r="15544" ht="16" x14ac:dyDescent="0.2"/>
    <row r="15545" ht="16" x14ac:dyDescent="0.2"/>
    <row r="15546" ht="16" x14ac:dyDescent="0.2"/>
    <row r="15547" ht="16" x14ac:dyDescent="0.2"/>
    <row r="15548" ht="16" x14ac:dyDescent="0.2"/>
    <row r="15549" ht="16" x14ac:dyDescent="0.2"/>
    <row r="15550" ht="16" x14ac:dyDescent="0.2"/>
    <row r="15551" ht="16" x14ac:dyDescent="0.2"/>
    <row r="15552" ht="16" x14ac:dyDescent="0.2"/>
    <row r="15553" ht="16" x14ac:dyDescent="0.2"/>
    <row r="15554" ht="16" x14ac:dyDescent="0.2"/>
    <row r="15555" ht="16" x14ac:dyDescent="0.2"/>
    <row r="15556" ht="16" x14ac:dyDescent="0.2"/>
    <row r="15557" ht="16" x14ac:dyDescent="0.2"/>
    <row r="15558" ht="16" x14ac:dyDescent="0.2"/>
    <row r="15559" ht="16" x14ac:dyDescent="0.2"/>
    <row r="15560" ht="16" x14ac:dyDescent="0.2"/>
    <row r="15561" ht="16" x14ac:dyDescent="0.2"/>
    <row r="15562" ht="16" x14ac:dyDescent="0.2"/>
    <row r="15563" ht="16" x14ac:dyDescent="0.2"/>
    <row r="15564" ht="16" x14ac:dyDescent="0.2"/>
    <row r="15565" ht="16" x14ac:dyDescent="0.2"/>
    <row r="15566" ht="16" x14ac:dyDescent="0.2"/>
    <row r="15567" ht="16" x14ac:dyDescent="0.2"/>
    <row r="15568" ht="16" x14ac:dyDescent="0.2"/>
    <row r="15569" ht="16" x14ac:dyDescent="0.2"/>
    <row r="15570" ht="16" x14ac:dyDescent="0.2"/>
    <row r="15571" ht="16" x14ac:dyDescent="0.2"/>
    <row r="15572" ht="16" x14ac:dyDescent="0.2"/>
    <row r="15573" ht="16" x14ac:dyDescent="0.2"/>
    <row r="15574" ht="16" x14ac:dyDescent="0.2"/>
    <row r="15575" ht="16" x14ac:dyDescent="0.2"/>
    <row r="15576" ht="16" x14ac:dyDescent="0.2"/>
    <row r="15577" ht="16" x14ac:dyDescent="0.2"/>
    <row r="15578" ht="16" x14ac:dyDescent="0.2"/>
    <row r="15579" ht="16" x14ac:dyDescent="0.2"/>
    <row r="15580" ht="16" x14ac:dyDescent="0.2"/>
    <row r="15581" ht="16" x14ac:dyDescent="0.2"/>
    <row r="15582" ht="16" x14ac:dyDescent="0.2"/>
    <row r="15583" ht="16" x14ac:dyDescent="0.2"/>
    <row r="15584" ht="16" x14ac:dyDescent="0.2"/>
    <row r="15585" ht="16" x14ac:dyDescent="0.2"/>
    <row r="15586" ht="16" x14ac:dyDescent="0.2"/>
    <row r="15587" ht="16" x14ac:dyDescent="0.2"/>
    <row r="15588" ht="16" x14ac:dyDescent="0.2"/>
    <row r="15589" ht="16" x14ac:dyDescent="0.2"/>
    <row r="15590" ht="16" x14ac:dyDescent="0.2"/>
    <row r="15591" ht="16" x14ac:dyDescent="0.2"/>
    <row r="15592" ht="16" x14ac:dyDescent="0.2"/>
    <row r="15593" ht="16" x14ac:dyDescent="0.2"/>
    <row r="15594" ht="16" x14ac:dyDescent="0.2"/>
    <row r="15595" ht="16" x14ac:dyDescent="0.2"/>
    <row r="15596" ht="16" x14ac:dyDescent="0.2"/>
    <row r="15597" ht="16" x14ac:dyDescent="0.2"/>
    <row r="15598" ht="16" x14ac:dyDescent="0.2"/>
    <row r="15599" ht="16" x14ac:dyDescent="0.2"/>
    <row r="15600" ht="16" x14ac:dyDescent="0.2"/>
    <row r="15601" ht="16" x14ac:dyDescent="0.2"/>
    <row r="15602" ht="16" x14ac:dyDescent="0.2"/>
    <row r="15603" ht="16" x14ac:dyDescent="0.2"/>
    <row r="15604" ht="16" x14ac:dyDescent="0.2"/>
    <row r="15605" ht="16" x14ac:dyDescent="0.2"/>
    <row r="15606" ht="16" x14ac:dyDescent="0.2"/>
    <row r="15607" ht="16" x14ac:dyDescent="0.2"/>
    <row r="15608" ht="16" x14ac:dyDescent="0.2"/>
    <row r="15609" ht="16" x14ac:dyDescent="0.2"/>
    <row r="15610" ht="16" x14ac:dyDescent="0.2"/>
    <row r="15611" ht="16" x14ac:dyDescent="0.2"/>
    <row r="15612" ht="16" x14ac:dyDescent="0.2"/>
    <row r="15613" ht="16" x14ac:dyDescent="0.2"/>
    <row r="15614" ht="16" x14ac:dyDescent="0.2"/>
    <row r="15615" ht="16" x14ac:dyDescent="0.2"/>
    <row r="15616" ht="16" x14ac:dyDescent="0.2"/>
    <row r="15617" ht="16" x14ac:dyDescent="0.2"/>
    <row r="15618" ht="16" x14ac:dyDescent="0.2"/>
    <row r="15619" ht="16" x14ac:dyDescent="0.2"/>
    <row r="15620" ht="16" x14ac:dyDescent="0.2"/>
    <row r="15621" ht="16" x14ac:dyDescent="0.2"/>
    <row r="15622" ht="16" x14ac:dyDescent="0.2"/>
    <row r="15623" ht="16" x14ac:dyDescent="0.2"/>
    <row r="15624" ht="16" x14ac:dyDescent="0.2"/>
    <row r="15625" ht="16" x14ac:dyDescent="0.2"/>
    <row r="15626" ht="16" x14ac:dyDescent="0.2"/>
    <row r="15627" ht="16" x14ac:dyDescent="0.2"/>
    <row r="15628" ht="16" x14ac:dyDescent="0.2"/>
    <row r="15629" ht="16" x14ac:dyDescent="0.2"/>
    <row r="15630" ht="16" x14ac:dyDescent="0.2"/>
    <row r="15631" ht="16" x14ac:dyDescent="0.2"/>
    <row r="15632" ht="16" x14ac:dyDescent="0.2"/>
    <row r="15633" ht="16" x14ac:dyDescent="0.2"/>
    <row r="15634" ht="16" x14ac:dyDescent="0.2"/>
    <row r="15635" ht="16" x14ac:dyDescent="0.2"/>
    <row r="15636" ht="16" x14ac:dyDescent="0.2"/>
    <row r="15637" ht="16" x14ac:dyDescent="0.2"/>
    <row r="15638" ht="16" x14ac:dyDescent="0.2"/>
    <row r="15639" ht="16" x14ac:dyDescent="0.2"/>
    <row r="15640" ht="16" x14ac:dyDescent="0.2"/>
    <row r="15641" ht="16" x14ac:dyDescent="0.2"/>
    <row r="15642" ht="16" x14ac:dyDescent="0.2"/>
    <row r="15643" ht="16" x14ac:dyDescent="0.2"/>
    <row r="15644" ht="16" x14ac:dyDescent="0.2"/>
    <row r="15645" ht="16" x14ac:dyDescent="0.2"/>
    <row r="15646" ht="16" x14ac:dyDescent="0.2"/>
    <row r="15647" ht="16" x14ac:dyDescent="0.2"/>
    <row r="15648" ht="16" x14ac:dyDescent="0.2"/>
    <row r="15649" ht="16" x14ac:dyDescent="0.2"/>
    <row r="15650" ht="16" x14ac:dyDescent="0.2"/>
    <row r="15651" ht="16" x14ac:dyDescent="0.2"/>
    <row r="15652" ht="16" x14ac:dyDescent="0.2"/>
    <row r="15653" ht="16" x14ac:dyDescent="0.2"/>
    <row r="15654" ht="16" x14ac:dyDescent="0.2"/>
    <row r="15655" ht="16" x14ac:dyDescent="0.2"/>
    <row r="15656" ht="16" x14ac:dyDescent="0.2"/>
    <row r="15657" ht="16" x14ac:dyDescent="0.2"/>
    <row r="15658" ht="16" x14ac:dyDescent="0.2"/>
    <row r="15659" ht="16" x14ac:dyDescent="0.2"/>
    <row r="15660" ht="16" x14ac:dyDescent="0.2"/>
    <row r="15661" ht="16" x14ac:dyDescent="0.2"/>
    <row r="15662" ht="16" x14ac:dyDescent="0.2"/>
    <row r="15663" ht="16" x14ac:dyDescent="0.2"/>
    <row r="15664" ht="16" x14ac:dyDescent="0.2"/>
    <row r="15665" ht="16" x14ac:dyDescent="0.2"/>
    <row r="15666" ht="16" x14ac:dyDescent="0.2"/>
    <row r="15667" ht="16" x14ac:dyDescent="0.2"/>
    <row r="15668" ht="16" x14ac:dyDescent="0.2"/>
    <row r="15669" ht="16" x14ac:dyDescent="0.2"/>
    <row r="15670" ht="16" x14ac:dyDescent="0.2"/>
    <row r="15671" ht="16" x14ac:dyDescent="0.2"/>
    <row r="15672" ht="16" x14ac:dyDescent="0.2"/>
    <row r="15673" ht="16" x14ac:dyDescent="0.2"/>
    <row r="15674" ht="16" x14ac:dyDescent="0.2"/>
    <row r="15675" ht="16" x14ac:dyDescent="0.2"/>
    <row r="15676" ht="16" x14ac:dyDescent="0.2"/>
    <row r="15677" ht="16" x14ac:dyDescent="0.2"/>
    <row r="15678" ht="16" x14ac:dyDescent="0.2"/>
    <row r="15679" ht="16" x14ac:dyDescent="0.2"/>
    <row r="15680" ht="16" x14ac:dyDescent="0.2"/>
    <row r="15681" ht="16" x14ac:dyDescent="0.2"/>
    <row r="15682" ht="16" x14ac:dyDescent="0.2"/>
    <row r="15683" ht="16" x14ac:dyDescent="0.2"/>
    <row r="15684" ht="16" x14ac:dyDescent="0.2"/>
    <row r="15685" ht="16" x14ac:dyDescent="0.2"/>
    <row r="15686" ht="16" x14ac:dyDescent="0.2"/>
    <row r="15687" ht="16" x14ac:dyDescent="0.2"/>
    <row r="15688" ht="16" x14ac:dyDescent="0.2"/>
    <row r="15689" ht="16" x14ac:dyDescent="0.2"/>
    <row r="15690" ht="16" x14ac:dyDescent="0.2"/>
    <row r="15691" ht="16" x14ac:dyDescent="0.2"/>
    <row r="15692" ht="16" x14ac:dyDescent="0.2"/>
    <row r="15693" ht="16" x14ac:dyDescent="0.2"/>
    <row r="15694" ht="16" x14ac:dyDescent="0.2"/>
    <row r="15695" ht="16" x14ac:dyDescent="0.2"/>
    <row r="15696" ht="16" x14ac:dyDescent="0.2"/>
    <row r="15697" ht="16" x14ac:dyDescent="0.2"/>
    <row r="15698" ht="16" x14ac:dyDescent="0.2"/>
    <row r="15699" ht="16" x14ac:dyDescent="0.2"/>
    <row r="15700" ht="16" x14ac:dyDescent="0.2"/>
    <row r="15701" ht="16" x14ac:dyDescent="0.2"/>
    <row r="15702" ht="16" x14ac:dyDescent="0.2"/>
    <row r="15703" ht="16" x14ac:dyDescent="0.2"/>
    <row r="15704" ht="16" x14ac:dyDescent="0.2"/>
    <row r="15705" ht="16" x14ac:dyDescent="0.2"/>
    <row r="15706" ht="16" x14ac:dyDescent="0.2"/>
    <row r="15707" ht="16" x14ac:dyDescent="0.2"/>
    <row r="15708" ht="16" x14ac:dyDescent="0.2"/>
    <row r="15709" ht="16" x14ac:dyDescent="0.2"/>
    <row r="15710" ht="16" x14ac:dyDescent="0.2"/>
    <row r="15711" ht="16" x14ac:dyDescent="0.2"/>
    <row r="15712" ht="16" x14ac:dyDescent="0.2"/>
    <row r="15713" ht="16" x14ac:dyDescent="0.2"/>
    <row r="15714" ht="16" x14ac:dyDescent="0.2"/>
    <row r="15715" ht="16" x14ac:dyDescent="0.2"/>
    <row r="15716" ht="16" x14ac:dyDescent="0.2"/>
    <row r="15717" ht="16" x14ac:dyDescent="0.2"/>
    <row r="15718" ht="16" x14ac:dyDescent="0.2"/>
    <row r="15719" ht="16" x14ac:dyDescent="0.2"/>
    <row r="15720" ht="16" x14ac:dyDescent="0.2"/>
    <row r="15721" ht="16" x14ac:dyDescent="0.2"/>
    <row r="15722" ht="16" x14ac:dyDescent="0.2"/>
    <row r="15723" ht="16" x14ac:dyDescent="0.2"/>
    <row r="15724" ht="16" x14ac:dyDescent="0.2"/>
    <row r="15725" ht="16" x14ac:dyDescent="0.2"/>
    <row r="15726" ht="16" x14ac:dyDescent="0.2"/>
    <row r="15727" ht="16" x14ac:dyDescent="0.2"/>
    <row r="15728" ht="16" x14ac:dyDescent="0.2"/>
    <row r="15729" ht="16" x14ac:dyDescent="0.2"/>
    <row r="15730" ht="16" x14ac:dyDescent="0.2"/>
    <row r="15731" ht="16" x14ac:dyDescent="0.2"/>
    <row r="15732" ht="16" x14ac:dyDescent="0.2"/>
    <row r="15733" ht="16" x14ac:dyDescent="0.2"/>
    <row r="15734" ht="16" x14ac:dyDescent="0.2"/>
    <row r="15735" ht="16" x14ac:dyDescent="0.2"/>
    <row r="15736" ht="16" x14ac:dyDescent="0.2"/>
    <row r="15737" ht="16" x14ac:dyDescent="0.2"/>
    <row r="15738" ht="16" x14ac:dyDescent="0.2"/>
    <row r="15739" ht="16" x14ac:dyDescent="0.2"/>
    <row r="15740" ht="16" x14ac:dyDescent="0.2"/>
    <row r="15741" ht="16" x14ac:dyDescent="0.2"/>
    <row r="15742" ht="16" x14ac:dyDescent="0.2"/>
    <row r="15743" ht="16" x14ac:dyDescent="0.2"/>
    <row r="15744" ht="16" x14ac:dyDescent="0.2"/>
    <row r="15745" ht="16" x14ac:dyDescent="0.2"/>
    <row r="15746" ht="16" x14ac:dyDescent="0.2"/>
    <row r="15747" ht="16" x14ac:dyDescent="0.2"/>
    <row r="15748" ht="16" x14ac:dyDescent="0.2"/>
    <row r="15749" ht="16" x14ac:dyDescent="0.2"/>
    <row r="15750" ht="16" x14ac:dyDescent="0.2"/>
    <row r="15751" ht="16" x14ac:dyDescent="0.2"/>
    <row r="15752" ht="16" x14ac:dyDescent="0.2"/>
    <row r="15753" ht="16" x14ac:dyDescent="0.2"/>
    <row r="15754" ht="16" x14ac:dyDescent="0.2"/>
    <row r="15755" ht="16" x14ac:dyDescent="0.2"/>
    <row r="15756" ht="16" x14ac:dyDescent="0.2"/>
    <row r="15757" ht="16" x14ac:dyDescent="0.2"/>
    <row r="15758" ht="16" x14ac:dyDescent="0.2"/>
    <row r="15759" ht="16" x14ac:dyDescent="0.2"/>
    <row r="15760" ht="16" x14ac:dyDescent="0.2"/>
    <row r="15761" ht="16" x14ac:dyDescent="0.2"/>
    <row r="15762" ht="16" x14ac:dyDescent="0.2"/>
    <row r="15763" ht="16" x14ac:dyDescent="0.2"/>
    <row r="15764" ht="16" x14ac:dyDescent="0.2"/>
    <row r="15765" ht="16" x14ac:dyDescent="0.2"/>
    <row r="15766" ht="16" x14ac:dyDescent="0.2"/>
    <row r="15767" ht="16" x14ac:dyDescent="0.2"/>
    <row r="15768" ht="16" x14ac:dyDescent="0.2"/>
    <row r="15769" ht="16" x14ac:dyDescent="0.2"/>
    <row r="15770" ht="16" x14ac:dyDescent="0.2"/>
    <row r="15771" ht="16" x14ac:dyDescent="0.2"/>
    <row r="15772" ht="16" x14ac:dyDescent="0.2"/>
    <row r="15773" ht="16" x14ac:dyDescent="0.2"/>
    <row r="15774" ht="16" x14ac:dyDescent="0.2"/>
    <row r="15775" ht="16" x14ac:dyDescent="0.2"/>
    <row r="15776" ht="16" x14ac:dyDescent="0.2"/>
    <row r="15777" ht="16" x14ac:dyDescent="0.2"/>
    <row r="15778" ht="16" x14ac:dyDescent="0.2"/>
    <row r="15779" ht="16" x14ac:dyDescent="0.2"/>
    <row r="15780" ht="16" x14ac:dyDescent="0.2"/>
    <row r="15781" ht="16" x14ac:dyDescent="0.2"/>
    <row r="15782" ht="16" x14ac:dyDescent="0.2"/>
    <row r="15783" ht="16" x14ac:dyDescent="0.2"/>
    <row r="15784" ht="16" x14ac:dyDescent="0.2"/>
    <row r="15785" ht="16" x14ac:dyDescent="0.2"/>
    <row r="15786" ht="16" x14ac:dyDescent="0.2"/>
    <row r="15787" ht="16" x14ac:dyDescent="0.2"/>
    <row r="15788" ht="16" x14ac:dyDescent="0.2"/>
    <row r="15789" ht="16" x14ac:dyDescent="0.2"/>
    <row r="15790" ht="16" x14ac:dyDescent="0.2"/>
    <row r="15791" ht="16" x14ac:dyDescent="0.2"/>
    <row r="15792" ht="16" x14ac:dyDescent="0.2"/>
    <row r="15793" ht="16" x14ac:dyDescent="0.2"/>
    <row r="15794" ht="16" x14ac:dyDescent="0.2"/>
    <row r="15795" ht="16" x14ac:dyDescent="0.2"/>
    <row r="15796" ht="16" x14ac:dyDescent="0.2"/>
    <row r="15797" ht="16" x14ac:dyDescent="0.2"/>
    <row r="15798" ht="16" x14ac:dyDescent="0.2"/>
    <row r="15799" ht="16" x14ac:dyDescent="0.2"/>
    <row r="15800" ht="16" x14ac:dyDescent="0.2"/>
    <row r="15801" ht="16" x14ac:dyDescent="0.2"/>
    <row r="15802" ht="16" x14ac:dyDescent="0.2"/>
    <row r="15803" ht="16" x14ac:dyDescent="0.2"/>
    <row r="15804" ht="16" x14ac:dyDescent="0.2"/>
    <row r="15805" ht="16" x14ac:dyDescent="0.2"/>
    <row r="15806" ht="16" x14ac:dyDescent="0.2"/>
    <row r="15807" ht="16" x14ac:dyDescent="0.2"/>
    <row r="15808" ht="16" x14ac:dyDescent="0.2"/>
    <row r="15809" ht="16" x14ac:dyDescent="0.2"/>
    <row r="15810" ht="16" x14ac:dyDescent="0.2"/>
    <row r="15811" ht="16" x14ac:dyDescent="0.2"/>
    <row r="15812" ht="16" x14ac:dyDescent="0.2"/>
    <row r="15813" ht="16" x14ac:dyDescent="0.2"/>
    <row r="15814" ht="16" x14ac:dyDescent="0.2"/>
    <row r="15815" ht="16" x14ac:dyDescent="0.2"/>
    <row r="15816" ht="16" x14ac:dyDescent="0.2"/>
    <row r="15817" ht="16" x14ac:dyDescent="0.2"/>
    <row r="15818" ht="16" x14ac:dyDescent="0.2"/>
    <row r="15819" ht="16" x14ac:dyDescent="0.2"/>
    <row r="15820" ht="16" x14ac:dyDescent="0.2"/>
    <row r="15821" ht="16" x14ac:dyDescent="0.2"/>
    <row r="15822" ht="16" x14ac:dyDescent="0.2"/>
    <row r="15823" ht="16" x14ac:dyDescent="0.2"/>
    <row r="15824" ht="16" x14ac:dyDescent="0.2"/>
    <row r="15825" ht="16" x14ac:dyDescent="0.2"/>
    <row r="15826" ht="16" x14ac:dyDescent="0.2"/>
    <row r="15827" ht="16" x14ac:dyDescent="0.2"/>
    <row r="15828" ht="16" x14ac:dyDescent="0.2"/>
    <row r="15829" ht="16" x14ac:dyDescent="0.2"/>
    <row r="15830" ht="16" x14ac:dyDescent="0.2"/>
    <row r="15831" ht="16" x14ac:dyDescent="0.2"/>
    <row r="15832" ht="16" x14ac:dyDescent="0.2"/>
    <row r="15833" ht="16" x14ac:dyDescent="0.2"/>
    <row r="15834" ht="16" x14ac:dyDescent="0.2"/>
    <row r="15835" ht="16" x14ac:dyDescent="0.2"/>
    <row r="15836" ht="16" x14ac:dyDescent="0.2"/>
    <row r="15837" ht="16" x14ac:dyDescent="0.2"/>
    <row r="15838" ht="16" x14ac:dyDescent="0.2"/>
    <row r="15839" ht="16" x14ac:dyDescent="0.2"/>
    <row r="15840" ht="16" x14ac:dyDescent="0.2"/>
    <row r="15841" ht="16" x14ac:dyDescent="0.2"/>
    <row r="15842" ht="16" x14ac:dyDescent="0.2"/>
    <row r="15843" ht="16" x14ac:dyDescent="0.2"/>
    <row r="15844" ht="16" x14ac:dyDescent="0.2"/>
    <row r="15845" ht="16" x14ac:dyDescent="0.2"/>
    <row r="15846" ht="16" x14ac:dyDescent="0.2"/>
    <row r="15847" ht="16" x14ac:dyDescent="0.2"/>
    <row r="15848" ht="16" x14ac:dyDescent="0.2"/>
    <row r="15849" ht="16" x14ac:dyDescent="0.2"/>
    <row r="15850" ht="16" x14ac:dyDescent="0.2"/>
    <row r="15851" ht="16" x14ac:dyDescent="0.2"/>
    <row r="15852" ht="16" x14ac:dyDescent="0.2"/>
    <row r="15853" ht="16" x14ac:dyDescent="0.2"/>
    <row r="15854" ht="16" x14ac:dyDescent="0.2"/>
    <row r="15855" ht="16" x14ac:dyDescent="0.2"/>
    <row r="15856" ht="16" x14ac:dyDescent="0.2"/>
    <row r="15857" ht="16" x14ac:dyDescent="0.2"/>
    <row r="15858" ht="16" x14ac:dyDescent="0.2"/>
    <row r="15859" ht="16" x14ac:dyDescent="0.2"/>
    <row r="15860" ht="16" x14ac:dyDescent="0.2"/>
    <row r="15861" ht="16" x14ac:dyDescent="0.2"/>
    <row r="15862" ht="16" x14ac:dyDescent="0.2"/>
    <row r="15863" ht="16" x14ac:dyDescent="0.2"/>
    <row r="15864" ht="16" x14ac:dyDescent="0.2"/>
    <row r="15865" ht="16" x14ac:dyDescent="0.2"/>
    <row r="15866" ht="16" x14ac:dyDescent="0.2"/>
    <row r="15867" ht="16" x14ac:dyDescent="0.2"/>
    <row r="15868" ht="16" x14ac:dyDescent="0.2"/>
    <row r="15869" ht="16" x14ac:dyDescent="0.2"/>
    <row r="15870" ht="16" x14ac:dyDescent="0.2"/>
    <row r="15871" ht="16" x14ac:dyDescent="0.2"/>
    <row r="15872" ht="16" x14ac:dyDescent="0.2"/>
    <row r="15873" ht="16" x14ac:dyDescent="0.2"/>
    <row r="15874" ht="16" x14ac:dyDescent="0.2"/>
    <row r="15875" ht="16" x14ac:dyDescent="0.2"/>
    <row r="15876" ht="16" x14ac:dyDescent="0.2"/>
    <row r="15877" ht="16" x14ac:dyDescent="0.2"/>
    <row r="15878" ht="16" x14ac:dyDescent="0.2"/>
    <row r="15879" ht="16" x14ac:dyDescent="0.2"/>
    <row r="15880" ht="16" x14ac:dyDescent="0.2"/>
    <row r="15881" ht="16" x14ac:dyDescent="0.2"/>
    <row r="15882" ht="16" x14ac:dyDescent="0.2"/>
    <row r="15883" ht="16" x14ac:dyDescent="0.2"/>
    <row r="15884" ht="16" x14ac:dyDescent="0.2"/>
    <row r="15885" ht="16" x14ac:dyDescent="0.2"/>
    <row r="15886" ht="16" x14ac:dyDescent="0.2"/>
    <row r="15887" ht="16" x14ac:dyDescent="0.2"/>
    <row r="15888" ht="16" x14ac:dyDescent="0.2"/>
    <row r="15889" ht="16" x14ac:dyDescent="0.2"/>
    <row r="15890" ht="16" x14ac:dyDescent="0.2"/>
    <row r="15891" ht="16" x14ac:dyDescent="0.2"/>
    <row r="15892" ht="16" x14ac:dyDescent="0.2"/>
    <row r="15893" ht="16" x14ac:dyDescent="0.2"/>
    <row r="15894" ht="16" x14ac:dyDescent="0.2"/>
    <row r="15895" ht="16" x14ac:dyDescent="0.2"/>
    <row r="15896" ht="16" x14ac:dyDescent="0.2"/>
    <row r="15897" ht="16" x14ac:dyDescent="0.2"/>
    <row r="15898" ht="16" x14ac:dyDescent="0.2"/>
    <row r="15899" ht="16" x14ac:dyDescent="0.2"/>
    <row r="15900" ht="16" x14ac:dyDescent="0.2"/>
    <row r="15901" ht="16" x14ac:dyDescent="0.2"/>
    <row r="15902" ht="16" x14ac:dyDescent="0.2"/>
    <row r="15903" ht="16" x14ac:dyDescent="0.2"/>
    <row r="15904" ht="16" x14ac:dyDescent="0.2"/>
    <row r="15905" ht="16" x14ac:dyDescent="0.2"/>
    <row r="15906" ht="16" x14ac:dyDescent="0.2"/>
    <row r="15907" ht="16" x14ac:dyDescent="0.2"/>
    <row r="15908" ht="16" x14ac:dyDescent="0.2"/>
    <row r="15909" ht="16" x14ac:dyDescent="0.2"/>
    <row r="15910" ht="16" x14ac:dyDescent="0.2"/>
    <row r="15911" ht="16" x14ac:dyDescent="0.2"/>
    <row r="15912" ht="16" x14ac:dyDescent="0.2"/>
    <row r="15913" ht="16" x14ac:dyDescent="0.2"/>
    <row r="15914" ht="16" x14ac:dyDescent="0.2"/>
    <row r="15915" ht="16" x14ac:dyDescent="0.2"/>
    <row r="15916" ht="16" x14ac:dyDescent="0.2"/>
    <row r="15917" ht="16" x14ac:dyDescent="0.2"/>
    <row r="15918" ht="16" x14ac:dyDescent="0.2"/>
    <row r="15919" ht="16" x14ac:dyDescent="0.2"/>
    <row r="15920" ht="16" x14ac:dyDescent="0.2"/>
    <row r="15921" ht="16" x14ac:dyDescent="0.2"/>
    <row r="15922" ht="16" x14ac:dyDescent="0.2"/>
    <row r="15923" ht="16" x14ac:dyDescent="0.2"/>
    <row r="15924" ht="16" x14ac:dyDescent="0.2"/>
    <row r="15925" ht="16" x14ac:dyDescent="0.2"/>
    <row r="15926" ht="16" x14ac:dyDescent="0.2"/>
    <row r="15927" ht="16" x14ac:dyDescent="0.2"/>
    <row r="15928" ht="16" x14ac:dyDescent="0.2"/>
    <row r="15929" ht="16" x14ac:dyDescent="0.2"/>
    <row r="15930" ht="16" x14ac:dyDescent="0.2"/>
    <row r="15931" ht="16" x14ac:dyDescent="0.2"/>
    <row r="15932" ht="16" x14ac:dyDescent="0.2"/>
    <row r="15933" ht="16" x14ac:dyDescent="0.2"/>
    <row r="15934" ht="16" x14ac:dyDescent="0.2"/>
    <row r="15935" ht="16" x14ac:dyDescent="0.2"/>
    <row r="15936" ht="16" x14ac:dyDescent="0.2"/>
    <row r="15937" ht="16" x14ac:dyDescent="0.2"/>
    <row r="15938" ht="16" x14ac:dyDescent="0.2"/>
    <row r="15939" ht="16" x14ac:dyDescent="0.2"/>
    <row r="15940" ht="16" x14ac:dyDescent="0.2"/>
    <row r="15941" ht="16" x14ac:dyDescent="0.2"/>
    <row r="15942" ht="16" x14ac:dyDescent="0.2"/>
    <row r="15943" ht="16" x14ac:dyDescent="0.2"/>
    <row r="15944" ht="16" x14ac:dyDescent="0.2"/>
    <row r="15945" ht="16" x14ac:dyDescent="0.2"/>
    <row r="15946" ht="16" x14ac:dyDescent="0.2"/>
    <row r="15947" ht="16" x14ac:dyDescent="0.2"/>
    <row r="15948" ht="16" x14ac:dyDescent="0.2"/>
    <row r="15949" ht="16" x14ac:dyDescent="0.2"/>
    <row r="15950" ht="16" x14ac:dyDescent="0.2"/>
    <row r="15951" ht="16" x14ac:dyDescent="0.2"/>
    <row r="15952" ht="16" x14ac:dyDescent="0.2"/>
    <row r="15953" ht="16" x14ac:dyDescent="0.2"/>
    <row r="15954" ht="16" x14ac:dyDescent="0.2"/>
    <row r="15955" ht="16" x14ac:dyDescent="0.2"/>
    <row r="15956" ht="16" x14ac:dyDescent="0.2"/>
    <row r="15957" ht="16" x14ac:dyDescent="0.2"/>
    <row r="15958" ht="16" x14ac:dyDescent="0.2"/>
    <row r="15959" ht="16" x14ac:dyDescent="0.2"/>
    <row r="15960" ht="16" x14ac:dyDescent="0.2"/>
    <row r="15961" ht="16" x14ac:dyDescent="0.2"/>
    <row r="15962" ht="16" x14ac:dyDescent="0.2"/>
    <row r="15963" ht="16" x14ac:dyDescent="0.2"/>
    <row r="15964" ht="16" x14ac:dyDescent="0.2"/>
    <row r="15965" ht="16" x14ac:dyDescent="0.2"/>
    <row r="15966" ht="16" x14ac:dyDescent="0.2"/>
    <row r="15967" ht="16" x14ac:dyDescent="0.2"/>
    <row r="15968" ht="16" x14ac:dyDescent="0.2"/>
    <row r="15969" ht="16" x14ac:dyDescent="0.2"/>
    <row r="15970" ht="16" x14ac:dyDescent="0.2"/>
    <row r="15971" ht="16" x14ac:dyDescent="0.2"/>
    <row r="15972" ht="16" x14ac:dyDescent="0.2"/>
    <row r="15973" ht="16" x14ac:dyDescent="0.2"/>
    <row r="15974" ht="16" x14ac:dyDescent="0.2"/>
    <row r="15975" ht="16" x14ac:dyDescent="0.2"/>
    <row r="15976" ht="16" x14ac:dyDescent="0.2"/>
    <row r="15977" ht="16" x14ac:dyDescent="0.2"/>
    <row r="15978" ht="16" x14ac:dyDescent="0.2"/>
    <row r="15979" ht="16" x14ac:dyDescent="0.2"/>
    <row r="15980" ht="16" x14ac:dyDescent="0.2"/>
    <row r="15981" ht="16" x14ac:dyDescent="0.2"/>
    <row r="15982" ht="16" x14ac:dyDescent="0.2"/>
    <row r="15983" ht="16" x14ac:dyDescent="0.2"/>
    <row r="15984" ht="16" x14ac:dyDescent="0.2"/>
    <row r="15985" ht="16" x14ac:dyDescent="0.2"/>
    <row r="15986" ht="16" x14ac:dyDescent="0.2"/>
    <row r="15987" ht="16" x14ac:dyDescent="0.2"/>
    <row r="15988" ht="16" x14ac:dyDescent="0.2"/>
    <row r="15989" ht="16" x14ac:dyDescent="0.2"/>
    <row r="15990" ht="16" x14ac:dyDescent="0.2"/>
    <row r="15991" ht="16" x14ac:dyDescent="0.2"/>
    <row r="15992" ht="16" x14ac:dyDescent="0.2"/>
    <row r="15993" ht="16" x14ac:dyDescent="0.2"/>
    <row r="15994" ht="16" x14ac:dyDescent="0.2"/>
    <row r="15995" ht="16" x14ac:dyDescent="0.2"/>
    <row r="15996" ht="16" x14ac:dyDescent="0.2"/>
    <row r="15997" ht="16" x14ac:dyDescent="0.2"/>
    <row r="15998" ht="16" x14ac:dyDescent="0.2"/>
    <row r="15999" ht="16" x14ac:dyDescent="0.2"/>
    <row r="16000" ht="16" x14ac:dyDescent="0.2"/>
    <row r="16001" ht="16" x14ac:dyDescent="0.2"/>
    <row r="16002" ht="16" x14ac:dyDescent="0.2"/>
    <row r="16003" ht="16" x14ac:dyDescent="0.2"/>
    <row r="16004" ht="16" x14ac:dyDescent="0.2"/>
    <row r="16005" ht="16" x14ac:dyDescent="0.2"/>
    <row r="16006" ht="16" x14ac:dyDescent="0.2"/>
    <row r="16007" ht="16" x14ac:dyDescent="0.2"/>
    <row r="16008" ht="16" x14ac:dyDescent="0.2"/>
    <row r="16009" ht="16" x14ac:dyDescent="0.2"/>
    <row r="16010" ht="16" x14ac:dyDescent="0.2"/>
    <row r="16011" ht="16" x14ac:dyDescent="0.2"/>
    <row r="16012" ht="16" x14ac:dyDescent="0.2"/>
    <row r="16013" ht="16" x14ac:dyDescent="0.2"/>
    <row r="16014" ht="16" x14ac:dyDescent="0.2"/>
    <row r="16015" ht="16" x14ac:dyDescent="0.2"/>
    <row r="16016" ht="16" x14ac:dyDescent="0.2"/>
    <row r="16017" ht="16" x14ac:dyDescent="0.2"/>
    <row r="16018" ht="16" x14ac:dyDescent="0.2"/>
    <row r="16019" ht="16" x14ac:dyDescent="0.2"/>
    <row r="16020" ht="16" x14ac:dyDescent="0.2"/>
    <row r="16021" ht="16" x14ac:dyDescent="0.2"/>
    <row r="16022" ht="16" x14ac:dyDescent="0.2"/>
    <row r="16023" ht="16" x14ac:dyDescent="0.2"/>
    <row r="16024" ht="16" x14ac:dyDescent="0.2"/>
    <row r="16025" ht="16" x14ac:dyDescent="0.2"/>
    <row r="16026" ht="16" x14ac:dyDescent="0.2"/>
    <row r="16027" ht="16" x14ac:dyDescent="0.2"/>
    <row r="16028" ht="16" x14ac:dyDescent="0.2"/>
    <row r="16029" ht="16" x14ac:dyDescent="0.2"/>
    <row r="16030" ht="16" x14ac:dyDescent="0.2"/>
    <row r="16031" ht="16" x14ac:dyDescent="0.2"/>
    <row r="16032" ht="16" x14ac:dyDescent="0.2"/>
    <row r="16033" ht="16" x14ac:dyDescent="0.2"/>
    <row r="16034" ht="16" x14ac:dyDescent="0.2"/>
    <row r="16035" ht="16" x14ac:dyDescent="0.2"/>
    <row r="16036" ht="16" x14ac:dyDescent="0.2"/>
    <row r="16037" ht="16" x14ac:dyDescent="0.2"/>
    <row r="16038" ht="16" x14ac:dyDescent="0.2"/>
    <row r="16039" ht="16" x14ac:dyDescent="0.2"/>
    <row r="16040" ht="16" x14ac:dyDescent="0.2"/>
    <row r="16041" ht="16" x14ac:dyDescent="0.2"/>
    <row r="16042" ht="16" x14ac:dyDescent="0.2"/>
    <row r="16043" ht="16" x14ac:dyDescent="0.2"/>
    <row r="16044" ht="16" x14ac:dyDescent="0.2"/>
    <row r="16045" ht="16" x14ac:dyDescent="0.2"/>
    <row r="16046" ht="16" x14ac:dyDescent="0.2"/>
    <row r="16047" ht="16" x14ac:dyDescent="0.2"/>
    <row r="16048" ht="16" x14ac:dyDescent="0.2"/>
    <row r="16049" ht="16" x14ac:dyDescent="0.2"/>
    <row r="16050" ht="16" x14ac:dyDescent="0.2"/>
    <row r="16051" ht="16" x14ac:dyDescent="0.2"/>
    <row r="16052" ht="16" x14ac:dyDescent="0.2"/>
    <row r="16053" ht="16" x14ac:dyDescent="0.2"/>
    <row r="16054" ht="16" x14ac:dyDescent="0.2"/>
    <row r="16055" ht="16" x14ac:dyDescent="0.2"/>
    <row r="16056" ht="16" x14ac:dyDescent="0.2"/>
    <row r="16057" ht="16" x14ac:dyDescent="0.2"/>
    <row r="16058" ht="16" x14ac:dyDescent="0.2"/>
    <row r="16059" ht="16" x14ac:dyDescent="0.2"/>
    <row r="16060" ht="16" x14ac:dyDescent="0.2"/>
    <row r="16061" ht="16" x14ac:dyDescent="0.2"/>
    <row r="16062" ht="16" x14ac:dyDescent="0.2"/>
    <row r="16063" ht="16" x14ac:dyDescent="0.2"/>
    <row r="16064" ht="16" x14ac:dyDescent="0.2"/>
    <row r="16065" ht="16" x14ac:dyDescent="0.2"/>
    <row r="16066" ht="16" x14ac:dyDescent="0.2"/>
    <row r="16067" ht="16" x14ac:dyDescent="0.2"/>
    <row r="16068" ht="16" x14ac:dyDescent="0.2"/>
    <row r="16069" ht="16" x14ac:dyDescent="0.2"/>
    <row r="16070" ht="16" x14ac:dyDescent="0.2"/>
    <row r="16071" ht="16" x14ac:dyDescent="0.2"/>
    <row r="16072" ht="16" x14ac:dyDescent="0.2"/>
    <row r="16073" ht="16" x14ac:dyDescent="0.2"/>
    <row r="16074" ht="16" x14ac:dyDescent="0.2"/>
    <row r="16075" ht="16" x14ac:dyDescent="0.2"/>
    <row r="16076" ht="16" x14ac:dyDescent="0.2"/>
    <row r="16077" ht="16" x14ac:dyDescent="0.2"/>
    <row r="16078" ht="16" x14ac:dyDescent="0.2"/>
    <row r="16079" ht="16" x14ac:dyDescent="0.2"/>
    <row r="16080" ht="16" x14ac:dyDescent="0.2"/>
    <row r="16081" ht="16" x14ac:dyDescent="0.2"/>
    <row r="16082" ht="16" x14ac:dyDescent="0.2"/>
    <row r="16083" ht="16" x14ac:dyDescent="0.2"/>
    <row r="16084" ht="16" x14ac:dyDescent="0.2"/>
    <row r="16085" ht="16" x14ac:dyDescent="0.2"/>
    <row r="16086" ht="16" x14ac:dyDescent="0.2"/>
    <row r="16087" ht="16" x14ac:dyDescent="0.2"/>
    <row r="16088" ht="16" x14ac:dyDescent="0.2"/>
    <row r="16089" ht="16" x14ac:dyDescent="0.2"/>
    <row r="16090" ht="16" x14ac:dyDescent="0.2"/>
    <row r="16091" ht="16" x14ac:dyDescent="0.2"/>
    <row r="16092" ht="16" x14ac:dyDescent="0.2"/>
    <row r="16093" ht="16" x14ac:dyDescent="0.2"/>
    <row r="16094" ht="16" x14ac:dyDescent="0.2"/>
    <row r="16095" ht="16" x14ac:dyDescent="0.2"/>
    <row r="16096" ht="16" x14ac:dyDescent="0.2"/>
    <row r="16097" ht="16" x14ac:dyDescent="0.2"/>
    <row r="16098" ht="16" x14ac:dyDescent="0.2"/>
    <row r="16099" ht="16" x14ac:dyDescent="0.2"/>
    <row r="16100" ht="16" x14ac:dyDescent="0.2"/>
    <row r="16101" ht="16" x14ac:dyDescent="0.2"/>
    <row r="16102" ht="16" x14ac:dyDescent="0.2"/>
    <row r="16103" ht="16" x14ac:dyDescent="0.2"/>
    <row r="16104" ht="16" x14ac:dyDescent="0.2"/>
    <row r="16105" ht="16" x14ac:dyDescent="0.2"/>
    <row r="16106" ht="16" x14ac:dyDescent="0.2"/>
    <row r="16107" ht="16" x14ac:dyDescent="0.2"/>
    <row r="16108" ht="16" x14ac:dyDescent="0.2"/>
    <row r="16109" ht="16" x14ac:dyDescent="0.2"/>
    <row r="16110" ht="16" x14ac:dyDescent="0.2"/>
    <row r="16111" ht="16" x14ac:dyDescent="0.2"/>
    <row r="16112" ht="16" x14ac:dyDescent="0.2"/>
    <row r="16113" ht="16" x14ac:dyDescent="0.2"/>
    <row r="16114" ht="16" x14ac:dyDescent="0.2"/>
    <row r="16115" ht="16" x14ac:dyDescent="0.2"/>
    <row r="16116" ht="16" x14ac:dyDescent="0.2"/>
    <row r="16117" ht="16" x14ac:dyDescent="0.2"/>
    <row r="16118" ht="16" x14ac:dyDescent="0.2"/>
    <row r="16119" ht="16" x14ac:dyDescent="0.2"/>
    <row r="16120" ht="16" x14ac:dyDescent="0.2"/>
    <row r="16121" ht="16" x14ac:dyDescent="0.2"/>
    <row r="16122" ht="16" x14ac:dyDescent="0.2"/>
    <row r="16123" ht="16" x14ac:dyDescent="0.2"/>
    <row r="16124" ht="16" x14ac:dyDescent="0.2"/>
    <row r="16125" ht="16" x14ac:dyDescent="0.2"/>
    <row r="16126" ht="16" x14ac:dyDescent="0.2"/>
    <row r="16127" ht="16" x14ac:dyDescent="0.2"/>
    <row r="16128" ht="16" x14ac:dyDescent="0.2"/>
    <row r="16129" ht="16" x14ac:dyDescent="0.2"/>
    <row r="16130" ht="16" x14ac:dyDescent="0.2"/>
    <row r="16131" ht="16" x14ac:dyDescent="0.2"/>
    <row r="16132" ht="16" x14ac:dyDescent="0.2"/>
    <row r="16133" ht="16" x14ac:dyDescent="0.2"/>
    <row r="16134" ht="16" x14ac:dyDescent="0.2"/>
    <row r="16135" ht="16" x14ac:dyDescent="0.2"/>
    <row r="16136" ht="16" x14ac:dyDescent="0.2"/>
    <row r="16137" ht="16" x14ac:dyDescent="0.2"/>
    <row r="16138" ht="16" x14ac:dyDescent="0.2"/>
    <row r="16139" ht="16" x14ac:dyDescent="0.2"/>
    <row r="16140" ht="16" x14ac:dyDescent="0.2"/>
    <row r="16141" ht="16" x14ac:dyDescent="0.2"/>
    <row r="16142" ht="16" x14ac:dyDescent="0.2"/>
    <row r="16143" ht="16" x14ac:dyDescent="0.2"/>
    <row r="16144" ht="16" x14ac:dyDescent="0.2"/>
    <row r="16145" ht="16" x14ac:dyDescent="0.2"/>
    <row r="16146" ht="16" x14ac:dyDescent="0.2"/>
    <row r="16147" ht="16" x14ac:dyDescent="0.2"/>
    <row r="16148" ht="16" x14ac:dyDescent="0.2"/>
    <row r="16149" ht="16" x14ac:dyDescent="0.2"/>
    <row r="16150" ht="16" x14ac:dyDescent="0.2"/>
    <row r="16151" ht="16" x14ac:dyDescent="0.2"/>
    <row r="16152" ht="16" x14ac:dyDescent="0.2"/>
    <row r="16153" ht="16" x14ac:dyDescent="0.2"/>
    <row r="16154" ht="16" x14ac:dyDescent="0.2"/>
    <row r="16155" ht="16" x14ac:dyDescent="0.2"/>
    <row r="16156" ht="16" x14ac:dyDescent="0.2"/>
    <row r="16157" ht="16" x14ac:dyDescent="0.2"/>
    <row r="16158" ht="16" x14ac:dyDescent="0.2"/>
    <row r="16159" ht="16" x14ac:dyDescent="0.2"/>
    <row r="16160" ht="16" x14ac:dyDescent="0.2"/>
    <row r="16161" ht="16" x14ac:dyDescent="0.2"/>
    <row r="16162" ht="16" x14ac:dyDescent="0.2"/>
    <row r="16163" ht="16" x14ac:dyDescent="0.2"/>
    <row r="16164" ht="16" x14ac:dyDescent="0.2"/>
    <row r="16165" ht="16" x14ac:dyDescent="0.2"/>
    <row r="16166" ht="16" x14ac:dyDescent="0.2"/>
    <row r="16167" ht="16" x14ac:dyDescent="0.2"/>
    <row r="16168" ht="16" x14ac:dyDescent="0.2"/>
    <row r="16169" ht="16" x14ac:dyDescent="0.2"/>
    <row r="16170" ht="16" x14ac:dyDescent="0.2"/>
    <row r="16171" ht="16" x14ac:dyDescent="0.2"/>
    <row r="16172" ht="16" x14ac:dyDescent="0.2"/>
    <row r="16173" ht="16" x14ac:dyDescent="0.2"/>
    <row r="16174" ht="16" x14ac:dyDescent="0.2"/>
    <row r="16175" ht="16" x14ac:dyDescent="0.2"/>
    <row r="16176" ht="16" x14ac:dyDescent="0.2"/>
    <row r="16177" ht="16" x14ac:dyDescent="0.2"/>
    <row r="16178" ht="16" x14ac:dyDescent="0.2"/>
    <row r="16179" ht="16" x14ac:dyDescent="0.2"/>
    <row r="16180" ht="16" x14ac:dyDescent="0.2"/>
    <row r="16181" ht="16" x14ac:dyDescent="0.2"/>
    <row r="16182" ht="16" x14ac:dyDescent="0.2"/>
    <row r="16183" ht="16" x14ac:dyDescent="0.2"/>
    <row r="16184" ht="16" x14ac:dyDescent="0.2"/>
    <row r="16185" ht="16" x14ac:dyDescent="0.2"/>
    <row r="16186" ht="16" x14ac:dyDescent="0.2"/>
    <row r="16187" ht="16" x14ac:dyDescent="0.2"/>
    <row r="16188" ht="16" x14ac:dyDescent="0.2"/>
    <row r="16189" ht="16" x14ac:dyDescent="0.2"/>
    <row r="16190" ht="16" x14ac:dyDescent="0.2"/>
    <row r="16191" ht="16" x14ac:dyDescent="0.2"/>
    <row r="16192" ht="16" x14ac:dyDescent="0.2"/>
    <row r="16193" ht="16" x14ac:dyDescent="0.2"/>
    <row r="16194" ht="16" x14ac:dyDescent="0.2"/>
    <row r="16195" ht="16" x14ac:dyDescent="0.2"/>
    <row r="16196" ht="16" x14ac:dyDescent="0.2"/>
    <row r="16197" ht="16" x14ac:dyDescent="0.2"/>
    <row r="16198" ht="16" x14ac:dyDescent="0.2"/>
    <row r="16199" ht="16" x14ac:dyDescent="0.2"/>
    <row r="16200" ht="16" x14ac:dyDescent="0.2"/>
    <row r="16201" ht="16" x14ac:dyDescent="0.2"/>
    <row r="16202" ht="16" x14ac:dyDescent="0.2"/>
    <row r="16203" ht="16" x14ac:dyDescent="0.2"/>
    <row r="16204" ht="16" x14ac:dyDescent="0.2"/>
    <row r="16205" ht="16" x14ac:dyDescent="0.2"/>
    <row r="16206" ht="16" x14ac:dyDescent="0.2"/>
    <row r="16207" ht="16" x14ac:dyDescent="0.2"/>
    <row r="16208" ht="16" x14ac:dyDescent="0.2"/>
    <row r="16209" ht="16" x14ac:dyDescent="0.2"/>
    <row r="16210" ht="16" x14ac:dyDescent="0.2"/>
    <row r="16211" ht="16" x14ac:dyDescent="0.2"/>
    <row r="16212" ht="16" x14ac:dyDescent="0.2"/>
    <row r="16213" ht="16" x14ac:dyDescent="0.2"/>
    <row r="16214" ht="16" x14ac:dyDescent="0.2"/>
    <row r="16215" ht="16" x14ac:dyDescent="0.2"/>
    <row r="16216" ht="16" x14ac:dyDescent="0.2"/>
    <row r="16217" ht="16" x14ac:dyDescent="0.2"/>
    <row r="16218" ht="16" x14ac:dyDescent="0.2"/>
    <row r="16219" ht="16" x14ac:dyDescent="0.2"/>
    <row r="16220" ht="16" x14ac:dyDescent="0.2"/>
    <row r="16221" ht="16" x14ac:dyDescent="0.2"/>
    <row r="16222" ht="16" x14ac:dyDescent="0.2"/>
    <row r="16223" ht="16" x14ac:dyDescent="0.2"/>
    <row r="16224" ht="16" x14ac:dyDescent="0.2"/>
    <row r="16225" ht="16" x14ac:dyDescent="0.2"/>
    <row r="16226" ht="16" x14ac:dyDescent="0.2"/>
    <row r="16227" ht="16" x14ac:dyDescent="0.2"/>
    <row r="16228" ht="16" x14ac:dyDescent="0.2"/>
    <row r="16229" ht="16" x14ac:dyDescent="0.2"/>
    <row r="16230" ht="16" x14ac:dyDescent="0.2"/>
    <row r="16231" ht="16" x14ac:dyDescent="0.2"/>
    <row r="16232" ht="16" x14ac:dyDescent="0.2"/>
    <row r="16233" ht="16" x14ac:dyDescent="0.2"/>
    <row r="16234" ht="16" x14ac:dyDescent="0.2"/>
    <row r="16235" ht="16" x14ac:dyDescent="0.2"/>
    <row r="16236" ht="16" x14ac:dyDescent="0.2"/>
    <row r="16237" ht="16" x14ac:dyDescent="0.2"/>
    <row r="16238" ht="16" x14ac:dyDescent="0.2"/>
    <row r="16239" ht="16" x14ac:dyDescent="0.2"/>
    <row r="16240" ht="16" x14ac:dyDescent="0.2"/>
    <row r="16241" ht="16" x14ac:dyDescent="0.2"/>
    <row r="16242" ht="16" x14ac:dyDescent="0.2"/>
    <row r="16243" ht="16" x14ac:dyDescent="0.2"/>
    <row r="16244" ht="16" x14ac:dyDescent="0.2"/>
    <row r="16245" ht="16" x14ac:dyDescent="0.2"/>
    <row r="16246" ht="16" x14ac:dyDescent="0.2"/>
    <row r="16247" ht="16" x14ac:dyDescent="0.2"/>
    <row r="16248" ht="16" x14ac:dyDescent="0.2"/>
    <row r="16249" ht="16" x14ac:dyDescent="0.2"/>
    <row r="16250" ht="16" x14ac:dyDescent="0.2"/>
    <row r="16251" ht="16" x14ac:dyDescent="0.2"/>
    <row r="16252" ht="16" x14ac:dyDescent="0.2"/>
    <row r="16253" ht="16" x14ac:dyDescent="0.2"/>
    <row r="16254" ht="16" x14ac:dyDescent="0.2"/>
    <row r="16255" ht="16" x14ac:dyDescent="0.2"/>
    <row r="16256" ht="16" x14ac:dyDescent="0.2"/>
    <row r="16257" ht="16" x14ac:dyDescent="0.2"/>
    <row r="16258" ht="16" x14ac:dyDescent="0.2"/>
    <row r="16259" ht="16" x14ac:dyDescent="0.2"/>
    <row r="16260" ht="16" x14ac:dyDescent="0.2"/>
    <row r="16261" ht="16" x14ac:dyDescent="0.2"/>
    <row r="16262" ht="16" x14ac:dyDescent="0.2"/>
    <row r="16263" ht="16" x14ac:dyDescent="0.2"/>
    <row r="16264" ht="16" x14ac:dyDescent="0.2"/>
    <row r="16265" ht="16" x14ac:dyDescent="0.2"/>
    <row r="16266" ht="16" x14ac:dyDescent="0.2"/>
    <row r="16267" ht="16" x14ac:dyDescent="0.2"/>
    <row r="16268" ht="16" x14ac:dyDescent="0.2"/>
    <row r="16269" ht="16" x14ac:dyDescent="0.2"/>
    <row r="16270" ht="16" x14ac:dyDescent="0.2"/>
    <row r="16271" ht="16" x14ac:dyDescent="0.2"/>
    <row r="16272" ht="16" x14ac:dyDescent="0.2"/>
    <row r="16273" ht="16" x14ac:dyDescent="0.2"/>
    <row r="16274" ht="16" x14ac:dyDescent="0.2"/>
    <row r="16275" ht="16" x14ac:dyDescent="0.2"/>
    <row r="16276" ht="16" x14ac:dyDescent="0.2"/>
    <row r="16277" ht="16" x14ac:dyDescent="0.2"/>
    <row r="16278" ht="16" x14ac:dyDescent="0.2"/>
    <row r="16279" ht="16" x14ac:dyDescent="0.2"/>
    <row r="16280" ht="16" x14ac:dyDescent="0.2"/>
    <row r="16281" ht="16" x14ac:dyDescent="0.2"/>
    <row r="16282" ht="16" x14ac:dyDescent="0.2"/>
    <row r="16283" ht="16" x14ac:dyDescent="0.2"/>
    <row r="16284" ht="16" x14ac:dyDescent="0.2"/>
    <row r="16285" ht="16" x14ac:dyDescent="0.2"/>
    <row r="16286" ht="16" x14ac:dyDescent="0.2"/>
    <row r="16287" ht="16" x14ac:dyDescent="0.2"/>
    <row r="16288" ht="16" x14ac:dyDescent="0.2"/>
    <row r="16289" ht="16" x14ac:dyDescent="0.2"/>
    <row r="16290" ht="16" x14ac:dyDescent="0.2"/>
    <row r="16291" ht="16" x14ac:dyDescent="0.2"/>
    <row r="16292" ht="16" x14ac:dyDescent="0.2"/>
    <row r="16293" ht="16" x14ac:dyDescent="0.2"/>
    <row r="16294" ht="16" x14ac:dyDescent="0.2"/>
    <row r="16295" ht="16" x14ac:dyDescent="0.2"/>
    <row r="16296" ht="16" x14ac:dyDescent="0.2"/>
    <row r="16297" ht="16" x14ac:dyDescent="0.2"/>
    <row r="16298" ht="16" x14ac:dyDescent="0.2"/>
    <row r="16299" ht="16" x14ac:dyDescent="0.2"/>
    <row r="16300" ht="16" x14ac:dyDescent="0.2"/>
    <row r="16301" ht="16" x14ac:dyDescent="0.2"/>
    <row r="16302" ht="16" x14ac:dyDescent="0.2"/>
    <row r="16303" ht="16" x14ac:dyDescent="0.2"/>
    <row r="16304" ht="16" x14ac:dyDescent="0.2"/>
    <row r="16305" ht="16" x14ac:dyDescent="0.2"/>
    <row r="16306" ht="16" x14ac:dyDescent="0.2"/>
    <row r="16307" ht="16" x14ac:dyDescent="0.2"/>
    <row r="16308" ht="16" x14ac:dyDescent="0.2"/>
    <row r="16309" ht="16" x14ac:dyDescent="0.2"/>
    <row r="16310" ht="16" x14ac:dyDescent="0.2"/>
    <row r="16311" ht="16" x14ac:dyDescent="0.2"/>
    <row r="16312" ht="16" x14ac:dyDescent="0.2"/>
    <row r="16313" ht="16" x14ac:dyDescent="0.2"/>
    <row r="16314" ht="16" x14ac:dyDescent="0.2"/>
    <row r="16315" ht="16" x14ac:dyDescent="0.2"/>
    <row r="16316" ht="16" x14ac:dyDescent="0.2"/>
    <row r="16317" ht="16" x14ac:dyDescent="0.2"/>
    <row r="16318" ht="16" x14ac:dyDescent="0.2"/>
    <row r="16319" ht="16" x14ac:dyDescent="0.2"/>
    <row r="16320" ht="16" x14ac:dyDescent="0.2"/>
    <row r="16321" ht="16" x14ac:dyDescent="0.2"/>
    <row r="16322" ht="16" x14ac:dyDescent="0.2"/>
    <row r="16323" ht="16" x14ac:dyDescent="0.2"/>
    <row r="16324" ht="16" x14ac:dyDescent="0.2"/>
    <row r="16325" ht="16" x14ac:dyDescent="0.2"/>
    <row r="16326" ht="16" x14ac:dyDescent="0.2"/>
    <row r="16327" ht="16" x14ac:dyDescent="0.2"/>
    <row r="16328" ht="16" x14ac:dyDescent="0.2"/>
    <row r="16329" ht="16" x14ac:dyDescent="0.2"/>
    <row r="16330" ht="16" x14ac:dyDescent="0.2"/>
    <row r="16331" ht="16" x14ac:dyDescent="0.2"/>
    <row r="16332" ht="16" x14ac:dyDescent="0.2"/>
    <row r="16333" ht="16" x14ac:dyDescent="0.2"/>
    <row r="16334" ht="16" x14ac:dyDescent="0.2"/>
    <row r="16335" ht="16" x14ac:dyDescent="0.2"/>
    <row r="16336" ht="16" x14ac:dyDescent="0.2"/>
    <row r="16337" ht="16" x14ac:dyDescent="0.2"/>
    <row r="16338" ht="16" x14ac:dyDescent="0.2"/>
    <row r="16339" ht="16" x14ac:dyDescent="0.2"/>
    <row r="16340" ht="16" x14ac:dyDescent="0.2"/>
    <row r="16341" ht="16" x14ac:dyDescent="0.2"/>
    <row r="16342" ht="16" x14ac:dyDescent="0.2"/>
    <row r="16343" ht="16" x14ac:dyDescent="0.2"/>
    <row r="16344" ht="16" x14ac:dyDescent="0.2"/>
    <row r="16345" ht="16" x14ac:dyDescent="0.2"/>
    <row r="16346" ht="16" x14ac:dyDescent="0.2"/>
    <row r="16347" ht="16" x14ac:dyDescent="0.2"/>
    <row r="16348" ht="16" x14ac:dyDescent="0.2"/>
    <row r="16349" ht="16" x14ac:dyDescent="0.2"/>
    <row r="16350" ht="16" x14ac:dyDescent="0.2"/>
    <row r="16351" ht="16" x14ac:dyDescent="0.2"/>
    <row r="16352" ht="16" x14ac:dyDescent="0.2"/>
    <row r="16353" ht="16" x14ac:dyDescent="0.2"/>
    <row r="16354" ht="16" x14ac:dyDescent="0.2"/>
    <row r="16355" ht="16" x14ac:dyDescent="0.2"/>
    <row r="16356" ht="16" x14ac:dyDescent="0.2"/>
    <row r="16357" ht="16" x14ac:dyDescent="0.2"/>
    <row r="16358" ht="16" x14ac:dyDescent="0.2"/>
    <row r="16359" ht="16" x14ac:dyDescent="0.2"/>
    <row r="16360" ht="16" x14ac:dyDescent="0.2"/>
    <row r="16361" ht="16" x14ac:dyDescent="0.2"/>
    <row r="16362" ht="16" x14ac:dyDescent="0.2"/>
    <row r="16363" ht="16" x14ac:dyDescent="0.2"/>
    <row r="16364" ht="16" x14ac:dyDescent="0.2"/>
    <row r="16365" ht="16" x14ac:dyDescent="0.2"/>
    <row r="16366" ht="16" x14ac:dyDescent="0.2"/>
    <row r="16367" ht="16" x14ac:dyDescent="0.2"/>
    <row r="16368" ht="16" x14ac:dyDescent="0.2"/>
    <row r="16369" ht="16" x14ac:dyDescent="0.2"/>
    <row r="16370" ht="16" x14ac:dyDescent="0.2"/>
    <row r="16371" ht="16" x14ac:dyDescent="0.2"/>
    <row r="16372" ht="16" x14ac:dyDescent="0.2"/>
    <row r="16373" ht="16" x14ac:dyDescent="0.2"/>
    <row r="16374" ht="16" x14ac:dyDescent="0.2"/>
    <row r="16375" ht="16" x14ac:dyDescent="0.2"/>
    <row r="16376" ht="16" x14ac:dyDescent="0.2"/>
    <row r="16377" ht="16" x14ac:dyDescent="0.2"/>
    <row r="16378" ht="16" x14ac:dyDescent="0.2"/>
    <row r="16379" ht="16" x14ac:dyDescent="0.2"/>
    <row r="16380" ht="16" x14ac:dyDescent="0.2"/>
    <row r="16381" ht="16" x14ac:dyDescent="0.2"/>
    <row r="16382" ht="16" x14ac:dyDescent="0.2"/>
    <row r="16383" ht="16" x14ac:dyDescent="0.2"/>
    <row r="16384" ht="16" x14ac:dyDescent="0.2"/>
  </sheetData>
  <sortState xmlns:xlrd2="http://schemas.microsoft.com/office/spreadsheetml/2017/richdata2" ref="A1:L16384">
    <sortCondition descending="1" ref="C1:C16384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Total_Time_By_DS</vt:lpstr>
      <vt:lpstr>Uncommon_Common_CORRECT</vt:lpstr>
      <vt:lpstr>Table_4_CORRECT</vt:lpstr>
      <vt:lpstr>Uncommon_Common_MISTAKE</vt:lpstr>
      <vt:lpstr>Table_4_MISTAKE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Veronika Potter</cp:lastModifiedBy>
  <cp:revision/>
  <dcterms:created xsi:type="dcterms:W3CDTF">2025-06-20T13:55:16Z</dcterms:created>
  <dcterms:modified xsi:type="dcterms:W3CDTF">2026-07-22T19:45:55Z</dcterms:modified>
  <cp:category/>
  <cp:contentStatus/>
</cp:coreProperties>
</file>